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431991C4-D3A5-4969-B397-30BEA1DF90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utosCounty" sheetId="5" r:id="rId1"/>
    <sheet name="AutosTotal" sheetId="1" r:id="rId2"/>
    <sheet name="WorkAtHome" sheetId="3" r:id="rId3"/>
    <sheet name="Tota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D6" i="3" s="1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F2" i="5"/>
  <c r="E2" i="5"/>
  <c r="D2" i="5"/>
  <c r="C2" i="5"/>
  <c r="B2" i="5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P2" i="1"/>
  <c r="O2" i="1"/>
  <c r="N2" i="1"/>
  <c r="M2" i="1"/>
  <c r="L6" i="1"/>
  <c r="L5" i="1"/>
  <c r="L4" i="1"/>
  <c r="L3" i="1"/>
  <c r="L2" i="1"/>
  <c r="G6" i="1"/>
  <c r="Q6" i="1" s="1"/>
  <c r="B6" i="1" s="1"/>
  <c r="G3" i="1"/>
  <c r="Q3" i="1" s="1"/>
  <c r="B3" i="1" s="1"/>
  <c r="G4" i="1"/>
  <c r="G5" i="1"/>
  <c r="G2" i="1"/>
  <c r="B4" i="4"/>
  <c r="B3" i="4"/>
  <c r="B2" i="4"/>
  <c r="Q4" i="1" l="1"/>
  <c r="B4" i="1" s="1"/>
  <c r="Q5" i="1"/>
  <c r="B5" i="1" s="1"/>
  <c r="G8" i="1"/>
  <c r="Q2" i="1"/>
  <c r="B2" i="1" s="1"/>
  <c r="L8" i="1"/>
  <c r="D5" i="3"/>
  <c r="D4" i="3"/>
  <c r="D3" i="3"/>
  <c r="D2" i="3"/>
  <c r="L9" i="1" l="1"/>
  <c r="B6" i="3"/>
</calcChain>
</file>

<file path=xl/sharedStrings.xml><?xml version="1.0" encoding="utf-8"?>
<sst xmlns="http://schemas.openxmlformats.org/spreadsheetml/2006/main" count="54" uniqueCount="45">
  <si>
    <t>Number of Vehicles in Household</t>
  </si>
  <si>
    <t>0</t>
  </si>
  <si>
    <t>1</t>
  </si>
  <si>
    <t>2</t>
  </si>
  <si>
    <t>3</t>
  </si>
  <si>
    <t>4+</t>
  </si>
  <si>
    <t>Total</t>
  </si>
  <si>
    <t>King</t>
  </si>
  <si>
    <t>Kitsap</t>
  </si>
  <si>
    <t>Pierce</t>
  </si>
  <si>
    <t>Snohomish</t>
  </si>
  <si>
    <t>Region</t>
  </si>
  <si>
    <t>County</t>
  </si>
  <si>
    <t>ACS</t>
  </si>
  <si>
    <t>percent</t>
  </si>
  <si>
    <t>Persons</t>
  </si>
  <si>
    <t>Households</t>
  </si>
  <si>
    <t>PersonHH</t>
  </si>
  <si>
    <t>DataItem</t>
  </si>
  <si>
    <t>0 Cars</t>
  </si>
  <si>
    <t>1 Car</t>
  </si>
  <si>
    <t>4+ Cars</t>
  </si>
  <si>
    <t>2 Cars</t>
  </si>
  <si>
    <t>3 Cars</t>
  </si>
  <si>
    <t>https://data.census.gov/table?q=Population+Total&amp;g=050XX00US53033,53035,53053,53061</t>
  </si>
  <si>
    <t>DP02: Selected Social ... - Census Bureau Table</t>
  </si>
  <si>
    <t>Share</t>
  </si>
  <si>
    <t>King-own</t>
  </si>
  <si>
    <t>Kitsap-own</t>
  </si>
  <si>
    <t>Pierce-own</t>
  </si>
  <si>
    <t>Snohomish-own</t>
  </si>
  <si>
    <t>Total-own</t>
  </si>
  <si>
    <t>King-rent</t>
  </si>
  <si>
    <t>Kitsap-rent</t>
  </si>
  <si>
    <t>Pierce-rent</t>
  </si>
  <si>
    <t>Snohomish-rent</t>
  </si>
  <si>
    <t>Total-rent</t>
  </si>
  <si>
    <t>Total-own&amp;rent</t>
  </si>
  <si>
    <t>Total hhs</t>
  </si>
  <si>
    <t>King-own&amp;rent</t>
  </si>
  <si>
    <t>Kitsap-own&amp;rent</t>
  </si>
  <si>
    <t>Pierce-own&amp;rent</t>
  </si>
  <si>
    <t>Snohomish-own&amp;rent</t>
  </si>
  <si>
    <t>B08006: Sex of Workers by Means of ... - Census Bureau Table</t>
  </si>
  <si>
    <t>B25044: Tenure by Vehicles Available - Census Bureau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</si>
</sst>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1" applyNumberFormat="1" applyFon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left"/>
    </xf>
    <xf numFmtId="3" fontId="3" fillId="0" borderId="0" xfId="0" applyNumberFormat="1" applyFont="1"/>
    <xf numFmtId="164" fontId="0" fillId="0" borderId="0" xfId="2" applyNumberFormat="1" applyFont="1"/>
    <xf numFmtId="164" fontId="4" fillId="0" borderId="0" xfId="3" applyNumberFormat="1"/>
    <xf numFmtId="0" fontId="4" fillId="0" borderId="0" xfId="3"/>
    <xf numFmtId="164" fontId="0" fillId="0" borderId="0" xfId="0" applyNumberFormat="1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ensus.gov/table/ACSDT5Y2023.B25044?q=vehicles+available&amp;g=050XX00US53033,53035,53053,5306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ensus.gov/table/ACSDT1Y2023.B08006?q=B08006&amp;g=050XX00US53033,53035,53053,53061&amp;moe=fals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census.gov/table/ACSDP1Y2023.DP02?q=Household+Total&amp;g=050XX00US53033,53035,53053,53061&amp;moe=false" TargetMode="External"/><Relationship Id="rId1" Type="http://schemas.openxmlformats.org/officeDocument/2006/relationships/hyperlink" Target="https://data.census.gov/table?q=Population+Total&amp;g=050XX00US53033,53035,53053,53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E16" sqref="E16"/>
    </sheetView>
  </sheetViews>
  <sheetFormatPr defaultRowHeight="15" x14ac:dyDescent="0.25"/>
  <sheetData>
    <row r="1" spans="1:6" x14ac:dyDescent="0.25">
      <c r="A1" t="s">
        <v>12</v>
      </c>
      <c r="B1" t="s">
        <v>19</v>
      </c>
      <c r="C1" t="s">
        <v>20</v>
      </c>
      <c r="D1" t="s">
        <v>22</v>
      </c>
      <c r="E1" t="s">
        <v>23</v>
      </c>
      <c r="F1" t="s">
        <v>21</v>
      </c>
    </row>
    <row r="2" spans="1:6" x14ac:dyDescent="0.25">
      <c r="A2" t="s">
        <v>7</v>
      </c>
      <c r="B2">
        <f>AutosTotal!M$2/SUM(AutosTotal!$M$2:$M$7)</f>
        <v>0.11039677005271514</v>
      </c>
      <c r="C2">
        <f>AutosTotal!M$3/SUM(AutosTotal!$M$2:$M$7)</f>
        <v>0.3628980714947021</v>
      </c>
      <c r="D2">
        <f>AutosTotal!M$4/SUM(AutosTotal!$M$2:$M$7)</f>
        <v>0.3422991818429712</v>
      </c>
      <c r="E2">
        <f>AutosTotal!M$5/SUM(AutosTotal!$M$2:$M$7)</f>
        <v>0.12502681024383042</v>
      </c>
      <c r="F2">
        <f>(AutosTotal!M$6+AutosTotal!M$7)/SUM(AutosTotal!$M$2:$M$7)</f>
        <v>5.937916636578118E-2</v>
      </c>
    </row>
    <row r="3" spans="1:6" x14ac:dyDescent="0.25">
      <c r="A3" t="s">
        <v>8</v>
      </c>
      <c r="B3">
        <f>AutosTotal!N$2/SUM(AutosTotal!$N$2:$N$7)</f>
        <v>4.0852476133651554E-2</v>
      </c>
      <c r="C3">
        <f>AutosTotal!N$3/SUM(AutosTotal!$N$2:$N$7)</f>
        <v>0.26123396479713606</v>
      </c>
      <c r="D3">
        <f>AutosTotal!N$4/SUM(AutosTotal!$N$2:$N$7)</f>
        <v>0.39030802505966589</v>
      </c>
      <c r="E3">
        <f>AutosTotal!N$5/SUM(AutosTotal!$N$2:$N$7)</f>
        <v>0.19961030727923629</v>
      </c>
      <c r="F3">
        <f>(AutosTotal!N$6+AutosTotal!N$7)/SUM(AutosTotal!$N$2:$N$7)</f>
        <v>0.10799522673031026</v>
      </c>
    </row>
    <row r="4" spans="1:6" x14ac:dyDescent="0.25">
      <c r="A4" t="s">
        <v>9</v>
      </c>
      <c r="B4">
        <f>AutosTotal!O$2/SUM(AutosTotal!$O$2:$O$7)</f>
        <v>5.1821705873530466E-2</v>
      </c>
      <c r="C4">
        <f>AutosTotal!O$3/SUM(AutosTotal!$O$2:$O$7)</f>
        <v>0.27085328287781074</v>
      </c>
      <c r="D4">
        <f>AutosTotal!O$4/SUM(AutosTotal!$O$2:$O$7)</f>
        <v>0.38925839611430946</v>
      </c>
      <c r="E4">
        <f>AutosTotal!O$5/SUM(AutosTotal!$O$2:$O$7)</f>
        <v>0.18277916863758553</v>
      </c>
      <c r="F4">
        <f>(AutosTotal!O$6+AutosTotal!O$7)/SUM(AutosTotal!$O$2:$O$7)</f>
        <v>0.10528744649676385</v>
      </c>
    </row>
    <row r="5" spans="1:6" x14ac:dyDescent="0.25">
      <c r="A5" t="s">
        <v>10</v>
      </c>
      <c r="B5">
        <f>AutosTotal!P$2/SUM(AutosTotal!$P$2:$P$7)</f>
        <v>4.54485689088431E-2</v>
      </c>
      <c r="C5">
        <f>AutosTotal!P$3/SUM(AutosTotal!$P$2:$P$7)</f>
        <v>0.26795478232983244</v>
      </c>
      <c r="D5">
        <f>AutosTotal!P$4/SUM(AutosTotal!$P$2:$P$7)</f>
        <v>0.39468291509660869</v>
      </c>
      <c r="E5">
        <f>AutosTotal!P$5/SUM(AutosTotal!$P$2:$P$7)</f>
        <v>0.18024532991261125</v>
      </c>
      <c r="F5">
        <f>(AutosTotal!P$6+AutosTotal!P$7)/SUM(AutosTotal!$P$2:$P$7)</f>
        <v>0.11166840375210454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tabSelected="1" topLeftCell="E1" workbookViewId="0">
      <selection activeCell="S10" sqref="S10"/>
    </sheetView>
  </sheetViews>
  <sheetFormatPr defaultRowHeight="15" x14ac:dyDescent="0.25"/>
  <cols>
    <col min="1" max="1" width="29.7109375" customWidth="1"/>
    <col min="4" max="4" width="11" bestFit="1" customWidth="1"/>
    <col min="5" max="5" width="11.140625" bestFit="1" customWidth="1"/>
    <col min="6" max="6" width="15.5703125" bestFit="1" customWidth="1"/>
    <col min="7" max="7" width="13.28515625" bestFit="1" customWidth="1"/>
    <col min="8" max="8" width="9.28515625" bestFit="1" customWidth="1"/>
    <col min="9" max="9" width="10.85546875" bestFit="1" customWidth="1"/>
    <col min="10" max="10" width="11" bestFit="1" customWidth="1"/>
    <col min="11" max="11" width="15.42578125" bestFit="1" customWidth="1"/>
    <col min="12" max="12" width="10.5703125" bestFit="1" customWidth="1"/>
    <col min="13" max="16" width="10.5703125" customWidth="1"/>
    <col min="17" max="17" width="15.28515625" bestFit="1" customWidth="1"/>
  </cols>
  <sheetData>
    <row r="1" spans="1:18" x14ac:dyDescent="0.25">
      <c r="A1" s="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s="6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39</v>
      </c>
      <c r="N1" t="s">
        <v>40</v>
      </c>
      <c r="O1" t="s">
        <v>41</v>
      </c>
      <c r="P1" t="s">
        <v>42</v>
      </c>
      <c r="Q1" t="s">
        <v>37</v>
      </c>
      <c r="R1" s="8" t="s">
        <v>44</v>
      </c>
    </row>
    <row r="2" spans="1:18" x14ac:dyDescent="0.25">
      <c r="A2" s="1" t="s">
        <v>1</v>
      </c>
      <c r="B2" s="2">
        <f>Q2/Totals!$B$3</f>
        <v>7.9977782190641472E-2</v>
      </c>
      <c r="C2">
        <v>13708</v>
      </c>
      <c r="D2">
        <v>1358</v>
      </c>
      <c r="E2">
        <v>4499</v>
      </c>
      <c r="F2">
        <v>3939</v>
      </c>
      <c r="G2" s="6">
        <f>SUM(C2:F2)</f>
        <v>23504</v>
      </c>
      <c r="H2">
        <v>88720</v>
      </c>
      <c r="I2">
        <v>3024</v>
      </c>
      <c r="J2">
        <v>13468</v>
      </c>
      <c r="K2">
        <v>10233</v>
      </c>
      <c r="L2" s="6">
        <f>SUM(H2:K2)</f>
        <v>115445</v>
      </c>
      <c r="M2" s="6">
        <f>C2+H2</f>
        <v>102428</v>
      </c>
      <c r="N2" s="6">
        <f>D2+I2</f>
        <v>4382</v>
      </c>
      <c r="O2" s="6">
        <f>E2+J2</f>
        <v>17967</v>
      </c>
      <c r="P2" s="6">
        <f>F2+K2</f>
        <v>14172</v>
      </c>
      <c r="Q2" s="9">
        <f>G2+L2</f>
        <v>138949</v>
      </c>
    </row>
    <row r="3" spans="1:18" x14ac:dyDescent="0.25">
      <c r="A3" s="1" t="s">
        <v>2</v>
      </c>
      <c r="B3" s="2">
        <f>Q3/Totals!$B$3</f>
        <v>0.31207733639547702</v>
      </c>
      <c r="C3">
        <v>141222</v>
      </c>
      <c r="D3">
        <v>14902</v>
      </c>
      <c r="E3">
        <v>43350</v>
      </c>
      <c r="F3">
        <v>43283</v>
      </c>
      <c r="G3" s="6">
        <f t="shared" ref="G3:G5" si="0">SUM(C3:F3)</f>
        <v>242757</v>
      </c>
      <c r="H3">
        <v>195481</v>
      </c>
      <c r="I3">
        <v>13119</v>
      </c>
      <c r="J3">
        <v>50557</v>
      </c>
      <c r="K3">
        <v>40272</v>
      </c>
      <c r="L3" s="6">
        <f t="shared" ref="L3:L5" si="1">SUM(H3:K3)</f>
        <v>299429</v>
      </c>
      <c r="M3" s="6">
        <f t="shared" ref="M3:M7" si="2">C3+H3</f>
        <v>336703</v>
      </c>
      <c r="N3" s="6">
        <f t="shared" ref="N3:N7" si="3">D3+I3</f>
        <v>28021</v>
      </c>
      <c r="O3" s="6">
        <f t="shared" ref="O3:O7" si="4">E3+J3</f>
        <v>93907</v>
      </c>
      <c r="P3" s="6">
        <f t="shared" ref="P3:P7" si="5">F3+K3</f>
        <v>83555</v>
      </c>
      <c r="Q3" s="9">
        <f t="shared" ref="Q3:Q6" si="6">G3+L3</f>
        <v>542186</v>
      </c>
    </row>
    <row r="4" spans="1:18" x14ac:dyDescent="0.25">
      <c r="A4" s="1" t="s">
        <v>3</v>
      </c>
      <c r="B4" s="2">
        <f>Q4/Totals!$B$3</f>
        <v>0.35542048355392858</v>
      </c>
      <c r="C4">
        <v>225363</v>
      </c>
      <c r="D4">
        <v>30404</v>
      </c>
      <c r="E4">
        <v>93132</v>
      </c>
      <c r="F4">
        <v>89460</v>
      </c>
      <c r="G4" s="6">
        <f t="shared" si="0"/>
        <v>438359</v>
      </c>
      <c r="H4">
        <v>92228</v>
      </c>
      <c r="I4">
        <v>11462</v>
      </c>
      <c r="J4">
        <v>41827</v>
      </c>
      <c r="K4">
        <v>33612</v>
      </c>
      <c r="L4" s="6">
        <f t="shared" si="1"/>
        <v>179129</v>
      </c>
      <c r="M4" s="6">
        <f t="shared" si="2"/>
        <v>317591</v>
      </c>
      <c r="N4" s="6">
        <f t="shared" si="3"/>
        <v>41866</v>
      </c>
      <c r="O4" s="6">
        <f t="shared" si="4"/>
        <v>134959</v>
      </c>
      <c r="P4" s="6">
        <f t="shared" si="5"/>
        <v>123072</v>
      </c>
      <c r="Q4" s="9">
        <f t="shared" si="6"/>
        <v>617488</v>
      </c>
    </row>
    <row r="5" spans="1:18" x14ac:dyDescent="0.25">
      <c r="A5" s="1" t="s">
        <v>4</v>
      </c>
      <c r="B5" s="2">
        <f>Q5/Totals!$B$3</f>
        <v>0.1479205339181337</v>
      </c>
      <c r="C5">
        <v>94521</v>
      </c>
      <c r="D5">
        <v>18008</v>
      </c>
      <c r="E5">
        <v>51819</v>
      </c>
      <c r="F5">
        <v>46331</v>
      </c>
      <c r="G5" s="6">
        <f t="shared" si="0"/>
        <v>210679</v>
      </c>
      <c r="H5">
        <v>21481</v>
      </c>
      <c r="I5">
        <v>3403</v>
      </c>
      <c r="J5">
        <v>11552</v>
      </c>
      <c r="K5">
        <v>9874</v>
      </c>
      <c r="L5" s="6">
        <f t="shared" si="1"/>
        <v>46310</v>
      </c>
      <c r="M5" s="6">
        <f t="shared" si="2"/>
        <v>116002</v>
      </c>
      <c r="N5" s="6">
        <f t="shared" si="3"/>
        <v>21411</v>
      </c>
      <c r="O5" s="6">
        <f t="shared" si="4"/>
        <v>63371</v>
      </c>
      <c r="P5" s="6">
        <f t="shared" si="5"/>
        <v>56205</v>
      </c>
      <c r="Q5" s="9">
        <f t="shared" si="6"/>
        <v>256989</v>
      </c>
    </row>
    <row r="6" spans="1:18" x14ac:dyDescent="0.25">
      <c r="A6" s="1" t="s">
        <v>5</v>
      </c>
      <c r="B6" s="2">
        <f>Q6/Totals!$B$3</f>
        <v>7.9432697593166582E-2</v>
      </c>
      <c r="C6">
        <v>31615</v>
      </c>
      <c r="D6">
        <v>6717</v>
      </c>
      <c r="E6">
        <v>20571</v>
      </c>
      <c r="F6">
        <v>19160</v>
      </c>
      <c r="G6" s="6">
        <f>SUM(C6:F6)+SUM(C7:F7)</f>
        <v>118241</v>
      </c>
      <c r="H6">
        <v>6144</v>
      </c>
      <c r="I6">
        <v>839</v>
      </c>
      <c r="J6">
        <v>2839</v>
      </c>
      <c r="K6">
        <v>3018</v>
      </c>
      <c r="L6" s="6">
        <f>SUM(H6:K6)+SUM(H7:K7)</f>
        <v>19761</v>
      </c>
      <c r="M6" s="6">
        <f t="shared" si="2"/>
        <v>37759</v>
      </c>
      <c r="N6" s="6">
        <f t="shared" si="3"/>
        <v>7556</v>
      </c>
      <c r="O6" s="6">
        <f t="shared" si="4"/>
        <v>23410</v>
      </c>
      <c r="P6" s="6">
        <f t="shared" si="5"/>
        <v>22178</v>
      </c>
      <c r="Q6" s="9">
        <f t="shared" si="6"/>
        <v>138002</v>
      </c>
    </row>
    <row r="7" spans="1:18" x14ac:dyDescent="0.25">
      <c r="C7">
        <v>13962</v>
      </c>
      <c r="D7">
        <v>3856</v>
      </c>
      <c r="E7">
        <v>11274</v>
      </c>
      <c r="F7">
        <v>11086</v>
      </c>
      <c r="G7" s="6"/>
      <c r="H7">
        <v>3372</v>
      </c>
      <c r="I7">
        <v>172</v>
      </c>
      <c r="J7">
        <v>1820</v>
      </c>
      <c r="K7">
        <v>1557</v>
      </c>
      <c r="M7" s="6">
        <f t="shared" si="2"/>
        <v>17334</v>
      </c>
      <c r="N7" s="6">
        <f t="shared" si="3"/>
        <v>4028</v>
      </c>
      <c r="O7" s="6">
        <f t="shared" si="4"/>
        <v>13094</v>
      </c>
      <c r="P7" s="6">
        <f t="shared" si="5"/>
        <v>12643</v>
      </c>
    </row>
    <row r="8" spans="1:18" x14ac:dyDescent="0.25">
      <c r="G8" s="6">
        <f>SUM(G2:G6)</f>
        <v>1033540</v>
      </c>
      <c r="L8" s="6">
        <f>SUM(L2:L6)</f>
        <v>660074</v>
      </c>
      <c r="M8" s="6"/>
      <c r="N8" s="6"/>
      <c r="O8" s="6"/>
      <c r="P8" s="6"/>
    </row>
    <row r="9" spans="1:18" x14ac:dyDescent="0.25">
      <c r="L9" s="9">
        <f>SUM(G8,L8)</f>
        <v>1693614</v>
      </c>
      <c r="M9" s="9"/>
      <c r="N9" s="9"/>
      <c r="O9" s="9"/>
      <c r="P9" s="9"/>
    </row>
  </sheetData>
  <hyperlinks>
    <hyperlink ref="R1" r:id="rId1" display="https://data.census.gov/table/ACSDT5Y2023.B25044?q=vehicles+available&amp;g=050XX00US53033,53035,53053,53061" xr:uid="{D9241D5D-319D-4884-BFCA-961A8E11D5E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19" sqref="E19"/>
    </sheetView>
  </sheetViews>
  <sheetFormatPr defaultRowHeight="15" x14ac:dyDescent="0.25"/>
  <cols>
    <col min="1" max="1" width="24.7109375" customWidth="1"/>
  </cols>
  <sheetData>
    <row r="1" spans="1:5" x14ac:dyDescent="0.25">
      <c r="A1" t="s">
        <v>12</v>
      </c>
      <c r="B1" t="s">
        <v>13</v>
      </c>
      <c r="C1" t="s">
        <v>38</v>
      </c>
      <c r="D1" t="s">
        <v>14</v>
      </c>
      <c r="E1" s="8" t="s">
        <v>43</v>
      </c>
    </row>
    <row r="2" spans="1:5" x14ac:dyDescent="0.25">
      <c r="A2" t="s">
        <v>7</v>
      </c>
      <c r="B2" s="3">
        <v>301110</v>
      </c>
      <c r="C2" s="4">
        <v>1254215</v>
      </c>
      <c r="D2">
        <f t="shared" ref="D2:D5" si="0">B2/C2*100</f>
        <v>24.007845544822857</v>
      </c>
    </row>
    <row r="3" spans="1:5" x14ac:dyDescent="0.25">
      <c r="A3" t="s">
        <v>8</v>
      </c>
      <c r="B3" s="3">
        <v>17681</v>
      </c>
      <c r="C3" s="4">
        <v>137468</v>
      </c>
      <c r="D3">
        <f t="shared" si="0"/>
        <v>12.861902406378212</v>
      </c>
    </row>
    <row r="4" spans="1:5" x14ac:dyDescent="0.25">
      <c r="A4" t="s">
        <v>9</v>
      </c>
      <c r="B4" s="3">
        <v>59872</v>
      </c>
      <c r="C4" s="4">
        <v>459805</v>
      </c>
      <c r="D4">
        <f t="shared" si="0"/>
        <v>13.02117201857309</v>
      </c>
    </row>
    <row r="5" spans="1:5" x14ac:dyDescent="0.25">
      <c r="A5" t="s">
        <v>10</v>
      </c>
      <c r="B5" s="3">
        <v>75162</v>
      </c>
      <c r="C5" s="4">
        <v>431355</v>
      </c>
      <c r="D5">
        <f t="shared" si="0"/>
        <v>17.424627047327608</v>
      </c>
    </row>
    <row r="6" spans="1:5" x14ac:dyDescent="0.25">
      <c r="A6" t="s">
        <v>11</v>
      </c>
      <c r="B6" s="3">
        <f>SUM(B2:B5)</f>
        <v>453825</v>
      </c>
      <c r="C6" s="3">
        <f>SUM(C2:C5)</f>
        <v>2282843</v>
      </c>
      <c r="D6">
        <f>B6/C6*100</f>
        <v>19.879816527023543</v>
      </c>
    </row>
  </sheetData>
  <hyperlinks>
    <hyperlink ref="E1" r:id="rId1" display="https://data.census.gov/table/ACSDT1Y2023.B08006?q=B08006&amp;g=050XX00US53033,53035,53053,53061&amp;moe=false" xr:uid="{84451F1A-7A7B-4297-A19A-D39AAD0A04D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C1" sqref="C1:F1"/>
    </sheetView>
  </sheetViews>
  <sheetFormatPr defaultRowHeight="15" x14ac:dyDescent="0.25"/>
  <cols>
    <col min="1" max="1" width="13.42578125" customWidth="1"/>
    <col min="6" max="6" width="10.85546875" bestFit="1" customWidth="1"/>
    <col min="7" max="7" width="13.28515625" bestFit="1" customWidth="1"/>
  </cols>
  <sheetData>
    <row r="1" spans="1:7" x14ac:dyDescent="0.25">
      <c r="A1" t="s">
        <v>18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7" x14ac:dyDescent="0.25">
      <c r="A2" t="s">
        <v>15</v>
      </c>
      <c r="B2" s="5">
        <f>SUM(C2:F2)</f>
        <v>4294373</v>
      </c>
      <c r="C2">
        <v>2269675</v>
      </c>
      <c r="D2">
        <v>275611</v>
      </c>
      <c r="E2">
        <v>921130</v>
      </c>
      <c r="F2">
        <v>827957</v>
      </c>
      <c r="G2" s="7" t="s">
        <v>24</v>
      </c>
    </row>
    <row r="3" spans="1:7" x14ac:dyDescent="0.25">
      <c r="A3" t="s">
        <v>16</v>
      </c>
      <c r="B3" s="5">
        <f>SUM(C3:F3)</f>
        <v>1737345</v>
      </c>
      <c r="C3">
        <v>949792</v>
      </c>
      <c r="D3">
        <v>109652</v>
      </c>
      <c r="E3">
        <v>356066</v>
      </c>
      <c r="F3">
        <v>321835</v>
      </c>
      <c r="G3" s="8" t="s">
        <v>25</v>
      </c>
    </row>
    <row r="4" spans="1:7" x14ac:dyDescent="0.25">
      <c r="A4" t="s">
        <v>17</v>
      </c>
      <c r="B4">
        <f>B2/B3</f>
        <v>2.4718020888194343</v>
      </c>
    </row>
  </sheetData>
  <hyperlinks>
    <hyperlink ref="G2" r:id="rId1" xr:uid="{1778B87A-607C-4CB7-9C70-049BB5C53EF5}"/>
    <hyperlink ref="G3" r:id="rId2" display="https://data.census.gov/table/ACSDP1Y2023.DP02?q=Household+Total&amp;g=050XX00US53033,53035,53053,53061&amp;moe=false" xr:uid="{02452367-FC9A-47A2-9073-32345C62FD0F}"/>
  </hyperlinks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AutosCounty</vt:lpstr>
      <vt:lpstr>AutosTotal</vt:lpstr>
      <vt:lpstr>WorkAtHome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2025-07-12T18:23:41Z</dcterms:modified>
</cp:coreProperties>
</file>