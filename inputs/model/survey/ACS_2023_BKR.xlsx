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5293E027-C03B-4F8B-A468-D78E53C51E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tosCounty" sheetId="5" r:id="rId1"/>
    <sheet name="AutosTotal" sheetId="1" r:id="rId2"/>
    <sheet name="WorkAtHome" sheetId="3" r:id="rId3"/>
    <sheet name="Tota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K3" i="1"/>
  <c r="L3" i="1"/>
  <c r="M3" i="1"/>
  <c r="K4" i="1"/>
  <c r="L4" i="1"/>
  <c r="M4" i="1"/>
  <c r="K5" i="1"/>
  <c r="L5" i="1"/>
  <c r="M5" i="1"/>
  <c r="K6" i="1"/>
  <c r="L6" i="1"/>
  <c r="M6" i="1"/>
  <c r="K7" i="1"/>
  <c r="L7" i="1"/>
  <c r="M7" i="1"/>
  <c r="M2" i="1"/>
  <c r="L2" i="1"/>
  <c r="K2" i="1"/>
  <c r="J6" i="1"/>
  <c r="J5" i="1"/>
  <c r="J4" i="1"/>
  <c r="J3" i="1"/>
  <c r="J2" i="1"/>
  <c r="F6" i="1"/>
  <c r="F3" i="1"/>
  <c r="F4" i="1"/>
  <c r="F5" i="1"/>
  <c r="F2" i="1"/>
  <c r="B3" i="4"/>
  <c r="B2" i="4"/>
  <c r="D2" i="5" l="1"/>
  <c r="C2" i="5"/>
  <c r="F4" i="5"/>
  <c r="E2" i="5"/>
  <c r="D3" i="5"/>
  <c r="E4" i="5"/>
  <c r="D4" i="5"/>
  <c r="F3" i="5"/>
  <c r="C4" i="5"/>
  <c r="C3" i="5"/>
  <c r="B4" i="5"/>
  <c r="F2" i="5"/>
  <c r="E3" i="5"/>
  <c r="N6" i="1"/>
  <c r="B6" i="1" s="1"/>
  <c r="B2" i="5"/>
  <c r="B3" i="5"/>
  <c r="N3" i="1"/>
  <c r="B3" i="1" s="1"/>
  <c r="B4" i="4"/>
  <c r="N4" i="1"/>
  <c r="B4" i="1" s="1"/>
  <c r="N5" i="1"/>
  <c r="B5" i="1" s="1"/>
  <c r="F8" i="1"/>
  <c r="N2" i="1"/>
  <c r="B2" i="1" s="1"/>
  <c r="J8" i="1"/>
  <c r="D4" i="3"/>
  <c r="D3" i="3"/>
  <c r="D2" i="3"/>
  <c r="J9" i="1" l="1"/>
  <c r="B5" i="3"/>
  <c r="D5" i="3" s="1"/>
</calcChain>
</file>

<file path=xl/sharedStrings.xml><?xml version="1.0" encoding="utf-8"?>
<sst xmlns="http://schemas.openxmlformats.org/spreadsheetml/2006/main" count="47" uniqueCount="40">
  <si>
    <t>Number of Vehicles in Household</t>
  </si>
  <si>
    <t>0</t>
  </si>
  <si>
    <t>1</t>
  </si>
  <si>
    <t>2</t>
  </si>
  <si>
    <t>3</t>
  </si>
  <si>
    <t>4+</t>
  </si>
  <si>
    <t>Total</t>
  </si>
  <si>
    <t>ACS</t>
  </si>
  <si>
    <t>percent</t>
  </si>
  <si>
    <t>Persons</t>
  </si>
  <si>
    <t>Households</t>
  </si>
  <si>
    <t>PersonHH</t>
  </si>
  <si>
    <t>DataItem</t>
  </si>
  <si>
    <t>0 Cars</t>
  </si>
  <si>
    <t>1 Car</t>
  </si>
  <si>
    <t>4+ Cars</t>
  </si>
  <si>
    <t>2 Cars</t>
  </si>
  <si>
    <t>3 Cars</t>
  </si>
  <si>
    <t>DP02: Selected Social ... - Census Bureau Table</t>
  </si>
  <si>
    <t>Share</t>
  </si>
  <si>
    <t>Total-own</t>
  </si>
  <si>
    <t>Total-rent</t>
  </si>
  <si>
    <t>Total-own&amp;rent</t>
  </si>
  <si>
    <t>Total hhs</t>
  </si>
  <si>
    <t>B08006: Sex of Workers by Means of ... - Census Bureau Table</t>
  </si>
  <si>
    <t>City</t>
  </si>
  <si>
    <t>Bellevue</t>
  </si>
  <si>
    <t>Kirkland</t>
  </si>
  <si>
    <t>Redmond</t>
  </si>
  <si>
    <t>BKR</t>
  </si>
  <si>
    <t>https://data.census.gov/table/DECENNIALDHC2020.P1?q=Population+Total&amp;g=160XX00US5305210,5335940,5357535</t>
  </si>
  <si>
    <t>Bellevue-own</t>
  </si>
  <si>
    <t>Bellevue-rent</t>
  </si>
  <si>
    <t>Bellevue-own&amp;rent</t>
  </si>
  <si>
    <t>Kirkland-own</t>
  </si>
  <si>
    <t>Kirkland-rent</t>
  </si>
  <si>
    <t>Kirkland-own&amp;rent</t>
  </si>
  <si>
    <t>Redmond-own</t>
  </si>
  <si>
    <t>Redmond-rent</t>
  </si>
  <si>
    <t>Redmond-own&amp;rent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</si>
</sst>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2" fontId="0" fillId="0" borderId="0" xfId="1" applyNumberFormat="1" applyFont="1" applyAlignment="1">
      <alignment horizontal="left"/>
    </xf>
    <xf numFmtId="3" fontId="0" fillId="0" borderId="0" xfId="0" applyNumberFormat="1"/>
    <xf numFmtId="3" fontId="0" fillId="0" borderId="0" xfId="0" applyNumberFormat="1" applyAlignment="1">
      <alignment horizontal="left"/>
    </xf>
    <xf numFmtId="3" fontId="3" fillId="0" borderId="0" xfId="0" applyNumberFormat="1" applyFont="1"/>
    <xf numFmtId="164" fontId="0" fillId="0" borderId="0" xfId="2" applyNumberFormat="1" applyFont="1"/>
    <xf numFmtId="164" fontId="4" fillId="0" borderId="0" xfId="3" applyNumberFormat="1"/>
    <xf numFmtId="0" fontId="4" fillId="0" borderId="0" xfId="3"/>
    <xf numFmtId="164" fontId="0" fillId="0" borderId="0" xfId="0" applyNumberFormat="1"/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census.gov/table/ACSDT5Y2023.B08006?q=B08006&amp;g=160XX00US5305210,5335940,5357535&amp;y=202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.census.gov/table/ACSDP1Y2023.DP02?q=Household+Total&amp;g=160XX00US5305210,5335940,5357535&amp;moe=false" TargetMode="External"/><Relationship Id="rId1" Type="http://schemas.openxmlformats.org/officeDocument/2006/relationships/hyperlink" Target="https://data.census.gov/table/DECENNIALDHC2020.P1?q=Population+Total&amp;g=160XX00US5305210,5335940,53575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2" sqref="A2"/>
    </sheetView>
  </sheetViews>
  <sheetFormatPr defaultRowHeight="15" x14ac:dyDescent="0.25"/>
  <sheetData>
    <row r="1" spans="1:6" x14ac:dyDescent="0.25">
      <c r="A1" t="s">
        <v>25</v>
      </c>
      <c r="B1" t="s">
        <v>13</v>
      </c>
      <c r="C1" t="s">
        <v>14</v>
      </c>
      <c r="D1" t="s">
        <v>16</v>
      </c>
      <c r="E1" t="s">
        <v>17</v>
      </c>
      <c r="F1" t="s">
        <v>15</v>
      </c>
    </row>
    <row r="2" spans="1:6" x14ac:dyDescent="0.25">
      <c r="A2" t="s">
        <v>26</v>
      </c>
      <c r="B2">
        <f>AutosTotal!K$2/SUM(AutosTotal!$K$2:$K$7)</f>
        <v>0.10044855888528345</v>
      </c>
      <c r="C2">
        <f>AutosTotal!K$3/SUM(AutosTotal!$K$2:$K$7)</f>
        <v>0.43171406757014696</v>
      </c>
      <c r="D2">
        <f>AutosTotal!K$4/SUM(AutosTotal!$K$2:$K$7)</f>
        <v>0.33307883183813702</v>
      </c>
      <c r="E2">
        <f>AutosTotal!K$5/SUM(AutosTotal!$K$2:$K$7)</f>
        <v>8.9123242349048795E-2</v>
      </c>
      <c r="F2">
        <f>(AutosTotal!K$6+AutosTotal!K$7)/SUM(AutosTotal!$K$2:$K$7)</f>
        <v>4.5635299357383724E-2</v>
      </c>
    </row>
    <row r="3" spans="1:6" x14ac:dyDescent="0.25">
      <c r="A3" t="s">
        <v>27</v>
      </c>
      <c r="B3">
        <f>AutosTotal!L$2/SUM(AutosTotal!$L$2:$L$7)</f>
        <v>7.0638959215902533E-2</v>
      </c>
      <c r="C3">
        <f>AutosTotal!L$3/SUM(AutosTotal!$L$2:$L$7)</f>
        <v>0.3572305918331537</v>
      </c>
      <c r="D3">
        <f>AutosTotal!L$4/SUM(AutosTotal!$L$2:$L$7)</f>
        <v>0.40315343543980148</v>
      </c>
      <c r="E3">
        <f>AutosTotal!L$5/SUM(AutosTotal!$L$2:$L$7)</f>
        <v>0.1142807008748402</v>
      </c>
      <c r="F3">
        <f>(AutosTotal!L$6+AutosTotal!L$7)/SUM(AutosTotal!$L$2:$L$7)</f>
        <v>5.4696312636302105E-2</v>
      </c>
    </row>
    <row r="4" spans="1:6" x14ac:dyDescent="0.25">
      <c r="A4" t="s">
        <v>28</v>
      </c>
      <c r="B4">
        <f>AutosTotal!M$2/SUM(AutosTotal!$M$2:$M$7)</f>
        <v>8.9983858170775075E-2</v>
      </c>
      <c r="C4">
        <f>AutosTotal!M$3/SUM(AutosTotal!$M$2:$M$7)</f>
        <v>0.51336488741758091</v>
      </c>
      <c r="D4">
        <f>AutosTotal!M$4/SUM(AutosTotal!$M$2:$M$7)</f>
        <v>0.26724303028644908</v>
      </c>
      <c r="E4">
        <f>AutosTotal!M$5/SUM(AutosTotal!$M$2:$M$7)</f>
        <v>0.12237695275095073</v>
      </c>
      <c r="F4">
        <f>(AutosTotal!M$6+AutosTotal!M$7)/SUM(AutosTotal!$M$2:$M$7)</f>
        <v>7.0312713742442063E-3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>
      <selection activeCell="B2" sqref="B2"/>
    </sheetView>
  </sheetViews>
  <sheetFormatPr defaultRowHeight="15" x14ac:dyDescent="0.25"/>
  <cols>
    <col min="1" max="1" width="29.7109375" customWidth="1"/>
    <col min="4" max="4" width="11" bestFit="1" customWidth="1"/>
    <col min="5" max="5" width="11.140625" bestFit="1" customWidth="1"/>
    <col min="6" max="6" width="13.28515625" bestFit="1" customWidth="1"/>
    <col min="7" max="7" width="13.42578125" bestFit="1" customWidth="1"/>
    <col min="8" max="8" width="10.85546875" bestFit="1" customWidth="1"/>
    <col min="9" max="9" width="11" bestFit="1" customWidth="1"/>
    <col min="10" max="10" width="10.5703125" bestFit="1" customWidth="1"/>
    <col min="11" max="11" width="18.85546875" bestFit="1" customWidth="1"/>
    <col min="12" max="13" width="10.5703125" customWidth="1"/>
    <col min="14" max="14" width="15.28515625" bestFit="1" customWidth="1"/>
  </cols>
  <sheetData>
    <row r="1" spans="1:14" x14ac:dyDescent="0.25">
      <c r="A1" s="1" t="s">
        <v>0</v>
      </c>
      <c r="B1" t="s">
        <v>19</v>
      </c>
      <c r="C1" t="s">
        <v>31</v>
      </c>
      <c r="D1" t="s">
        <v>34</v>
      </c>
      <c r="E1" t="s">
        <v>37</v>
      </c>
      <c r="F1" s="6" t="s">
        <v>20</v>
      </c>
      <c r="G1" t="s">
        <v>32</v>
      </c>
      <c r="H1" t="s">
        <v>35</v>
      </c>
      <c r="I1" t="s">
        <v>38</v>
      </c>
      <c r="J1" t="s">
        <v>21</v>
      </c>
      <c r="K1" t="s">
        <v>33</v>
      </c>
      <c r="L1" t="s">
        <v>36</v>
      </c>
      <c r="M1" t="s">
        <v>39</v>
      </c>
      <c r="N1" t="s">
        <v>22</v>
      </c>
    </row>
    <row r="2" spans="1:14" x14ac:dyDescent="0.25">
      <c r="A2" s="1" t="s">
        <v>1</v>
      </c>
      <c r="B2" s="2">
        <f>N2/Totals!$B$3</f>
        <v>8.9166762375100489E-2</v>
      </c>
      <c r="C2">
        <v>1610</v>
      </c>
      <c r="D2">
        <v>378</v>
      </c>
      <c r="E2">
        <v>380</v>
      </c>
      <c r="F2" s="6">
        <f>SUM(C2:E2)</f>
        <v>2368</v>
      </c>
      <c r="G2" s="3">
        <v>4705</v>
      </c>
      <c r="H2" s="3">
        <v>2440</v>
      </c>
      <c r="I2" s="3">
        <v>2909</v>
      </c>
      <c r="J2" s="6">
        <f>SUM(G2:I2)</f>
        <v>10054</v>
      </c>
      <c r="K2" s="6">
        <f>C2+G2</f>
        <v>6315</v>
      </c>
      <c r="L2" s="6">
        <f>D2+H2</f>
        <v>2818</v>
      </c>
      <c r="M2" s="6">
        <f>E2+I2</f>
        <v>3289</v>
      </c>
      <c r="N2" s="9">
        <f>F2+J2</f>
        <v>12422</v>
      </c>
    </row>
    <row r="3" spans="1:14" x14ac:dyDescent="0.25">
      <c r="A3" s="1" t="s">
        <v>2</v>
      </c>
      <c r="B3" s="2">
        <f>N3/Totals!$B$3</f>
        <v>0.43180774089812796</v>
      </c>
      <c r="C3">
        <v>10209</v>
      </c>
      <c r="D3">
        <v>6010</v>
      </c>
      <c r="E3">
        <v>4547</v>
      </c>
      <c r="F3" s="6">
        <f>SUM(C3:E3)</f>
        <v>20766</v>
      </c>
      <c r="G3" s="3">
        <v>16932</v>
      </c>
      <c r="H3" s="3">
        <v>8241</v>
      </c>
      <c r="I3" s="3">
        <v>14217</v>
      </c>
      <c r="J3" s="6">
        <f>SUM(G3:I3)</f>
        <v>39390</v>
      </c>
      <c r="K3" s="6">
        <f>C3+G3</f>
        <v>27141</v>
      </c>
      <c r="L3" s="6">
        <f>D3+H3</f>
        <v>14251</v>
      </c>
      <c r="M3" s="6">
        <f>E3+I3</f>
        <v>18764</v>
      </c>
      <c r="N3" s="9">
        <f>F3+J3</f>
        <v>60156</v>
      </c>
    </row>
    <row r="4" spans="1:14" x14ac:dyDescent="0.25">
      <c r="A4" s="1" t="s">
        <v>3</v>
      </c>
      <c r="B4" s="2">
        <f>N4/Totals!$B$3</f>
        <v>0.33587199954059954</v>
      </c>
      <c r="C4">
        <v>15572</v>
      </c>
      <c r="D4">
        <v>10909</v>
      </c>
      <c r="E4">
        <v>6447</v>
      </c>
      <c r="F4" s="6">
        <f>SUM(C4:E4)</f>
        <v>32928</v>
      </c>
      <c r="G4" s="3">
        <v>5368</v>
      </c>
      <c r="H4" s="3">
        <v>5174</v>
      </c>
      <c r="I4" s="3">
        <v>3321</v>
      </c>
      <c r="J4" s="6">
        <f>SUM(G4:I4)</f>
        <v>13863</v>
      </c>
      <c r="K4" s="6">
        <f>C4+G4</f>
        <v>20940</v>
      </c>
      <c r="L4" s="6">
        <f>D4+H4</f>
        <v>16083</v>
      </c>
      <c r="M4" s="6">
        <f>E4+I4</f>
        <v>9768</v>
      </c>
      <c r="N4" s="9">
        <f>F4+J4</f>
        <v>46791</v>
      </c>
    </row>
    <row r="5" spans="1:14" x14ac:dyDescent="0.25">
      <c r="A5" s="1" t="s">
        <v>4</v>
      </c>
      <c r="B5" s="2">
        <f>N5/Totals!$B$3</f>
        <v>0.10505196967956816</v>
      </c>
      <c r="C5">
        <v>4938</v>
      </c>
      <c r="D5">
        <v>3901</v>
      </c>
      <c r="E5">
        <v>3569</v>
      </c>
      <c r="F5" s="6">
        <f>SUM(C5:E5)</f>
        <v>12408</v>
      </c>
      <c r="G5">
        <v>665</v>
      </c>
      <c r="H5">
        <v>658</v>
      </c>
      <c r="I5">
        <v>904</v>
      </c>
      <c r="J5" s="6">
        <f>SUM(G5:I5)</f>
        <v>2227</v>
      </c>
      <c r="K5" s="6">
        <f>C5+G5</f>
        <v>5603</v>
      </c>
      <c r="L5" s="6">
        <f>D5+H5</f>
        <v>4559</v>
      </c>
      <c r="M5" s="6">
        <f>E5+I5</f>
        <v>4473</v>
      </c>
      <c r="N5" s="9">
        <f>F5+J5</f>
        <v>14635</v>
      </c>
    </row>
    <row r="6" spans="1:14" x14ac:dyDescent="0.25">
      <c r="A6" s="1" t="s">
        <v>5</v>
      </c>
      <c r="B6" s="2">
        <f>N6/Totals!$B$3</f>
        <v>3.810152750660388E-2</v>
      </c>
      <c r="C6">
        <v>1934</v>
      </c>
      <c r="D6">
        <v>1402</v>
      </c>
      <c r="E6">
        <v>164</v>
      </c>
      <c r="F6" s="6">
        <f>SUM(C6:E6)+SUM(C7:E7)</f>
        <v>4108</v>
      </c>
      <c r="G6">
        <v>437</v>
      </c>
      <c r="H6">
        <v>480</v>
      </c>
      <c r="I6">
        <v>0</v>
      </c>
      <c r="J6" s="6">
        <f>SUM(G6:I6)+SUM(G7:I7)</f>
        <v>1200</v>
      </c>
      <c r="K6" s="6">
        <f>C6+G6</f>
        <v>2371</v>
      </c>
      <c r="L6" s="6">
        <f>D6+H6</f>
        <v>1882</v>
      </c>
      <c r="M6" s="6">
        <f>E6+I6</f>
        <v>164</v>
      </c>
      <c r="N6" s="9">
        <f>F6+J6</f>
        <v>5308</v>
      </c>
    </row>
    <row r="7" spans="1:14" x14ac:dyDescent="0.25">
      <c r="C7">
        <v>259</v>
      </c>
      <c r="D7">
        <v>256</v>
      </c>
      <c r="E7">
        <v>93</v>
      </c>
      <c r="F7" s="6"/>
      <c r="G7">
        <v>239</v>
      </c>
      <c r="H7">
        <v>44</v>
      </c>
      <c r="I7">
        <v>0</v>
      </c>
      <c r="K7" s="6">
        <f>C7+G7</f>
        <v>498</v>
      </c>
      <c r="L7" s="6">
        <f>D7+H7</f>
        <v>300</v>
      </c>
      <c r="M7" s="6">
        <f>E7+I7</f>
        <v>93</v>
      </c>
    </row>
    <row r="8" spans="1:14" x14ac:dyDescent="0.25">
      <c r="F8" s="6">
        <f>SUM(F2:F6)</f>
        <v>72578</v>
      </c>
      <c r="J8" s="6">
        <f>SUM(J2:J6)</f>
        <v>66734</v>
      </c>
      <c r="K8" s="6"/>
      <c r="L8" s="6"/>
      <c r="M8" s="6"/>
    </row>
    <row r="9" spans="1:14" x14ac:dyDescent="0.25">
      <c r="J9" s="9">
        <f>SUM(F8,J8)</f>
        <v>139312</v>
      </c>
      <c r="K9" s="9"/>
      <c r="L9" s="9"/>
      <c r="M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A2" sqref="A2"/>
    </sheetView>
  </sheetViews>
  <sheetFormatPr defaultRowHeight="15" x14ac:dyDescent="0.25"/>
  <cols>
    <col min="1" max="1" width="24.7109375" customWidth="1"/>
  </cols>
  <sheetData>
    <row r="1" spans="1:5" x14ac:dyDescent="0.25">
      <c r="A1" t="s">
        <v>25</v>
      </c>
      <c r="B1" t="s">
        <v>7</v>
      </c>
      <c r="C1" t="s">
        <v>23</v>
      </c>
      <c r="D1" t="s">
        <v>8</v>
      </c>
      <c r="E1" s="8" t="s">
        <v>24</v>
      </c>
    </row>
    <row r="2" spans="1:5" x14ac:dyDescent="0.25">
      <c r="A2" t="s">
        <v>26</v>
      </c>
      <c r="B2" s="3">
        <v>10423</v>
      </c>
      <c r="C2" s="4">
        <v>79331</v>
      </c>
      <c r="D2">
        <f t="shared" ref="D2:D4" si="0">B2/C2*100</f>
        <v>13.13862172416836</v>
      </c>
    </row>
    <row r="3" spans="1:5" x14ac:dyDescent="0.25">
      <c r="A3" t="s">
        <v>27</v>
      </c>
      <c r="B3" s="3">
        <v>6119</v>
      </c>
      <c r="C3" s="4">
        <v>49783</v>
      </c>
      <c r="D3">
        <f t="shared" si="0"/>
        <v>12.291344434847238</v>
      </c>
    </row>
    <row r="4" spans="1:5" x14ac:dyDescent="0.25">
      <c r="A4" t="s">
        <v>28</v>
      </c>
      <c r="B4" s="3">
        <v>5595</v>
      </c>
      <c r="C4" s="4">
        <v>41061</v>
      </c>
      <c r="D4">
        <f t="shared" si="0"/>
        <v>13.626068532183824</v>
      </c>
    </row>
    <row r="5" spans="1:5" x14ac:dyDescent="0.25">
      <c r="A5" t="s">
        <v>29</v>
      </c>
      <c r="B5" s="3">
        <f>SUM(B2:B4)</f>
        <v>22137</v>
      </c>
      <c r="C5" s="3">
        <f>SUM(C2:C4)</f>
        <v>170175</v>
      </c>
      <c r="D5">
        <f>B5/C5*100</f>
        <v>13.008373732921994</v>
      </c>
    </row>
  </sheetData>
  <hyperlinks>
    <hyperlink ref="E1" r:id="rId1" display="https://data.census.gov/table/ACSDT5Y2023.B08006?q=B08006&amp;g=160XX00US5305210,5335940,5357535&amp;y=2023" xr:uid="{28658161-3C65-42D4-BD0C-422FF06F420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I10" sqref="I10"/>
    </sheetView>
  </sheetViews>
  <sheetFormatPr defaultRowHeight="15" x14ac:dyDescent="0.25"/>
  <cols>
    <col min="1" max="1" width="13.42578125" customWidth="1"/>
    <col min="6" max="6" width="13.28515625" bestFit="1" customWidth="1"/>
  </cols>
  <sheetData>
    <row r="1" spans="1:6" x14ac:dyDescent="0.25">
      <c r="A1" t="s">
        <v>12</v>
      </c>
      <c r="B1" t="s">
        <v>6</v>
      </c>
      <c r="C1" t="s">
        <v>26</v>
      </c>
      <c r="D1" t="s">
        <v>27</v>
      </c>
      <c r="E1" t="s">
        <v>28</v>
      </c>
    </row>
    <row r="2" spans="1:6" x14ac:dyDescent="0.25">
      <c r="A2" t="s">
        <v>9</v>
      </c>
      <c r="B2" s="5">
        <f>SUM(C2:E2)</f>
        <v>317285</v>
      </c>
      <c r="C2">
        <v>151854</v>
      </c>
      <c r="D2">
        <v>92175</v>
      </c>
      <c r="E2">
        <v>73256</v>
      </c>
      <c r="F2" s="7" t="s">
        <v>30</v>
      </c>
    </row>
    <row r="3" spans="1:6" x14ac:dyDescent="0.25">
      <c r="A3" t="s">
        <v>10</v>
      </c>
      <c r="B3" s="5">
        <f>SUM(C3:E3)</f>
        <v>139312</v>
      </c>
      <c r="C3" s="4">
        <v>62868</v>
      </c>
      <c r="D3" s="4">
        <v>39893</v>
      </c>
      <c r="E3" s="4">
        <v>36551</v>
      </c>
      <c r="F3" s="8" t="s">
        <v>18</v>
      </c>
    </row>
    <row r="4" spans="1:6" x14ac:dyDescent="0.25">
      <c r="A4" t="s">
        <v>11</v>
      </c>
      <c r="B4">
        <f>B2/B3</f>
        <v>2.2775137820144713</v>
      </c>
    </row>
  </sheetData>
  <hyperlinks>
    <hyperlink ref="F2" r:id="rId1" xr:uid="{1778B87A-607C-4CB7-9C70-049BB5C53EF5}"/>
    <hyperlink ref="F3" r:id="rId2" display="https://data.census.gov/table/ACSDP1Y2023.DP02?q=Household+Total&amp;g=160XX00US5305210,5335940,5357535&amp;moe=false" xr:uid="{CCE3AB71-B0E6-4F2F-8322-BBCE2AB55A32}"/>
  </hyperlinks>
  <pageMargins left="0.7" right="0.7" top="0.75" bottom="0.75" header="0.3" footer="0.3"/>
  <pageSetup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AutosCounty</vt:lpstr>
      <vt:lpstr>AutosTotal</vt:lpstr>
      <vt:lpstr>WorkAtHome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2025-07-12T21:55:38Z</dcterms:modified>
</cp:coreProperties>
</file>