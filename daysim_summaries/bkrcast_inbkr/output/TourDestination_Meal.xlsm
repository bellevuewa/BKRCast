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G12"/>
  <c i="7" l="1" r="I15"/>
  <c i="7" r="J15" s="1"/>
  <c i="7" r="I13"/>
  <c i="7" r="J13" s="1"/>
  <c i="7" r="I12"/>
  <c i="7" r="J12" s="1"/>
  <c i="7" r="I14"/>
  <c i="7" r="J14" s="1"/>
  <c i="1" r="H15"/>
  <c i="1" r="J13"/>
  <c i="7" l="1" r="K13"/>
  <c i="7" r="D34" s="1"/>
  <c i="7" r="D44" s="1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<sst xmlns="http://schemas.openxmlformats.org/spreadsheetml/2006/main" count="722" uniqueCount="290">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</sst>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9.5829278882466853E-2</c:v>
                </c:pt>
                <c:pt idx="1">
                  <c:v>7.2731974001899263E-2</c:v>
                </c:pt>
                <c:pt idx="2">
                  <c:v>0.18345123838950952</c:v>
                </c:pt>
                <c:pt idx="3">
                  <c:v>0.19974997269840489</c:v>
                </c:pt>
                <c:pt idx="4">
                  <c:v>5.616230049015436E-2</c:v>
                </c:pt>
                <c:pt idx="5">
                  <c:v>0.11871274289387122</c:v>
                </c:pt>
                <c:pt idx="6">
                  <c:v>3.0249096915215511E-2</c:v>
                </c:pt>
                <c:pt idx="7">
                  <c:v>1.7283877579927987E-2</c:v>
                </c:pt>
                <c:pt idx="8">
                  <c:v>0</c:v>
                </c:pt>
                <c:pt idx="9">
                  <c:v>6.5522301435394503E-2</c:v>
                </c:pt>
                <c:pt idx="10">
                  <c:v>1.019861811444516E-2</c:v>
                </c:pt>
                <c:pt idx="11">
                  <c:v>0</c:v>
                </c:pt>
                <c:pt idx="12">
                  <c:v>1.3988952154448868E-2</c:v>
                </c:pt>
                <c:pt idx="13">
                  <c:v>0</c:v>
                </c:pt>
                <c:pt idx="14">
                  <c:v>2.7761800690413094E-2</c:v>
                </c:pt>
                <c:pt idx="15">
                  <c:v>0</c:v>
                </c:pt>
                <c:pt idx="16">
                  <c:v>4.9900841773425485E-2</c:v>
                </c:pt>
                <c:pt idx="17">
                  <c:v>2.391357379834173E-2</c:v>
                </c:pt>
                <c:pt idx="18">
                  <c:v>0</c:v>
                </c:pt>
                <c:pt idx="19">
                  <c:v>3.2178963948009055E-3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3.1325533787280327E-2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0.17742452863812952</c:v>
                </c:pt>
                <c:pt idx="1">
                  <c:v>0.1402858466692804</c:v>
                </c:pt>
                <c:pt idx="2">
                  <c:v>0.11455251808817764</c:v>
                </c:pt>
                <c:pt idx="3">
                  <c:v>8.7250953416259755E-2</c:v>
                </c:pt>
                <c:pt idx="4">
                  <c:v>7.7093060555298146E-2</c:v>
                </c:pt>
                <c:pt idx="5">
                  <c:v>7.0677549274690804E-2</c:v>
                </c:pt>
                <c:pt idx="6">
                  <c:v>5.4995188366539542E-2</c:v>
                </c:pt>
                <c:pt idx="7">
                  <c:v>3.8279217307623764E-2</c:v>
                </c:pt>
                <c:pt idx="8">
                  <c:v>3.2433973696403752E-2</c:v>
                </c:pt>
                <c:pt idx="9">
                  <c:v>2.0315785721923229E-2</c:v>
                </c:pt>
                <c:pt idx="10">
                  <c:v>1.8997041736465055E-2</c:v>
                </c:pt>
                <c:pt idx="11">
                  <c:v>1.7214955269629684E-2</c:v>
                </c:pt>
                <c:pt idx="12">
                  <c:v>1.8284207149730905E-2</c:v>
                </c:pt>
                <c:pt idx="13">
                  <c:v>2.0173218804576398E-2</c:v>
                </c:pt>
                <c:pt idx="14">
                  <c:v>1.9816801511209323E-2</c:v>
                </c:pt>
                <c:pt idx="15">
                  <c:v>1.7179313540292975E-2</c:v>
                </c:pt>
                <c:pt idx="16">
                  <c:v>1.2831022561214669E-2</c:v>
                </c:pt>
                <c:pt idx="17">
                  <c:v>1.1405353387746373E-2</c:v>
                </c:pt>
                <c:pt idx="18">
                  <c:v>8.5896567701464876E-3</c:v>
                </c:pt>
                <c:pt idx="19">
                  <c:v>7.6629718073920943E-3</c:v>
                </c:pt>
                <c:pt idx="20">
                  <c:v>6.7719285739744096E-3</c:v>
                </c:pt>
                <c:pt idx="21">
                  <c:v>6.9144954913212386E-3</c:v>
                </c:pt>
                <c:pt idx="22">
                  <c:v>4.6690665431086712E-3</c:v>
                </c:pt>
                <c:pt idx="23">
                  <c:v>3.7423815803542789E-3</c:v>
                </c:pt>
                <c:pt idx="24">
                  <c:v>2.637487970916349E-3</c:v>
                </c:pt>
                <c:pt idx="25">
                  <c:v>2.2810706775492746E-3</c:v>
                </c:pt>
                <c:pt idx="26">
                  <c:v>1.4969526321417116E-3</c:v>
                </c:pt>
                <c:pt idx="27">
                  <c:v>2.1385037602024452E-3</c:v>
                </c:pt>
                <c:pt idx="28">
                  <c:v>1.0336101507645151E-3</c:v>
                </c:pt>
                <c:pt idx="29">
                  <c:v>1.0336101507645151E-3</c:v>
                </c:pt>
                <c:pt idx="30">
                  <c:v>3.9205902270378161E-4</c:v>
                </c:pt>
                <c:pt idx="31">
                  <c:v>2.8513383469365932E-4</c:v>
                </c:pt>
                <c:pt idx="32">
                  <c:v>1.7820864668353708E-4</c:v>
                </c:pt>
                <c:pt idx="33">
                  <c:v>2.4949210535695193E-4</c:v>
                </c:pt>
                <c:pt idx="34">
                  <c:v>7.128345867341483E-5</c:v>
                </c:pt>
                <c:pt idx="35">
                  <c:v>1.0692518801012225E-4</c:v>
                </c:pt>
                <c:pt idx="36">
                  <c:v>1.0692518801012225E-4</c:v>
                </c:pt>
                <c:pt idx="37">
                  <c:v>3.5641729336707415E-5</c:v>
                </c:pt>
                <c:pt idx="38">
                  <c:v>1.4256691734682966E-4</c:v>
                </c:pt>
                <c:pt idx="39">
                  <c:v>3.5641729336707415E-5</c:v>
                </c:pt>
                <c:pt idx="40">
                  <c:v>7.128345867341483E-5</c:v>
                </c:pt>
                <c:pt idx="41">
                  <c:v>7.128345867341483E-5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3.5641729336707415E-5</c:v>
                </c:pt>
                <c:pt idx="46">
                  <c:v>0</c:v>
                </c:pt>
                <c:pt idx="47">
                  <c:v>3.5641729336707415E-5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23216"/>
        <c:axId val="338523608"/>
      </c:lineChart>
      <c:catAx>
        <c:axId val="33852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8523608"/>
        <c:crosses val="autoZero"/>
        <c:auto val="1"/>
        <c:lblAlgn val="ctr"/>
        <c:lblOffset val="100"/>
        <c:tickLblSkip val="10"/>
        <c:noMultiLvlLbl val="0"/>
      </c:catAx>
      <c:valAx>
        <c:axId val="338523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85232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4.9670303646929585E-2</c:v>
                </c:pt>
                <c:pt idx="4">
                  <c:v>4.1636636484092555E-2</c:v>
                </c:pt>
                <c:pt idx="5">
                  <c:v>8.9479327211399645E-2</c:v>
                </c:pt>
                <c:pt idx="6">
                  <c:v>4.9140549760879469E-2</c:v>
                </c:pt>
                <c:pt idx="7">
                  <c:v>0.18139283537399756</c:v>
                </c:pt>
                <c:pt idx="8">
                  <c:v>8.9632218681202844E-2</c:v>
                </c:pt>
                <c:pt idx="9">
                  <c:v>2.7433851741466651E-2</c:v>
                </c:pt>
                <c:pt idx="10">
                  <c:v>9.8500857127168578E-2</c:v>
                </c:pt>
                <c:pt idx="11">
                  <c:v>3.9211365678889581E-2</c:v>
                </c:pt>
                <c:pt idx="12">
                  <c:v>1.5223137779878659E-2</c:v>
                </c:pt>
                <c:pt idx="13">
                  <c:v>0</c:v>
                </c:pt>
                <c:pt idx="14">
                  <c:v>1.2846682812447897E-2</c:v>
                </c:pt>
                <c:pt idx="15">
                  <c:v>4.1190049884908063E-2</c:v>
                </c:pt>
                <c:pt idx="16">
                  <c:v>2.152878808826067E-2</c:v>
                </c:pt>
                <c:pt idx="17">
                  <c:v>0</c:v>
                </c:pt>
                <c:pt idx="18">
                  <c:v>6.5522301435394517E-2</c:v>
                </c:pt>
                <c:pt idx="19">
                  <c:v>0</c:v>
                </c:pt>
                <c:pt idx="20">
                  <c:v>4.1594960991685132E-3</c:v>
                </c:pt>
                <c:pt idx="21">
                  <c:v>1.7283877579927987E-2</c:v>
                </c:pt>
                <c:pt idx="22">
                  <c:v>0</c:v>
                </c:pt>
                <c:pt idx="23">
                  <c:v>0</c:v>
                </c:pt>
                <c:pt idx="24">
                  <c:v>2.1650900934659677E-2</c:v>
                </c:pt>
                <c:pt idx="25">
                  <c:v>0</c:v>
                </c:pt>
                <c:pt idx="26">
                  <c:v>2.3913573798341733E-2</c:v>
                </c:pt>
                <c:pt idx="27">
                  <c:v>0</c:v>
                </c:pt>
                <c:pt idx="28">
                  <c:v>1.3047352450081262E-2</c:v>
                </c:pt>
                <c:pt idx="29">
                  <c:v>1.2186198538897014E-2</c:v>
                </c:pt>
                <c:pt idx="30">
                  <c:v>0</c:v>
                </c:pt>
                <c:pt idx="31">
                  <c:v>9.0821846436610378E-3</c:v>
                </c:pt>
                <c:pt idx="32">
                  <c:v>0</c:v>
                </c:pt>
                <c:pt idx="33">
                  <c:v>2.7761800690413098E-2</c:v>
                </c:pt>
                <c:pt idx="34">
                  <c:v>5.6267887767480797E-3</c:v>
                </c:pt>
                <c:pt idx="35">
                  <c:v>0</c:v>
                </c:pt>
                <c:pt idx="36">
                  <c:v>1.7180175770652922E-2</c:v>
                </c:pt>
                <c:pt idx="37">
                  <c:v>0</c:v>
                </c:pt>
                <c:pt idx="38">
                  <c:v>0</c:v>
                </c:pt>
                <c:pt idx="39">
                  <c:v>2.5698745010532251E-2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1.3009231207898207E-2</c:v>
                </c:pt>
                <c:pt idx="1">
                  <c:v>2.523434437038885E-2</c:v>
                </c:pt>
                <c:pt idx="2">
                  <c:v>3.3004241365791068E-2</c:v>
                </c:pt>
                <c:pt idx="3">
                  <c:v>5.0005346259400507E-2</c:v>
                </c:pt>
                <c:pt idx="4">
                  <c:v>7.0606265816017394E-2</c:v>
                </c:pt>
                <c:pt idx="5">
                  <c:v>7.463378123106533E-2</c:v>
                </c:pt>
                <c:pt idx="6">
                  <c:v>7.5025840253769113E-2</c:v>
                </c:pt>
                <c:pt idx="7">
                  <c:v>7.15685925081085E-2</c:v>
                </c:pt>
                <c:pt idx="8">
                  <c:v>5.8951420322914068E-2</c:v>
                </c:pt>
                <c:pt idx="9">
                  <c:v>4.9399436860676479E-2</c:v>
                </c:pt>
                <c:pt idx="10">
                  <c:v>4.3304701144099511E-2</c:v>
                </c:pt>
                <c:pt idx="11">
                  <c:v>4.3375984602772928E-2</c:v>
                </c:pt>
                <c:pt idx="12">
                  <c:v>4.2484941369355239E-2</c:v>
                </c:pt>
                <c:pt idx="13">
                  <c:v>3.656841429946181E-2</c:v>
                </c:pt>
                <c:pt idx="14">
                  <c:v>2.926185978543679E-2</c:v>
                </c:pt>
                <c:pt idx="15">
                  <c:v>2.3380974444880066E-2</c:v>
                </c:pt>
                <c:pt idx="16">
                  <c:v>2.177709662472823E-2</c:v>
                </c:pt>
                <c:pt idx="17">
                  <c:v>1.7036746622946145E-2</c:v>
                </c:pt>
                <c:pt idx="18">
                  <c:v>1.5931853013508215E-2</c:v>
                </c:pt>
                <c:pt idx="19">
                  <c:v>1.4149766546672845E-2</c:v>
                </c:pt>
                <c:pt idx="20">
                  <c:v>1.1476636846419789E-2</c:v>
                </c:pt>
                <c:pt idx="21">
                  <c:v>1.1262786470399544E-2</c:v>
                </c:pt>
                <c:pt idx="22">
                  <c:v>1.0835085718359054E-2</c:v>
                </c:pt>
                <c:pt idx="23">
                  <c:v>1.0371743236981859E-2</c:v>
                </c:pt>
                <c:pt idx="24">
                  <c:v>1.0514310154328688E-2</c:v>
                </c:pt>
                <c:pt idx="25">
                  <c:v>9.979684214278077E-3</c:v>
                </c:pt>
                <c:pt idx="26">
                  <c:v>8.9817157928502693E-3</c:v>
                </c:pt>
                <c:pt idx="27">
                  <c:v>7.9837473714224616E-3</c:v>
                </c:pt>
                <c:pt idx="28">
                  <c:v>8.1619560181059991E-3</c:v>
                </c:pt>
                <c:pt idx="29">
                  <c:v>9.6589086502477106E-3</c:v>
                </c:pt>
                <c:pt idx="30">
                  <c:v>7.8055387247389241E-3</c:v>
                </c:pt>
                <c:pt idx="31">
                  <c:v>6.5580781979541645E-3</c:v>
                </c:pt>
                <c:pt idx="32">
                  <c:v>9.4450582742274664E-3</c:v>
                </c:pt>
                <c:pt idx="33">
                  <c:v>8.1619560181059991E-3</c:v>
                </c:pt>
                <c:pt idx="34">
                  <c:v>7.0214206793313616E-3</c:v>
                </c:pt>
                <c:pt idx="35">
                  <c:v>7.1283458673414837E-3</c:v>
                </c:pt>
                <c:pt idx="36">
                  <c:v>5.8808853405567241E-3</c:v>
                </c:pt>
                <c:pt idx="37">
                  <c:v>5.8808853405567241E-3</c:v>
                </c:pt>
                <c:pt idx="38">
                  <c:v>5.5601097765263568E-3</c:v>
                </c:pt>
                <c:pt idx="39">
                  <c:v>4.0987988737213529E-3</c:v>
                </c:pt>
                <c:pt idx="40">
                  <c:v>2.8513383469365933E-3</c:v>
                </c:pt>
                <c:pt idx="41">
                  <c:v>2.3523541362226895E-3</c:v>
                </c:pt>
                <c:pt idx="42">
                  <c:v>3.243397369640375E-3</c:v>
                </c:pt>
                <c:pt idx="43">
                  <c:v>2.6731297002530563E-3</c:v>
                </c:pt>
                <c:pt idx="44">
                  <c:v>2.7444131589264712E-3</c:v>
                </c:pt>
                <c:pt idx="45">
                  <c:v>1.7464447374986635E-3</c:v>
                </c:pt>
                <c:pt idx="46">
                  <c:v>1.3900274441315892E-3</c:v>
                </c:pt>
                <c:pt idx="47">
                  <c:v>1.0336101507645151E-3</c:v>
                </c:pt>
                <c:pt idx="48">
                  <c:v>1.1761770681113447E-3</c:v>
                </c:pt>
                <c:pt idx="49">
                  <c:v>8.9104323341768546E-4</c:v>
                </c:pt>
                <c:pt idx="50">
                  <c:v>4.9898421071390385E-4</c:v>
                </c:pt>
                <c:pt idx="51">
                  <c:v>7.1283458673414833E-4</c:v>
                </c:pt>
                <c:pt idx="52">
                  <c:v>5.7026766938731864E-4</c:v>
                </c:pt>
                <c:pt idx="53">
                  <c:v>7.8411804540756322E-4</c:v>
                </c:pt>
                <c:pt idx="54">
                  <c:v>3.5641729336707416E-4</c:v>
                </c:pt>
                <c:pt idx="55">
                  <c:v>3.5641729336707416E-4</c:v>
                </c:pt>
                <c:pt idx="56">
                  <c:v>2.8513383469365932E-4</c:v>
                </c:pt>
                <c:pt idx="57">
                  <c:v>2.4949210535695193E-4</c:v>
                </c:pt>
                <c:pt idx="58">
                  <c:v>1.4256691734682966E-4</c:v>
                </c:pt>
                <c:pt idx="59">
                  <c:v>1.0692518801012225E-4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22432"/>
        <c:axId val="338524392"/>
      </c:lineChart>
      <c:catAx>
        <c:axId val="338522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8524392"/>
        <c:crosses val="autoZero"/>
        <c:auto val="1"/>
        <c:lblAlgn val="ctr"/>
        <c:lblOffset val="100"/>
        <c:tickLblSkip val="10"/>
        <c:noMultiLvlLbl val="0"/>
      </c:catAx>
      <c:valAx>
        <c:axId val="33852439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852243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O10" sqref="O10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2746.605257757</v>
      </c>
      <c r="C11" s="10">
        <f>B11/B$102</f>
        <v>9.5829278882466853E-2</v>
      </c>
      <c r="E11" s="18">
        <v>0</v>
      </c>
      <c r="F11" s="248" t="n">
        <v>5024.0</v>
      </c>
      <c r="G11" s="10">
        <f>F11/F$102</f>
        <v>0.17742452863812952</v>
      </c>
      <c r="K11" s="8" t="n">
        <v>5.425695604781631</v>
      </c>
      <c r="L11" s="8" t="n">
        <v>5.802980797837685</v>
      </c>
    </row>
    <row r="12" spans="1:12" x14ac:dyDescent="0.25">
      <c r="A12">
        <v>1</v>
      </c>
      <c r="B12" s="246" t="n">
        <v>2084.603208229</v>
      </c>
      <c r="C12" s="10">
        <f>B12/B$102</f>
        <v>7.2731974001899263E-2</v>
      </c>
      <c r="E12" s="19">
        <v>1</v>
      </c>
      <c r="F12" s="248" t="n">
        <v>3766.0</v>
      </c>
      <c r="G12" s="10">
        <f>F12/F$102</f>
        <v>0.1402858466692804</v>
      </c>
      <c r="K12" s="8"/>
      <c r="L12" s="198"/>
    </row>
    <row r="13" spans="1:12" x14ac:dyDescent="0.25">
      <c r="A13">
        <v>2</v>
      </c>
      <c r="B13" s="246" t="n">
        <v>5257.97691247</v>
      </c>
      <c r="C13" s="10">
        <f ref="C13:C76" si="0" t="shared">B13/B$102</f>
        <v>0.18345123838950952</v>
      </c>
      <c r="E13" s="20">
        <v>2</v>
      </c>
      <c r="F13" s="248" t="n">
        <v>3264.0</v>
      </c>
      <c r="G13" s="10">
        <f ref="G13:G76" si="1" t="shared">F13/F$102</f>
        <v>0.11455251808817764</v>
      </c>
    </row>
    <row r="14" spans="1:12" x14ac:dyDescent="0.25">
      <c r="A14">
        <v>3</v>
      </c>
      <c r="B14" s="246" t="n">
        <v>5725.122130191</v>
      </c>
      <c r="C14" s="10">
        <f si="0" t="shared"/>
        <v>0.19974997269840489</v>
      </c>
      <c r="E14" s="21">
        <v>3</v>
      </c>
      <c r="F14" s="248" t="n">
        <v>2484.0</v>
      </c>
      <c r="G14" s="10">
        <f si="1" t="shared"/>
        <v>8.7250953416259755E-2</v>
      </c>
    </row>
    <row r="15" spans="1:12" x14ac:dyDescent="0.25">
      <c r="A15">
        <v>4</v>
      </c>
      <c r="B15" s="246" t="n">
        <v>1609.692482432</v>
      </c>
      <c r="C15" s="10">
        <f si="0" t="shared"/>
        <v>5.616230049015436E-2</v>
      </c>
      <c r="E15" s="22">
        <v>4</v>
      </c>
      <c r="F15" s="248" t="n">
        <v>2113.0</v>
      </c>
      <c r="G15" s="10">
        <f si="1" t="shared"/>
        <v>7.7093060555298146E-2</v>
      </c>
    </row>
    <row r="16" spans="1:12" x14ac:dyDescent="0.25">
      <c r="A16">
        <v>5</v>
      </c>
      <c r="B16" s="246" t="n">
        <v>3402.478319752</v>
      </c>
      <c r="C16" s="10">
        <f si="0" t="shared"/>
        <v>0.11871274289387122</v>
      </c>
      <c r="E16" s="23">
        <v>5</v>
      </c>
      <c r="F16" s="248" t="n">
        <v>1956.0</v>
      </c>
      <c r="G16" s="10">
        <f si="1" t="shared"/>
        <v>7.0677549274690804E-2</v>
      </c>
    </row>
    <row r="17" spans="1:7" x14ac:dyDescent="0.25">
      <c r="A17">
        <v>6</v>
      </c>
      <c r="B17" s="246" t="n">
        <v>866.982717585</v>
      </c>
      <c r="C17" s="10">
        <f si="0" t="shared"/>
        <v>3.0249096915215511E-2</v>
      </c>
      <c r="E17" s="24">
        <v>6</v>
      </c>
      <c r="F17" s="248" t="n">
        <v>1391.0</v>
      </c>
      <c r="G17" s="10">
        <f si="1" t="shared"/>
        <v>5.4995188366539542E-2</v>
      </c>
    </row>
    <row r="18" spans="1:7" x14ac:dyDescent="0.25">
      <c r="A18">
        <v>7</v>
      </c>
      <c r="B18" s="246" t="n">
        <v>495.38084382</v>
      </c>
      <c r="C18" s="10">
        <f si="0" t="shared"/>
        <v>1.7283877579927987E-2</v>
      </c>
      <c r="E18" s="25">
        <v>7</v>
      </c>
      <c r="F18" s="248" t="n">
        <v>1121.0</v>
      </c>
      <c r="G18" s="10">
        <f si="1" t="shared"/>
        <v>3.8279217307623764E-2</v>
      </c>
    </row>
    <row r="19" spans="1:7" x14ac:dyDescent="0.25">
      <c r="A19">
        <v>8</v>
      </c>
      <c r="B19" s="246" t="n">
        <v>0.0</v>
      </c>
      <c r="C19" s="10">
        <f si="0" t="shared"/>
        <v>0</v>
      </c>
      <c r="E19" s="26">
        <v>8</v>
      </c>
      <c r="F19" s="248" t="n">
        <v>912.0</v>
      </c>
      <c r="G19" s="10">
        <f si="1" t="shared"/>
        <v>3.2433973696403752E-2</v>
      </c>
    </row>
    <row r="20" spans="1:7" x14ac:dyDescent="0.25">
      <c r="A20">
        <v>9</v>
      </c>
      <c r="B20" s="246" t="n">
        <v>1877.963600702</v>
      </c>
      <c r="C20" s="10">
        <f si="0" t="shared"/>
        <v>6.5522301435394503E-2</v>
      </c>
      <c r="E20" s="27">
        <v>9</v>
      </c>
      <c r="F20" s="248" t="n">
        <v>593.0</v>
      </c>
      <c r="G20" s="10">
        <f si="1" t="shared"/>
        <v>2.0315785721923229E-2</v>
      </c>
    </row>
    <row r="21" spans="1:7" x14ac:dyDescent="0.25">
      <c r="A21">
        <v>10</v>
      </c>
      <c r="B21" s="246" t="n">
        <v>292.307095093</v>
      </c>
      <c r="C21" s="10">
        <f si="0" t="shared"/>
        <v>1.019861811444516E-2</v>
      </c>
      <c r="E21" s="28">
        <v>10</v>
      </c>
      <c r="F21" s="248" t="n">
        <v>574.0</v>
      </c>
      <c r="G21" s="10">
        <f si="1" t="shared"/>
        <v>1.8997041736465055E-2</v>
      </c>
    </row>
    <row r="22" spans="1:7" x14ac:dyDescent="0.25">
      <c r="A22">
        <v>11</v>
      </c>
      <c r="B22" s="246" t="n">
        <v>0.0</v>
      </c>
      <c r="C22" s="10">
        <f si="0" t="shared"/>
        <v>0</v>
      </c>
      <c r="E22" s="29">
        <v>11</v>
      </c>
      <c r="F22" s="248" t="n">
        <v>471.0</v>
      </c>
      <c r="G22" s="10">
        <f si="1" t="shared"/>
        <v>1.7214955269629684E-2</v>
      </c>
    </row>
    <row r="23" spans="1:7" x14ac:dyDescent="0.25">
      <c r="A23">
        <v>12</v>
      </c>
      <c r="B23" s="246" t="n">
        <v>400.943531935</v>
      </c>
      <c r="C23" s="10">
        <f si="0" t="shared"/>
        <v>1.3988952154448868E-2</v>
      </c>
      <c r="E23" s="30">
        <v>12</v>
      </c>
      <c r="F23" s="248" t="n">
        <v>551.0</v>
      </c>
      <c r="G23" s="10">
        <f si="1" t="shared"/>
        <v>1.8284207149730905E-2</v>
      </c>
    </row>
    <row r="24" spans="1:7" x14ac:dyDescent="0.25">
      <c r="A24">
        <v>13</v>
      </c>
      <c r="B24" s="246" t="n">
        <v>0.0</v>
      </c>
      <c r="C24" s="10">
        <f si="0" t="shared"/>
        <v>0</v>
      </c>
      <c r="E24" s="31">
        <v>13</v>
      </c>
      <c r="F24" s="248" t="n">
        <v>493.0</v>
      </c>
      <c r="G24" s="10">
        <f si="1" t="shared"/>
        <v>2.0173218804576398E-2</v>
      </c>
    </row>
    <row r="25" spans="1:7" x14ac:dyDescent="0.25">
      <c r="A25">
        <v>14</v>
      </c>
      <c r="B25" s="246" t="n">
        <v>795.69322268</v>
      </c>
      <c r="C25" s="10">
        <f si="0" t="shared"/>
        <v>2.7761800690413094E-2</v>
      </c>
      <c r="E25" s="32">
        <v>14</v>
      </c>
      <c r="F25" s="248" t="n">
        <v>560.0</v>
      </c>
      <c r="G25" s="10">
        <f si="1" t="shared"/>
        <v>1.9816801511209323E-2</v>
      </c>
    </row>
    <row r="26" spans="1:7" x14ac:dyDescent="0.25">
      <c r="A26">
        <v>15</v>
      </c>
      <c r="B26" s="246" t="n">
        <v>0.0</v>
      </c>
      <c r="C26" s="10">
        <f si="0" t="shared"/>
        <v>0</v>
      </c>
      <c r="E26" s="33">
        <v>15</v>
      </c>
      <c r="F26" s="248" t="n">
        <v>493.0</v>
      </c>
      <c r="G26" s="10">
        <f si="1" t="shared"/>
        <v>1.7179313540292975E-2</v>
      </c>
    </row>
    <row r="27" spans="1:7" x14ac:dyDescent="0.25">
      <c r="A27">
        <v>16</v>
      </c>
      <c r="B27" s="246" t="n">
        <v>1430.230050562</v>
      </c>
      <c r="C27" s="10">
        <f si="0" t="shared"/>
        <v>4.9900841773425485E-2</v>
      </c>
      <c r="E27" s="34">
        <v>16</v>
      </c>
      <c r="F27" s="248" t="n">
        <v>374.0</v>
      </c>
      <c r="G27" s="10">
        <f si="1" t="shared"/>
        <v>1.2831022561214669E-2</v>
      </c>
    </row>
    <row r="28" spans="1:7" x14ac:dyDescent="0.25">
      <c r="A28">
        <v>17</v>
      </c>
      <c r="B28" s="246" t="n">
        <v>685.397493253</v>
      </c>
      <c r="C28" s="10">
        <f si="0" t="shared"/>
        <v>2.391357379834173E-2</v>
      </c>
      <c r="E28" s="35">
        <v>17</v>
      </c>
      <c r="F28" s="248" t="n">
        <v>344.0</v>
      </c>
      <c r="G28" s="10">
        <f si="1" t="shared"/>
        <v>1.1405353387746373E-2</v>
      </c>
    </row>
    <row r="29" spans="1:7" x14ac:dyDescent="0.25">
      <c r="A29">
        <v>18</v>
      </c>
      <c r="B29" s="246" t="n">
        <v>0.0</v>
      </c>
      <c r="C29" s="10">
        <f si="0" t="shared"/>
        <v>0</v>
      </c>
      <c r="E29" s="36">
        <v>18</v>
      </c>
      <c r="F29" s="248" t="n">
        <v>276.0</v>
      </c>
      <c r="G29" s="10">
        <f si="1" t="shared"/>
        <v>8.5896567701464876E-3</v>
      </c>
    </row>
    <row r="30" spans="1:7" x14ac:dyDescent="0.25">
      <c r="A30">
        <v>19</v>
      </c>
      <c r="B30" s="246" t="n">
        <v>92.2295488388</v>
      </c>
      <c r="C30" s="10">
        <f si="0" t="shared"/>
        <v>3.2178963948009055E-3</v>
      </c>
      <c r="E30" s="37">
        <v>19</v>
      </c>
      <c r="F30" s="248" t="n">
        <v>182.0</v>
      </c>
      <c r="G30" s="10">
        <f si="1" t="shared"/>
        <v>7.6629718073920943E-3</v>
      </c>
    </row>
    <row r="31" spans="1:7" x14ac:dyDescent="0.25">
      <c r="A31">
        <v>20</v>
      </c>
      <c r="B31" s="246" t="n">
        <v>0.0</v>
      </c>
      <c r="C31" s="10">
        <f si="0" t="shared"/>
        <v>0</v>
      </c>
      <c r="E31" s="38">
        <v>20</v>
      </c>
      <c r="F31" s="248" t="n">
        <v>170.0</v>
      </c>
      <c r="G31" s="10">
        <f si="1" t="shared"/>
        <v>6.7719285739744096E-3</v>
      </c>
    </row>
    <row r="32" spans="1:7" x14ac:dyDescent="0.25">
      <c r="A32">
        <v>21</v>
      </c>
      <c r="B32" s="246" t="n">
        <v>0.0</v>
      </c>
      <c r="C32" s="10">
        <f si="0" t="shared"/>
        <v>0</v>
      </c>
      <c r="E32" s="39">
        <v>21</v>
      </c>
      <c r="F32" s="248" t="n">
        <v>185.0</v>
      </c>
      <c r="G32" s="10">
        <f si="1" t="shared"/>
        <v>6.9144954913212386E-3</v>
      </c>
    </row>
    <row r="33" spans="1:7" x14ac:dyDescent="0.25">
      <c r="A33">
        <v>22</v>
      </c>
      <c r="B33" s="246" t="n">
        <v>0.0</v>
      </c>
      <c r="C33" s="10">
        <f si="0" t="shared"/>
        <v>0</v>
      </c>
      <c r="E33" s="40">
        <v>22</v>
      </c>
      <c r="F33" s="248" t="n">
        <v>151.0</v>
      </c>
      <c r="G33" s="10">
        <f si="1" t="shared"/>
        <v>4.6690665431086712E-3</v>
      </c>
    </row>
    <row r="34" spans="1:7" x14ac:dyDescent="0.25">
      <c r="A34">
        <v>23</v>
      </c>
      <c r="B34" s="246" t="n">
        <v>0.0</v>
      </c>
      <c r="C34" s="10">
        <f si="0" t="shared"/>
        <v>0</v>
      </c>
      <c r="E34" s="41">
        <v>23</v>
      </c>
      <c r="F34" s="248" t="n">
        <v>105.0</v>
      </c>
      <c r="G34" s="10">
        <f si="1" t="shared"/>
        <v>3.7423815803542789E-3</v>
      </c>
    </row>
    <row r="35" spans="1:7" x14ac:dyDescent="0.25">
      <c r="A35">
        <v>24</v>
      </c>
      <c r="B35" s="246" t="n">
        <v>897.8349498770001</v>
      </c>
      <c r="C35" s="10">
        <f si="0" t="shared"/>
        <v>3.1325533787280327E-2</v>
      </c>
      <c r="E35" s="42">
        <v>24</v>
      </c>
      <c r="F35" s="248" t="n">
        <v>107.0</v>
      </c>
      <c r="G35" s="10">
        <f si="1" t="shared"/>
        <v>2.637487970916349E-3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43">
        <v>25</v>
      </c>
      <c r="F36" s="248" t="n">
        <v>66.0</v>
      </c>
      <c r="G36" s="10">
        <f si="1" t="shared"/>
        <v>2.2810706775492746E-3</v>
      </c>
    </row>
    <row r="37" spans="1:7" x14ac:dyDescent="0.25">
      <c r="A37">
        <v>26</v>
      </c>
      <c r="B37" s="246" t="n">
        <v>0.0</v>
      </c>
      <c r="C37" s="10">
        <f si="0" t="shared"/>
        <v>0</v>
      </c>
      <c r="E37" s="44">
        <v>26</v>
      </c>
      <c r="F37" s="248" t="n">
        <v>57.0</v>
      </c>
      <c r="G37" s="10">
        <f si="1" t="shared"/>
        <v>1.4969526321417116E-3</v>
      </c>
    </row>
    <row r="38" spans="1:7" x14ac:dyDescent="0.25">
      <c r="A38">
        <v>27</v>
      </c>
      <c r="B38" s="246" t="n">
        <v>0.0</v>
      </c>
      <c r="C38" s="10">
        <f si="0" t="shared"/>
        <v>0</v>
      </c>
      <c r="E38" s="45">
        <v>27</v>
      </c>
      <c r="F38" s="248" t="n">
        <v>60.0</v>
      </c>
      <c r="G38" s="10">
        <f si="1" t="shared"/>
        <v>2.1385037602024452E-3</v>
      </c>
    </row>
    <row r="39" spans="1:7" x14ac:dyDescent="0.25">
      <c r="A39">
        <v>28</v>
      </c>
      <c r="B39" s="246" t="n">
        <v>0.0</v>
      </c>
      <c r="C39" s="10">
        <f si="0" t="shared"/>
        <v>0</v>
      </c>
      <c r="E39" s="46">
        <v>28</v>
      </c>
      <c r="F39" s="248" t="n">
        <v>36.0</v>
      </c>
      <c r="G39" s="10">
        <f si="1" t="shared"/>
        <v>1.0336101507645151E-3</v>
      </c>
    </row>
    <row r="40" spans="1:7" x14ac:dyDescent="0.25">
      <c r="A40">
        <v>29</v>
      </c>
      <c r="B40" s="246" t="n">
        <v>0.0</v>
      </c>
      <c r="C40" s="10">
        <f si="0" t="shared"/>
        <v>0</v>
      </c>
      <c r="E40" s="47">
        <v>29</v>
      </c>
      <c r="F40" s="248" t="n">
        <v>29.0</v>
      </c>
      <c r="G40" s="10">
        <f si="1" t="shared"/>
        <v>1.0336101507645151E-3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9.0</v>
      </c>
      <c r="G41" s="10">
        <f si="1" t="shared"/>
        <v>3.9205902270378161E-4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49">
        <v>31</v>
      </c>
      <c r="F42" s="248" t="n">
        <v>10.0</v>
      </c>
      <c r="G42" s="10">
        <f si="1" t="shared"/>
        <v>2.8513383469365932E-4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8.0</v>
      </c>
      <c r="G43" s="10">
        <f si="1" t="shared"/>
        <v>1.7820864668353708E-4</v>
      </c>
    </row>
    <row r="44" spans="1:7" x14ac:dyDescent="0.25">
      <c r="A44">
        <v>33</v>
      </c>
      <c r="B44" s="246" t="n">
        <v>0.0</v>
      </c>
      <c r="C44" s="10">
        <f si="0" t="shared"/>
        <v>0</v>
      </c>
      <c r="E44" s="51">
        <v>33</v>
      </c>
      <c r="F44" s="248" t="n">
        <v>6.0</v>
      </c>
      <c r="G44" s="10">
        <f si="1" t="shared"/>
        <v>2.4949210535695193E-4</v>
      </c>
    </row>
    <row r="45" spans="1:7" x14ac:dyDescent="0.25">
      <c r="A45">
        <v>34</v>
      </c>
      <c r="B45" s="246" t="n">
        <v>0.0</v>
      </c>
      <c r="C45" s="10">
        <f si="0" t="shared"/>
        <v>0</v>
      </c>
      <c r="E45" s="52">
        <v>34</v>
      </c>
      <c r="F45" s="248" t="n">
        <v>6.0</v>
      </c>
      <c r="G45" s="10">
        <f si="1" t="shared"/>
        <v>7.128345867341483E-5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4.0</v>
      </c>
      <c r="G46" s="10">
        <f si="1" t="shared"/>
        <v>1.0692518801012225E-4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7.0</v>
      </c>
      <c r="G47" s="10">
        <f si="1" t="shared"/>
        <v>1.0692518801012225E-4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55">
        <v>37</v>
      </c>
      <c r="F48" s="248" t="n">
        <v>0.0</v>
      </c>
      <c r="G48" s="10">
        <f si="1" t="shared"/>
        <v>3.5641729336707415E-5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2.0</v>
      </c>
      <c r="G49" s="10">
        <f si="1" t="shared"/>
        <v>1.4256691734682966E-4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1.0</v>
      </c>
      <c r="G50" s="10">
        <f si="1" t="shared"/>
        <v>3.5641729336707415E-5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2.0</v>
      </c>
      <c r="G51" s="10">
        <f si="1" t="shared"/>
        <v>7.128345867341483E-5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2.0</v>
      </c>
      <c r="G52" s="10">
        <f si="1" t="shared"/>
        <v>7.128345867341483E-5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1.0</v>
      </c>
      <c r="G53" s="10">
        <f si="1" t="shared"/>
        <v>0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0.0</v>
      </c>
      <c r="G54" s="10">
        <f si="1" t="shared"/>
        <v>0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0.0</v>
      </c>
      <c r="G55" s="10">
        <f si="1" t="shared"/>
        <v>0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0.0</v>
      </c>
      <c r="G56" s="10">
        <f si="1" t="shared"/>
        <v>3.5641729336707415E-5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0.0</v>
      </c>
      <c r="G57" s="10">
        <f si="1" t="shared"/>
        <v>0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0.0</v>
      </c>
      <c r="G58" s="10">
        <f si="1" t="shared"/>
        <v>3.5641729336707415E-5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2.0</v>
      </c>
      <c r="G59" s="10">
        <f si="1" t="shared"/>
        <v>0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0.0</v>
      </c>
      <c r="G60" s="10">
        <f si="1" t="shared"/>
        <v>0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0.0</v>
      </c>
      <c r="G61" s="10">
        <f si="1" t="shared"/>
        <v>0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0.0</v>
      </c>
      <c r="G62" s="10">
        <f si="1" t="shared"/>
        <v>0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0.0</v>
      </c>
      <c r="G63" s="10">
        <f si="1" t="shared"/>
        <v>0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0.0</v>
      </c>
      <c r="G64" s="10">
        <f si="1" t="shared"/>
        <v>0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0.0</v>
      </c>
      <c r="G65" s="10">
        <f si="1" t="shared"/>
        <v>0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0.0</v>
      </c>
      <c r="G66" s="10">
        <f si="1" t="shared"/>
        <v>0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1.0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0.0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0.0</v>
      </c>
      <c r="G69" s="10">
        <f si="1" t="shared"/>
        <v>0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0.0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0.0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0.0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0.0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0.0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0.0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0.0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0.0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0.0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0.0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0.0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0.0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0.0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0.0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0.0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0.0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0.0</v>
      </c>
      <c r="G101" s="10">
        <f si="3" t="shared"/>
        <v>0</v>
      </c>
    </row>
    <row r="102" spans="1:7" x14ac:dyDescent="0.25">
      <c r="B102" s="246">
        <f>SUM(B11:B101)</f>
        <v>28661.441365176808</v>
      </c>
      <c r="C102" s="10">
        <f si="2" t="shared"/>
        <v>1</v>
      </c>
      <c r="F102" s="246">
        <f>SUM(F11:F101)</f>
        <v>28057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278.0</v>
      </c>
      <c r="G11" s="10">
        <f>F11/F$102</f>
        <v>1.3009231207898207E-2</v>
      </c>
      <c r="K11" s="8" t="n">
        <v>12.528074111117107</v>
      </c>
      <c r="L11" s="8" t="n">
        <v>12.87165454289709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819.0</v>
      </c>
      <c r="G12" s="10">
        <f>F12/F$102</f>
        <v>2.523434437038885E-2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0</v>
      </c>
      <c r="E13" s="110">
        <v>2</v>
      </c>
      <c r="F13" s="248" t="n">
        <v>962.0</v>
      </c>
      <c r="G13" s="10">
        <f ref="G13:G76" si="1" t="shared">F13/F$102</f>
        <v>3.3004241365791068E-2</v>
      </c>
    </row>
    <row r="14" spans="1:12" x14ac:dyDescent="0.25">
      <c r="A14">
        <v>3</v>
      </c>
      <c r="B14" s="246" t="n">
        <v>1423.622495567</v>
      </c>
      <c r="C14" s="10">
        <f si="0" t="shared"/>
        <v>4.9670303646929585E-2</v>
      </c>
      <c r="E14" s="111">
        <v>3</v>
      </c>
      <c r="F14" s="248" t="n">
        <v>1440.0</v>
      </c>
      <c r="G14" s="10">
        <f si="1" t="shared"/>
        <v>5.0005346259400507E-2</v>
      </c>
    </row>
    <row r="15" spans="1:12" x14ac:dyDescent="0.25">
      <c r="A15">
        <v>4</v>
      </c>
      <c r="B15" s="246" t="n">
        <v>1193.366015232</v>
      </c>
      <c r="C15" s="10">
        <f si="0" t="shared"/>
        <v>4.1636636484092555E-2</v>
      </c>
      <c r="E15" s="112">
        <v>4</v>
      </c>
      <c r="F15" s="248" t="n">
        <v>1851.0</v>
      </c>
      <c r="G15" s="10">
        <f si="1" t="shared"/>
        <v>7.0606265816017394E-2</v>
      </c>
    </row>
    <row r="16" spans="1:12" x14ac:dyDescent="0.25">
      <c r="A16">
        <v>5</v>
      </c>
      <c r="B16" s="246" t="n">
        <v>2564.606490265</v>
      </c>
      <c r="C16" s="10">
        <f si="0" t="shared"/>
        <v>8.9479327211399645E-2</v>
      </c>
      <c r="E16" s="113">
        <v>5</v>
      </c>
      <c r="F16" s="248" t="n">
        <v>2078.0</v>
      </c>
      <c r="G16" s="10">
        <f si="1" t="shared"/>
        <v>7.463378123106533E-2</v>
      </c>
    </row>
    <row r="17" spans="1:7" x14ac:dyDescent="0.25">
      <c r="A17">
        <v>6</v>
      </c>
      <c r="B17" s="246" t="n">
        <v>1408.438985624</v>
      </c>
      <c r="C17" s="10">
        <f si="0" t="shared"/>
        <v>4.9140549760879469E-2</v>
      </c>
      <c r="E17" s="114">
        <v>6</v>
      </c>
      <c r="F17" s="248" t="n">
        <v>2087.0</v>
      </c>
      <c r="G17" s="10">
        <f si="1" t="shared"/>
        <v>7.5025840253769113E-2</v>
      </c>
    </row>
    <row r="18" spans="1:7" x14ac:dyDescent="0.25">
      <c r="A18">
        <v>7</v>
      </c>
      <c r="B18" s="246" t="n">
        <v>5198.980115135</v>
      </c>
      <c r="C18" s="10">
        <f si="0" t="shared"/>
        <v>0.18139283537399756</v>
      </c>
      <c r="E18" s="115">
        <v>7</v>
      </c>
      <c r="F18" s="248" t="n">
        <v>1920.0</v>
      </c>
      <c r="G18" s="10">
        <f si="1" t="shared"/>
        <v>7.15685925081085E-2</v>
      </c>
    </row>
    <row r="19" spans="1:7" x14ac:dyDescent="0.25">
      <c r="A19">
        <v>8</v>
      </c>
      <c r="B19" s="246" t="n">
        <v>2568.9885801620003</v>
      </c>
      <c r="C19" s="10">
        <f si="0" t="shared"/>
        <v>8.9632218681202844E-2</v>
      </c>
      <c r="E19" s="116">
        <v>8</v>
      </c>
      <c r="F19" s="248" t="n">
        <v>1801.0</v>
      </c>
      <c r="G19" s="10">
        <f si="1" t="shared"/>
        <v>5.8951420322914068E-2</v>
      </c>
    </row>
    <row r="20" spans="1:7" x14ac:dyDescent="0.25">
      <c r="A20">
        <v>9</v>
      </c>
      <c r="B20" s="246" t="n">
        <v>786.293733109</v>
      </c>
      <c r="C20" s="10">
        <f si="0" t="shared"/>
        <v>2.7433851741466651E-2</v>
      </c>
      <c r="E20" s="117">
        <v>9</v>
      </c>
      <c r="F20" s="248" t="n">
        <v>1369.0</v>
      </c>
      <c r="G20" s="10">
        <f si="1" t="shared"/>
        <v>4.9399436860676479E-2</v>
      </c>
    </row>
    <row r="21" spans="1:7" x14ac:dyDescent="0.25">
      <c r="A21">
        <v>10</v>
      </c>
      <c r="B21" s="246" t="n">
        <v>2823.17654097</v>
      </c>
      <c r="C21" s="10">
        <f si="0" t="shared"/>
        <v>9.8500857127168578E-2</v>
      </c>
      <c r="E21" s="118">
        <v>10</v>
      </c>
      <c r="F21" s="248" t="n">
        <v>1203.0</v>
      </c>
      <c r="G21" s="10">
        <f si="1" t="shared"/>
        <v>4.3304701144099511E-2</v>
      </c>
    </row>
    <row r="22" spans="1:7" x14ac:dyDescent="0.25">
      <c r="A22">
        <v>11</v>
      </c>
      <c r="B22" s="246" t="n">
        <v>1123.854258254</v>
      </c>
      <c r="C22" s="10">
        <f si="0" t="shared"/>
        <v>3.9211365678889581E-2</v>
      </c>
      <c r="E22" s="119">
        <v>11</v>
      </c>
      <c r="F22" s="248" t="n">
        <v>1165.0</v>
      </c>
      <c r="G22" s="10">
        <f si="1" t="shared"/>
        <v>4.3375984602772928E-2</v>
      </c>
    </row>
    <row r="23" spans="1:7" x14ac:dyDescent="0.25">
      <c r="A23">
        <v>12</v>
      </c>
      <c r="B23" s="246" t="n">
        <v>436.317070872</v>
      </c>
      <c r="C23" s="10">
        <f si="0" t="shared"/>
        <v>1.5223137779878659E-2</v>
      </c>
      <c r="E23" s="120">
        <v>12</v>
      </c>
      <c r="F23" s="248" t="n">
        <v>1167.0</v>
      </c>
      <c r="G23" s="10">
        <f si="1" t="shared"/>
        <v>4.2484941369355239E-2</v>
      </c>
    </row>
    <row r="24" spans="1:7" x14ac:dyDescent="0.25">
      <c r="A24">
        <v>13</v>
      </c>
      <c r="B24" s="246" t="n">
        <v>0.0</v>
      </c>
      <c r="C24" s="10">
        <f si="0" t="shared"/>
        <v>0</v>
      </c>
      <c r="E24" s="121">
        <v>13</v>
      </c>
      <c r="F24" s="248" t="n">
        <v>1056.0</v>
      </c>
      <c r="G24" s="10">
        <f si="1" t="shared"/>
        <v>3.656841429946181E-2</v>
      </c>
    </row>
    <row r="25" spans="1:7" x14ac:dyDescent="0.25">
      <c r="A25">
        <v>14</v>
      </c>
      <c r="B25" s="246" t="n">
        <v>368.204446166</v>
      </c>
      <c r="C25" s="10">
        <f si="0" t="shared"/>
        <v>1.2846682812447897E-2</v>
      </c>
      <c r="E25" s="122">
        <v>14</v>
      </c>
      <c r="F25" s="248" t="n">
        <v>794.0</v>
      </c>
      <c r="G25" s="10">
        <f si="1" t="shared"/>
        <v>2.926185978543679E-2</v>
      </c>
    </row>
    <row r="26" spans="1:7" x14ac:dyDescent="0.25">
      <c r="A26">
        <v>15</v>
      </c>
      <c r="B26" s="246" t="n">
        <v>1180.566199605</v>
      </c>
      <c r="C26" s="10">
        <f si="0" t="shared"/>
        <v>4.1190049884908063E-2</v>
      </c>
      <c r="E26" s="123">
        <v>15</v>
      </c>
      <c r="F26" s="248" t="n">
        <v>684.0</v>
      </c>
      <c r="G26" s="10">
        <f si="1" t="shared"/>
        <v>2.3380974444880066E-2</v>
      </c>
    </row>
    <row r="27" spans="1:7" x14ac:dyDescent="0.25">
      <c r="A27">
        <v>16</v>
      </c>
      <c r="B27" s="246" t="n">
        <v>617.046097455</v>
      </c>
      <c r="C27" s="10">
        <f si="0" t="shared"/>
        <v>2.152878808826067E-2</v>
      </c>
      <c r="E27" s="124">
        <v>16</v>
      </c>
      <c r="F27" s="248" t="n">
        <v>556.0</v>
      </c>
      <c r="G27" s="10">
        <f si="1" t="shared"/>
        <v>2.177709662472823E-2</v>
      </c>
    </row>
    <row r="28" spans="1:7" x14ac:dyDescent="0.25">
      <c r="A28">
        <v>17</v>
      </c>
      <c r="B28" s="246" t="n">
        <v>0.0</v>
      </c>
      <c r="C28" s="10">
        <f si="0" t="shared"/>
        <v>0</v>
      </c>
      <c r="E28" s="125">
        <v>17</v>
      </c>
      <c r="F28" s="248" t="n">
        <v>505.0</v>
      </c>
      <c r="G28" s="10">
        <f si="1" t="shared"/>
        <v>1.7036746622946145E-2</v>
      </c>
    </row>
    <row r="29" spans="1:7" x14ac:dyDescent="0.25">
      <c r="A29">
        <v>18</v>
      </c>
      <c r="B29" s="246" t="n">
        <v>1877.963600702</v>
      </c>
      <c r="C29" s="10">
        <f si="0" t="shared"/>
        <v>6.5522301435394517E-2</v>
      </c>
      <c r="E29" s="126">
        <v>18</v>
      </c>
      <c r="F29" s="248" t="n">
        <v>433.0</v>
      </c>
      <c r="G29" s="10">
        <f si="1" t="shared"/>
        <v>1.5931853013508215E-2</v>
      </c>
    </row>
    <row r="30" spans="1:7" x14ac:dyDescent="0.25">
      <c r="A30">
        <v>19</v>
      </c>
      <c r="B30" s="246" t="n">
        <v>0.0</v>
      </c>
      <c r="C30" s="10">
        <f si="0" t="shared"/>
        <v>0</v>
      </c>
      <c r="E30" s="127">
        <v>19</v>
      </c>
      <c r="F30" s="248" t="n">
        <v>401.0</v>
      </c>
      <c r="G30" s="10">
        <f si="1" t="shared"/>
        <v>1.4149766546672845E-2</v>
      </c>
    </row>
    <row r="31" spans="1:7" x14ac:dyDescent="0.25">
      <c r="A31">
        <v>20</v>
      </c>
      <c r="B31" s="246" t="n">
        <v>119.217153555</v>
      </c>
      <c r="C31" s="10">
        <f si="0" t="shared"/>
        <v>4.1594960991685132E-3</v>
      </c>
      <c r="E31" s="128">
        <v>20</v>
      </c>
      <c r="F31" s="248" t="n">
        <v>319.0</v>
      </c>
      <c r="G31" s="10">
        <f si="1" t="shared"/>
        <v>1.1476636846419789E-2</v>
      </c>
    </row>
    <row r="32" spans="1:7" x14ac:dyDescent="0.25">
      <c r="A32">
        <v>21</v>
      </c>
      <c r="B32" s="246" t="n">
        <v>495.38084382</v>
      </c>
      <c r="C32" s="10">
        <f si="0" t="shared"/>
        <v>1.7283877579927987E-2</v>
      </c>
      <c r="E32" s="129">
        <v>21</v>
      </c>
      <c r="F32" s="248" t="n">
        <v>333.0</v>
      </c>
      <c r="G32" s="10">
        <f si="1" t="shared"/>
        <v>1.1262786470399544E-2</v>
      </c>
    </row>
    <row r="33" spans="1:7" x14ac:dyDescent="0.25">
      <c r="A33">
        <v>22</v>
      </c>
      <c r="B33" s="246" t="n">
        <v>0.0</v>
      </c>
      <c r="C33" s="10">
        <f si="0" t="shared"/>
        <v>0</v>
      </c>
      <c r="E33" s="130">
        <v>22</v>
      </c>
      <c r="F33" s="248" t="n">
        <v>285.0</v>
      </c>
      <c r="G33" s="10">
        <f si="1" t="shared"/>
        <v>1.0835085718359054E-2</v>
      </c>
    </row>
    <row r="34" spans="1:7" x14ac:dyDescent="0.25">
      <c r="A34">
        <v>23</v>
      </c>
      <c r="B34" s="246" t="n">
        <v>0.0</v>
      </c>
      <c r="C34" s="10">
        <f si="0" t="shared"/>
        <v>0</v>
      </c>
      <c r="E34" s="131">
        <v>23</v>
      </c>
      <c r="F34" s="248" t="n">
        <v>309.0</v>
      </c>
      <c r="G34" s="10">
        <f si="1" t="shared"/>
        <v>1.0371743236981859E-2</v>
      </c>
    </row>
    <row r="35" spans="1:7" x14ac:dyDescent="0.25">
      <c r="A35">
        <v>24</v>
      </c>
      <c r="B35" s="246" t="n">
        <v>620.546027642</v>
      </c>
      <c r="C35" s="10">
        <f si="0" t="shared"/>
        <v>2.1650900934659677E-2</v>
      </c>
      <c r="E35" s="132">
        <v>24</v>
      </c>
      <c r="F35" s="248" t="n">
        <v>289.0</v>
      </c>
      <c r="G35" s="10">
        <f si="1" t="shared"/>
        <v>1.0514310154328688E-2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133">
        <v>25</v>
      </c>
      <c r="F36" s="248" t="n">
        <v>287.0</v>
      </c>
      <c r="G36" s="10">
        <f si="1" t="shared"/>
        <v>9.979684214278077E-3</v>
      </c>
    </row>
    <row r="37" spans="1:7" x14ac:dyDescent="0.25">
      <c r="A37">
        <v>26</v>
      </c>
      <c r="B37" s="246" t="n">
        <v>685.397493253</v>
      </c>
      <c r="C37" s="10">
        <f si="0" t="shared"/>
        <v>2.3913573798341733E-2</v>
      </c>
      <c r="E37" s="134">
        <v>26</v>
      </c>
      <c r="F37" s="248" t="n">
        <v>303.0</v>
      </c>
      <c r="G37" s="10">
        <f si="1" t="shared"/>
        <v>8.9817157928502693E-3</v>
      </c>
    </row>
    <row r="38" spans="1:7" x14ac:dyDescent="0.25">
      <c r="A38">
        <v>27</v>
      </c>
      <c r="B38" s="246" t="n">
        <v>0.0</v>
      </c>
      <c r="C38" s="10">
        <f si="0" t="shared"/>
        <v>0</v>
      </c>
      <c r="E38" s="135">
        <v>27</v>
      </c>
      <c r="F38" s="248" t="n">
        <v>271.0</v>
      </c>
      <c r="G38" s="10">
        <f si="1" t="shared"/>
        <v>7.9837473714224616E-3</v>
      </c>
    </row>
    <row r="39" spans="1:7" x14ac:dyDescent="0.25">
      <c r="A39">
        <v>28</v>
      </c>
      <c r="B39" s="246" t="n">
        <v>373.9559272188</v>
      </c>
      <c r="C39" s="10">
        <f si="0" t="shared"/>
        <v>1.3047352450081262E-2</v>
      </c>
      <c r="E39" s="136">
        <v>28</v>
      </c>
      <c r="F39" s="248" t="n">
        <v>258.0</v>
      </c>
      <c r="G39" s="10">
        <f si="1" t="shared"/>
        <v>8.1619560181059991E-3</v>
      </c>
    </row>
    <row r="40" spans="1:7" x14ac:dyDescent="0.25">
      <c r="A40">
        <v>29</v>
      </c>
      <c r="B40" s="246" t="n">
        <v>349.274014887</v>
      </c>
      <c r="C40" s="10">
        <f si="0" t="shared"/>
        <v>1.2186198538897014E-2</v>
      </c>
      <c r="E40" s="137">
        <v>29</v>
      </c>
      <c r="F40" s="248" t="n">
        <v>258.0</v>
      </c>
      <c r="G40" s="10">
        <f si="1" t="shared"/>
        <v>9.6589086502477106E-3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138">
        <v>30</v>
      </c>
      <c r="F41" s="248" t="n">
        <v>246.0</v>
      </c>
      <c r="G41" s="10">
        <f si="1" t="shared"/>
        <v>7.8055387247389241E-3</v>
      </c>
    </row>
    <row r="42" spans="1:7" x14ac:dyDescent="0.25">
      <c r="A42">
        <v>31</v>
      </c>
      <c r="B42" s="246" t="n">
        <v>260.308502632</v>
      </c>
      <c r="C42" s="10">
        <f si="0" t="shared"/>
        <v>9.0821846436610378E-3</v>
      </c>
      <c r="E42" s="139">
        <v>31</v>
      </c>
      <c r="F42" s="248" t="n">
        <v>231.0</v>
      </c>
      <c r="G42" s="10">
        <f si="1" t="shared"/>
        <v>6.5580781979541645E-3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140">
        <v>32</v>
      </c>
      <c r="F43" s="248" t="n">
        <v>258.0</v>
      </c>
      <c r="G43" s="10">
        <f si="1" t="shared"/>
        <v>9.4450582742274664E-3</v>
      </c>
    </row>
    <row r="44" spans="1:7" x14ac:dyDescent="0.25">
      <c r="A44">
        <v>33</v>
      </c>
      <c r="B44" s="246" t="n">
        <v>795.69322268</v>
      </c>
      <c r="C44" s="10">
        <f si="0" t="shared"/>
        <v>2.7761800690413098E-2</v>
      </c>
      <c r="E44" s="141">
        <v>33</v>
      </c>
      <c r="F44" s="248" t="n">
        <v>222.0</v>
      </c>
      <c r="G44" s="10">
        <f si="1" t="shared"/>
        <v>8.1619560181059991E-3</v>
      </c>
    </row>
    <row r="45" spans="1:7" x14ac:dyDescent="0.25">
      <c r="A45">
        <v>34</v>
      </c>
      <c r="B45" s="246" t="n">
        <v>161.271876599</v>
      </c>
      <c r="C45" s="10">
        <f si="0" t="shared"/>
        <v>5.6267887767480797E-3</v>
      </c>
      <c r="E45" s="142">
        <v>34</v>
      </c>
      <c r="F45" s="248" t="n">
        <v>187.0</v>
      </c>
      <c r="G45" s="10">
        <f si="1" t="shared"/>
        <v>7.0214206793313616E-3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143">
        <v>35</v>
      </c>
      <c r="F46" s="248" t="n">
        <v>180.0</v>
      </c>
      <c r="G46" s="10">
        <f si="1" t="shared"/>
        <v>7.1283458673414837E-3</v>
      </c>
    </row>
    <row r="47" spans="1:7" x14ac:dyDescent="0.25">
      <c r="A47">
        <v>36</v>
      </c>
      <c r="B47" s="246" t="n">
        <v>492.408600494</v>
      </c>
      <c r="C47" s="10">
        <f si="0" t="shared"/>
        <v>1.7180175770652922E-2</v>
      </c>
      <c r="E47" s="144">
        <v>36</v>
      </c>
      <c r="F47" s="248" t="n">
        <v>156.0</v>
      </c>
      <c r="G47" s="10">
        <f si="1" t="shared"/>
        <v>5.8808853405567241E-3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145">
        <v>37</v>
      </c>
      <c r="F48" s="248" t="n">
        <v>125.0</v>
      </c>
      <c r="G48" s="10">
        <f si="1" t="shared"/>
        <v>5.8808853405567241E-3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146">
        <v>38</v>
      </c>
      <c r="F49" s="248" t="n">
        <v>138.0</v>
      </c>
      <c r="G49" s="10">
        <f si="1" t="shared"/>
        <v>5.5601097765263568E-3</v>
      </c>
    </row>
    <row r="50" spans="1:7" x14ac:dyDescent="0.25">
      <c r="A50">
        <v>39</v>
      </c>
      <c r="B50" s="246" t="n">
        <v>736.563073278</v>
      </c>
      <c r="C50" s="10">
        <f si="0" t="shared"/>
        <v>2.5698745010532251E-2</v>
      </c>
      <c r="E50" s="147">
        <v>39</v>
      </c>
      <c r="F50" s="248" t="n">
        <v>105.0</v>
      </c>
      <c r="G50" s="10">
        <f si="1" t="shared"/>
        <v>4.0987988737213529E-3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148">
        <v>40</v>
      </c>
      <c r="F51" s="248" t="n">
        <v>98.0</v>
      </c>
      <c r="G51" s="10">
        <f si="1" t="shared"/>
        <v>2.8513383469365933E-3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149">
        <v>41</v>
      </c>
      <c r="F52" s="248" t="n">
        <v>88.0</v>
      </c>
      <c r="G52" s="10">
        <f si="1" t="shared"/>
        <v>2.3523541362226895E-3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96.0</v>
      </c>
      <c r="G53" s="10">
        <f si="1" t="shared"/>
        <v>3.243397369640375E-3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151">
        <v>43</v>
      </c>
      <c r="F54" s="248" t="n">
        <v>56.0</v>
      </c>
      <c r="G54" s="10">
        <f si="1" t="shared"/>
        <v>2.6731297002530563E-3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152">
        <v>44</v>
      </c>
      <c r="F55" s="248" t="n">
        <v>51.0</v>
      </c>
      <c r="G55" s="10">
        <f si="1" t="shared"/>
        <v>2.7444131589264712E-3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153">
        <v>45</v>
      </c>
      <c r="F56" s="248" t="n">
        <v>30.0</v>
      </c>
      <c r="G56" s="10">
        <f si="1" t="shared"/>
        <v>1.7464447374986635E-3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36.0</v>
      </c>
      <c r="G57" s="10">
        <f si="1" t="shared"/>
        <v>1.3900274441315892E-3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155">
        <v>47</v>
      </c>
      <c r="F58" s="248" t="n">
        <v>28.0</v>
      </c>
      <c r="G58" s="10">
        <f si="1" t="shared"/>
        <v>1.0336101507645151E-3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23.0</v>
      </c>
      <c r="G59" s="10">
        <f si="1" t="shared"/>
        <v>1.1761770681113447E-3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157">
        <v>49</v>
      </c>
      <c r="F60" s="248" t="n">
        <v>33.0</v>
      </c>
      <c r="G60" s="10">
        <f si="1" t="shared"/>
        <v>8.9104323341768546E-4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18.0</v>
      </c>
      <c r="G61" s="10">
        <f si="1" t="shared"/>
        <v>4.9898421071390385E-4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21.0</v>
      </c>
      <c r="G62" s="10">
        <f si="1" t="shared"/>
        <v>7.1283458673414833E-4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15.0</v>
      </c>
      <c r="G63" s="10">
        <f si="1" t="shared"/>
        <v>5.7026766938731864E-4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8.0</v>
      </c>
      <c r="G64" s="10">
        <f si="1" t="shared"/>
        <v>7.8411804540756322E-4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10.0</v>
      </c>
      <c r="G65" s="10">
        <f si="1" t="shared"/>
        <v>3.5641729336707416E-4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6.0</v>
      </c>
      <c r="G66" s="10">
        <f si="1" t="shared"/>
        <v>3.5641729336707416E-4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5.0</v>
      </c>
      <c r="G67" s="10">
        <f si="1" t="shared"/>
        <v>2.8513383469365932E-4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2.0</v>
      </c>
      <c r="G68" s="10">
        <f si="1" t="shared"/>
        <v>2.4949210535695193E-4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4.0</v>
      </c>
      <c r="G69" s="10">
        <f si="1" t="shared"/>
        <v>1.4256691734682966E-4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2.0</v>
      </c>
      <c r="G70" s="10">
        <f si="1" t="shared"/>
        <v>1.0692518801012225E-4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2.0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1.0</v>
      </c>
      <c r="G72" s="10">
        <f si="1" t="shared"/>
        <v>1.4256691734682966E-4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4.0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0.0</v>
      </c>
      <c r="G74" s="10">
        <f si="1" t="shared"/>
        <v>3.5641729336707415E-5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2.0</v>
      </c>
      <c r="G76" s="10">
        <f si="1" t="shared"/>
        <v>7.128345867341483E-5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0.0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0.0</v>
      </c>
      <c r="G78" s="10">
        <f si="3" t="shared"/>
        <v>3.5641729336707415E-5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0.0</v>
      </c>
      <c r="G79" s="10">
        <f si="3" t="shared"/>
        <v>3.5641729336707415E-5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0.0</v>
      </c>
      <c r="G81" s="10">
        <f si="3" t="shared"/>
        <v>3.5641729336707415E-5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0.0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0.0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0.0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0.0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0.0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0.0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1.0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0.0</v>
      </c>
      <c r="G101" s="10">
        <f si="3" t="shared"/>
        <v>0</v>
      </c>
    </row>
    <row r="102" spans="1:7" x14ac:dyDescent="0.25">
      <c r="B102" s="246">
        <f>SUM(B11:B101)</f>
        <v>28661.441365176805</v>
      </c>
      <c r="C102" s="10">
        <f si="2" t="shared"/>
        <v>1</v>
      </c>
      <c r="F102" s="246">
        <f>SUM(F11:F101)</f>
        <v>28057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10" workbookViewId="0">
      <selection activeCell="V36" sqref="V36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3879.622324817</v>
      </c>
      <c r="C7" s="11" t="n">
        <v>4063.797158878</v>
      </c>
      <c r="D7" s="11" t="n">
        <v>245.76399977199998</v>
      </c>
      <c r="E7" s="11" t="n">
        <v>1556.696679057</v>
      </c>
      <c r="F7" s="11" t="n">
        <v>1430.230050562</v>
      </c>
      <c r="G7" s="11" t="n">
        <v>0.0</v>
      </c>
      <c r="H7" s="11" t="n">
        <v>763.8619207728</v>
      </c>
      <c r="I7" s="11"/>
      <c r="J7" s="11">
        <f>SUM(B7:I7)</f>
        <v>11939.972133858801</v>
      </c>
      <c r="K7" s="11"/>
      <c r="L7" t="str">
        <f>$A$7</f>
        <v>Bellevue</v>
      </c>
      <c r="M7" s="248" t="n">
        <v>4038.0</v>
      </c>
      <c r="N7" s="248" t="n">
        <v>2962.0</v>
      </c>
      <c r="O7" s="248" t="n">
        <v>403.0</v>
      </c>
      <c r="P7" s="248" t="n">
        <v>1453.0</v>
      </c>
      <c r="Q7" s="248" t="n">
        <v>652.0</v>
      </c>
      <c r="R7" s="248" t="n">
        <v>720.0</v>
      </c>
      <c r="S7" s="248" t="n">
        <v>550.0</v>
      </c>
      <c r="T7" s="248"/>
      <c r="U7" s="246">
        <f>SUM(M7:T7)</f>
        <v>10828</v>
      </c>
    </row>
    <row r="8" spans="1:21" x14ac:dyDescent="0.25">
      <c r="A8" t="s">
        <v>255</v>
      </c>
      <c r="B8" s="11" t="n">
        <v>0.0</v>
      </c>
      <c r="C8" s="11" t="n">
        <v>0.0</v>
      </c>
      <c r="D8" s="11" t="n">
        <v>206.34925088699998</v>
      </c>
      <c r="E8" s="11" t="n">
        <v>0.0</v>
      </c>
      <c r="F8" s="11" t="n">
        <v>281.72637838</v>
      </c>
      <c r="G8" s="11" t="n">
        <v>0.0</v>
      </c>
      <c r="H8" s="11" t="n">
        <v>0.0</v>
      </c>
      <c r="I8" s="11"/>
      <c r="J8" s="11">
        <f ref="J8:J14" si="0" t="shared">SUM(B8:I8)</f>
        <v>488.07562926700001</v>
      </c>
      <c r="K8" s="11"/>
      <c r="L8" t="str">
        <f>$A$8</f>
        <v>Bellevue Downtown</v>
      </c>
      <c r="M8" s="248" t="n">
        <v>83.0</v>
      </c>
      <c r="N8" s="248" t="n">
        <v>789.0</v>
      </c>
      <c r="O8" s="248" t="n">
        <v>9.0</v>
      </c>
      <c r="P8" s="248" t="n">
        <v>8.0</v>
      </c>
      <c r="Q8" s="248" t="n">
        <v>7.0</v>
      </c>
      <c r="R8" s="248" t="n">
        <v>5.0</v>
      </c>
      <c r="S8" s="248" t="n">
        <v>1.0</v>
      </c>
      <c r="T8" s="248"/>
      <c r="U8" s="246">
        <f ref="U8:U13" si="1" t="shared">SUM(M8:T8)</f>
        <v>905</v>
      </c>
    </row>
    <row r="9" spans="1:21" x14ac:dyDescent="0.25">
      <c r="A9" t="s">
        <v>256</v>
      </c>
      <c r="B9" s="11" t="n">
        <v>0.0</v>
      </c>
      <c r="C9" s="11" t="n">
        <v>0.0</v>
      </c>
      <c r="D9" s="11" t="n">
        <v>1911.668349691</v>
      </c>
      <c r="E9" s="11" t="n">
        <v>0.0</v>
      </c>
      <c r="F9" s="11" t="n">
        <v>1690.066763713</v>
      </c>
      <c r="G9" s="11" t="n">
        <v>685.397493253</v>
      </c>
      <c r="H9" s="11" t="n">
        <v>0.0</v>
      </c>
      <c r="I9" s="11"/>
      <c r="J9" s="11">
        <f si="0" t="shared"/>
        <v>4287.132606657</v>
      </c>
      <c r="K9" s="12"/>
      <c r="L9" t="str">
        <f>$A$9</f>
        <v>Kirkland</v>
      </c>
      <c r="M9" s="248" t="n">
        <v>524.0</v>
      </c>
      <c r="N9" s="248" t="n">
        <v>783.0</v>
      </c>
      <c r="O9" s="248" t="n">
        <v>4949.0</v>
      </c>
      <c r="P9" s="248" t="n">
        <v>948.0</v>
      </c>
      <c r="Q9" s="248" t="n">
        <v>883.0</v>
      </c>
      <c r="R9" s="248" t="n">
        <v>446.0</v>
      </c>
      <c r="S9" s="248" t="n">
        <v>657.0</v>
      </c>
      <c r="T9" s="248"/>
      <c r="U9" s="246">
        <f si="1" t="shared"/>
        <v>9176</v>
      </c>
    </row>
    <row r="10" spans="1:21" x14ac:dyDescent="0.25">
      <c r="A10" t="s">
        <v>257</v>
      </c>
      <c r="B10" s="11" t="n">
        <v>1261.5327366239999</v>
      </c>
      <c r="C10" s="11" t="n">
        <v>0.0</v>
      </c>
      <c r="D10" s="11" t="n">
        <v>4645.145040145</v>
      </c>
      <c r="E10" s="11" t="n">
        <v>5303.020145347</v>
      </c>
      <c r="F10" s="11" t="n">
        <v>0.0</v>
      </c>
      <c r="G10" s="11" t="n">
        <v>0.0</v>
      </c>
      <c r="H10" s="11" t="n">
        <v>736.563073278</v>
      </c>
      <c r="I10" s="11"/>
      <c r="J10" s="11">
        <f si="0" t="shared"/>
        <v>11946.260995394001</v>
      </c>
      <c r="K10" s="12"/>
      <c r="L10" t="str">
        <f>$A$10</f>
        <v>Redmond</v>
      </c>
      <c r="M10" s="248" t="n">
        <v>786.0</v>
      </c>
      <c r="N10" s="248" t="n">
        <v>528.0</v>
      </c>
      <c r="O10" s="248" t="n">
        <v>952.0</v>
      </c>
      <c r="P10" s="248" t="n">
        <v>3710.0</v>
      </c>
      <c r="Q10" s="248" t="n">
        <v>367.0</v>
      </c>
      <c r="R10" s="248" t="n">
        <v>313.0</v>
      </c>
      <c r="S10" s="248" t="n">
        <v>423.0</v>
      </c>
      <c r="T10" s="248"/>
      <c r="U10" s="246">
        <f si="1" t="shared"/>
        <v>7132</v>
      </c>
    </row>
    <row r="11" spans="1:21" x14ac:dyDescent="0.25">
      <c r="A11" t="s">
        <v>252</v>
      </c>
      <c r="B11" s="11" t="n">
        <v>0.0</v>
      </c>
      <c r="C11" s="11" t="n">
        <v>0.0</v>
      </c>
      <c r="D11" s="11" t="n">
        <v>0.0</v>
      </c>
      <c r="E11" s="11" t="n">
        <v>0.0</v>
      </c>
      <c r="F11" s="11" t="n">
        <v>0.0</v>
      </c>
      <c r="G11" s="11" t="n">
        <v>0.0</v>
      </c>
      <c r="H11" s="11" t="n">
        <v>0.0</v>
      </c>
      <c r="I11" s="11"/>
      <c r="J11" s="11">
        <f si="0" t="shared"/>
        <v>0</v>
      </c>
      <c r="K11" s="12"/>
      <c r="L11" t="str">
        <f>$A$11</f>
        <v>Seattle</v>
      </c>
      <c r="M11" s="248" t="n">
        <v>0.0</v>
      </c>
      <c r="N11" s="248" t="n">
        <v>0.0</v>
      </c>
      <c r="O11" s="248" t="n">
        <v>0.0</v>
      </c>
      <c r="P11" s="248" t="n">
        <v>0.0</v>
      </c>
      <c r="Q11" s="248" t="n">
        <v>0.0</v>
      </c>
      <c r="R11" s="248" t="n">
        <v>0.0</v>
      </c>
      <c r="S11" s="248" t="n">
        <v>0.0</v>
      </c>
      <c r="T11" s="248"/>
      <c r="U11" s="246">
        <f si="1" t="shared"/>
        <v>0</v>
      </c>
    </row>
    <row r="12" spans="1:21" x14ac:dyDescent="0.25">
      <c r="A12" t="s">
        <v>258</v>
      </c>
      <c r="B12" s="11" t="n">
        <v>0.0</v>
      </c>
      <c r="C12" s="11" t="n">
        <v>0.0</v>
      </c>
      <c r="D12" s="11" t="n">
        <v>0.0</v>
      </c>
      <c r="E12" s="11" t="n">
        <v>0.0</v>
      </c>
      <c r="F12" s="11" t="n">
        <v>0.0</v>
      </c>
      <c r="G12" s="11" t="n">
        <v>0.0</v>
      </c>
      <c r="H12" s="11" t="n">
        <v>0.0</v>
      </c>
      <c r="I12" s="11"/>
      <c r="J12" s="11">
        <f si="0" t="shared"/>
        <v>0</v>
      </c>
      <c r="K12" s="12"/>
      <c r="L12" t="str">
        <f>$A$12</f>
        <v>Seattle Downtown</v>
      </c>
      <c r="M12" s="248" t="n">
        <v>0.0</v>
      </c>
      <c r="N12" s="248" t="n">
        <v>0.0</v>
      </c>
      <c r="O12" s="248" t="n">
        <v>0.0</v>
      </c>
      <c r="P12" s="248" t="n">
        <v>0.0</v>
      </c>
      <c r="Q12" s="248" t="n">
        <v>0.0</v>
      </c>
      <c r="R12" s="248" t="n">
        <v>0.0</v>
      </c>
      <c r="S12" s="248" t="n">
        <v>0.0</v>
      </c>
      <c r="T12" s="248"/>
      <c r="U12" s="246">
        <f si="1" t="shared"/>
        <v>0</v>
      </c>
    </row>
    <row r="13" spans="1:21" x14ac:dyDescent="0.25">
      <c r="A13" t="s">
        <v>259</v>
      </c>
      <c r="B13" s="11" t="n">
        <v>0.0</v>
      </c>
      <c r="C13" s="11" t="n">
        <v>0.0</v>
      </c>
      <c r="D13" s="11" t="n">
        <v>0.0</v>
      </c>
      <c r="E13" s="11" t="n">
        <v>0.0</v>
      </c>
      <c r="F13" s="11" t="n">
        <v>0.0</v>
      </c>
      <c r="G13" s="11" t="n">
        <v>0.0</v>
      </c>
      <c r="H13" s="11" t="n">
        <v>0.0</v>
      </c>
      <c r="I13" s="11"/>
      <c r="J13" s="11">
        <f si="0" t="shared"/>
        <v>0</v>
      </c>
      <c r="K13" s="12"/>
      <c r="L13" t="str">
        <f>A13</f>
        <v>Rest</v>
      </c>
      <c r="M13" s="248" t="n">
        <v>0.0</v>
      </c>
      <c r="N13" s="248" t="n">
        <v>0.0</v>
      </c>
      <c r="O13" s="248" t="n">
        <v>0.0</v>
      </c>
      <c r="P13" s="248" t="n">
        <v>0.0</v>
      </c>
      <c r="Q13" s="248" t="n">
        <v>0.0</v>
      </c>
      <c r="R13" s="248" t="n">
        <v>0.0</v>
      </c>
      <c r="S13" s="248" t="n">
        <v>0.0</v>
      </c>
      <c r="T13" s="248"/>
      <c r="U13" s="246">
        <f si="1" t="shared"/>
        <v>0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5141.1550614409998</v>
      </c>
      <c r="C15" s="14">
        <f si="2" t="shared"/>
        <v>4063.7971588780001</v>
      </c>
      <c r="D15" s="14">
        <f si="2" t="shared"/>
        <v>7008.9266404950004</v>
      </c>
      <c r="E15" s="14">
        <f si="2" t="shared"/>
        <v>6859.7168244040004</v>
      </c>
      <c r="F15" s="14">
        <f si="2" t="shared"/>
        <v>3402.023192655</v>
      </c>
      <c r="G15" s="14">
        <f si="2" t="shared"/>
        <v>685.39749325299999</v>
      </c>
      <c r="H15" s="14">
        <f si="2" t="shared"/>
        <v>1500.4249940508</v>
      </c>
      <c r="I15" s="14">
        <f si="2" t="shared"/>
        <v>0</v>
      </c>
      <c r="J15" s="14">
        <f si="2" t="shared"/>
        <v>28661.441365176801</v>
      </c>
      <c r="K15" s="11"/>
      <c r="L15" s="14" t="s">
        <v>4</v>
      </c>
      <c r="M15" s="14">
        <f ref="M15:U15" si="3" t="shared">SUM(M7:M14)</f>
        <v>5040</v>
      </c>
      <c r="N15" s="14">
        <f si="3" t="shared"/>
        <v>5267</v>
      </c>
      <c r="O15" s="14">
        <f si="3" t="shared"/>
        <v>6481</v>
      </c>
      <c r="P15" s="14">
        <f si="3" t="shared"/>
        <v>6356</v>
      </c>
      <c r="Q15" s="14">
        <f si="3" t="shared"/>
        <v>1874</v>
      </c>
      <c r="R15" s="14">
        <f si="3" t="shared"/>
        <v>1431</v>
      </c>
      <c r="S15" s="14">
        <f si="3" t="shared"/>
        <v>1592</v>
      </c>
      <c r="T15" s="14">
        <f si="3" t="shared"/>
        <v>0</v>
      </c>
      <c r="U15" s="14">
        <f si="3" t="shared"/>
        <v>28041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3518.3122759552043</v>
      </c>
      <c r="C20" s="11">
        <f si="4" t="shared"/>
        <v>3685.334868709615</v>
      </c>
      <c r="D20" s="11">
        <f si="4" t="shared"/>
        <v>222.87594641740438</v>
      </c>
      <c r="E20" s="11">
        <f si="4" t="shared"/>
        <v>1411.7211876089734</v>
      </c>
      <c r="F20" s="11">
        <f si="4" t="shared"/>
        <v>1297.0324230128958</v>
      </c>
      <c r="G20" s="11">
        <f si="4" t="shared"/>
        <v>0</v>
      </c>
      <c r="H20" s="11">
        <f si="4" t="shared"/>
        <v>692.72329829590626</v>
      </c>
      <c r="I20" s="11"/>
      <c r="J20" s="11">
        <f>SUM(B20:I20)</f>
        <v>10828</v>
      </c>
      <c r="K20" s="11"/>
      <c r="L20" t="str">
        <f>$A$7</f>
        <v>Bellevue</v>
      </c>
      <c r="M20" s="11">
        <f ref="M20:M26" si="5" t="shared">M7</f>
        <v>3886</v>
      </c>
      <c r="N20" s="11">
        <f ref="N20:U20" si="6" t="shared">N7</f>
        <v>3101</v>
      </c>
      <c r="O20" s="11">
        <f si="6" t="shared"/>
        <v>486</v>
      </c>
      <c r="P20" s="11">
        <f si="6" t="shared"/>
        <v>1501</v>
      </c>
      <c r="Q20" s="11">
        <f si="6" t="shared"/>
        <v>642</v>
      </c>
      <c r="R20" s="11">
        <f si="6" t="shared"/>
        <v>671</v>
      </c>
      <c r="S20" s="11">
        <f ref="S20" si="7" t="shared">S7</f>
        <v>541</v>
      </c>
      <c r="T20" s="11"/>
      <c r="U20" s="11">
        <f si="6" t="shared"/>
        <v>10828</v>
      </c>
    </row>
    <row r="21" spans="1:32" x14ac:dyDescent="0.25">
      <c r="A21" t="str">
        <f>$A$8</f>
        <v>Bellevue Downtown</v>
      </c>
      <c r="B21" s="11">
        <f ref="B21:G26" si="8" t="shared">($U8/$J8)*B8</f>
        <v>0</v>
      </c>
      <c r="C21" s="11">
        <f si="8" t="shared"/>
        <v>0</v>
      </c>
      <c r="D21" s="11">
        <f si="8" t="shared"/>
        <v>382.617079925079</v>
      </c>
      <c r="E21" s="11">
        <f si="8" t="shared"/>
        <v>0</v>
      </c>
      <c r="F21" s="11">
        <f si="8" t="shared"/>
        <v>522.382920074921</v>
      </c>
      <c r="G21" s="11">
        <f si="8" t="shared"/>
        <v>0</v>
      </c>
      <c r="H21" s="11">
        <f ref="H21:H26" si="9" t="shared">($U8/$J8)*H8</f>
        <v>0</v>
      </c>
      <c r="I21" s="11"/>
      <c r="J21" s="11">
        <f ref="J21:J26" si="10" t="shared">SUM(B21:I21)</f>
        <v>905</v>
      </c>
      <c r="K21" s="11"/>
      <c r="L21" t="str">
        <f>$A$8</f>
        <v>Bellevue Downtown</v>
      </c>
      <c r="M21" s="11">
        <f si="5" t="shared"/>
        <v>81</v>
      </c>
      <c r="N21" s="11">
        <f ref="N21:R25" si="11" t="shared">N8</f>
        <v>806</v>
      </c>
      <c r="O21" s="11">
        <f si="11" t="shared"/>
        <v>9</v>
      </c>
      <c r="P21" s="11">
        <f si="11" t="shared"/>
        <v>5</v>
      </c>
      <c r="Q21" s="11">
        <f si="11" t="shared"/>
        <v>3</v>
      </c>
      <c r="R21" s="11">
        <f si="11" t="shared"/>
        <v>1</v>
      </c>
      <c r="S21" s="11">
        <f ref="S21" si="12" t="shared">S8</f>
        <v>0</v>
      </c>
      <c r="T21" s="11"/>
      <c r="U21" s="11">
        <f ref="U21:U26" si="13" t="shared">U8</f>
        <v>905</v>
      </c>
    </row>
    <row r="22" spans="1:32" x14ac:dyDescent="0.25">
      <c r="A22" t="str">
        <f>$A$9</f>
        <v>Kirkland</v>
      </c>
      <c r="B22" s="11">
        <f si="8" t="shared"/>
        <v>0</v>
      </c>
      <c r="C22" s="11">
        <f si="8" t="shared"/>
        <v>0</v>
      </c>
      <c r="D22" s="11">
        <f si="8" t="shared"/>
        <v>4091.6552824903215</v>
      </c>
      <c r="E22" s="11">
        <f si="8" t="shared"/>
        <v>0</v>
      </c>
      <c r="F22" s="11">
        <f si="8" t="shared"/>
        <v>3617.3484813018845</v>
      </c>
      <c r="G22" s="11">
        <f si="8" t="shared"/>
        <v>1466.996236207794</v>
      </c>
      <c r="H22" s="11">
        <f si="9" t="shared"/>
        <v>0</v>
      </c>
      <c r="I22" s="11"/>
      <c r="J22" s="11">
        <f si="10" t="shared"/>
        <v>9176</v>
      </c>
      <c r="K22" s="12"/>
      <c r="L22" t="str">
        <f>$A$9</f>
        <v>Kirkland</v>
      </c>
      <c r="M22" s="11">
        <f si="5" t="shared"/>
        <v>455</v>
      </c>
      <c r="N22" s="11">
        <f si="11" t="shared"/>
        <v>818</v>
      </c>
      <c r="O22" s="11">
        <f si="11" t="shared"/>
        <v>4984</v>
      </c>
      <c r="P22" s="11">
        <f si="11" t="shared"/>
        <v>966</v>
      </c>
      <c r="Q22" s="11">
        <f si="11" t="shared"/>
        <v>841</v>
      </c>
      <c r="R22" s="11">
        <f si="11" t="shared"/>
        <v>464</v>
      </c>
      <c r="S22" s="11">
        <f ref="S22" si="14" t="shared">S9</f>
        <v>648</v>
      </c>
      <c r="T22" s="11"/>
      <c r="U22" s="11">
        <f si="13" t="shared"/>
        <v>9176</v>
      </c>
    </row>
    <row r="23" spans="1:32" x14ac:dyDescent="0.25">
      <c r="A23" t="str">
        <f>$A$10</f>
        <v>Redmond</v>
      </c>
      <c r="B23" s="11">
        <f si="8" t="shared"/>
        <v>753.14372263182156</v>
      </c>
      <c r="C23" s="11">
        <f si="8" t="shared"/>
        <v>0</v>
      </c>
      <c r="D23" s="11">
        <f si="8" t="shared"/>
        <v>2773.183545804618</v>
      </c>
      <c r="E23" s="11">
        <f si="8" t="shared"/>
        <v>3165.9395095416985</v>
      </c>
      <c r="F23" s="11">
        <f si="8" t="shared"/>
        <v>0</v>
      </c>
      <c r="G23" s="11">
        <f si="8" t="shared"/>
        <v>0</v>
      </c>
      <c r="H23" s="11">
        <f si="9" t="shared"/>
        <v>439.73322202186165</v>
      </c>
      <c r="I23" s="11"/>
      <c r="J23" s="11">
        <f>SUM(B23:I23)</f>
        <v>7132</v>
      </c>
      <c r="K23" s="12"/>
      <c r="L23" t="str">
        <f>$A$10</f>
        <v>Redmond</v>
      </c>
      <c r="M23" s="11">
        <f si="5" t="shared"/>
        <v>618</v>
      </c>
      <c r="N23" s="11">
        <f si="11" t="shared"/>
        <v>542</v>
      </c>
      <c r="O23" s="11">
        <f si="11" t="shared"/>
        <v>1002</v>
      </c>
      <c r="P23" s="11">
        <f si="11" t="shared"/>
        <v>3884</v>
      </c>
      <c r="Q23" s="11">
        <f si="11" t="shared"/>
        <v>388</v>
      </c>
      <c r="R23" s="11">
        <f si="11" t="shared"/>
        <v>295</v>
      </c>
      <c r="S23" s="11">
        <f ref="S23" si="15" t="shared">S10</f>
        <v>403</v>
      </c>
      <c r="T23" s="11"/>
      <c r="U23" s="11">
        <f si="13" t="shared"/>
        <v>7132</v>
      </c>
    </row>
    <row r="24" spans="1:32" x14ac:dyDescent="0.25">
      <c r="A24" t="str">
        <f>$A$11</f>
        <v>Seattle</v>
      </c>
      <c r="B24" s="11" t="e">
        <f si="8" t="shared"/>
        <v>#DIV/0!</v>
      </c>
      <c r="C24" s="11" t="e">
        <f si="8" t="shared"/>
        <v>#DIV/0!</v>
      </c>
      <c r="D24" s="11" t="e">
        <f si="8" t="shared"/>
        <v>#DIV/0!</v>
      </c>
      <c r="E24" s="11" t="e">
        <f si="8" t="shared"/>
        <v>#DIV/0!</v>
      </c>
      <c r="F24" s="11" t="e">
        <f si="8" t="shared"/>
        <v>#DIV/0!</v>
      </c>
      <c r="G24" s="11" t="e">
        <f si="8" t="shared"/>
        <v>#DIV/0!</v>
      </c>
      <c r="H24" s="11" t="e">
        <f si="9" t="shared"/>
        <v>#DIV/0!</v>
      </c>
      <c r="I24" s="11"/>
      <c r="J24" s="11" t="e">
        <f si="10" t="shared"/>
        <v>#DIV/0!</v>
      </c>
      <c r="K24" s="12"/>
      <c r="L24" t="str">
        <f>$A$11</f>
        <v>Seattle</v>
      </c>
      <c r="M24" s="11">
        <f si="5" t="shared"/>
        <v>0</v>
      </c>
      <c r="N24" s="11">
        <f si="11" t="shared"/>
        <v>0</v>
      </c>
      <c r="O24" s="11">
        <f si="11" t="shared"/>
        <v>0</v>
      </c>
      <c r="P24" s="11">
        <f si="11" t="shared"/>
        <v>0</v>
      </c>
      <c r="Q24" s="11">
        <f si="11" t="shared"/>
        <v>0</v>
      </c>
      <c r="R24" s="11">
        <f si="11" t="shared"/>
        <v>0</v>
      </c>
      <c r="S24" s="11">
        <f ref="S24" si="16" t="shared">S11</f>
        <v>0</v>
      </c>
      <c r="T24" s="11"/>
      <c r="U24" s="11">
        <f si="13" t="shared"/>
        <v>0</v>
      </c>
    </row>
    <row r="25" spans="1:32" x14ac:dyDescent="0.25">
      <c r="A25" t="str">
        <f>$A$12</f>
        <v>Seattle Downtown</v>
      </c>
      <c r="B25" s="11" t="e">
        <f si="8" t="shared"/>
        <v>#DIV/0!</v>
      </c>
      <c r="C25" s="11" t="e">
        <f si="8" t="shared"/>
        <v>#DIV/0!</v>
      </c>
      <c r="D25" s="11" t="e">
        <f si="8" t="shared"/>
        <v>#DIV/0!</v>
      </c>
      <c r="E25" s="11" t="e">
        <f si="8" t="shared"/>
        <v>#DIV/0!</v>
      </c>
      <c r="F25" s="11" t="e">
        <f si="8" t="shared"/>
        <v>#DIV/0!</v>
      </c>
      <c r="G25" s="11" t="e">
        <f si="8" t="shared"/>
        <v>#DIV/0!</v>
      </c>
      <c r="H25" s="11" t="e">
        <f si="9" t="shared"/>
        <v>#DIV/0!</v>
      </c>
      <c r="I25" s="11"/>
      <c r="J25" s="11" t="e">
        <f si="10" t="shared"/>
        <v>#DIV/0!</v>
      </c>
      <c r="K25" s="12"/>
      <c r="L25" t="str">
        <f>$A$12</f>
        <v>Seattle Downtown</v>
      </c>
      <c r="M25" s="11">
        <f si="5" t="shared"/>
        <v>0</v>
      </c>
      <c r="N25" s="11">
        <f si="11" t="shared"/>
        <v>0</v>
      </c>
      <c r="O25" s="11">
        <f si="11" t="shared"/>
        <v>0</v>
      </c>
      <c r="P25" s="11">
        <f si="11" t="shared"/>
        <v>0</v>
      </c>
      <c r="Q25" s="11">
        <f si="11" t="shared"/>
        <v>0</v>
      </c>
      <c r="R25" s="11">
        <f si="11" t="shared"/>
        <v>0</v>
      </c>
      <c r="S25" s="11">
        <f ref="S25" si="17" t="shared">S12</f>
        <v>0</v>
      </c>
      <c r="T25" s="11"/>
      <c r="U25" s="11">
        <f si="13" t="shared"/>
        <v>0</v>
      </c>
    </row>
    <row r="26" spans="1:32" x14ac:dyDescent="0.25">
      <c r="A26" t="str">
        <f>$A$13</f>
        <v>Rest</v>
      </c>
      <c r="B26" s="11" t="e">
        <f si="8" t="shared"/>
        <v>#DIV/0!</v>
      </c>
      <c r="C26" s="11" t="e">
        <f si="8" t="shared"/>
        <v>#DIV/0!</v>
      </c>
      <c r="D26" s="11" t="e">
        <f si="8" t="shared"/>
        <v>#DIV/0!</v>
      </c>
      <c r="E26" s="11" t="e">
        <f si="8" t="shared"/>
        <v>#DIV/0!</v>
      </c>
      <c r="F26" s="11" t="e">
        <f si="8" t="shared"/>
        <v>#DIV/0!</v>
      </c>
      <c r="G26" s="11" t="e">
        <f si="8" t="shared"/>
        <v>#DIV/0!</v>
      </c>
      <c r="H26" s="11" t="e">
        <f si="9" t="shared"/>
        <v>#DIV/0!</v>
      </c>
      <c r="I26" s="11"/>
      <c r="J26" s="11" t="e">
        <f si="10" t="shared"/>
        <v>#DIV/0!</v>
      </c>
      <c r="K26" s="12"/>
      <c r="L26" t="str">
        <f>$A$13</f>
        <v>Rest</v>
      </c>
      <c r="M26" s="11">
        <f si="5" t="shared"/>
        <v>0</v>
      </c>
      <c r="N26" s="11">
        <f ref="N26:R26" si="18" t="shared">N13</f>
        <v>0</v>
      </c>
      <c r="O26" s="11">
        <f si="18" t="shared"/>
        <v>0</v>
      </c>
      <c r="P26" s="11">
        <f si="18" t="shared"/>
        <v>0</v>
      </c>
      <c r="Q26" s="11">
        <f si="18" t="shared"/>
        <v>0</v>
      </c>
      <c r="R26" s="11">
        <f si="18" t="shared"/>
        <v>0</v>
      </c>
      <c r="S26" s="11">
        <f ref="S26" si="19" t="shared">S13</f>
        <v>0</v>
      </c>
      <c r="T26" s="11"/>
      <c r="U26" s="11">
        <f si="13" t="shared"/>
        <v>0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5040</v>
      </c>
      <c r="N28" s="14">
        <f si="21" t="shared"/>
        <v>5267</v>
      </c>
      <c r="O28" s="14">
        <f si="21" t="shared"/>
        <v>6481</v>
      </c>
      <c r="P28" s="14">
        <f si="21" t="shared"/>
        <v>6356</v>
      </c>
      <c r="Q28" s="14">
        <f si="21" t="shared"/>
        <v>1874</v>
      </c>
      <c r="R28" s="14">
        <f si="21" t="shared"/>
        <v>1431</v>
      </c>
      <c r="S28" s="14">
        <f si="21" t="shared"/>
        <v>1592</v>
      </c>
      <c r="T28" s="14"/>
      <c r="U28" s="14">
        <f si="21" t="shared"/>
        <v>28041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0.13858278948682287</v>
      </c>
      <c r="N33" s="15">
        <f si="24" t="shared"/>
        <v>0.11058806747262936</v>
      </c>
      <c r="O33" s="15">
        <f si="24" t="shared"/>
        <v>1.7331764202417888E-2</v>
      </c>
      <c r="P33" s="15">
        <f si="24" t="shared"/>
        <v>5.3528761456438784E-2</v>
      </c>
      <c r="Q33" s="15">
        <f si="24" t="shared"/>
        <v>2.2895046538996468E-2</v>
      </c>
      <c r="R33" s="15">
        <f si="24" t="shared"/>
        <v>2.3929246460539923E-2</v>
      </c>
      <c r="S33" s="15">
        <f ref="S33" si="25" t="shared">S20/$U$28</f>
        <v>1.9293177846724439E-2</v>
      </c>
      <c r="T33" s="15"/>
      <c r="U33" s="15">
        <f ref="U33:U39" si="26" t="shared">U20/$U$28</f>
        <v>0.38614885346456973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2.8886273670696481E-3</v>
      </c>
      <c r="N34" s="15">
        <f si="31" t="shared"/>
        <v>2.8743625405656004E-2</v>
      </c>
      <c r="O34" s="15">
        <f si="31" t="shared"/>
        <v>3.2095859634107199E-4</v>
      </c>
      <c r="P34" s="15">
        <f si="31" t="shared"/>
        <v>1.7831033130059556E-4</v>
      </c>
      <c r="Q34" s="15">
        <f si="31" t="shared"/>
        <v>1.0698619878035734E-4</v>
      </c>
      <c r="R34" s="15">
        <f si="31" t="shared"/>
        <v>3.5662066260119114E-5</v>
      </c>
      <c r="S34" s="15">
        <f ref="S34" si="32" t="shared">S21/$U$28</f>
        <v>0</v>
      </c>
      <c r="T34" s="15"/>
      <c r="U34" s="15">
        <f si="26" t="shared"/>
        <v>3.2274169965407794E-2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1.6226240148354196E-2</v>
      </c>
      <c r="N35" s="15">
        <f si="31" t="shared"/>
        <v>2.9171570200777434E-2</v>
      </c>
      <c r="O35" s="15">
        <f si="31" t="shared"/>
        <v>0.17773973824043365</v>
      </c>
      <c r="P35" s="15">
        <f si="31" t="shared"/>
        <v>3.4449556007275062E-2</v>
      </c>
      <c r="Q35" s="15">
        <f si="31" t="shared"/>
        <v>2.9991797724760173E-2</v>
      </c>
      <c r="R35" s="15">
        <f si="31" t="shared"/>
        <v>1.6547198744695266E-2</v>
      </c>
      <c r="S35" s="15">
        <f ref="S35" si="36" t="shared">S22/$U$28</f>
        <v>2.3109018936557185E-2</v>
      </c>
      <c r="T35" s="15"/>
      <c r="U35" s="15">
        <f si="26" t="shared"/>
        <v>0.32723512000285299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2.2039156948753611E-2</v>
      </c>
      <c r="N36" s="15">
        <f si="31" t="shared"/>
        <v>1.932883991298456E-2</v>
      </c>
      <c r="O36" s="15">
        <f si="31" t="shared"/>
        <v>3.5733390392639348E-2</v>
      </c>
      <c r="P36" s="15">
        <f si="31" t="shared"/>
        <v>0.13851146535430262</v>
      </c>
      <c r="Q36" s="15">
        <f si="31" t="shared"/>
        <v>1.3836881708926215E-2</v>
      </c>
      <c r="R36" s="15">
        <f si="31" t="shared"/>
        <v>1.0520309546735138E-2</v>
      </c>
      <c r="S36" s="15">
        <f ref="S36" si="37" t="shared">S23/$U$28</f>
        <v>1.4371812702828002E-2</v>
      </c>
      <c r="T36" s="15"/>
      <c r="U36" s="15">
        <f si="26" t="shared"/>
        <v>0.25434185656716951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0</v>
      </c>
      <c r="N37" s="15">
        <f si="31" t="shared"/>
        <v>0</v>
      </c>
      <c r="O37" s="15">
        <f si="31" t="shared"/>
        <v>0</v>
      </c>
      <c r="P37" s="15">
        <f si="31" t="shared"/>
        <v>0</v>
      </c>
      <c r="Q37" s="15">
        <f si="31" t="shared"/>
        <v>0</v>
      </c>
      <c r="R37" s="15">
        <f si="31" t="shared"/>
        <v>0</v>
      </c>
      <c r="S37" s="15">
        <f ref="S37" si="38" t="shared">S24/$U$28</f>
        <v>0</v>
      </c>
      <c r="T37" s="15"/>
      <c r="U37" s="15">
        <f si="26" t="shared"/>
        <v>0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0</v>
      </c>
      <c r="N38" s="15">
        <f si="31" t="shared"/>
        <v>0</v>
      </c>
      <c r="O38" s="15">
        <f si="31" t="shared"/>
        <v>0</v>
      </c>
      <c r="P38" s="15">
        <f si="31" t="shared"/>
        <v>0</v>
      </c>
      <c r="Q38" s="15">
        <f si="31" t="shared"/>
        <v>0</v>
      </c>
      <c r="R38" s="15">
        <f si="31" t="shared"/>
        <v>0</v>
      </c>
      <c r="S38" s="15">
        <f ref="S38" si="39" t="shared">S25/$U$28</f>
        <v>0</v>
      </c>
      <c r="T38" s="15"/>
      <c r="U38" s="15">
        <f si="26" t="shared"/>
        <v>0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0</v>
      </c>
      <c r="N39" s="15">
        <f si="31" t="shared"/>
        <v>0</v>
      </c>
      <c r="O39" s="15">
        <f si="31" t="shared"/>
        <v>0</v>
      </c>
      <c r="P39" s="15">
        <f si="31" t="shared"/>
        <v>0</v>
      </c>
      <c r="Q39" s="15">
        <f si="31" t="shared"/>
        <v>0</v>
      </c>
      <c r="R39" s="15">
        <f si="31" t="shared"/>
        <v>0</v>
      </c>
      <c r="S39" s="15">
        <f ref="S39" si="40" t="shared">S26/$U$28</f>
        <v>0</v>
      </c>
      <c r="T39" s="15"/>
      <c r="U39" s="15">
        <f si="26" t="shared"/>
        <v>0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0.17973681395100033</v>
      </c>
      <c r="N41" s="17">
        <f>N28/$U$28</f>
        <v>0.18783210299204736</v>
      </c>
      <c r="O41" s="17">
        <f>O28/$U$28</f>
        <v>0.23112585143183195</v>
      </c>
      <c r="P41" s="17">
        <f>P28/$U$28</f>
        <v>0.22666809314931707</v>
      </c>
      <c r="Q41" s="17">
        <f ref="Q41:S41" si="47" t="shared">Q28/$U$28</f>
        <v>6.6830712171463219E-2</v>
      </c>
      <c r="R41" s="17">
        <f si="47" t="shared"/>
        <v>5.1032416818230446E-2</v>
      </c>
      <c r="S41" s="17">
        <f si="47" t="shared"/>
        <v>5.6774009486109625E-2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U42" sqref="U42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2746.6052577569999</v>
      </c>
      <c r="F4" s="217" t="s">
        <v>217</v>
      </c>
      <c r="G4" s="218">
        <f>TLFD!F11</f>
        <v>4978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10205.1411857945</v>
      </c>
      <c r="F5" s="204" t="s">
        <v>218</v>
      </c>
      <c r="G5" s="220">
        <f>TLFD!F12+TLFD!F13+(TLFD!F14/2)</f>
        <v>8374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ref="Q5:Q68" si="0" t="shared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11115.059029386501</v>
      </c>
      <c r="F6" s="204" t="s">
        <v>214</v>
      </c>
      <c r="G6" s="220">
        <f>(TLFD!F14/2)+SUM(TLFD!F15:F20)</f>
        <v>9467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si="0" t="shared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4594.6358922387999</v>
      </c>
      <c r="F7" s="205" t="s">
        <v>215</v>
      </c>
      <c r="G7" s="222">
        <f>SUM(TLFD!F21:F101)</f>
        <v>5238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si="0" t="shared"/>
        <v>-0.34490013167299999</v>
      </c>
      <c r="T7" s="208">
        <v>5</v>
      </c>
      <c r="U7" s="208" t="s">
        <v>282</v>
      </c>
      <c r="V7" s="208"/>
      <c r="W7" s="208"/>
    </row>
    <row ht="15.75" r="8" spans="3:23" thickBot="1" x14ac:dyDescent="0.3">
      <c r="C8" s="206" t="s">
        <v>4</v>
      </c>
      <c r="D8" s="224">
        <f>SUM(D4:D7)</f>
        <v>28661.441365176801</v>
      </c>
      <c r="E8" s="225"/>
      <c r="F8" s="206" t="s">
        <v>4</v>
      </c>
      <c r="G8" s="224">
        <f>SUM(G4:G7)</f>
        <v>28057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si="0" t="shared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si="0" t="shared"/>
        <v>-3.9895313632499998</v>
      </c>
      <c r="T9" s="208"/>
      <c r="U9" s="289" t="s">
        <v>283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si="0" t="shared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si="0" t="shared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9.5829278882466881E-2</v>
      </c>
      <c r="F12" s="217" t="s">
        <v>217</v>
      </c>
      <c r="G12" s="227">
        <f>G4/G$8</f>
        <v>0.17742452863812952</v>
      </c>
      <c r="H12" s="227"/>
      <c r="I12" s="258">
        <f>D12/G12</f>
        <v>0.54011291233535019</v>
      </c>
      <c r="J12" s="259">
        <f>LN(I12)</f>
        <v>-0.6159770643642154</v>
      </c>
      <c r="K12" s="259">
        <f>J8*J12</f>
        <v>-0.6159770643642154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si="0" t="shared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0.35605819874061134</v>
      </c>
      <c r="F13" s="204" t="s">
        <v>218</v>
      </c>
      <c r="G13" s="228">
        <f ref="G13:G16" si="2" t="shared">G5/G$8</f>
        <v>0.29846384146558791</v>
      </c>
      <c r="H13" s="228"/>
      <c r="I13" s="258">
        <f ref="I13:I15" si="3" t="shared">D13/G13</f>
        <v>1.1929692956848976</v>
      </c>
      <c r="J13" s="259">
        <f ref="J13:J15" si="4" t="shared">LN(I13)</f>
        <v>0.17644540572246087</v>
      </c>
      <c r="K13" s="259">
        <f>J8*(J13-J12)</f>
        <v>0.79242247008667621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si="0" t="shared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si="1" t="shared"/>
        <v>0.38780530566376614</v>
      </c>
      <c r="F14" s="204" t="s">
        <v>214</v>
      </c>
      <c r="G14" s="228">
        <f si="2" t="shared"/>
        <v>0.33742025163060912</v>
      </c>
      <c r="H14" s="228"/>
      <c r="I14" s="258">
        <f si="3" t="shared"/>
        <v>1.1493243330525285</v>
      </c>
      <c r="J14" s="259">
        <f si="4" t="shared"/>
        <v>0.13917423323190564</v>
      </c>
      <c r="K14" s="259">
        <f>J8*(J14-J13-J12)</f>
        <v>0.57870589187366017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si="0" t="shared"/>
        <v>-0.80534348065299999</v>
      </c>
      <c r="T14" s="208">
        <v>5</v>
      </c>
      <c r="U14" s="202" t="s">
        <v>287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0.16030721671315562</v>
      </c>
      <c r="F15" s="205" t="s">
        <v>215</v>
      </c>
      <c r="G15" s="228">
        <f si="2" t="shared"/>
        <v>0.18669137826567345</v>
      </c>
      <c r="H15" s="228"/>
      <c r="I15" s="260">
        <f si="3" t="shared"/>
        <v>0.85867498650649243</v>
      </c>
      <c r="J15" s="261">
        <f si="4" t="shared"/>
        <v>-0.15236479121848756</v>
      </c>
      <c r="K15" s="261">
        <f>J8*(J15-J14-J13-J12)</f>
        <v>0.14799263419136133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si="0" t="shared"/>
        <v>-0.51977799879300002</v>
      </c>
      <c r="T15" s="208">
        <v>6</v>
      </c>
      <c r="U15" s="208" t="s">
        <v>288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si="0" t="shared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si="0" t="shared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si="0" t="shared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si="0" t="shared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si="0" t="shared"/>
        <v>-12.0946718381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si="0" t="shared"/>
        <v>-4.03623745316</v>
      </c>
    </row>
    <row r="25" spans="2:23" x14ac:dyDescent="0.25">
      <c r="B25" s="263">
        <v>46</v>
      </c>
      <c r="C25" s="204" t="s">
        <v>214</v>
      </c>
      <c r="D25" s="267">
        <f si="5" t="shared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si="0" t="shared"/>
        <v>-2.16371815818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si="0" t="shared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si="0" t="shared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si="0" t="shared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si="0" t="shared"/>
        <v>-5.1880432348000003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si="0" t="shared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si="0" t="shared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-0.6159770643642154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si="0" t="shared"/>
        <v>5.7553461640599997E-2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0.79242247008667621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si="0" t="shared"/>
        <v>0.237798002151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0.57870589187366017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0.14799263419136133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si="0" t="shared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si="0" t="shared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si="0" t="shared"/>
        <v>-7.1836373472300004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si="0" t="shared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si="0" t="shared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-32.772071156464214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si="0" t="shared"/>
        <v>-0.22141031751900001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-6.7627649066333237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si="0" t="shared"/>
        <v>0.64228876129599999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-2.8997039312663397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si="0" t="shared"/>
        <v>0.74588429254199995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-0.64372521293163865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si="0" t="shared"/>
        <v>-32.772071156464214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si="0" t="shared"/>
        <v>-6.7627649066333237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si="0" t="shared"/>
        <v>-2.8997039312663397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si="0" t="shared"/>
        <v>-0.64372521293163865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si="0" t="shared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si="0" t="shared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si="0" t="shared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si="0" t="shared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si="0" t="shared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si="0" t="shared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si="0" t="shared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si="0" t="shared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si="0" t="shared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si="0" t="shared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si="0" t="shared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si="0" t="shared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si="0" t="shared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si="0" t="shared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si="0" t="shared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si="0" t="shared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si="0" t="shared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si="0" t="shared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ref="Q69:Q104" si="10" t="shared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si="10" t="shared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si="10" t="shared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si="10" t="shared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si="10" t="shared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si="10" t="shared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si="10" t="shared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si="10" t="shared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si="10" t="shared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si="10" t="shared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si="10" t="shared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si="10" t="shared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si="10" t="shared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si="10" t="shared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si="10" t="shared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si="10" t="shared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si="10" t="shared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si="10" t="shared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si="10" t="shared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si="10" t="shared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si="10" t="shared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si="10" t="shared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si="10" t="shared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si="10" t="shared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si="10" t="shared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si="10" t="shared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si="10" t="shared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si="10" t="shared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si="10" t="shared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si="10" t="shared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si="10" t="shared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si="10" t="shared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si="10" t="shared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si="10" t="shared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si="10" t="shared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2017-10-26T15:42:28Z</dcterms:modified>
</cp:coreProperties>
</file>