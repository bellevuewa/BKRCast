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24BA8839-1D00-4B0A-A61F-D597AADDB97E}" revIDLastSave="0" xr10:uidLastSave="{00000000-0000-0000-0000-000000000000}" xr6:coauthVersionLast="41" xr6:coauthVersionMax="41"/>
  <bookViews>
    <workbookView activeTab="6" firstSheet="3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7" l="1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r="AE33"/>
  <c i="1" r="AE34"/>
  <c i="1" r="AE35"/>
  <c i="1" r="AE36"/>
  <c i="1" r="AE37"/>
  <c i="1" r="AE38"/>
  <c i="1" r="AE39"/>
  <c i="1" r="U13"/>
  <c i="1" r="S20"/>
  <c i="1" r="S21"/>
  <c i="1" r="S22"/>
  <c i="1" r="S23"/>
  <c i="1" r="S24"/>
  <c i="1" r="S25"/>
  <c i="1" r="S26"/>
  <c i="1" r="L13"/>
  <c i="1" l="1" r="U7"/>
  <c i="1" r="U8"/>
  <c i="1" r="U9"/>
  <c i="1" r="U10"/>
  <c i="1" r="U11"/>
  <c i="1" r="U12"/>
  <c i="1" r="H19"/>
  <c i="1" r="A26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G12"/>
  <c i="7" l="1" r="I15"/>
  <c i="7" r="J15" s="1"/>
  <c i="7" r="I13"/>
  <c i="7" r="J13" s="1"/>
  <c i="7" r="I12"/>
  <c i="7" r="J12" s="1"/>
  <c i="7" r="I14"/>
  <c i="7" r="J14" s="1"/>
  <c i="1" r="H15"/>
  <c i="1" r="J13"/>
  <c i="7" l="1" r="K13"/>
  <c i="7" r="D34" s="1"/>
  <c i="7" r="D44" s="1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1" r="G26"/>
  <c i="1" r="B26"/>
  <c i="1" r="E26"/>
  <c i="1" r="F26"/>
  <c i="1" r="C26"/>
  <c i="1" r="D26"/>
  <c i="1" r="H26"/>
  <c i="1" r="S15"/>
  <c i="7" l="1" r="Q55"/>
  <c i="7" r="Q49"/>
  <c i="7" r="Q53"/>
  <c i="7" r="Q47"/>
  <c i="1" r="J26"/>
  <c i="1" r="S28"/>
  <c i="1" r="U26"/>
  <c i="1" r="N26"/>
  <c i="1" r="O26"/>
  <c i="1" r="P26"/>
  <c i="1" r="Q26"/>
  <c i="1" r="R26"/>
  <c i="1" r="M26"/>
  <c i="1" r="AD32"/>
  <c i="1" r="S32"/>
  <c i="1" r="H32"/>
  <c i="1" r="S19"/>
  <c i="1" r="W39"/>
  <c i="1" r="L26"/>
  <c i="1" r="A39"/>
  <c i="1" r="L39" s="1"/>
  <c i="1" r="S6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H25"/>
  <c i="1" r="H24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J23"/>
  <c i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7"/>
  <c i="1" r="S38"/>
  <c i="1" r="S39"/>
  <c i="1" r="S36"/>
  <c i="1" r="S35"/>
  <c i="1" r="S33"/>
  <c i="1" r="S34"/>
  <c i="1" r="R39"/>
  <c i="1" r="O39"/>
  <c i="1" r="Q39"/>
  <c i="1" r="N39"/>
  <c i="1" r="U39"/>
  <c i="1" r="M39"/>
  <c i="1" r="P39"/>
  <c i="1" r="F28"/>
  <c i="1" r="G28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l="1" r="H41"/>
  <c i="1" r="AD41" s="1"/>
  <c i="1" r="H39"/>
  <c i="1" r="C39"/>
  <c i="1" r="B39"/>
  <c i="1" r="D39"/>
  <c i="1" r="E39"/>
  <c i="1" r="F39"/>
  <c i="1" r="G39"/>
  <c i="1" r="AC39" s="1"/>
  <c i="1" r="J39"/>
  <c i="1" r="AD39"/>
  <c i="1" r="AA39"/>
  <c i="1" r="X39"/>
  <c i="1" r="AB39"/>
  <c i="1" r="AF39"/>
  <c i="1" r="Y39"/>
  <c i="1" r="Z39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<sst xmlns="http://schemas.openxmlformats.org/spreadsheetml/2006/main" count="722" uniqueCount="290">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</sst>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9.5829278882466853E-2</c:v>
                </c:pt>
                <c:pt idx="1">
                  <c:v>7.2731974001899263E-2</c:v>
                </c:pt>
                <c:pt idx="2">
                  <c:v>0.18345123838950952</c:v>
                </c:pt>
                <c:pt idx="3">
                  <c:v>0.19974997269840489</c:v>
                </c:pt>
                <c:pt idx="4">
                  <c:v>5.616230049015436E-2</c:v>
                </c:pt>
                <c:pt idx="5">
                  <c:v>0.11871274289387122</c:v>
                </c:pt>
                <c:pt idx="6">
                  <c:v>3.0249096915215511E-2</c:v>
                </c:pt>
                <c:pt idx="7">
                  <c:v>1.7283877579927987E-2</c:v>
                </c:pt>
                <c:pt idx="8">
                  <c:v>0</c:v>
                </c:pt>
                <c:pt idx="9">
                  <c:v>6.5522301435394503E-2</c:v>
                </c:pt>
                <c:pt idx="10">
                  <c:v>1.019861811444516E-2</c:v>
                </c:pt>
                <c:pt idx="11">
                  <c:v>0</c:v>
                </c:pt>
                <c:pt idx="12">
                  <c:v>1.3988952154448868E-2</c:v>
                </c:pt>
                <c:pt idx="13">
                  <c:v>0</c:v>
                </c:pt>
                <c:pt idx="14">
                  <c:v>2.7761800690413094E-2</c:v>
                </c:pt>
                <c:pt idx="15">
                  <c:v>0</c:v>
                </c:pt>
                <c:pt idx="16">
                  <c:v>4.9900841773425485E-2</c:v>
                </c:pt>
                <c:pt idx="17">
                  <c:v>2.391357379834173E-2</c:v>
                </c:pt>
                <c:pt idx="18">
                  <c:v>0</c:v>
                </c:pt>
                <c:pt idx="19">
                  <c:v>3.2178963948009055E-3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3.1325533787280327E-2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0.17203123957012215</c:v>
                </c:pt>
                <c:pt idx="1">
                  <c:v>9.6014952272878984E-2</c:v>
                </c:pt>
                <c:pt idx="2">
                  <c:v>6.2826246579000072E-2</c:v>
                </c:pt>
                <c:pt idx="3">
                  <c:v>4.8274481009278419E-2</c:v>
                </c:pt>
                <c:pt idx="4">
                  <c:v>9.2463787464121219E-2</c:v>
                </c:pt>
                <c:pt idx="5">
                  <c:v>6.5055737267205122E-2</c:v>
                </c:pt>
                <c:pt idx="6">
                  <c:v>6.999532741472532E-2</c:v>
                </c:pt>
                <c:pt idx="7">
                  <c:v>3.6259261731526597E-2</c:v>
                </c:pt>
                <c:pt idx="8">
                  <c:v>3.8528803150657501E-2</c:v>
                </c:pt>
                <c:pt idx="9">
                  <c:v>2.621987851278286E-2</c:v>
                </c:pt>
                <c:pt idx="10">
                  <c:v>2.3923636606368065E-2</c:v>
                </c:pt>
                <c:pt idx="11">
                  <c:v>2.2268206394766704E-2</c:v>
                </c:pt>
                <c:pt idx="12">
                  <c:v>2.2748815165876776E-2</c:v>
                </c:pt>
                <c:pt idx="13">
                  <c:v>2.2521861023963686E-2</c:v>
                </c:pt>
                <c:pt idx="14">
                  <c:v>2.2708764434950939E-2</c:v>
                </c:pt>
                <c:pt idx="15">
                  <c:v>2.395033709365196E-2</c:v>
                </c:pt>
                <c:pt idx="16">
                  <c:v>1.9144249382551232E-2</c:v>
                </c:pt>
                <c:pt idx="17">
                  <c:v>1.8102930378479407E-2</c:v>
                </c:pt>
                <c:pt idx="18">
                  <c:v>1.5993591883051866E-2</c:v>
                </c:pt>
                <c:pt idx="19">
                  <c:v>1.3657299245711234E-2</c:v>
                </c:pt>
                <c:pt idx="20">
                  <c:v>1.2041919765035712E-2</c:v>
                </c:pt>
                <c:pt idx="21">
                  <c:v>1.0052733462385688E-2</c:v>
                </c:pt>
                <c:pt idx="22">
                  <c:v>1.166811294306121E-2</c:v>
                </c:pt>
                <c:pt idx="23">
                  <c:v>1.0746946131766905E-2</c:v>
                </c:pt>
                <c:pt idx="24">
                  <c:v>7.9567452106000941E-3</c:v>
                </c:pt>
                <c:pt idx="25">
                  <c:v>5.7272545223950337E-3</c:v>
                </c:pt>
                <c:pt idx="26">
                  <c:v>3.9116213870903143E-3</c:v>
                </c:pt>
                <c:pt idx="27">
                  <c:v>3.1640077431413123E-3</c:v>
                </c:pt>
                <c:pt idx="28">
                  <c:v>3.2975101795607769E-3</c:v>
                </c:pt>
                <c:pt idx="29">
                  <c:v>3.2040584740671519E-3</c:v>
                </c:pt>
                <c:pt idx="30">
                  <c:v>2.2695414191308992E-3</c:v>
                </c:pt>
                <c:pt idx="31">
                  <c:v>2.2828916627728457E-3</c:v>
                </c:pt>
                <c:pt idx="32">
                  <c:v>1.922435084440291E-3</c:v>
                </c:pt>
                <c:pt idx="33">
                  <c:v>1.0947199786396102E-3</c:v>
                </c:pt>
                <c:pt idx="34">
                  <c:v>7.7431413123289501E-4</c:v>
                </c:pt>
                <c:pt idx="35">
                  <c:v>6.8086242573926975E-4</c:v>
                </c:pt>
                <c:pt idx="36">
                  <c:v>1.0947199786396102E-3</c:v>
                </c:pt>
                <c:pt idx="37">
                  <c:v>1.1080702222815567E-3</c:v>
                </c:pt>
                <c:pt idx="38">
                  <c:v>9.8791802950403849E-4</c:v>
                </c:pt>
                <c:pt idx="39">
                  <c:v>8.2771510580068085E-4</c:v>
                </c:pt>
                <c:pt idx="40">
                  <c:v>4.6725852746812627E-4</c:v>
                </c:pt>
                <c:pt idx="41">
                  <c:v>2.9370536012282225E-4</c:v>
                </c:pt>
                <c:pt idx="42">
                  <c:v>1.4685268006141112E-4</c:v>
                </c:pt>
                <c:pt idx="43">
                  <c:v>2.2695414191308992E-4</c:v>
                </c:pt>
                <c:pt idx="44">
                  <c:v>2.9370536012282225E-4</c:v>
                </c:pt>
                <c:pt idx="45">
                  <c:v>2.9370536012282225E-4</c:v>
                </c:pt>
                <c:pt idx="46">
                  <c:v>9.3451705493625254E-5</c:v>
                </c:pt>
                <c:pt idx="47">
                  <c:v>2.00253654629197E-4</c:v>
                </c:pt>
                <c:pt idx="48">
                  <c:v>9.3451705493625254E-5</c:v>
                </c:pt>
                <c:pt idx="49">
                  <c:v>6.6751218209732332E-5</c:v>
                </c:pt>
                <c:pt idx="50">
                  <c:v>2.6700487283892932E-5</c:v>
                </c:pt>
                <c:pt idx="51">
                  <c:v>1.6020292370335759E-4</c:v>
                </c:pt>
                <c:pt idx="52">
                  <c:v>2.6700487283892932E-5</c:v>
                </c:pt>
                <c:pt idx="53">
                  <c:v>2.6700487283892932E-5</c:v>
                </c:pt>
                <c:pt idx="54">
                  <c:v>1.3350243641946466E-5</c:v>
                </c:pt>
                <c:pt idx="55">
                  <c:v>0</c:v>
                </c:pt>
                <c:pt idx="56">
                  <c:v>0</c:v>
                </c:pt>
                <c:pt idx="57">
                  <c:v>1.3350243641946466E-5</c:v>
                </c:pt>
                <c:pt idx="58">
                  <c:v>1.3350243641946466E-5</c:v>
                </c:pt>
                <c:pt idx="59">
                  <c:v>0</c:v>
                </c:pt>
                <c:pt idx="60">
                  <c:v>1.3350243641946466E-5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23216"/>
        <c:axId val="338523608"/>
      </c:lineChart>
      <c:catAx>
        <c:axId val="338523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8523608"/>
        <c:crosses val="autoZero"/>
        <c:auto val="1"/>
        <c:lblAlgn val="ctr"/>
        <c:lblOffset val="100"/>
        <c:tickLblSkip val="10"/>
        <c:noMultiLvlLbl val="0"/>
      </c:catAx>
      <c:valAx>
        <c:axId val="338523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85232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4.9670303646929585E-2</c:v>
                </c:pt>
                <c:pt idx="4">
                  <c:v>4.1636636484092555E-2</c:v>
                </c:pt>
                <c:pt idx="5">
                  <c:v>8.9479327211399645E-2</c:v>
                </c:pt>
                <c:pt idx="6">
                  <c:v>4.9140549760879469E-2</c:v>
                </c:pt>
                <c:pt idx="7">
                  <c:v>0.18139283537399756</c:v>
                </c:pt>
                <c:pt idx="8">
                  <c:v>8.9632218681202844E-2</c:v>
                </c:pt>
                <c:pt idx="9">
                  <c:v>2.7433851741466651E-2</c:v>
                </c:pt>
                <c:pt idx="10">
                  <c:v>9.8500857127168578E-2</c:v>
                </c:pt>
                <c:pt idx="11">
                  <c:v>3.9211365678889581E-2</c:v>
                </c:pt>
                <c:pt idx="12">
                  <c:v>1.5223137779878659E-2</c:v>
                </c:pt>
                <c:pt idx="13">
                  <c:v>0</c:v>
                </c:pt>
                <c:pt idx="14">
                  <c:v>1.2846682812447897E-2</c:v>
                </c:pt>
                <c:pt idx="15">
                  <c:v>4.1190049884908063E-2</c:v>
                </c:pt>
                <c:pt idx="16">
                  <c:v>2.152878808826067E-2</c:v>
                </c:pt>
                <c:pt idx="17">
                  <c:v>0</c:v>
                </c:pt>
                <c:pt idx="18">
                  <c:v>6.5522301435394517E-2</c:v>
                </c:pt>
                <c:pt idx="19">
                  <c:v>0</c:v>
                </c:pt>
                <c:pt idx="20">
                  <c:v>4.1594960991685132E-3</c:v>
                </c:pt>
                <c:pt idx="21">
                  <c:v>1.7283877579927987E-2</c:v>
                </c:pt>
                <c:pt idx="22">
                  <c:v>0</c:v>
                </c:pt>
                <c:pt idx="23">
                  <c:v>0</c:v>
                </c:pt>
                <c:pt idx="24">
                  <c:v>2.1650900934659677E-2</c:v>
                </c:pt>
                <c:pt idx="25">
                  <c:v>0</c:v>
                </c:pt>
                <c:pt idx="26">
                  <c:v>2.3913573798341733E-2</c:v>
                </c:pt>
                <c:pt idx="27">
                  <c:v>0</c:v>
                </c:pt>
                <c:pt idx="28">
                  <c:v>1.3047352450081262E-2</c:v>
                </c:pt>
                <c:pt idx="29">
                  <c:v>1.2186198538897014E-2</c:v>
                </c:pt>
                <c:pt idx="30">
                  <c:v>0</c:v>
                </c:pt>
                <c:pt idx="31">
                  <c:v>9.0821846436610378E-3</c:v>
                </c:pt>
                <c:pt idx="32">
                  <c:v>0</c:v>
                </c:pt>
                <c:pt idx="33">
                  <c:v>2.7761800690413098E-2</c:v>
                </c:pt>
                <c:pt idx="34">
                  <c:v>5.6267887767480797E-3</c:v>
                </c:pt>
                <c:pt idx="35">
                  <c:v>0</c:v>
                </c:pt>
                <c:pt idx="36">
                  <c:v>1.7180175770652922E-2</c:v>
                </c:pt>
                <c:pt idx="37">
                  <c:v>0</c:v>
                </c:pt>
                <c:pt idx="38">
                  <c:v>0</c:v>
                </c:pt>
                <c:pt idx="39">
                  <c:v>2.5698745010532251E-2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1.3443695347440091E-2</c:v>
                </c:pt>
                <c:pt idx="1">
                  <c:v>3.3842867632334288E-2</c:v>
                </c:pt>
                <c:pt idx="2">
                  <c:v>4.585808691008611E-2</c:v>
                </c:pt>
                <c:pt idx="3">
                  <c:v>5.6831987183766107E-2</c:v>
                </c:pt>
                <c:pt idx="4">
                  <c:v>4.8634937587610977E-2</c:v>
                </c:pt>
                <c:pt idx="5">
                  <c:v>3.9396568987384022E-2</c:v>
                </c:pt>
                <c:pt idx="6">
                  <c:v>3.3642613977705092E-2</c:v>
                </c:pt>
                <c:pt idx="7">
                  <c:v>3.1439823776783928E-2</c:v>
                </c:pt>
                <c:pt idx="8">
                  <c:v>2.7020893131299645E-2</c:v>
                </c:pt>
                <c:pt idx="9">
                  <c:v>2.5645818036179161E-2</c:v>
                </c:pt>
                <c:pt idx="10">
                  <c:v>2.3963687337293905E-2</c:v>
                </c:pt>
                <c:pt idx="11">
                  <c:v>2.2762165409518725E-2</c:v>
                </c:pt>
                <c:pt idx="12">
                  <c:v>2.0225619117548894E-2</c:v>
                </c:pt>
                <c:pt idx="13">
                  <c:v>1.862358988051532E-2</c:v>
                </c:pt>
                <c:pt idx="14">
                  <c:v>1.4658567518857218E-2</c:v>
                </c:pt>
                <c:pt idx="15">
                  <c:v>1.4298110940524664E-2</c:v>
                </c:pt>
                <c:pt idx="16">
                  <c:v>1.4444963620586075E-2</c:v>
                </c:pt>
                <c:pt idx="17">
                  <c:v>1.1814965623122621E-2</c:v>
                </c:pt>
                <c:pt idx="18">
                  <c:v>4.2346972832254186E-2</c:v>
                </c:pt>
                <c:pt idx="19">
                  <c:v>2.9116881383085241E-2</c:v>
                </c:pt>
                <c:pt idx="20">
                  <c:v>2.8609572124691274E-2</c:v>
                </c:pt>
                <c:pt idx="21">
                  <c:v>3.186703157332621E-2</c:v>
                </c:pt>
                <c:pt idx="22">
                  <c:v>3.1973833522461782E-2</c:v>
                </c:pt>
                <c:pt idx="23">
                  <c:v>2.3416327347974102E-2</c:v>
                </c:pt>
                <c:pt idx="24">
                  <c:v>2.3803484413590547E-2</c:v>
                </c:pt>
                <c:pt idx="25">
                  <c:v>2.3883585875442228E-2</c:v>
                </c:pt>
                <c:pt idx="26">
                  <c:v>1.8877244509712302E-2</c:v>
                </c:pt>
                <c:pt idx="27">
                  <c:v>1.9664908884587145E-2</c:v>
                </c:pt>
                <c:pt idx="28">
                  <c:v>1.8703691342366997E-2</c:v>
                </c:pt>
                <c:pt idx="29">
                  <c:v>1.7822575261998531E-2</c:v>
                </c:pt>
                <c:pt idx="30">
                  <c:v>1.8276483545824711E-2</c:v>
                </c:pt>
                <c:pt idx="31">
                  <c:v>1.5326079700954542E-2</c:v>
                </c:pt>
                <c:pt idx="32">
                  <c:v>1.4725318737066952E-2</c:v>
                </c:pt>
                <c:pt idx="33">
                  <c:v>1.5526333355583739E-2</c:v>
                </c:pt>
                <c:pt idx="34">
                  <c:v>1.2549229023429677E-2</c:v>
                </c:pt>
                <c:pt idx="35">
                  <c:v>1.2415726587010213E-2</c:v>
                </c:pt>
                <c:pt idx="36">
                  <c:v>1.0186235898805154E-2</c:v>
                </c:pt>
                <c:pt idx="37">
                  <c:v>1.106735197917362E-2</c:v>
                </c:pt>
                <c:pt idx="38">
                  <c:v>9.1716173820172216E-3</c:v>
                </c:pt>
                <c:pt idx="39">
                  <c:v>8.7444095854749358E-3</c:v>
                </c:pt>
                <c:pt idx="40">
                  <c:v>6.8887257192443759E-3</c:v>
                </c:pt>
                <c:pt idx="41">
                  <c:v>7.1557305920833059E-3</c:v>
                </c:pt>
                <c:pt idx="42">
                  <c:v>6.4348174354181961E-3</c:v>
                </c:pt>
                <c:pt idx="43">
                  <c:v>5.7272545223950337E-3</c:v>
                </c:pt>
                <c:pt idx="44">
                  <c:v>5.0063413657299247E-3</c:v>
                </c:pt>
                <c:pt idx="45">
                  <c:v>3.8715706561644751E-3</c:v>
                </c:pt>
                <c:pt idx="46">
                  <c:v>3.4043121286963488E-3</c:v>
                </c:pt>
                <c:pt idx="47">
                  <c:v>3.1373072558574192E-3</c:v>
                </c:pt>
                <c:pt idx="48">
                  <c:v>2.5632467792537214E-3</c:v>
                </c:pt>
                <c:pt idx="49">
                  <c:v>2.4030438555503637E-3</c:v>
                </c:pt>
                <c:pt idx="50">
                  <c:v>2.8970028703023832E-3</c:v>
                </c:pt>
                <c:pt idx="51">
                  <c:v>2.5899472665376145E-3</c:v>
                </c:pt>
                <c:pt idx="52">
                  <c:v>1.8423336225886122E-3</c:v>
                </c:pt>
                <c:pt idx="53">
                  <c:v>1.4685268006141112E-3</c:v>
                </c:pt>
                <c:pt idx="54">
                  <c:v>1.3083238769107536E-3</c:v>
                </c:pt>
                <c:pt idx="55">
                  <c:v>1.3216741205527001E-3</c:v>
                </c:pt>
                <c:pt idx="56">
                  <c:v>9.4786729857819908E-4</c:v>
                </c:pt>
                <c:pt idx="57">
                  <c:v>7.6096388759094857E-4</c:v>
                </c:pt>
                <c:pt idx="58">
                  <c:v>6.6751218209732332E-4</c:v>
                </c:pt>
                <c:pt idx="59">
                  <c:v>6.8086242573926975E-4</c:v>
                </c:pt>
                <c:pt idx="60">
                  <c:v>4.9395901475201925E-4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22432"/>
        <c:axId val="338524392"/>
      </c:lineChart>
      <c:catAx>
        <c:axId val="338522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38524392"/>
        <c:crosses val="autoZero"/>
        <c:auto val="1"/>
        <c:lblAlgn val="ctr"/>
        <c:lblOffset val="100"/>
        <c:tickLblSkip val="10"/>
        <c:noMultiLvlLbl val="0"/>
      </c:catAx>
      <c:valAx>
        <c:axId val="33852439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3852243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workbookViewId="0">
      <selection activeCell="O10" sqref="O10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2746.605257757</v>
      </c>
      <c r="C11" s="10">
        <f>B11/B$102</f>
        <v>9.5829278882466853E-2</v>
      </c>
      <c r="E11" s="18">
        <v>0</v>
      </c>
      <c r="F11" s="248" t="n">
        <v>13188.0</v>
      </c>
      <c r="G11" s="10">
        <f>F11/F$102</f>
        <v>0.17203123957012215</v>
      </c>
      <c r="K11" s="8" t="n">
        <v>5.425695604781631</v>
      </c>
      <c r="L11" s="8" t="n">
        <v>7.60696126604938</v>
      </c>
    </row>
    <row r="12" spans="1:12" x14ac:dyDescent="0.25">
      <c r="A12">
        <v>1</v>
      </c>
      <c r="B12" s="246" t="n">
        <v>2084.603208229</v>
      </c>
      <c r="C12" s="10">
        <f>B12/B$102</f>
        <v>7.2731974001899263E-2</v>
      </c>
      <c r="E12" s="19">
        <v>1</v>
      </c>
      <c r="F12" s="248" t="n">
        <v>7127.0</v>
      </c>
      <c r="G12" s="10">
        <f>F12/F$102</f>
        <v>9.6014952272878984E-2</v>
      </c>
      <c r="K12" s="8"/>
      <c r="L12" s="198"/>
    </row>
    <row r="13" spans="1:12" x14ac:dyDescent="0.25">
      <c r="A13">
        <v>2</v>
      </c>
      <c r="B13" s="246" t="n">
        <v>5257.97691247</v>
      </c>
      <c r="C13" s="10">
        <f ref="C13:C76" si="0" t="shared">B13/B$102</f>
        <v>0.18345123838950952</v>
      </c>
      <c r="E13" s="20">
        <v>2</v>
      </c>
      <c r="F13" s="248" t="n">
        <v>4770.0</v>
      </c>
      <c r="G13" s="10">
        <f ref="G13:G76" si="1" t="shared">F13/F$102</f>
        <v>6.2826246579000072E-2</v>
      </c>
    </row>
    <row r="14" spans="1:12" x14ac:dyDescent="0.25">
      <c r="A14">
        <v>3</v>
      </c>
      <c r="B14" s="246" t="n">
        <v>5725.122130191</v>
      </c>
      <c r="C14" s="10">
        <f si="0" t="shared"/>
        <v>0.19974997269840489</v>
      </c>
      <c r="E14" s="21">
        <v>3</v>
      </c>
      <c r="F14" s="248" t="n">
        <v>3466.0</v>
      </c>
      <c r="G14" s="10">
        <f si="1" t="shared"/>
        <v>4.8274481009278419E-2</v>
      </c>
    </row>
    <row r="15" spans="1:12" x14ac:dyDescent="0.25">
      <c r="A15">
        <v>4</v>
      </c>
      <c r="B15" s="246" t="n">
        <v>1609.692482432</v>
      </c>
      <c r="C15" s="10">
        <f si="0" t="shared"/>
        <v>5.616230049015436E-2</v>
      </c>
      <c r="E15" s="22">
        <v>4</v>
      </c>
      <c r="F15" s="248" t="n">
        <v>7154.0</v>
      </c>
      <c r="G15" s="10">
        <f si="1" t="shared"/>
        <v>9.2463787464121219E-2</v>
      </c>
    </row>
    <row r="16" spans="1:12" x14ac:dyDescent="0.25">
      <c r="A16">
        <v>5</v>
      </c>
      <c r="B16" s="246" t="n">
        <v>3402.478319752</v>
      </c>
      <c r="C16" s="10">
        <f si="0" t="shared"/>
        <v>0.11871274289387122</v>
      </c>
      <c r="E16" s="23">
        <v>5</v>
      </c>
      <c r="F16" s="248" t="n">
        <v>4635.0</v>
      </c>
      <c r="G16" s="10">
        <f si="1" t="shared"/>
        <v>6.5055737267205122E-2</v>
      </c>
    </row>
    <row r="17" spans="1:7" x14ac:dyDescent="0.25">
      <c r="A17">
        <v>6</v>
      </c>
      <c r="B17" s="246" t="n">
        <v>866.982717585</v>
      </c>
      <c r="C17" s="10">
        <f si="0" t="shared"/>
        <v>3.0249096915215511E-2</v>
      </c>
      <c r="E17" s="24">
        <v>6</v>
      </c>
      <c r="F17" s="248" t="n">
        <v>5084.0</v>
      </c>
      <c r="G17" s="10">
        <f si="1" t="shared"/>
        <v>6.999532741472532E-2</v>
      </c>
    </row>
    <row r="18" spans="1:7" x14ac:dyDescent="0.25">
      <c r="A18">
        <v>7</v>
      </c>
      <c r="B18" s="246" t="n">
        <v>495.38084382</v>
      </c>
      <c r="C18" s="10">
        <f si="0" t="shared"/>
        <v>1.7283877579927987E-2</v>
      </c>
      <c r="E18" s="25">
        <v>7</v>
      </c>
      <c r="F18" s="248" t="n">
        <v>2627.0</v>
      </c>
      <c r="G18" s="10">
        <f si="1" t="shared"/>
        <v>3.6259261731526597E-2</v>
      </c>
    </row>
    <row r="19" spans="1:7" x14ac:dyDescent="0.25">
      <c r="A19">
        <v>8</v>
      </c>
      <c r="B19" s="246" t="n">
        <v>0.0</v>
      </c>
      <c r="C19" s="10">
        <f si="0" t="shared"/>
        <v>0</v>
      </c>
      <c r="E19" s="26">
        <v>8</v>
      </c>
      <c r="F19" s="248" t="n">
        <v>2819.0</v>
      </c>
      <c r="G19" s="10">
        <f si="1" t="shared"/>
        <v>3.8528803150657501E-2</v>
      </c>
    </row>
    <row r="20" spans="1:7" x14ac:dyDescent="0.25">
      <c r="A20">
        <v>9</v>
      </c>
      <c r="B20" s="246" t="n">
        <v>1877.963600702</v>
      </c>
      <c r="C20" s="10">
        <f si="0" t="shared"/>
        <v>6.5522301435394503E-2</v>
      </c>
      <c r="E20" s="27">
        <v>9</v>
      </c>
      <c r="F20" s="248" t="n">
        <v>1995.0</v>
      </c>
      <c r="G20" s="10">
        <f si="1" t="shared"/>
        <v>2.621987851278286E-2</v>
      </c>
    </row>
    <row r="21" spans="1:7" x14ac:dyDescent="0.25">
      <c r="A21">
        <v>10</v>
      </c>
      <c r="B21" s="246" t="n">
        <v>292.307095093</v>
      </c>
      <c r="C21" s="10">
        <f si="0" t="shared"/>
        <v>1.019861811444516E-2</v>
      </c>
      <c r="E21" s="28">
        <v>10</v>
      </c>
      <c r="F21" s="248" t="n">
        <v>1785.0</v>
      </c>
      <c r="G21" s="10">
        <f si="1" t="shared"/>
        <v>2.3923636606368065E-2</v>
      </c>
    </row>
    <row r="22" spans="1:7" x14ac:dyDescent="0.25">
      <c r="A22">
        <v>11</v>
      </c>
      <c r="B22" s="246" t="n">
        <v>0.0</v>
      </c>
      <c r="C22" s="10">
        <f si="0" t="shared"/>
        <v>0</v>
      </c>
      <c r="E22" s="29">
        <v>11</v>
      </c>
      <c r="F22" s="248" t="n">
        <v>1558.0</v>
      </c>
      <c r="G22" s="10">
        <f si="1" t="shared"/>
        <v>2.2268206394766704E-2</v>
      </c>
    </row>
    <row r="23" spans="1:7" x14ac:dyDescent="0.25">
      <c r="A23">
        <v>12</v>
      </c>
      <c r="B23" s="246" t="n">
        <v>400.943531935</v>
      </c>
      <c r="C23" s="10">
        <f si="0" t="shared"/>
        <v>1.3988952154448868E-2</v>
      </c>
      <c r="E23" s="30">
        <v>12</v>
      </c>
      <c r="F23" s="248" t="n">
        <v>1714.0</v>
      </c>
      <c r="G23" s="10">
        <f si="1" t="shared"/>
        <v>2.2748815165876776E-2</v>
      </c>
    </row>
    <row r="24" spans="1:7" x14ac:dyDescent="0.25">
      <c r="A24">
        <v>13</v>
      </c>
      <c r="B24" s="246" t="n">
        <v>0.0</v>
      </c>
      <c r="C24" s="10">
        <f si="0" t="shared"/>
        <v>0</v>
      </c>
      <c r="E24" s="31">
        <v>13</v>
      </c>
      <c r="F24" s="248" t="n">
        <v>1610.0</v>
      </c>
      <c r="G24" s="10">
        <f si="1" t="shared"/>
        <v>2.2521861023963686E-2</v>
      </c>
    </row>
    <row r="25" spans="1:7" x14ac:dyDescent="0.25">
      <c r="A25">
        <v>14</v>
      </c>
      <c r="B25" s="246" t="n">
        <v>795.69322268</v>
      </c>
      <c r="C25" s="10">
        <f si="0" t="shared"/>
        <v>2.7761800690413094E-2</v>
      </c>
      <c r="E25" s="32">
        <v>14</v>
      </c>
      <c r="F25" s="248" t="n">
        <v>1578.0</v>
      </c>
      <c r="G25" s="10">
        <f si="1" t="shared"/>
        <v>2.2708764434950939E-2</v>
      </c>
    </row>
    <row r="26" spans="1:7" x14ac:dyDescent="0.25">
      <c r="A26">
        <v>15</v>
      </c>
      <c r="B26" s="246" t="n">
        <v>0.0</v>
      </c>
      <c r="C26" s="10">
        <f si="0" t="shared"/>
        <v>0</v>
      </c>
      <c r="E26" s="33">
        <v>15</v>
      </c>
      <c r="F26" s="248" t="n">
        <v>1752.0</v>
      </c>
      <c r="G26" s="10">
        <f si="1" t="shared"/>
        <v>2.395033709365196E-2</v>
      </c>
    </row>
    <row r="27" spans="1:7" x14ac:dyDescent="0.25">
      <c r="A27">
        <v>16</v>
      </c>
      <c r="B27" s="246" t="n">
        <v>1430.230050562</v>
      </c>
      <c r="C27" s="10">
        <f si="0" t="shared"/>
        <v>4.9900841773425485E-2</v>
      </c>
      <c r="E27" s="34">
        <v>16</v>
      </c>
      <c r="F27" s="248" t="n">
        <v>1340.0</v>
      </c>
      <c r="G27" s="10">
        <f si="1" t="shared"/>
        <v>1.9144249382551232E-2</v>
      </c>
    </row>
    <row r="28" spans="1:7" x14ac:dyDescent="0.25">
      <c r="A28">
        <v>17</v>
      </c>
      <c r="B28" s="246" t="n">
        <v>685.397493253</v>
      </c>
      <c r="C28" s="10">
        <f si="0" t="shared"/>
        <v>2.391357379834173E-2</v>
      </c>
      <c r="E28" s="35">
        <v>17</v>
      </c>
      <c r="F28" s="248" t="n">
        <v>1173.0</v>
      </c>
      <c r="G28" s="10">
        <f si="1" t="shared"/>
        <v>1.8102930378479407E-2</v>
      </c>
    </row>
    <row r="29" spans="1:7" x14ac:dyDescent="0.25">
      <c r="A29">
        <v>18</v>
      </c>
      <c r="B29" s="246" t="n">
        <v>0.0</v>
      </c>
      <c r="C29" s="10">
        <f si="0" t="shared"/>
        <v>0</v>
      </c>
      <c r="E29" s="36">
        <v>18</v>
      </c>
      <c r="F29" s="248" t="n">
        <v>1179.0</v>
      </c>
      <c r="G29" s="10">
        <f si="1" t="shared"/>
        <v>1.5993591883051866E-2</v>
      </c>
    </row>
    <row r="30" spans="1:7" x14ac:dyDescent="0.25">
      <c r="A30">
        <v>19</v>
      </c>
      <c r="B30" s="246" t="n">
        <v>92.2295488388</v>
      </c>
      <c r="C30" s="10">
        <f si="0" t="shared"/>
        <v>3.2178963948009055E-3</v>
      </c>
      <c r="E30" s="37">
        <v>19</v>
      </c>
      <c r="F30" s="248" t="n">
        <v>939.0</v>
      </c>
      <c r="G30" s="10">
        <f si="1" t="shared"/>
        <v>1.3657299245711234E-2</v>
      </c>
    </row>
    <row r="31" spans="1:7" x14ac:dyDescent="0.25">
      <c r="A31">
        <v>20</v>
      </c>
      <c r="B31" s="246" t="n">
        <v>0.0</v>
      </c>
      <c r="C31" s="10">
        <f si="0" t="shared"/>
        <v>0</v>
      </c>
      <c r="E31" s="38">
        <v>20</v>
      </c>
      <c r="F31" s="248" t="n">
        <v>832.0</v>
      </c>
      <c r="G31" s="10">
        <f si="1" t="shared"/>
        <v>1.2041919765035712E-2</v>
      </c>
    </row>
    <row r="32" spans="1:7" x14ac:dyDescent="0.25">
      <c r="A32">
        <v>21</v>
      </c>
      <c r="B32" s="246" t="n">
        <v>0.0</v>
      </c>
      <c r="C32" s="10">
        <f si="0" t="shared"/>
        <v>0</v>
      </c>
      <c r="E32" s="39">
        <v>21</v>
      </c>
      <c r="F32" s="248" t="n">
        <v>684.0</v>
      </c>
      <c r="G32" s="10">
        <f si="1" t="shared"/>
        <v>1.0052733462385688E-2</v>
      </c>
    </row>
    <row r="33" spans="1:7" x14ac:dyDescent="0.25">
      <c r="A33">
        <v>22</v>
      </c>
      <c r="B33" s="246" t="n">
        <v>0.0</v>
      </c>
      <c r="C33" s="10">
        <f si="0" t="shared"/>
        <v>0</v>
      </c>
      <c r="E33" s="40">
        <v>22</v>
      </c>
      <c r="F33" s="248" t="n">
        <v>754.0</v>
      </c>
      <c r="G33" s="10">
        <f si="1" t="shared"/>
        <v>1.166811294306121E-2</v>
      </c>
    </row>
    <row r="34" spans="1:7" x14ac:dyDescent="0.25">
      <c r="A34">
        <v>23</v>
      </c>
      <c r="B34" s="246" t="n">
        <v>0.0</v>
      </c>
      <c r="C34" s="10">
        <f si="0" t="shared"/>
        <v>0</v>
      </c>
      <c r="E34" s="41">
        <v>23</v>
      </c>
      <c r="F34" s="248" t="n">
        <v>689.0</v>
      </c>
      <c r="G34" s="10">
        <f si="1" t="shared"/>
        <v>1.0746946131766905E-2</v>
      </c>
    </row>
    <row r="35" spans="1:7" x14ac:dyDescent="0.25">
      <c r="A35">
        <v>24</v>
      </c>
      <c r="B35" s="246" t="n">
        <v>897.8349498770001</v>
      </c>
      <c r="C35" s="10">
        <f si="0" t="shared"/>
        <v>3.1325533787280327E-2</v>
      </c>
      <c r="E35" s="42">
        <v>24</v>
      </c>
      <c r="F35" s="248" t="n">
        <v>521.0</v>
      </c>
      <c r="G35" s="10">
        <f si="1" t="shared"/>
        <v>7.9567452106000941E-3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43">
        <v>25</v>
      </c>
      <c r="F36" s="248" t="n">
        <v>390.0</v>
      </c>
      <c r="G36" s="10">
        <f si="1" t="shared"/>
        <v>5.7272545223950337E-3</v>
      </c>
    </row>
    <row r="37" spans="1:7" x14ac:dyDescent="0.25">
      <c r="A37">
        <v>26</v>
      </c>
      <c r="B37" s="246" t="n">
        <v>0.0</v>
      </c>
      <c r="C37" s="10">
        <f si="0" t="shared"/>
        <v>0</v>
      </c>
      <c r="E37" s="44">
        <v>26</v>
      </c>
      <c r="F37" s="248" t="n">
        <v>235.0</v>
      </c>
      <c r="G37" s="10">
        <f si="1" t="shared"/>
        <v>3.9116213870903143E-3</v>
      </c>
    </row>
    <row r="38" spans="1:7" x14ac:dyDescent="0.25">
      <c r="A38">
        <v>27</v>
      </c>
      <c r="B38" s="246" t="n">
        <v>0.0</v>
      </c>
      <c r="C38" s="10">
        <f si="0" t="shared"/>
        <v>0</v>
      </c>
      <c r="E38" s="45">
        <v>27</v>
      </c>
      <c r="F38" s="248" t="n">
        <v>251.0</v>
      </c>
      <c r="G38" s="10">
        <f si="1" t="shared"/>
        <v>3.1640077431413123E-3</v>
      </c>
    </row>
    <row r="39" spans="1:7" x14ac:dyDescent="0.25">
      <c r="A39">
        <v>28</v>
      </c>
      <c r="B39" s="246" t="n">
        <v>0.0</v>
      </c>
      <c r="C39" s="10">
        <f si="0" t="shared"/>
        <v>0</v>
      </c>
      <c r="E39" s="46">
        <v>28</v>
      </c>
      <c r="F39" s="248" t="n">
        <v>196.0</v>
      </c>
      <c r="G39" s="10">
        <f si="1" t="shared"/>
        <v>3.2975101795607769E-3</v>
      </c>
    </row>
    <row r="40" spans="1:7" x14ac:dyDescent="0.25">
      <c r="A40">
        <v>29</v>
      </c>
      <c r="B40" s="246" t="n">
        <v>0.0</v>
      </c>
      <c r="C40" s="10">
        <f si="0" t="shared"/>
        <v>0</v>
      </c>
      <c r="E40" s="47">
        <v>29</v>
      </c>
      <c r="F40" s="248" t="n">
        <v>211.0</v>
      </c>
      <c r="G40" s="10">
        <f si="1" t="shared"/>
        <v>3.2040584740671519E-3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154.0</v>
      </c>
      <c r="G41" s="10">
        <f si="1" t="shared"/>
        <v>2.2695414191308992E-3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49">
        <v>31</v>
      </c>
      <c r="F42" s="248" t="n">
        <v>188.0</v>
      </c>
      <c r="G42" s="10">
        <f si="1" t="shared"/>
        <v>2.2828916627728457E-3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154.0</v>
      </c>
      <c r="G43" s="10">
        <f si="1" t="shared"/>
        <v>1.922435084440291E-3</v>
      </c>
    </row>
    <row r="44" spans="1:7" x14ac:dyDescent="0.25">
      <c r="A44">
        <v>33</v>
      </c>
      <c r="B44" s="246" t="n">
        <v>0.0</v>
      </c>
      <c r="C44" s="10">
        <f si="0" t="shared"/>
        <v>0</v>
      </c>
      <c r="E44" s="51">
        <v>33</v>
      </c>
      <c r="F44" s="248" t="n">
        <v>91.0</v>
      </c>
      <c r="G44" s="10">
        <f si="1" t="shared"/>
        <v>1.0947199786396102E-3</v>
      </c>
    </row>
    <row r="45" spans="1:7" x14ac:dyDescent="0.25">
      <c r="A45">
        <v>34</v>
      </c>
      <c r="B45" s="246" t="n">
        <v>0.0</v>
      </c>
      <c r="C45" s="10">
        <f si="0" t="shared"/>
        <v>0</v>
      </c>
      <c r="E45" s="52">
        <v>34</v>
      </c>
      <c r="F45" s="248" t="n">
        <v>72.0</v>
      </c>
      <c r="G45" s="10">
        <f si="1" t="shared"/>
        <v>7.7431413123289501E-4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62.0</v>
      </c>
      <c r="G46" s="10">
        <f si="1" t="shared"/>
        <v>6.8086242573926975E-4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108.0</v>
      </c>
      <c r="G47" s="10">
        <f si="1" t="shared"/>
        <v>1.0947199786396102E-3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55">
        <v>37</v>
      </c>
      <c r="F48" s="248" t="n">
        <v>69.0</v>
      </c>
      <c r="G48" s="10">
        <f si="1" t="shared"/>
        <v>1.1080702222815567E-3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55.0</v>
      </c>
      <c r="G49" s="10">
        <f si="1" t="shared"/>
        <v>9.8791802950403849E-4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39.0</v>
      </c>
      <c r="G50" s="10">
        <f si="1" t="shared"/>
        <v>8.2771510580068085E-4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29.0</v>
      </c>
      <c r="G51" s="10">
        <f si="1" t="shared"/>
        <v>4.6725852746812627E-4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14.0</v>
      </c>
      <c r="G52" s="10">
        <f si="1" t="shared"/>
        <v>2.9370536012282225E-4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14.0</v>
      </c>
      <c r="G53" s="10">
        <f si="1" t="shared"/>
        <v>1.4685268006141112E-4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7.0</v>
      </c>
      <c r="G54" s="10">
        <f si="1" t="shared"/>
        <v>2.2695414191308992E-4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16.0</v>
      </c>
      <c r="G55" s="10">
        <f si="1" t="shared"/>
        <v>2.9370536012282225E-4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21.0</v>
      </c>
      <c r="G56" s="10">
        <f si="1" t="shared"/>
        <v>2.9370536012282225E-4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13.0</v>
      </c>
      <c r="G57" s="10">
        <f si="1" t="shared"/>
        <v>9.3451705493625254E-5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13.0</v>
      </c>
      <c r="G58" s="10">
        <f si="1" t="shared"/>
        <v>2.00253654629197E-4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5.0</v>
      </c>
      <c r="G59" s="10">
        <f si="1" t="shared"/>
        <v>9.3451705493625254E-5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4.0</v>
      </c>
      <c r="G60" s="10">
        <f si="1" t="shared"/>
        <v>6.6751218209732332E-5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3.0</v>
      </c>
      <c r="G61" s="10">
        <f si="1" t="shared"/>
        <v>2.6700487283892932E-5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5.0</v>
      </c>
      <c r="G62" s="10">
        <f si="1" t="shared"/>
        <v>1.6020292370335759E-4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0.0</v>
      </c>
      <c r="G63" s="10">
        <f si="1" t="shared"/>
        <v>2.6700487283892932E-5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1.0</v>
      </c>
      <c r="G64" s="10">
        <f si="1" t="shared"/>
        <v>2.6700487283892932E-5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1.0</v>
      </c>
      <c r="G65" s="10">
        <f si="1" t="shared"/>
        <v>1.3350243641946466E-5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1.0</v>
      </c>
      <c r="G66" s="10">
        <f si="1" t="shared"/>
        <v>0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0.0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1.0</v>
      </c>
      <c r="G68" s="10">
        <f si="1" t="shared"/>
        <v>1.3350243641946466E-5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1.0</v>
      </c>
      <c r="G69" s="10">
        <f si="1" t="shared"/>
        <v>1.3350243641946466E-5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1.0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0.0</v>
      </c>
      <c r="G71" s="10">
        <f si="1" t="shared"/>
        <v>1.3350243641946466E-5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0.0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0.0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0.0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0.0</v>
      </c>
      <c r="G75" s="10">
        <f si="1" t="shared"/>
        <v>2.6700487283892932E-5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0.0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0.0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0.0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0.0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0.0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0.0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0.0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0.0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0.0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0.0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0.0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0.0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0.0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0.0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0.0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0.0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0.0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0.0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0.0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0.0</v>
      </c>
      <c r="G101" s="10">
        <f si="3" t="shared"/>
        <v>0</v>
      </c>
    </row>
    <row r="102" spans="1:7" x14ac:dyDescent="0.25">
      <c r="B102" s="246">
        <f>SUM(B11:B101)</f>
        <v>28661.441365176808</v>
      </c>
      <c r="C102" s="10">
        <f si="2" t="shared"/>
        <v>1</v>
      </c>
      <c r="F102" s="246">
        <f>SUM(F11:F101)</f>
        <v>74905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245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1030.0</v>
      </c>
      <c r="G11" s="10">
        <f>F11/F$102</f>
        <v>1.3443695347440091E-2</v>
      </c>
      <c r="K11" s="8" t="n">
        <v>12.528074111117107</v>
      </c>
      <c r="L11" s="8" t="n">
        <v>17.89839824607226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2568.0</v>
      </c>
      <c r="G12" s="10">
        <f>F12/F$102</f>
        <v>3.3842867632334288E-2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0</v>
      </c>
      <c r="E13" s="110">
        <v>2</v>
      </c>
      <c r="F13" s="248" t="n">
        <v>3637.0</v>
      </c>
      <c r="G13" s="10">
        <f ref="G13:G76" si="1" t="shared">F13/F$102</f>
        <v>4.585808691008611E-2</v>
      </c>
    </row>
    <row r="14" spans="1:12" x14ac:dyDescent="0.25">
      <c r="A14">
        <v>3</v>
      </c>
      <c r="B14" s="246" t="n">
        <v>1423.622495567</v>
      </c>
      <c r="C14" s="10">
        <f si="0" t="shared"/>
        <v>4.9670303646929585E-2</v>
      </c>
      <c r="E14" s="111">
        <v>3</v>
      </c>
      <c r="F14" s="248" t="n">
        <v>4243.0</v>
      </c>
      <c r="G14" s="10">
        <f si="1" t="shared"/>
        <v>5.6831987183766107E-2</v>
      </c>
    </row>
    <row r="15" spans="1:12" x14ac:dyDescent="0.25">
      <c r="A15">
        <v>4</v>
      </c>
      <c r="B15" s="246" t="n">
        <v>1193.366015232</v>
      </c>
      <c r="C15" s="10">
        <f si="0" t="shared"/>
        <v>4.1636636484092555E-2</v>
      </c>
      <c r="E15" s="112">
        <v>4</v>
      </c>
      <c r="F15" s="248" t="n">
        <v>3710.0</v>
      </c>
      <c r="G15" s="10">
        <f si="1" t="shared"/>
        <v>4.8634937587610977E-2</v>
      </c>
    </row>
    <row r="16" spans="1:12" x14ac:dyDescent="0.25">
      <c r="A16">
        <v>5</v>
      </c>
      <c r="B16" s="246" t="n">
        <v>2564.606490265</v>
      </c>
      <c r="C16" s="10">
        <f si="0" t="shared"/>
        <v>8.9479327211399645E-2</v>
      </c>
      <c r="E16" s="113">
        <v>5</v>
      </c>
      <c r="F16" s="248" t="n">
        <v>2980.0</v>
      </c>
      <c r="G16" s="10">
        <f si="1" t="shared"/>
        <v>3.9396568987384022E-2</v>
      </c>
    </row>
    <row r="17" spans="1:7" x14ac:dyDescent="0.25">
      <c r="A17">
        <v>6</v>
      </c>
      <c r="B17" s="246" t="n">
        <v>1408.438985624</v>
      </c>
      <c r="C17" s="10">
        <f si="0" t="shared"/>
        <v>4.9140549760879469E-2</v>
      </c>
      <c r="E17" s="114">
        <v>6</v>
      </c>
      <c r="F17" s="248" t="n">
        <v>2513.0</v>
      </c>
      <c r="G17" s="10">
        <f si="1" t="shared"/>
        <v>3.3642613977705092E-2</v>
      </c>
    </row>
    <row r="18" spans="1:7" x14ac:dyDescent="0.25">
      <c r="A18">
        <v>7</v>
      </c>
      <c r="B18" s="246" t="n">
        <v>5198.980115135</v>
      </c>
      <c r="C18" s="10">
        <f si="0" t="shared"/>
        <v>0.18139283537399756</v>
      </c>
      <c r="E18" s="115">
        <v>7</v>
      </c>
      <c r="F18" s="248" t="n">
        <v>2317.0</v>
      </c>
      <c r="G18" s="10">
        <f si="1" t="shared"/>
        <v>3.1439823776783928E-2</v>
      </c>
    </row>
    <row r="19" spans="1:7" x14ac:dyDescent="0.25">
      <c r="A19">
        <v>8</v>
      </c>
      <c r="B19" s="246" t="n">
        <v>2568.9885801620003</v>
      </c>
      <c r="C19" s="10">
        <f si="0" t="shared"/>
        <v>8.9632218681202844E-2</v>
      </c>
      <c r="E19" s="116">
        <v>8</v>
      </c>
      <c r="F19" s="248" t="n">
        <v>2052.0</v>
      </c>
      <c r="G19" s="10">
        <f si="1" t="shared"/>
        <v>2.7020893131299645E-2</v>
      </c>
    </row>
    <row r="20" spans="1:7" x14ac:dyDescent="0.25">
      <c r="A20">
        <v>9</v>
      </c>
      <c r="B20" s="246" t="n">
        <v>786.293733109</v>
      </c>
      <c r="C20" s="10">
        <f si="0" t="shared"/>
        <v>2.7433851741466651E-2</v>
      </c>
      <c r="E20" s="117">
        <v>9</v>
      </c>
      <c r="F20" s="248" t="n">
        <v>1950.0</v>
      </c>
      <c r="G20" s="10">
        <f si="1" t="shared"/>
        <v>2.5645818036179161E-2</v>
      </c>
    </row>
    <row r="21" spans="1:7" x14ac:dyDescent="0.25">
      <c r="A21">
        <v>10</v>
      </c>
      <c r="B21" s="246" t="n">
        <v>2823.17654097</v>
      </c>
      <c r="C21" s="10">
        <f si="0" t="shared"/>
        <v>9.8500857127168578E-2</v>
      </c>
      <c r="E21" s="118">
        <v>10</v>
      </c>
      <c r="F21" s="248" t="n">
        <v>1842.0</v>
      </c>
      <c r="G21" s="10">
        <f si="1" t="shared"/>
        <v>2.3963687337293905E-2</v>
      </c>
    </row>
    <row r="22" spans="1:7" x14ac:dyDescent="0.25">
      <c r="A22">
        <v>11</v>
      </c>
      <c r="B22" s="246" t="n">
        <v>1123.854258254</v>
      </c>
      <c r="C22" s="10">
        <f si="0" t="shared"/>
        <v>3.9211365678889581E-2</v>
      </c>
      <c r="E22" s="119">
        <v>11</v>
      </c>
      <c r="F22" s="248" t="n">
        <v>1670.0</v>
      </c>
      <c r="G22" s="10">
        <f si="1" t="shared"/>
        <v>2.2762165409518725E-2</v>
      </c>
    </row>
    <row r="23" spans="1:7" x14ac:dyDescent="0.25">
      <c r="A23">
        <v>12</v>
      </c>
      <c r="B23" s="246" t="n">
        <v>436.317070872</v>
      </c>
      <c r="C23" s="10">
        <f si="0" t="shared"/>
        <v>1.5223137779878659E-2</v>
      </c>
      <c r="E23" s="120">
        <v>12</v>
      </c>
      <c r="F23" s="248" t="n">
        <v>1538.0</v>
      </c>
      <c r="G23" s="10">
        <f si="1" t="shared"/>
        <v>2.0225619117548894E-2</v>
      </c>
    </row>
    <row r="24" spans="1:7" x14ac:dyDescent="0.25">
      <c r="A24">
        <v>13</v>
      </c>
      <c r="B24" s="246" t="n">
        <v>0.0</v>
      </c>
      <c r="C24" s="10">
        <f si="0" t="shared"/>
        <v>0</v>
      </c>
      <c r="E24" s="121">
        <v>13</v>
      </c>
      <c r="F24" s="248" t="n">
        <v>1262.0</v>
      </c>
      <c r="G24" s="10">
        <f si="1" t="shared"/>
        <v>1.862358988051532E-2</v>
      </c>
    </row>
    <row r="25" spans="1:7" x14ac:dyDescent="0.25">
      <c r="A25">
        <v>14</v>
      </c>
      <c r="B25" s="246" t="n">
        <v>368.204446166</v>
      </c>
      <c r="C25" s="10">
        <f si="0" t="shared"/>
        <v>1.2846682812447897E-2</v>
      </c>
      <c r="E25" s="122">
        <v>14</v>
      </c>
      <c r="F25" s="248" t="n">
        <v>1017.0</v>
      </c>
      <c r="G25" s="10">
        <f si="1" t="shared"/>
        <v>1.4658567518857218E-2</v>
      </c>
    </row>
    <row r="26" spans="1:7" x14ac:dyDescent="0.25">
      <c r="A26">
        <v>15</v>
      </c>
      <c r="B26" s="246" t="n">
        <v>1180.566199605</v>
      </c>
      <c r="C26" s="10">
        <f si="0" t="shared"/>
        <v>4.1190049884908063E-2</v>
      </c>
      <c r="E26" s="123">
        <v>15</v>
      </c>
      <c r="F26" s="248" t="n">
        <v>1039.0</v>
      </c>
      <c r="G26" s="10">
        <f si="1" t="shared"/>
        <v>1.4298110940524664E-2</v>
      </c>
    </row>
    <row r="27" spans="1:7" x14ac:dyDescent="0.25">
      <c r="A27">
        <v>16</v>
      </c>
      <c r="B27" s="246" t="n">
        <v>617.046097455</v>
      </c>
      <c r="C27" s="10">
        <f si="0" t="shared"/>
        <v>2.152878808826067E-2</v>
      </c>
      <c r="E27" s="124">
        <v>16</v>
      </c>
      <c r="F27" s="248" t="n">
        <v>964.0</v>
      </c>
      <c r="G27" s="10">
        <f si="1" t="shared"/>
        <v>1.4444963620586075E-2</v>
      </c>
    </row>
    <row r="28" spans="1:7" x14ac:dyDescent="0.25">
      <c r="A28">
        <v>17</v>
      </c>
      <c r="B28" s="246" t="n">
        <v>0.0</v>
      </c>
      <c r="C28" s="10">
        <f si="0" t="shared"/>
        <v>0</v>
      </c>
      <c r="E28" s="125">
        <v>17</v>
      </c>
      <c r="F28" s="248" t="n">
        <v>917.0</v>
      </c>
      <c r="G28" s="10">
        <f si="1" t="shared"/>
        <v>1.1814965623122621E-2</v>
      </c>
    </row>
    <row r="29" spans="1:7" x14ac:dyDescent="0.25">
      <c r="A29">
        <v>18</v>
      </c>
      <c r="B29" s="246" t="n">
        <v>1877.963600702</v>
      </c>
      <c r="C29" s="10">
        <f si="0" t="shared"/>
        <v>6.5522301435394517E-2</v>
      </c>
      <c r="E29" s="126">
        <v>18</v>
      </c>
      <c r="F29" s="248" t="n">
        <v>3189.0</v>
      </c>
      <c r="G29" s="10">
        <f si="1" t="shared"/>
        <v>4.2346972832254186E-2</v>
      </c>
    </row>
    <row r="30" spans="1:7" x14ac:dyDescent="0.25">
      <c r="A30">
        <v>19</v>
      </c>
      <c r="B30" s="246" t="n">
        <v>0.0</v>
      </c>
      <c r="C30" s="10">
        <f si="0" t="shared"/>
        <v>0</v>
      </c>
      <c r="E30" s="127">
        <v>19</v>
      </c>
      <c r="F30" s="248" t="n">
        <v>2219.0</v>
      </c>
      <c r="G30" s="10">
        <f si="1" t="shared"/>
        <v>2.9116881383085241E-2</v>
      </c>
    </row>
    <row r="31" spans="1:7" x14ac:dyDescent="0.25">
      <c r="A31">
        <v>20</v>
      </c>
      <c r="B31" s="246" t="n">
        <v>119.217153555</v>
      </c>
      <c r="C31" s="10">
        <f si="0" t="shared"/>
        <v>4.1594960991685132E-3</v>
      </c>
      <c r="E31" s="128">
        <v>20</v>
      </c>
      <c r="F31" s="248" t="n">
        <v>2086.0</v>
      </c>
      <c r="G31" s="10">
        <f si="1" t="shared"/>
        <v>2.8609572124691274E-2</v>
      </c>
    </row>
    <row r="32" spans="1:7" x14ac:dyDescent="0.25">
      <c r="A32">
        <v>21</v>
      </c>
      <c r="B32" s="246" t="n">
        <v>495.38084382</v>
      </c>
      <c r="C32" s="10">
        <f si="0" t="shared"/>
        <v>1.7283877579927987E-2</v>
      </c>
      <c r="E32" s="129">
        <v>21</v>
      </c>
      <c r="F32" s="248" t="n">
        <v>2315.0</v>
      </c>
      <c r="G32" s="10">
        <f si="1" t="shared"/>
        <v>3.186703157332621E-2</v>
      </c>
    </row>
    <row r="33" spans="1:7" x14ac:dyDescent="0.25">
      <c r="A33">
        <v>22</v>
      </c>
      <c r="B33" s="246" t="n">
        <v>0.0</v>
      </c>
      <c r="C33" s="10">
        <f si="0" t="shared"/>
        <v>0</v>
      </c>
      <c r="E33" s="130">
        <v>22</v>
      </c>
      <c r="F33" s="248" t="n">
        <v>2252.0</v>
      </c>
      <c r="G33" s="10">
        <f si="1" t="shared"/>
        <v>3.1973833522461782E-2</v>
      </c>
    </row>
    <row r="34" spans="1:7" x14ac:dyDescent="0.25">
      <c r="A34">
        <v>23</v>
      </c>
      <c r="B34" s="246" t="n">
        <v>0.0</v>
      </c>
      <c r="C34" s="10">
        <f si="0" t="shared"/>
        <v>0</v>
      </c>
      <c r="E34" s="131">
        <v>23</v>
      </c>
      <c r="F34" s="248" t="n">
        <v>1792.0</v>
      </c>
      <c r="G34" s="10">
        <f si="1" t="shared"/>
        <v>2.3416327347974102E-2</v>
      </c>
    </row>
    <row r="35" spans="1:7" x14ac:dyDescent="0.25">
      <c r="A35">
        <v>24</v>
      </c>
      <c r="B35" s="246" t="n">
        <v>620.546027642</v>
      </c>
      <c r="C35" s="10">
        <f si="0" t="shared"/>
        <v>2.1650900934659677E-2</v>
      </c>
      <c r="E35" s="132">
        <v>24</v>
      </c>
      <c r="F35" s="248" t="n">
        <v>1742.0</v>
      </c>
      <c r="G35" s="10">
        <f si="1" t="shared"/>
        <v>2.3803484413590547E-2</v>
      </c>
    </row>
    <row r="36" spans="1:7" x14ac:dyDescent="0.25">
      <c r="A36">
        <v>25</v>
      </c>
      <c r="B36" s="246" t="n">
        <v>0.0</v>
      </c>
      <c r="C36" s="10">
        <f si="0" t="shared"/>
        <v>0</v>
      </c>
      <c r="E36" s="133">
        <v>25</v>
      </c>
      <c r="F36" s="248" t="n">
        <v>1754.0</v>
      </c>
      <c r="G36" s="10">
        <f si="1" t="shared"/>
        <v>2.3883585875442228E-2</v>
      </c>
    </row>
    <row r="37" spans="1:7" x14ac:dyDescent="0.25">
      <c r="A37">
        <v>26</v>
      </c>
      <c r="B37" s="246" t="n">
        <v>685.397493253</v>
      </c>
      <c r="C37" s="10">
        <f si="0" t="shared"/>
        <v>2.3913573798341733E-2</v>
      </c>
      <c r="E37" s="134">
        <v>26</v>
      </c>
      <c r="F37" s="248" t="n">
        <v>1372.0</v>
      </c>
      <c r="G37" s="10">
        <f si="1" t="shared"/>
        <v>1.8877244509712302E-2</v>
      </c>
    </row>
    <row r="38" spans="1:7" x14ac:dyDescent="0.25">
      <c r="A38">
        <v>27</v>
      </c>
      <c r="B38" s="246" t="n">
        <v>0.0</v>
      </c>
      <c r="C38" s="10">
        <f si="0" t="shared"/>
        <v>0</v>
      </c>
      <c r="E38" s="135">
        <v>27</v>
      </c>
      <c r="F38" s="248" t="n">
        <v>1352.0</v>
      </c>
      <c r="G38" s="10">
        <f si="1" t="shared"/>
        <v>1.9664908884587145E-2</v>
      </c>
    </row>
    <row r="39" spans="1:7" x14ac:dyDescent="0.25">
      <c r="A39">
        <v>28</v>
      </c>
      <c r="B39" s="246" t="n">
        <v>373.9559272188</v>
      </c>
      <c r="C39" s="10">
        <f si="0" t="shared"/>
        <v>1.3047352450081262E-2</v>
      </c>
      <c r="E39" s="136">
        <v>28</v>
      </c>
      <c r="F39" s="248" t="n">
        <v>1411.0</v>
      </c>
      <c r="G39" s="10">
        <f si="1" t="shared"/>
        <v>1.8703691342366997E-2</v>
      </c>
    </row>
    <row r="40" spans="1:7" x14ac:dyDescent="0.25">
      <c r="A40">
        <v>29</v>
      </c>
      <c r="B40" s="246" t="n">
        <v>349.274014887</v>
      </c>
      <c r="C40" s="10">
        <f si="0" t="shared"/>
        <v>1.2186198538897014E-2</v>
      </c>
      <c r="E40" s="137">
        <v>29</v>
      </c>
      <c r="F40" s="248" t="n">
        <v>1227.0</v>
      </c>
      <c r="G40" s="10">
        <f si="1" t="shared"/>
        <v>1.7822575261998531E-2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138">
        <v>30</v>
      </c>
      <c r="F41" s="248" t="n">
        <v>1258.0</v>
      </c>
      <c r="G41" s="10">
        <f si="1" t="shared"/>
        <v>1.8276483545824711E-2</v>
      </c>
    </row>
    <row r="42" spans="1:7" x14ac:dyDescent="0.25">
      <c r="A42">
        <v>31</v>
      </c>
      <c r="B42" s="246" t="n">
        <v>260.308502632</v>
      </c>
      <c r="C42" s="10">
        <f si="0" t="shared"/>
        <v>9.0821846436610378E-3</v>
      </c>
      <c r="E42" s="139">
        <v>31</v>
      </c>
      <c r="F42" s="248" t="n">
        <v>1049.0</v>
      </c>
      <c r="G42" s="10">
        <f si="1" t="shared"/>
        <v>1.5326079700954542E-2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140">
        <v>32</v>
      </c>
      <c r="F43" s="248" t="n">
        <v>1111.0</v>
      </c>
      <c r="G43" s="10">
        <f si="1" t="shared"/>
        <v>1.4725318737066952E-2</v>
      </c>
    </row>
    <row r="44" spans="1:7" x14ac:dyDescent="0.25">
      <c r="A44">
        <v>33</v>
      </c>
      <c r="B44" s="246" t="n">
        <v>795.69322268</v>
      </c>
      <c r="C44" s="10">
        <f si="0" t="shared"/>
        <v>2.7761800690413098E-2</v>
      </c>
      <c r="E44" s="141">
        <v>33</v>
      </c>
      <c r="F44" s="248" t="n">
        <v>1005.0</v>
      </c>
      <c r="G44" s="10">
        <f si="1" t="shared"/>
        <v>1.5526333355583739E-2</v>
      </c>
    </row>
    <row r="45" spans="1:7" x14ac:dyDescent="0.25">
      <c r="A45">
        <v>34</v>
      </c>
      <c r="B45" s="246" t="n">
        <v>161.271876599</v>
      </c>
      <c r="C45" s="10">
        <f si="0" t="shared"/>
        <v>5.6267887767480797E-3</v>
      </c>
      <c r="E45" s="142">
        <v>34</v>
      </c>
      <c r="F45" s="248" t="n">
        <v>936.0</v>
      </c>
      <c r="G45" s="10">
        <f si="1" t="shared"/>
        <v>1.2549229023429677E-2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143">
        <v>35</v>
      </c>
      <c r="F46" s="248" t="n">
        <v>810.0</v>
      </c>
      <c r="G46" s="10">
        <f si="1" t="shared"/>
        <v>1.2415726587010213E-2</v>
      </c>
    </row>
    <row r="47" spans="1:7" x14ac:dyDescent="0.25">
      <c r="A47">
        <v>36</v>
      </c>
      <c r="B47" s="246" t="n">
        <v>492.408600494</v>
      </c>
      <c r="C47" s="10">
        <f si="0" t="shared"/>
        <v>1.7180175770652922E-2</v>
      </c>
      <c r="E47" s="144">
        <v>36</v>
      </c>
      <c r="F47" s="248" t="n">
        <v>773.0</v>
      </c>
      <c r="G47" s="10">
        <f si="1" t="shared"/>
        <v>1.0186235898805154E-2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145">
        <v>37</v>
      </c>
      <c r="F48" s="248" t="n">
        <v>719.0</v>
      </c>
      <c r="G48" s="10">
        <f si="1" t="shared"/>
        <v>1.106735197917362E-2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146">
        <v>38</v>
      </c>
      <c r="F49" s="248" t="n">
        <v>629.0</v>
      </c>
      <c r="G49" s="10">
        <f si="1" t="shared"/>
        <v>9.1716173820172216E-3</v>
      </c>
    </row>
    <row r="50" spans="1:7" x14ac:dyDescent="0.25">
      <c r="A50">
        <v>39</v>
      </c>
      <c r="B50" s="246" t="n">
        <v>736.563073278</v>
      </c>
      <c r="C50" s="10">
        <f si="0" t="shared"/>
        <v>2.5698745010532251E-2</v>
      </c>
      <c r="E50" s="147">
        <v>39</v>
      </c>
      <c r="F50" s="248" t="n">
        <v>580.0</v>
      </c>
      <c r="G50" s="10">
        <f si="1" t="shared"/>
        <v>8.7444095854749358E-3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148">
        <v>40</v>
      </c>
      <c r="F51" s="248" t="n">
        <v>522.0</v>
      </c>
      <c r="G51" s="10">
        <f si="1" t="shared"/>
        <v>6.8887257192443759E-3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149">
        <v>41</v>
      </c>
      <c r="F52" s="248" t="n">
        <v>530.0</v>
      </c>
      <c r="G52" s="10">
        <f si="1" t="shared"/>
        <v>7.1557305920833059E-3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451.0</v>
      </c>
      <c r="G53" s="10">
        <f si="1" t="shared"/>
        <v>6.4348174354181961E-3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151">
        <v>43</v>
      </c>
      <c r="F54" s="248" t="n">
        <v>388.0</v>
      </c>
      <c r="G54" s="10">
        <f si="1" t="shared"/>
        <v>5.7272545223950337E-3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152">
        <v>44</v>
      </c>
      <c r="F55" s="248" t="n">
        <v>309.0</v>
      </c>
      <c r="G55" s="10">
        <f si="1" t="shared"/>
        <v>5.0063413657299247E-3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153">
        <v>45</v>
      </c>
      <c r="F56" s="248" t="n">
        <v>285.0</v>
      </c>
      <c r="G56" s="10">
        <f si="1" t="shared"/>
        <v>3.8715706561644751E-3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220.0</v>
      </c>
      <c r="G57" s="10">
        <f si="1" t="shared"/>
        <v>3.4043121286963488E-3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155">
        <v>47</v>
      </c>
      <c r="F58" s="248" t="n">
        <v>248.0</v>
      </c>
      <c r="G58" s="10">
        <f si="1" t="shared"/>
        <v>3.1373072558574192E-3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191.0</v>
      </c>
      <c r="G59" s="10">
        <f si="1" t="shared"/>
        <v>2.5632467792537214E-3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157">
        <v>49</v>
      </c>
      <c r="F60" s="248" t="n">
        <v>166.0</v>
      </c>
      <c r="G60" s="10">
        <f si="1" t="shared"/>
        <v>2.4030438555503637E-3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193.0</v>
      </c>
      <c r="G61" s="10">
        <f si="1" t="shared"/>
        <v>2.8970028703023832E-3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154.0</v>
      </c>
      <c r="G62" s="10">
        <f si="1" t="shared"/>
        <v>2.5899472665376145E-3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122.0</v>
      </c>
      <c r="G63" s="10">
        <f si="1" t="shared"/>
        <v>1.8423336225886122E-3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99.0</v>
      </c>
      <c r="G64" s="10">
        <f si="1" t="shared"/>
        <v>1.4685268006141112E-3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72.0</v>
      </c>
      <c r="G65" s="10">
        <f si="1" t="shared"/>
        <v>1.3083238769107536E-3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86.0</v>
      </c>
      <c r="G66" s="10">
        <f si="1" t="shared"/>
        <v>1.3216741205527001E-3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87.0</v>
      </c>
      <c r="G67" s="10">
        <f si="1" t="shared"/>
        <v>9.4786729857819908E-4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76.0</v>
      </c>
      <c r="G68" s="10">
        <f si="1" t="shared"/>
        <v>7.6096388759094857E-4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50.0</v>
      </c>
      <c r="G69" s="10">
        <f si="1" t="shared"/>
        <v>6.6751218209732332E-4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39.0</v>
      </c>
      <c r="G70" s="10">
        <f si="1" t="shared"/>
        <v>6.8086242573926975E-4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38.0</v>
      </c>
      <c r="G71" s="10">
        <f si="1" t="shared"/>
        <v>4.9395901475201925E-4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35.0</v>
      </c>
      <c r="G72" s="10">
        <f si="1" t="shared"/>
        <v>4.0050730925839399E-4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26.0</v>
      </c>
      <c r="G73" s="10">
        <f si="1" t="shared"/>
        <v>4.0050730925839399E-4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24.0</v>
      </c>
      <c r="G74" s="10">
        <f si="1" t="shared"/>
        <v>3.871570656164475E-4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18.0</v>
      </c>
      <c r="G75" s="10">
        <f si="1" t="shared"/>
        <v>5.2065950203591211E-4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19.0</v>
      </c>
      <c r="G76" s="10">
        <f si="1" t="shared"/>
        <v>3.871570656164475E-4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23.0</v>
      </c>
      <c r="G77" s="10">
        <f ref="G77:G102" si="3" t="shared">F77/F$102</f>
        <v>2.8035511648087576E-4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20.0</v>
      </c>
      <c r="G78" s="10">
        <f si="3" t="shared"/>
        <v>2.4030438555503638E-4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14.0</v>
      </c>
      <c r="G79" s="10">
        <f si="3" t="shared"/>
        <v>2.00253654629197E-4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6.0</v>
      </c>
      <c r="G80" s="10">
        <f si="3" t="shared"/>
        <v>2.00253654629197E-4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5.0</v>
      </c>
      <c r="G81" s="10">
        <f si="3" t="shared"/>
        <v>1.0680194913557173E-4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7.0</v>
      </c>
      <c r="G82" s="10">
        <f si="3" t="shared"/>
        <v>8.0101461851678793E-5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8.0</v>
      </c>
      <c r="G83" s="10">
        <f si="3" t="shared"/>
        <v>6.6751218209732332E-5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6.0</v>
      </c>
      <c r="G84" s="10">
        <f si="3" t="shared"/>
        <v>6.6751218209732332E-5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3.0</v>
      </c>
      <c r="G85" s="10">
        <f si="3" t="shared"/>
        <v>6.6751218209732332E-5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3.0</v>
      </c>
      <c r="G86" s="10">
        <f si="3" t="shared"/>
        <v>1.3350243641946466E-5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4.0</v>
      </c>
      <c r="G87" s="10">
        <f si="3" t="shared"/>
        <v>9.3451705493625254E-5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3.0</v>
      </c>
      <c r="G88" s="10">
        <f si="3" t="shared"/>
        <v>2.6700487283892932E-5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2.0</v>
      </c>
      <c r="G89" s="10">
        <f si="3" t="shared"/>
        <v>1.3350243641946466E-5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2.0</v>
      </c>
      <c r="G90" s="10">
        <f si="3" t="shared"/>
        <v>4.0050730925839396E-5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3.0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1.0</v>
      </c>
      <c r="G92" s="10">
        <f si="3" t="shared"/>
        <v>2.6700487283892932E-5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0.0</v>
      </c>
      <c r="G93" s="10">
        <f si="3" t="shared"/>
        <v>1.3350243641946466E-5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1.0</v>
      </c>
      <c r="G94" s="10">
        <f si="3" t="shared"/>
        <v>1.3350243641946466E-5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0.0</v>
      </c>
      <c r="G95" s="10">
        <f si="3" t="shared"/>
        <v>4.0050730925839396E-5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1.0</v>
      </c>
      <c r="G96" s="10">
        <f si="3" t="shared"/>
        <v>1.3350243641946466E-5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5.0</v>
      </c>
      <c r="G97" s="10">
        <f si="3" t="shared"/>
        <v>2.6700487283892932E-5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1.0</v>
      </c>
      <c r="G98" s="10">
        <f si="3" t="shared"/>
        <v>2.6700487283892932E-5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2.0</v>
      </c>
      <c r="G99" s="10">
        <f si="3" t="shared"/>
        <v>4.0050730925839396E-5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0.0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0.0</v>
      </c>
      <c r="G101" s="10">
        <f si="3" t="shared"/>
        <v>1.3350243641946466E-5</v>
      </c>
    </row>
    <row r="102" spans="1:7" x14ac:dyDescent="0.25">
      <c r="B102" s="246">
        <f>SUM(B11:B101)</f>
        <v>28661.441365176805</v>
      </c>
      <c r="C102" s="10">
        <f si="2" t="shared"/>
        <v>1</v>
      </c>
      <c r="F102" s="246">
        <f>SUM(F11:F101)</f>
        <v>74905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A10" workbookViewId="0">
      <selection activeCell="V36" sqref="V36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02" t="s">
        <v>254</v>
      </c>
      <c r="B7" s="11" t="n">
        <v>3879.622324817</v>
      </c>
      <c r="C7" s="11" t="n">
        <v>4063.797158878</v>
      </c>
      <c r="D7" s="11" t="n">
        <v>245.76399977199998</v>
      </c>
      <c r="E7" s="11" t="n">
        <v>1556.696679057</v>
      </c>
      <c r="F7" s="11" t="n">
        <v>1430.230050562</v>
      </c>
      <c r="G7" s="11" t="n">
        <v>0.0</v>
      </c>
      <c r="H7" s="11" t="n">
        <v>763.8619207728</v>
      </c>
      <c r="I7" s="11"/>
      <c r="J7" s="11">
        <f>SUM(B7:I7)</f>
        <v>11939.972133858801</v>
      </c>
      <c r="K7" s="11"/>
      <c r="L7" t="str">
        <f>$A$7</f>
        <v>Bellevue</v>
      </c>
      <c r="M7" s="248" t="n">
        <v>3824.0</v>
      </c>
      <c r="N7" s="248" t="n">
        <v>3697.0</v>
      </c>
      <c r="O7" s="248" t="n">
        <v>265.0</v>
      </c>
      <c r="P7" s="248" t="n">
        <v>1562.0</v>
      </c>
      <c r="Q7" s="248" t="n">
        <v>667.0</v>
      </c>
      <c r="R7" s="248" t="n">
        <v>739.0</v>
      </c>
      <c r="S7" s="248" t="n">
        <v>669.0</v>
      </c>
      <c r="T7" s="248"/>
      <c r="U7" s="246">
        <f>SUM(M7:T7)</f>
        <v>11550</v>
      </c>
    </row>
    <row r="8" spans="1:21" x14ac:dyDescent="0.25">
      <c r="A8" t="s">
        <v>255</v>
      </c>
      <c r="B8" s="11" t="n">
        <v>0.0</v>
      </c>
      <c r="C8" s="11" t="n">
        <v>0.0</v>
      </c>
      <c r="D8" s="11" t="n">
        <v>206.34925088699998</v>
      </c>
      <c r="E8" s="11" t="n">
        <v>0.0</v>
      </c>
      <c r="F8" s="11" t="n">
        <v>281.72637838</v>
      </c>
      <c r="G8" s="11" t="n">
        <v>0.0</v>
      </c>
      <c r="H8" s="11" t="n">
        <v>0.0</v>
      </c>
      <c r="I8" s="11"/>
      <c r="J8" s="11">
        <f ref="J8:J14" si="0" t="shared">SUM(B8:I8)</f>
        <v>488.07562926700001</v>
      </c>
      <c r="K8" s="11"/>
      <c r="L8" t="str">
        <f>$A$8</f>
        <v>Bellevue Downtown</v>
      </c>
      <c r="M8" s="248" t="n">
        <v>96.0</v>
      </c>
      <c r="N8" s="248" t="n">
        <v>1361.0</v>
      </c>
      <c r="O8" s="248" t="n">
        <v>7.0</v>
      </c>
      <c r="P8" s="248" t="n">
        <v>8.0</v>
      </c>
      <c r="Q8" s="248" t="n">
        <v>10.0</v>
      </c>
      <c r="R8" s="248" t="n">
        <v>8.0</v>
      </c>
      <c r="S8" s="248" t="n">
        <v>4.0</v>
      </c>
      <c r="T8" s="248"/>
      <c r="U8" s="246">
        <f ref="U8:U13" si="1" t="shared">SUM(M8:T8)</f>
        <v>1364</v>
      </c>
    </row>
    <row r="9" spans="1:21" x14ac:dyDescent="0.25">
      <c r="A9" t="s">
        <v>256</v>
      </c>
      <c r="B9" s="11" t="n">
        <v>0.0</v>
      </c>
      <c r="C9" s="11" t="n">
        <v>0.0</v>
      </c>
      <c r="D9" s="11" t="n">
        <v>1911.668349691</v>
      </c>
      <c r="E9" s="11" t="n">
        <v>0.0</v>
      </c>
      <c r="F9" s="11" t="n">
        <v>1690.066763713</v>
      </c>
      <c r="G9" s="11" t="n">
        <v>685.397493253</v>
      </c>
      <c r="H9" s="11" t="n">
        <v>0.0</v>
      </c>
      <c r="I9" s="11"/>
      <c r="J9" s="11">
        <f si="0" t="shared"/>
        <v>4287.132606657</v>
      </c>
      <c r="K9" s="12"/>
      <c r="L9" t="str">
        <f>$A$9</f>
        <v>Kirkland</v>
      </c>
      <c r="M9" s="248" t="n">
        <v>592.0</v>
      </c>
      <c r="N9" s="248" t="n">
        <v>1091.0</v>
      </c>
      <c r="O9" s="248" t="n">
        <v>4562.0</v>
      </c>
      <c r="P9" s="248" t="n">
        <v>1063.0</v>
      </c>
      <c r="Q9" s="248" t="n">
        <v>1010.0</v>
      </c>
      <c r="R9" s="248" t="n">
        <v>590.0</v>
      </c>
      <c r="S9" s="248" t="n">
        <v>787.0</v>
      </c>
      <c r="T9" s="248"/>
      <c r="U9" s="246">
        <f si="1" t="shared"/>
        <v>9638</v>
      </c>
    </row>
    <row r="10" spans="1:21" x14ac:dyDescent="0.25">
      <c r="A10" t="s">
        <v>257</v>
      </c>
      <c r="B10" s="11" t="n">
        <v>1261.5327366239999</v>
      </c>
      <c r="C10" s="11" t="n">
        <v>0.0</v>
      </c>
      <c r="D10" s="11" t="n">
        <v>4645.145040145</v>
      </c>
      <c r="E10" s="11" t="n">
        <v>5303.020145347</v>
      </c>
      <c r="F10" s="11" t="n">
        <v>0.0</v>
      </c>
      <c r="G10" s="11" t="n">
        <v>0.0</v>
      </c>
      <c r="H10" s="11" t="n">
        <v>736.563073278</v>
      </c>
      <c r="I10" s="11"/>
      <c r="J10" s="11">
        <f si="0" t="shared"/>
        <v>11946.260995394001</v>
      </c>
      <c r="K10" s="12"/>
      <c r="L10" t="str">
        <f>$A$10</f>
        <v>Redmond</v>
      </c>
      <c r="M10" s="248" t="n">
        <v>693.0</v>
      </c>
      <c r="N10" s="248" t="n">
        <v>687.0</v>
      </c>
      <c r="O10" s="248" t="n">
        <v>889.0</v>
      </c>
      <c r="P10" s="248" t="n">
        <v>4166.0</v>
      </c>
      <c r="Q10" s="248" t="n">
        <v>348.0</v>
      </c>
      <c r="R10" s="248" t="n">
        <v>330.0</v>
      </c>
      <c r="S10" s="248" t="n">
        <v>440.0</v>
      </c>
      <c r="T10" s="248"/>
      <c r="U10" s="246">
        <f si="1" t="shared"/>
        <v>7589</v>
      </c>
    </row>
    <row r="11" spans="1:21" x14ac:dyDescent="0.25">
      <c r="A11" t="s">
        <v>252</v>
      </c>
      <c r="B11" s="11" t="n">
        <v>0.0</v>
      </c>
      <c r="C11" s="11" t="n">
        <v>0.0</v>
      </c>
      <c r="D11" s="11" t="n">
        <v>0.0</v>
      </c>
      <c r="E11" s="11" t="n">
        <v>0.0</v>
      </c>
      <c r="F11" s="11" t="n">
        <v>0.0</v>
      </c>
      <c r="G11" s="11" t="n">
        <v>0.0</v>
      </c>
      <c r="H11" s="11" t="n">
        <v>0.0</v>
      </c>
      <c r="I11" s="11"/>
      <c r="J11" s="11">
        <f si="0" t="shared"/>
        <v>0</v>
      </c>
      <c r="K11" s="12"/>
      <c r="L11" t="str">
        <f>$A$11</f>
        <v>Seattle</v>
      </c>
      <c r="M11" s="248" t="n">
        <v>296.0</v>
      </c>
      <c r="N11" s="248" t="n">
        <v>549.0</v>
      </c>
      <c r="O11" s="248" t="n">
        <v>329.0</v>
      </c>
      <c r="P11" s="248" t="n">
        <v>236.0</v>
      </c>
      <c r="Q11" s="248" t="n">
        <v>6755.0</v>
      </c>
      <c r="R11" s="248" t="n">
        <v>1772.0</v>
      </c>
      <c r="S11" s="248" t="n">
        <v>508.0</v>
      </c>
      <c r="T11" s="248"/>
      <c r="U11" s="246">
        <f si="1" t="shared"/>
        <v>10963</v>
      </c>
    </row>
    <row r="12" spans="1:21" x14ac:dyDescent="0.25">
      <c r="A12" t="s">
        <v>258</v>
      </c>
      <c r="B12" s="11" t="n">
        <v>0.0</v>
      </c>
      <c r="C12" s="11" t="n">
        <v>0.0</v>
      </c>
      <c r="D12" s="11" t="n">
        <v>0.0</v>
      </c>
      <c r="E12" s="11" t="n">
        <v>0.0</v>
      </c>
      <c r="F12" s="11" t="n">
        <v>0.0</v>
      </c>
      <c r="G12" s="11" t="n">
        <v>0.0</v>
      </c>
      <c r="H12" s="11" t="n">
        <v>0.0</v>
      </c>
      <c r="I12" s="11"/>
      <c r="J12" s="11">
        <f si="0" t="shared"/>
        <v>0</v>
      </c>
      <c r="K12" s="12"/>
      <c r="L12" t="str">
        <f>$A$12</f>
        <v>Seattle Downtown</v>
      </c>
      <c r="M12" s="248" t="n">
        <v>5.0</v>
      </c>
      <c r="N12" s="248" t="n">
        <v>8.0</v>
      </c>
      <c r="O12" s="248" t="n">
        <v>3.0</v>
      </c>
      <c r="P12" s="248" t="n">
        <v>2.0</v>
      </c>
      <c r="Q12" s="248" t="n">
        <v>34.0</v>
      </c>
      <c r="R12" s="248" t="n">
        <v>888.0</v>
      </c>
      <c r="S12" s="248" t="n">
        <v>1.0</v>
      </c>
      <c r="T12" s="248"/>
      <c r="U12" s="246">
        <f si="1" t="shared"/>
        <v>841</v>
      </c>
    </row>
    <row r="13" spans="1:21" x14ac:dyDescent="0.25">
      <c r="A13" t="s">
        <v>259</v>
      </c>
      <c r="B13" s="11" t="n">
        <v>0.0</v>
      </c>
      <c r="C13" s="11" t="n">
        <v>0.0</v>
      </c>
      <c r="D13" s="11" t="n">
        <v>0.0</v>
      </c>
      <c r="E13" s="11" t="n">
        <v>0.0</v>
      </c>
      <c r="F13" s="11" t="n">
        <v>0.0</v>
      </c>
      <c r="G13" s="11" t="n">
        <v>0.0</v>
      </c>
      <c r="H13" s="11" t="n">
        <v>0.0</v>
      </c>
      <c r="I13" s="11"/>
      <c r="J13" s="11">
        <f si="0" t="shared"/>
        <v>0</v>
      </c>
      <c r="K13" s="12"/>
      <c r="L13" t="str">
        <f>A13</f>
        <v>Rest</v>
      </c>
      <c r="M13" s="248" t="n">
        <v>2051.0</v>
      </c>
      <c r="N13" s="248" t="n">
        <v>2886.0</v>
      </c>
      <c r="O13" s="248" t="n">
        <v>1780.0</v>
      </c>
      <c r="P13" s="248" t="n">
        <v>2198.0</v>
      </c>
      <c r="Q13" s="248" t="n">
        <v>2178.0</v>
      </c>
      <c r="R13" s="248" t="n">
        <v>1700.0</v>
      </c>
      <c r="S13" s="248" t="n">
        <v>19054.0</v>
      </c>
      <c r="T13" s="248"/>
      <c r="U13" s="246">
        <f si="1" t="shared"/>
        <v>32960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ht="15.75" r="15" spans="1:21" thickBot="1" x14ac:dyDescent="0.3">
      <c r="A15" s="1" t="s">
        <v>4</v>
      </c>
      <c r="B15" s="14">
        <f ref="B15:J15" si="2" t="shared">SUM(B7:B14)</f>
        <v>5141.1550614409998</v>
      </c>
      <c r="C15" s="14">
        <f si="2" t="shared"/>
        <v>4063.7971588780001</v>
      </c>
      <c r="D15" s="14">
        <f si="2" t="shared"/>
        <v>7008.9266404950004</v>
      </c>
      <c r="E15" s="14">
        <f si="2" t="shared"/>
        <v>6859.7168244040004</v>
      </c>
      <c r="F15" s="14">
        <f si="2" t="shared"/>
        <v>3402.023192655</v>
      </c>
      <c r="G15" s="14">
        <f si="2" t="shared"/>
        <v>685.39749325299999</v>
      </c>
      <c r="H15" s="14">
        <f si="2" t="shared"/>
        <v>1500.4249940508</v>
      </c>
      <c r="I15" s="14">
        <f si="2" t="shared"/>
        <v>0</v>
      </c>
      <c r="J15" s="14">
        <f si="2" t="shared"/>
        <v>28661.441365176801</v>
      </c>
      <c r="K15" s="11"/>
      <c r="L15" s="14" t="s">
        <v>4</v>
      </c>
      <c r="M15" s="14">
        <f ref="M15:U15" si="3" t="shared">SUM(M7:M14)</f>
        <v>8083</v>
      </c>
      <c r="N15" s="14">
        <f si="3" t="shared"/>
        <v>10676</v>
      </c>
      <c r="O15" s="14">
        <f si="3" t="shared"/>
        <v>7546</v>
      </c>
      <c r="P15" s="14">
        <f si="3" t="shared"/>
        <v>9193</v>
      </c>
      <c r="Q15" s="14">
        <f si="3" t="shared"/>
        <v>11775</v>
      </c>
      <c r="R15" s="14">
        <f si="3" t="shared"/>
        <v>6073</v>
      </c>
      <c r="S15" s="14">
        <f si="3" t="shared"/>
        <v>21559</v>
      </c>
      <c r="T15" s="14">
        <f si="3" t="shared"/>
        <v>0</v>
      </c>
      <c r="U15" s="14">
        <f si="3" t="shared"/>
        <v>74905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1">
        <f ref="B20:H20" si="4" t="shared">($U7/$J7)*B7</f>
        <v>3752.9097513190445</v>
      </c>
      <c r="C20" s="11">
        <f si="4" t="shared"/>
        <v>3931.0692402656127</v>
      </c>
      <c r="D20" s="11">
        <f si="4" t="shared"/>
        <v>237.73708728491141</v>
      </c>
      <c r="E20" s="11">
        <f si="4" t="shared"/>
        <v>1505.8533170376472</v>
      </c>
      <c r="F20" s="11">
        <f si="4" t="shared"/>
        <v>1383.5172225525441</v>
      </c>
      <c r="G20" s="11">
        <f si="4" t="shared"/>
        <v>0</v>
      </c>
      <c r="H20" s="11">
        <f si="4" t="shared"/>
        <v>738.91338154023981</v>
      </c>
      <c r="I20" s="11"/>
      <c r="J20" s="11">
        <f>SUM(B20:I20)</f>
        <v>11550</v>
      </c>
      <c r="K20" s="11"/>
      <c r="L20" t="str">
        <f>$A$7</f>
        <v>Bellevue</v>
      </c>
      <c r="M20" s="11">
        <f ref="M20:M26" si="5" t="shared">M7</f>
        <v>3878</v>
      </c>
      <c r="N20" s="11">
        <f ref="N20:U20" si="6" t="shared">N7</f>
        <v>3764</v>
      </c>
      <c r="O20" s="11">
        <f si="6" t="shared"/>
        <v>333</v>
      </c>
      <c r="P20" s="11">
        <f si="6" t="shared"/>
        <v>1500</v>
      </c>
      <c r="Q20" s="11">
        <f si="6" t="shared"/>
        <v>698</v>
      </c>
      <c r="R20" s="11">
        <f si="6" t="shared"/>
        <v>755</v>
      </c>
      <c r="S20" s="11">
        <f ref="S20" si="7" t="shared">S7</f>
        <v>622</v>
      </c>
      <c r="T20" s="11"/>
      <c r="U20" s="11">
        <f si="6" t="shared"/>
        <v>11550</v>
      </c>
    </row>
    <row r="21" spans="1:32" x14ac:dyDescent="0.25">
      <c r="A21" t="str">
        <f>$A$8</f>
        <v>Bellevue Downtown</v>
      </c>
      <c r="B21" s="11">
        <f ref="B21:G26" si="8" t="shared">($U8/$J8)*B8</f>
        <v>0</v>
      </c>
      <c r="C21" s="11">
        <f si="8" t="shared"/>
        <v>0</v>
      </c>
      <c r="D21" s="11">
        <f si="8" t="shared"/>
        <v>576.67369836221849</v>
      </c>
      <c r="E21" s="11">
        <f si="8" t="shared"/>
        <v>0</v>
      </c>
      <c r="F21" s="11">
        <f si="8" t="shared"/>
        <v>787.3263016377814</v>
      </c>
      <c r="G21" s="11">
        <f si="8" t="shared"/>
        <v>0</v>
      </c>
      <c r="H21" s="11">
        <f ref="H21:H26" si="9" t="shared">($U8/$J8)*H8</f>
        <v>0</v>
      </c>
      <c r="I21" s="11"/>
      <c r="J21" s="11">
        <f ref="J21:J26" si="10" t="shared">SUM(B21:I21)</f>
        <v>1364</v>
      </c>
      <c r="K21" s="11"/>
      <c r="L21" t="str">
        <f>$A$8</f>
        <v>Bellevue Downtown</v>
      </c>
      <c r="M21" s="11">
        <f si="5" t="shared"/>
        <v>74</v>
      </c>
      <c r="N21" s="11">
        <f ref="N21:R25" si="11" t="shared">N8</f>
        <v>1258</v>
      </c>
      <c r="O21" s="11">
        <f si="11" t="shared"/>
        <v>9</v>
      </c>
      <c r="P21" s="11">
        <f si="11" t="shared"/>
        <v>8</v>
      </c>
      <c r="Q21" s="11">
        <f si="11" t="shared"/>
        <v>9</v>
      </c>
      <c r="R21" s="11">
        <f si="11" t="shared"/>
        <v>3</v>
      </c>
      <c r="S21" s="11">
        <f ref="S21" si="12" t="shared">S8</f>
        <v>3</v>
      </c>
      <c r="T21" s="11"/>
      <c r="U21" s="11">
        <f ref="U21:U26" si="13" t="shared">U8</f>
        <v>1364</v>
      </c>
    </row>
    <row r="22" spans="1:32" x14ac:dyDescent="0.25">
      <c r="A22" t="str">
        <f>$A$9</f>
        <v>Kirkland</v>
      </c>
      <c r="B22" s="11">
        <f si="8" t="shared"/>
        <v>0</v>
      </c>
      <c r="C22" s="11">
        <f si="8" t="shared"/>
        <v>0</v>
      </c>
      <c r="D22" s="11">
        <f si="8" t="shared"/>
        <v>4297.6649534265171</v>
      </c>
      <c r="E22" s="11">
        <f si="8" t="shared"/>
        <v>0</v>
      </c>
      <c r="F22" s="11">
        <f si="8" t="shared"/>
        <v>3799.4774044014348</v>
      </c>
      <c r="G22" s="11">
        <f si="8" t="shared"/>
        <v>1540.8576421720488</v>
      </c>
      <c r="H22" s="11">
        <f si="9" t="shared"/>
        <v>0</v>
      </c>
      <c r="I22" s="11"/>
      <c r="J22" s="11">
        <f si="10" t="shared"/>
        <v>9638</v>
      </c>
      <c r="K22" s="12"/>
      <c r="L22" t="str">
        <f>$A$9</f>
        <v>Kirkland</v>
      </c>
      <c r="M22" s="11">
        <f si="5" t="shared"/>
        <v>584</v>
      </c>
      <c r="N22" s="11">
        <f si="11" t="shared"/>
        <v>1151</v>
      </c>
      <c r="O22" s="11">
        <f si="11" t="shared"/>
        <v>4342</v>
      </c>
      <c r="P22" s="11">
        <f si="11" t="shared"/>
        <v>1092</v>
      </c>
      <c r="Q22" s="11">
        <f si="11" t="shared"/>
        <v>1043</v>
      </c>
      <c r="R22" s="11">
        <f si="11" t="shared"/>
        <v>636</v>
      </c>
      <c r="S22" s="11">
        <f ref="S22" si="14" t="shared">S9</f>
        <v>790</v>
      </c>
      <c r="T22" s="11"/>
      <c r="U22" s="11">
        <f si="13" t="shared"/>
        <v>9638</v>
      </c>
    </row>
    <row r="23" spans="1:32" x14ac:dyDescent="0.25">
      <c r="A23" t="str">
        <f>$A$10</f>
        <v>Redmond</v>
      </c>
      <c r="B23" s="11">
        <f si="8" t="shared"/>
        <v>801.40321243029916</v>
      </c>
      <c r="C23" s="11">
        <f si="8" t="shared"/>
        <v>0</v>
      </c>
      <c r="D23" s="11">
        <f si="8" t="shared"/>
        <v>2950.8819306101018</v>
      </c>
      <c r="E23" s="11">
        <f si="8" t="shared"/>
        <v>3368.8046744127801</v>
      </c>
      <c r="F23" s="11">
        <f si="8" t="shared"/>
        <v>0</v>
      </c>
      <c r="G23" s="11">
        <f si="8" t="shared"/>
        <v>0</v>
      </c>
      <c r="H23" s="11">
        <f si="9" t="shared"/>
        <v>467.91018254681831</v>
      </c>
      <c r="I23" s="11"/>
      <c r="J23" s="11">
        <f>SUM(B23:I23)</f>
        <v>7589</v>
      </c>
      <c r="K23" s="12"/>
      <c r="L23" t="str">
        <f>$A$10</f>
        <v>Redmond</v>
      </c>
      <c r="M23" s="11">
        <f si="5" t="shared"/>
        <v>800</v>
      </c>
      <c r="N23" s="11">
        <f si="11" t="shared"/>
        <v>726</v>
      </c>
      <c r="O23" s="11">
        <f si="11" t="shared"/>
        <v>784</v>
      </c>
      <c r="P23" s="11">
        <f si="11" t="shared"/>
        <v>4084</v>
      </c>
      <c r="Q23" s="11">
        <f si="11" t="shared"/>
        <v>415</v>
      </c>
      <c r="R23" s="11">
        <f si="11" t="shared"/>
        <v>322</v>
      </c>
      <c r="S23" s="11">
        <f ref="S23" si="15" t="shared">S10</f>
        <v>458</v>
      </c>
      <c r="T23" s="11"/>
      <c r="U23" s="11">
        <f si="13" t="shared"/>
        <v>7589</v>
      </c>
    </row>
    <row r="24" spans="1:32" x14ac:dyDescent="0.25">
      <c r="A24" t="str">
        <f>$A$11</f>
        <v>Seattle</v>
      </c>
      <c r="B24" s="11" t="e">
        <f si="8" t="shared"/>
        <v>#DIV/0!</v>
      </c>
      <c r="C24" s="11" t="e">
        <f si="8" t="shared"/>
        <v>#DIV/0!</v>
      </c>
      <c r="D24" s="11" t="e">
        <f si="8" t="shared"/>
        <v>#DIV/0!</v>
      </c>
      <c r="E24" s="11" t="e">
        <f si="8" t="shared"/>
        <v>#DIV/0!</v>
      </c>
      <c r="F24" s="11" t="e">
        <f si="8" t="shared"/>
        <v>#DIV/0!</v>
      </c>
      <c r="G24" s="11" t="e">
        <f si="8" t="shared"/>
        <v>#DIV/0!</v>
      </c>
      <c r="H24" s="11" t="e">
        <f si="9" t="shared"/>
        <v>#DIV/0!</v>
      </c>
      <c r="I24" s="11"/>
      <c r="J24" s="11" t="e">
        <f si="10" t="shared"/>
        <v>#DIV/0!</v>
      </c>
      <c r="K24" s="12"/>
      <c r="L24" t="str">
        <f>$A$11</f>
        <v>Seattle</v>
      </c>
      <c r="M24" s="11">
        <f si="5" t="shared"/>
        <v>356</v>
      </c>
      <c r="N24" s="11">
        <f si="11" t="shared"/>
        <v>598</v>
      </c>
      <c r="O24" s="11">
        <f si="11" t="shared"/>
        <v>367</v>
      </c>
      <c r="P24" s="11">
        <f si="11" t="shared"/>
        <v>244</v>
      </c>
      <c r="Q24" s="11">
        <f si="11" t="shared"/>
        <v>7118</v>
      </c>
      <c r="R24" s="11">
        <f si="11" t="shared"/>
        <v>1732</v>
      </c>
      <c r="S24" s="11">
        <f ref="S24" si="16" t="shared">S11</f>
        <v>548</v>
      </c>
      <c r="T24" s="11"/>
      <c r="U24" s="11">
        <f si="13" t="shared"/>
        <v>10963</v>
      </c>
    </row>
    <row r="25" spans="1:32" x14ac:dyDescent="0.25">
      <c r="A25" t="str">
        <f>$A$12</f>
        <v>Seattle Downtown</v>
      </c>
      <c r="B25" s="11" t="e">
        <f si="8" t="shared"/>
        <v>#DIV/0!</v>
      </c>
      <c r="C25" s="11" t="e">
        <f si="8" t="shared"/>
        <v>#DIV/0!</v>
      </c>
      <c r="D25" s="11" t="e">
        <f si="8" t="shared"/>
        <v>#DIV/0!</v>
      </c>
      <c r="E25" s="11" t="e">
        <f si="8" t="shared"/>
        <v>#DIV/0!</v>
      </c>
      <c r="F25" s="11" t="e">
        <f si="8" t="shared"/>
        <v>#DIV/0!</v>
      </c>
      <c r="G25" s="11" t="e">
        <f si="8" t="shared"/>
        <v>#DIV/0!</v>
      </c>
      <c r="H25" s="11" t="e">
        <f si="9" t="shared"/>
        <v>#DIV/0!</v>
      </c>
      <c r="I25" s="11"/>
      <c r="J25" s="11" t="e">
        <f si="10" t="shared"/>
        <v>#DIV/0!</v>
      </c>
      <c r="K25" s="12"/>
      <c r="L25" t="str">
        <f>$A$12</f>
        <v>Seattle Downtown</v>
      </c>
      <c r="M25" s="11">
        <f si="5" t="shared"/>
        <v>6</v>
      </c>
      <c r="N25" s="11">
        <f si="11" t="shared"/>
        <v>9</v>
      </c>
      <c r="O25" s="11">
        <f si="11" t="shared"/>
        <v>3</v>
      </c>
      <c r="P25" s="11">
        <f si="11" t="shared"/>
        <v>0</v>
      </c>
      <c r="Q25" s="11">
        <f si="11" t="shared"/>
        <v>32</v>
      </c>
      <c r="R25" s="11">
        <f si="11" t="shared"/>
        <v>790</v>
      </c>
      <c r="S25" s="11">
        <f ref="S25" si="17" t="shared">S12</f>
        <v>1</v>
      </c>
      <c r="T25" s="11"/>
      <c r="U25" s="11">
        <f si="13" t="shared"/>
        <v>841</v>
      </c>
    </row>
    <row r="26" spans="1:32" x14ac:dyDescent="0.25">
      <c r="A26" t="str">
        <f>$A$13</f>
        <v>Rest</v>
      </c>
      <c r="B26" s="11" t="e">
        <f si="8" t="shared"/>
        <v>#DIV/0!</v>
      </c>
      <c r="C26" s="11" t="e">
        <f si="8" t="shared"/>
        <v>#DIV/0!</v>
      </c>
      <c r="D26" s="11" t="e">
        <f si="8" t="shared"/>
        <v>#DIV/0!</v>
      </c>
      <c r="E26" s="11" t="e">
        <f si="8" t="shared"/>
        <v>#DIV/0!</v>
      </c>
      <c r="F26" s="11" t="e">
        <f si="8" t="shared"/>
        <v>#DIV/0!</v>
      </c>
      <c r="G26" s="11" t="e">
        <f si="8" t="shared"/>
        <v>#DIV/0!</v>
      </c>
      <c r="H26" s="11" t="e">
        <f si="9" t="shared"/>
        <v>#DIV/0!</v>
      </c>
      <c r="I26" s="11"/>
      <c r="J26" s="11" t="e">
        <f si="10" t="shared"/>
        <v>#DIV/0!</v>
      </c>
      <c r="K26" s="12"/>
      <c r="L26" t="str">
        <f>$A$13</f>
        <v>Rest</v>
      </c>
      <c r="M26" s="11">
        <f si="5" t="shared"/>
        <v>2385</v>
      </c>
      <c r="N26" s="11">
        <f ref="N26:R26" si="18" t="shared">N13</f>
        <v>3170</v>
      </c>
      <c r="O26" s="11">
        <f si="18" t="shared"/>
        <v>1708</v>
      </c>
      <c r="P26" s="11">
        <f si="18" t="shared"/>
        <v>2265</v>
      </c>
      <c r="Q26" s="11">
        <f si="18" t="shared"/>
        <v>2460</v>
      </c>
      <c r="R26" s="11">
        <f si="18" t="shared"/>
        <v>1835</v>
      </c>
      <c r="S26" s="11">
        <f ref="S26" si="19" t="shared">S13</f>
        <v>19137</v>
      </c>
      <c r="T26" s="11"/>
      <c r="U26" s="11">
        <f si="13" t="shared"/>
        <v>32960</v>
      </c>
    </row>
    <row r="27" spans="1:32" x14ac:dyDescent="0.2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ht="15.75" r="28" spans="1:32" thickBot="1" x14ac:dyDescent="0.3">
      <c r="A28" s="1" t="s">
        <v>4</v>
      </c>
      <c r="B28" s="14" t="e">
        <f ref="B28:J28" si="20" t="shared">SUM(B20:B27)</f>
        <v>#DIV/0!</v>
      </c>
      <c r="C28" s="14" t="e">
        <f si="20" t="shared"/>
        <v>#DIV/0!</v>
      </c>
      <c r="D28" s="14" t="e">
        <f si="20" t="shared"/>
        <v>#DIV/0!</v>
      </c>
      <c r="E28" s="14" t="e">
        <f si="20" t="shared"/>
        <v>#DIV/0!</v>
      </c>
      <c r="F28" s="14" t="e">
        <f si="20" t="shared"/>
        <v>#DIV/0!</v>
      </c>
      <c r="G28" s="14" t="e">
        <f si="20" t="shared"/>
        <v>#DIV/0!</v>
      </c>
      <c r="H28" s="14" t="e">
        <f si="20" t="shared"/>
        <v>#DIV/0!</v>
      </c>
      <c r="I28" s="14">
        <f si="20" t="shared"/>
        <v>0</v>
      </c>
      <c r="J28" s="14" t="e">
        <f si="20" t="shared"/>
        <v>#DIV/0!</v>
      </c>
      <c r="K28" s="11"/>
      <c r="L28" s="14" t="s">
        <v>4</v>
      </c>
      <c r="M28" s="14">
        <f ref="M28:U28" si="21" t="shared">M15</f>
        <v>8083</v>
      </c>
      <c r="N28" s="14">
        <f si="21" t="shared"/>
        <v>10676</v>
      </c>
      <c r="O28" s="14">
        <f si="21" t="shared"/>
        <v>7546</v>
      </c>
      <c r="P28" s="14">
        <f si="21" t="shared"/>
        <v>9193</v>
      </c>
      <c r="Q28" s="14">
        <f si="21" t="shared"/>
        <v>11775</v>
      </c>
      <c r="R28" s="14">
        <f si="21" t="shared"/>
        <v>6073</v>
      </c>
      <c r="S28" s="14">
        <f si="21" t="shared"/>
        <v>21559</v>
      </c>
      <c r="T28" s="14"/>
      <c r="U28" s="14">
        <f si="21" t="shared"/>
        <v>74905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5" t="e">
        <f ref="B33:H33" si="22" t="shared">B20/$J$28</f>
        <v>#DIV/0!</v>
      </c>
      <c r="C33" s="15" t="e">
        <f si="22" t="shared"/>
        <v>#DIV/0!</v>
      </c>
      <c r="D33" s="15" t="e">
        <f si="22" t="shared"/>
        <v>#DIV/0!</v>
      </c>
      <c r="E33" s="15" t="e">
        <f si="22" t="shared"/>
        <v>#DIV/0!</v>
      </c>
      <c r="F33" s="15" t="e">
        <f si="22" t="shared"/>
        <v>#DIV/0!</v>
      </c>
      <c r="G33" s="15" t="e">
        <f si="22" t="shared"/>
        <v>#DIV/0!</v>
      </c>
      <c r="H33" s="15" t="e">
        <f si="22" t="shared"/>
        <v>#DIV/0!</v>
      </c>
      <c r="I33" s="11"/>
      <c r="J33" s="15" t="e">
        <f ref="J33:J39" si="23" t="shared">J20/$J$28</f>
        <v>#DIV/0!</v>
      </c>
      <c r="K33" s="11"/>
      <c r="L33" t="str">
        <f>$A$7</f>
        <v>Bellevue</v>
      </c>
      <c r="M33" s="15">
        <f ref="M33:R33" si="24" t="shared">M20/$U$28</f>
        <v>5.1772244843468394E-2</v>
      </c>
      <c r="N33" s="15">
        <f si="24" t="shared"/>
        <v>5.0250317068286497E-2</v>
      </c>
      <c r="O33" s="15">
        <f si="24" t="shared"/>
        <v>4.4456311327681734E-3</v>
      </c>
      <c r="P33" s="15">
        <f si="24" t="shared"/>
        <v>2.0025365462919699E-2</v>
      </c>
      <c r="Q33" s="15">
        <f si="24" t="shared"/>
        <v>9.3184700620786327E-3</v>
      </c>
      <c r="R33" s="15">
        <f si="24" t="shared"/>
        <v>1.0079433949669581E-2</v>
      </c>
      <c r="S33" s="15">
        <f ref="S33" si="25" t="shared">S20/$U$28</f>
        <v>8.3038515452907007E-3</v>
      </c>
      <c r="T33" s="15"/>
      <c r="U33" s="15">
        <f ref="U33:U39" si="26" t="shared">U20/$U$28</f>
        <v>0.15419531406448167</v>
      </c>
      <c r="W33" t="str">
        <f>$A$7</f>
        <v>Bellevue</v>
      </c>
      <c r="X33" s="15" t="e">
        <f ref="X33:AE33" si="27" t="shared">M33-B33</f>
        <v>#DIV/0!</v>
      </c>
      <c r="Y33" s="15" t="e">
        <f si="27" t="shared"/>
        <v>#DIV/0!</v>
      </c>
      <c r="Z33" s="15" t="e">
        <f si="27" t="shared"/>
        <v>#DIV/0!</v>
      </c>
      <c r="AA33" s="15" t="e">
        <f si="27" t="shared"/>
        <v>#DIV/0!</v>
      </c>
      <c r="AB33" s="15" t="e">
        <f si="27" t="shared"/>
        <v>#DIV/0!</v>
      </c>
      <c r="AC33" s="15" t="e">
        <f si="27" t="shared"/>
        <v>#DIV/0!</v>
      </c>
      <c r="AD33" s="15" t="e">
        <f si="27" t="shared"/>
        <v>#DIV/0!</v>
      </c>
      <c r="AE33" s="15">
        <f si="27" t="shared"/>
        <v>0</v>
      </c>
      <c r="AF33" s="15" t="e">
        <f ref="AF33:AF39" si="28" t="shared">U33-J33</f>
        <v>#DIV/0!</v>
      </c>
    </row>
    <row r="34" spans="1:32" x14ac:dyDescent="0.25">
      <c r="A34" t="str">
        <f>$A$8</f>
        <v>Bellevue Downtown</v>
      </c>
      <c r="B34" s="15" t="e">
        <f ref="B34:G39" si="29" t="shared">B21/$J$28</f>
        <v>#DIV/0!</v>
      </c>
      <c r="C34" s="15" t="e">
        <f si="29" t="shared"/>
        <v>#DIV/0!</v>
      </c>
      <c r="D34" s="15" t="e">
        <f si="29" t="shared"/>
        <v>#DIV/0!</v>
      </c>
      <c r="E34" s="15" t="e">
        <f si="29" t="shared"/>
        <v>#DIV/0!</v>
      </c>
      <c r="F34" s="15" t="e">
        <f si="29" t="shared"/>
        <v>#DIV/0!</v>
      </c>
      <c r="G34" s="15" t="e">
        <f si="29" t="shared"/>
        <v>#DIV/0!</v>
      </c>
      <c r="H34" s="15" t="e">
        <f ref="H34:H39" si="30" t="shared">H21/$J$28</f>
        <v>#DIV/0!</v>
      </c>
      <c r="I34" s="11"/>
      <c r="J34" s="15" t="e">
        <f si="23" t="shared"/>
        <v>#DIV/0!</v>
      </c>
      <c r="K34" s="11"/>
      <c r="L34" t="str">
        <f>$A$8</f>
        <v>Bellevue Downtown</v>
      </c>
      <c r="M34" s="15">
        <f ref="M34:R39" si="31" t="shared">M21/$U$28</f>
        <v>9.8791802950403849E-4</v>
      </c>
      <c r="N34" s="15">
        <f si="31" t="shared"/>
        <v>1.6794606501568655E-2</v>
      </c>
      <c r="O34" s="15">
        <f si="31" t="shared"/>
        <v>1.2015219277751819E-4</v>
      </c>
      <c r="P34" s="15">
        <f si="31" t="shared"/>
        <v>1.0680194913557173E-4</v>
      </c>
      <c r="Q34" s="15">
        <f si="31" t="shared"/>
        <v>1.2015219277751819E-4</v>
      </c>
      <c r="R34" s="15">
        <f si="31" t="shared"/>
        <v>4.0050730925839396E-5</v>
      </c>
      <c r="S34" s="15">
        <f ref="S34" si="32" t="shared">S21/$U$28</f>
        <v>4.0050730925839396E-5</v>
      </c>
      <c r="T34" s="15"/>
      <c r="U34" s="15">
        <f si="26" t="shared"/>
        <v>1.820973232761498E-2</v>
      </c>
      <c r="W34" t="str">
        <f>$A$8</f>
        <v>Bellevue Downtown</v>
      </c>
      <c r="X34" s="15" t="e">
        <f ref="X34:X39" si="33" t="shared">M34-B34</f>
        <v>#DIV/0!</v>
      </c>
      <c r="Y34" s="15" t="e">
        <f ref="Y34:AC38" si="34" t="shared">N34-C34</f>
        <v>#DIV/0!</v>
      </c>
      <c r="Z34" s="15" t="e">
        <f si="34" t="shared"/>
        <v>#DIV/0!</v>
      </c>
      <c r="AA34" s="15" t="e">
        <f si="34" t="shared"/>
        <v>#DIV/0!</v>
      </c>
      <c r="AB34" s="15" t="e">
        <f si="34" t="shared"/>
        <v>#DIV/0!</v>
      </c>
      <c r="AC34" s="15" t="e">
        <f si="34" t="shared"/>
        <v>#DIV/0!</v>
      </c>
      <c r="AD34" s="15" t="e">
        <f ref="AD34:AE39" si="35" t="shared">S34-H34</f>
        <v>#DIV/0!</v>
      </c>
      <c r="AE34" s="15">
        <f si="35" t="shared"/>
        <v>0</v>
      </c>
      <c r="AF34" s="15" t="e">
        <f si="28" t="shared"/>
        <v>#DIV/0!</v>
      </c>
    </row>
    <row r="35" spans="1:32" x14ac:dyDescent="0.25">
      <c r="A35" t="str">
        <f>$A$9</f>
        <v>Kirkland</v>
      </c>
      <c r="B35" s="15" t="e">
        <f si="29" t="shared"/>
        <v>#DIV/0!</v>
      </c>
      <c r="C35" s="15" t="e">
        <f si="29" t="shared"/>
        <v>#DIV/0!</v>
      </c>
      <c r="D35" s="15" t="e">
        <f si="29" t="shared"/>
        <v>#DIV/0!</v>
      </c>
      <c r="E35" s="15" t="e">
        <f si="29" t="shared"/>
        <v>#DIV/0!</v>
      </c>
      <c r="F35" s="15" t="e">
        <f si="29" t="shared"/>
        <v>#DIV/0!</v>
      </c>
      <c r="G35" s="15" t="e">
        <f si="29" t="shared"/>
        <v>#DIV/0!</v>
      </c>
      <c r="H35" s="15" t="e">
        <f si="30" t="shared"/>
        <v>#DIV/0!</v>
      </c>
      <c r="I35" s="11"/>
      <c r="J35" s="15" t="e">
        <f si="23" t="shared"/>
        <v>#DIV/0!</v>
      </c>
      <c r="K35" s="12"/>
      <c r="L35" t="str">
        <f>$A$9</f>
        <v>Kirkland</v>
      </c>
      <c r="M35" s="15">
        <f si="31" t="shared"/>
        <v>7.7965422868967356E-3</v>
      </c>
      <c r="N35" s="15">
        <f si="31" t="shared"/>
        <v>1.5366130431880383E-2</v>
      </c>
      <c r="O35" s="15">
        <f si="31" t="shared"/>
        <v>5.7966757893331555E-2</v>
      </c>
      <c r="P35" s="15">
        <f si="31" t="shared"/>
        <v>1.4578466057005541E-2</v>
      </c>
      <c r="Q35" s="15">
        <f si="31" t="shared"/>
        <v>1.3924304118550163E-2</v>
      </c>
      <c r="R35" s="15">
        <f si="31" t="shared"/>
        <v>8.4907549562779523E-3</v>
      </c>
      <c r="S35" s="15">
        <f ref="S35" si="36" t="shared">S22/$U$28</f>
        <v>1.0546692477137708E-2</v>
      </c>
      <c r="T35" s="15"/>
      <c r="U35" s="15">
        <f si="26" t="shared"/>
        <v>0.12866964822108004</v>
      </c>
      <c r="W35" t="str">
        <f>$A$9</f>
        <v>Kirkland</v>
      </c>
      <c r="X35" s="15" t="e">
        <f si="33" t="shared"/>
        <v>#DIV/0!</v>
      </c>
      <c r="Y35" s="15" t="e">
        <f si="34" t="shared"/>
        <v>#DIV/0!</v>
      </c>
      <c r="Z35" s="15" t="e">
        <f si="34" t="shared"/>
        <v>#DIV/0!</v>
      </c>
      <c r="AA35" s="15" t="e">
        <f si="34" t="shared"/>
        <v>#DIV/0!</v>
      </c>
      <c r="AB35" s="15" t="e">
        <f si="34" t="shared"/>
        <v>#DIV/0!</v>
      </c>
      <c r="AC35" s="15" t="e">
        <f si="34" t="shared"/>
        <v>#DIV/0!</v>
      </c>
      <c r="AD35" s="15" t="e">
        <f si="35" t="shared"/>
        <v>#DIV/0!</v>
      </c>
      <c r="AE35" s="15">
        <f si="35" t="shared"/>
        <v>0</v>
      </c>
      <c r="AF35" s="15" t="e">
        <f si="28" t="shared"/>
        <v>#DIV/0!</v>
      </c>
    </row>
    <row r="36" spans="1:32" x14ac:dyDescent="0.25">
      <c r="A36" t="str">
        <f>$A$10</f>
        <v>Redmond</v>
      </c>
      <c r="B36" s="15" t="e">
        <f si="29" t="shared"/>
        <v>#DIV/0!</v>
      </c>
      <c r="C36" s="15" t="e">
        <f si="29" t="shared"/>
        <v>#DIV/0!</v>
      </c>
      <c r="D36" s="15" t="e">
        <f si="29" t="shared"/>
        <v>#DIV/0!</v>
      </c>
      <c r="E36" s="15" t="e">
        <f si="29" t="shared"/>
        <v>#DIV/0!</v>
      </c>
      <c r="F36" s="15" t="e">
        <f si="29" t="shared"/>
        <v>#DIV/0!</v>
      </c>
      <c r="G36" s="15" t="e">
        <f si="29" t="shared"/>
        <v>#DIV/0!</v>
      </c>
      <c r="H36" s="15" t="e">
        <f si="30" t="shared"/>
        <v>#DIV/0!</v>
      </c>
      <c r="I36" s="11"/>
      <c r="J36" s="15" t="e">
        <f si="23" t="shared"/>
        <v>#DIV/0!</v>
      </c>
      <c r="K36" s="12"/>
      <c r="L36" t="str">
        <f>$A$10</f>
        <v>Redmond</v>
      </c>
      <c r="M36" s="15">
        <f si="31" t="shared"/>
        <v>1.0680194913557173E-2</v>
      </c>
      <c r="N36" s="15">
        <f si="31" t="shared"/>
        <v>9.6922768840531342E-3</v>
      </c>
      <c r="O36" s="15">
        <f si="31" t="shared"/>
        <v>1.0466591015286028E-2</v>
      </c>
      <c r="P36" s="15">
        <f si="31" t="shared"/>
        <v>5.4522395033709363E-2</v>
      </c>
      <c r="Q36" s="15">
        <f si="31" t="shared"/>
        <v>5.540351111407783E-3</v>
      </c>
      <c r="R36" s="15">
        <f si="31" t="shared"/>
        <v>4.2987784527067623E-3</v>
      </c>
      <c r="S36" s="15">
        <f ref="S36" si="37" t="shared">S23/$U$28</f>
        <v>6.1144115880114808E-3</v>
      </c>
      <c r="T36" s="15"/>
      <c r="U36" s="15">
        <f si="26" t="shared"/>
        <v>0.10131499899873173</v>
      </c>
      <c r="W36" t="str">
        <f>$A$10</f>
        <v>Redmond</v>
      </c>
      <c r="X36" s="15" t="e">
        <f si="33" t="shared"/>
        <v>#DIV/0!</v>
      </c>
      <c r="Y36" s="15" t="e">
        <f si="34" t="shared"/>
        <v>#DIV/0!</v>
      </c>
      <c r="Z36" s="15" t="e">
        <f si="34" t="shared"/>
        <v>#DIV/0!</v>
      </c>
      <c r="AA36" s="15" t="e">
        <f si="34" t="shared"/>
        <v>#DIV/0!</v>
      </c>
      <c r="AB36" s="15" t="e">
        <f si="34" t="shared"/>
        <v>#DIV/0!</v>
      </c>
      <c r="AC36" s="15" t="e">
        <f si="34" t="shared"/>
        <v>#DIV/0!</v>
      </c>
      <c r="AD36" s="15" t="e">
        <f si="35" t="shared"/>
        <v>#DIV/0!</v>
      </c>
      <c r="AE36" s="15">
        <f si="35" t="shared"/>
        <v>0</v>
      </c>
      <c r="AF36" s="15" t="e">
        <f si="28" t="shared"/>
        <v>#DIV/0!</v>
      </c>
    </row>
    <row r="37" spans="1:32" x14ac:dyDescent="0.25">
      <c r="A37" t="str">
        <f>$A$11</f>
        <v>Seattle</v>
      </c>
      <c r="B37" s="15" t="e">
        <f si="29" t="shared"/>
        <v>#DIV/0!</v>
      </c>
      <c r="C37" s="15" t="e">
        <f si="29" t="shared"/>
        <v>#DIV/0!</v>
      </c>
      <c r="D37" s="15" t="e">
        <f si="29" t="shared"/>
        <v>#DIV/0!</v>
      </c>
      <c r="E37" s="15" t="e">
        <f si="29" t="shared"/>
        <v>#DIV/0!</v>
      </c>
      <c r="F37" s="15" t="e">
        <f si="29" t="shared"/>
        <v>#DIV/0!</v>
      </c>
      <c r="G37" s="15" t="e">
        <f si="29" t="shared"/>
        <v>#DIV/0!</v>
      </c>
      <c r="H37" s="15" t="e">
        <f si="30" t="shared"/>
        <v>#DIV/0!</v>
      </c>
      <c r="I37" s="11"/>
      <c r="J37" s="15" t="e">
        <f si="23" t="shared"/>
        <v>#DIV/0!</v>
      </c>
      <c r="K37" s="12"/>
      <c r="L37" t="str">
        <f>$A$11</f>
        <v>Seattle</v>
      </c>
      <c r="M37" s="15">
        <f si="31" t="shared"/>
        <v>4.7526867365329413E-3</v>
      </c>
      <c r="N37" s="15">
        <f si="31" t="shared"/>
        <v>7.9834456978839872E-3</v>
      </c>
      <c r="O37" s="15">
        <f si="31" t="shared"/>
        <v>4.8995394165943533E-3</v>
      </c>
      <c r="P37" s="15">
        <f si="31" t="shared"/>
        <v>3.2574594486349377E-3</v>
      </c>
      <c r="Q37" s="15">
        <f si="31" t="shared"/>
        <v>9.5027034243374942E-2</v>
      </c>
      <c r="R37" s="15">
        <f si="31" t="shared"/>
        <v>2.3122621987851279E-2</v>
      </c>
      <c r="S37" s="15">
        <f ref="S37" si="38" t="shared">S24/$U$28</f>
        <v>7.3159335157866635E-3</v>
      </c>
      <c r="T37" s="15"/>
      <c r="U37" s="15">
        <f si="26" t="shared"/>
        <v>0.14635872104665909</v>
      </c>
      <c r="W37" t="str">
        <f>$A$11</f>
        <v>Seattle</v>
      </c>
      <c r="X37" s="15" t="e">
        <f si="33" t="shared"/>
        <v>#DIV/0!</v>
      </c>
      <c r="Y37" s="15" t="e">
        <f si="34" t="shared"/>
        <v>#DIV/0!</v>
      </c>
      <c r="Z37" s="15" t="e">
        <f si="34" t="shared"/>
        <v>#DIV/0!</v>
      </c>
      <c r="AA37" s="15" t="e">
        <f si="34" t="shared"/>
        <v>#DIV/0!</v>
      </c>
      <c r="AB37" s="15" t="e">
        <f si="34" t="shared"/>
        <v>#DIV/0!</v>
      </c>
      <c r="AC37" s="15" t="e">
        <f si="34" t="shared"/>
        <v>#DIV/0!</v>
      </c>
      <c r="AD37" s="15" t="e">
        <f si="35" t="shared"/>
        <v>#DIV/0!</v>
      </c>
      <c r="AE37" s="15">
        <f si="35" t="shared"/>
        <v>0</v>
      </c>
      <c r="AF37" s="15" t="e">
        <f si="28" t="shared"/>
        <v>#DIV/0!</v>
      </c>
    </row>
    <row r="38" spans="1:32" x14ac:dyDescent="0.25">
      <c r="A38" t="str">
        <f>$A$12</f>
        <v>Seattle Downtown</v>
      </c>
      <c r="B38" s="15" t="e">
        <f si="29" t="shared"/>
        <v>#DIV/0!</v>
      </c>
      <c r="C38" s="15" t="e">
        <f si="29" t="shared"/>
        <v>#DIV/0!</v>
      </c>
      <c r="D38" s="15" t="e">
        <f si="29" t="shared"/>
        <v>#DIV/0!</v>
      </c>
      <c r="E38" s="15" t="e">
        <f si="29" t="shared"/>
        <v>#DIV/0!</v>
      </c>
      <c r="F38" s="15" t="e">
        <f si="29" t="shared"/>
        <v>#DIV/0!</v>
      </c>
      <c r="G38" s="15" t="e">
        <f si="29" t="shared"/>
        <v>#DIV/0!</v>
      </c>
      <c r="H38" s="15" t="e">
        <f si="30" t="shared"/>
        <v>#DIV/0!</v>
      </c>
      <c r="I38" s="11"/>
      <c r="J38" s="15" t="e">
        <f si="23" t="shared"/>
        <v>#DIV/0!</v>
      </c>
      <c r="K38" s="12"/>
      <c r="L38" t="str">
        <f>$A$12</f>
        <v>Seattle Downtown</v>
      </c>
      <c r="M38" s="15">
        <f si="31" t="shared"/>
        <v>8.0101461851678793E-5</v>
      </c>
      <c r="N38" s="15">
        <f si="31" t="shared"/>
        <v>1.2015219277751819E-4</v>
      </c>
      <c r="O38" s="15">
        <f si="31" t="shared"/>
        <v>4.0050730925839396E-5</v>
      </c>
      <c r="P38" s="15">
        <f si="31" t="shared"/>
        <v>0</v>
      </c>
      <c r="Q38" s="15">
        <f si="31" t="shared"/>
        <v>4.2720779654228691E-4</v>
      </c>
      <c r="R38" s="15">
        <f si="31" t="shared"/>
        <v>1.0546692477137708E-2</v>
      </c>
      <c r="S38" s="15">
        <f ref="S38" si="39" t="shared">S25/$U$28</f>
        <v>1.3350243641946466E-5</v>
      </c>
      <c r="T38" s="15"/>
      <c r="U38" s="15">
        <f si="26" t="shared"/>
        <v>1.1227554902876977E-2</v>
      </c>
      <c r="W38" t="str">
        <f>$A$12</f>
        <v>Seattle Downtown</v>
      </c>
      <c r="X38" s="15" t="e">
        <f si="33" t="shared"/>
        <v>#DIV/0!</v>
      </c>
      <c r="Y38" s="15" t="e">
        <f si="34" t="shared"/>
        <v>#DIV/0!</v>
      </c>
      <c r="Z38" s="15" t="e">
        <f si="34" t="shared"/>
        <v>#DIV/0!</v>
      </c>
      <c r="AA38" s="15" t="e">
        <f si="34" t="shared"/>
        <v>#DIV/0!</v>
      </c>
      <c r="AB38" s="15" t="e">
        <f si="34" t="shared"/>
        <v>#DIV/0!</v>
      </c>
      <c r="AC38" s="15" t="e">
        <f si="34" t="shared"/>
        <v>#DIV/0!</v>
      </c>
      <c r="AD38" s="15" t="e">
        <f si="35" t="shared"/>
        <v>#DIV/0!</v>
      </c>
      <c r="AE38" s="15">
        <f si="35" t="shared"/>
        <v>0</v>
      </c>
      <c r="AF38" s="15" t="e">
        <f si="28" t="shared"/>
        <v>#DIV/0!</v>
      </c>
    </row>
    <row r="39" spans="1:32" x14ac:dyDescent="0.25">
      <c r="A39" t="str">
        <f>$A$13</f>
        <v>Rest</v>
      </c>
      <c r="B39" s="15" t="e">
        <f si="29" t="shared"/>
        <v>#DIV/0!</v>
      </c>
      <c r="C39" s="15" t="e">
        <f si="29" t="shared"/>
        <v>#DIV/0!</v>
      </c>
      <c r="D39" s="15" t="e">
        <f si="29" t="shared"/>
        <v>#DIV/0!</v>
      </c>
      <c r="E39" s="15" t="e">
        <f si="29" t="shared"/>
        <v>#DIV/0!</v>
      </c>
      <c r="F39" s="15" t="e">
        <f si="29" t="shared"/>
        <v>#DIV/0!</v>
      </c>
      <c r="G39" s="15" t="e">
        <f si="29" t="shared"/>
        <v>#DIV/0!</v>
      </c>
      <c r="H39" s="15" t="e">
        <f si="30" t="shared"/>
        <v>#DIV/0!</v>
      </c>
      <c r="I39" s="11"/>
      <c r="J39" s="15" t="e">
        <f si="23" t="shared"/>
        <v>#DIV/0!</v>
      </c>
      <c r="K39" s="12"/>
      <c r="L39" t="str">
        <f>A39</f>
        <v>Rest</v>
      </c>
      <c r="M39" s="15">
        <f si="31" t="shared"/>
        <v>3.1840331086042319E-2</v>
      </c>
      <c r="N39" s="15">
        <f si="31" t="shared"/>
        <v>4.2320272344970294E-2</v>
      </c>
      <c r="O39" s="15">
        <f si="31" t="shared"/>
        <v>2.2802216140444562E-2</v>
      </c>
      <c r="P39" s="15">
        <f si="31" t="shared"/>
        <v>3.0238301849008744E-2</v>
      </c>
      <c r="Q39" s="15">
        <f si="31" t="shared"/>
        <v>3.2841599359188303E-2</v>
      </c>
      <c r="R39" s="15">
        <f si="31" t="shared"/>
        <v>2.4497697082971764E-2</v>
      </c>
      <c r="S39" s="15">
        <f ref="S39" si="40" t="shared">S26/$U$28</f>
        <v>0.2554836125759295</v>
      </c>
      <c r="T39" s="15"/>
      <c r="U39" s="15">
        <f si="26" t="shared"/>
        <v>0.44002403043855548</v>
      </c>
      <c r="W39" t="str">
        <f>$A$13</f>
        <v>Rest</v>
      </c>
      <c r="X39" s="15" t="e">
        <f si="33" t="shared"/>
        <v>#DIV/0!</v>
      </c>
      <c r="Y39" s="15" t="e">
        <f ref="Y39" si="41" t="shared">N39-C39</f>
        <v>#DIV/0!</v>
      </c>
      <c r="Z39" s="15" t="e">
        <f ref="Z39" si="42" t="shared">O39-D39</f>
        <v>#DIV/0!</v>
      </c>
      <c r="AA39" s="15" t="e">
        <f ref="AA39" si="43" t="shared">P39-E39</f>
        <v>#DIV/0!</v>
      </c>
      <c r="AB39" s="15" t="e">
        <f ref="AB39" si="44" t="shared">Q39-F39</f>
        <v>#DIV/0!</v>
      </c>
      <c r="AC39" s="15" t="e">
        <f ref="AC39" si="45" t="shared">R39-G39</f>
        <v>#DIV/0!</v>
      </c>
      <c r="AD39" s="15" t="e">
        <f si="35" t="shared"/>
        <v>#DIV/0!</v>
      </c>
      <c r="AE39" s="15">
        <f si="35" t="shared"/>
        <v>0</v>
      </c>
      <c r="AF39" s="15" t="e">
        <f si="28" t="shared"/>
        <v>#DIV/0!</v>
      </c>
    </row>
    <row r="40" spans="1:32" x14ac:dyDescent="0.2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ht="15.75" r="41" spans="1:32" thickBot="1" x14ac:dyDescent="0.3">
      <c r="A41" s="1" t="s">
        <v>4</v>
      </c>
      <c r="B41" s="17" t="e">
        <f ref="B41:J41" si="46" t="shared">B28/$J$28</f>
        <v>#DIV/0!</v>
      </c>
      <c r="C41" s="17" t="e">
        <f si="46" t="shared"/>
        <v>#DIV/0!</v>
      </c>
      <c r="D41" s="17" t="e">
        <f si="46" t="shared"/>
        <v>#DIV/0!</v>
      </c>
      <c r="E41" s="17" t="e">
        <f si="46" t="shared"/>
        <v>#DIV/0!</v>
      </c>
      <c r="F41" s="17" t="e">
        <f si="46" t="shared"/>
        <v>#DIV/0!</v>
      </c>
      <c r="G41" s="17" t="e">
        <f si="46" t="shared"/>
        <v>#DIV/0!</v>
      </c>
      <c r="H41" s="17" t="e">
        <f si="46" t="shared"/>
        <v>#DIV/0!</v>
      </c>
      <c r="I41" s="17" t="e">
        <f si="46" t="shared"/>
        <v>#DIV/0!</v>
      </c>
      <c r="J41" s="17" t="e">
        <f si="46" t="shared"/>
        <v>#DIV/0!</v>
      </c>
      <c r="K41" s="11"/>
      <c r="L41" s="14" t="s">
        <v>4</v>
      </c>
      <c r="M41" s="17">
        <f>M28/$U$28</f>
        <v>0.10791001935785328</v>
      </c>
      <c r="N41" s="17">
        <f>N28/$U$28</f>
        <v>0.14252720112142048</v>
      </c>
      <c r="O41" s="17">
        <f>O28/$U$28</f>
        <v>0.10074093852212802</v>
      </c>
      <c r="P41" s="17">
        <f>P28/$U$28</f>
        <v>0.12272878980041385</v>
      </c>
      <c r="Q41" s="17">
        <f ref="Q41:S41" si="47" t="shared">Q28/$U$28</f>
        <v>0.15719911888391963</v>
      </c>
      <c r="R41" s="17">
        <f si="47" t="shared"/>
        <v>8.1076029637540889E-2</v>
      </c>
      <c r="S41" s="17">
        <f si="47" t="shared"/>
        <v>0.28781790267672386</v>
      </c>
      <c r="T41" s="17">
        <f>T28/$U$28</f>
        <v>0</v>
      </c>
      <c r="U41" s="17">
        <f>U28/$U$28</f>
        <v>1</v>
      </c>
      <c r="W41" s="14" t="s">
        <v>4</v>
      </c>
      <c r="X41" s="17" t="e">
        <f ref="X41:AF41" si="48" t="shared">M41-B41</f>
        <v>#DIV/0!</v>
      </c>
      <c r="Y41" s="17" t="e">
        <f si="48" t="shared"/>
        <v>#DIV/0!</v>
      </c>
      <c r="Z41" s="17" t="e">
        <f si="48" t="shared"/>
        <v>#DIV/0!</v>
      </c>
      <c r="AA41" s="17" t="e">
        <f si="48" t="shared"/>
        <v>#DIV/0!</v>
      </c>
      <c r="AB41" s="17" t="e">
        <f si="48" t="shared"/>
        <v>#DIV/0!</v>
      </c>
      <c r="AC41" s="17" t="e">
        <f si="48" t="shared"/>
        <v>#DIV/0!</v>
      </c>
      <c r="AD41" s="17" t="e">
        <f si="48" t="shared"/>
        <v>#DIV/0!</v>
      </c>
      <c r="AE41" s="17" t="e">
        <f si="48" t="shared"/>
        <v>#DIV/0!</v>
      </c>
      <c r="AF41" s="17" t="e">
        <f si="48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workbookViewId="0">
      <selection activeCell="D49" sqref="D4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221</v>
      </c>
    </row>
    <row r="2" spans="1:4" x14ac:dyDescent="0.25">
      <c r="A2" t="s">
        <v>264</v>
      </c>
      <c r="B2" t="s">
        <v>265</v>
      </c>
      <c r="C2" t="s">
        <v>224</v>
      </c>
      <c r="D2" t="s">
        <v>266</v>
      </c>
    </row>
    <row r="3" spans="1:4" x14ac:dyDescent="0.25">
      <c r="A3">
        <v>1</v>
      </c>
      <c r="B3" t="s">
        <v>40</v>
      </c>
      <c r="C3" t="s">
        <v>267</v>
      </c>
      <c r="D3" t="s">
        <v>146</v>
      </c>
    </row>
    <row r="4" spans="1:4" x14ac:dyDescent="0.25">
      <c r="A4">
        <v>2</v>
      </c>
      <c r="B4" t="s">
        <v>41</v>
      </c>
      <c r="C4" t="s">
        <v>267</v>
      </c>
      <c r="D4" t="s">
        <v>147</v>
      </c>
    </row>
    <row r="5" spans="1:4" x14ac:dyDescent="0.25">
      <c r="A5">
        <v>3</v>
      </c>
      <c r="B5" t="s">
        <v>42</v>
      </c>
      <c r="C5" t="s">
        <v>267</v>
      </c>
      <c r="D5" t="s">
        <v>148</v>
      </c>
    </row>
    <row r="6" spans="1:4" x14ac:dyDescent="0.25">
      <c r="A6">
        <v>4</v>
      </c>
      <c r="B6" t="s">
        <v>43</v>
      </c>
      <c r="C6" t="s">
        <v>267</v>
      </c>
      <c r="D6" t="s">
        <v>149</v>
      </c>
    </row>
    <row r="7" spans="1:4" x14ac:dyDescent="0.25">
      <c r="A7">
        <v>5</v>
      </c>
      <c r="B7" t="s">
        <v>44</v>
      </c>
      <c r="C7" t="s">
        <v>267</v>
      </c>
      <c r="D7" t="s">
        <v>150</v>
      </c>
    </row>
    <row r="8" spans="1:4" x14ac:dyDescent="0.25">
      <c r="A8">
        <v>6</v>
      </c>
      <c r="B8" t="s">
        <v>45</v>
      </c>
      <c r="C8" t="s">
        <v>267</v>
      </c>
      <c r="D8" t="s">
        <v>151</v>
      </c>
    </row>
    <row r="9" spans="1:4" x14ac:dyDescent="0.25">
      <c r="A9">
        <v>7</v>
      </c>
      <c r="B9" t="s">
        <v>46</v>
      </c>
      <c r="C9" t="s">
        <v>267</v>
      </c>
      <c r="D9" t="s">
        <v>152</v>
      </c>
    </row>
    <row r="10" spans="1:4" x14ac:dyDescent="0.25">
      <c r="A10">
        <v>8</v>
      </c>
      <c r="B10" t="s">
        <v>47</v>
      </c>
      <c r="C10" t="s">
        <v>267</v>
      </c>
      <c r="D10" t="s">
        <v>153</v>
      </c>
    </row>
    <row r="11" spans="1:4" x14ac:dyDescent="0.25">
      <c r="A11">
        <v>9</v>
      </c>
      <c r="B11" t="s">
        <v>48</v>
      </c>
      <c r="C11" t="s">
        <v>267</v>
      </c>
      <c r="D11" t="s">
        <v>154</v>
      </c>
    </row>
    <row r="12" spans="1:4" x14ac:dyDescent="0.25">
      <c r="A12">
        <v>10</v>
      </c>
      <c r="B12" t="s">
        <v>49</v>
      </c>
      <c r="C12" t="s">
        <v>267</v>
      </c>
      <c r="D12" t="s">
        <v>155</v>
      </c>
    </row>
    <row r="13" spans="1:4" x14ac:dyDescent="0.25">
      <c r="A13">
        <v>11</v>
      </c>
      <c r="B13" t="s">
        <v>50</v>
      </c>
      <c r="C13" t="s">
        <v>267</v>
      </c>
      <c r="D13" t="s">
        <v>156</v>
      </c>
    </row>
    <row r="14" spans="1:4" x14ac:dyDescent="0.25">
      <c r="A14">
        <v>12</v>
      </c>
      <c r="B14" t="s">
        <v>51</v>
      </c>
      <c r="C14" t="s">
        <v>267</v>
      </c>
      <c r="D14" t="s">
        <v>157</v>
      </c>
    </row>
    <row r="15" spans="1:4" x14ac:dyDescent="0.25">
      <c r="A15">
        <v>13</v>
      </c>
      <c r="B15" t="s">
        <v>52</v>
      </c>
      <c r="C15" t="s">
        <v>267</v>
      </c>
      <c r="D15" t="s">
        <v>158</v>
      </c>
    </row>
    <row r="16" spans="1:4" x14ac:dyDescent="0.25">
      <c r="A16">
        <v>14</v>
      </c>
      <c r="B16" t="s">
        <v>53</v>
      </c>
      <c r="C16" t="s">
        <v>267</v>
      </c>
      <c r="D16" t="s">
        <v>159</v>
      </c>
    </row>
    <row r="17" spans="1:4" x14ac:dyDescent="0.25">
      <c r="A17">
        <v>15</v>
      </c>
      <c r="B17" t="s">
        <v>54</v>
      </c>
      <c r="C17" t="s">
        <v>267</v>
      </c>
      <c r="D17" t="s">
        <v>160</v>
      </c>
    </row>
    <row r="18" spans="1:4" x14ac:dyDescent="0.25">
      <c r="A18">
        <v>16</v>
      </c>
      <c r="B18" t="s">
        <v>55</v>
      </c>
      <c r="C18" t="s">
        <v>267</v>
      </c>
      <c r="D18" t="s">
        <v>161</v>
      </c>
    </row>
    <row r="19" spans="1:4" x14ac:dyDescent="0.25">
      <c r="A19">
        <v>17</v>
      </c>
      <c r="B19" t="s">
        <v>56</v>
      </c>
      <c r="C19" t="s">
        <v>267</v>
      </c>
      <c r="D19" t="s">
        <v>162</v>
      </c>
    </row>
    <row r="20" spans="1:4" x14ac:dyDescent="0.25">
      <c r="A20">
        <v>18</v>
      </c>
      <c r="B20" t="s">
        <v>57</v>
      </c>
      <c r="C20" t="s">
        <v>267</v>
      </c>
      <c r="D20" t="s">
        <v>163</v>
      </c>
    </row>
    <row r="21" spans="1:4" x14ac:dyDescent="0.25">
      <c r="A21">
        <v>19</v>
      </c>
      <c r="B21" t="s">
        <v>58</v>
      </c>
      <c r="C21" t="s">
        <v>267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268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E7" sqref="E7"/>
    </sheetView>
  </sheetViews>
  <sheetFormatPr defaultRowHeight="15" x14ac:dyDescent="0.25"/>
  <sheetData>
    <row r="1" spans="1:11" x14ac:dyDescent="0.2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2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A8" t="s">
        <v>232</v>
      </c>
      <c r="B8" t="s">
        <v>233</v>
      </c>
      <c r="C8" t="s">
        <v>234</v>
      </c>
      <c r="D8" t="s">
        <v>270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2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2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2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2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2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2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2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2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2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2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2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2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2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2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2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2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2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2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2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2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2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2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2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2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2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2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2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2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workbookViewId="0">
      <selection activeCell="U42" sqref="U42"/>
    </sheetView>
  </sheetViews>
  <sheetFormatPr defaultColWidth="9.140625"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25">
      <c r="C4" s="217" t="s">
        <v>217</v>
      </c>
      <c r="D4" s="218">
        <f>TLFD!B11</f>
        <v>2746.6052577569999</v>
      </c>
      <c r="F4" s="217" t="s">
        <v>217</v>
      </c>
      <c r="G4" s="218">
        <f>TLFD!F11</f>
        <v>12886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25">
      <c r="C5" s="204" t="s">
        <v>218</v>
      </c>
      <c r="D5" s="220">
        <f>TLFD!B12+TLFD!B13+(TLFD!B14/2)</f>
        <v>10205.1411857945</v>
      </c>
      <c r="F5" s="204" t="s">
        <v>218</v>
      </c>
      <c r="G5" s="220">
        <f>TLFD!F12+TLFD!F13+(TLFD!F14/2)</f>
        <v>13706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ref="Q5:Q68" si="0" t="shared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25">
      <c r="C6" s="204" t="s">
        <v>214</v>
      </c>
      <c r="D6" s="220">
        <f>(TLFD!B14/2)+SUM(TLFD!B15:B20)</f>
        <v>11115.059029386501</v>
      </c>
      <c r="F6" s="204" t="s">
        <v>214</v>
      </c>
      <c r="G6" s="220">
        <f>(TLFD!F14/2)+SUM(TLFD!F15:F20)</f>
        <v>26416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si="0" t="shared"/>
        <v>0.27120783067900001</v>
      </c>
      <c r="T6">
        <v>4</v>
      </c>
      <c r="U6" s="208" t="s">
        <v>281</v>
      </c>
      <c r="V6" s="208"/>
      <c r="W6" s="208"/>
    </row>
    <row r="7" spans="3:23" x14ac:dyDescent="0.25">
      <c r="C7" s="205" t="s">
        <v>215</v>
      </c>
      <c r="D7" s="222">
        <f>SUM(TLFD!B21:B101)</f>
        <v>4594.6358922387999</v>
      </c>
      <c r="F7" s="205" t="s">
        <v>215</v>
      </c>
      <c r="G7" s="222">
        <f>SUM(TLFD!F21:F101)</f>
        <v>21897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si="0" t="shared"/>
        <v>-0.34490013167299999</v>
      </c>
      <c r="T7" s="208">
        <v>5</v>
      </c>
      <c r="U7" s="208" t="s">
        <v>282</v>
      </c>
      <c r="V7" s="208"/>
      <c r="W7" s="208"/>
    </row>
    <row ht="15.75" r="8" spans="3:23" thickBot="1" x14ac:dyDescent="0.3">
      <c r="C8" s="206" t="s">
        <v>4</v>
      </c>
      <c r="D8" s="224">
        <f>SUM(D4:D7)</f>
        <v>28661.441365176801</v>
      </c>
      <c r="E8" s="225"/>
      <c r="F8" s="206" t="s">
        <v>4</v>
      </c>
      <c r="G8" s="224">
        <f>SUM(G4:G7)</f>
        <v>74905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si="0" t="shared"/>
        <v>-8.2865473150899996E-2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si="0" t="shared"/>
        <v>-3.9895313632499998</v>
      </c>
      <c r="T9" s="208"/>
      <c r="U9" s="289" t="s">
        <v>283</v>
      </c>
      <c r="V9" s="208"/>
      <c r="W9" s="208"/>
    </row>
    <row ht="15.75" r="10" spans="3:23" thickBot="1" x14ac:dyDescent="0.3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si="0" t="shared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si="0" t="shared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25">
      <c r="C12" s="217" t="s">
        <v>217</v>
      </c>
      <c r="D12" s="227">
        <f>D4/D$8</f>
        <v>9.5829278882466881E-2</v>
      </c>
      <c r="F12" s="217" t="s">
        <v>217</v>
      </c>
      <c r="G12" s="227">
        <f>G4/G$8</f>
        <v>0.17203123957012215</v>
      </c>
      <c r="H12" s="227"/>
      <c r="I12" s="258">
        <f>D12/G12</f>
        <v>0.55704579657699693</v>
      </c>
      <c r="J12" s="259">
        <f>LN(I12)</f>
        <v>-0.5851078223683156</v>
      </c>
      <c r="K12" s="259">
        <f>J8*J12</f>
        <v>-0.5851078223683156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si="0" t="shared"/>
        <v>0.517563261484</v>
      </c>
      <c r="T12" s="208">
        <v>3</v>
      </c>
      <c r="U12" s="208" t="s">
        <v>285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0.35605819874061134</v>
      </c>
      <c r="F13" s="204" t="s">
        <v>218</v>
      </c>
      <c r="G13" s="228">
        <f ref="G13:G16" si="2" t="shared">G5/G$8</f>
        <v>0.18297843935651825</v>
      </c>
      <c r="H13" s="228"/>
      <c r="I13" s="258">
        <f ref="I13:I15" si="3" t="shared">D13/G13</f>
        <v>1.9459024789628989</v>
      </c>
      <c r="J13" s="259">
        <f ref="J13:J15" si="4" t="shared">LN(I13)</f>
        <v>0.66572586892273056</v>
      </c>
      <c r="K13" s="259">
        <f>J8*(J13-J12)</f>
        <v>1.2508336912910463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si="0" t="shared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25">
      <c r="C14" s="204" t="s">
        <v>214</v>
      </c>
      <c r="D14" s="228">
        <f si="1" t="shared"/>
        <v>0.38780530566376614</v>
      </c>
      <c r="F14" s="204" t="s">
        <v>214</v>
      </c>
      <c r="G14" s="228">
        <f si="2" t="shared"/>
        <v>0.35266003604565782</v>
      </c>
      <c r="H14" s="228"/>
      <c r="I14" s="258">
        <f si="3" t="shared"/>
        <v>1.0996576476659754</v>
      </c>
      <c r="J14" s="259">
        <f si="4" t="shared"/>
        <v>9.4998901967837723E-2</v>
      </c>
      <c r="K14" s="259">
        <f>J8*(J14-J13-J12)</f>
        <v>1.4380855413422711E-2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si="0" t="shared"/>
        <v>-0.80534348065299999</v>
      </c>
      <c r="T14" s="208">
        <v>5</v>
      </c>
      <c r="U14" s="202" t="s">
        <v>287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0.16030721671315562</v>
      </c>
      <c r="F15" s="205" t="s">
        <v>215</v>
      </c>
      <c r="G15" s="228">
        <f si="2" t="shared"/>
        <v>0.29233028502770175</v>
      </c>
      <c r="H15" s="228"/>
      <c r="I15" s="260">
        <f si="3" t="shared"/>
        <v>0.5483770410512363</v>
      </c>
      <c r="J15" s="261">
        <f si="4" t="shared"/>
        <v>-0.60079219750362234</v>
      </c>
      <c r="K15" s="261">
        <f>J8*(J15-J14-J13-J12)</f>
        <v>-0.77640914602587496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si="0" t="shared"/>
        <v>-0.51977799879300002</v>
      </c>
      <c r="T15" s="208">
        <v>6</v>
      </c>
      <c r="U15" s="208" t="s">
        <v>288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si="0" t="shared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si="0" t="shared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si="0" t="shared"/>
        <v>-0.493022087256</v>
      </c>
    </row>
    <row r="19" spans="2:23" x14ac:dyDescent="0.2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si="0" t="shared"/>
        <v>0.63771148688699997</v>
      </c>
    </row>
    <row r="23" spans="2:23" x14ac:dyDescent="0.2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si="0" t="shared"/>
        <v>-12.0946718381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si="0" t="shared"/>
        <v>-4.03623745316</v>
      </c>
    </row>
    <row r="25" spans="2:23" x14ac:dyDescent="0.25">
      <c r="B25" s="263">
        <v>46</v>
      </c>
      <c r="C25" s="204" t="s">
        <v>214</v>
      </c>
      <c r="D25" s="267">
        <f si="5" t="shared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si="0" t="shared"/>
        <v>-2.16371815818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si="0" t="shared"/>
        <v>0.10429329553199999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si="0" t="shared"/>
        <v>0.417326479157</v>
      </c>
    </row>
    <row r="29" spans="2:23" x14ac:dyDescent="0.2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si="0" t="shared"/>
        <v>-14.8384910501</v>
      </c>
    </row>
    <row r="30" spans="2:23" x14ac:dyDescent="0.2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si="0" t="shared"/>
        <v>-5.1880432348000003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si="0" t="shared"/>
        <v>-2.6156308707</v>
      </c>
    </row>
    <row r="32" spans="2:23" x14ac:dyDescent="0.2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si="0" t="shared"/>
        <v>-0.91046169190000004</v>
      </c>
    </row>
    <row r="33" spans="2:18" x14ac:dyDescent="0.25">
      <c r="B33" s="263">
        <f>B23</f>
        <v>44</v>
      </c>
      <c r="C33" s="217" t="s">
        <v>217</v>
      </c>
      <c r="D33" s="269">
        <f>K12</f>
        <v>-0.5851078223683156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si="0" t="shared"/>
        <v>5.7553461640599997E-2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1.2508336912910463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si="0" t="shared"/>
        <v>0.237798002151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1.4380855413422711E-2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-0.77640914602587496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si="0" t="shared"/>
        <v>0.61259135262599995</v>
      </c>
    </row>
    <row r="39" spans="2:18" x14ac:dyDescent="0.2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si="0" t="shared"/>
        <v>-20.810228388700001</v>
      </c>
    </row>
    <row r="40" spans="2:18" x14ac:dyDescent="0.2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si="0" t="shared"/>
        <v>-7.1836373472300004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si="0" t="shared"/>
        <v>-3.6600975390500001</v>
      </c>
    </row>
    <row r="42" spans="2:18" x14ac:dyDescent="0.2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si="0" t="shared"/>
        <v>-1.3605457273599999</v>
      </c>
    </row>
    <row r="43" spans="2:18" x14ac:dyDescent="0.25">
      <c r="B43" s="263">
        <f>B33</f>
        <v>44</v>
      </c>
      <c r="C43" s="217" t="s">
        <v>217</v>
      </c>
      <c r="D43" s="271">
        <f>D23+D33</f>
        <v>-32.741201914468313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si="0" t="shared"/>
        <v>-0.22141031751900001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-6.3043536854289535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si="0" t="shared"/>
        <v>0.64228876129599999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-3.464028967726577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si="0" t="shared"/>
        <v>0.74588429254199995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-1.568126993148875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si="0" t="shared"/>
        <v>-32.741201914468313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si="0" t="shared"/>
        <v>-6.3043536854289535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si="0" t="shared"/>
        <v>-3.464028967726577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si="0" t="shared"/>
        <v>-1.568126993148875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si="0" t="shared"/>
        <v>0.65760260093900003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si="0" t="shared"/>
        <v>0.201576719663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si="0" t="shared"/>
        <v>-28.552058518999999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si="0" t="shared"/>
        <v>-7.25833529236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si="0" t="shared"/>
        <v>-2.64524710889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si="0" t="shared"/>
        <v>-0.76461618005800003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si="0" t="shared"/>
        <v>0.20818008309700001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si="0" t="shared"/>
        <v>0.42522231451499998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si="0" t="shared"/>
        <v>-0.743588483327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si="0" t="shared"/>
        <v>6.2100000000000002E-2</v>
      </c>
    </row>
    <row r="60" spans="13:18" x14ac:dyDescent="0.2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si="0" t="shared"/>
        <v>-3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si="0" t="shared"/>
        <v>0.29394695214400002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si="0" t="shared"/>
        <v>-6.2798471793299999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si="0" t="shared"/>
        <v>3.2962256518299999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si="0" t="shared"/>
        <v>-5.4150639062700003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si="0" t="shared"/>
        <v>-5.94820877094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si="0" t="shared"/>
        <v>-4.8479831726300002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si="0" t="shared"/>
        <v>-5.4883496585599998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ref="Q69:Q104" si="10" t="shared">_xlfn.IFNA(VLOOKUP(N69,$B$43:$D$46,3,FALSE),P69)</f>
        <v>-6.9308352438999998</v>
      </c>
    </row>
    <row r="70" spans="13:17" x14ac:dyDescent="0.2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si="10" t="shared"/>
        <v>-22.404820174200001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si="10" t="shared"/>
        <v>-2.8929233973800002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si="10" t="shared"/>
        <v>-2.5610724948299999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si="10" t="shared"/>
        <v>-6.7871010869299999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si="10" t="shared"/>
        <v>-7.1983706387300002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si="10" t="shared"/>
        <v>-6.5584328775399996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si="10" t="shared"/>
        <v>-7.3832576457999997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si="10" t="shared"/>
        <v>-8.5452246906399996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si="10" t="shared"/>
        <v>-24.633851965200002</v>
      </c>
    </row>
    <row r="79" spans="13:17" x14ac:dyDescent="0.2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si="10" t="shared"/>
        <v>0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si="10" t="shared"/>
        <v>-0.55009338373399996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si="10" t="shared"/>
        <v>-9.9117567037699992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si="10" t="shared"/>
        <v>-9.3194311560499994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si="10" t="shared"/>
        <v>-0.20086270196799999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si="10" t="shared"/>
        <v>-2.1843835309699999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si="10" t="shared"/>
        <v>0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si="10" t="shared"/>
        <v>-9.9476357147400005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si="10" t="shared"/>
        <v>-12.800107987600001</v>
      </c>
    </row>
    <row r="88" spans="13:17" x14ac:dyDescent="0.2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si="10" t="shared"/>
        <v>-30</v>
      </c>
    </row>
    <row r="89" spans="13:17" x14ac:dyDescent="0.2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si="10" t="shared"/>
        <v>-21.699928591700001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si="10" t="shared"/>
        <v>-17.700475093400001</v>
      </c>
    </row>
    <row r="91" spans="13:17" x14ac:dyDescent="0.2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si="10" t="shared"/>
        <v>-0.7</v>
      </c>
    </row>
    <row r="92" spans="13:17" x14ac:dyDescent="0.2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si="10" t="shared"/>
        <v>-17.8758745875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si="10" t="shared"/>
        <v>0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si="10" t="shared"/>
        <v>5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si="10" t="shared"/>
        <v>-30</v>
      </c>
    </row>
    <row r="96" spans="13:17" x14ac:dyDescent="0.2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si="10" t="shared"/>
        <v>-24.158093970700001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si="10" t="shared"/>
        <v>-9.5803170794600003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si="10" t="shared"/>
        <v>0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si="10" t="shared"/>
        <v>-15.671349338700001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si="10" t="shared"/>
        <v>-18.208541213899998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si="10" t="shared"/>
        <v>-11.2471450075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si="10" t="shared"/>
        <v>-10.0807778908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si="10" t="shared"/>
        <v>-5.6623999999999999</v>
      </c>
    </row>
    <row r="104" spans="13:17" x14ac:dyDescent="0.2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2019-10-07T21:07:26Z</dcterms:modified>
</cp:coreProperties>
</file>