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07057070-F72F-4574-A4E6-5FAAD77ADD92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R32" s="1"/>
  <c i="6" r="P31"/>
  <c i="6" r="O31"/>
  <c i="6" r="N31"/>
  <c i="6" r="M31" s="1"/>
  <c i="6" r="P30"/>
  <c i="6" r="O30"/>
  <c i="6" r="N30"/>
  <c i="6" r="R30" s="1"/>
  <c i="6" r="P29"/>
  <c i="6" r="O29"/>
  <c i="6" r="N29"/>
  <c i="6" r="R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R31"/>
  <c i="6" r="D23"/>
  <c i="6" r="D24"/>
  <c i="6" r="D25"/>
  <c i="6" r="Q53"/>
  <c i="6" r="M29"/>
  <c i="6" r="M42"/>
  <c i="6" r="M39"/>
  <c i="6" r="Q95"/>
  <c i="6" r="Q99"/>
  <c i="6" r="Q22"/>
  <c i="6" r="Q93"/>
  <c i="6" r="Q16"/>
  <c i="6" r="Q63"/>
  <c i="6" r="Q9"/>
  <c i="6" r="Q54"/>
  <c i="6" r="Q66"/>
  <c i="6" r="Q55"/>
  <c i="6" r="Q74"/>
  <c i="6" r="Q19"/>
  <c i="6" r="Q75"/>
  <c i="6" r="Q60"/>
  <c i="6" r="Q77"/>
  <c i="6" r="Q17"/>
  <c i="6" r="Q78"/>
  <c i="6" r="Q23"/>
  <c i="6" r="Q79"/>
  <c i="6" r="Q28"/>
  <c i="6" r="Q12"/>
  <c i="6" r="Q21"/>
  <c i="6" r="Q26"/>
  <c i="6" r="Q80"/>
  <c i="6" r="Q46"/>
  <c i="6" r="Q56"/>
  <c i="6" r="Q20"/>
  <c i="6" r="Q27"/>
  <c i="6" r="Q84"/>
  <c i="6" r="Q18"/>
  <c i="6" r="Q85"/>
  <c i="6" r="Q61"/>
  <c i="6" r="Q15"/>
  <c i="6" r="Q86"/>
  <c i="6" r="Q44"/>
  <c i="6" r="Q87"/>
  <c i="6" r="Q59"/>
  <c i="6" r="Q45"/>
  <c i="6" r="Q88"/>
  <c i="6" r="Q11"/>
  <c i="6" r="Q13"/>
  <c i="6" r="Q14"/>
  <c i="6" r="Q47"/>
  <c i="6" r="Q89"/>
  <c i="6" r="Q48"/>
  <c i="6" r="Q91"/>
  <c i="6" r="Q50"/>
  <c i="6" r="Q8"/>
  <c i="6" r="Q62"/>
  <c i="6" r="Q104"/>
  <c i="6" r="Q49"/>
  <c i="6" r="Q81"/>
  <c i="6" r="Q90"/>
  <c i="6" r="Q25"/>
  <c i="6" r="Q64"/>
  <c i="6" r="Q92"/>
  <c i="6" r="Q82"/>
  <c i="6" r="Q65"/>
  <c i="6" r="Q94"/>
  <c i="6" r="Q33"/>
  <c i="6" r="Q67"/>
  <c i="6" r="Q96"/>
  <c i="6" r="Q34"/>
  <c i="6" r="Q68"/>
  <c i="6" r="Q97"/>
  <c i="6" r="Q57"/>
  <c i="6" r="Q83"/>
  <c i="6" r="Q3"/>
  <c i="6" r="Q35"/>
  <c i="6" r="Q69"/>
  <c i="6" r="Q98"/>
  <c i="6" r="Q51"/>
  <c i="6" r="Q4"/>
  <c i="6" r="Q36"/>
  <c i="6" r="Q70"/>
  <c i="6" r="Q101"/>
  <c i="6" r="Q5"/>
  <c i="6" r="Q37"/>
  <c i="6" r="Q71"/>
  <c i="6" r="Q102"/>
  <c i="6" r="Q6"/>
  <c i="6" r="Q38"/>
  <c i="6" r="Q72"/>
  <c i="6" r="Q103"/>
  <c i="6" r="Q58"/>
  <c i="6" r="Q7"/>
  <c i="6" r="Q43"/>
  <c i="6" r="Q73"/>
  <c i="6" r="M40"/>
  <c i="6" r="M82"/>
  <c i="6" r="M25"/>
  <c i="6" r="M54"/>
  <c i="6" r="Q24"/>
  <c i="6" r="Q52"/>
  <c i="6" r="Q76"/>
  <c i="6" r="Q100"/>
  <c i="6" r="Q10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D16"/>
  <c i="6" r="D12"/>
  <c i="6" r="D15"/>
  <c i="6" r="D14"/>
  <c i="1" r="S15"/>
  <c i="1" r="U13"/>
  <c i="6" l="1" r="I13"/>
  <c i="6" r="J13" s="1"/>
  <c i="6" r="I15"/>
  <c i="6" r="J15" s="1"/>
  <c i="6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Q29"/>
  <c i="6" r="K13"/>
  <c i="6" r="D34" s="1"/>
  <c i="6" r="D44" s="1"/>
  <c i="6" r="Q30" s="1"/>
  <c i="6" r="K15"/>
  <c i="6" r="D36" s="1"/>
  <c i="6" r="D46" s="1"/>
  <c i="6" r="Q32" s="1"/>
  <c i="6" r="Q42"/>
  <c i="6" r="K14"/>
  <c i="6" r="D35" s="1"/>
  <c i="6" r="D45" s="1"/>
  <c i="6" r="Q31" s="1"/>
  <c i="6" r="Q40"/>
  <c i="6" r="Q4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H20" s="1"/>
  <c i="1" r="M15"/>
  <c i="1" r="C15"/>
  <c i="1" r="D15"/>
  <c i="1" r="E15"/>
  <c i="1" r="I15"/>
  <c i="1" r="B15"/>
  <c i="1" r="J8"/>
  <c i="1" r="J9"/>
  <c i="1" r="J14"/>
  <c i="1" r="J7"/>
  <c i="1" l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<sst xmlns="http://schemas.openxmlformats.org/spreadsheetml/2006/main" count="716" uniqueCount="284">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</sst>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0.22017504370482532</c:v>
                </c:pt>
                <c:pt idx="1">
                  <c:v>0.21312552537287996</c:v>
                </c:pt>
                <c:pt idx="2">
                  <c:v>8.9960640475372611E-2</c:v>
                </c:pt>
                <c:pt idx="3">
                  <c:v>9.7119650260663187E-2</c:v>
                </c:pt>
                <c:pt idx="4">
                  <c:v>7.0297075266330028E-2</c:v>
                </c:pt>
                <c:pt idx="5">
                  <c:v>7.4754269837235668E-2</c:v>
                </c:pt>
                <c:pt idx="6">
                  <c:v>3.0815675572712482E-2</c:v>
                </c:pt>
                <c:pt idx="7">
                  <c:v>7.7444035231453616E-3</c:v>
                </c:pt>
                <c:pt idx="8">
                  <c:v>9.7768522281269487E-3</c:v>
                </c:pt>
                <c:pt idx="9">
                  <c:v>1.5944137710306883E-2</c:v>
                </c:pt>
                <c:pt idx="10">
                  <c:v>2.4324964165888599E-3</c:v>
                </c:pt>
                <c:pt idx="11">
                  <c:v>2.594918675465881E-2</c:v>
                </c:pt>
                <c:pt idx="12">
                  <c:v>6.7079135969128831E-3</c:v>
                </c:pt>
                <c:pt idx="13">
                  <c:v>2.4734128896590256E-3</c:v>
                </c:pt>
                <c:pt idx="14">
                  <c:v>2.0181437918823694E-2</c:v>
                </c:pt>
                <c:pt idx="15">
                  <c:v>7.8907006965145184E-3</c:v>
                </c:pt>
                <c:pt idx="16">
                  <c:v>6.110714780637753E-3</c:v>
                </c:pt>
                <c:pt idx="17">
                  <c:v>0</c:v>
                </c:pt>
                <c:pt idx="18">
                  <c:v>9.5549183533110114E-3</c:v>
                </c:pt>
                <c:pt idx="19">
                  <c:v>4.4231264761543744E-2</c:v>
                </c:pt>
                <c:pt idx="20">
                  <c:v>1.0482144346341409E-2</c:v>
                </c:pt>
                <c:pt idx="21">
                  <c:v>2.3331249719492761E-3</c:v>
                </c:pt>
                <c:pt idx="22">
                  <c:v>1.6314597845426902E-2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5.126956382073263E-3</c:v>
                </c:pt>
                <c:pt idx="34">
                  <c:v>0</c:v>
                </c:pt>
                <c:pt idx="35">
                  <c:v>7.7082422771580878E-3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0.11848638888343703</c:v>
                </c:pt>
                <c:pt idx="1">
                  <c:v>9.7893073737512507E-2</c:v>
                </c:pt>
                <c:pt idx="2">
                  <c:v>6.3237227924868994E-2</c:v>
                </c:pt>
                <c:pt idx="3">
                  <c:v>5.0597633019960356E-2</c:v>
                </c:pt>
                <c:pt idx="4">
                  <c:v>0.11109202959706385</c:v>
                </c:pt>
                <c:pt idx="5">
                  <c:v>6.97680124040745E-2</c:v>
                </c:pt>
                <c:pt idx="6">
                  <c:v>7.6112343231732452E-2</c:v>
                </c:pt>
                <c:pt idx="7">
                  <c:v>3.9336813801495556E-2</c:v>
                </c:pt>
                <c:pt idx="8">
                  <c:v>4.4503542619379402E-2</c:v>
                </c:pt>
                <c:pt idx="9">
                  <c:v>2.8610822162469823E-2</c:v>
                </c:pt>
                <c:pt idx="10">
                  <c:v>2.5220309709328571E-2</c:v>
                </c:pt>
                <c:pt idx="11">
                  <c:v>2.5441110086161213E-2</c:v>
                </c:pt>
                <c:pt idx="12">
                  <c:v>2.5028949382740279E-2</c:v>
                </c:pt>
                <c:pt idx="13">
                  <c:v>2.4219348001020588E-2</c:v>
                </c:pt>
                <c:pt idx="14">
                  <c:v>2.1294969676748248E-2</c:v>
                </c:pt>
                <c:pt idx="15">
                  <c:v>2.2987772565798512E-2</c:v>
                </c:pt>
                <c:pt idx="16">
                  <c:v>1.9798433789327E-2</c:v>
                </c:pt>
                <c:pt idx="17">
                  <c:v>1.7266589468312693E-2</c:v>
                </c:pt>
                <c:pt idx="18">
                  <c:v>1.5730800180565642E-2</c:v>
                </c:pt>
                <c:pt idx="19">
                  <c:v>1.3110635708818276E-2</c:v>
                </c:pt>
                <c:pt idx="20">
                  <c:v>1.2364821102628015E-2</c:v>
                </c:pt>
                <c:pt idx="21">
                  <c:v>1.0912445290573296E-2</c:v>
                </c:pt>
                <c:pt idx="22">
                  <c:v>9.9163902573060399E-3</c:v>
                </c:pt>
                <c:pt idx="23">
                  <c:v>8.9301485741202329E-3</c:v>
                </c:pt>
                <c:pt idx="24">
                  <c:v>7.9684402661380545E-3</c:v>
                </c:pt>
                <c:pt idx="25">
                  <c:v>5.6623029969971152E-3</c:v>
                </c:pt>
                <c:pt idx="26">
                  <c:v>4.7300347392592885E-3</c:v>
                </c:pt>
                <c:pt idx="27">
                  <c:v>4.1657671095758674E-3</c:v>
                </c:pt>
                <c:pt idx="28">
                  <c:v>3.6947263056662282E-3</c:v>
                </c:pt>
                <c:pt idx="29">
                  <c:v>3.6947263056662282E-3</c:v>
                </c:pt>
                <c:pt idx="30">
                  <c:v>2.7968047732134797E-3</c:v>
                </c:pt>
                <c:pt idx="31">
                  <c:v>2.0509901670232185E-3</c:v>
                </c:pt>
                <c:pt idx="32">
                  <c:v>2.0951502423897472E-3</c:v>
                </c:pt>
                <c:pt idx="33">
                  <c:v>2.1294969676748246E-3</c:v>
                </c:pt>
                <c:pt idx="34">
                  <c:v>1.1923220348962729E-3</c:v>
                </c:pt>
                <c:pt idx="35">
                  <c:v>8.635748071676709E-4</c:v>
                </c:pt>
                <c:pt idx="36">
                  <c:v>1.2266687601813508E-3</c:v>
                </c:pt>
                <c:pt idx="37">
                  <c:v>9.7152165806362978E-4</c:v>
                </c:pt>
                <c:pt idx="38">
                  <c:v>9.5680163294145355E-4</c:v>
                </c:pt>
                <c:pt idx="39">
                  <c:v>7.2128123098663417E-4</c:v>
                </c:pt>
                <c:pt idx="40">
                  <c:v>6.0352103000922458E-4</c:v>
                </c:pt>
                <c:pt idx="41">
                  <c:v>4.8576082903181489E-4</c:v>
                </c:pt>
                <c:pt idx="42">
                  <c:v>3.091205275657004E-4</c:v>
                </c:pt>
                <c:pt idx="43">
                  <c:v>1.521069262624875E-4</c:v>
                </c:pt>
                <c:pt idx="44">
                  <c:v>2.6986712723989714E-4</c:v>
                </c:pt>
                <c:pt idx="45">
                  <c:v>2.4042707699554474E-4</c:v>
                </c:pt>
                <c:pt idx="46">
                  <c:v>2.0117367666974153E-4</c:v>
                </c:pt>
                <c:pt idx="47">
                  <c:v>1.3248022609958586E-4</c:v>
                </c:pt>
                <c:pt idx="48">
                  <c:v>1.6192027634393829E-4</c:v>
                </c:pt>
                <c:pt idx="49">
                  <c:v>7.8506800651606439E-5</c:v>
                </c:pt>
                <c:pt idx="50">
                  <c:v>1.0794685089595886E-4</c:v>
                </c:pt>
                <c:pt idx="51">
                  <c:v>1.2757355105886048E-4</c:v>
                </c:pt>
                <c:pt idx="52">
                  <c:v>6.3786775529430241E-5</c:v>
                </c:pt>
                <c:pt idx="53">
                  <c:v>3.925340032580322E-5</c:v>
                </c:pt>
                <c:pt idx="54">
                  <c:v>4.4160075366528628E-5</c:v>
                </c:pt>
                <c:pt idx="55">
                  <c:v>2.4533375203627015E-5</c:v>
                </c:pt>
                <c:pt idx="56">
                  <c:v>4.906675040725403E-5</c:v>
                </c:pt>
                <c:pt idx="57">
                  <c:v>3.925340032580322E-5</c:v>
                </c:pt>
                <c:pt idx="58">
                  <c:v>2.9440050244352416E-5</c:v>
                </c:pt>
                <c:pt idx="59">
                  <c:v>9.8133500814508049E-6</c:v>
                </c:pt>
                <c:pt idx="60">
                  <c:v>1.4720025122176208E-5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40864"/>
        <c:axId val="133742432"/>
      </c:lineChart>
      <c:catAx>
        <c:axId val="13374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742432"/>
        <c:crosses val="autoZero"/>
        <c:auto val="1"/>
        <c:lblAlgn val="ctr"/>
        <c:lblOffset val="100"/>
        <c:tickLblSkip val="10"/>
        <c:noMultiLvlLbl val="0"/>
      </c:catAx>
      <c:valAx>
        <c:axId val="1337424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7408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9.6996549331532525E-2</c:v>
                </c:pt>
                <c:pt idx="2">
                  <c:v>4.6491062266773506E-2</c:v>
                </c:pt>
                <c:pt idx="3">
                  <c:v>0.12874525106266085</c:v>
                </c:pt>
                <c:pt idx="4">
                  <c:v>0.11117387119063887</c:v>
                </c:pt>
                <c:pt idx="5">
                  <c:v>9.6741157025693761E-2</c:v>
                </c:pt>
                <c:pt idx="6">
                  <c:v>3.5573132676077368E-2</c:v>
                </c:pt>
                <c:pt idx="7">
                  <c:v>5.3686345567014342E-2</c:v>
                </c:pt>
                <c:pt idx="8">
                  <c:v>3.2018411217879926E-2</c:v>
                </c:pt>
                <c:pt idx="9">
                  <c:v>4.5556393641360611E-2</c:v>
                </c:pt>
                <c:pt idx="10">
                  <c:v>4.1215322940107907E-2</c:v>
                </c:pt>
                <c:pt idx="11">
                  <c:v>5.7495751124978137E-2</c:v>
                </c:pt>
                <c:pt idx="12">
                  <c:v>2.5243685488483922E-2</c:v>
                </c:pt>
                <c:pt idx="13">
                  <c:v>1.1404182262614767E-2</c:v>
                </c:pt>
                <c:pt idx="14">
                  <c:v>4.7642499582014938E-3</c:v>
                </c:pt>
                <c:pt idx="15">
                  <c:v>1.5440219865673973E-2</c:v>
                </c:pt>
                <c:pt idx="16">
                  <c:v>2.7475627101237656E-3</c:v>
                </c:pt>
                <c:pt idx="17">
                  <c:v>1.1982186370155638E-2</c:v>
                </c:pt>
                <c:pt idx="18">
                  <c:v>1.9352406924735558E-2</c:v>
                </c:pt>
                <c:pt idx="19">
                  <c:v>2.8160843332803321E-3</c:v>
                </c:pt>
                <c:pt idx="20">
                  <c:v>3.2374679021173382E-3</c:v>
                </c:pt>
                <c:pt idx="21">
                  <c:v>0</c:v>
                </c:pt>
                <c:pt idx="22">
                  <c:v>0</c:v>
                </c:pt>
                <c:pt idx="23">
                  <c:v>1.2518401694894741E-2</c:v>
                </c:pt>
                <c:pt idx="24">
                  <c:v>4.6072005571342264E-3</c:v>
                </c:pt>
                <c:pt idx="25">
                  <c:v>1.8593128766979778E-3</c:v>
                </c:pt>
                <c:pt idx="26">
                  <c:v>0</c:v>
                </c:pt>
                <c:pt idx="27">
                  <c:v>1.0753370498374394E-2</c:v>
                </c:pt>
                <c:pt idx="28">
                  <c:v>6.8325382395441319E-3</c:v>
                </c:pt>
                <c:pt idx="29">
                  <c:v>3.0920885087299074E-3</c:v>
                </c:pt>
                <c:pt idx="30">
                  <c:v>2.5657303257584932E-2</c:v>
                </c:pt>
                <c:pt idx="31">
                  <c:v>6.368934840488249E-3</c:v>
                </c:pt>
                <c:pt idx="32">
                  <c:v>9.795836310291562E-3</c:v>
                </c:pt>
                <c:pt idx="33">
                  <c:v>7.5706663727116439E-3</c:v>
                </c:pt>
                <c:pt idx="34">
                  <c:v>2.7302858157155527E-3</c:v>
                </c:pt>
                <c:pt idx="35">
                  <c:v>1.6944974190922515E-2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7.728021416985505E-3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1.6314597845426902E-2</c:v>
                </c:pt>
                <c:pt idx="45">
                  <c:v>2.3331249719492761E-3</c:v>
                </c:pt>
                <c:pt idx="46">
                  <c:v>5.126956382073263E-3</c:v>
                </c:pt>
                <c:pt idx="47">
                  <c:v>0</c:v>
                </c:pt>
                <c:pt idx="48">
                  <c:v>6.5872360264102774E-3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7.7082422771580878E-3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7.433612686698985E-3</c:v>
                </c:pt>
                <c:pt idx="1">
                  <c:v>2.5043669407862457E-2</c:v>
                </c:pt>
                <c:pt idx="2">
                  <c:v>3.4278031834507665E-2</c:v>
                </c:pt>
                <c:pt idx="3">
                  <c:v>4.1137563541441775E-2</c:v>
                </c:pt>
                <c:pt idx="4">
                  <c:v>4.071068281289867E-2</c:v>
                </c:pt>
                <c:pt idx="5">
                  <c:v>3.7040489882436065E-2</c:v>
                </c:pt>
                <c:pt idx="6">
                  <c:v>3.3488057152950876E-2</c:v>
                </c:pt>
                <c:pt idx="7">
                  <c:v>3.089733273144786E-2</c:v>
                </c:pt>
                <c:pt idx="8">
                  <c:v>2.7600047104080393E-2</c:v>
                </c:pt>
                <c:pt idx="9">
                  <c:v>2.5480363486487016E-2</c:v>
                </c:pt>
                <c:pt idx="10">
                  <c:v>2.3738493847029498E-2</c:v>
                </c:pt>
                <c:pt idx="11">
                  <c:v>2.2055504308060685E-2</c:v>
                </c:pt>
                <c:pt idx="12">
                  <c:v>1.9430433161272596E-2</c:v>
                </c:pt>
                <c:pt idx="13">
                  <c:v>1.6103707483660773E-2</c:v>
                </c:pt>
                <c:pt idx="14">
                  <c:v>1.4332397793958902E-2</c:v>
                </c:pt>
                <c:pt idx="15">
                  <c:v>1.5235226001452376E-2</c:v>
                </c:pt>
                <c:pt idx="16">
                  <c:v>1.4425624619732685E-2</c:v>
                </c:pt>
                <c:pt idx="17">
                  <c:v>1.3900610390375066E-2</c:v>
                </c:pt>
                <c:pt idx="18">
                  <c:v>4.9886165139055173E-2</c:v>
                </c:pt>
                <c:pt idx="19">
                  <c:v>3.5720594296480931E-2</c:v>
                </c:pt>
                <c:pt idx="20">
                  <c:v>3.3080803124570665E-2</c:v>
                </c:pt>
                <c:pt idx="21">
                  <c:v>3.4974779690290669E-2</c:v>
                </c:pt>
                <c:pt idx="22">
                  <c:v>3.907185334929638E-2</c:v>
                </c:pt>
                <c:pt idx="23">
                  <c:v>2.7094659574885674E-2</c:v>
                </c:pt>
                <c:pt idx="24">
                  <c:v>2.6967086023826813E-2</c:v>
                </c:pt>
                <c:pt idx="25">
                  <c:v>2.4994602657455203E-2</c:v>
                </c:pt>
                <c:pt idx="26">
                  <c:v>2.0195874467625757E-2</c:v>
                </c:pt>
                <c:pt idx="27">
                  <c:v>1.9219446134521402E-2</c:v>
                </c:pt>
                <c:pt idx="28">
                  <c:v>1.907224588329964E-2</c:v>
                </c:pt>
                <c:pt idx="29">
                  <c:v>1.8655178504837982E-2</c:v>
                </c:pt>
                <c:pt idx="30">
                  <c:v>1.8149790975643267E-2</c:v>
                </c:pt>
                <c:pt idx="31">
                  <c:v>1.6618908362936939E-2</c:v>
                </c:pt>
                <c:pt idx="32">
                  <c:v>1.6726855213832898E-2</c:v>
                </c:pt>
                <c:pt idx="33">
                  <c:v>1.5485466428529372E-2</c:v>
                </c:pt>
                <c:pt idx="34">
                  <c:v>1.345900963670978E-2</c:v>
                </c:pt>
                <c:pt idx="35">
                  <c:v>1.2472767953523974E-2</c:v>
                </c:pt>
                <c:pt idx="36">
                  <c:v>1.0789778414555161E-2</c:v>
                </c:pt>
                <c:pt idx="37">
                  <c:v>1.1201939117976095E-2</c:v>
                </c:pt>
                <c:pt idx="38">
                  <c:v>9.7103099055955728E-3</c:v>
                </c:pt>
                <c:pt idx="39">
                  <c:v>9.0724421503012697E-3</c:v>
                </c:pt>
                <c:pt idx="40">
                  <c:v>8.4345743950069683E-3</c:v>
                </c:pt>
                <c:pt idx="41">
                  <c:v>7.325665835803026E-3</c:v>
                </c:pt>
                <c:pt idx="42">
                  <c:v>6.4719043787168067E-3</c:v>
                </c:pt>
                <c:pt idx="43">
                  <c:v>5.4807560204902751E-3</c:v>
                </c:pt>
                <c:pt idx="44">
                  <c:v>5.0735019921100662E-3</c:v>
                </c:pt>
                <c:pt idx="45">
                  <c:v>4.8036348648701696E-3</c:v>
                </c:pt>
                <c:pt idx="46">
                  <c:v>4.3620341112048829E-3</c:v>
                </c:pt>
                <c:pt idx="47">
                  <c:v>4.1068870090871625E-3</c:v>
                </c:pt>
                <c:pt idx="48">
                  <c:v>3.1157386508606309E-3</c:v>
                </c:pt>
                <c:pt idx="49">
                  <c:v>3.1451787011049833E-3</c:v>
                </c:pt>
                <c:pt idx="50">
                  <c:v>2.7428313477655003E-3</c:v>
                </c:pt>
                <c:pt idx="51">
                  <c:v>2.6054444466251888E-3</c:v>
                </c:pt>
                <c:pt idx="52">
                  <c:v>2.0657101921453948E-3</c:v>
                </c:pt>
                <c:pt idx="53">
                  <c:v>1.8939765657200055E-3</c:v>
                </c:pt>
                <c:pt idx="54">
                  <c:v>1.8007497399462229E-3</c:v>
                </c:pt>
                <c:pt idx="55">
                  <c:v>1.5897627131950306E-3</c:v>
                </c:pt>
                <c:pt idx="56">
                  <c:v>1.3591489862809366E-3</c:v>
                </c:pt>
                <c:pt idx="57">
                  <c:v>1.0990952091224902E-3</c:v>
                </c:pt>
                <c:pt idx="58">
                  <c:v>9.6661498302290437E-4</c:v>
                </c:pt>
                <c:pt idx="59">
                  <c:v>7.9488135659751529E-4</c:v>
                </c:pt>
                <c:pt idx="60">
                  <c:v>7.5072128123098662E-4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41256"/>
        <c:axId val="133736160"/>
      </c:lineChart>
      <c:catAx>
        <c:axId val="133741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736160"/>
        <c:crosses val="autoZero"/>
        <c:auto val="1"/>
        <c:lblAlgn val="ctr"/>
        <c:lblOffset val="100"/>
        <c:tickLblSkip val="10"/>
        <c:noMultiLvlLbl val="0"/>
      </c:catAx>
      <c:valAx>
        <c:axId val="13373616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7412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opLeftCell="E1" workbookViewId="0">
      <selection activeCell="T10" sqref="T1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17690.6551255313</v>
      </c>
      <c r="C11" s="11">
        <f>B11/B$102</f>
        <v>0.22017504370482532</v>
      </c>
      <c r="E11" s="20">
        <v>0</v>
      </c>
      <c r="F11" s="110" t="n">
        <v>23828.0</v>
      </c>
      <c r="G11" s="11">
        <f>F11/F$102</f>
        <v>0.11848638888343703</v>
      </c>
      <c r="K11" s="8" t="n">
        <v>4.993831860891899</v>
      </c>
      <c r="L11" s="8" t="n">
        <v>8.212383482197907</v>
      </c>
    </row>
    <row r="12" spans="1:12" x14ac:dyDescent="0.25">
      <c r="A12">
        <v>1</v>
      </c>
      <c r="B12" s="8" t="n">
        <v>17124.239443203798</v>
      </c>
      <c r="C12" s="11">
        <f>B12/B$102</f>
        <v>0.21312552537287996</v>
      </c>
      <c r="E12" s="21">
        <v>1</v>
      </c>
      <c r="F12" s="111" t="n">
        <v>19096.0</v>
      </c>
      <c r="G12" s="11">
        <f>F12/F$102</f>
        <v>9.7893073737512507E-2</v>
      </c>
      <c r="K12" s="8"/>
      <c r="L12" s="380"/>
    </row>
    <row r="13" spans="1:12" x14ac:dyDescent="0.25">
      <c r="A13">
        <v>2</v>
      </c>
      <c r="B13" s="8" t="n">
        <v>7228.1700902274</v>
      </c>
      <c r="C13" s="11">
        <f ref="C13:C76" si="0" t="shared">B13/B$102</f>
        <v>8.9960640475372611E-2</v>
      </c>
      <c r="E13" s="22">
        <v>2</v>
      </c>
      <c r="F13" s="112" t="n">
        <v>12533.0</v>
      </c>
      <c r="G13" s="11">
        <f ref="G13:G76" si="1" t="shared">F13/F$102</f>
        <v>6.3237227924868994E-2</v>
      </c>
    </row>
    <row r="14" spans="1:12" x14ac:dyDescent="0.25">
      <c r="A14">
        <v>3</v>
      </c>
      <c r="B14" s="8" t="n">
        <v>7803.3832071220995</v>
      </c>
      <c r="C14" s="11">
        <f si="0" t="shared"/>
        <v>9.7119650260663187E-2</v>
      </c>
      <c r="E14" s="23">
        <v>3</v>
      </c>
      <c r="F14" s="113" t="n">
        <v>10274.0</v>
      </c>
      <c r="G14" s="11">
        <f si="1" t="shared"/>
        <v>5.0597633019960356E-2</v>
      </c>
    </row>
    <row r="15" spans="1:12" x14ac:dyDescent="0.25">
      <c r="A15">
        <v>4</v>
      </c>
      <c r="B15" s="8" t="n">
        <v>5648.239209787</v>
      </c>
      <c r="C15" s="11">
        <f si="0" t="shared"/>
        <v>7.0297075266330028E-2</v>
      </c>
      <c r="E15" s="24">
        <v>4</v>
      </c>
      <c r="F15" s="114" t="n">
        <v>22339.0</v>
      </c>
      <c r="G15" s="11">
        <f si="1" t="shared"/>
        <v>0.11109202959706385</v>
      </c>
    </row>
    <row r="16" spans="1:12" x14ac:dyDescent="0.25">
      <c r="A16">
        <v>5</v>
      </c>
      <c r="B16" s="8" t="n">
        <v>6006.366500939</v>
      </c>
      <c r="C16" s="11">
        <f si="0" t="shared"/>
        <v>7.4754269837235668E-2</v>
      </c>
      <c r="E16" s="25">
        <v>5</v>
      </c>
      <c r="F16" s="115" t="n">
        <v>13522.0</v>
      </c>
      <c r="G16" s="11">
        <f si="1" t="shared"/>
        <v>6.97680124040745E-2</v>
      </c>
    </row>
    <row r="17" spans="1:7" x14ac:dyDescent="0.25">
      <c r="A17">
        <v>6</v>
      </c>
      <c r="B17" s="8" t="n">
        <v>2475.9821996355</v>
      </c>
      <c r="C17" s="11">
        <f si="0" t="shared"/>
        <v>3.0815675572712482E-2</v>
      </c>
      <c r="E17" s="26">
        <v>6</v>
      </c>
      <c r="F17" s="116" t="n">
        <v>15666.0</v>
      </c>
      <c r="G17" s="11">
        <f si="1" t="shared"/>
        <v>7.6112343231732452E-2</v>
      </c>
    </row>
    <row r="18" spans="1:7" x14ac:dyDescent="0.25">
      <c r="A18">
        <v>7</v>
      </c>
      <c r="B18" s="8" t="n">
        <v>622.248414605</v>
      </c>
      <c r="C18" s="11">
        <f si="0" t="shared"/>
        <v>7.7444035231453616E-3</v>
      </c>
      <c r="E18" s="27">
        <v>7</v>
      </c>
      <c r="F18" s="117" t="n">
        <v>8216.0</v>
      </c>
      <c r="G18" s="11">
        <f si="1" t="shared"/>
        <v>3.9336813801495556E-2</v>
      </c>
    </row>
    <row r="19" spans="1:7" x14ac:dyDescent="0.25">
      <c r="A19">
        <v>8</v>
      </c>
      <c r="B19" s="8" t="n">
        <v>785.551886675</v>
      </c>
      <c r="C19" s="11">
        <f si="0" t="shared"/>
        <v>9.7768522281269487E-3</v>
      </c>
      <c r="E19" s="28">
        <v>8</v>
      </c>
      <c r="F19" s="118" t="n">
        <v>8400.0</v>
      </c>
      <c r="G19" s="11">
        <f si="1" t="shared"/>
        <v>4.4503542619379402E-2</v>
      </c>
    </row>
    <row r="20" spans="1:7" x14ac:dyDescent="0.25">
      <c r="A20">
        <v>9</v>
      </c>
      <c r="B20" s="8" t="n">
        <v>1281.08180092</v>
      </c>
      <c r="C20" s="11">
        <f si="0" t="shared"/>
        <v>1.5944137710306883E-2</v>
      </c>
      <c r="E20" s="29">
        <v>9</v>
      </c>
      <c r="F20" s="119" t="n">
        <v>6003.0</v>
      </c>
      <c r="G20" s="11">
        <f si="1" t="shared"/>
        <v>2.8610822162469823E-2</v>
      </c>
    </row>
    <row r="21" spans="1:7" x14ac:dyDescent="0.25">
      <c r="A21">
        <v>10</v>
      </c>
      <c r="B21" s="8" t="n">
        <v>195.446561408</v>
      </c>
      <c r="C21" s="11">
        <f si="0" t="shared"/>
        <v>2.4324964165888599E-3</v>
      </c>
      <c r="E21" s="30">
        <v>10</v>
      </c>
      <c r="F21" s="120" t="n">
        <v>4926.0</v>
      </c>
      <c r="G21" s="11">
        <f si="1" t="shared"/>
        <v>2.5220309709328571E-2</v>
      </c>
    </row>
    <row r="22" spans="1:7" x14ac:dyDescent="0.25">
      <c r="A22">
        <v>11</v>
      </c>
      <c r="B22" s="8" t="n">
        <v>2084.968877218</v>
      </c>
      <c r="C22" s="11">
        <f si="0" t="shared"/>
        <v>2.594918675465881E-2</v>
      </c>
      <c r="E22" s="31">
        <v>11</v>
      </c>
      <c r="F22" s="121" t="n">
        <v>5281.0</v>
      </c>
      <c r="G22" s="11">
        <f si="1" t="shared"/>
        <v>2.5441110086161213E-2</v>
      </c>
    </row>
    <row r="23" spans="1:7" x14ac:dyDescent="0.25">
      <c r="A23">
        <v>12</v>
      </c>
      <c r="B23" s="8" t="n">
        <v>538.968377424</v>
      </c>
      <c r="C23" s="11">
        <f si="0" t="shared"/>
        <v>6.7079135969128831E-3</v>
      </c>
      <c r="E23" s="32">
        <v>12</v>
      </c>
      <c r="F23" s="122" t="n">
        <v>4947.0</v>
      </c>
      <c r="G23" s="11">
        <f si="1" t="shared"/>
        <v>2.5028949382740279E-2</v>
      </c>
    </row>
    <row r="24" spans="1:7" x14ac:dyDescent="0.25">
      <c r="A24">
        <v>13</v>
      </c>
      <c r="B24" s="8" t="n">
        <v>198.734123894</v>
      </c>
      <c r="C24" s="11">
        <f si="0" t="shared"/>
        <v>2.4734128896590256E-3</v>
      </c>
      <c r="E24" s="33">
        <v>13</v>
      </c>
      <c r="F24" s="123" t="n">
        <v>4917.0</v>
      </c>
      <c r="G24" s="11">
        <f si="1" t="shared"/>
        <v>2.4219348001020588E-2</v>
      </c>
    </row>
    <row r="25" spans="1:7" x14ac:dyDescent="0.25">
      <c r="A25">
        <v>14</v>
      </c>
      <c r="B25" s="8" t="n">
        <v>1621.5409891680001</v>
      </c>
      <c r="C25" s="11">
        <f si="0" t="shared"/>
        <v>2.0181437918823694E-2</v>
      </c>
      <c r="E25" s="34">
        <v>14</v>
      </c>
      <c r="F25" s="124" t="n">
        <v>4201.0</v>
      </c>
      <c r="G25" s="11">
        <f si="1" t="shared"/>
        <v>2.1294969676748248E-2</v>
      </c>
    </row>
    <row r="26" spans="1:7" x14ac:dyDescent="0.25">
      <c r="A26">
        <v>15</v>
      </c>
      <c r="B26" s="8" t="n">
        <v>634.003120299</v>
      </c>
      <c r="C26" s="11">
        <f si="0" t="shared"/>
        <v>7.8907006965145184E-3</v>
      </c>
      <c r="E26" s="35">
        <v>15</v>
      </c>
      <c r="F26" s="125" t="n">
        <v>4588.0</v>
      </c>
      <c r="G26" s="11">
        <f si="1" t="shared"/>
        <v>2.2987772565798512E-2</v>
      </c>
    </row>
    <row r="27" spans="1:7" x14ac:dyDescent="0.25">
      <c r="A27">
        <v>16</v>
      </c>
      <c r="B27" s="8" t="n">
        <v>490.98456362599995</v>
      </c>
      <c r="C27" s="11">
        <f si="0" t="shared"/>
        <v>6.110714780637753E-3</v>
      </c>
      <c r="E27" s="36">
        <v>16</v>
      </c>
      <c r="F27" s="126" t="n">
        <v>3765.0</v>
      </c>
      <c r="G27" s="11">
        <f si="1" t="shared"/>
        <v>1.9798433789327E-2</v>
      </c>
    </row>
    <row r="28" spans="1:7" x14ac:dyDescent="0.25">
      <c r="A28">
        <v>17</v>
      </c>
      <c r="B28" s="8" t="n">
        <v>0.0</v>
      </c>
      <c r="C28" s="11">
        <f si="0" t="shared"/>
        <v>0</v>
      </c>
      <c r="E28" s="37">
        <v>17</v>
      </c>
      <c r="F28" s="127" t="n">
        <v>3431.0</v>
      </c>
      <c r="G28" s="11">
        <f si="1" t="shared"/>
        <v>1.7266589468312693E-2</v>
      </c>
    </row>
    <row r="29" spans="1:7" x14ac:dyDescent="0.25">
      <c r="A29">
        <v>18</v>
      </c>
      <c r="B29" s="8" t="n">
        <v>767.7199127419999</v>
      </c>
      <c r="C29" s="11">
        <f si="0" t="shared"/>
        <v>9.5549183533110114E-3</v>
      </c>
      <c r="E29" s="38">
        <v>18</v>
      </c>
      <c r="F29" s="128" t="n">
        <v>3103.0</v>
      </c>
      <c r="G29" s="11">
        <f si="1" t="shared"/>
        <v>1.5730800180565642E-2</v>
      </c>
    </row>
    <row r="30" spans="1:7" x14ac:dyDescent="0.25">
      <c r="A30">
        <v>19</v>
      </c>
      <c r="B30" s="8" t="n">
        <v>3553.899831225</v>
      </c>
      <c r="C30" s="11">
        <f si="0" t="shared"/>
        <v>4.4231264761543744E-2</v>
      </c>
      <c r="E30" s="39">
        <v>19</v>
      </c>
      <c r="F30" s="129" t="n">
        <v>2601.0</v>
      </c>
      <c r="G30" s="11">
        <f si="1" t="shared"/>
        <v>1.3110635708818276E-2</v>
      </c>
    </row>
    <row r="31" spans="1:7" x14ac:dyDescent="0.25">
      <c r="A31">
        <v>20</v>
      </c>
      <c r="B31" s="8" t="n">
        <v>842.220796176</v>
      </c>
      <c r="C31" s="11">
        <f si="0" t="shared"/>
        <v>1.0482144346341409E-2</v>
      </c>
      <c r="E31" s="40">
        <v>20</v>
      </c>
      <c r="F31" s="130" t="n">
        <v>2397.0</v>
      </c>
      <c r="G31" s="11">
        <f si="1" t="shared"/>
        <v>1.2364821102628015E-2</v>
      </c>
    </row>
    <row r="32" spans="1:7" x14ac:dyDescent="0.25">
      <c r="A32">
        <v>21</v>
      </c>
      <c r="B32" s="8" t="n">
        <v>187.462250712</v>
      </c>
      <c r="C32" s="11">
        <f si="0" t="shared"/>
        <v>2.3331249719492761E-3</v>
      </c>
      <c r="E32" s="41">
        <v>21</v>
      </c>
      <c r="F32" s="131" t="n">
        <v>1958.0</v>
      </c>
      <c r="G32" s="11">
        <f si="1" t="shared"/>
        <v>1.0912445290573296E-2</v>
      </c>
    </row>
    <row r="33" spans="1:7" x14ac:dyDescent="0.25">
      <c r="A33">
        <v>22</v>
      </c>
      <c r="B33" s="8" t="n">
        <v>1310.847583535</v>
      </c>
      <c r="C33" s="11">
        <f si="0" t="shared"/>
        <v>1.6314597845426902E-2</v>
      </c>
      <c r="E33" s="42">
        <v>22</v>
      </c>
      <c r="F33" s="132" t="n">
        <v>1968.0</v>
      </c>
      <c r="G33" s="11">
        <f si="1" t="shared"/>
        <v>9.9163902573060399E-3</v>
      </c>
    </row>
    <row r="34" spans="1:7" x14ac:dyDescent="0.25">
      <c r="A34">
        <v>23</v>
      </c>
      <c r="B34" s="8" t="n">
        <v>0.0</v>
      </c>
      <c r="C34" s="11">
        <f si="0" t="shared"/>
        <v>0</v>
      </c>
      <c r="E34" s="43">
        <v>23</v>
      </c>
      <c r="F34" s="133" t="n">
        <v>1813.0</v>
      </c>
      <c r="G34" s="11">
        <f si="1" t="shared"/>
        <v>8.9301485741202329E-3</v>
      </c>
    </row>
    <row r="35" spans="1:7" x14ac:dyDescent="0.25">
      <c r="A35">
        <v>24</v>
      </c>
      <c r="B35" s="8" t="n">
        <v>0.0</v>
      </c>
      <c r="C35" s="11">
        <f si="0" t="shared"/>
        <v>0</v>
      </c>
      <c r="E35" s="44">
        <v>24</v>
      </c>
      <c r="F35" s="134" t="n">
        <v>1448.0</v>
      </c>
      <c r="G35" s="11">
        <f si="1" t="shared"/>
        <v>7.9684402661380545E-3</v>
      </c>
    </row>
    <row r="36" spans="1:7" x14ac:dyDescent="0.25">
      <c r="A36">
        <v>25</v>
      </c>
      <c r="B36" s="8" t="n">
        <v>0.0</v>
      </c>
      <c r="C36" s="11">
        <f si="0" t="shared"/>
        <v>0</v>
      </c>
      <c r="E36" s="45">
        <v>25</v>
      </c>
      <c r="F36" s="135" t="n">
        <v>1357.0</v>
      </c>
      <c r="G36" s="11">
        <f si="1" t="shared"/>
        <v>5.6623029969971152E-3</v>
      </c>
    </row>
    <row r="37" spans="1:7" x14ac:dyDescent="0.25">
      <c r="A37">
        <v>26</v>
      </c>
      <c r="B37" s="8" t="n">
        <v>0.0</v>
      </c>
      <c r="C37" s="11">
        <f si="0" t="shared"/>
        <v>0</v>
      </c>
      <c r="E37" s="46">
        <v>26</v>
      </c>
      <c r="F37" s="136" t="n">
        <v>950.0</v>
      </c>
      <c r="G37" s="11">
        <f si="1" t="shared"/>
        <v>4.7300347392592885E-3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47">
        <v>27</v>
      </c>
      <c r="F38" s="137" t="n">
        <v>830.0</v>
      </c>
      <c r="G38" s="11">
        <f si="1" t="shared"/>
        <v>4.1657671095758674E-3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48">
        <v>28</v>
      </c>
      <c r="F39" s="138" t="n">
        <v>724.0</v>
      </c>
      <c r="G39" s="11">
        <f si="1" t="shared"/>
        <v>3.6947263056662282E-3</v>
      </c>
    </row>
    <row r="40" spans="1:7" x14ac:dyDescent="0.25">
      <c r="A40">
        <v>29</v>
      </c>
      <c r="B40" s="8" t="n">
        <v>0.0</v>
      </c>
      <c r="C40" s="11">
        <f si="0" t="shared"/>
        <v>0</v>
      </c>
      <c r="E40" s="49">
        <v>29</v>
      </c>
      <c r="F40" s="139" t="n">
        <v>650.0</v>
      </c>
      <c r="G40" s="11">
        <f si="1" t="shared"/>
        <v>3.6947263056662282E-3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50">
        <v>30</v>
      </c>
      <c r="F41" s="140" t="n">
        <v>542.0</v>
      </c>
      <c r="G41" s="11">
        <f si="1" t="shared"/>
        <v>2.7968047732134797E-3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51">
        <v>31</v>
      </c>
      <c r="F42" s="141" t="n">
        <v>461.0</v>
      </c>
      <c r="G42" s="11">
        <f si="1" t="shared"/>
        <v>2.0509901670232185E-3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412.0</v>
      </c>
      <c r="G43" s="11">
        <f si="1" t="shared"/>
        <v>2.0951502423897472E-3</v>
      </c>
    </row>
    <row r="44" spans="1:7" x14ac:dyDescent="0.25">
      <c r="A44">
        <v>33</v>
      </c>
      <c r="B44" s="8" t="n">
        <v>411.941406586</v>
      </c>
      <c r="C44" s="11">
        <f si="0" t="shared"/>
        <v>5.126956382073263E-3</v>
      </c>
      <c r="E44" s="53">
        <v>33</v>
      </c>
      <c r="F44" s="143" t="n">
        <v>387.0</v>
      </c>
      <c r="G44" s="11">
        <f si="1" t="shared"/>
        <v>2.1294969676748246E-3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54">
        <v>34</v>
      </c>
      <c r="F45" s="144" t="n">
        <v>221.0</v>
      </c>
      <c r="G45" s="11">
        <f si="1" t="shared"/>
        <v>1.1923220348962729E-3</v>
      </c>
    </row>
    <row r="46" spans="1:7" x14ac:dyDescent="0.25">
      <c r="A46">
        <v>35</v>
      </c>
      <c r="B46" s="8" t="n">
        <v>619.342925768</v>
      </c>
      <c r="C46" s="11">
        <f si="0" t="shared"/>
        <v>7.7082422771580878E-3</v>
      </c>
      <c r="E46" s="55">
        <v>35</v>
      </c>
      <c r="F46" s="145" t="n">
        <v>197.0</v>
      </c>
      <c r="G46" s="11">
        <f si="1" t="shared"/>
        <v>8.635748071676709E-4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56">
        <v>36</v>
      </c>
      <c r="F47" s="146" t="n">
        <v>296.0</v>
      </c>
      <c r="G47" s="11">
        <f si="1" t="shared"/>
        <v>1.2266687601813508E-3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7">
        <v>37</v>
      </c>
      <c r="F48" s="147" t="n">
        <v>195.0</v>
      </c>
      <c r="G48" s="11">
        <f si="1" t="shared"/>
        <v>9.7152165806362978E-4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8">
        <v>38</v>
      </c>
      <c r="F49" s="148" t="n">
        <v>141.0</v>
      </c>
      <c r="G49" s="11">
        <f si="1" t="shared"/>
        <v>9.5680163294145355E-4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108.0</v>
      </c>
      <c r="G50" s="11">
        <f si="1" t="shared"/>
        <v>7.2128123098663417E-4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60">
        <v>40</v>
      </c>
      <c r="F51" s="150" t="n">
        <v>116.0</v>
      </c>
      <c r="G51" s="11">
        <f si="1" t="shared"/>
        <v>6.0352103000922458E-4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1">
        <v>41</v>
      </c>
      <c r="F52" s="151" t="n">
        <v>71.0</v>
      </c>
      <c r="G52" s="11">
        <f si="1" t="shared"/>
        <v>4.8576082903181489E-4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2">
        <v>42</v>
      </c>
      <c r="F53" s="152" t="n">
        <v>76.0</v>
      </c>
      <c r="G53" s="11">
        <f si="1" t="shared"/>
        <v>3.091205275657004E-4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3">
        <v>43</v>
      </c>
      <c r="F54" s="153" t="n">
        <v>43.0</v>
      </c>
      <c r="G54" s="11">
        <f si="1" t="shared"/>
        <v>1.521069262624875E-4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4">
        <v>44</v>
      </c>
      <c r="F55" s="154" t="n">
        <v>53.0</v>
      </c>
      <c r="G55" s="11">
        <f si="1" t="shared"/>
        <v>2.6986712723989714E-4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5">
        <v>45</v>
      </c>
      <c r="F56" s="155" t="n">
        <v>57.0</v>
      </c>
      <c r="G56" s="11">
        <f si="1" t="shared"/>
        <v>2.4042707699554474E-4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45.0</v>
      </c>
      <c r="G57" s="11">
        <f si="1" t="shared"/>
        <v>2.0117367666974153E-4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29.0</v>
      </c>
      <c r="G58" s="11">
        <f si="1" t="shared"/>
        <v>1.3248022609958586E-4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18.0</v>
      </c>
      <c r="G59" s="11">
        <f si="1" t="shared"/>
        <v>1.6192027634393829E-4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14.0</v>
      </c>
      <c r="G60" s="11">
        <f si="1" t="shared"/>
        <v>7.8506800651606439E-5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70">
        <v>50</v>
      </c>
      <c r="F61" s="160" t="n">
        <v>9.0</v>
      </c>
      <c r="G61" s="11">
        <f si="1" t="shared"/>
        <v>1.0794685089595886E-4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1">
        <v>51</v>
      </c>
      <c r="F62" s="161" t="n">
        <v>25.0</v>
      </c>
      <c r="G62" s="11">
        <f si="1" t="shared"/>
        <v>1.2757355105886048E-4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13.0</v>
      </c>
      <c r="G63" s="11">
        <f si="1" t="shared"/>
        <v>6.3786775529430241E-5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5.0</v>
      </c>
      <c r="G64" s="11">
        <f si="1" t="shared"/>
        <v>3.925340032580322E-5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6.0</v>
      </c>
      <c r="G65" s="11">
        <f si="1" t="shared"/>
        <v>4.4160075366528628E-5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5.0</v>
      </c>
      <c r="G66" s="11">
        <f si="1" t="shared"/>
        <v>2.4533375203627015E-5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6">
        <v>56</v>
      </c>
      <c r="F67" s="166" t="n">
        <v>2.0</v>
      </c>
      <c r="G67" s="11">
        <f si="1" t="shared"/>
        <v>4.906675040725403E-5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5.0</v>
      </c>
      <c r="G68" s="11">
        <f si="1" t="shared"/>
        <v>3.925340032580322E-5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5.0</v>
      </c>
      <c r="G69" s="11">
        <f si="1" t="shared"/>
        <v>2.9440050244352416E-5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1.0</v>
      </c>
      <c r="G70" s="11">
        <f si="1" t="shared"/>
        <v>9.8133500814508049E-6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1.0</v>
      </c>
      <c r="G71" s="11">
        <f si="1" t="shared"/>
        <v>1.4720025122176208E-5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2.0</v>
      </c>
      <c r="G72" s="11">
        <f si="1" t="shared"/>
        <v>1.4720025122176208E-5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1.0</v>
      </c>
      <c r="G73" s="11">
        <f si="1" t="shared"/>
        <v>4.9066750407254025E-6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0.0</v>
      </c>
      <c r="G74" s="11">
        <f si="1" t="shared"/>
        <v>4.9066750407254025E-6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2.0</v>
      </c>
      <c r="G75" s="11">
        <f si="1" t="shared"/>
        <v>9.8133500814508049E-6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1.0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1.0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0.0</v>
      </c>
      <c r="G83" s="11">
        <f si="3" t="shared"/>
        <v>0</v>
      </c>
    </row>
    <row r="84" spans="1:7" x14ac:dyDescent="0.25">
      <c r="A84">
        <v>73</v>
      </c>
      <c r="B84" s="8" t="n">
        <v>224.140299381</v>
      </c>
      <c r="C84" s="11">
        <f si="2" t="shared"/>
        <v>2.7896140568023304E-3</v>
      </c>
      <c r="E84" s="93">
        <v>73</v>
      </c>
      <c r="F84" s="183" t="n">
        <v>1.0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80348.139497808093</v>
      </c>
      <c r="C102" s="11">
        <f si="2" t="shared"/>
        <v>1</v>
      </c>
      <c r="F102" s="8">
        <f>SUM(F11:F101)</f>
        <v>203804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M30" sqref="M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1464.0</v>
      </c>
      <c r="G11" s="11">
        <f>F11/F$102</f>
        <v>7.433612686698985E-3</v>
      </c>
      <c r="K11" s="8" t="n">
        <v>10.98354899777834</v>
      </c>
      <c r="L11" s="8" t="n">
        <v>19.652258153660608</v>
      </c>
    </row>
    <row r="12" spans="1:12" x14ac:dyDescent="0.25">
      <c r="A12">
        <v>1</v>
      </c>
      <c r="B12" s="8" t="n">
        <v>7793.492276496</v>
      </c>
      <c r="C12" s="11">
        <f>B12/B$102</f>
        <v>9.6996549331532525E-2</v>
      </c>
      <c r="E12" s="201">
        <v>1</v>
      </c>
      <c r="F12" s="291" t="n">
        <v>5024.0</v>
      </c>
      <c r="G12" s="11">
        <f>F12/F$102</f>
        <v>2.5043669407862457E-2</v>
      </c>
      <c r="K12" s="8"/>
      <c r="L12" s="381"/>
    </row>
    <row r="13" spans="1:12" x14ac:dyDescent="0.25">
      <c r="A13">
        <v>2</v>
      </c>
      <c r="B13" s="8" t="n">
        <v>3735.470356412</v>
      </c>
      <c r="C13" s="11">
        <f ref="C13:C76" si="0" t="shared">B13/B$102</f>
        <v>4.6491062266773506E-2</v>
      </c>
      <c r="E13" s="202">
        <v>2</v>
      </c>
      <c r="F13" s="292" t="n">
        <v>6801.0</v>
      </c>
      <c r="G13" s="11">
        <f ref="G13:G76" si="1" t="shared">F13/F$102</f>
        <v>3.4278031834507665E-2</v>
      </c>
    </row>
    <row r="14" spans="1:12" x14ac:dyDescent="0.25">
      <c r="A14">
        <v>3</v>
      </c>
      <c r="B14" s="8" t="n">
        <v>10344.441392063</v>
      </c>
      <c r="C14" s="11">
        <f si="0" t="shared"/>
        <v>0.12874525106266085</v>
      </c>
      <c r="E14" s="203">
        <v>3</v>
      </c>
      <c r="F14" s="293" t="n">
        <v>8299.0</v>
      </c>
      <c r="G14" s="11">
        <f si="1" t="shared"/>
        <v>4.1137563541441775E-2</v>
      </c>
    </row>
    <row r="15" spans="1:12" x14ac:dyDescent="0.25">
      <c r="A15">
        <v>4</v>
      </c>
      <c r="B15" s="8" t="n">
        <v>8932.613710936801</v>
      </c>
      <c r="C15" s="11">
        <f si="0" t="shared"/>
        <v>0.11117387119063887</v>
      </c>
      <c r="E15" s="204">
        <v>4</v>
      </c>
      <c r="F15" s="294" t="n">
        <v>8315.0</v>
      </c>
      <c r="G15" s="11">
        <f si="1" t="shared"/>
        <v>4.071068281289867E-2</v>
      </c>
    </row>
    <row r="16" spans="1:12" x14ac:dyDescent="0.25">
      <c r="A16">
        <v>5</v>
      </c>
      <c r="B16" s="8" t="n">
        <v>7772.9719798798</v>
      </c>
      <c r="C16" s="11">
        <f si="0" t="shared"/>
        <v>9.6741157025693761E-2</v>
      </c>
      <c r="E16" s="205">
        <v>5</v>
      </c>
      <c r="F16" s="295" t="n">
        <v>7085.0</v>
      </c>
      <c r="G16" s="11">
        <f si="1" t="shared"/>
        <v>3.7040489882436065E-2</v>
      </c>
    </row>
    <row r="17" spans="1:7" x14ac:dyDescent="0.25">
      <c r="A17">
        <v>6</v>
      </c>
      <c r="B17" s="8" t="n">
        <v>2858.2350266314997</v>
      </c>
      <c r="C17" s="11">
        <f si="0" t="shared"/>
        <v>3.5573132676077368E-2</v>
      </c>
      <c r="E17" s="206">
        <v>6</v>
      </c>
      <c r="F17" s="296" t="n">
        <v>6493.0</v>
      </c>
      <c r="G17" s="11">
        <f si="1" t="shared"/>
        <v>3.3488057152950876E-2</v>
      </c>
    </row>
    <row r="18" spans="1:7" x14ac:dyDescent="0.25">
      <c r="A18">
        <v>7</v>
      </c>
      <c r="B18" s="8" t="n">
        <v>4313.597982746</v>
      </c>
      <c r="C18" s="11">
        <f si="0" t="shared"/>
        <v>5.3686345567014342E-2</v>
      </c>
      <c r="E18" s="207">
        <v>7</v>
      </c>
      <c r="F18" s="297" t="n">
        <v>6284.0</v>
      </c>
      <c r="G18" s="11">
        <f si="1" t="shared"/>
        <v>3.089733273144786E-2</v>
      </c>
    </row>
    <row r="19" spans="1:7" x14ac:dyDescent="0.25">
      <c r="A19">
        <v>8</v>
      </c>
      <c r="B19" s="8" t="n">
        <v>2572.6197710324</v>
      </c>
      <c r="C19" s="11">
        <f si="0" t="shared"/>
        <v>3.2018411217879926E-2</v>
      </c>
      <c r="E19" s="208">
        <v>8</v>
      </c>
      <c r="F19" s="298" t="n">
        <v>5542.0</v>
      </c>
      <c r="G19" s="11">
        <f si="1" t="shared"/>
        <v>2.7600047104080393E-2</v>
      </c>
    </row>
    <row r="20" spans="1:7" x14ac:dyDescent="0.25">
      <c r="A20">
        <v>9</v>
      </c>
      <c r="B20" s="8" t="n">
        <v>3660.3714713131</v>
      </c>
      <c r="C20" s="11">
        <f si="0" t="shared"/>
        <v>4.5556393641360611E-2</v>
      </c>
      <c r="E20" s="209">
        <v>9</v>
      </c>
      <c r="F20" s="299" t="n">
        <v>5107.0</v>
      </c>
      <c r="G20" s="11">
        <f si="1" t="shared"/>
        <v>2.5480363486487016E-2</v>
      </c>
    </row>
    <row r="21" spans="1:7" x14ac:dyDescent="0.25">
      <c r="A21">
        <v>10</v>
      </c>
      <c r="B21" s="8" t="n">
        <v>3311.574517039</v>
      </c>
      <c r="C21" s="11">
        <f si="0" t="shared"/>
        <v>4.1215322940107907E-2</v>
      </c>
      <c r="E21" s="210">
        <v>10</v>
      </c>
      <c r="F21" s="300" t="n">
        <v>4853.0</v>
      </c>
      <c r="G21" s="11">
        <f si="1" t="shared"/>
        <v>2.3738493847029498E-2</v>
      </c>
    </row>
    <row r="22" spans="1:7" x14ac:dyDescent="0.25">
      <c r="A22">
        <v>11</v>
      </c>
      <c r="B22" s="8" t="n">
        <v>4619.676631921</v>
      </c>
      <c r="C22" s="11">
        <f si="0" t="shared"/>
        <v>5.7495751124978137E-2</v>
      </c>
      <c r="E22" s="211">
        <v>11</v>
      </c>
      <c r="F22" s="301" t="n">
        <v>4221.0</v>
      </c>
      <c r="G22" s="11">
        <f si="1" t="shared"/>
        <v>2.2055504308060685E-2</v>
      </c>
    </row>
    <row r="23" spans="1:7" x14ac:dyDescent="0.25">
      <c r="A23">
        <v>12</v>
      </c>
      <c r="B23" s="8" t="n">
        <v>2028.2831630675</v>
      </c>
      <c r="C23" s="11">
        <f si="0" t="shared"/>
        <v>2.5243685488483922E-2</v>
      </c>
      <c r="E23" s="212">
        <v>12</v>
      </c>
      <c r="F23" s="302" t="n">
        <v>3915.0</v>
      </c>
      <c r="G23" s="11">
        <f si="1" t="shared"/>
        <v>1.9430433161272596E-2</v>
      </c>
    </row>
    <row r="24" spans="1:7" x14ac:dyDescent="0.25">
      <c r="A24">
        <v>13</v>
      </c>
      <c r="B24" s="8" t="n">
        <v>916.304827295</v>
      </c>
      <c r="C24" s="11">
        <f si="0" t="shared"/>
        <v>1.1404182262614767E-2</v>
      </c>
      <c r="E24" s="213">
        <v>13</v>
      </c>
      <c r="F24" s="303" t="n">
        <v>3222.0</v>
      </c>
      <c r="G24" s="11">
        <f si="1" t="shared"/>
        <v>1.6103707483660773E-2</v>
      </c>
    </row>
    <row r="25" spans="1:7" x14ac:dyDescent="0.25">
      <c r="A25">
        <v>14</v>
      </c>
      <c r="B25" s="8" t="n">
        <v>382.798620244</v>
      </c>
      <c r="C25" s="11">
        <f si="0" t="shared"/>
        <v>4.7642499582014938E-3</v>
      </c>
      <c r="E25" s="214">
        <v>14</v>
      </c>
      <c r="F25" s="304" t="n">
        <v>2863.0</v>
      </c>
      <c r="G25" s="11">
        <f si="1" t="shared"/>
        <v>1.4332397793958902E-2</v>
      </c>
    </row>
    <row r="26" spans="1:7" x14ac:dyDescent="0.25">
      <c r="A26">
        <v>15</v>
      </c>
      <c r="B26" s="8" t="n">
        <v>1240.5929396440001</v>
      </c>
      <c r="C26" s="11">
        <f si="0" t="shared"/>
        <v>1.5440219865673973E-2</v>
      </c>
      <c r="E26" s="215">
        <v>15</v>
      </c>
      <c r="F26" s="305" t="n">
        <v>3133.0</v>
      </c>
      <c r="G26" s="11">
        <f si="1" t="shared"/>
        <v>1.5235226001452376E-2</v>
      </c>
    </row>
    <row r="27" spans="1:7" x14ac:dyDescent="0.25">
      <c r="A27">
        <v>16</v>
      </c>
      <c r="B27" s="8" t="n">
        <v>220.761551912</v>
      </c>
      <c r="C27" s="11">
        <f si="0" t="shared"/>
        <v>2.7475627101237656E-3</v>
      </c>
      <c r="E27" s="216">
        <v>16</v>
      </c>
      <c r="F27" s="306" t="n">
        <v>3058.0</v>
      </c>
      <c r="G27" s="11">
        <f si="1" t="shared"/>
        <v>1.4425624619732685E-2</v>
      </c>
    </row>
    <row r="28" spans="1:7" x14ac:dyDescent="0.25">
      <c r="A28">
        <v>17</v>
      </c>
      <c r="B28" s="8" t="n">
        <v>962.746381958</v>
      </c>
      <c r="C28" s="11">
        <f si="0" t="shared"/>
        <v>1.1982186370155638E-2</v>
      </c>
      <c r="E28" s="217">
        <v>17</v>
      </c>
      <c r="F28" s="307" t="n">
        <v>2885.0</v>
      </c>
      <c r="G28" s="11">
        <f si="1" t="shared"/>
        <v>1.3900610390375066E-2</v>
      </c>
    </row>
    <row r="29" spans="1:7" x14ac:dyDescent="0.25">
      <c r="A29">
        <v>18</v>
      </c>
      <c r="B29" s="8" t="n">
        <v>1554.9298912069999</v>
      </c>
      <c r="C29" s="11">
        <f si="0" t="shared"/>
        <v>1.9352406924735558E-2</v>
      </c>
      <c r="E29" s="218">
        <v>18</v>
      </c>
      <c r="F29" s="308" t="n">
        <v>10034.0</v>
      </c>
      <c r="G29" s="11">
        <f si="1" t="shared"/>
        <v>4.9886165139055173E-2</v>
      </c>
    </row>
    <row r="30" spans="1:7" x14ac:dyDescent="0.25">
      <c r="A30">
        <v>19</v>
      </c>
      <c r="B30" s="8" t="n">
        <v>226.267136848</v>
      </c>
      <c r="C30" s="11">
        <f si="0" t="shared"/>
        <v>2.8160843332803321E-3</v>
      </c>
      <c r="E30" s="219">
        <v>19</v>
      </c>
      <c r="F30" s="309" t="n">
        <v>7003.0</v>
      </c>
      <c r="G30" s="11">
        <f si="1" t="shared"/>
        <v>3.5720594296480931E-2</v>
      </c>
    </row>
    <row r="31" spans="1:7" x14ac:dyDescent="0.25">
      <c r="A31">
        <v>20</v>
      </c>
      <c r="B31" s="8" t="n">
        <v>260.124522619</v>
      </c>
      <c r="C31" s="11">
        <f si="0" t="shared"/>
        <v>3.2374679021173382E-3</v>
      </c>
      <c r="E31" s="220">
        <v>20</v>
      </c>
      <c r="F31" s="310" t="n">
        <v>6347.0</v>
      </c>
      <c r="G31" s="11">
        <f si="1" t="shared"/>
        <v>3.3080803124570665E-2</v>
      </c>
    </row>
    <row r="32" spans="1:7" x14ac:dyDescent="0.25">
      <c r="A32">
        <v>21</v>
      </c>
      <c r="B32" s="8" t="n">
        <v>0.0</v>
      </c>
      <c r="C32" s="11">
        <f si="0" t="shared"/>
        <v>0</v>
      </c>
      <c r="E32" s="221">
        <v>21</v>
      </c>
      <c r="F32" s="311" t="n">
        <v>7031.0</v>
      </c>
      <c r="G32" s="11">
        <f si="1" t="shared"/>
        <v>3.4974779690290669E-2</v>
      </c>
    </row>
    <row r="33" spans="1:7" x14ac:dyDescent="0.25">
      <c r="A33">
        <v>22</v>
      </c>
      <c r="B33" s="8" t="n">
        <v>0.0</v>
      </c>
      <c r="C33" s="11">
        <f si="0" t="shared"/>
        <v>0</v>
      </c>
      <c r="E33" s="222">
        <v>22</v>
      </c>
      <c r="F33" s="312" t="n">
        <v>7861.0</v>
      </c>
      <c r="G33" s="11">
        <f si="1" t="shared"/>
        <v>3.907185334929638E-2</v>
      </c>
    </row>
    <row r="34" spans="1:7" x14ac:dyDescent="0.25">
      <c r="A34">
        <v>23</v>
      </c>
      <c r="B34" s="8" t="n">
        <v>1005.830285671</v>
      </c>
      <c r="C34" s="11">
        <f si="0" t="shared"/>
        <v>1.2518401694894741E-2</v>
      </c>
      <c r="E34" s="223">
        <v>23</v>
      </c>
      <c r="F34" s="313" t="n">
        <v>5325.0</v>
      </c>
      <c r="G34" s="11">
        <f si="1" t="shared"/>
        <v>2.7094659574885674E-2</v>
      </c>
    </row>
    <row r="35" spans="1:7" x14ac:dyDescent="0.25">
      <c r="A35">
        <v>24</v>
      </c>
      <c r="B35" s="8" t="n">
        <v>370.179993059</v>
      </c>
      <c r="C35" s="11">
        <f si="0" t="shared"/>
        <v>4.6072005571342264E-3</v>
      </c>
      <c r="E35" s="224">
        <v>24</v>
      </c>
      <c r="F35" s="314" t="n">
        <v>5395.0</v>
      </c>
      <c r="G35" s="11">
        <f si="1" t="shared"/>
        <v>2.6967086023826813E-2</v>
      </c>
    </row>
    <row r="36" spans="1:7" x14ac:dyDescent="0.25">
      <c r="A36">
        <v>25</v>
      </c>
      <c r="B36" s="8" t="n">
        <v>149.392330387</v>
      </c>
      <c r="C36" s="11">
        <f si="0" t="shared"/>
        <v>1.8593128766979778E-3</v>
      </c>
      <c r="E36" s="225">
        <v>25</v>
      </c>
      <c r="F36" s="315" t="n">
        <v>5054.0</v>
      </c>
      <c r="G36" s="11">
        <f si="1" t="shared"/>
        <v>2.4994602657455203E-2</v>
      </c>
    </row>
    <row r="37" spans="1:7" x14ac:dyDescent="0.25">
      <c r="A37">
        <v>26</v>
      </c>
      <c r="B37" s="8" t="n">
        <v>0.0</v>
      </c>
      <c r="C37" s="11">
        <f si="0" t="shared"/>
        <v>0</v>
      </c>
      <c r="E37" s="226">
        <v>26</v>
      </c>
      <c r="F37" s="316" t="n">
        <v>4181.0</v>
      </c>
      <c r="G37" s="11">
        <f si="1" t="shared"/>
        <v>2.0195874467625757E-2</v>
      </c>
    </row>
    <row r="38" spans="1:7" x14ac:dyDescent="0.25">
      <c r="A38">
        <v>27</v>
      </c>
      <c r="B38" s="8" t="n">
        <v>864.013312875</v>
      </c>
      <c r="C38" s="11">
        <f si="0" t="shared"/>
        <v>1.0753370498374394E-2</v>
      </c>
      <c r="E38" s="227">
        <v>27</v>
      </c>
      <c r="F38" s="317" t="n">
        <v>3762.0</v>
      </c>
      <c r="G38" s="11">
        <f si="1" t="shared"/>
        <v>1.9219446134521402E-2</v>
      </c>
    </row>
    <row r="39" spans="1:7" x14ac:dyDescent="0.25">
      <c r="A39">
        <v>28</v>
      </c>
      <c r="B39" s="8" t="n">
        <v>548.981735595</v>
      </c>
      <c r="C39" s="11">
        <f si="0" t="shared"/>
        <v>6.8325382395441319E-3</v>
      </c>
      <c r="E39" s="228">
        <v>28</v>
      </c>
      <c r="F39" s="318" t="n">
        <v>4043.0</v>
      </c>
      <c r="G39" s="11">
        <f si="1" t="shared"/>
        <v>1.907224588329964E-2</v>
      </c>
    </row>
    <row r="40" spans="1:7" x14ac:dyDescent="0.25">
      <c r="A40">
        <v>29</v>
      </c>
      <c r="B40" s="8" t="n">
        <v>248.443558839</v>
      </c>
      <c r="C40" s="11">
        <f si="0" t="shared"/>
        <v>3.0920885087299074E-3</v>
      </c>
      <c r="E40" s="229">
        <v>29</v>
      </c>
      <c r="F40" s="319" t="n">
        <v>3439.0</v>
      </c>
      <c r="G40" s="11">
        <f si="1" t="shared"/>
        <v>1.8655178504837982E-2</v>
      </c>
    </row>
    <row r="41" spans="1:7" x14ac:dyDescent="0.25">
      <c r="A41">
        <v>30</v>
      </c>
      <c r="B41" s="8" t="n">
        <v>2061.516581278</v>
      </c>
      <c r="C41" s="11">
        <f si="0" t="shared"/>
        <v>2.5657303257584932E-2</v>
      </c>
      <c r="E41" s="230">
        <v>30</v>
      </c>
      <c r="F41" s="320" t="n">
        <v>3488.0</v>
      </c>
      <c r="G41" s="11">
        <f si="1" t="shared"/>
        <v>1.8149790975643267E-2</v>
      </c>
    </row>
    <row r="42" spans="1:7" x14ac:dyDescent="0.25">
      <c r="A42">
        <v>31</v>
      </c>
      <c r="B42" s="8" t="n">
        <v>511.732065016</v>
      </c>
      <c r="C42" s="11">
        <f si="0" t="shared"/>
        <v>6.368934840488249E-3</v>
      </c>
      <c r="E42" s="231">
        <v>31</v>
      </c>
      <c r="F42" s="321" t="n">
        <v>3357.0</v>
      </c>
      <c r="G42" s="11">
        <f si="1" t="shared"/>
        <v>1.6618908362936939E-2</v>
      </c>
    </row>
    <row r="43" spans="1:7" x14ac:dyDescent="0.25">
      <c r="A43">
        <v>32</v>
      </c>
      <c r="B43" s="8" t="n">
        <v>787.0772223570001</v>
      </c>
      <c r="C43" s="11">
        <f si="0" t="shared"/>
        <v>9.795836310291562E-3</v>
      </c>
      <c r="E43" s="232">
        <v>32</v>
      </c>
      <c r="F43" s="322" t="n">
        <v>3285.0</v>
      </c>
      <c r="G43" s="11">
        <f si="1" t="shared"/>
        <v>1.6726855213832898E-2</v>
      </c>
    </row>
    <row r="44" spans="1:7" x14ac:dyDescent="0.25">
      <c r="A44">
        <v>33</v>
      </c>
      <c r="B44" s="8" t="n">
        <v>608.288957806</v>
      </c>
      <c r="C44" s="11">
        <f si="0" t="shared"/>
        <v>7.5706663727116439E-3</v>
      </c>
      <c r="E44" s="233">
        <v>33</v>
      </c>
      <c r="F44" s="323" t="n">
        <v>3063.0</v>
      </c>
      <c r="G44" s="11">
        <f si="1" t="shared"/>
        <v>1.5485466428529372E-2</v>
      </c>
    </row>
    <row r="45" spans="1:7" x14ac:dyDescent="0.25">
      <c r="A45">
        <v>34</v>
      </c>
      <c r="B45" s="8" t="n">
        <v>219.37338559</v>
      </c>
      <c r="C45" s="11">
        <f si="0" t="shared"/>
        <v>2.7302858157155527E-3</v>
      </c>
      <c r="E45" s="234">
        <v>34</v>
      </c>
      <c r="F45" s="324" t="n">
        <v>2573.0</v>
      </c>
      <c r="G45" s="11">
        <f si="1" t="shared"/>
        <v>1.345900963670978E-2</v>
      </c>
    </row>
    <row r="46" spans="1:7" x14ac:dyDescent="0.25">
      <c r="A46">
        <v>35</v>
      </c>
      <c r="B46" s="8" t="n">
        <v>1361.497150079</v>
      </c>
      <c r="C46" s="11">
        <f si="0" t="shared"/>
        <v>1.6944974190922515E-2</v>
      </c>
      <c r="E46" s="235">
        <v>35</v>
      </c>
      <c r="F46" s="325" t="n">
        <v>2496.0</v>
      </c>
      <c r="G46" s="11">
        <f si="1" t="shared"/>
        <v>1.2472767953523974E-2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236">
        <v>36</v>
      </c>
      <c r="F47" s="326" t="n">
        <v>2263.0</v>
      </c>
      <c r="G47" s="11">
        <f si="1" t="shared"/>
        <v>1.0789778414555161E-2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237">
        <v>37</v>
      </c>
      <c r="F48" s="327" t="n">
        <v>2112.0</v>
      </c>
      <c r="G48" s="11">
        <f si="1" t="shared"/>
        <v>1.1201939117976095E-2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238">
        <v>38</v>
      </c>
      <c r="F49" s="328" t="n">
        <v>1937.0</v>
      </c>
      <c r="G49" s="11">
        <f si="1" t="shared"/>
        <v>9.7103099055955728E-3</v>
      </c>
    </row>
    <row r="50" spans="1:7" x14ac:dyDescent="0.25">
      <c r="A50">
        <v>39</v>
      </c>
      <c r="B50" s="8" t="n">
        <v>620.932142854</v>
      </c>
      <c r="C50" s="11">
        <f si="0" t="shared"/>
        <v>7.728021416985505E-3</v>
      </c>
      <c r="E50" s="239">
        <v>39</v>
      </c>
      <c r="F50" s="329" t="n">
        <v>1752.0</v>
      </c>
      <c r="G50" s="11">
        <f si="1" t="shared"/>
        <v>9.0724421503012697E-3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240">
        <v>40</v>
      </c>
      <c r="F51" s="330" t="n">
        <v>1634.0</v>
      </c>
      <c r="G51" s="11">
        <f si="1" t="shared"/>
        <v>8.4345743950069683E-3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241">
        <v>41</v>
      </c>
      <c r="F52" s="331" t="n">
        <v>1504.0</v>
      </c>
      <c r="G52" s="11">
        <f si="1" t="shared"/>
        <v>7.325665835803026E-3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242">
        <v>42</v>
      </c>
      <c r="F53" s="332" t="n">
        <v>1239.0</v>
      </c>
      <c r="G53" s="11">
        <f si="1" t="shared"/>
        <v>6.4719043787168067E-3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243">
        <v>43</v>
      </c>
      <c r="F54" s="333" t="n">
        <v>1099.0</v>
      </c>
      <c r="G54" s="11">
        <f si="1" t="shared"/>
        <v>5.4807560204902751E-3</v>
      </c>
    </row>
    <row r="55" spans="1:7" x14ac:dyDescent="0.25">
      <c r="A55">
        <v>44</v>
      </c>
      <c r="B55" s="8" t="n">
        <v>1310.847583535</v>
      </c>
      <c r="C55" s="11">
        <f si="0" t="shared"/>
        <v>1.6314597845426902E-2</v>
      </c>
      <c r="E55" s="244">
        <v>44</v>
      </c>
      <c r="F55" s="334" t="n">
        <v>955.0</v>
      </c>
      <c r="G55" s="11">
        <f si="1" t="shared"/>
        <v>5.0735019921100662E-3</v>
      </c>
    </row>
    <row r="56" spans="1:7" x14ac:dyDescent="0.25">
      <c r="A56">
        <v>45</v>
      </c>
      <c r="B56" s="8" t="n">
        <v>187.462250712</v>
      </c>
      <c r="C56" s="11">
        <f si="0" t="shared"/>
        <v>2.3331249719492761E-3</v>
      </c>
      <c r="E56" s="245">
        <v>45</v>
      </c>
      <c r="F56" s="335" t="n">
        <v>891.0</v>
      </c>
      <c r="G56" s="11">
        <f si="1" t="shared"/>
        <v>4.8036348648701696E-3</v>
      </c>
    </row>
    <row r="57" spans="1:7" x14ac:dyDescent="0.25">
      <c r="A57">
        <v>46</v>
      </c>
      <c r="B57" s="8" t="n">
        <v>411.941406586</v>
      </c>
      <c r="C57" s="11">
        <f si="0" t="shared"/>
        <v>5.126956382073263E-3</v>
      </c>
      <c r="E57" s="246">
        <v>46</v>
      </c>
      <c r="F57" s="336" t="n">
        <v>835.0</v>
      </c>
      <c r="G57" s="11">
        <f si="1" t="shared"/>
        <v>4.3620341112048829E-3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856.0</v>
      </c>
      <c r="G58" s="11">
        <f si="1" t="shared"/>
        <v>4.1068870090871625E-3</v>
      </c>
    </row>
    <row r="59" spans="1:7" x14ac:dyDescent="0.25">
      <c r="A59">
        <v>48</v>
      </c>
      <c r="B59" s="8" t="n">
        <v>529.272159155</v>
      </c>
      <c r="C59" s="11">
        <f si="0" t="shared"/>
        <v>6.5872360264102774E-3</v>
      </c>
      <c r="E59" s="248">
        <v>48</v>
      </c>
      <c r="F59" s="338" t="n">
        <v>631.0</v>
      </c>
      <c r="G59" s="11">
        <f si="1" t="shared"/>
        <v>3.1157386508606309E-3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249">
        <v>49</v>
      </c>
      <c r="F60" s="339" t="n">
        <v>591.0</v>
      </c>
      <c r="G60" s="11">
        <f si="1" t="shared"/>
        <v>3.1451787011049833E-3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250">
        <v>50</v>
      </c>
      <c r="F61" s="340" t="n">
        <v>586.0</v>
      </c>
      <c r="G61" s="11">
        <f si="1" t="shared"/>
        <v>2.7428313477655003E-3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251">
        <v>51</v>
      </c>
      <c r="F62" s="341" t="n">
        <v>565.0</v>
      </c>
      <c r="G62" s="11">
        <f si="1" t="shared"/>
        <v>2.6054444466251888E-3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2">
        <v>52</v>
      </c>
      <c r="F63" s="342" t="n">
        <v>472.0</v>
      </c>
      <c r="G63" s="11">
        <f si="1" t="shared"/>
        <v>2.0657101921453948E-3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3">
        <v>53</v>
      </c>
      <c r="F64" s="343" t="n">
        <v>413.0</v>
      </c>
      <c r="G64" s="11">
        <f si="1" t="shared"/>
        <v>1.8939765657200055E-3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254">
        <v>54</v>
      </c>
      <c r="F65" s="344" t="n">
        <v>364.0</v>
      </c>
      <c r="G65" s="11">
        <f si="1" t="shared"/>
        <v>1.8007497399462229E-3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5">
        <v>55</v>
      </c>
      <c r="F66" s="345" t="n">
        <v>295.0</v>
      </c>
      <c r="G66" s="11">
        <f si="1" t="shared"/>
        <v>1.5897627131950306E-3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6">
        <v>56</v>
      </c>
      <c r="F67" s="346" t="n">
        <v>248.0</v>
      </c>
      <c r="G67" s="11">
        <f si="1" t="shared"/>
        <v>1.3591489862809366E-3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7">
        <v>57</v>
      </c>
      <c r="F68" s="347" t="n">
        <v>233.0</v>
      </c>
      <c r="G68" s="11">
        <f si="1" t="shared"/>
        <v>1.0990952091224902E-3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258">
        <v>58</v>
      </c>
      <c r="F69" s="348" t="n">
        <v>199.0</v>
      </c>
      <c r="G69" s="11">
        <f si="1" t="shared"/>
        <v>9.6661498302290437E-4</v>
      </c>
    </row>
    <row r="70" spans="1:7" x14ac:dyDescent="0.25">
      <c r="A70">
        <v>59</v>
      </c>
      <c r="B70" s="8" t="n">
        <v>619.342925768</v>
      </c>
      <c r="C70" s="11">
        <f si="0" t="shared"/>
        <v>7.7082422771580878E-3</v>
      </c>
      <c r="E70" s="259">
        <v>59</v>
      </c>
      <c r="F70" s="349" t="n">
        <v>147.0</v>
      </c>
      <c r="G70" s="11">
        <f si="1" t="shared"/>
        <v>7.9488135659751529E-4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60">
        <v>60</v>
      </c>
      <c r="F71" s="350" t="n">
        <v>171.0</v>
      </c>
      <c r="G71" s="11">
        <f si="1" t="shared"/>
        <v>7.5072128123098662E-4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129.0</v>
      </c>
      <c r="G72" s="11">
        <f si="1" t="shared"/>
        <v>5.8389432984632295E-4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2">
        <v>62</v>
      </c>
      <c r="F73" s="352" t="n">
        <v>124.0</v>
      </c>
      <c r="G73" s="11">
        <f si="1" t="shared"/>
        <v>5.6917430472414672E-4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3">
        <v>63</v>
      </c>
      <c r="F74" s="353" t="n">
        <v>109.0</v>
      </c>
      <c r="G74" s="11">
        <f si="1" t="shared"/>
        <v>4.7104080390963866E-4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4">
        <v>64</v>
      </c>
      <c r="F75" s="354" t="n">
        <v>99.0</v>
      </c>
      <c r="G75" s="11">
        <f si="1" t="shared"/>
        <v>4.2688072854311004E-4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5">
        <v>65</v>
      </c>
      <c r="F76" s="355" t="n">
        <v>56.0</v>
      </c>
      <c r="G76" s="11">
        <f si="1" t="shared"/>
        <v>3.8272065317658142E-4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70.0</v>
      </c>
      <c r="G77" s="11">
        <f ref="G77:G102" si="3" t="shared">F77/F$102</f>
        <v>3.6309395301367979E-4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7">
        <v>67</v>
      </c>
      <c r="F78" s="357" t="n">
        <v>62.0</v>
      </c>
      <c r="G78" s="11">
        <f si="3" t="shared"/>
        <v>3.680006280544052E-4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50.0</v>
      </c>
      <c r="G79" s="11">
        <f si="3" t="shared"/>
        <v>1.9626700162901612E-4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34.0</v>
      </c>
      <c r="G80" s="11">
        <f si="3" t="shared"/>
        <v>2.0117367666974153E-4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23.0</v>
      </c>
      <c r="G81" s="11">
        <f si="3" t="shared"/>
        <v>1.3248022609958586E-4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32.0</v>
      </c>
      <c r="G82" s="11">
        <f si="3" t="shared"/>
        <v>1.4720025122176209E-4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2">
        <v>72</v>
      </c>
      <c r="F83" s="362" t="n">
        <v>29.0</v>
      </c>
      <c r="G83" s="11">
        <f si="3" t="shared"/>
        <v>1.2757355105886048E-4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3">
        <v>73</v>
      </c>
      <c r="F84" s="363" t="n">
        <v>30.0</v>
      </c>
      <c r="G84" s="11">
        <f si="3" t="shared"/>
        <v>1.3738690114031127E-4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25.0</v>
      </c>
      <c r="G85" s="11">
        <f si="3" t="shared"/>
        <v>1.6192027634393829E-4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11.0</v>
      </c>
      <c r="G86" s="11">
        <f si="3" t="shared"/>
        <v>7.8506800651606439E-5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18.0</v>
      </c>
      <c r="G87" s="11">
        <f si="3" t="shared"/>
        <v>9.3226825773782651E-5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7">
        <v>77</v>
      </c>
      <c r="F88" s="367" t="n">
        <v>17.0</v>
      </c>
      <c r="G88" s="11">
        <f si="3" t="shared"/>
        <v>8.8320150733057256E-5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14.0</v>
      </c>
      <c r="G89" s="11">
        <f si="3" t="shared"/>
        <v>6.8693450570155636E-5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11.0</v>
      </c>
      <c r="G90" s="11">
        <f si="3" t="shared"/>
        <v>9.3226825773782651E-5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7.0</v>
      </c>
      <c r="G91" s="11">
        <f si="3" t="shared"/>
        <v>2.4533375203627015E-5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10.0</v>
      </c>
      <c r="G92" s="11">
        <f si="3" t="shared"/>
        <v>5.3973425447979431E-5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5.0</v>
      </c>
      <c r="G93" s="11">
        <f si="3" t="shared"/>
        <v>3.925340032580322E-5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7.0</v>
      </c>
      <c r="G94" s="11">
        <f si="3" t="shared"/>
        <v>1.4720025122176208E-5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3.0</v>
      </c>
      <c r="G95" s="11">
        <f si="3" t="shared"/>
        <v>4.4160075366528628E-5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5.0</v>
      </c>
      <c r="G96" s="11">
        <f si="3" t="shared"/>
        <v>2.4533375203627015E-5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3.0</v>
      </c>
      <c r="G97" s="11">
        <f si="3" t="shared"/>
        <v>2.4533375203627015E-5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1.0</v>
      </c>
      <c r="G98" s="11">
        <f si="3" t="shared"/>
        <v>4.4160075366528628E-5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5.0</v>
      </c>
      <c r="G99" s="11">
        <f si="3" t="shared"/>
        <v>9.8133500814508049E-6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3.0</v>
      </c>
      <c r="G100" s="11">
        <f si="3" t="shared"/>
        <v>1.4720025122176208E-5</v>
      </c>
    </row>
    <row ht="15.75" r="101" spans="1:7" thickBot="1" x14ac:dyDescent="0.3">
      <c r="A101" s="1">
        <v>90</v>
      </c>
      <c r="B101" s="9" t="n">
        <v>224.140299381</v>
      </c>
      <c r="C101" s="11">
        <f si="2" t="shared"/>
        <v>2.7896140568023304E-3</v>
      </c>
      <c r="E101" s="382">
        <v>90</v>
      </c>
      <c r="F101" s="382" t="n">
        <v>14.0</v>
      </c>
      <c r="G101" s="11">
        <f si="3" t="shared"/>
        <v>7.3600125610881044E-5</v>
      </c>
    </row>
    <row r="102" spans="1:7" x14ac:dyDescent="0.25">
      <c r="B102" s="8">
        <f>SUM(B11:B101)</f>
        <v>80348.139497808093</v>
      </c>
      <c r="C102" s="11">
        <f si="2" t="shared"/>
        <v>1</v>
      </c>
      <c r="F102" s="8">
        <f>SUM(F11:F101)</f>
        <v>203804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16958.7523226109</v>
      </c>
      <c r="C7" s="12" t="n">
        <v>1064.6801145748</v>
      </c>
      <c r="D7" s="12" t="n">
        <v>1316.8980800259</v>
      </c>
      <c r="E7" s="12" t="n">
        <v>781.901638796</v>
      </c>
      <c r="F7" s="12" t="n">
        <v>1306.229572005</v>
      </c>
      <c r="G7" s="12" t="n">
        <v>703.3970396990001</v>
      </c>
      <c r="H7" s="12" t="n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 t="n">
        <v>11851.0</v>
      </c>
      <c r="N7" s="430" t="n">
        <v>4869.0</v>
      </c>
      <c r="O7" s="430" t="n">
        <v>1279.0</v>
      </c>
      <c r="P7" s="430" t="n">
        <v>2589.0</v>
      </c>
      <c r="Q7" s="430" t="n">
        <v>3104.0</v>
      </c>
      <c r="R7" s="430" t="n">
        <v>1008.0</v>
      </c>
      <c r="S7" s="430" t="n">
        <v>4026.0</v>
      </c>
      <c r="T7" s="430"/>
      <c r="U7" s="431">
        <f>SUM(M7:T7)</f>
        <v>29311</v>
      </c>
    </row>
    <row r="8" spans="1:21" x14ac:dyDescent="0.25">
      <c r="A8" t="s">
        <v>249</v>
      </c>
      <c r="B8" s="12" t="n">
        <v>131.494048378</v>
      </c>
      <c r="C8" s="12" t="n">
        <v>354.2747928245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485.76884120250003</v>
      </c>
      <c r="K8" s="12"/>
      <c r="L8" t="str">
        <f>$A$8</f>
        <v>Bellevue Downtown</v>
      </c>
      <c r="M8" s="430" t="n">
        <v>951.0</v>
      </c>
      <c r="N8" s="430" t="n">
        <v>1782.0</v>
      </c>
      <c r="O8" s="430" t="n">
        <v>114.0</v>
      </c>
      <c r="P8" s="430" t="n">
        <v>82.0</v>
      </c>
      <c r="Q8" s="430" t="n">
        <v>182.0</v>
      </c>
      <c r="R8" s="430" t="n">
        <v>58.0</v>
      </c>
      <c r="S8" s="430" t="n">
        <v>170.0</v>
      </c>
      <c r="T8" s="430"/>
      <c r="U8" s="431">
        <f ref="U8:U14" si="1" t="shared">SUM(M8:T8)</f>
        <v>2953</v>
      </c>
    </row>
    <row r="9" spans="1:21" x14ac:dyDescent="0.25">
      <c r="A9" t="s">
        <v>250</v>
      </c>
      <c r="B9" s="12" t="n">
        <v>0.0</v>
      </c>
      <c r="C9" s="12" t="n">
        <v>191.153539079</v>
      </c>
      <c r="D9" s="12" t="n">
        <v>22512.264472701</v>
      </c>
      <c r="E9" s="12" t="n">
        <v>2951.87033819</v>
      </c>
      <c r="F9" s="12" t="n">
        <v>707.178626424</v>
      </c>
      <c r="G9" s="12" t="n">
        <v>529.272159155</v>
      </c>
      <c r="H9" s="12" t="n">
        <v>3478.001713329</v>
      </c>
      <c r="I9" s="12"/>
      <c r="J9" s="12">
        <f si="0" t="shared"/>
        <v>30369.740848878002</v>
      </c>
      <c r="K9" s="13"/>
      <c r="L9" t="str">
        <f>$A$9</f>
        <v>Kirkland</v>
      </c>
      <c r="M9" s="430" t="n">
        <v>1645.0</v>
      </c>
      <c r="N9" s="430" t="n">
        <v>1281.0</v>
      </c>
      <c r="O9" s="430" t="n">
        <v>11078.0</v>
      </c>
      <c r="P9" s="430" t="n">
        <v>2583.0</v>
      </c>
      <c r="Q9" s="430" t="n">
        <v>4158.0</v>
      </c>
      <c r="R9" s="430" t="n">
        <v>569.0</v>
      </c>
      <c r="S9" s="430" t="n">
        <v>4130.0</v>
      </c>
      <c r="T9" s="430"/>
      <c r="U9" s="431">
        <f si="1" t="shared"/>
        <v>25241</v>
      </c>
    </row>
    <row r="10" spans="1:21" x14ac:dyDescent="0.25">
      <c r="A10" t="s">
        <v>251</v>
      </c>
      <c r="B10" s="12" t="n">
        <v>609.158998074</v>
      </c>
      <c r="C10" s="12" t="n">
        <v>260.124522619</v>
      </c>
      <c r="D10" s="12" t="n">
        <v>5974.811841592</v>
      </c>
      <c r="E10" s="12" t="n">
        <v>13997.361400411999</v>
      </c>
      <c r="F10" s="12" t="n">
        <v>2700.348496165</v>
      </c>
      <c r="G10" s="12" t="n">
        <v>0.0</v>
      </c>
      <c r="H10" s="12" t="n">
        <v>1017.747610799</v>
      </c>
      <c r="I10" s="12"/>
      <c r="J10" s="12">
        <f si="0" t="shared"/>
        <v>24559.552869660998</v>
      </c>
      <c r="K10" s="13"/>
      <c r="L10" t="str">
        <f>$A$10</f>
        <v>Redmond</v>
      </c>
      <c r="M10" s="430" t="n">
        <v>2618.0</v>
      </c>
      <c r="N10" s="430" t="n">
        <v>980.0</v>
      </c>
      <c r="O10" s="430" t="n">
        <v>2936.0</v>
      </c>
      <c r="P10" s="430" t="n">
        <v>9024.0</v>
      </c>
      <c r="Q10" s="430" t="n">
        <v>1695.0</v>
      </c>
      <c r="R10" s="430" t="n">
        <v>366.0</v>
      </c>
      <c r="S10" s="430" t="n">
        <v>3118.0</v>
      </c>
      <c r="T10" s="430"/>
      <c r="U10" s="431">
        <f si="1" t="shared"/>
        <v>20612</v>
      </c>
    </row>
    <row r="11" spans="1:21" x14ac:dyDescent="0.2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430" t="n">
        <v>1314.0</v>
      </c>
      <c r="N11" s="430" t="n">
        <v>792.0</v>
      </c>
      <c r="O11" s="430" t="n">
        <v>1228.0</v>
      </c>
      <c r="P11" s="430" t="n">
        <v>604.0</v>
      </c>
      <c r="Q11" s="430" t="n">
        <v>17057.0</v>
      </c>
      <c r="R11" s="430" t="n">
        <v>1868.0</v>
      </c>
      <c r="S11" s="430" t="n">
        <v>2173.0</v>
      </c>
      <c r="T11" s="430"/>
      <c r="U11" s="431">
        <f si="1" t="shared"/>
        <v>26746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430" t="n">
        <v>130.0</v>
      </c>
      <c r="N12" s="430" t="n">
        <v>65.0</v>
      </c>
      <c r="O12" s="430" t="n">
        <v>58.0</v>
      </c>
      <c r="P12" s="430" t="n">
        <v>37.0</v>
      </c>
      <c r="Q12" s="430" t="n">
        <v>401.0</v>
      </c>
      <c r="R12" s="430" t="n">
        <v>1150.0</v>
      </c>
      <c r="S12" s="430" t="n">
        <v>51.0</v>
      </c>
      <c r="T12" s="430"/>
      <c r="U12" s="431">
        <f si="1" t="shared"/>
        <v>1814</v>
      </c>
    </row>
    <row r="13" spans="1:21" x14ac:dyDescent="0.2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Rest</v>
      </c>
      <c r="M13" s="430" t="n">
        <v>6963.0</v>
      </c>
      <c r="N13" s="430" t="n">
        <v>3317.0</v>
      </c>
      <c r="O13" s="430" t="n">
        <v>5424.0</v>
      </c>
      <c r="P13" s="430" t="n">
        <v>5150.0</v>
      </c>
      <c r="Q13" s="430" t="n">
        <v>7846.0</v>
      </c>
      <c r="R13" s="430" t="n">
        <v>1669.0</v>
      </c>
      <c r="S13" s="430" t="n">
        <v>63756.0</v>
      </c>
      <c r="T13" s="430"/>
      <c r="U13" s="431">
        <f si="1" t="shared"/>
        <v>97127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17699.405369062901</v>
      </c>
      <c r="C15" s="16">
        <f si="2" t="shared"/>
        <v>1870.2329690973002</v>
      </c>
      <c r="D15" s="16">
        <f si="2" t="shared"/>
        <v>29803.974394318902</v>
      </c>
      <c r="E15" s="16">
        <f si="2" t="shared"/>
        <v>17731.133377398</v>
      </c>
      <c r="F15" s="16">
        <f si="2" t="shared"/>
        <v>4713.7566945939998</v>
      </c>
      <c r="G15" s="16">
        <f si="2" t="shared"/>
        <v>1232.6691988540001</v>
      </c>
      <c r="H15" s="16">
        <f si="2" t="shared"/>
        <v>7296.9674944829994</v>
      </c>
      <c r="I15" s="16">
        <f si="2" t="shared"/>
        <v>0</v>
      </c>
      <c r="J15" s="16">
        <f si="2" t="shared"/>
        <v>80348.139497808108</v>
      </c>
      <c r="K15" s="12"/>
      <c r="L15" s="16" t="s">
        <v>4</v>
      </c>
      <c r="M15" s="433">
        <f ref="M15:U15" si="3" t="shared">SUM(M7:M14)</f>
        <v>26976</v>
      </c>
      <c r="N15" s="433">
        <f si="3" t="shared"/>
        <v>11942</v>
      </c>
      <c r="O15" s="433">
        <f si="3" t="shared"/>
        <v>22852</v>
      </c>
      <c r="P15" s="433">
        <f si="3" t="shared"/>
        <v>21241</v>
      </c>
      <c r="Q15" s="433">
        <f si="3" t="shared"/>
        <v>36212</v>
      </c>
      <c r="R15" s="433">
        <f si="3" t="shared"/>
        <v>6491</v>
      </c>
      <c r="S15" s="433">
        <f si="3" t="shared"/>
        <v>78090</v>
      </c>
      <c r="T15" s="433">
        <f si="3" t="shared"/>
        <v>0</v>
      </c>
      <c r="U15" s="433">
        <f si="3" t="shared"/>
        <v>203804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19936.48800598428</v>
      </c>
      <c r="C20" s="12">
        <f si="4" t="shared"/>
        <v>1251.6240540956614</v>
      </c>
      <c r="D20" s="12">
        <f si="4" t="shared"/>
        <v>1548.1282041330076</v>
      </c>
      <c r="E20" s="12">
        <f si="4" t="shared"/>
        <v>919.19336677451906</v>
      </c>
      <c r="F20" s="12">
        <f si="4" t="shared"/>
        <v>1535.5864452727851</v>
      </c>
      <c r="G20" s="12">
        <f si="4" t="shared"/>
        <v>826.90438415725373</v>
      </c>
      <c r="H20" s="12">
        <f ref="H20" si="5" t="shared">($U7/$J7)*H7</f>
        <v>3293.0755395824895</v>
      </c>
      <c r="I20" s="12"/>
      <c r="J20" s="12">
        <f>SUM(B20:I20)</f>
        <v>29310.999999999993</v>
      </c>
      <c r="K20" s="12"/>
      <c r="L20" t="str">
        <f>$A$7</f>
        <v>Bellevue</v>
      </c>
      <c r="M20" s="12">
        <f>M7</f>
        <v>12534</v>
      </c>
      <c r="N20" s="12">
        <f ref="N20:U20" si="6" t="shared">N7</f>
        <v>4525</v>
      </c>
      <c r="O20" s="12">
        <f si="6" t="shared"/>
        <v>1330</v>
      </c>
      <c r="P20" s="12">
        <f si="6" t="shared"/>
        <v>2954</v>
      </c>
      <c r="Q20" s="12">
        <f si="6" t="shared"/>
        <v>3241</v>
      </c>
      <c r="R20" s="12">
        <f si="6" t="shared"/>
        <v>998</v>
      </c>
      <c r="S20" s="12">
        <f si="6" t="shared"/>
        <v>3729</v>
      </c>
      <c r="T20" s="12"/>
      <c r="U20" s="12">
        <f si="6" t="shared"/>
        <v>29311</v>
      </c>
    </row>
    <row r="21" spans="1:32" x14ac:dyDescent="0.25">
      <c r="A21" t="str">
        <f>$A$8</f>
        <v>Bellevue Downtown</v>
      </c>
      <c r="B21" s="12">
        <f ref="B21:G26" si="7" t="shared">($U8/$J8)*B8</f>
        <v>799.35535572641743</v>
      </c>
      <c r="C21" s="12">
        <f si="7" t="shared"/>
        <v>2153.6446442735823</v>
      </c>
      <c r="D21" s="12">
        <f si="7" t="shared"/>
        <v>0</v>
      </c>
      <c r="E21" s="12">
        <f si="7" t="shared"/>
        <v>0</v>
      </c>
      <c r="F21" s="12">
        <f si="7" t="shared"/>
        <v>0</v>
      </c>
      <c r="G21" s="12">
        <f si="7" t="shared"/>
        <v>0</v>
      </c>
      <c r="H21" s="12">
        <f ref="H21" si="8" t="shared">($U8/$J8)*H8</f>
        <v>0</v>
      </c>
      <c r="I21" s="12"/>
      <c r="J21" s="12">
        <f ref="J21:J27" si="9" t="shared">SUM(B21:I21)</f>
        <v>2953</v>
      </c>
      <c r="K21" s="12"/>
      <c r="L21" t="str">
        <f>$A$8</f>
        <v>Bellevue Downtown</v>
      </c>
      <c r="M21" s="12">
        <f ref="M21:U21" si="10" t="shared">M8</f>
        <v>939</v>
      </c>
      <c r="N21" s="12">
        <f si="10" t="shared"/>
        <v>1345</v>
      </c>
      <c r="O21" s="12">
        <f si="10" t="shared"/>
        <v>120</v>
      </c>
      <c r="P21" s="12">
        <f si="10" t="shared"/>
        <v>111</v>
      </c>
      <c r="Q21" s="12">
        <f si="10" t="shared"/>
        <v>192</v>
      </c>
      <c r="R21" s="12">
        <f si="10" t="shared"/>
        <v>54</v>
      </c>
      <c r="S21" s="12">
        <f si="10" t="shared"/>
        <v>192</v>
      </c>
      <c r="T21" s="12"/>
      <c r="U21" s="12">
        <f si="10" t="shared"/>
        <v>2953</v>
      </c>
    </row>
    <row r="22" spans="1:32" x14ac:dyDescent="0.25">
      <c r="A22" t="str">
        <f>$A$9</f>
        <v>Kirkland</v>
      </c>
      <c r="B22" s="12">
        <f si="7" t="shared"/>
        <v>0</v>
      </c>
      <c r="C22" s="12">
        <f si="7" t="shared"/>
        <v>158.87216502446032</v>
      </c>
      <c r="D22" s="12">
        <f si="7" t="shared"/>
        <v>18710.46810649486</v>
      </c>
      <c r="E22" s="12">
        <f si="7" t="shared"/>
        <v>2453.3682910569341</v>
      </c>
      <c r="F22" s="12">
        <f si="7" t="shared"/>
        <v>587.75265150896541</v>
      </c>
      <c r="G22" s="12">
        <f si="7" t="shared"/>
        <v>439.89043685649074</v>
      </c>
      <c r="H22" s="12">
        <f ref="H22" si="11" t="shared">($U9/$J9)*H9</f>
        <v>2890.6483490582891</v>
      </c>
      <c r="I22" s="12"/>
      <c r="J22" s="12">
        <f si="9" t="shared"/>
        <v>25241</v>
      </c>
      <c r="K22" s="13"/>
      <c r="L22" t="str">
        <f>$A$9</f>
        <v>Kirkland</v>
      </c>
      <c r="M22" s="12">
        <f ref="M22:U22" si="12" t="shared">M9</f>
        <v>1909</v>
      </c>
      <c r="N22" s="12">
        <f si="12" t="shared"/>
        <v>1155</v>
      </c>
      <c r="O22" s="12">
        <f si="12" t="shared"/>
        <v>11114</v>
      </c>
      <c r="P22" s="12">
        <f si="12" t="shared"/>
        <v>2599</v>
      </c>
      <c r="Q22" s="12">
        <f si="12" t="shared"/>
        <v>4041</v>
      </c>
      <c r="R22" s="12">
        <f si="12" t="shared"/>
        <v>518</v>
      </c>
      <c r="S22" s="12">
        <f si="12" t="shared"/>
        <v>3905</v>
      </c>
      <c r="T22" s="12"/>
      <c r="U22" s="12">
        <f si="12" t="shared"/>
        <v>25241</v>
      </c>
    </row>
    <row r="23" spans="1:32" x14ac:dyDescent="0.25">
      <c r="A23" t="str">
        <f>$A$10</f>
        <v>Redmond</v>
      </c>
      <c r="B23" s="12">
        <f si="7" t="shared"/>
        <v>511.2464927572845</v>
      </c>
      <c r="C23" s="12">
        <f si="7" t="shared"/>
        <v>218.3136919746714</v>
      </c>
      <c r="D23" s="12">
        <f si="7" t="shared"/>
        <v>5014.456994900258</v>
      </c>
      <c r="E23" s="12">
        <f si="7" t="shared"/>
        <v>11747.5108246657</v>
      </c>
      <c r="F23" s="12">
        <f si="7" t="shared"/>
        <v>2266.3109340117749</v>
      </c>
      <c r="G23" s="12">
        <f si="7" t="shared"/>
        <v>0</v>
      </c>
      <c r="H23" s="12">
        <f ref="H23" si="13" t="shared">($U10/$J10)*H10</f>
        <v>854.16106169031195</v>
      </c>
      <c r="I23" s="12"/>
      <c r="J23" s="12">
        <f>SUM(B23:I23)</f>
        <v>20612</v>
      </c>
      <c r="K23" s="13"/>
      <c r="L23" t="str">
        <f>$A$10</f>
        <v>Redmond</v>
      </c>
      <c r="M23" s="12">
        <f ref="M23:S23" si="14" t="shared">M10</f>
        <v>2781</v>
      </c>
      <c r="N23" s="12">
        <f si="14" t="shared"/>
        <v>806</v>
      </c>
      <c r="O23" s="12">
        <f si="14" t="shared"/>
        <v>3001</v>
      </c>
      <c r="P23" s="12">
        <f si="14" t="shared"/>
        <v>9095</v>
      </c>
      <c r="Q23" s="12">
        <f si="14" t="shared"/>
        <v>1698</v>
      </c>
      <c r="R23" s="12">
        <f si="14" t="shared"/>
        <v>299</v>
      </c>
      <c r="S23" s="12">
        <f si="14" t="shared"/>
        <v>2932</v>
      </c>
      <c r="T23" s="12"/>
      <c r="U23" s="12">
        <f ref="U23" si="15" t="shared">U10</f>
        <v>20612</v>
      </c>
    </row>
    <row r="24" spans="1:32" x14ac:dyDescent="0.25">
      <c r="A24" t="str">
        <f>$A$11</f>
        <v>Seattle</v>
      </c>
      <c r="B24" s="12" t="e">
        <f si="7" t="shared"/>
        <v>#DIV/0!</v>
      </c>
      <c r="C24" s="12" t="e">
        <f si="7" t="shared"/>
        <v>#DIV/0!</v>
      </c>
      <c r="D24" s="12" t="e">
        <f si="7" t="shared"/>
        <v>#DIV/0!</v>
      </c>
      <c r="E24" s="12" t="e">
        <f si="7" t="shared"/>
        <v>#DIV/0!</v>
      </c>
      <c r="F24" s="12" t="e">
        <f si="7" t="shared"/>
        <v>#DIV/0!</v>
      </c>
      <c r="G24" s="12" t="e">
        <f si="7" t="shared"/>
        <v>#DIV/0!</v>
      </c>
      <c r="H24" s="12" t="e">
        <f ref="H24" si="16" t="shared">($U11/$J11)*H11</f>
        <v>#DIV/0!</v>
      </c>
      <c r="I24" s="12"/>
      <c r="J24" s="12" t="e">
        <f si="9" t="shared"/>
        <v>#DIV/0!</v>
      </c>
      <c r="K24" s="13"/>
      <c r="L24" t="str">
        <f>$A$11</f>
        <v>Seattle</v>
      </c>
      <c r="M24" s="12">
        <f ref="M24:S24" si="17" t="shared">M11</f>
        <v>1439</v>
      </c>
      <c r="N24" s="12">
        <f si="17" t="shared"/>
        <v>824</v>
      </c>
      <c r="O24" s="12">
        <f si="17" t="shared"/>
        <v>1357</v>
      </c>
      <c r="P24" s="12">
        <f si="17" t="shared"/>
        <v>723</v>
      </c>
      <c r="Q24" s="12">
        <f si="17" t="shared"/>
        <v>18281</v>
      </c>
      <c r="R24" s="12">
        <f si="17" t="shared"/>
        <v>1794</v>
      </c>
      <c r="S24" s="12">
        <f si="17" t="shared"/>
        <v>2328</v>
      </c>
      <c r="T24" s="12"/>
      <c r="U24" s="12">
        <f ref="U24" si="18" t="shared">U11</f>
        <v>26746</v>
      </c>
    </row>
    <row r="25" spans="1:32" x14ac:dyDescent="0.25">
      <c r="A25" t="str">
        <f>$A$12</f>
        <v>Seattle Downtown</v>
      </c>
      <c r="B25" s="12" t="e">
        <f si="7" t="shared"/>
        <v>#DIV/0!</v>
      </c>
      <c r="C25" s="12" t="e">
        <f si="7" t="shared"/>
        <v>#DIV/0!</v>
      </c>
      <c r="D25" s="12" t="e">
        <f si="7" t="shared"/>
        <v>#DIV/0!</v>
      </c>
      <c r="E25" s="12" t="e">
        <f si="7" t="shared"/>
        <v>#DIV/0!</v>
      </c>
      <c r="F25" s="12" t="e">
        <f si="7" t="shared"/>
        <v>#DIV/0!</v>
      </c>
      <c r="G25" s="12" t="e">
        <f si="7" t="shared"/>
        <v>#DIV/0!</v>
      </c>
      <c r="H25" s="12" t="e">
        <f ref="H25" si="19" t="shared">($U12/$J12)*H12</f>
        <v>#DIV/0!</v>
      </c>
      <c r="I25" s="12"/>
      <c r="J25" s="12" t="e">
        <f si="9" t="shared"/>
        <v>#DIV/0!</v>
      </c>
      <c r="K25" s="13"/>
      <c r="L25" t="str">
        <f>$A$12</f>
        <v>Seattle Downtown</v>
      </c>
      <c r="M25" s="12">
        <f ref="M25:S26" si="20" t="shared">M12</f>
        <v>130</v>
      </c>
      <c r="N25" s="12">
        <f si="20" t="shared"/>
        <v>74</v>
      </c>
      <c r="O25" s="12">
        <f si="20" t="shared"/>
        <v>67</v>
      </c>
      <c r="P25" s="12">
        <f si="20" t="shared"/>
        <v>44</v>
      </c>
      <c r="Q25" s="12">
        <f si="20" t="shared"/>
        <v>380</v>
      </c>
      <c r="R25" s="12">
        <f si="20" t="shared"/>
        <v>1066</v>
      </c>
      <c r="S25" s="12">
        <f si="20" t="shared"/>
        <v>53</v>
      </c>
      <c r="T25" s="12"/>
      <c r="U25" s="12">
        <f ref="U25:U26" si="21" t="shared">U12</f>
        <v>1814</v>
      </c>
    </row>
    <row r="26" spans="1:32" x14ac:dyDescent="0.25">
      <c r="A26" t="str">
        <f>$A$13</f>
        <v>Rest</v>
      </c>
      <c r="B26" s="12" t="e">
        <f si="7" t="shared"/>
        <v>#DIV/0!</v>
      </c>
      <c r="C26" s="12" t="e">
        <f si="7" t="shared"/>
        <v>#DIV/0!</v>
      </c>
      <c r="D26" s="12" t="e">
        <f si="7" t="shared"/>
        <v>#DIV/0!</v>
      </c>
      <c r="E26" s="12" t="e">
        <f si="7" t="shared"/>
        <v>#DIV/0!</v>
      </c>
      <c r="F26" s="12" t="e">
        <f si="7" t="shared"/>
        <v>#DIV/0!</v>
      </c>
      <c r="G26" s="12" t="e">
        <f si="7" t="shared"/>
        <v>#DIV/0!</v>
      </c>
      <c r="H26" s="12" t="e">
        <f ref="H26" si="22" t="shared">($U13/$J13)*H13</f>
        <v>#DIV/0!</v>
      </c>
      <c r="I26" s="12"/>
      <c r="J26" s="12" t="e">
        <f si="9" t="shared"/>
        <v>#DIV/0!</v>
      </c>
      <c r="K26" s="13"/>
      <c r="L26" t="str">
        <f>$A$13</f>
        <v>Rest</v>
      </c>
      <c r="M26" s="12">
        <f si="20" t="shared"/>
        <v>7244</v>
      </c>
      <c r="N26" s="12">
        <f si="20" t="shared"/>
        <v>3213</v>
      </c>
      <c r="O26" s="12">
        <f si="20" t="shared"/>
        <v>5863</v>
      </c>
      <c r="P26" s="12">
        <f si="20" t="shared"/>
        <v>5715</v>
      </c>
      <c r="Q26" s="12">
        <f si="20" t="shared"/>
        <v>8379</v>
      </c>
      <c r="R26" s="12">
        <f si="20" t="shared"/>
        <v>1762</v>
      </c>
      <c r="S26" s="12">
        <f si="20" t="shared"/>
        <v>64951</v>
      </c>
      <c r="T26" s="12"/>
      <c r="U26" s="12">
        <f si="21" t="shared"/>
        <v>97127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 t="e">
        <f ref="B28:J28" si="23" t="shared">SUM(B20:B27)</f>
        <v>#DIV/0!</v>
      </c>
      <c r="C28" s="16" t="e">
        <f si="23" t="shared"/>
        <v>#DIV/0!</v>
      </c>
      <c r="D28" s="16" t="e">
        <f si="23" t="shared"/>
        <v>#DIV/0!</v>
      </c>
      <c r="E28" s="16" t="e">
        <f si="23" t="shared"/>
        <v>#DIV/0!</v>
      </c>
      <c r="F28" s="16" t="e">
        <f si="23" t="shared"/>
        <v>#DIV/0!</v>
      </c>
      <c r="G28" s="16" t="e">
        <f si="23" t="shared"/>
        <v>#DIV/0!</v>
      </c>
      <c r="H28" s="16" t="e">
        <f si="23" t="shared"/>
        <v>#DIV/0!</v>
      </c>
      <c r="I28" s="16">
        <f si="23" t="shared"/>
        <v>0</v>
      </c>
      <c r="J28" s="16" t="e">
        <f si="23" t="shared"/>
        <v>#DIV/0!</v>
      </c>
      <c r="K28" s="12"/>
      <c r="L28" s="16" t="s">
        <v>4</v>
      </c>
      <c r="M28" s="16">
        <f ref="M28:U28" si="24" t="shared">M15</f>
        <v>26976</v>
      </c>
      <c r="N28" s="16">
        <f si="24" t="shared"/>
        <v>11942</v>
      </c>
      <c r="O28" s="16">
        <f si="24" t="shared"/>
        <v>22852</v>
      </c>
      <c r="P28" s="16">
        <f si="24" t="shared"/>
        <v>21241</v>
      </c>
      <c r="Q28" s="16">
        <f si="24" t="shared"/>
        <v>36212</v>
      </c>
      <c r="R28" s="16">
        <f si="24" t="shared"/>
        <v>6491</v>
      </c>
      <c r="S28" s="16">
        <f si="24" t="shared"/>
        <v>78090</v>
      </c>
      <c r="T28" s="16"/>
      <c r="U28" s="16">
        <f si="24" t="shared"/>
        <v>203804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 t="e">
        <f ref="B33:G33" si="25" t="shared">B20/$J$28</f>
        <v>#DIV/0!</v>
      </c>
      <c r="C33" s="17" t="e">
        <f si="25" t="shared"/>
        <v>#DIV/0!</v>
      </c>
      <c r="D33" s="17" t="e">
        <f si="25" t="shared"/>
        <v>#DIV/0!</v>
      </c>
      <c r="E33" s="17" t="e">
        <f si="25" t="shared"/>
        <v>#DIV/0!</v>
      </c>
      <c r="F33" s="17" t="e">
        <f si="25" t="shared"/>
        <v>#DIV/0!</v>
      </c>
      <c r="G33" s="17" t="e">
        <f si="25" t="shared"/>
        <v>#DIV/0!</v>
      </c>
      <c r="H33" s="17" t="e">
        <f ref="H33" si="26" t="shared">H20/$J$28</f>
        <v>#DIV/0!</v>
      </c>
      <c r="I33" s="12"/>
      <c r="J33" s="17" t="e">
        <f ref="J33:J39" si="27" t="shared">J20/$J$28</f>
        <v>#DIV/0!</v>
      </c>
      <c r="K33" s="12"/>
      <c r="L33" t="str">
        <f>$A$7</f>
        <v>Bellevue</v>
      </c>
      <c r="M33" s="17">
        <f ref="M33:R33" si="28" t="shared">M20/$U$28</f>
        <v>6.1500264960452196E-2</v>
      </c>
      <c r="N33" s="17">
        <f si="28" t="shared"/>
        <v>2.2202704559282447E-2</v>
      </c>
      <c r="O33" s="17">
        <f si="28" t="shared"/>
        <v>6.5258778041647853E-3</v>
      </c>
      <c r="P33" s="17">
        <f si="28" t="shared"/>
        <v>1.4494318070302841E-2</v>
      </c>
      <c r="Q33" s="17">
        <f si="28" t="shared"/>
        <v>1.590253380699103E-2</v>
      </c>
      <c r="R33" s="17">
        <f si="28" t="shared"/>
        <v>4.8968616906439524E-3</v>
      </c>
      <c r="S33" s="17">
        <f ref="S33" si="29" t="shared">S20/$U$28</f>
        <v>1.8296991226865029E-2</v>
      </c>
      <c r="T33" s="17"/>
      <c r="U33" s="17">
        <f>U20/$U$28</f>
        <v>0.14381955211870229</v>
      </c>
      <c r="W33" t="str">
        <f>$A$7</f>
        <v>Bellevue</v>
      </c>
      <c r="X33" s="17" t="e">
        <f>M33-B33</f>
        <v>#DIV/0!</v>
      </c>
      <c r="Y33" s="17" t="e">
        <f ref="Y33:Y35" si="30" t="shared">N33-C33</f>
        <v>#DIV/0!</v>
      </c>
      <c r="Z33" s="17" t="e">
        <f ref="Z33:Z35" si="31" t="shared">O33-D33</f>
        <v>#DIV/0!</v>
      </c>
      <c r="AA33" s="17" t="e">
        <f ref="AA33" si="32" t="shared">P33-E33</f>
        <v>#DIV/0!</v>
      </c>
      <c r="AB33" s="17" t="e">
        <f ref="AB33" si="33" t="shared">Q33-F33</f>
        <v>#DIV/0!</v>
      </c>
      <c r="AC33" s="17" t="e">
        <f ref="AC33:AD33" si="34" t="shared">R33-G33</f>
        <v>#DIV/0!</v>
      </c>
      <c r="AD33" s="17" t="e">
        <f si="34" t="shared"/>
        <v>#DIV/0!</v>
      </c>
      <c r="AE33" s="17"/>
      <c r="AF33" s="17" t="e">
        <f ref="AF33:AF39" si="35" t="shared">U33-J33</f>
        <v>#DIV/0!</v>
      </c>
    </row>
    <row r="34" spans="1:32" x14ac:dyDescent="0.25">
      <c r="A34" t="str">
        <f>$A$8</f>
        <v>Bellevue Downtown</v>
      </c>
      <c r="B34" s="17" t="e">
        <f ref="B34:G39" si="36" t="shared">B21/$J$28</f>
        <v>#DIV/0!</v>
      </c>
      <c r="C34" s="17" t="e">
        <f si="36" t="shared"/>
        <v>#DIV/0!</v>
      </c>
      <c r="D34" s="17" t="e">
        <f si="36" t="shared"/>
        <v>#DIV/0!</v>
      </c>
      <c r="E34" s="17" t="e">
        <f si="36" t="shared"/>
        <v>#DIV/0!</v>
      </c>
      <c r="F34" s="17" t="e">
        <f si="36" t="shared"/>
        <v>#DIV/0!</v>
      </c>
      <c r="G34" s="17" t="e">
        <f si="36" t="shared"/>
        <v>#DIV/0!</v>
      </c>
      <c r="H34" s="17" t="e">
        <f ref="H34" si="37" t="shared">H21/$J$28</f>
        <v>#DIV/0!</v>
      </c>
      <c r="I34" s="12"/>
      <c r="J34" s="17" t="e">
        <f si="27" t="shared"/>
        <v>#DIV/0!</v>
      </c>
      <c r="K34" s="12"/>
      <c r="L34" t="str">
        <f>$A$8</f>
        <v>Bellevue Downtown</v>
      </c>
      <c r="M34" s="17">
        <f ref="M34:R36" si="38" t="shared">M21/$U$28</f>
        <v>4.6073678632411533E-3</v>
      </c>
      <c r="N34" s="17">
        <f si="38" t="shared"/>
        <v>6.5994779297756665E-3</v>
      </c>
      <c r="O34" s="17">
        <f si="38" t="shared"/>
        <v>5.8880100488704836E-4</v>
      </c>
      <c r="P34" s="17">
        <f si="38" t="shared"/>
        <v>5.4464092952051968E-4</v>
      </c>
      <c r="Q34" s="17">
        <f si="38" t="shared"/>
        <v>9.4208160781927733E-4</v>
      </c>
      <c r="R34" s="17">
        <f si="38" t="shared"/>
        <v>2.6496045219917173E-4</v>
      </c>
      <c r="S34" s="17">
        <f ref="S34" si="39" t="shared">S21/$U$28</f>
        <v>9.4208160781927733E-4</v>
      </c>
      <c r="T34" s="17"/>
      <c r="U34" s="17">
        <f>U21/$U$28</f>
        <v>1.4489411395262115E-2</v>
      </c>
      <c r="W34" t="str">
        <f>$A$8</f>
        <v>Bellevue Downtown</v>
      </c>
      <c r="X34" s="17" t="e">
        <f ref="X34:X35" si="40" t="shared">M34-B34</f>
        <v>#DIV/0!</v>
      </c>
      <c r="Y34" s="17" t="e">
        <f si="30" t="shared"/>
        <v>#DIV/0!</v>
      </c>
      <c r="Z34" s="17" t="e">
        <f si="31" t="shared"/>
        <v>#DIV/0!</v>
      </c>
      <c r="AA34" s="17" t="e">
        <f ref="AA34:AA38" si="41" t="shared">P34-E34</f>
        <v>#DIV/0!</v>
      </c>
      <c r="AB34" s="17" t="e">
        <f ref="AB34:AB38" si="42" t="shared">Q34-F34</f>
        <v>#DIV/0!</v>
      </c>
      <c r="AC34" s="17" t="e">
        <f ref="AC34:AD38" si="43" t="shared">R34-G34</f>
        <v>#DIV/0!</v>
      </c>
      <c r="AD34" s="17" t="e">
        <f si="43" t="shared"/>
        <v>#DIV/0!</v>
      </c>
      <c r="AE34" s="17"/>
      <c r="AF34" s="17" t="e">
        <f si="35" t="shared"/>
        <v>#DIV/0!</v>
      </c>
    </row>
    <row r="35" spans="1:32" x14ac:dyDescent="0.25">
      <c r="A35" t="str">
        <f>$A$9</f>
        <v>Kirkland</v>
      </c>
      <c r="B35" s="17" t="e">
        <f si="36" t="shared"/>
        <v>#DIV/0!</v>
      </c>
      <c r="C35" s="17" t="e">
        <f si="36" t="shared"/>
        <v>#DIV/0!</v>
      </c>
      <c r="D35" s="17" t="e">
        <f si="36" t="shared"/>
        <v>#DIV/0!</v>
      </c>
      <c r="E35" s="17" t="e">
        <f si="36" t="shared"/>
        <v>#DIV/0!</v>
      </c>
      <c r="F35" s="17" t="e">
        <f si="36" t="shared"/>
        <v>#DIV/0!</v>
      </c>
      <c r="G35" s="17" t="e">
        <f si="36" t="shared"/>
        <v>#DIV/0!</v>
      </c>
      <c r="H35" s="17" t="e">
        <f ref="H35" si="44" t="shared">H22/$J$28</f>
        <v>#DIV/0!</v>
      </c>
      <c r="I35" s="12"/>
      <c r="J35" s="17" t="e">
        <f si="27" t="shared"/>
        <v>#DIV/0!</v>
      </c>
      <c r="K35" s="13"/>
      <c r="L35" t="str">
        <f>$A$9</f>
        <v>Kirkland</v>
      </c>
      <c r="M35" s="17">
        <f si="38" t="shared"/>
        <v>9.3668426527447942E-3</v>
      </c>
      <c r="N35" s="17">
        <f si="38" t="shared"/>
        <v>5.6672096720378406E-3</v>
      </c>
      <c r="O35" s="17">
        <f si="38" t="shared"/>
        <v>5.453278640262213E-2</v>
      </c>
      <c r="P35" s="17">
        <f si="38" t="shared"/>
        <v>1.2752448430845323E-2</v>
      </c>
      <c r="Q35" s="17">
        <f si="38" t="shared"/>
        <v>1.9827873839571353E-2</v>
      </c>
      <c r="R35" s="17">
        <f si="38" t="shared"/>
        <v>2.5416576710957585E-3</v>
      </c>
      <c r="S35" s="17">
        <f ref="S35" si="45" t="shared">S22/$U$28</f>
        <v>1.9160566034032697E-2</v>
      </c>
      <c r="T35" s="17"/>
      <c r="U35" s="17">
        <f>U22/$U$28</f>
        <v>0.1238493847029499</v>
      </c>
      <c r="W35" t="str">
        <f>$A$9</f>
        <v>Kirkland</v>
      </c>
      <c r="X35" s="17" t="e">
        <f si="40" t="shared"/>
        <v>#DIV/0!</v>
      </c>
      <c r="Y35" s="17" t="e">
        <f si="30" t="shared"/>
        <v>#DIV/0!</v>
      </c>
      <c r="Z35" s="17" t="e">
        <f si="31" t="shared"/>
        <v>#DIV/0!</v>
      </c>
      <c r="AA35" s="17" t="e">
        <f si="41" t="shared"/>
        <v>#DIV/0!</v>
      </c>
      <c r="AB35" s="17" t="e">
        <f si="42" t="shared"/>
        <v>#DIV/0!</v>
      </c>
      <c r="AC35" s="17" t="e">
        <f si="43" t="shared"/>
        <v>#DIV/0!</v>
      </c>
      <c r="AD35" s="17" t="e">
        <f si="43" t="shared"/>
        <v>#DIV/0!</v>
      </c>
      <c r="AE35" s="17"/>
      <c r="AF35" s="17" t="e">
        <f si="35" t="shared"/>
        <v>#DIV/0!</v>
      </c>
    </row>
    <row r="36" spans="1:32" x14ac:dyDescent="0.25">
      <c r="A36" t="str">
        <f>$A$10</f>
        <v>Redmond</v>
      </c>
      <c r="B36" s="17" t="e">
        <f si="36" t="shared"/>
        <v>#DIV/0!</v>
      </c>
      <c r="C36" s="17" t="e">
        <f si="36" t="shared"/>
        <v>#DIV/0!</v>
      </c>
      <c r="D36" s="17" t="e">
        <f si="36" t="shared"/>
        <v>#DIV/0!</v>
      </c>
      <c r="E36" s="17" t="e">
        <f si="36" t="shared"/>
        <v>#DIV/0!</v>
      </c>
      <c r="F36" s="17" t="e">
        <f si="36" t="shared"/>
        <v>#DIV/0!</v>
      </c>
      <c r="G36" s="17" t="e">
        <f si="36" t="shared"/>
        <v>#DIV/0!</v>
      </c>
      <c r="H36" s="17" t="e">
        <f ref="H36" si="46" t="shared">H23/$J$28</f>
        <v>#DIV/0!</v>
      </c>
      <c r="I36" s="12"/>
      <c r="J36" s="17" t="e">
        <f si="27" t="shared"/>
        <v>#DIV/0!</v>
      </c>
      <c r="K36" s="13"/>
      <c r="L36" t="str">
        <f>$A$10</f>
        <v>Redmond</v>
      </c>
      <c r="M36" s="17">
        <f si="38" t="shared"/>
        <v>1.3645463288257345E-2</v>
      </c>
      <c r="N36" s="17">
        <f si="38" t="shared"/>
        <v>3.9547800828246748E-3</v>
      </c>
      <c r="O36" s="17">
        <f si="38" t="shared"/>
        <v>1.4724931797216933E-2</v>
      </c>
      <c r="P36" s="17">
        <f si="38" t="shared"/>
        <v>4.4626209495397536E-2</v>
      </c>
      <c r="Q36" s="17">
        <f si="38" t="shared"/>
        <v>8.3315342191517348E-3</v>
      </c>
      <c r="R36" s="17">
        <f si="38" t="shared"/>
        <v>1.4670958371768954E-3</v>
      </c>
      <c r="S36" s="17">
        <f ref="S36" si="47" t="shared">S23/$U$28</f>
        <v>1.4386371219406882E-2</v>
      </c>
      <c r="T36" s="17"/>
      <c r="U36" s="17">
        <f ref="U36" si="48" t="shared">U23/$U$28</f>
        <v>0.101136385939432</v>
      </c>
      <c r="W36" t="str">
        <f>$A$10</f>
        <v>Redmond</v>
      </c>
      <c r="X36" s="17" t="e">
        <f ref="X36:X38" si="49" t="shared">M36-B36</f>
        <v>#DIV/0!</v>
      </c>
      <c r="Y36" s="17" t="e">
        <f ref="Y36:Y38" si="50" t="shared">N36-C36</f>
        <v>#DIV/0!</v>
      </c>
      <c r="Z36" s="17" t="e">
        <f ref="Z36:Z38" si="51" t="shared">O36-D36</f>
        <v>#DIV/0!</v>
      </c>
      <c r="AA36" s="17" t="e">
        <f si="41" t="shared"/>
        <v>#DIV/0!</v>
      </c>
      <c r="AB36" s="17" t="e">
        <f si="42" t="shared"/>
        <v>#DIV/0!</v>
      </c>
      <c r="AC36" s="17" t="e">
        <f si="43" t="shared"/>
        <v>#DIV/0!</v>
      </c>
      <c r="AD36" s="17" t="e">
        <f si="43" t="shared"/>
        <v>#DIV/0!</v>
      </c>
      <c r="AE36" s="17"/>
      <c r="AF36" s="17" t="e">
        <f si="35" t="shared"/>
        <v>#DIV/0!</v>
      </c>
    </row>
    <row r="37" spans="1:32" x14ac:dyDescent="0.25">
      <c r="A37" t="str">
        <f>$A$11</f>
        <v>Seattle</v>
      </c>
      <c r="B37" s="17" t="e">
        <f si="36" t="shared"/>
        <v>#DIV/0!</v>
      </c>
      <c r="C37" s="17" t="e">
        <f si="36" t="shared"/>
        <v>#DIV/0!</v>
      </c>
      <c r="D37" s="17" t="e">
        <f si="36" t="shared"/>
        <v>#DIV/0!</v>
      </c>
      <c r="E37" s="17" t="e">
        <f si="36" t="shared"/>
        <v>#DIV/0!</v>
      </c>
      <c r="F37" s="17" t="e">
        <f si="36" t="shared"/>
        <v>#DIV/0!</v>
      </c>
      <c r="G37" s="17" t="e">
        <f si="36" t="shared"/>
        <v>#DIV/0!</v>
      </c>
      <c r="H37" s="17" t="e">
        <f ref="H37" si="52" t="shared">H24/$J$28</f>
        <v>#DIV/0!</v>
      </c>
      <c r="I37" s="12"/>
      <c r="J37" s="17" t="e">
        <f si="27" t="shared"/>
        <v>#DIV/0!</v>
      </c>
      <c r="K37" s="13"/>
      <c r="L37" t="str">
        <f>$A$11</f>
        <v>Seattle</v>
      </c>
      <c r="M37" s="17">
        <f ref="M37:N39" si="53" t="shared">M24/$U$28</f>
        <v>7.0607053836038549E-3</v>
      </c>
      <c r="N37" s="17">
        <f si="53" t="shared"/>
        <v>4.0431002335577322E-3</v>
      </c>
      <c r="O37" s="17">
        <f ref="O37:R37" si="54" t="shared">O24/$U$28</f>
        <v>6.6583580302643714E-3</v>
      </c>
      <c r="P37" s="17">
        <f si="54" t="shared"/>
        <v>3.5475260544444664E-3</v>
      </c>
      <c r="Q37" s="17">
        <f si="54" t="shared"/>
        <v>8.9698926419501085E-2</v>
      </c>
      <c r="R37" s="17">
        <f si="54" t="shared"/>
        <v>8.8025750230613722E-3</v>
      </c>
      <c r="S37" s="17">
        <f ref="S37" si="55" t="shared">S24/$U$28</f>
        <v>1.1422739494808739E-2</v>
      </c>
      <c r="T37" s="17"/>
      <c r="U37" s="17">
        <f ref="U37" si="56" t="shared">U24/$U$28</f>
        <v>0.13123393063924163</v>
      </c>
      <c r="W37" t="str">
        <f>$A$11</f>
        <v>Seattle</v>
      </c>
      <c r="X37" s="17" t="e">
        <f si="49" t="shared"/>
        <v>#DIV/0!</v>
      </c>
      <c r="Y37" s="17" t="e">
        <f si="50" t="shared"/>
        <v>#DIV/0!</v>
      </c>
      <c r="Z37" s="17" t="e">
        <f si="51" t="shared"/>
        <v>#DIV/0!</v>
      </c>
      <c r="AA37" s="17" t="e">
        <f si="41" t="shared"/>
        <v>#DIV/0!</v>
      </c>
      <c r="AB37" s="17" t="e">
        <f si="42" t="shared"/>
        <v>#DIV/0!</v>
      </c>
      <c r="AC37" s="17" t="e">
        <f si="43" t="shared"/>
        <v>#DIV/0!</v>
      </c>
      <c r="AD37" s="17" t="e">
        <f si="43" t="shared"/>
        <v>#DIV/0!</v>
      </c>
      <c r="AE37" s="17"/>
      <c r="AF37" s="17" t="e">
        <f si="35" t="shared"/>
        <v>#DIV/0!</v>
      </c>
    </row>
    <row r="38" spans="1:32" x14ac:dyDescent="0.25">
      <c r="A38" t="str">
        <f>$A$12</f>
        <v>Seattle Downtown</v>
      </c>
      <c r="B38" s="17" t="e">
        <f si="36" t="shared"/>
        <v>#DIV/0!</v>
      </c>
      <c r="C38" s="17" t="e">
        <f si="36" t="shared"/>
        <v>#DIV/0!</v>
      </c>
      <c r="D38" s="17" t="e">
        <f si="36" t="shared"/>
        <v>#DIV/0!</v>
      </c>
      <c r="E38" s="17" t="e">
        <f si="36" t="shared"/>
        <v>#DIV/0!</v>
      </c>
      <c r="F38" s="17" t="e">
        <f si="36" t="shared"/>
        <v>#DIV/0!</v>
      </c>
      <c r="G38" s="17" t="e">
        <f si="36" t="shared"/>
        <v>#DIV/0!</v>
      </c>
      <c r="H38" s="17" t="e">
        <f ref="H38" si="57" t="shared">H25/$J$28</f>
        <v>#DIV/0!</v>
      </c>
      <c r="I38" s="12"/>
      <c r="J38" s="17" t="e">
        <f si="27" t="shared"/>
        <v>#DIV/0!</v>
      </c>
      <c r="K38" s="13"/>
      <c r="L38" t="str">
        <f>$A$12</f>
        <v>Seattle Downtown</v>
      </c>
      <c r="M38" s="17">
        <f si="53" t="shared"/>
        <v>6.3786775529430233E-4</v>
      </c>
      <c r="N38" s="17">
        <f si="53" t="shared"/>
        <v>3.6309395301367979E-4</v>
      </c>
      <c r="O38" s="17">
        <f ref="O38:R39" si="58" t="shared">O25/$U$28</f>
        <v>3.2874722772860198E-4</v>
      </c>
      <c r="P38" s="17">
        <f si="58" t="shared"/>
        <v>2.1589370179191773E-4</v>
      </c>
      <c r="Q38" s="17">
        <f si="58" t="shared"/>
        <v>1.864536515475653E-3</v>
      </c>
      <c r="R38" s="17">
        <f si="58" t="shared"/>
        <v>5.2305155934132793E-3</v>
      </c>
      <c r="S38" s="17">
        <f ref="S38" si="59" t="shared">S25/$U$28</f>
        <v>2.6005377715844637E-4</v>
      </c>
      <c r="T38" s="17"/>
      <c r="U38" s="17">
        <f ref="U38:U39" si="60" t="shared">U25/$U$28</f>
        <v>8.9007085238758804E-3</v>
      </c>
      <c r="W38" t="str">
        <f>$A$12</f>
        <v>Seattle Downtown</v>
      </c>
      <c r="X38" s="17" t="e">
        <f si="49" t="shared"/>
        <v>#DIV/0!</v>
      </c>
      <c r="Y38" s="17" t="e">
        <f si="50" t="shared"/>
        <v>#DIV/0!</v>
      </c>
      <c r="Z38" s="17" t="e">
        <f si="51" t="shared"/>
        <v>#DIV/0!</v>
      </c>
      <c r="AA38" s="17" t="e">
        <f si="41" t="shared"/>
        <v>#DIV/0!</v>
      </c>
      <c r="AB38" s="17" t="e">
        <f si="42" t="shared"/>
        <v>#DIV/0!</v>
      </c>
      <c r="AC38" s="17" t="e">
        <f si="43" t="shared"/>
        <v>#DIV/0!</v>
      </c>
      <c r="AD38" s="17" t="e">
        <f si="43" t="shared"/>
        <v>#DIV/0!</v>
      </c>
      <c r="AE38" s="17"/>
      <c r="AF38" s="17" t="e">
        <f si="35" t="shared"/>
        <v>#DIV/0!</v>
      </c>
    </row>
    <row r="39" spans="1:32" x14ac:dyDescent="0.25">
      <c r="A39" t="str">
        <f>$A$13</f>
        <v>Rest</v>
      </c>
      <c r="B39" s="17" t="e">
        <f si="36" t="shared"/>
        <v>#DIV/0!</v>
      </c>
      <c r="C39" s="17" t="e">
        <f si="36" t="shared"/>
        <v>#DIV/0!</v>
      </c>
      <c r="D39" s="17" t="e">
        <f si="36" t="shared"/>
        <v>#DIV/0!</v>
      </c>
      <c r="E39" s="17" t="e">
        <f si="36" t="shared"/>
        <v>#DIV/0!</v>
      </c>
      <c r="F39" s="17" t="e">
        <f si="36" t="shared"/>
        <v>#DIV/0!</v>
      </c>
      <c r="G39" s="17" t="e">
        <f si="36" t="shared"/>
        <v>#DIV/0!</v>
      </c>
      <c r="H39" s="17" t="e">
        <f ref="H39" si="61" t="shared">H26/$J$28</f>
        <v>#DIV/0!</v>
      </c>
      <c r="I39" s="12"/>
      <c r="J39" s="17" t="e">
        <f si="27" t="shared"/>
        <v>#DIV/0!</v>
      </c>
      <c r="K39" s="13"/>
      <c r="L39" t="str">
        <f>$A$13</f>
        <v>Rest</v>
      </c>
      <c r="M39" s="17">
        <f si="53" t="shared"/>
        <v>3.5543953995014817E-2</v>
      </c>
      <c r="N39" s="17">
        <f si="53" t="shared"/>
        <v>1.5765146905850718E-2</v>
      </c>
      <c r="O39" s="17">
        <f si="58" t="shared"/>
        <v>2.8767835763773036E-2</v>
      </c>
      <c r="P39" s="17">
        <f si="58" t="shared"/>
        <v>2.8041647857745676E-2</v>
      </c>
      <c r="Q39" s="17">
        <f si="58" t="shared"/>
        <v>4.111303016623815E-2</v>
      </c>
      <c r="R39" s="17">
        <f si="58" t="shared"/>
        <v>8.6455614217581592E-3</v>
      </c>
      <c r="S39" s="17">
        <f ref="S39" si="62" t="shared">S26/$U$28</f>
        <v>0.31869345057015563</v>
      </c>
      <c r="T39" s="17"/>
      <c r="U39" s="17">
        <f si="60" t="shared"/>
        <v>0.47657062668053618</v>
      </c>
      <c r="W39" t="str">
        <f>$A$13</f>
        <v>Rest</v>
      </c>
      <c r="X39" s="17" t="e">
        <f ref="X39" si="63" t="shared">M39-B39</f>
        <v>#DIV/0!</v>
      </c>
      <c r="Y39" s="17" t="e">
        <f ref="Y39" si="64" t="shared">N39-C39</f>
        <v>#DIV/0!</v>
      </c>
      <c r="Z39" s="17" t="e">
        <f ref="Z39" si="65" t="shared">O39-D39</f>
        <v>#DIV/0!</v>
      </c>
      <c r="AA39" s="17" t="e">
        <f ref="AA39" si="66" t="shared">P39-E39</f>
        <v>#DIV/0!</v>
      </c>
      <c r="AB39" s="17" t="e">
        <f ref="AB39" si="67" t="shared">Q39-F39</f>
        <v>#DIV/0!</v>
      </c>
      <c r="AC39" s="17" t="e">
        <f ref="AC39:AD39" si="68" t="shared">R39-G39</f>
        <v>#DIV/0!</v>
      </c>
      <c r="AD39" s="17" t="e">
        <f si="68" t="shared"/>
        <v>#DIV/0!</v>
      </c>
      <c r="AE39" s="17"/>
      <c r="AF39" s="17" t="e">
        <f si="35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 t="e">
        <f ref="B41:H41" si="69" t="shared">B28/$J$28</f>
        <v>#DIV/0!</v>
      </c>
      <c r="C41" s="19" t="e">
        <f si="69" t="shared"/>
        <v>#DIV/0!</v>
      </c>
      <c r="D41" s="19" t="e">
        <f si="69" t="shared"/>
        <v>#DIV/0!</v>
      </c>
      <c r="E41" s="19" t="e">
        <f si="69" t="shared"/>
        <v>#DIV/0!</v>
      </c>
      <c r="F41" s="19" t="e">
        <f si="69" t="shared"/>
        <v>#DIV/0!</v>
      </c>
      <c r="G41" s="19" t="e">
        <f si="69" t="shared"/>
        <v>#DIV/0!</v>
      </c>
      <c r="H41" s="19" t="e">
        <f si="69" t="shared"/>
        <v>#DIV/0!</v>
      </c>
      <c r="I41" s="19" t="e">
        <f>I28/$J$28</f>
        <v>#DIV/0!</v>
      </c>
      <c r="J41" s="19" t="e">
        <f>J28/$J$28</f>
        <v>#DIV/0!</v>
      </c>
      <c r="K41" s="12"/>
      <c r="L41" s="16" t="s">
        <v>4</v>
      </c>
      <c r="M41" s="19">
        <f>M28/$U$28</f>
        <v>0.13236246589860848</v>
      </c>
      <c r="N41" s="19">
        <f>N28/$U$28</f>
        <v>5.8595513336342761E-2</v>
      </c>
      <c r="O41" s="19">
        <f>O28/$U$28</f>
        <v>0.1121273380306569</v>
      </c>
      <c r="P41" s="19">
        <f>P28/$U$28</f>
        <v>0.10422268454004828</v>
      </c>
      <c r="Q41" s="19">
        <f ref="Q41:S41" si="70" t="shared">Q28/$U$28</f>
        <v>0.17768051657474829</v>
      </c>
      <c r="R41" s="19">
        <f si="70" t="shared"/>
        <v>3.1849227689348593E-2</v>
      </c>
      <c r="S41" s="19">
        <f si="70" t="shared"/>
        <v>0.38316225393024672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F41" si="71" t="shared">M41-B41</f>
        <v>#DIV/0!</v>
      </c>
      <c r="Y41" s="19" t="e">
        <f si="71" t="shared"/>
        <v>#DIV/0!</v>
      </c>
      <c r="Z41" s="19" t="e">
        <f si="71" t="shared"/>
        <v>#DIV/0!</v>
      </c>
      <c r="AA41" s="19" t="e">
        <f si="71" t="shared"/>
        <v>#DIV/0!</v>
      </c>
      <c r="AB41" s="19" t="e">
        <f si="71" t="shared"/>
        <v>#DIV/0!</v>
      </c>
      <c r="AC41" s="19" t="e">
        <f si="71" t="shared"/>
        <v>#DIV/0!</v>
      </c>
      <c r="AD41" s="19" t="e">
        <f si="71" t="shared"/>
        <v>#DIV/0!</v>
      </c>
      <c r="AE41" s="19" t="e">
        <f si="71" t="shared"/>
        <v>#DIV/0!</v>
      </c>
      <c r="AF41" s="19" t="e">
        <f si="71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workbookViewId="0">
      <selection activeCell="Q28" sqref="Q28"/>
    </sheetView>
  </sheetViews>
  <sheetFormatPr defaultColWidth="9.140625"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17690.655125531299</v>
      </c>
      <c r="F4" s="391" t="s">
        <v>47</v>
      </c>
      <c r="G4" s="392">
        <f>TLFD!F11</f>
        <v>24148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28254.101136992245</v>
      </c>
      <c r="F5" s="394" t="s">
        <v>50</v>
      </c>
      <c r="G5" s="395">
        <f>TLFD!F12+TLFD!F13+(TLFD!F14/2)</f>
        <v>37995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ref="Q5:Q68" si="0" t="shared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20721.161616122547</v>
      </c>
      <c r="F6" s="394" t="s">
        <v>53</v>
      </c>
      <c r="G6" s="395">
        <f>(TLFD!F14/2)+SUM(TLFD!F15:F20)</f>
        <v>80446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si="0" t="shared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13682.221619162001</v>
      </c>
      <c r="F7" s="397" t="s">
        <v>56</v>
      </c>
      <c r="G7" s="398">
        <f>SUM(TLFD!F21:F101)</f>
        <v>61215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si="0" t="shared"/>
        <v>-0.34490013167299999</v>
      </c>
      <c r="T7" s="410">
        <v>5</v>
      </c>
      <c r="U7" s="410" t="s">
        <v>276</v>
      </c>
      <c r="V7" s="410"/>
      <c r="W7" s="410"/>
    </row>
    <row ht="15.75" r="8" spans="3:23" thickBot="1" x14ac:dyDescent="0.3">
      <c r="C8" s="400" t="s">
        <v>4</v>
      </c>
      <c r="D8" s="401">
        <f>SUM(D4:D7)</f>
        <v>80348.139497808079</v>
      </c>
      <c r="E8" s="402"/>
      <c r="F8" s="400" t="s">
        <v>4</v>
      </c>
      <c r="G8" s="401">
        <f>SUM(G4:G7)</f>
        <v>203804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si="0" t="shared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si="0" t="shared"/>
        <v>-3.9895313632499998</v>
      </c>
      <c r="T9" s="410"/>
      <c r="U9" s="463" t="s">
        <v>277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si="0" t="shared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si="0" t="shared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0.22017504370482535</v>
      </c>
      <c r="F12" s="391" t="s">
        <v>47</v>
      </c>
      <c r="G12" s="405">
        <f>G4/G$8</f>
        <v>0.11848638888343703</v>
      </c>
      <c r="H12" s="405"/>
      <c r="I12" s="441">
        <f>D12/G12</f>
        <v>1.8582306860699944</v>
      </c>
      <c r="J12" s="442">
        <f>LN(I12)</f>
        <v>0.6196247909569792</v>
      </c>
      <c r="K12" s="442">
        <f>K8*J12</f>
        <v>0.6196247909569792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si="0" t="shared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ref="D13:D16" si="1" t="shared">D5/D$8</f>
        <v>0.35164599097858423</v>
      </c>
      <c r="F13" s="394" t="s">
        <v>50</v>
      </c>
      <c r="G13" s="406">
        <f ref="G13:G16" si="2" t="shared">G5/G$8</f>
        <v>0.18642911817236169</v>
      </c>
      <c r="H13" s="406"/>
      <c r="I13" s="441">
        <f ref="I13:I15" si="3" t="shared">D13/G13</f>
        <v>1.8862181746387519</v>
      </c>
      <c r="J13" s="442">
        <f ref="J13:J15" si="4" t="shared">LN(I13)</f>
        <v>0.63457385866533733</v>
      </c>
      <c r="K13" s="442">
        <f>K8*(J13-J12)</f>
        <v>1.4949067708358132E-2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si="0" t="shared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si="1" t="shared"/>
        <v>0.25789223926818899</v>
      </c>
      <c r="F14" s="394" t="s">
        <v>53</v>
      </c>
      <c r="G14" s="406">
        <f si="2" t="shared"/>
        <v>0.39472238032619578</v>
      </c>
      <c r="H14" s="406"/>
      <c r="I14" s="441">
        <f si="3" t="shared"/>
        <v>0.6533509426424432</v>
      </c>
      <c r="J14" s="442">
        <f si="4" t="shared"/>
        <v>-0.42564086276476232</v>
      </c>
      <c r="K14" s="442">
        <f>K8*(J14-J13-J12)</f>
        <v>-1.6798395123870788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si="0" t="shared"/>
        <v>-0.80534348065299999</v>
      </c>
      <c r="T14" s="410">
        <v>5</v>
      </c>
      <c r="U14" s="383" t="s">
        <v>281</v>
      </c>
      <c r="V14" s="410"/>
      <c r="W14" s="410"/>
    </row>
    <row ht="15.75" r="15" spans="3:23" thickBot="1" x14ac:dyDescent="0.3">
      <c r="C15" s="397" t="s">
        <v>56</v>
      </c>
      <c r="D15" s="406">
        <f si="1" t="shared"/>
        <v>0.17028672604840162</v>
      </c>
      <c r="F15" s="397" t="s">
        <v>56</v>
      </c>
      <c r="G15" s="406">
        <f si="2" t="shared"/>
        <v>0.30036211261800555</v>
      </c>
      <c r="H15" s="406"/>
      <c r="I15" s="443">
        <f si="3" t="shared"/>
        <v>0.56693810202676531</v>
      </c>
      <c r="J15" s="444">
        <f si="4" t="shared"/>
        <v>-0.56750514871488611</v>
      </c>
      <c r="K15" s="444">
        <f>K8*(J15-J14-J13-J12)</f>
        <v>-1.3960629355724403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si="0" t="shared"/>
        <v>-0.51977799879300002</v>
      </c>
      <c r="T15" s="410">
        <v>6</v>
      </c>
      <c r="U15" s="410" t="s">
        <v>282</v>
      </c>
      <c r="V15" s="410"/>
      <c r="W15" s="410"/>
    </row>
    <row ht="15.75" r="16" spans="3:23" thickBot="1" x14ac:dyDescent="0.3">
      <c r="C16" s="400" t="s">
        <v>4</v>
      </c>
      <c r="D16" s="408">
        <f si="1" t="shared"/>
        <v>1</v>
      </c>
      <c r="E16" s="402"/>
      <c r="F16" s="400" t="s">
        <v>4</v>
      </c>
      <c r="G16" s="408">
        <f si="2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si="0" t="shared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si="0" t="shared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si="0" t="shared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si="0" t="shared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si="0" t="shared"/>
        <v>-12.0946718381</v>
      </c>
    </row>
    <row r="24" spans="2:23" x14ac:dyDescent="0.25">
      <c r="B24" s="448">
        <v>28</v>
      </c>
      <c r="C24" s="394" t="s">
        <v>50</v>
      </c>
      <c r="D24" s="465">
        <f ref="D24:D26" si="5" t="shared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si="0" t="shared"/>
        <v>-4.03623745316</v>
      </c>
    </row>
    <row r="25" spans="2:23" x14ac:dyDescent="0.25">
      <c r="B25" s="448">
        <v>29</v>
      </c>
      <c r="C25" s="394" t="s">
        <v>53</v>
      </c>
      <c r="D25" s="465">
        <f si="5" t="shared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si="0" t="shared"/>
        <v>-2.16371815818</v>
      </c>
    </row>
    <row ht="15.75" r="26" spans="2:23" thickBot="1" x14ac:dyDescent="0.3">
      <c r="B26" s="449">
        <v>30</v>
      </c>
      <c r="C26" s="414" t="s">
        <v>56</v>
      </c>
      <c r="D26" s="466">
        <f si="5" t="shared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si="0" t="shared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si="0" t="shared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si="0" t="shared"/>
        <v>-14.21886625914302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si="0" t="shared"/>
        <v>-5.1730941670916426</v>
      </c>
      <c r="R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si="0" t="shared"/>
        <v>-4.2954703830870784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si="0" t="shared"/>
        <v>-2.3065246274724402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0.6196247909569792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si="0" t="shared"/>
        <v>5.7553461640599997E-2</v>
      </c>
    </row>
    <row r="34" spans="2:17" x14ac:dyDescent="0.25">
      <c r="B34" s="448">
        <f ref="B34:B36" si="6" t="shared">B24</f>
        <v>28</v>
      </c>
      <c r="C34" s="394" t="s">
        <v>50</v>
      </c>
      <c r="D34" s="468">
        <f ref="D34:D36" si="7" t="shared">K13</f>
        <v>1.4949067708358132E-2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si="0" t="shared"/>
        <v>0.237798002151</v>
      </c>
    </row>
    <row r="35" spans="2:17" x14ac:dyDescent="0.25">
      <c r="B35" s="448">
        <f si="6" t="shared"/>
        <v>29</v>
      </c>
      <c r="C35" s="394" t="s">
        <v>53</v>
      </c>
      <c r="D35" s="468">
        <f si="7" t="shared"/>
        <v>-1.6798395123870788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si="0" t="shared"/>
        <v>0</v>
      </c>
    </row>
    <row ht="15.75" r="36" spans="2:17" thickBot="1" x14ac:dyDescent="0.3">
      <c r="B36" s="450">
        <f si="6" t="shared"/>
        <v>30</v>
      </c>
      <c r="C36" s="414" t="s">
        <v>56</v>
      </c>
      <c r="D36" s="415">
        <f si="7" t="shared"/>
        <v>-1.3960629355724403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si="0" t="shared"/>
        <v>0</v>
      </c>
    </row>
    <row ht="15.75" r="37" spans="2:17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si="0" t="shared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si="0" t="shared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si="0" t="shared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si="0" t="shared"/>
        <v>-7.1836373472300004</v>
      </c>
    </row>
    <row ht="15.75" r="41" spans="2:17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si="0" t="shared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si="0" t="shared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-14.21886625914302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si="0" t="shared"/>
        <v>-0.22141031751900001</v>
      </c>
    </row>
    <row r="44" spans="2:17" x14ac:dyDescent="0.25">
      <c r="B44" s="448">
        <f ref="B44:B46" si="8" t="shared">B34</f>
        <v>28</v>
      </c>
      <c r="C44" s="394" t="s">
        <v>50</v>
      </c>
      <c r="D44" s="469">
        <f ref="D44:D46" si="9" t="shared">D24+D34</f>
        <v>-5.1730941670916426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si="0" t="shared"/>
        <v>0.64228876129599999</v>
      </c>
    </row>
    <row r="45" spans="2:17" x14ac:dyDescent="0.25">
      <c r="B45" s="448">
        <f si="8" t="shared"/>
        <v>29</v>
      </c>
      <c r="C45" s="394" t="s">
        <v>53</v>
      </c>
      <c r="D45" s="469">
        <f si="9" t="shared"/>
        <v>-4.2954703830870784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si="0" t="shared"/>
        <v>0.74588429254199995</v>
      </c>
    </row>
    <row ht="15.75" r="46" spans="2:17" thickBot="1" x14ac:dyDescent="0.3">
      <c r="B46" s="450">
        <f si="8" t="shared"/>
        <v>30</v>
      </c>
      <c r="C46" s="414" t="s">
        <v>56</v>
      </c>
      <c r="D46" s="470">
        <f si="9" t="shared"/>
        <v>-2.3065246274724402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si="0" t="shared"/>
        <v>-32.156094092099998</v>
      </c>
    </row>
    <row ht="15.75" r="47" spans="2:17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si="0" t="shared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si="0" t="shared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si="0" t="shared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si="0" t="shared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si="0" t="shared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si="0" t="shared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si="0" t="shared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si="0" t="shared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si="0" t="shared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si="0" t="shared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si="0" t="shared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si="0" t="shared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si="0" t="shared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si="0" t="shared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si="0" t="shared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si="0" t="shared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si="0" t="shared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si="0" t="shared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si="0" t="shared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si="0" t="shared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si="0" t="shared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si="0" t="shared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ref="Q69:Q104" si="10" t="shared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si="10" t="shared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si="10" t="shared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si="10" t="shared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si="10" t="shared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si="10" t="shared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si="10" t="shared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si="10" t="shared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si="10" t="shared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si="10" t="shared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si="10" t="shared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si="10" t="shared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si="10" t="shared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si="10" t="shared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si="10" t="shared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si="10" t="shared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si="10" t="shared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si="10" t="shared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si="10" t="shared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si="10" t="shared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si="10" t="shared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si="10" t="shared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si="10" t="shared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si="10" t="shared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si="10" t="shared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si="10" t="shared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si="10" t="shared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si="10" t="shared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si="10" t="shared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si="10" t="shared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si="10" t="shared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si="10" t="shared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si="10" t="shared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si="10" t="shared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si="10" t="shared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2019-10-07T21:07:37Z</dcterms:modified>
</cp:coreProperties>
</file>