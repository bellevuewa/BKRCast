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inbkr\output\"/>
    </mc:Choice>
  </mc:AlternateContent>
  <bookViews>
    <workbookView activeTab="6" firstSheet="1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County_Flow!$M$7:$P$14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71027"/>
</workbook>
</file>

<file path=xl/calcChain.xml><?xml version="1.0" encoding="utf-8"?>
<calcChain xmlns="http://schemas.openxmlformats.org/spreadsheetml/2006/main">
  <c i="6" l="1" r="P104"/>
  <c i="6" r="O104"/>
  <c i="6" r="N104"/>
  <c i="6" r="M104" s="1"/>
  <c i="6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M93" s="1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M85" s="1"/>
  <c i="6" r="P84"/>
  <c i="6" r="O84"/>
  <c i="6" r="N84"/>
  <c i="6" r="M84" s="1"/>
  <c i="6" r="P83"/>
  <c i="6" r="O83"/>
  <c i="6" r="N83"/>
  <c i="6" r="M83" s="1"/>
  <c i="6" r="P82"/>
  <c i="6" r="O82"/>
  <c i="6" r="N82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M55" s="1"/>
  <c i="6" r="P54"/>
  <c i="6" r="O54"/>
  <c i="6" r="N54"/>
  <c i="6" r="P53"/>
  <c i="6" r="O53"/>
  <c i="6" r="N53"/>
  <c i="6" r="M53" s="1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M47" s="1"/>
  <c i="6" r="P46"/>
  <c i="6" r="O46"/>
  <c i="6" r="N46"/>
  <c i="6" r="M46" s="1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P41"/>
  <c i="6" r="O41"/>
  <c i="6" r="N41"/>
  <c i="6" r="M41" s="1"/>
  <c i="6" r="P40"/>
  <c i="6" r="O40"/>
  <c i="6" r="N40"/>
  <c i="6" r="P39"/>
  <c i="6" r="O39"/>
  <c i="6" r="N39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M35" s="1"/>
  <c i="6" r="P34"/>
  <c i="6" r="O34"/>
  <c i="6" r="N34"/>
  <c i="6" r="M34" s="1"/>
  <c i="6" r="P33"/>
  <c i="6" r="O33"/>
  <c i="6" r="N33"/>
  <c i="6" r="M33" s="1"/>
  <c i="6" r="P32"/>
  <c i="6" r="O32"/>
  <c i="6" r="N32"/>
  <c i="6" r="R32" s="1"/>
  <c i="6" r="P31"/>
  <c i="6" r="O31"/>
  <c i="6" r="N31"/>
  <c i="6" r="M31" s="1"/>
  <c i="6" r="P30"/>
  <c i="6" r="O30"/>
  <c i="6" r="N30"/>
  <c i="6" r="R30" s="1"/>
  <c i="6" r="P29"/>
  <c i="6" r="O29"/>
  <c i="6" r="N29"/>
  <c i="6" r="R29" s="1"/>
  <c i="6" r="P28"/>
  <c i="6" r="O28"/>
  <c i="6" r="N28"/>
  <c i="6" r="M28" s="1"/>
  <c i="6" r="P27"/>
  <c i="6" r="O27"/>
  <c i="6" r="N27"/>
  <c i="6" r="M27" s="1"/>
  <c i="6" r="P26"/>
  <c i="6" r="O26"/>
  <c i="6" r="N26"/>
  <c i="6" r="M26" s="1"/>
  <c i="6" r="P25"/>
  <c i="6" r="O25"/>
  <c i="6" r="N25"/>
  <c i="6" r="P24"/>
  <c i="6" r="O24"/>
  <c i="6" r="N24"/>
  <c i="6" r="M24" s="1"/>
  <c i="6" r="P23"/>
  <c i="6" r="O23"/>
  <c i="6" r="N23"/>
  <c i="6" r="M23" s="1"/>
  <c i="6" r="P22"/>
  <c i="6" r="O22"/>
  <c i="6" r="N22"/>
  <c i="6" r="M22" s="1"/>
  <c i="6" r="P21"/>
  <c i="6" r="O21"/>
  <c i="6" r="N21"/>
  <c i="6" r="M21" s="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M12" s="1"/>
  <c i="6" r="P11"/>
  <c i="6" r="O11"/>
  <c i="6" r="N11"/>
  <c i="6" r="M11" s="1"/>
  <c i="6" r="P10"/>
  <c i="6" r="O10"/>
  <c i="6" r="N10"/>
  <c i="6" r="M10" s="1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M5" s="1"/>
  <c i="6" r="P4"/>
  <c i="6" r="O4"/>
  <c i="6" r="N4"/>
  <c i="6" r="M4" s="1"/>
  <c i="6" r="P3"/>
  <c i="6" r="O3"/>
  <c i="6" r="N3"/>
  <c i="6" r="M3" s="1"/>
  <c i="6" r="B36"/>
  <c i="6" r="B46" s="1"/>
  <c i="6" r="B35"/>
  <c i="6" r="B45" s="1"/>
  <c i="6" r="B34"/>
  <c i="6" r="B44" s="1"/>
  <c i="6" r="B33"/>
  <c i="6" r="B43" s="1"/>
  <c i="6" l="1" r="M30"/>
  <c i="6" r="M32"/>
  <c i="6" r="D26"/>
  <c i="6" r="R31"/>
  <c i="6" r="D23"/>
  <c i="6" r="D24"/>
  <c i="6" r="D25"/>
  <c i="6" r="Q53"/>
  <c i="6" r="M29"/>
  <c i="6" r="M42"/>
  <c i="6" r="M39"/>
  <c i="6" r="Q95"/>
  <c i="6" r="Q99"/>
  <c i="6" r="Q22"/>
  <c i="6" r="Q93"/>
  <c i="6" r="Q16"/>
  <c i="6" r="Q63"/>
  <c i="6" r="Q9"/>
  <c i="6" r="Q54"/>
  <c i="6" r="Q66"/>
  <c i="6" r="Q55"/>
  <c i="6" r="Q74"/>
  <c i="6" r="Q19"/>
  <c i="6" r="Q75"/>
  <c i="6" r="Q60"/>
  <c i="6" r="Q77"/>
  <c i="6" r="Q17"/>
  <c i="6" r="Q78"/>
  <c i="6" r="Q23"/>
  <c i="6" r="Q79"/>
  <c i="6" r="Q28"/>
  <c i="6" r="Q12"/>
  <c i="6" r="Q21"/>
  <c i="6" r="Q26"/>
  <c i="6" r="Q80"/>
  <c i="6" r="Q46"/>
  <c i="6" r="Q56"/>
  <c i="6" r="Q20"/>
  <c i="6" r="Q27"/>
  <c i="6" r="Q84"/>
  <c i="6" r="Q18"/>
  <c i="6" r="Q85"/>
  <c i="6" r="Q61"/>
  <c i="6" r="Q15"/>
  <c i="6" r="Q86"/>
  <c i="6" r="Q44"/>
  <c i="6" r="Q87"/>
  <c i="6" r="Q59"/>
  <c i="6" r="Q45"/>
  <c i="6" r="Q88"/>
  <c i="6" r="Q11"/>
  <c i="6" r="Q13"/>
  <c i="6" r="Q14"/>
  <c i="6" r="Q47"/>
  <c i="6" r="Q89"/>
  <c i="6" r="Q48"/>
  <c i="6" r="Q91"/>
  <c i="6" r="Q50"/>
  <c i="6" r="Q8"/>
  <c i="6" r="Q62"/>
  <c i="6" r="Q104"/>
  <c i="6" r="Q49"/>
  <c i="6" r="Q81"/>
  <c i="6" r="Q90"/>
  <c i="6" r="Q25"/>
  <c i="6" r="Q64"/>
  <c i="6" r="Q92"/>
  <c i="6" r="Q82"/>
  <c i="6" r="Q65"/>
  <c i="6" r="Q94"/>
  <c i="6" r="Q33"/>
  <c i="6" r="Q67"/>
  <c i="6" r="Q96"/>
  <c i="6" r="Q34"/>
  <c i="6" r="Q68"/>
  <c i="6" r="Q97"/>
  <c i="6" r="Q57"/>
  <c i="6" r="Q83"/>
  <c i="6" r="Q3"/>
  <c i="6" r="Q35"/>
  <c i="6" r="Q69"/>
  <c i="6" r="Q98"/>
  <c i="6" r="Q51"/>
  <c i="6" r="Q4"/>
  <c i="6" r="Q36"/>
  <c i="6" r="Q70"/>
  <c i="6" r="Q101"/>
  <c i="6" r="Q5"/>
  <c i="6" r="Q37"/>
  <c i="6" r="Q71"/>
  <c i="6" r="Q102"/>
  <c i="6" r="Q6"/>
  <c i="6" r="Q38"/>
  <c i="6" r="Q72"/>
  <c i="6" r="Q103"/>
  <c i="6" r="Q58"/>
  <c i="6" r="Q7"/>
  <c i="6" r="Q43"/>
  <c i="6" r="Q73"/>
  <c i="6" r="M40"/>
  <c i="6" r="M82"/>
  <c i="6" r="M25"/>
  <c i="6" r="M54"/>
  <c i="6" r="Q24"/>
  <c i="6" r="Q52"/>
  <c i="6" r="Q76"/>
  <c i="6" r="Q100"/>
  <c i="6" r="Q10"/>
  <c i="6" l="1" r="D5"/>
  <c i="6" r="G7"/>
  <c i="6" r="D7"/>
  <c i="6" r="G6"/>
  <c i="6" r="D6"/>
  <c i="6" r="G5"/>
  <c i="6" r="G4"/>
  <c i="6" r="D4"/>
  <c i="6" l="1" r="G8"/>
  <c i="6" r="G16" s="1"/>
  <c i="6" r="D8"/>
  <c i="1" r="H15"/>
  <c i="1" r="J13"/>
  <c i="6" l="1" r="G13"/>
  <c i="6" r="G14"/>
  <c i="6" r="G15"/>
  <c i="6" r="G12"/>
  <c i="6" r="D13"/>
  <c i="6" r="D16"/>
  <c i="6" r="D12"/>
  <c i="6" r="D15"/>
  <c i="6" r="D14"/>
  <c i="1" r="S15"/>
  <c i="1" r="U13"/>
  <c i="6" l="1" r="I13"/>
  <c i="6" r="J13" s="1"/>
  <c i="6" r="I15"/>
  <c i="6" r="J15" s="1"/>
  <c i="6" r="I14"/>
  <c i="6" r="J14" s="1"/>
  <c i="6" r="I12"/>
  <c i="6" r="J12" s="1"/>
  <c i="6" r="K12" s="1"/>
  <c i="6" r="D33" s="1"/>
  <c i="6" r="D43" s="1"/>
  <c i="1" r="D26"/>
  <c i="1" r="E26"/>
  <c i="1" r="F26"/>
  <c i="1" r="G26"/>
  <c i="1" r="H26"/>
  <c i="1" r="B26"/>
  <c i="1" r="C26"/>
  <c i="1" r="S28"/>
  <c i="1" r="U26"/>
  <c i="1" r="N26"/>
  <c i="1" r="O26"/>
  <c i="1" r="P26"/>
  <c i="1" r="Q26"/>
  <c i="1" r="R26"/>
  <c i="1" r="S26"/>
  <c i="1" r="M26"/>
  <c i="1" r="S21"/>
  <c i="1" r="S22"/>
  <c i="1" r="S23"/>
  <c i="1" r="S24"/>
  <c i="1" r="S25"/>
  <c i="1" r="S20"/>
  <c i="1" r="W39"/>
  <c i="1" r="L39"/>
  <c i="1" r="A39"/>
  <c i="1" r="L26"/>
  <c i="1" r="A26"/>
  <c i="1" r="L13"/>
  <c i="1" r="AD32"/>
  <c i="1" r="S32"/>
  <c i="1" r="H32"/>
  <c i="1" r="S19"/>
  <c i="1" r="H19"/>
  <c i="1" r="S6"/>
  <c i="1" r="H6"/>
  <c i="6" l="1" r="Q39"/>
  <c i="6" r="Q29"/>
  <c i="6" r="K13"/>
  <c i="6" r="D34" s="1"/>
  <c i="6" r="D44" s="1"/>
  <c i="6" r="K15"/>
  <c i="6" r="D36" s="1"/>
  <c i="6" r="D46" s="1"/>
  <c i="6" r="Q32" s="1"/>
  <c i="6" r="Q42"/>
  <c i="6" r="K14"/>
  <c i="6" r="D35" s="1"/>
  <c i="6" r="D45" s="1"/>
  <c i="6" r="Q31" s="1"/>
  <c i="6" r="Q40"/>
  <c i="6" r="Q30"/>
  <c i="6" r="Q41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5"/>
  <c i="1" r="H23"/>
  <c i="1" r="O21"/>
  <c i="1" r="P21"/>
  <c i="1" r="Q21"/>
  <c i="1" r="R21"/>
  <c i="1" r="O22"/>
  <c i="1" r="P22"/>
  <c i="1" r="Q22"/>
  <c i="1" r="R22"/>
  <c i="1" r="O23"/>
  <c i="1" r="P23"/>
  <c i="1" r="Q23"/>
  <c i="1" r="R23"/>
  <c i="1" r="O24"/>
  <c i="1" r="P24"/>
  <c i="1" r="Q24"/>
  <c i="1" r="R24"/>
  <c i="1" r="O25"/>
  <c i="1" r="P25"/>
  <c i="1" r="Q25"/>
  <c i="1" r="R25"/>
  <c i="1" r="Q20"/>
  <c i="1" r="R20"/>
  <c i="1" r="E23"/>
  <c i="1" r="F23"/>
  <c i="1" r="G23"/>
  <c i="1" r="E24"/>
  <c i="1" r="F24"/>
  <c i="1" r="G24"/>
  <c i="1" r="E25"/>
  <c i="1" r="F25"/>
  <c i="1" r="G25"/>
  <c i="1" l="1" r="U23"/>
  <c i="1" r="U24"/>
  <c i="1" r="U25"/>
  <c i="1" r="M23"/>
  <c i="1" r="N23"/>
  <c i="1" r="M24"/>
  <c i="1" r="N24"/>
  <c i="1" r="M25"/>
  <c i="1" r="N25"/>
  <c i="1" r="B23"/>
  <c i="1" r="C23"/>
  <c i="1" r="D23"/>
  <c i="1" r="B24"/>
  <c i="1" r="C24"/>
  <c i="1" r="D24"/>
  <c i="1" r="B25"/>
  <c i="1" r="C25"/>
  <c i="1" r="D25"/>
  <c i="1" r="U7"/>
  <c i="1" r="H20" s="1"/>
  <c i="1" r="M15"/>
  <c i="1" r="C15"/>
  <c i="1" r="D15"/>
  <c i="1" r="E15"/>
  <c i="1" r="I15"/>
  <c i="1" r="B15"/>
  <c i="1" r="J8"/>
  <c i="1" r="J9"/>
  <c i="1" r="J14"/>
  <c i="1" r="J7"/>
  <c i="1" l="1" r="J23"/>
  <c i="1" r="J24"/>
  <c i="1" r="J25"/>
  <c i="1" r="F20"/>
  <c i="1" r="G20"/>
  <c i="1" r="J15"/>
  <c i="1" r="N15"/>
  <c i="1" r="N28" s="1"/>
  <c i="1" r="O15"/>
  <c i="1" r="O28" s="1"/>
  <c i="1" r="P15"/>
  <c i="1" r="T15"/>
  <c i="1" r="M28"/>
  <c i="1" r="U8"/>
  <c i="1" r="H21" s="1"/>
  <c i="1" r="U9"/>
  <c i="1" r="H22" s="1"/>
  <c i="1" r="U14"/>
  <c i="1" r="D20"/>
  <c i="1" r="P28"/>
  <c i="1" r="N22"/>
  <c i="1" r="M22"/>
  <c i="1" r="N21"/>
  <c i="1" r="M21"/>
  <c i="1" r="P20"/>
  <c i="1" r="O20"/>
  <c i="1" r="N20"/>
  <c i="1" r="M20"/>
  <c i="1" r="I28"/>
  <c i="1" r="J27"/>
  <c i="4" r="F102"/>
  <c i="4" r="G101" s="1"/>
  <c i="4" r="B102"/>
  <c i="4" r="C102" s="1"/>
  <c i="3" r="F102"/>
  <c i="3" r="G101" s="1"/>
  <c i="3" r="B102"/>
  <c i="3" r="C13" s="1"/>
  <c i="1" l="1" r="H28"/>
  <c i="1" r="U22"/>
  <c i="1" r="F22"/>
  <c i="1" r="G22"/>
  <c i="1" r="E22"/>
  <c i="1" r="C21"/>
  <c i="1" r="E21"/>
  <c i="1" r="F21"/>
  <c i="1" r="F28" s="1"/>
  <c i="1" r="G21"/>
  <c i="1" r="G28" s="1"/>
  <c i="4" r="C11"/>
  <c i="4" r="C25"/>
  <c i="4" r="C49"/>
  <c i="4" r="C81"/>
  <c i="4" r="C41"/>
  <c i="4" r="C17"/>
  <c i="4" r="C97"/>
  <c i="4" r="C19"/>
  <c i="4" r="C73"/>
  <c i="4" r="C33"/>
  <c i="4" r="C65"/>
  <c i="4" r="C15"/>
  <c i="4" r="C27"/>
  <c i="4" r="C57"/>
  <c i="4" r="C89"/>
  <c i="1" r="B22"/>
  <c i="1" r="B21"/>
  <c i="1" r="U21"/>
  <c i="4" r="G30"/>
  <c i="1" r="C20"/>
  <c i="4" r="G46"/>
  <c i="4" r="G62"/>
  <c i="4" r="C35"/>
  <c i="4" r="C43"/>
  <c i="4" r="C51"/>
  <c i="4" r="C59"/>
  <c i="4" r="C67"/>
  <c i="4" r="C75"/>
  <c i="4" r="C83"/>
  <c i="4" r="C91"/>
  <c i="4" r="C101"/>
  <c i="1" r="U15"/>
  <c i="1" r="U28" s="1"/>
  <c i="4" r="C31"/>
  <c i="4" r="C47"/>
  <c i="4" r="C63"/>
  <c i="4" r="C79"/>
  <c i="4" r="C87"/>
  <c i="4" r="C95"/>
  <c i="4" r="G94"/>
  <c i="4" r="C23"/>
  <c i="4" r="C39"/>
  <c i="4" r="C55"/>
  <c i="4" r="C71"/>
  <c i="4" r="C13"/>
  <c i="4" r="C21"/>
  <c i="4" r="C29"/>
  <c i="4" r="C37"/>
  <c i="4" r="C45"/>
  <c i="4" r="C53"/>
  <c i="4" r="C61"/>
  <c i="4" r="C69"/>
  <c i="4" r="C77"/>
  <c i="4" r="C85"/>
  <c i="4" r="C93"/>
  <c i="4" r="G14"/>
  <c i="4" r="G78"/>
  <c i="1" r="D21"/>
  <c i="1" r="D22"/>
  <c i="1" r="C22"/>
  <c i="1" r="B20"/>
  <c i="1" r="U20"/>
  <c i="1" r="E20"/>
  <c i="4" r="C99"/>
  <c i="4" r="G22"/>
  <c i="4" r="G38"/>
  <c i="4" r="G54"/>
  <c i="4" r="G70"/>
  <c i="4" r="G86"/>
  <c i="4" r="G102"/>
  <c i="4" r="G18"/>
  <c i="4" r="G34"/>
  <c i="4" r="G50"/>
  <c i="4" r="G66"/>
  <c i="4" r="G82"/>
  <c i="4" r="G98"/>
  <c i="4" r="G26"/>
  <c i="4" r="G42"/>
  <c i="4" r="G58"/>
  <c i="4" r="G74"/>
  <c i="4" r="G90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88"/>
  <c i="4" r="G92"/>
  <c i="4" r="G96"/>
  <c i="4" r="G100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02"/>
  <c i="3" r="C98"/>
  <c i="3" r="C92"/>
  <c i="3" r="C82"/>
  <c i="3" r="C28"/>
  <c i="3" r="C11"/>
  <c i="3" r="C100"/>
  <c i="3" r="C96"/>
  <c i="3" r="C94"/>
  <c i="3" r="C90"/>
  <c i="3" r="C88"/>
  <c i="3" r="C86"/>
  <c i="3" r="C84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S35"/>
  <c i="1" r="S37"/>
  <c i="1" r="M39"/>
  <c i="1" r="S34"/>
  <c i="1" r="N39"/>
  <c i="1" r="P39"/>
  <c i="1" r="S36"/>
  <c i="1" r="S38"/>
  <c i="1" r="S39"/>
  <c i="1" r="S33"/>
  <c i="1" r="O39"/>
  <c i="1" r="R39"/>
  <c i="1" r="Q39"/>
  <c i="1" r="P41"/>
  <c i="1" r="U39"/>
  <c i="1" r="S41"/>
  <c i="1" r="R41"/>
  <c i="1" r="Q41"/>
  <c i="1" r="R38"/>
  <c i="1" r="Q38"/>
  <c i="1" r="Q33"/>
  <c i="1" r="R33"/>
  <c i="1" r="P36"/>
  <c i="1" r="O34"/>
  <c i="1" r="O37"/>
  <c i="1" r="R34"/>
  <c i="1" r="Q36"/>
  <c i="1" r="O36"/>
  <c i="1" r="P37"/>
  <c i="1" r="R35"/>
  <c i="1" r="Q37"/>
  <c i="1" r="Q34"/>
  <c i="1" r="P35"/>
  <c i="1" r="O35"/>
  <c i="1" r="Q35"/>
  <c i="1" r="P38"/>
  <c i="1" r="R37"/>
  <c i="1" r="O38"/>
  <c i="1" r="P34"/>
  <c i="1" r="R36"/>
  <c i="1" r="P33"/>
  <c i="1" r="U41"/>
  <c i="1" r="U36"/>
  <c i="1" r="U37"/>
  <c i="1" r="U38"/>
  <c i="1" r="M36"/>
  <c i="1" r="N36"/>
  <c i="1" r="M37"/>
  <c i="1" r="N37"/>
  <c i="1" r="M38"/>
  <c i="1" r="N38"/>
  <c i="1" r="U35"/>
  <c i="1" r="M41"/>
  <c i="1" r="O41"/>
  <c i="1" r="U33"/>
  <c i="1" r="J22"/>
  <c i="1" r="B28"/>
  <c i="1" r="T41"/>
  <c i="1" r="N34"/>
  <c i="1" r="N41"/>
  <c i="1" r="M34"/>
  <c i="1" r="C28"/>
  <c i="1" r="J21"/>
  <c i="1" r="E28"/>
  <c i="1" r="U34"/>
  <c i="1" r="N33"/>
  <c i="1" r="M33"/>
  <c i="1" r="N35"/>
  <c i="1" r="M35"/>
  <c i="1" r="O33"/>
  <c i="1" r="D28"/>
  <c i="1" r="J20"/>
  <c i="1" l="1" r="J28"/>
  <c i="1" l="1" r="G39"/>
  <c i="1" r="AC39" s="1"/>
  <c i="1" r="F39"/>
  <c i="1" r="AB39" s="1"/>
  <c i="1" r="C39"/>
  <c i="1" r="Y39" s="1"/>
  <c i="1" r="B39"/>
  <c i="1" r="X39" s="1"/>
  <c i="1" r="E39"/>
  <c i="1" r="AA39" s="1"/>
  <c i="1" r="D39"/>
  <c i="1" r="Z39" s="1"/>
  <c i="1" r="H39"/>
  <c i="1" r="AD39" s="1"/>
  <c i="1" r="H36"/>
  <c i="1" r="AD36" s="1"/>
  <c i="1" r="H38"/>
  <c i="1" r="AD38" s="1"/>
  <c i="1" r="H37"/>
  <c i="1" r="AD37" s="1"/>
  <c i="1" r="H33"/>
  <c i="1" r="AD33" s="1"/>
  <c i="1" r="H35"/>
  <c i="1" r="AD35" s="1"/>
  <c i="1" r="H34"/>
  <c i="1" r="AD34" s="1"/>
  <c i="1" r="J39"/>
  <c i="1" r="AF39" s="1"/>
  <c i="1" r="H41"/>
  <c i="1" r="AD41" s="1"/>
  <c i="1" r="F41"/>
  <c i="1" r="AB41" s="1"/>
  <c i="1" r="G41"/>
  <c i="1" r="AC41" s="1"/>
  <c i="1" r="E37"/>
  <c i="1" r="AA37" s="1"/>
  <c i="1" r="G36"/>
  <c i="1" r="AC36" s="1"/>
  <c i="1" r="F36"/>
  <c i="1" r="AB36" s="1"/>
  <c i="1" r="G37"/>
  <c i="1" r="AC37" s="1"/>
  <c i="1" r="F38"/>
  <c i="1" r="AB38" s="1"/>
  <c i="1" r="F37"/>
  <c i="1" r="AB37" s="1"/>
  <c i="1" r="E36"/>
  <c i="1" r="AA36" s="1"/>
  <c i="1" r="E38"/>
  <c i="1" r="AA38" s="1"/>
  <c i="1" r="G38"/>
  <c i="1" r="AC38" s="1"/>
  <c i="1" r="G33"/>
  <c i="1" r="AC33" s="1"/>
  <c i="1" r="F33"/>
  <c i="1" r="AB33" s="1"/>
  <c i="1" r="F34"/>
  <c i="1" r="AB34" s="1"/>
  <c i="1" r="E35"/>
  <c i="1" r="AA35" s="1"/>
  <c i="1" r="E34"/>
  <c i="1" r="AA34" s="1"/>
  <c i="1" r="F35"/>
  <c i="1" r="AB35" s="1"/>
  <c i="1" r="G35"/>
  <c i="1" r="AC35" s="1"/>
  <c i="1" r="G34"/>
  <c i="1" r="AC34" s="1"/>
  <c i="1" r="J33"/>
  <c i="1" r="AF33" s="1"/>
  <c i="1" r="J37"/>
  <c i="1" r="AF37" s="1"/>
  <c i="1" r="C37"/>
  <c i="1" r="Y37" s="1"/>
  <c i="1" r="D38"/>
  <c i="1" r="Z38" s="1"/>
  <c i="1" r="C36"/>
  <c i="1" r="Y36" s="1"/>
  <c i="1" r="D37"/>
  <c i="1" r="Z37" s="1"/>
  <c i="1" r="C38"/>
  <c i="1" r="Y38" s="1"/>
  <c i="1" r="B38"/>
  <c i="1" r="X38" s="1"/>
  <c i="1" r="B36"/>
  <c i="1" r="X36" s="1"/>
  <c i="1" r="D36"/>
  <c i="1" r="Z36" s="1"/>
  <c i="1" r="B37"/>
  <c i="1" r="X37" s="1"/>
  <c i="1" r="J38"/>
  <c i="1" r="AF38" s="1"/>
  <c i="1" r="J36"/>
  <c i="1" r="AF36" s="1"/>
  <c i="1" r="J41"/>
  <c i="1" r="AF41" s="1"/>
  <c i="1" r="C33"/>
  <c i="1" r="Y33" s="1"/>
  <c i="1" r="C41"/>
  <c i="1" r="Y41" s="1"/>
  <c i="1" r="B34"/>
  <c i="1" r="X34" s="1"/>
  <c i="1" r="E41"/>
  <c i="1" r="AA41" s="1"/>
  <c i="1" r="E33"/>
  <c i="1" r="AA33" s="1"/>
  <c i="1" r="D41"/>
  <c i="1" r="Z41" s="1"/>
  <c i="1" r="D34"/>
  <c i="1" r="Z34" s="1"/>
  <c i="1" r="I41"/>
  <c i="1" r="AE41" s="1"/>
  <c i="1" r="J35"/>
  <c i="1" r="AF35" s="1"/>
  <c i="1" r="D33"/>
  <c i="1" r="Z33" s="1"/>
  <c i="1" r="J34"/>
  <c i="1" r="AF34" s="1"/>
  <c i="1" r="B35"/>
  <c i="1" r="X35" s="1"/>
  <c i="1" r="D35"/>
  <c i="1" r="Z35" s="1"/>
  <c i="1" r="B33"/>
  <c i="1" r="X33" s="1"/>
  <c i="1" r="C34"/>
  <c i="1" r="Y34" s="1"/>
  <c i="1" r="C35"/>
  <c i="1" r="Y35" s="1"/>
  <c i="1" r="B41"/>
  <c i="1" r="X41" s="1"/>
</calcChain>
</file>

<file path=xl/sharedStrings.xml><?xml version="1.0" encoding="utf-8"?>
<sst xmlns="http://schemas.openxmlformats.org/spreadsheetml/2006/main" count="716" uniqueCount="284">
  <si>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</si>
  <si>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</si>
  <si>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</si>
  <si>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</si>
  <si>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</si>
  <si>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</si>
  <si>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</si>
  <si>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</si>
  <si>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</si>
  <si>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</si>
  <si>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</si>
  <si>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</si>
  <si>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</si>
  <si>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</si>
  <si>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</si>
  <si>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</si>
  <si>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</si>
  <si>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</si>
  <si>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</si>
  <si>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Table X. Estimated Personal Business Tour Flows by County: DaySim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</si>
  <si>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</si>
  <si>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</si>
  <si>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</si>
  <si>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</si>
  <si>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</si>
  <si>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</si>
  <si>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</si>
  <si>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</si>
  <si>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</si>
  <si>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</si>
  <si>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</si>
  <si>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</si>
  <si>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</si>
  <si>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</si>
  <si>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Observed Trip Lengths: Survey</t>
  </si>
  <si>
    <t>Survey</t>
  </si>
  <si>
    <t>Table X. Observed Trip Durations: Survey</t>
  </si>
  <si>
    <t>Observed Sources: Survey &amp; CTPP, 6-county Tampa Region only</t>
  </si>
  <si>
    <t>Table X. Observed Personal Business Tour Flows by County: Survey</t>
  </si>
  <si>
    <t>Table X. Adjusted Observed Personal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</si>
  <si>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</si>
  <si>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</si>
  <si>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</si>
  <si>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</si>
  <si>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</si>
  <si>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</si>
  <si>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</si>
  <si>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</si>
  <si>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</si>
  <si>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</si>
  <si>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</si>
  <si>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</si>
  <si>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</si>
  <si>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</si>
  <si>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</si>
  <si>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</si>
  <si>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</si>
  <si>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</si>
  <si>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</si>
  <si>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</si>
  <si>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</si>
  <si>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</si>
  <si>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</si>
  <si>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</si>
  <si>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</si>
  <si>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</si>
  <si>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</si>
  <si>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</si>
  <si>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</si>
  <si>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</si>
  <si>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</si>
  <si>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</si>
  <si>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</si>
  <si>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</si>
  <si>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</si>
  <si>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</si>
  <si>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</si>
  <si>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</si>
  <si>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</si>
  <si>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</si>
  <si>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</si>
  <si>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</si>
  <si>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</si>
  <si>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</si>
  <si>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</si>
  <si>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</si>
  <si>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</si>
  <si>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</si>
  <si>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</si>
  <si>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</si>
  <si>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</si>
  <si>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</si>
  <si>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</si>
  <si>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</si>
  <si>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</si>
  <si>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</si>
  <si>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</si>
  <si>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</si>
  <si>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</si>
  <si>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</si>
  <si>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</si>
  <si>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</si>
  <si>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</si>
  <si>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</si>
  <si>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</si>
  <si>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</si>
  <si>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</si>
  <si>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</si>
  <si>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</si>
  <si>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</si>
  <si>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</si>
  <si>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</si>
  <si>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</si>
  <si>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</si>
  <si>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</si>
  <si>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</si>
  <si>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</si>
  <si>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</si>
  <si>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</si>
  <si>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</si>
  <si>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</si>
  <si>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</si>
  <si>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</si>
  <si>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</si>
  <si>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</si>
  <si>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</si>
  <si>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</si>
  <si>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</si>
  <si>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</si>
  <si>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</si>
  <si>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</si>
  <si>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</si>
  <si>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</si>
  <si>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</si>
  <si>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</si>
  <si>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</si>
  <si>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</si>
  <si>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</si>
  <si>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</si>
  <si>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</si>
  <si>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</si>
  <si>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</si>
  <si>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</si>
  <si>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</si>
  <si>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</si>
  <si>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</si>
  <si>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</si>
  <si>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</si>
  <si>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</si>
  <si>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</si>
  <si>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</si>
  <si>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</si>
  <si>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</si>
  <si>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</si>
  <si>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</si>
  <si>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</si>
  <si>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</si>
  <si>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</si>
  <si>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</si>
  <si>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</si>
  <si>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</si>
  <si>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</si>
  <si>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</si>
  <si>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</si>
  <si>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</si>
  <si>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</si>
  <si>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</si>
  <si>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</si>
  <si>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</si>
  <si>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</si>
  <si>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</si>
  <si>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</si>
  <si>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</si>
  <si>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</si>
  <si>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</si>
  <si>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</si>
  <si>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</si>
  <si>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</si>
  <si>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</si>
  <si>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</si>
  <si>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</si>
  <si>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</si>
  <si>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</si>
  <si>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</si>
  <si>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</si>
  <si>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</si>
  <si>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</si>
  <si>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</si>
  <si>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</si>
  <si>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</si>
  <si>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</si>
  <si>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</si>
  <si>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</si>
  <si>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</si>
  <si>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</si>
  <si>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</si>
  <si>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</si>
  <si>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</si>
  <si>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</si>
  <si>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</si>
  <si>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</si>
  <si>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</si>
  <si>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</si>
  <si>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</si>
  <si>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</si>
  <si>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</si>
  <si>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</si>
  <si>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</si>
  <si>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</si>
  <si>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</si>
  <si>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</si>
  <si>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</si>
  <si>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</si>
  <si>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</si>
  <si>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</si>
  <si>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</si>
  <si>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</si>
  <si>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</si>
  <si>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</si>
  <si>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</si>
  <si>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</si>
  <si>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</si>
  <si>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</si>
  <si>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</si>
  <si>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</si>
  <si>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</si>
  <si>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</si>
  <si>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</si>
  <si>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</si>
  <si>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</si>
  <si>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</si>
  <si>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</si>
  <si>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</si>
  <si>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</si>
  <si>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</si>
  <si>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</si>
  <si>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</si>
  <si>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</si>
  <si>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</si>
  <si>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</si>
  <si>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</si>
  <si>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</si>
  <si>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</si>
  <si>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</si>
  <si>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</si>
  <si>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</si>
  <si>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</si>
  <si>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</si>
  <si>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</si>
  <si>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</si>
  <si>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</si>
  <si>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</si>
  <si>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</si>
  <si>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</si>
  <si>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Damp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</si>
  <si>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</si>
  <si>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</si>
  <si>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</si>
  <si>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</si>
  <si>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</si>
  <si>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</si>
  <si>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</si>
  <si>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</si>
  <si>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</si>
  <si>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</si>
  <si>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</si>
  <si>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</si>
  <si>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</si>
  <si>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OtherTourDestinationModel.F12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</si>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</sst>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47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Alignment="1" applyFont="1" applyNumberFormat="1" borderId="0" fillId="0" fontId="2" numFmtId="169" xfId="8"/>
    <xf applyFont="1" applyNumberFormat="1" borderId="0" fillId="0" fontId="0" numFmtId="169" xfId="8"/>
    <xf applyBorder="1" applyFont="1" applyNumberFormat="1" borderId="3" fillId="0" fontId="0" numFmtId="169" xfId="8"/>
    <xf applyBorder="1" applyFont="1" applyNumberFormat="1" borderId="1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ill="1" applyFont="1" applyNumberFormat="1" borderId="0" fillId="5" fontId="0" numFmtId="170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1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1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0.22017504370482532</c:v>
                </c:pt>
                <c:pt idx="1">
                  <c:v>0.21312552537287996</c:v>
                </c:pt>
                <c:pt idx="2">
                  <c:v>8.9960640475372611E-2</c:v>
                </c:pt>
                <c:pt idx="3">
                  <c:v>9.7119650260663187E-2</c:v>
                </c:pt>
                <c:pt idx="4">
                  <c:v>7.0297075266330028E-2</c:v>
                </c:pt>
                <c:pt idx="5">
                  <c:v>7.4754269837235668E-2</c:v>
                </c:pt>
                <c:pt idx="6">
                  <c:v>3.0815675572712482E-2</c:v>
                </c:pt>
                <c:pt idx="7">
                  <c:v>7.7444035231453616E-3</c:v>
                </c:pt>
                <c:pt idx="8">
                  <c:v>9.7768522281269487E-3</c:v>
                </c:pt>
                <c:pt idx="9">
                  <c:v>1.5944137710306883E-2</c:v>
                </c:pt>
                <c:pt idx="10">
                  <c:v>2.4324964165888599E-3</c:v>
                </c:pt>
                <c:pt idx="11">
                  <c:v>2.594918675465881E-2</c:v>
                </c:pt>
                <c:pt idx="12">
                  <c:v>6.7079135969128831E-3</c:v>
                </c:pt>
                <c:pt idx="13">
                  <c:v>2.4734128896590256E-3</c:v>
                </c:pt>
                <c:pt idx="14">
                  <c:v>2.0181437918823694E-2</c:v>
                </c:pt>
                <c:pt idx="15">
                  <c:v>7.8907006965145184E-3</c:v>
                </c:pt>
                <c:pt idx="16">
                  <c:v>6.110714780637753E-3</c:v>
                </c:pt>
                <c:pt idx="17">
                  <c:v>0</c:v>
                </c:pt>
                <c:pt idx="18">
                  <c:v>9.5549183533110114E-3</c:v>
                </c:pt>
                <c:pt idx="19">
                  <c:v>4.4231264761543744E-2</c:v>
                </c:pt>
                <c:pt idx="20">
                  <c:v>1.0482144346341409E-2</c:v>
                </c:pt>
                <c:pt idx="21">
                  <c:v>2.3331249719492761E-3</c:v>
                </c:pt>
                <c:pt idx="22">
                  <c:v>1.6314597845426902E-2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5.126956382073263E-3</c:v>
                </c:pt>
                <c:pt idx="34">
                  <c:v>0</c:v>
                </c:pt>
                <c:pt idx="35">
                  <c:v>7.7082422771580878E-3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68-4CC4-A340-DE4B7A3064B2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0.1058999554014588</c:v>
                </c:pt>
                <c:pt idx="1">
                  <c:v>0.1093527456876088</c:v>
                </c:pt>
                <c:pt idx="2">
                  <c:v>9.8462069660044019E-2</c:v>
                </c:pt>
                <c:pt idx="3">
                  <c:v>8.7470687249133205E-2</c:v>
                </c:pt>
                <c:pt idx="4">
                  <c:v>8.1557783884101342E-2</c:v>
                </c:pt>
                <c:pt idx="5">
                  <c:v>7.2264023363880936E-2</c:v>
                </c:pt>
                <c:pt idx="6">
                  <c:v>5.4784272540246585E-2</c:v>
                </c:pt>
                <c:pt idx="7">
                  <c:v>4.6857241508293887E-2</c:v>
                </c:pt>
                <c:pt idx="8">
                  <c:v>4.0023594066955361E-2</c:v>
                </c:pt>
                <c:pt idx="9">
                  <c:v>2.8082694327353292E-2</c:v>
                </c:pt>
                <c:pt idx="10">
                  <c:v>2.7492842653469334E-2</c:v>
                </c:pt>
                <c:pt idx="11">
                  <c:v>2.5521874865125381E-2</c:v>
                </c:pt>
                <c:pt idx="12">
                  <c:v>2.5032729574587465E-2</c:v>
                </c:pt>
                <c:pt idx="13">
                  <c:v>2.4989569696010589E-2</c:v>
                </c:pt>
                <c:pt idx="14">
                  <c:v>2.3090535038628093E-2</c:v>
                </c:pt>
                <c:pt idx="15">
                  <c:v>2.1522392783668302E-2</c:v>
                </c:pt>
                <c:pt idx="16">
                  <c:v>1.9177372714324764E-2</c:v>
                </c:pt>
                <c:pt idx="17">
                  <c:v>1.8645067545209972E-2</c:v>
                </c:pt>
                <c:pt idx="18">
                  <c:v>1.4890158109021853E-2</c:v>
                </c:pt>
                <c:pt idx="19">
                  <c:v>1.2919190320677898E-2</c:v>
                </c:pt>
                <c:pt idx="20">
                  <c:v>1.1178408551410609E-2</c:v>
                </c:pt>
                <c:pt idx="21">
                  <c:v>1.0919449279949358E-2</c:v>
                </c:pt>
                <c:pt idx="22">
                  <c:v>7.8263246486066553E-3</c:v>
                </c:pt>
                <c:pt idx="23">
                  <c:v>6.8911939461076986E-3</c:v>
                </c:pt>
                <c:pt idx="24">
                  <c:v>4.7044267648793684E-3</c:v>
                </c:pt>
                <c:pt idx="25">
                  <c:v>3.7117495576112448E-3</c:v>
                </c:pt>
                <c:pt idx="26">
                  <c:v>3.3664705289962451E-3</c:v>
                </c:pt>
                <c:pt idx="27">
                  <c:v>2.9492583694197875E-3</c:v>
                </c:pt>
                <c:pt idx="28">
                  <c:v>1.6976218906904143E-3</c:v>
                </c:pt>
                <c:pt idx="29">
                  <c:v>1.9421945359593721E-3</c:v>
                </c:pt>
                <c:pt idx="30">
                  <c:v>1.2947963573062481E-3</c:v>
                </c:pt>
                <c:pt idx="31">
                  <c:v>9.4951732869124857E-4</c:v>
                </c:pt>
                <c:pt idx="32">
                  <c:v>5.4669179530708253E-4</c:v>
                </c:pt>
                <c:pt idx="33">
                  <c:v>6.3301155246083245E-4</c:v>
                </c:pt>
                <c:pt idx="34">
                  <c:v>4.1721215957645771E-4</c:v>
                </c:pt>
                <c:pt idx="35">
                  <c:v>5.1791854292249919E-4</c:v>
                </c:pt>
                <c:pt idx="36">
                  <c:v>4.3159878576874938E-4</c:v>
                </c:pt>
                <c:pt idx="37">
                  <c:v>3.3089240242270784E-4</c:v>
                </c:pt>
                <c:pt idx="38">
                  <c:v>2.3018601907666633E-4</c:v>
                </c:pt>
                <c:pt idx="39">
                  <c:v>2.3018601907666633E-4</c:v>
                </c:pt>
                <c:pt idx="40">
                  <c:v>1.5825288811520811E-4</c:v>
                </c:pt>
                <c:pt idx="41">
                  <c:v>2.0141276669208305E-4</c:v>
                </c:pt>
                <c:pt idx="42">
                  <c:v>1.0070638334604152E-4</c:v>
                </c:pt>
                <c:pt idx="43">
                  <c:v>1.4386626192291646E-5</c:v>
                </c:pt>
                <c:pt idx="44">
                  <c:v>1.294796357306248E-4</c:v>
                </c:pt>
                <c:pt idx="45">
                  <c:v>1.1509300953833317E-4</c:v>
                </c:pt>
                <c:pt idx="46">
                  <c:v>1.294796357306248E-4</c:v>
                </c:pt>
                <c:pt idx="47">
                  <c:v>2.8773252384583292E-5</c:v>
                </c:pt>
                <c:pt idx="48">
                  <c:v>7.1933130961458235E-5</c:v>
                </c:pt>
                <c:pt idx="49">
                  <c:v>7.1933130961458235E-5</c:v>
                </c:pt>
                <c:pt idx="50">
                  <c:v>5.7546504769166584E-5</c:v>
                </c:pt>
                <c:pt idx="51">
                  <c:v>5.7546504769166584E-5</c:v>
                </c:pt>
                <c:pt idx="52">
                  <c:v>1.4386626192291646E-5</c:v>
                </c:pt>
                <c:pt idx="53">
                  <c:v>2.8773252384583292E-5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8-4CC4-A340-DE4B7A306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40864"/>
        <c:axId val="133742432"/>
      </c:lineChart>
      <c:catAx>
        <c:axId val="133740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3742432"/>
        <c:crosses val="autoZero"/>
        <c:auto val="1"/>
        <c:lblAlgn val="ctr"/>
        <c:lblOffset val="100"/>
        <c:tickLblSkip val="10"/>
        <c:noMultiLvlLbl val="0"/>
      </c:catAx>
      <c:valAx>
        <c:axId val="1337424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33740864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9.6996549331532525E-2</c:v>
                </c:pt>
                <c:pt idx="2">
                  <c:v>4.6491062266773506E-2</c:v>
                </c:pt>
                <c:pt idx="3">
                  <c:v>0.12874525106266085</c:v>
                </c:pt>
                <c:pt idx="4">
                  <c:v>0.11117387119063887</c:v>
                </c:pt>
                <c:pt idx="5">
                  <c:v>9.6741157025693761E-2</c:v>
                </c:pt>
                <c:pt idx="6">
                  <c:v>3.5573132676077368E-2</c:v>
                </c:pt>
                <c:pt idx="7">
                  <c:v>5.3686345567014342E-2</c:v>
                </c:pt>
                <c:pt idx="8">
                  <c:v>3.2018411217879926E-2</c:v>
                </c:pt>
                <c:pt idx="9">
                  <c:v>4.5556393641360611E-2</c:v>
                </c:pt>
                <c:pt idx="10">
                  <c:v>4.1215322940107907E-2</c:v>
                </c:pt>
                <c:pt idx="11">
                  <c:v>5.7495751124978137E-2</c:v>
                </c:pt>
                <c:pt idx="12">
                  <c:v>2.5243685488483922E-2</c:v>
                </c:pt>
                <c:pt idx="13">
                  <c:v>1.1404182262614767E-2</c:v>
                </c:pt>
                <c:pt idx="14">
                  <c:v>4.7642499582014938E-3</c:v>
                </c:pt>
                <c:pt idx="15">
                  <c:v>1.5440219865673973E-2</c:v>
                </c:pt>
                <c:pt idx="16">
                  <c:v>2.7475627101237656E-3</c:v>
                </c:pt>
                <c:pt idx="17">
                  <c:v>1.1982186370155638E-2</c:v>
                </c:pt>
                <c:pt idx="18">
                  <c:v>1.9352406924735558E-2</c:v>
                </c:pt>
                <c:pt idx="19">
                  <c:v>2.8160843332803321E-3</c:v>
                </c:pt>
                <c:pt idx="20">
                  <c:v>3.2374679021173382E-3</c:v>
                </c:pt>
                <c:pt idx="21">
                  <c:v>0</c:v>
                </c:pt>
                <c:pt idx="22">
                  <c:v>0</c:v>
                </c:pt>
                <c:pt idx="23">
                  <c:v>1.2518401694894741E-2</c:v>
                </c:pt>
                <c:pt idx="24">
                  <c:v>4.6072005571342264E-3</c:v>
                </c:pt>
                <c:pt idx="25">
                  <c:v>1.8593128766979778E-3</c:v>
                </c:pt>
                <c:pt idx="26">
                  <c:v>0</c:v>
                </c:pt>
                <c:pt idx="27">
                  <c:v>1.0753370498374394E-2</c:v>
                </c:pt>
                <c:pt idx="28">
                  <c:v>6.8325382395441319E-3</c:v>
                </c:pt>
                <c:pt idx="29">
                  <c:v>3.0920885087299074E-3</c:v>
                </c:pt>
                <c:pt idx="30">
                  <c:v>2.5657303257584932E-2</c:v>
                </c:pt>
                <c:pt idx="31">
                  <c:v>6.368934840488249E-3</c:v>
                </c:pt>
                <c:pt idx="32">
                  <c:v>9.795836310291562E-3</c:v>
                </c:pt>
                <c:pt idx="33">
                  <c:v>7.5706663727116439E-3</c:v>
                </c:pt>
                <c:pt idx="34">
                  <c:v>2.7302858157155527E-3</c:v>
                </c:pt>
                <c:pt idx="35">
                  <c:v>1.6944974190922515E-2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7.728021416985505E-3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1.6314597845426902E-2</c:v>
                </c:pt>
                <c:pt idx="45">
                  <c:v>2.3331249719492761E-3</c:v>
                </c:pt>
                <c:pt idx="46">
                  <c:v>5.126956382073263E-3</c:v>
                </c:pt>
                <c:pt idx="47">
                  <c:v>0</c:v>
                </c:pt>
                <c:pt idx="48">
                  <c:v>6.5872360264102774E-3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7.7082422771580878E-3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5-4531-9AF3-405EFA2DFC15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1.0041865082219568E-2</c:v>
                </c:pt>
                <c:pt idx="1">
                  <c:v>2.4989569696010589E-2</c:v>
                </c:pt>
                <c:pt idx="2">
                  <c:v>3.192392352069516E-2</c:v>
                </c:pt>
                <c:pt idx="3">
                  <c:v>4.06422189932239E-2</c:v>
                </c:pt>
                <c:pt idx="4">
                  <c:v>4.9691406868175345E-2</c:v>
                </c:pt>
                <c:pt idx="5">
                  <c:v>5.4251967371131797E-2</c:v>
                </c:pt>
                <c:pt idx="6">
                  <c:v>5.3849141837747631E-2</c:v>
                </c:pt>
                <c:pt idx="7">
                  <c:v>5.4410220259247001E-2</c:v>
                </c:pt>
                <c:pt idx="8">
                  <c:v>5.2050813563711176E-2</c:v>
                </c:pt>
                <c:pt idx="9">
                  <c:v>4.7936238472715761E-2</c:v>
                </c:pt>
                <c:pt idx="10">
                  <c:v>4.4411515055604311E-2</c:v>
                </c:pt>
                <c:pt idx="11">
                  <c:v>4.0987498021838896E-2</c:v>
                </c:pt>
                <c:pt idx="12">
                  <c:v>3.83979053072264E-2</c:v>
                </c:pt>
                <c:pt idx="13">
                  <c:v>3.1535484613503285E-2</c:v>
                </c:pt>
                <c:pt idx="14">
                  <c:v>2.78956681868535E-2</c:v>
                </c:pt>
                <c:pt idx="15">
                  <c:v>2.5147822584125797E-2</c:v>
                </c:pt>
                <c:pt idx="16">
                  <c:v>2.2313657224244342E-2</c:v>
                </c:pt>
                <c:pt idx="17">
                  <c:v>1.9465105238170598E-2</c:v>
                </c:pt>
                <c:pt idx="18">
                  <c:v>1.8271015264210391E-2</c:v>
                </c:pt>
                <c:pt idx="19">
                  <c:v>1.7134471795019351E-2</c:v>
                </c:pt>
                <c:pt idx="20">
                  <c:v>1.6184954466328103E-2</c:v>
                </c:pt>
                <c:pt idx="21">
                  <c:v>1.4458559323253104E-2</c:v>
                </c:pt>
                <c:pt idx="22">
                  <c:v>1.563826267102102E-2</c:v>
                </c:pt>
                <c:pt idx="23">
                  <c:v>1.4775065099483521E-2</c:v>
                </c:pt>
                <c:pt idx="24">
                  <c:v>1.4487332575637687E-2</c:v>
                </c:pt>
                <c:pt idx="25">
                  <c:v>1.3724841387446229E-2</c:v>
                </c:pt>
                <c:pt idx="26">
                  <c:v>1.3422722237408105E-2</c:v>
                </c:pt>
                <c:pt idx="27">
                  <c:v>1.3077443208793105E-2</c:v>
                </c:pt>
                <c:pt idx="28">
                  <c:v>1.3408335611215814E-2</c:v>
                </c:pt>
                <c:pt idx="29">
                  <c:v>1.3609748377907897E-2</c:v>
                </c:pt>
                <c:pt idx="30">
                  <c:v>1.2732164180178106E-2</c:v>
                </c:pt>
                <c:pt idx="31">
                  <c:v>1.1610007337179358E-2</c:v>
                </c:pt>
                <c:pt idx="32">
                  <c:v>1.1667553841948525E-2</c:v>
                </c:pt>
                <c:pt idx="33">
                  <c:v>1.2185472384871023E-2</c:v>
                </c:pt>
                <c:pt idx="34">
                  <c:v>1.1595620710987067E-2</c:v>
                </c:pt>
                <c:pt idx="35">
                  <c:v>9.9699319512581101E-3</c:v>
                </c:pt>
                <c:pt idx="36">
                  <c:v>9.9267720726812347E-3</c:v>
                </c:pt>
                <c:pt idx="37">
                  <c:v>9.4520134083356105E-3</c:v>
                </c:pt>
                <c:pt idx="38">
                  <c:v>8.5168827058366547E-3</c:v>
                </c:pt>
                <c:pt idx="39">
                  <c:v>7.2508596009149898E-3</c:v>
                </c:pt>
                <c:pt idx="40">
                  <c:v>6.0711562531470748E-3</c:v>
                </c:pt>
                <c:pt idx="41">
                  <c:v>5.927289991224158E-3</c:v>
                </c:pt>
                <c:pt idx="42">
                  <c:v>4.7332000172639515E-3</c:v>
                </c:pt>
                <c:pt idx="43">
                  <c:v>4.8195197744177014E-3</c:v>
                </c:pt>
                <c:pt idx="44">
                  <c:v>4.1433483433799935E-3</c:v>
                </c:pt>
                <c:pt idx="45">
                  <c:v>3.0931246313427039E-3</c:v>
                </c:pt>
                <c:pt idx="46">
                  <c:v>2.9492583694197875E-3</c:v>
                </c:pt>
                <c:pt idx="47">
                  <c:v>2.2874735645743716E-3</c:v>
                </c:pt>
                <c:pt idx="48">
                  <c:v>2.0860607978822887E-3</c:v>
                </c:pt>
                <c:pt idx="49">
                  <c:v>1.4818224978060395E-3</c:v>
                </c:pt>
                <c:pt idx="50">
                  <c:v>1.6544620121135393E-3</c:v>
                </c:pt>
                <c:pt idx="51">
                  <c:v>1.4386626192291645E-3</c:v>
                </c:pt>
                <c:pt idx="52">
                  <c:v>9.9267720726812364E-4</c:v>
                </c:pt>
                <c:pt idx="53">
                  <c:v>8.4881094534520714E-4</c:v>
                </c:pt>
                <c:pt idx="54">
                  <c:v>7.4810456199916561E-4</c:v>
                </c:pt>
                <c:pt idx="55">
                  <c:v>6.4739817865312407E-4</c:v>
                </c:pt>
                <c:pt idx="56">
                  <c:v>4.45985411961041E-4</c:v>
                </c:pt>
                <c:pt idx="57">
                  <c:v>3.5966565480729113E-4</c:v>
                </c:pt>
                <c:pt idx="58">
                  <c:v>3.0211915003812456E-4</c:v>
                </c:pt>
                <c:pt idx="59">
                  <c:v>2.7334589765354127E-4</c:v>
                </c:pt>
                <c:pt idx="60">
                  <c:v>2.589592714612496E-4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35-4531-9AF3-405EFA2DF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41256"/>
        <c:axId val="133736160"/>
      </c:lineChart>
      <c:catAx>
        <c:axId val="133741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3736160"/>
        <c:crosses val="autoZero"/>
        <c:auto val="1"/>
        <c:lblAlgn val="ctr"/>
        <c:lblOffset val="100"/>
        <c:tickLblSkip val="10"/>
        <c:noMultiLvlLbl val="0"/>
      </c:catAx>
      <c:valAx>
        <c:axId val="133736160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3374125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topLeftCell="E1" workbookViewId="0">
      <selection activeCell="T10" sqref="T10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17690.6551255313</v>
      </c>
      <c r="C11" s="11">
        <f>B11/B$102</f>
        <v>0.22017504370482532</v>
      </c>
      <c r="E11" s="20">
        <v>0</v>
      </c>
      <c r="F11" s="110" t="n">
        <v>7530.0</v>
      </c>
      <c r="G11" s="11">
        <f>F11/F$102</f>
        <v>0.1058999554014588</v>
      </c>
      <c r="K11" s="8" t="n">
        <v>4.993831860891899</v>
      </c>
      <c r="L11" s="8" t="n">
        <v>7.31519481779827</v>
      </c>
    </row>
    <row r="12" spans="1:12" x14ac:dyDescent="0.25">
      <c r="A12">
        <v>1</v>
      </c>
      <c r="B12" s="8" t="n">
        <v>17124.239443203798</v>
      </c>
      <c r="C12" s="11">
        <f>B12/B$102</f>
        <v>0.21312552537287996</v>
      </c>
      <c r="E12" s="21">
        <v>1</v>
      </c>
      <c r="F12" s="111" t="n">
        <v>7841.0</v>
      </c>
      <c r="G12" s="11">
        <f>F12/F$102</f>
        <v>0.1093527456876088</v>
      </c>
      <c r="K12" s="8"/>
      <c r="L12" s="380"/>
    </row>
    <row r="13" spans="1:12" x14ac:dyDescent="0.25">
      <c r="A13">
        <v>2</v>
      </c>
      <c r="B13" s="8" t="n">
        <v>7228.1700902274</v>
      </c>
      <c r="C13" s="11">
        <f ref="C13:C76" si="0" t="shared">B13/B$102</f>
        <v>8.9960640475372611E-2</v>
      </c>
      <c r="E13" s="22">
        <v>2</v>
      </c>
      <c r="F13" s="112" t="n">
        <v>6940.0</v>
      </c>
      <c r="G13" s="11">
        <f ref="G13:G76" si="1" t="shared">F13/F$102</f>
        <v>9.8462069660044019E-2</v>
      </c>
    </row>
    <row r="14" spans="1:12" x14ac:dyDescent="0.25">
      <c r="A14">
        <v>3</v>
      </c>
      <c r="B14" s="8" t="n">
        <v>7803.3832071220995</v>
      </c>
      <c r="C14" s="11">
        <f si="0" t="shared"/>
        <v>9.7119650260663187E-2</v>
      </c>
      <c r="E14" s="23">
        <v>3</v>
      </c>
      <c r="F14" s="113" t="n">
        <v>6159.0</v>
      </c>
      <c r="G14" s="11">
        <f si="1" t="shared"/>
        <v>8.7470687249133205E-2</v>
      </c>
    </row>
    <row r="15" spans="1:12" x14ac:dyDescent="0.25">
      <c r="A15">
        <v>4</v>
      </c>
      <c r="B15" s="8" t="n">
        <v>5648.239209787</v>
      </c>
      <c r="C15" s="11">
        <f si="0" t="shared"/>
        <v>7.0297075266330028E-2</v>
      </c>
      <c r="E15" s="24">
        <v>4</v>
      </c>
      <c r="F15" s="114" t="n">
        <v>5809.0</v>
      </c>
      <c r="G15" s="11">
        <f si="1" t="shared"/>
        <v>8.1557783884101342E-2</v>
      </c>
    </row>
    <row r="16" spans="1:12" x14ac:dyDescent="0.25">
      <c r="A16">
        <v>5</v>
      </c>
      <c r="B16" s="8" t="n">
        <v>6006.366500939</v>
      </c>
      <c r="C16" s="11">
        <f si="0" t="shared"/>
        <v>7.4754269837235668E-2</v>
      </c>
      <c r="E16" s="25">
        <v>5</v>
      </c>
      <c r="F16" s="115" t="n">
        <v>5089.0</v>
      </c>
      <c r="G16" s="11">
        <f si="1" t="shared"/>
        <v>7.2264023363880936E-2</v>
      </c>
    </row>
    <row r="17" spans="1:7" x14ac:dyDescent="0.25">
      <c r="A17">
        <v>6</v>
      </c>
      <c r="B17" s="8" t="n">
        <v>2475.9821996355</v>
      </c>
      <c r="C17" s="11">
        <f si="0" t="shared"/>
        <v>3.0815675572712482E-2</v>
      </c>
      <c r="E17" s="26">
        <v>6</v>
      </c>
      <c r="F17" s="116" t="n">
        <v>3826.0</v>
      </c>
      <c r="G17" s="11">
        <f si="1" t="shared"/>
        <v>5.4784272540246585E-2</v>
      </c>
    </row>
    <row r="18" spans="1:7" x14ac:dyDescent="0.25">
      <c r="A18">
        <v>7</v>
      </c>
      <c r="B18" s="8" t="n">
        <v>622.248414605</v>
      </c>
      <c r="C18" s="11">
        <f si="0" t="shared"/>
        <v>7.7444035231453616E-3</v>
      </c>
      <c r="E18" s="27">
        <v>7</v>
      </c>
      <c r="F18" s="117" t="n">
        <v>3235.0</v>
      </c>
      <c r="G18" s="11">
        <f si="1" t="shared"/>
        <v>4.6857241508293887E-2</v>
      </c>
    </row>
    <row r="19" spans="1:7" x14ac:dyDescent="0.25">
      <c r="A19">
        <v>8</v>
      </c>
      <c r="B19" s="8" t="n">
        <v>785.551886675</v>
      </c>
      <c r="C19" s="11">
        <f si="0" t="shared"/>
        <v>9.7768522281269487E-3</v>
      </c>
      <c r="E19" s="28">
        <v>8</v>
      </c>
      <c r="F19" s="118" t="n">
        <v>2706.0</v>
      </c>
      <c r="G19" s="11">
        <f si="1" t="shared"/>
        <v>4.0023594066955361E-2</v>
      </c>
    </row>
    <row r="20" spans="1:7" x14ac:dyDescent="0.25">
      <c r="A20">
        <v>9</v>
      </c>
      <c r="B20" s="8" t="n">
        <v>1281.08180092</v>
      </c>
      <c r="C20" s="11">
        <f si="0" t="shared"/>
        <v>1.5944137710306883E-2</v>
      </c>
      <c r="E20" s="29">
        <v>9</v>
      </c>
      <c r="F20" s="119" t="n">
        <v>2022.0</v>
      </c>
      <c r="G20" s="11">
        <f si="1" t="shared"/>
        <v>2.8082694327353292E-2</v>
      </c>
    </row>
    <row r="21" spans="1:7" x14ac:dyDescent="0.25">
      <c r="A21">
        <v>10</v>
      </c>
      <c r="B21" s="8" t="n">
        <v>195.446561408</v>
      </c>
      <c r="C21" s="11">
        <f si="0" t="shared"/>
        <v>2.4324964165888599E-3</v>
      </c>
      <c r="E21" s="30">
        <v>10</v>
      </c>
      <c r="F21" s="120" t="n">
        <v>1793.0</v>
      </c>
      <c r="G21" s="11">
        <f si="1" t="shared"/>
        <v>2.7492842653469334E-2</v>
      </c>
    </row>
    <row r="22" spans="1:7" x14ac:dyDescent="0.25">
      <c r="A22">
        <v>11</v>
      </c>
      <c r="B22" s="8" t="n">
        <v>2084.968877218</v>
      </c>
      <c r="C22" s="11">
        <f si="0" t="shared"/>
        <v>2.594918675465881E-2</v>
      </c>
      <c r="E22" s="31">
        <v>11</v>
      </c>
      <c r="F22" s="121" t="n">
        <v>1704.0</v>
      </c>
      <c r="G22" s="11">
        <f si="1" t="shared"/>
        <v>2.5521874865125381E-2</v>
      </c>
    </row>
    <row r="23" spans="1:7" x14ac:dyDescent="0.25">
      <c r="A23">
        <v>12</v>
      </c>
      <c r="B23" s="8" t="n">
        <v>538.968377424</v>
      </c>
      <c r="C23" s="11">
        <f si="0" t="shared"/>
        <v>6.7079135969128831E-3</v>
      </c>
      <c r="E23" s="32">
        <v>12</v>
      </c>
      <c r="F23" s="122" t="n">
        <v>1713.0</v>
      </c>
      <c r="G23" s="11">
        <f si="1" t="shared"/>
        <v>2.5032729574587465E-2</v>
      </c>
    </row>
    <row r="24" spans="1:7" x14ac:dyDescent="0.25">
      <c r="A24">
        <v>13</v>
      </c>
      <c r="B24" s="8" t="n">
        <v>198.734123894</v>
      </c>
      <c r="C24" s="11">
        <f si="0" t="shared"/>
        <v>2.4734128896590256E-3</v>
      </c>
      <c r="E24" s="33">
        <v>13</v>
      </c>
      <c r="F24" s="123" t="n">
        <v>1642.0</v>
      </c>
      <c r="G24" s="11">
        <f si="1" t="shared"/>
        <v>2.4989569696010589E-2</v>
      </c>
    </row>
    <row r="25" spans="1:7" x14ac:dyDescent="0.25">
      <c r="A25">
        <v>14</v>
      </c>
      <c r="B25" s="8" t="n">
        <v>1621.5409891680001</v>
      </c>
      <c r="C25" s="11">
        <f si="0" t="shared"/>
        <v>2.0181437918823694E-2</v>
      </c>
      <c r="E25" s="34">
        <v>14</v>
      </c>
      <c r="F25" s="124" t="n">
        <v>1608.0</v>
      </c>
      <c r="G25" s="11">
        <f si="1" t="shared"/>
        <v>2.3090535038628093E-2</v>
      </c>
    </row>
    <row r="26" spans="1:7" x14ac:dyDescent="0.25">
      <c r="A26">
        <v>15</v>
      </c>
      <c r="B26" s="8" t="n">
        <v>634.003120299</v>
      </c>
      <c r="C26" s="11">
        <f si="0" t="shared"/>
        <v>7.8907006965145184E-3</v>
      </c>
      <c r="E26" s="35">
        <v>15</v>
      </c>
      <c r="F26" s="125" t="n">
        <v>1444.0</v>
      </c>
      <c r="G26" s="11">
        <f si="1" t="shared"/>
        <v>2.1522392783668302E-2</v>
      </c>
    </row>
    <row r="27" spans="1:7" x14ac:dyDescent="0.25">
      <c r="A27">
        <v>16</v>
      </c>
      <c r="B27" s="8" t="n">
        <v>490.98456362599995</v>
      </c>
      <c r="C27" s="11">
        <f si="0" t="shared"/>
        <v>6.110714780637753E-3</v>
      </c>
      <c r="E27" s="36">
        <v>16</v>
      </c>
      <c r="F27" s="126" t="n">
        <v>1312.0</v>
      </c>
      <c r="G27" s="11">
        <f si="1" t="shared"/>
        <v>1.9177372714324764E-2</v>
      </c>
    </row>
    <row r="28" spans="1:7" x14ac:dyDescent="0.25">
      <c r="A28">
        <v>17</v>
      </c>
      <c r="B28" s="8" t="n">
        <v>0.0</v>
      </c>
      <c r="C28" s="11">
        <f si="0" t="shared"/>
        <v>0</v>
      </c>
      <c r="E28" s="37">
        <v>17</v>
      </c>
      <c r="F28" s="127" t="n">
        <v>1178.0</v>
      </c>
      <c r="G28" s="11">
        <f si="1" t="shared"/>
        <v>1.8645067545209972E-2</v>
      </c>
    </row>
    <row r="29" spans="1:7" x14ac:dyDescent="0.25">
      <c r="A29">
        <v>18</v>
      </c>
      <c r="B29" s="8" t="n">
        <v>767.7199127419999</v>
      </c>
      <c r="C29" s="11">
        <f si="0" t="shared"/>
        <v>9.5549183533110114E-3</v>
      </c>
      <c r="E29" s="38">
        <v>18</v>
      </c>
      <c r="F29" s="128" t="n">
        <v>1009.0</v>
      </c>
      <c r="G29" s="11">
        <f si="1" t="shared"/>
        <v>1.4890158109021853E-2</v>
      </c>
    </row>
    <row r="30" spans="1:7" x14ac:dyDescent="0.25">
      <c r="A30">
        <v>19</v>
      </c>
      <c r="B30" s="8" t="n">
        <v>3553.899831225</v>
      </c>
      <c r="C30" s="11">
        <f si="0" t="shared"/>
        <v>4.4231264761543744E-2</v>
      </c>
      <c r="E30" s="39">
        <v>19</v>
      </c>
      <c r="F30" s="129" t="n">
        <v>939.0</v>
      </c>
      <c r="G30" s="11">
        <f si="1" t="shared"/>
        <v>1.2919190320677898E-2</v>
      </c>
    </row>
    <row r="31" spans="1:7" x14ac:dyDescent="0.25">
      <c r="A31">
        <v>20</v>
      </c>
      <c r="B31" s="8" t="n">
        <v>842.220796176</v>
      </c>
      <c r="C31" s="11">
        <f si="0" t="shared"/>
        <v>1.0482144346341409E-2</v>
      </c>
      <c r="E31" s="40">
        <v>20</v>
      </c>
      <c r="F31" s="130" t="n">
        <v>701.0</v>
      </c>
      <c r="G31" s="11">
        <f si="1" t="shared"/>
        <v>1.1178408551410609E-2</v>
      </c>
    </row>
    <row r="32" spans="1:7" x14ac:dyDescent="0.25">
      <c r="A32">
        <v>21</v>
      </c>
      <c r="B32" s="8" t="n">
        <v>187.462250712</v>
      </c>
      <c r="C32" s="11">
        <f si="0" t="shared"/>
        <v>2.3331249719492761E-3</v>
      </c>
      <c r="E32" s="41">
        <v>21</v>
      </c>
      <c r="F32" s="131" t="n">
        <v>662.0</v>
      </c>
      <c r="G32" s="11">
        <f si="1" t="shared"/>
        <v>1.0919449279949358E-2</v>
      </c>
    </row>
    <row r="33" spans="1:7" x14ac:dyDescent="0.25">
      <c r="A33">
        <v>22</v>
      </c>
      <c r="B33" s="8" t="n">
        <v>1310.847583535</v>
      </c>
      <c r="C33" s="11">
        <f si="0" t="shared"/>
        <v>1.6314597845426902E-2</v>
      </c>
      <c r="E33" s="42">
        <v>22</v>
      </c>
      <c r="F33" s="132" t="n">
        <v>535.0</v>
      </c>
      <c r="G33" s="11">
        <f si="1" t="shared"/>
        <v>7.8263246486066553E-3</v>
      </c>
    </row>
    <row r="34" spans="1:7" x14ac:dyDescent="0.25">
      <c r="A34">
        <v>23</v>
      </c>
      <c r="B34" s="8" t="n">
        <v>0.0</v>
      </c>
      <c r="C34" s="11">
        <f si="0" t="shared"/>
        <v>0</v>
      </c>
      <c r="E34" s="43">
        <v>23</v>
      </c>
      <c r="F34" s="133" t="n">
        <v>444.0</v>
      </c>
      <c r="G34" s="11">
        <f si="1" t="shared"/>
        <v>6.8911939461076986E-3</v>
      </c>
    </row>
    <row r="35" spans="1:7" x14ac:dyDescent="0.25">
      <c r="A35">
        <v>24</v>
      </c>
      <c r="B35" s="8" t="n">
        <v>0.0</v>
      </c>
      <c r="C35" s="11">
        <f si="0" t="shared"/>
        <v>0</v>
      </c>
      <c r="E35" s="44">
        <v>24</v>
      </c>
      <c r="F35" s="134" t="n">
        <v>342.0</v>
      </c>
      <c r="G35" s="11">
        <f si="1" t="shared"/>
        <v>4.7044267648793684E-3</v>
      </c>
    </row>
    <row r="36" spans="1:7" x14ac:dyDescent="0.25">
      <c r="A36">
        <v>25</v>
      </c>
      <c r="B36" s="8" t="n">
        <v>0.0</v>
      </c>
      <c r="C36" s="11">
        <f si="0" t="shared"/>
        <v>0</v>
      </c>
      <c r="E36" s="45">
        <v>25</v>
      </c>
      <c r="F36" s="135" t="n">
        <v>258.0</v>
      </c>
      <c r="G36" s="11">
        <f si="1" t="shared"/>
        <v>3.7117495576112448E-3</v>
      </c>
    </row>
    <row r="37" spans="1:7" x14ac:dyDescent="0.25">
      <c r="A37">
        <v>26</v>
      </c>
      <c r="B37" s="8" t="n">
        <v>0.0</v>
      </c>
      <c r="C37" s="11">
        <f si="0" t="shared"/>
        <v>0</v>
      </c>
      <c r="E37" s="46">
        <v>26</v>
      </c>
      <c r="F37" s="136" t="n">
        <v>228.0</v>
      </c>
      <c r="G37" s="11">
        <f si="1" t="shared"/>
        <v>3.3664705289962451E-3</v>
      </c>
    </row>
    <row r="38" spans="1:7" x14ac:dyDescent="0.25">
      <c r="A38">
        <v>27</v>
      </c>
      <c r="B38" s="8" t="n">
        <v>0.0</v>
      </c>
      <c r="C38" s="11">
        <f si="0" t="shared"/>
        <v>0</v>
      </c>
      <c r="E38" s="47">
        <v>27</v>
      </c>
      <c r="F38" s="137" t="n">
        <v>191.0</v>
      </c>
      <c r="G38" s="11">
        <f si="1" t="shared"/>
        <v>2.9492583694197875E-3</v>
      </c>
    </row>
    <row r="39" spans="1:7" x14ac:dyDescent="0.25">
      <c r="A39">
        <v>28</v>
      </c>
      <c r="B39" s="8" t="n">
        <v>0.0</v>
      </c>
      <c r="C39" s="11">
        <f si="0" t="shared"/>
        <v>0</v>
      </c>
      <c r="E39" s="48">
        <v>28</v>
      </c>
      <c r="F39" s="138" t="n">
        <v>160.0</v>
      </c>
      <c r="G39" s="11">
        <f si="1" t="shared"/>
        <v>1.6976218906904143E-3</v>
      </c>
    </row>
    <row r="40" spans="1:7" x14ac:dyDescent="0.25">
      <c r="A40">
        <v>29</v>
      </c>
      <c r="B40" s="8" t="n">
        <v>0.0</v>
      </c>
      <c r="C40" s="11">
        <f si="0" t="shared"/>
        <v>0</v>
      </c>
      <c r="E40" s="49">
        <v>29</v>
      </c>
      <c r="F40" s="139" t="n">
        <v>131.0</v>
      </c>
      <c r="G40" s="11">
        <f si="1" t="shared"/>
        <v>1.9421945359593721E-3</v>
      </c>
    </row>
    <row r="41" spans="1:7" x14ac:dyDescent="0.25">
      <c r="A41">
        <v>30</v>
      </c>
      <c r="B41" s="8" t="n">
        <v>0.0</v>
      </c>
      <c r="C41" s="11">
        <f si="0" t="shared"/>
        <v>0</v>
      </c>
      <c r="E41" s="50">
        <v>30</v>
      </c>
      <c r="F41" s="140" t="n">
        <v>67.0</v>
      </c>
      <c r="G41" s="11">
        <f si="1" t="shared"/>
        <v>1.2947963573062481E-3</v>
      </c>
    </row>
    <row r="42" spans="1:7" x14ac:dyDescent="0.25">
      <c r="A42">
        <v>31</v>
      </c>
      <c r="B42" s="8" t="n">
        <v>0.0</v>
      </c>
      <c r="C42" s="11">
        <f si="0" t="shared"/>
        <v>0</v>
      </c>
      <c r="E42" s="51">
        <v>31</v>
      </c>
      <c r="F42" s="141" t="n">
        <v>72.0</v>
      </c>
      <c r="G42" s="11">
        <f si="1" t="shared"/>
        <v>9.4951732869124857E-4</v>
      </c>
    </row>
    <row r="43" spans="1:7" x14ac:dyDescent="0.25">
      <c r="A43">
        <v>32</v>
      </c>
      <c r="B43" s="8" t="n">
        <v>0.0</v>
      </c>
      <c r="C43" s="11">
        <f si="0" t="shared"/>
        <v>0</v>
      </c>
      <c r="E43" s="52">
        <v>32</v>
      </c>
      <c r="F43" s="142" t="n">
        <v>44.0</v>
      </c>
      <c r="G43" s="11">
        <f si="1" t="shared"/>
        <v>5.4669179530708253E-4</v>
      </c>
    </row>
    <row r="44" spans="1:7" x14ac:dyDescent="0.25">
      <c r="A44">
        <v>33</v>
      </c>
      <c r="B44" s="8" t="n">
        <v>411.941406586</v>
      </c>
      <c r="C44" s="11">
        <f si="0" t="shared"/>
        <v>5.126956382073263E-3</v>
      </c>
      <c r="E44" s="53">
        <v>33</v>
      </c>
      <c r="F44" s="143" t="n">
        <v>37.0</v>
      </c>
      <c r="G44" s="11">
        <f si="1" t="shared"/>
        <v>6.3301155246083245E-4</v>
      </c>
    </row>
    <row r="45" spans="1:7" x14ac:dyDescent="0.25">
      <c r="A45">
        <v>34</v>
      </c>
      <c r="B45" s="8" t="n">
        <v>0.0</v>
      </c>
      <c r="C45" s="11">
        <f si="0" t="shared"/>
        <v>0</v>
      </c>
      <c r="E45" s="54">
        <v>34</v>
      </c>
      <c r="F45" s="144" t="n">
        <v>40.0</v>
      </c>
      <c r="G45" s="11">
        <f si="1" t="shared"/>
        <v>4.1721215957645771E-4</v>
      </c>
    </row>
    <row r="46" spans="1:7" x14ac:dyDescent="0.25">
      <c r="A46">
        <v>35</v>
      </c>
      <c r="B46" s="8" t="n">
        <v>619.342925768</v>
      </c>
      <c r="C46" s="11">
        <f si="0" t="shared"/>
        <v>7.7082422771580878E-3</v>
      </c>
      <c r="E46" s="55">
        <v>35</v>
      </c>
      <c r="F46" s="145" t="n">
        <v>35.0</v>
      </c>
      <c r="G46" s="11">
        <f si="1" t="shared"/>
        <v>5.1791854292249919E-4</v>
      </c>
    </row>
    <row r="47" spans="1:7" x14ac:dyDescent="0.25">
      <c r="A47">
        <v>36</v>
      </c>
      <c r="B47" s="8" t="n">
        <v>0.0</v>
      </c>
      <c r="C47" s="11">
        <f si="0" t="shared"/>
        <v>0</v>
      </c>
      <c r="E47" s="56">
        <v>36</v>
      </c>
      <c r="F47" s="146" t="n">
        <v>23.0</v>
      </c>
      <c r="G47" s="11">
        <f si="1" t="shared"/>
        <v>4.3159878576874938E-4</v>
      </c>
    </row>
    <row r="48" spans="1:7" x14ac:dyDescent="0.25">
      <c r="A48">
        <v>37</v>
      </c>
      <c r="B48" s="8" t="n">
        <v>0.0</v>
      </c>
      <c r="C48" s="11">
        <f si="0" t="shared"/>
        <v>0</v>
      </c>
      <c r="E48" s="57">
        <v>37</v>
      </c>
      <c r="F48" s="147" t="n">
        <v>21.0</v>
      </c>
      <c r="G48" s="11">
        <f si="1" t="shared"/>
        <v>3.3089240242270784E-4</v>
      </c>
    </row>
    <row r="49" spans="1:7" x14ac:dyDescent="0.25">
      <c r="A49">
        <v>38</v>
      </c>
      <c r="B49" s="8" t="n">
        <v>0.0</v>
      </c>
      <c r="C49" s="11">
        <f si="0" t="shared"/>
        <v>0</v>
      </c>
      <c r="E49" s="58">
        <v>38</v>
      </c>
      <c r="F49" s="148" t="n">
        <v>24.0</v>
      </c>
      <c r="G49" s="11">
        <f si="1" t="shared"/>
        <v>2.3018601907666633E-4</v>
      </c>
    </row>
    <row r="50" spans="1:7" x14ac:dyDescent="0.25">
      <c r="A50">
        <v>39</v>
      </c>
      <c r="B50" s="8" t="n">
        <v>0.0</v>
      </c>
      <c r="C50" s="11">
        <f si="0" t="shared"/>
        <v>0</v>
      </c>
      <c r="E50" s="59">
        <v>39</v>
      </c>
      <c r="F50" s="149" t="n">
        <v>18.0</v>
      </c>
      <c r="G50" s="11">
        <f si="1" t="shared"/>
        <v>2.3018601907666633E-4</v>
      </c>
    </row>
    <row r="51" spans="1:7" x14ac:dyDescent="0.25">
      <c r="A51">
        <v>40</v>
      </c>
      <c r="B51" s="8" t="n">
        <v>0.0</v>
      </c>
      <c r="C51" s="11">
        <f si="0" t="shared"/>
        <v>0</v>
      </c>
      <c r="E51" s="60">
        <v>40</v>
      </c>
      <c r="F51" s="150" t="n">
        <v>17.0</v>
      </c>
      <c r="G51" s="11">
        <f si="1" t="shared"/>
        <v>1.5825288811520811E-4</v>
      </c>
    </row>
    <row r="52" spans="1:7" x14ac:dyDescent="0.25">
      <c r="A52">
        <v>41</v>
      </c>
      <c r="B52" s="8" t="n">
        <v>0.0</v>
      </c>
      <c r="C52" s="11">
        <f si="0" t="shared"/>
        <v>0</v>
      </c>
      <c r="E52" s="61">
        <v>41</v>
      </c>
      <c r="F52" s="151" t="n">
        <v>13.0</v>
      </c>
      <c r="G52" s="11">
        <f si="1" t="shared"/>
        <v>2.0141276669208305E-4</v>
      </c>
    </row>
    <row r="53" spans="1:7" x14ac:dyDescent="0.25">
      <c r="A53">
        <v>42</v>
      </c>
      <c r="B53" s="8" t="n">
        <v>0.0</v>
      </c>
      <c r="C53" s="11">
        <f si="0" t="shared"/>
        <v>0</v>
      </c>
      <c r="E53" s="62">
        <v>42</v>
      </c>
      <c r="F53" s="152" t="n">
        <v>8.0</v>
      </c>
      <c r="G53" s="11">
        <f si="1" t="shared"/>
        <v>1.0070638334604152E-4</v>
      </c>
    </row>
    <row r="54" spans="1:7" x14ac:dyDescent="0.25">
      <c r="A54">
        <v>43</v>
      </c>
      <c r="B54" s="8" t="n">
        <v>0.0</v>
      </c>
      <c r="C54" s="11">
        <f si="0" t="shared"/>
        <v>0</v>
      </c>
      <c r="E54" s="63">
        <v>43</v>
      </c>
      <c r="F54" s="153" t="n">
        <v>11.0</v>
      </c>
      <c r="G54" s="11">
        <f si="1" t="shared"/>
        <v>1.4386626192291646E-5</v>
      </c>
    </row>
    <row r="55" spans="1:7" x14ac:dyDescent="0.25">
      <c r="A55">
        <v>44</v>
      </c>
      <c r="B55" s="8" t="n">
        <v>0.0</v>
      </c>
      <c r="C55" s="11">
        <f si="0" t="shared"/>
        <v>0</v>
      </c>
      <c r="E55" s="64">
        <v>44</v>
      </c>
      <c r="F55" s="154" t="n">
        <v>6.0</v>
      </c>
      <c r="G55" s="11">
        <f si="1" t="shared"/>
        <v>1.294796357306248E-4</v>
      </c>
    </row>
    <row r="56" spans="1:7" x14ac:dyDescent="0.25">
      <c r="A56">
        <v>45</v>
      </c>
      <c r="B56" s="8" t="n">
        <v>0.0</v>
      </c>
      <c r="C56" s="11">
        <f si="0" t="shared"/>
        <v>0</v>
      </c>
      <c r="E56" s="65">
        <v>45</v>
      </c>
      <c r="F56" s="155" t="n">
        <v>6.0</v>
      </c>
      <c r="G56" s="11">
        <f si="1" t="shared"/>
        <v>1.1509300953833317E-4</v>
      </c>
    </row>
    <row r="57" spans="1:7" x14ac:dyDescent="0.25">
      <c r="A57">
        <v>46</v>
      </c>
      <c r="B57" s="8" t="n">
        <v>0.0</v>
      </c>
      <c r="C57" s="11">
        <f si="0" t="shared"/>
        <v>0</v>
      </c>
      <c r="E57" s="66">
        <v>46</v>
      </c>
      <c r="F57" s="156" t="n">
        <v>8.0</v>
      </c>
      <c r="G57" s="11">
        <f si="1" t="shared"/>
        <v>1.294796357306248E-4</v>
      </c>
    </row>
    <row r="58" spans="1:7" x14ac:dyDescent="0.25">
      <c r="A58">
        <v>47</v>
      </c>
      <c r="B58" s="8" t="n">
        <v>0.0</v>
      </c>
      <c r="C58" s="11">
        <f si="0" t="shared"/>
        <v>0</v>
      </c>
      <c r="E58" s="67">
        <v>47</v>
      </c>
      <c r="F58" s="157" t="n">
        <v>5.0</v>
      </c>
      <c r="G58" s="11">
        <f si="1" t="shared"/>
        <v>2.8773252384583292E-5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68">
        <v>48</v>
      </c>
      <c r="F59" s="158" t="n">
        <v>3.0</v>
      </c>
      <c r="G59" s="11">
        <f si="1" t="shared"/>
        <v>7.1933130961458235E-5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69">
        <v>49</v>
      </c>
      <c r="F60" s="159" t="n">
        <v>11.0</v>
      </c>
      <c r="G60" s="11">
        <f si="1" t="shared"/>
        <v>7.1933130961458235E-5</v>
      </c>
    </row>
    <row r="61" spans="1:7" x14ac:dyDescent="0.25">
      <c r="A61">
        <v>50</v>
      </c>
      <c r="B61" s="8" t="n">
        <v>0.0</v>
      </c>
      <c r="C61" s="11">
        <f si="0" t="shared"/>
        <v>0</v>
      </c>
      <c r="E61" s="70">
        <v>50</v>
      </c>
      <c r="F61" s="160" t="n">
        <v>4.0</v>
      </c>
      <c r="G61" s="11">
        <f si="1" t="shared"/>
        <v>5.7546504769166584E-5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71">
        <v>51</v>
      </c>
      <c r="F62" s="161" t="n">
        <v>1.0</v>
      </c>
      <c r="G62" s="11">
        <f si="1" t="shared"/>
        <v>5.7546504769166584E-5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72">
        <v>52</v>
      </c>
      <c r="F63" s="162" t="n">
        <v>0.0</v>
      </c>
      <c r="G63" s="11">
        <f si="1" t="shared"/>
        <v>1.4386626192291646E-5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73">
        <v>53</v>
      </c>
      <c r="F64" s="163" t="n">
        <v>0.0</v>
      </c>
      <c r="G64" s="11">
        <f si="1" t="shared"/>
        <v>2.8773252384583292E-5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74">
        <v>54</v>
      </c>
      <c r="F65" s="164" t="n">
        <v>0.0</v>
      </c>
      <c r="G65" s="11">
        <f si="1" t="shared"/>
        <v>0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75">
        <v>55</v>
      </c>
      <c r="F66" s="165" t="n">
        <v>0.0</v>
      </c>
      <c r="G66" s="11">
        <f si="1" t="shared"/>
        <v>0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76">
        <v>56</v>
      </c>
      <c r="F67" s="166" t="n">
        <v>0.0</v>
      </c>
      <c r="G67" s="11">
        <f si="1" t="shared"/>
        <v>0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77">
        <v>57</v>
      </c>
      <c r="F68" s="167" t="n">
        <v>0.0</v>
      </c>
      <c r="G68" s="11">
        <f si="1" t="shared"/>
        <v>0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78">
        <v>58</v>
      </c>
      <c r="F69" s="168" t="n">
        <v>0.0</v>
      </c>
      <c r="G69" s="11">
        <f si="1" t="shared"/>
        <v>0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79">
        <v>59</v>
      </c>
      <c r="F70" s="169" t="n">
        <v>0.0</v>
      </c>
      <c r="G70" s="11">
        <f si="1" t="shared"/>
        <v>0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80">
        <v>60</v>
      </c>
      <c r="F71" s="170" t="n">
        <v>0.0</v>
      </c>
      <c r="G71" s="11">
        <f si="1" t="shared"/>
        <v>0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81">
        <v>61</v>
      </c>
      <c r="F72" s="171" t="n">
        <v>0.0</v>
      </c>
      <c r="G72" s="11">
        <f si="1" t="shared"/>
        <v>0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82">
        <v>62</v>
      </c>
      <c r="F73" s="172" t="n">
        <v>0.0</v>
      </c>
      <c r="G73" s="11">
        <f si="1" t="shared"/>
        <v>0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83">
        <v>63</v>
      </c>
      <c r="F74" s="173" t="n">
        <v>0.0</v>
      </c>
      <c r="G74" s="11">
        <f si="1" t="shared"/>
        <v>0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84">
        <v>64</v>
      </c>
      <c r="F75" s="174" t="n">
        <v>0.0</v>
      </c>
      <c r="G75" s="11">
        <f si="1" t="shared"/>
        <v>1.4386626192291646E-5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85">
        <v>65</v>
      </c>
      <c r="F76" s="175" t="n">
        <v>0.0</v>
      </c>
      <c r="G76" s="11">
        <f si="1" t="shared"/>
        <v>0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86">
        <v>66</v>
      </c>
      <c r="F77" s="176" t="n">
        <v>0.0</v>
      </c>
      <c r="G77" s="11">
        <f ref="G77:G102" si="3" t="shared">F77/F$102</f>
        <v>0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87">
        <v>67</v>
      </c>
      <c r="F78" s="177" t="n">
        <v>0.0</v>
      </c>
      <c r="G78" s="11">
        <f si="3" t="shared"/>
        <v>0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88">
        <v>68</v>
      </c>
      <c r="F79" s="178" t="n">
        <v>0.0</v>
      </c>
      <c r="G79" s="11">
        <f si="3" t="shared"/>
        <v>0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89">
        <v>69</v>
      </c>
      <c r="F80" s="179" t="n">
        <v>0.0</v>
      </c>
      <c r="G80" s="11">
        <f si="3" t="shared"/>
        <v>0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90">
        <v>70</v>
      </c>
      <c r="F81" s="180" t="n">
        <v>0.0</v>
      </c>
      <c r="G81" s="11">
        <f si="3" t="shared"/>
        <v>0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91">
        <v>71</v>
      </c>
      <c r="F82" s="181" t="n">
        <v>0.0</v>
      </c>
      <c r="G82" s="11">
        <f si="3" t="shared"/>
        <v>0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92">
        <v>72</v>
      </c>
      <c r="F83" s="182" t="n">
        <v>0.0</v>
      </c>
      <c r="G83" s="11">
        <f si="3" t="shared"/>
        <v>0</v>
      </c>
    </row>
    <row r="84" spans="1:7" x14ac:dyDescent="0.25">
      <c r="A84">
        <v>73</v>
      </c>
      <c r="B84" s="8" t="n">
        <v>224.140299381</v>
      </c>
      <c r="C84" s="11">
        <f si="2" t="shared"/>
        <v>2.7896140568023304E-3</v>
      </c>
      <c r="E84" s="93">
        <v>73</v>
      </c>
      <c r="F84" s="183" t="n">
        <v>0.0</v>
      </c>
      <c r="G84" s="11">
        <f si="3" t="shared"/>
        <v>0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94">
        <v>74</v>
      </c>
      <c r="F85" s="184" t="n">
        <v>0.0</v>
      </c>
      <c r="G85" s="11">
        <f si="3" t="shared"/>
        <v>0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95">
        <v>75</v>
      </c>
      <c r="F86" s="185" t="n">
        <v>0.0</v>
      </c>
      <c r="G86" s="11">
        <f si="3" t="shared"/>
        <v>0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96">
        <v>76</v>
      </c>
      <c r="F87" s="186" t="n">
        <v>0.0</v>
      </c>
      <c r="G87" s="11">
        <f si="3" t="shared"/>
        <v>0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97">
        <v>77</v>
      </c>
      <c r="F88" s="187" t="n">
        <v>0.0</v>
      </c>
      <c r="G88" s="11">
        <f si="3" t="shared"/>
        <v>0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98">
        <v>78</v>
      </c>
      <c r="F89" s="188" t="n">
        <v>0.0</v>
      </c>
      <c r="G89" s="11">
        <f si="3" t="shared"/>
        <v>0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99">
        <v>79</v>
      </c>
      <c r="F90" s="189" t="n">
        <v>0.0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00">
        <v>80</v>
      </c>
      <c r="F91" s="190" t="n">
        <v>0.0</v>
      </c>
      <c r="G91" s="11">
        <f si="3" t="shared"/>
        <v>0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01">
        <v>81</v>
      </c>
      <c r="F92" s="191" t="n">
        <v>0.0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02">
        <v>82</v>
      </c>
      <c r="F93" s="192" t="n">
        <v>0.0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03">
        <v>83</v>
      </c>
      <c r="F94" s="193" t="n">
        <v>0.0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04">
        <v>84</v>
      </c>
      <c r="F95" s="194" t="n">
        <v>0.0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05">
        <v>85</v>
      </c>
      <c r="F96" s="195" t="n">
        <v>0.0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06">
        <v>86</v>
      </c>
      <c r="F97" s="196" t="n">
        <v>0.0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07">
        <v>87</v>
      </c>
      <c r="F98" s="197" t="n">
        <v>0.0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08">
        <v>88</v>
      </c>
      <c r="F99" s="198" t="n">
        <v>0.0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09">
        <v>89</v>
      </c>
      <c r="F100" s="199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382">
        <v>90</v>
      </c>
      <c r="F101" s="382" t="n">
        <v>0.0</v>
      </c>
      <c r="G101" s="11">
        <f si="3" t="shared"/>
        <v>0</v>
      </c>
    </row>
    <row r="102" spans="1:7" x14ac:dyDescent="0.25">
      <c r="B102" s="8">
        <f>SUM(B11:B101)</f>
        <v>80348.139497808093</v>
      </c>
      <c r="C102" s="11">
        <f si="2" t="shared"/>
        <v>1</v>
      </c>
      <c r="F102" s="8">
        <f>SUM(F11:F101)</f>
        <v>69509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>
      <selection activeCell="M30" sqref="M30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200">
        <v>0</v>
      </c>
      <c r="F11" s="290" t="n">
        <v>619.0</v>
      </c>
      <c r="G11" s="11">
        <f>F11/F$102</f>
        <v>1.0041865082219568E-2</v>
      </c>
      <c r="K11" s="8" t="n">
        <v>10.98354899777834</v>
      </c>
      <c r="L11" s="8" t="n">
        <v>15.371192970546149</v>
      </c>
    </row>
    <row r="12" spans="1:12" x14ac:dyDescent="0.25">
      <c r="A12">
        <v>1</v>
      </c>
      <c r="B12" s="8" t="n">
        <v>7793.492276496</v>
      </c>
      <c r="C12" s="11">
        <f>B12/B$102</f>
        <v>9.6996549331532525E-2</v>
      </c>
      <c r="E12" s="201">
        <v>1</v>
      </c>
      <c r="F12" s="291" t="n">
        <v>1656.0</v>
      </c>
      <c r="G12" s="11">
        <f>F12/F$102</f>
        <v>2.4989569696010589E-2</v>
      </c>
      <c r="K12" s="8"/>
      <c r="L12" s="381"/>
    </row>
    <row r="13" spans="1:12" x14ac:dyDescent="0.25">
      <c r="A13">
        <v>2</v>
      </c>
      <c r="B13" s="8" t="n">
        <v>3735.470356412</v>
      </c>
      <c r="C13" s="11">
        <f ref="C13:C76" si="0" t="shared">B13/B$102</f>
        <v>4.6491062266773506E-2</v>
      </c>
      <c r="E13" s="202">
        <v>2</v>
      </c>
      <c r="F13" s="292" t="n">
        <v>2141.0</v>
      </c>
      <c r="G13" s="11">
        <f ref="G13:G76" si="1" t="shared">F13/F$102</f>
        <v>3.192392352069516E-2</v>
      </c>
    </row>
    <row r="14" spans="1:12" x14ac:dyDescent="0.25">
      <c r="A14">
        <v>3</v>
      </c>
      <c r="B14" s="8" t="n">
        <v>10344.441392063</v>
      </c>
      <c r="C14" s="11">
        <f si="0" t="shared"/>
        <v>0.12874525106266085</v>
      </c>
      <c r="E14" s="203">
        <v>3</v>
      </c>
      <c r="F14" s="293" t="n">
        <v>2824.0</v>
      </c>
      <c r="G14" s="11">
        <f si="1" t="shared"/>
        <v>4.06422189932239E-2</v>
      </c>
    </row>
    <row r="15" spans="1:12" x14ac:dyDescent="0.25">
      <c r="A15">
        <v>4</v>
      </c>
      <c r="B15" s="8" t="n">
        <v>8932.613710936801</v>
      </c>
      <c r="C15" s="11">
        <f si="0" t="shared"/>
        <v>0.11117387119063887</v>
      </c>
      <c r="E15" s="204">
        <v>4</v>
      </c>
      <c r="F15" s="294" t="n">
        <v>3619.0</v>
      </c>
      <c r="G15" s="11">
        <f si="1" t="shared"/>
        <v>4.9691406868175345E-2</v>
      </c>
    </row>
    <row r="16" spans="1:12" x14ac:dyDescent="0.25">
      <c r="A16">
        <v>5</v>
      </c>
      <c r="B16" s="8" t="n">
        <v>7772.9719798798</v>
      </c>
      <c r="C16" s="11">
        <f si="0" t="shared"/>
        <v>9.6741157025693761E-2</v>
      </c>
      <c r="E16" s="205">
        <v>5</v>
      </c>
      <c r="F16" s="295" t="n">
        <v>4023.0</v>
      </c>
      <c r="G16" s="11">
        <f si="1" t="shared"/>
        <v>5.4251967371131797E-2</v>
      </c>
    </row>
    <row r="17" spans="1:7" x14ac:dyDescent="0.25">
      <c r="A17">
        <v>6</v>
      </c>
      <c r="B17" s="8" t="n">
        <v>2858.2350266314997</v>
      </c>
      <c r="C17" s="11">
        <f si="0" t="shared"/>
        <v>3.5573132676077368E-2</v>
      </c>
      <c r="E17" s="206">
        <v>6</v>
      </c>
      <c r="F17" s="296" t="n">
        <v>3818.0</v>
      </c>
      <c r="G17" s="11">
        <f si="1" t="shared"/>
        <v>5.3849141837747631E-2</v>
      </c>
    </row>
    <row r="18" spans="1:7" x14ac:dyDescent="0.25">
      <c r="A18">
        <v>7</v>
      </c>
      <c r="B18" s="8" t="n">
        <v>4313.597982746</v>
      </c>
      <c r="C18" s="11">
        <f si="0" t="shared"/>
        <v>5.3686345567014342E-2</v>
      </c>
      <c r="E18" s="207">
        <v>7</v>
      </c>
      <c r="F18" s="297" t="n">
        <v>3941.0</v>
      </c>
      <c r="G18" s="11">
        <f si="1" t="shared"/>
        <v>5.4410220259247001E-2</v>
      </c>
    </row>
    <row r="19" spans="1:7" x14ac:dyDescent="0.25">
      <c r="A19">
        <v>8</v>
      </c>
      <c r="B19" s="8" t="n">
        <v>2572.6197710324</v>
      </c>
      <c r="C19" s="11">
        <f si="0" t="shared"/>
        <v>3.2018411217879926E-2</v>
      </c>
      <c r="E19" s="208">
        <v>8</v>
      </c>
      <c r="F19" s="298" t="n">
        <v>3754.0</v>
      </c>
      <c r="G19" s="11">
        <f si="1" t="shared"/>
        <v>5.2050813563711176E-2</v>
      </c>
    </row>
    <row r="20" spans="1:7" x14ac:dyDescent="0.25">
      <c r="A20">
        <v>9</v>
      </c>
      <c r="B20" s="8" t="n">
        <v>3660.3714713131</v>
      </c>
      <c r="C20" s="11">
        <f si="0" t="shared"/>
        <v>4.5556393641360611E-2</v>
      </c>
      <c r="E20" s="209">
        <v>9</v>
      </c>
      <c r="F20" s="299" t="n">
        <v>3428.0</v>
      </c>
      <c r="G20" s="11">
        <f si="1" t="shared"/>
        <v>4.7936238472715761E-2</v>
      </c>
    </row>
    <row r="21" spans="1:7" x14ac:dyDescent="0.25">
      <c r="A21">
        <v>10</v>
      </c>
      <c r="B21" s="8" t="n">
        <v>3311.574517039</v>
      </c>
      <c r="C21" s="11">
        <f si="0" t="shared"/>
        <v>4.1215322940107907E-2</v>
      </c>
      <c r="E21" s="210">
        <v>10</v>
      </c>
      <c r="F21" s="300" t="n">
        <v>3100.0</v>
      </c>
      <c r="G21" s="11">
        <f si="1" t="shared"/>
        <v>4.4411515055604311E-2</v>
      </c>
    </row>
    <row r="22" spans="1:7" x14ac:dyDescent="0.25">
      <c r="A22">
        <v>11</v>
      </c>
      <c r="B22" s="8" t="n">
        <v>4619.676631921</v>
      </c>
      <c r="C22" s="11">
        <f si="0" t="shared"/>
        <v>5.7495751124978137E-2</v>
      </c>
      <c r="E22" s="211">
        <v>11</v>
      </c>
      <c r="F22" s="301" t="n">
        <v>2978.0</v>
      </c>
      <c r="G22" s="11">
        <f si="1" t="shared"/>
        <v>4.0987498021838896E-2</v>
      </c>
    </row>
    <row r="23" spans="1:7" x14ac:dyDescent="0.25">
      <c r="A23">
        <v>12</v>
      </c>
      <c r="B23" s="8" t="n">
        <v>2028.2831630675</v>
      </c>
      <c r="C23" s="11">
        <f si="0" t="shared"/>
        <v>2.5243685488483922E-2</v>
      </c>
      <c r="E23" s="212">
        <v>12</v>
      </c>
      <c r="F23" s="302" t="n">
        <v>2776.0</v>
      </c>
      <c r="G23" s="11">
        <f si="1" t="shared"/>
        <v>3.83979053072264E-2</v>
      </c>
    </row>
    <row r="24" spans="1:7" x14ac:dyDescent="0.25">
      <c r="A24">
        <v>13</v>
      </c>
      <c r="B24" s="8" t="n">
        <v>916.304827295</v>
      </c>
      <c r="C24" s="11">
        <f si="0" t="shared"/>
        <v>1.1404182262614767E-2</v>
      </c>
      <c r="E24" s="213">
        <v>13</v>
      </c>
      <c r="F24" s="303" t="n">
        <v>2319.0</v>
      </c>
      <c r="G24" s="11">
        <f si="1" t="shared"/>
        <v>3.1535484613503285E-2</v>
      </c>
    </row>
    <row r="25" spans="1:7" x14ac:dyDescent="0.25">
      <c r="A25">
        <v>14</v>
      </c>
      <c r="B25" s="8" t="n">
        <v>382.798620244</v>
      </c>
      <c r="C25" s="11">
        <f si="0" t="shared"/>
        <v>4.7642499582014938E-3</v>
      </c>
      <c r="E25" s="214">
        <v>14</v>
      </c>
      <c r="F25" s="304" t="n">
        <v>1927.0</v>
      </c>
      <c r="G25" s="11">
        <f si="1" t="shared"/>
        <v>2.78956681868535E-2</v>
      </c>
    </row>
    <row r="26" spans="1:7" x14ac:dyDescent="0.25">
      <c r="A26">
        <v>15</v>
      </c>
      <c r="B26" s="8" t="n">
        <v>1240.5929396440001</v>
      </c>
      <c r="C26" s="11">
        <f si="0" t="shared"/>
        <v>1.5440219865673973E-2</v>
      </c>
      <c r="E26" s="215">
        <v>15</v>
      </c>
      <c r="F26" s="305" t="n">
        <v>1674.0</v>
      </c>
      <c r="G26" s="11">
        <f si="1" t="shared"/>
        <v>2.5147822584125797E-2</v>
      </c>
    </row>
    <row r="27" spans="1:7" x14ac:dyDescent="0.25">
      <c r="A27">
        <v>16</v>
      </c>
      <c r="B27" s="8" t="n">
        <v>220.761551912</v>
      </c>
      <c r="C27" s="11">
        <f si="0" t="shared"/>
        <v>2.7475627101237656E-3</v>
      </c>
      <c r="E27" s="216">
        <v>16</v>
      </c>
      <c r="F27" s="306" t="n">
        <v>1545.0</v>
      </c>
      <c r="G27" s="11">
        <f si="1" t="shared"/>
        <v>2.2313657224244342E-2</v>
      </c>
    </row>
    <row r="28" spans="1:7" x14ac:dyDescent="0.25">
      <c r="A28">
        <v>17</v>
      </c>
      <c r="B28" s="8" t="n">
        <v>962.746381958</v>
      </c>
      <c r="C28" s="11">
        <f si="0" t="shared"/>
        <v>1.1982186370155638E-2</v>
      </c>
      <c r="E28" s="217">
        <v>17</v>
      </c>
      <c r="F28" s="307" t="n">
        <v>1429.0</v>
      </c>
      <c r="G28" s="11">
        <f si="1" t="shared"/>
        <v>1.9465105238170598E-2</v>
      </c>
    </row>
    <row r="29" spans="1:7" x14ac:dyDescent="0.25">
      <c r="A29">
        <v>18</v>
      </c>
      <c r="B29" s="8" t="n">
        <v>1554.9298912069999</v>
      </c>
      <c r="C29" s="11">
        <f si="0" t="shared"/>
        <v>1.9352406924735558E-2</v>
      </c>
      <c r="E29" s="218">
        <v>18</v>
      </c>
      <c r="F29" s="308" t="n">
        <v>1271.0</v>
      </c>
      <c r="G29" s="11">
        <f si="1" t="shared"/>
        <v>1.8271015264210391E-2</v>
      </c>
    </row>
    <row r="30" spans="1:7" x14ac:dyDescent="0.25">
      <c r="A30">
        <v>19</v>
      </c>
      <c r="B30" s="8" t="n">
        <v>226.267136848</v>
      </c>
      <c r="C30" s="11">
        <f si="0" t="shared"/>
        <v>2.8160843332803321E-3</v>
      </c>
      <c r="E30" s="219">
        <v>19</v>
      </c>
      <c r="F30" s="309" t="n">
        <v>1214.0</v>
      </c>
      <c r="G30" s="11">
        <f si="1" t="shared"/>
        <v>1.7134471795019351E-2</v>
      </c>
    </row>
    <row r="31" spans="1:7" x14ac:dyDescent="0.25">
      <c r="A31">
        <v>20</v>
      </c>
      <c r="B31" s="8" t="n">
        <v>260.124522619</v>
      </c>
      <c r="C31" s="11">
        <f si="0" t="shared"/>
        <v>3.2374679021173382E-3</v>
      </c>
      <c r="E31" s="220">
        <v>20</v>
      </c>
      <c r="F31" s="310" t="n">
        <v>1123.0</v>
      </c>
      <c r="G31" s="11">
        <f si="1" t="shared"/>
        <v>1.6184954466328103E-2</v>
      </c>
    </row>
    <row r="32" spans="1:7" x14ac:dyDescent="0.25">
      <c r="A32">
        <v>21</v>
      </c>
      <c r="B32" s="8" t="n">
        <v>0.0</v>
      </c>
      <c r="C32" s="11">
        <f si="0" t="shared"/>
        <v>0</v>
      </c>
      <c r="E32" s="221">
        <v>21</v>
      </c>
      <c r="F32" s="311" t="n">
        <v>1120.0</v>
      </c>
      <c r="G32" s="11">
        <f si="1" t="shared"/>
        <v>1.4458559323253104E-2</v>
      </c>
    </row>
    <row r="33" spans="1:7" x14ac:dyDescent="0.25">
      <c r="A33">
        <v>22</v>
      </c>
      <c r="B33" s="8" t="n">
        <v>0.0</v>
      </c>
      <c r="C33" s="11">
        <f si="0" t="shared"/>
        <v>0</v>
      </c>
      <c r="E33" s="222">
        <v>22</v>
      </c>
      <c r="F33" s="312" t="n">
        <v>1029.0</v>
      </c>
      <c r="G33" s="11">
        <f si="1" t="shared"/>
        <v>1.563826267102102E-2</v>
      </c>
    </row>
    <row r="34" spans="1:7" x14ac:dyDescent="0.25">
      <c r="A34">
        <v>23</v>
      </c>
      <c r="B34" s="8" t="n">
        <v>1005.830285671</v>
      </c>
      <c r="C34" s="11">
        <f si="0" t="shared"/>
        <v>1.2518401694894741E-2</v>
      </c>
      <c r="E34" s="223">
        <v>23</v>
      </c>
      <c r="F34" s="313" t="n">
        <v>1029.0</v>
      </c>
      <c r="G34" s="11">
        <f si="1" t="shared"/>
        <v>1.4775065099483521E-2</v>
      </c>
    </row>
    <row r="35" spans="1:7" x14ac:dyDescent="0.25">
      <c r="A35">
        <v>24</v>
      </c>
      <c r="B35" s="8" t="n">
        <v>370.179993059</v>
      </c>
      <c r="C35" s="11">
        <f si="0" t="shared"/>
        <v>4.6072005571342264E-3</v>
      </c>
      <c r="E35" s="224">
        <v>24</v>
      </c>
      <c r="F35" s="314" t="n">
        <v>938.0</v>
      </c>
      <c r="G35" s="11">
        <f si="1" t="shared"/>
        <v>1.4487332575637687E-2</v>
      </c>
    </row>
    <row r="36" spans="1:7" x14ac:dyDescent="0.25">
      <c r="A36">
        <v>25</v>
      </c>
      <c r="B36" s="8" t="n">
        <v>149.392330387</v>
      </c>
      <c r="C36" s="11">
        <f si="0" t="shared"/>
        <v>1.8593128766979778E-3</v>
      </c>
      <c r="E36" s="225">
        <v>25</v>
      </c>
      <c r="F36" s="315" t="n">
        <v>969.0</v>
      </c>
      <c r="G36" s="11">
        <f si="1" t="shared"/>
        <v>1.3724841387446229E-2</v>
      </c>
    </row>
    <row r="37" spans="1:7" x14ac:dyDescent="0.25">
      <c r="A37">
        <v>26</v>
      </c>
      <c r="B37" s="8" t="n">
        <v>0.0</v>
      </c>
      <c r="C37" s="11">
        <f si="0" t="shared"/>
        <v>0</v>
      </c>
      <c r="E37" s="226">
        <v>26</v>
      </c>
      <c r="F37" s="316" t="n">
        <v>887.0</v>
      </c>
      <c r="G37" s="11">
        <f si="1" t="shared"/>
        <v>1.3422722237408105E-2</v>
      </c>
    </row>
    <row r="38" spans="1:7" x14ac:dyDescent="0.25">
      <c r="A38">
        <v>27</v>
      </c>
      <c r="B38" s="8" t="n">
        <v>864.013312875</v>
      </c>
      <c r="C38" s="11">
        <f si="0" t="shared"/>
        <v>1.0753370498374394E-2</v>
      </c>
      <c r="E38" s="227">
        <v>27</v>
      </c>
      <c r="F38" s="317" t="n">
        <v>881.0</v>
      </c>
      <c r="G38" s="11">
        <f si="1" t="shared"/>
        <v>1.3077443208793105E-2</v>
      </c>
    </row>
    <row r="39" spans="1:7" x14ac:dyDescent="0.25">
      <c r="A39">
        <v>28</v>
      </c>
      <c r="B39" s="8" t="n">
        <v>548.981735595</v>
      </c>
      <c r="C39" s="11">
        <f si="0" t="shared"/>
        <v>6.8325382395441319E-3</v>
      </c>
      <c r="E39" s="228">
        <v>28</v>
      </c>
      <c r="F39" s="318" t="n">
        <v>973.0</v>
      </c>
      <c r="G39" s="11">
        <f si="1" t="shared"/>
        <v>1.3408335611215814E-2</v>
      </c>
    </row>
    <row r="40" spans="1:7" x14ac:dyDescent="0.25">
      <c r="A40">
        <v>29</v>
      </c>
      <c r="B40" s="8" t="n">
        <v>248.443558839</v>
      </c>
      <c r="C40" s="11">
        <f si="0" t="shared"/>
        <v>3.0920885087299074E-3</v>
      </c>
      <c r="E40" s="229">
        <v>29</v>
      </c>
      <c r="F40" s="319" t="n">
        <v>944.0</v>
      </c>
      <c r="G40" s="11">
        <f si="1" t="shared"/>
        <v>1.3609748377907897E-2</v>
      </c>
    </row>
    <row r="41" spans="1:7" x14ac:dyDescent="0.25">
      <c r="A41">
        <v>30</v>
      </c>
      <c r="B41" s="8" t="n">
        <v>2061.516581278</v>
      </c>
      <c r="C41" s="11">
        <f si="0" t="shared"/>
        <v>2.5657303257584932E-2</v>
      </c>
      <c r="E41" s="230">
        <v>30</v>
      </c>
      <c r="F41" s="320" t="n">
        <v>881.0</v>
      </c>
      <c r="G41" s="11">
        <f si="1" t="shared"/>
        <v>1.2732164180178106E-2</v>
      </c>
    </row>
    <row r="42" spans="1:7" x14ac:dyDescent="0.25">
      <c r="A42">
        <v>31</v>
      </c>
      <c r="B42" s="8" t="n">
        <v>511.732065016</v>
      </c>
      <c r="C42" s="11">
        <f si="0" t="shared"/>
        <v>6.368934840488249E-3</v>
      </c>
      <c r="E42" s="231">
        <v>31</v>
      </c>
      <c r="F42" s="321" t="n">
        <v>880.0</v>
      </c>
      <c r="G42" s="11">
        <f si="1" t="shared"/>
        <v>1.1610007337179358E-2</v>
      </c>
    </row>
    <row r="43" spans="1:7" x14ac:dyDescent="0.25">
      <c r="A43">
        <v>32</v>
      </c>
      <c r="B43" s="8" t="n">
        <v>787.0772223570001</v>
      </c>
      <c r="C43" s="11">
        <f si="0" t="shared"/>
        <v>9.795836310291562E-3</v>
      </c>
      <c r="E43" s="232">
        <v>32</v>
      </c>
      <c r="F43" s="322" t="n">
        <v>751.0</v>
      </c>
      <c r="G43" s="11">
        <f si="1" t="shared"/>
        <v>1.1667553841948525E-2</v>
      </c>
    </row>
    <row r="44" spans="1:7" x14ac:dyDescent="0.25">
      <c r="A44">
        <v>33</v>
      </c>
      <c r="B44" s="8" t="n">
        <v>608.288957806</v>
      </c>
      <c r="C44" s="11">
        <f si="0" t="shared"/>
        <v>7.5706663727116439E-3</v>
      </c>
      <c r="E44" s="233">
        <v>33</v>
      </c>
      <c r="F44" s="323" t="n">
        <v>816.0</v>
      </c>
      <c r="G44" s="11">
        <f si="1" t="shared"/>
        <v>1.2185472384871023E-2</v>
      </c>
    </row>
    <row r="45" spans="1:7" x14ac:dyDescent="0.25">
      <c r="A45">
        <v>34</v>
      </c>
      <c r="B45" s="8" t="n">
        <v>219.37338559</v>
      </c>
      <c r="C45" s="11">
        <f si="0" t="shared"/>
        <v>2.7302858157155527E-3</v>
      </c>
      <c r="E45" s="234">
        <v>34</v>
      </c>
      <c r="F45" s="324" t="n">
        <v>745.0</v>
      </c>
      <c r="G45" s="11">
        <f si="1" t="shared"/>
        <v>1.1595620710987067E-2</v>
      </c>
    </row>
    <row r="46" spans="1:7" x14ac:dyDescent="0.25">
      <c r="A46">
        <v>35</v>
      </c>
      <c r="B46" s="8" t="n">
        <v>1361.497150079</v>
      </c>
      <c r="C46" s="11">
        <f si="0" t="shared"/>
        <v>1.6944974190922515E-2</v>
      </c>
      <c r="E46" s="235">
        <v>35</v>
      </c>
      <c r="F46" s="325" t="n">
        <v>628.0</v>
      </c>
      <c r="G46" s="11">
        <f si="1" t="shared"/>
        <v>9.9699319512581101E-3</v>
      </c>
    </row>
    <row r="47" spans="1:7" x14ac:dyDescent="0.25">
      <c r="A47">
        <v>36</v>
      </c>
      <c r="B47" s="8" t="n">
        <v>0.0</v>
      </c>
      <c r="C47" s="11">
        <f si="0" t="shared"/>
        <v>0</v>
      </c>
      <c r="E47" s="236">
        <v>36</v>
      </c>
      <c r="F47" s="326" t="n">
        <v>636.0</v>
      </c>
      <c r="G47" s="11">
        <f si="1" t="shared"/>
        <v>9.9267720726812347E-3</v>
      </c>
    </row>
    <row r="48" spans="1:7" x14ac:dyDescent="0.25">
      <c r="A48">
        <v>37</v>
      </c>
      <c r="B48" s="8" t="n">
        <v>0.0</v>
      </c>
      <c r="C48" s="11">
        <f si="0" t="shared"/>
        <v>0</v>
      </c>
      <c r="E48" s="237">
        <v>37</v>
      </c>
      <c r="F48" s="327" t="n">
        <v>578.0</v>
      </c>
      <c r="G48" s="11">
        <f si="1" t="shared"/>
        <v>9.4520134083356105E-3</v>
      </c>
    </row>
    <row r="49" spans="1:7" x14ac:dyDescent="0.25">
      <c r="A49">
        <v>38</v>
      </c>
      <c r="B49" s="8" t="n">
        <v>0.0</v>
      </c>
      <c r="C49" s="11">
        <f si="0" t="shared"/>
        <v>0</v>
      </c>
      <c r="E49" s="238">
        <v>38</v>
      </c>
      <c r="F49" s="328" t="n">
        <v>525.0</v>
      </c>
      <c r="G49" s="11">
        <f si="1" t="shared"/>
        <v>8.5168827058366547E-3</v>
      </c>
    </row>
    <row r="50" spans="1:7" x14ac:dyDescent="0.25">
      <c r="A50">
        <v>39</v>
      </c>
      <c r="B50" s="8" t="n">
        <v>620.932142854</v>
      </c>
      <c r="C50" s="11">
        <f si="0" t="shared"/>
        <v>7.728021416985505E-3</v>
      </c>
      <c r="E50" s="239">
        <v>39</v>
      </c>
      <c r="F50" s="329" t="n">
        <v>428.0</v>
      </c>
      <c r="G50" s="11">
        <f si="1" t="shared"/>
        <v>7.2508596009149898E-3</v>
      </c>
    </row>
    <row r="51" spans="1:7" x14ac:dyDescent="0.25">
      <c r="A51">
        <v>40</v>
      </c>
      <c r="B51" s="8" t="n">
        <v>0.0</v>
      </c>
      <c r="C51" s="11">
        <f si="0" t="shared"/>
        <v>0</v>
      </c>
      <c r="E51" s="240">
        <v>40</v>
      </c>
      <c r="F51" s="330" t="n">
        <v>432.0</v>
      </c>
      <c r="G51" s="11">
        <f si="1" t="shared"/>
        <v>6.0711562531470748E-3</v>
      </c>
    </row>
    <row r="52" spans="1:7" x14ac:dyDescent="0.25">
      <c r="A52">
        <v>41</v>
      </c>
      <c r="B52" s="8" t="n">
        <v>0.0</v>
      </c>
      <c r="C52" s="11">
        <f si="0" t="shared"/>
        <v>0</v>
      </c>
      <c r="E52" s="241">
        <v>41</v>
      </c>
      <c r="F52" s="331" t="n">
        <v>346.0</v>
      </c>
      <c r="G52" s="11">
        <f si="1" t="shared"/>
        <v>5.927289991224158E-3</v>
      </c>
    </row>
    <row r="53" spans="1:7" x14ac:dyDescent="0.25">
      <c r="A53">
        <v>42</v>
      </c>
      <c r="B53" s="8" t="n">
        <v>0.0</v>
      </c>
      <c r="C53" s="11">
        <f si="0" t="shared"/>
        <v>0</v>
      </c>
      <c r="E53" s="242">
        <v>42</v>
      </c>
      <c r="F53" s="332" t="n">
        <v>319.0</v>
      </c>
      <c r="G53" s="11">
        <f si="1" t="shared"/>
        <v>4.7332000172639515E-3</v>
      </c>
    </row>
    <row r="54" spans="1:7" x14ac:dyDescent="0.25">
      <c r="A54">
        <v>43</v>
      </c>
      <c r="B54" s="8" t="n">
        <v>0.0</v>
      </c>
      <c r="C54" s="11">
        <f si="0" t="shared"/>
        <v>0</v>
      </c>
      <c r="E54" s="243">
        <v>43</v>
      </c>
      <c r="F54" s="333" t="n">
        <v>260.0</v>
      </c>
      <c r="G54" s="11">
        <f si="1" t="shared"/>
        <v>4.8195197744177014E-3</v>
      </c>
    </row>
    <row r="55" spans="1:7" x14ac:dyDescent="0.25">
      <c r="A55">
        <v>44</v>
      </c>
      <c r="B55" s="8" t="n">
        <v>1310.847583535</v>
      </c>
      <c r="C55" s="11">
        <f si="0" t="shared"/>
        <v>1.6314597845426902E-2</v>
      </c>
      <c r="E55" s="244">
        <v>44</v>
      </c>
      <c r="F55" s="334" t="n">
        <v>215.0</v>
      </c>
      <c r="G55" s="11">
        <f si="1" t="shared"/>
        <v>4.1433483433799935E-3</v>
      </c>
    </row>
    <row r="56" spans="1:7" x14ac:dyDescent="0.25">
      <c r="A56">
        <v>45</v>
      </c>
      <c r="B56" s="8" t="n">
        <v>187.462250712</v>
      </c>
      <c r="C56" s="11">
        <f si="0" t="shared"/>
        <v>2.3331249719492761E-3</v>
      </c>
      <c r="E56" s="245">
        <v>45</v>
      </c>
      <c r="F56" s="335" t="n">
        <v>194.0</v>
      </c>
      <c r="G56" s="11">
        <f si="1" t="shared"/>
        <v>3.0931246313427039E-3</v>
      </c>
    </row>
    <row r="57" spans="1:7" x14ac:dyDescent="0.25">
      <c r="A57">
        <v>46</v>
      </c>
      <c r="B57" s="8" t="n">
        <v>411.941406586</v>
      </c>
      <c r="C57" s="11">
        <f si="0" t="shared"/>
        <v>5.126956382073263E-3</v>
      </c>
      <c r="E57" s="246">
        <v>46</v>
      </c>
      <c r="F57" s="336" t="n">
        <v>152.0</v>
      </c>
      <c r="G57" s="11">
        <f si="1" t="shared"/>
        <v>2.9492583694197875E-3</v>
      </c>
    </row>
    <row r="58" spans="1:7" x14ac:dyDescent="0.25">
      <c r="A58">
        <v>47</v>
      </c>
      <c r="B58" s="8" t="n">
        <v>0.0</v>
      </c>
      <c r="C58" s="11">
        <f si="0" t="shared"/>
        <v>0</v>
      </c>
      <c r="E58" s="247">
        <v>47</v>
      </c>
      <c r="F58" s="337" t="n">
        <v>116.0</v>
      </c>
      <c r="G58" s="11">
        <f si="1" t="shared"/>
        <v>2.2874735645743716E-3</v>
      </c>
    </row>
    <row r="59" spans="1:7" x14ac:dyDescent="0.25">
      <c r="A59">
        <v>48</v>
      </c>
      <c r="B59" s="8" t="n">
        <v>529.272159155</v>
      </c>
      <c r="C59" s="11">
        <f si="0" t="shared"/>
        <v>6.5872360264102774E-3</v>
      </c>
      <c r="E59" s="248">
        <v>48</v>
      </c>
      <c r="F59" s="338" t="n">
        <v>139.0</v>
      </c>
      <c r="G59" s="11">
        <f si="1" t="shared"/>
        <v>2.0860607978822887E-3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249">
        <v>49</v>
      </c>
      <c r="F60" s="339" t="n">
        <v>89.0</v>
      </c>
      <c r="G60" s="11">
        <f si="1" t="shared"/>
        <v>1.4818224978060395E-3</v>
      </c>
    </row>
    <row r="61" spans="1:7" x14ac:dyDescent="0.25">
      <c r="A61">
        <v>50</v>
      </c>
      <c r="B61" s="8" t="n">
        <v>0.0</v>
      </c>
      <c r="C61" s="11">
        <f si="0" t="shared"/>
        <v>0</v>
      </c>
      <c r="E61" s="250">
        <v>50</v>
      </c>
      <c r="F61" s="340" t="n">
        <v>89.0</v>
      </c>
      <c r="G61" s="11">
        <f si="1" t="shared"/>
        <v>1.6544620121135393E-3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251">
        <v>51</v>
      </c>
      <c r="F62" s="341" t="n">
        <v>75.0</v>
      </c>
      <c r="G62" s="11">
        <f si="1" t="shared"/>
        <v>1.4386626192291645E-3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252">
        <v>52</v>
      </c>
      <c r="F63" s="342" t="n">
        <v>69.0</v>
      </c>
      <c r="G63" s="11">
        <f si="1" t="shared"/>
        <v>9.9267720726812364E-4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253">
        <v>53</v>
      </c>
      <c r="F64" s="343" t="n">
        <v>56.0</v>
      </c>
      <c r="G64" s="11">
        <f si="1" t="shared"/>
        <v>8.4881094534520714E-4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254">
        <v>54</v>
      </c>
      <c r="F65" s="344" t="n">
        <v>43.0</v>
      </c>
      <c r="G65" s="11">
        <f si="1" t="shared"/>
        <v>7.4810456199916561E-4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255">
        <v>55</v>
      </c>
      <c r="F66" s="345" t="n">
        <v>33.0</v>
      </c>
      <c r="G66" s="11">
        <f si="1" t="shared"/>
        <v>6.4739817865312407E-4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256">
        <v>56</v>
      </c>
      <c r="F67" s="346" t="n">
        <v>36.0</v>
      </c>
      <c r="G67" s="11">
        <f si="1" t="shared"/>
        <v>4.45985411961041E-4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257">
        <v>57</v>
      </c>
      <c r="F68" s="347" t="n">
        <v>22.0</v>
      </c>
      <c r="G68" s="11">
        <f si="1" t="shared"/>
        <v>3.5966565480729113E-4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258">
        <v>58</v>
      </c>
      <c r="F69" s="348" t="n">
        <v>21.0</v>
      </c>
      <c r="G69" s="11">
        <f si="1" t="shared"/>
        <v>3.0211915003812456E-4</v>
      </c>
    </row>
    <row r="70" spans="1:7" x14ac:dyDescent="0.25">
      <c r="A70">
        <v>59</v>
      </c>
      <c r="B70" s="8" t="n">
        <v>619.342925768</v>
      </c>
      <c r="C70" s="11">
        <f si="0" t="shared"/>
        <v>7.7082422771580878E-3</v>
      </c>
      <c r="E70" s="259">
        <v>59</v>
      </c>
      <c r="F70" s="349" t="n">
        <v>17.0</v>
      </c>
      <c r="G70" s="11">
        <f si="1" t="shared"/>
        <v>2.7334589765354127E-4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260">
        <v>60</v>
      </c>
      <c r="F71" s="350" t="n">
        <v>13.0</v>
      </c>
      <c r="G71" s="11">
        <f si="1" t="shared"/>
        <v>2.589592714612496E-4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261">
        <v>61</v>
      </c>
      <c r="F72" s="351" t="n">
        <v>9.0</v>
      </c>
      <c r="G72" s="11">
        <f si="1" t="shared"/>
        <v>2.7334589765354127E-4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262">
        <v>62</v>
      </c>
      <c r="F73" s="352" t="n">
        <v>13.0</v>
      </c>
      <c r="G73" s="11">
        <f si="1" t="shared"/>
        <v>8.6319757153749879E-5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263">
        <v>63</v>
      </c>
      <c r="F74" s="353" t="n">
        <v>9.0</v>
      </c>
      <c r="G74" s="11">
        <f si="1" t="shared"/>
        <v>8.6319757153749879E-5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264">
        <v>64</v>
      </c>
      <c r="F75" s="354" t="n">
        <v>7.0</v>
      </c>
      <c r="G75" s="11">
        <f si="1" t="shared"/>
        <v>7.1933130961458235E-5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265">
        <v>65</v>
      </c>
      <c r="F76" s="355" t="n">
        <v>5.0</v>
      </c>
      <c r="G76" s="11">
        <f si="1" t="shared"/>
        <v>1.4386626192291647E-4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266">
        <v>66</v>
      </c>
      <c r="F77" s="356" t="n">
        <v>7.0</v>
      </c>
      <c r="G77" s="11">
        <f ref="G77:G102" si="3" t="shared">F77/F$102</f>
        <v>8.6319757153749879E-5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267">
        <v>67</v>
      </c>
      <c r="F78" s="357" t="n">
        <v>5.0</v>
      </c>
      <c r="G78" s="11">
        <f si="3" t="shared"/>
        <v>1.4386626192291647E-4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268">
        <v>68</v>
      </c>
      <c r="F79" s="358" t="n">
        <v>8.0</v>
      </c>
      <c r="G79" s="11">
        <f si="3" t="shared"/>
        <v>4.3159878576874939E-5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269">
        <v>69</v>
      </c>
      <c r="F80" s="359" t="n">
        <v>1.0</v>
      </c>
      <c r="G80" s="11">
        <f si="3" t="shared"/>
        <v>5.7546504769166584E-5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270">
        <v>70</v>
      </c>
      <c r="F81" s="360" t="n">
        <v>3.0</v>
      </c>
      <c r="G81" s="11">
        <f si="3" t="shared"/>
        <v>1.0070638334604152E-4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271">
        <v>71</v>
      </c>
      <c r="F82" s="361" t="n">
        <v>1.0</v>
      </c>
      <c r="G82" s="11">
        <f si="3" t="shared"/>
        <v>4.3159878576874939E-5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272">
        <v>72</v>
      </c>
      <c r="F83" s="362" t="n">
        <v>1.0</v>
      </c>
      <c r="G83" s="11">
        <f si="3" t="shared"/>
        <v>0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273">
        <v>73</v>
      </c>
      <c r="F84" s="363" t="n">
        <v>1.0</v>
      </c>
      <c r="G84" s="11">
        <f si="3" t="shared"/>
        <v>4.3159878576874939E-5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274">
        <v>74</v>
      </c>
      <c r="F85" s="364" t="n">
        <v>0.0</v>
      </c>
      <c r="G85" s="11">
        <f si="3" t="shared"/>
        <v>5.7546504769166584E-5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275">
        <v>75</v>
      </c>
      <c r="F86" s="365" t="n">
        <v>0.0</v>
      </c>
      <c r="G86" s="11">
        <f si="3" t="shared"/>
        <v>1.4386626192291646E-5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276">
        <v>76</v>
      </c>
      <c r="F87" s="366" t="n">
        <v>0.0</v>
      </c>
      <c r="G87" s="11">
        <f si="3" t="shared"/>
        <v>1.4386626192291646E-5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277">
        <v>77</v>
      </c>
      <c r="F88" s="367" t="n">
        <v>1.0</v>
      </c>
      <c r="G88" s="11">
        <f si="3" t="shared"/>
        <v>5.7546504769166584E-5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278">
        <v>78</v>
      </c>
      <c r="F89" s="368" t="n">
        <v>0.0</v>
      </c>
      <c r="G89" s="11">
        <f si="3" t="shared"/>
        <v>1.4386626192291646E-5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279">
        <v>79</v>
      </c>
      <c r="F90" s="369" t="n">
        <v>1.0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280">
        <v>80</v>
      </c>
      <c r="F91" s="370" t="n">
        <v>0.0</v>
      </c>
      <c r="G91" s="11">
        <f si="3" t="shared"/>
        <v>0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281">
        <v>81</v>
      </c>
      <c r="F92" s="371" t="n">
        <v>0.0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282">
        <v>82</v>
      </c>
      <c r="F93" s="372" t="n">
        <v>0.0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283">
        <v>83</v>
      </c>
      <c r="F94" s="373" t="n">
        <v>0.0</v>
      </c>
      <c r="G94" s="11">
        <f si="3" t="shared"/>
        <v>2.8773252384583292E-5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284">
        <v>84</v>
      </c>
      <c r="F95" s="374" t="n">
        <v>0.0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285">
        <v>85</v>
      </c>
      <c r="F96" s="375" t="n">
        <v>0.0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286">
        <v>86</v>
      </c>
      <c r="F97" s="376" t="n">
        <v>0.0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287">
        <v>87</v>
      </c>
      <c r="F98" s="377" t="n">
        <v>0.0</v>
      </c>
      <c r="G98" s="11">
        <f si="3" t="shared"/>
        <v>1.4386626192291646E-5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288">
        <v>88</v>
      </c>
      <c r="F99" s="378" t="n">
        <v>0.0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289">
        <v>89</v>
      </c>
      <c r="F100" s="379" t="n">
        <v>0.0</v>
      </c>
      <c r="G100" s="11">
        <f si="3" t="shared"/>
        <v>1.4386626192291646E-5</v>
      </c>
    </row>
    <row ht="15.75" r="101" spans="1:7" thickBot="1" x14ac:dyDescent="0.3">
      <c r="A101" s="1">
        <v>90</v>
      </c>
      <c r="B101" s="9" t="n">
        <v>224.140299381</v>
      </c>
      <c r="C101" s="11">
        <f si="2" t="shared"/>
        <v>2.7896140568023304E-3</v>
      </c>
      <c r="E101" s="382">
        <v>90</v>
      </c>
      <c r="F101" s="382" t="n">
        <v>0.0</v>
      </c>
      <c r="G101" s="11">
        <f si="3" t="shared"/>
        <v>0</v>
      </c>
    </row>
    <row r="102" spans="1:7" x14ac:dyDescent="0.25">
      <c r="B102" s="8">
        <f>SUM(B11:B101)</f>
        <v>80348.139497808093</v>
      </c>
      <c r="C102" s="11">
        <f si="2" t="shared"/>
        <v>1</v>
      </c>
      <c r="F102" s="8">
        <f>SUM(F11:F101)</f>
        <v>69509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opLeftCell="F1" workbookViewId="0">
      <selection activeCell="AC29" sqref="AC29"/>
    </sheetView>
  </sheetViews>
  <sheetFormatPr defaultRowHeight="15" x14ac:dyDescent="0.25"/>
  <cols>
    <col min="4" max="4" bestFit="true" customWidth="true" width="12.28515625" collapsed="true"/>
    <col min="13" max="14" bestFit="true" customWidth="true" width="10.7109375" collapsed="true"/>
    <col min="15" max="15" bestFit="true" customWidth="true" width="12.5703125" collapsed="true"/>
    <col min="16" max="16" bestFit="true" customWidth="true" width="10.7109375" collapsed="true"/>
    <col min="17" max="17" bestFit="true" customWidth="true" width="11.5703125" collapsed="true"/>
    <col min="18" max="18" bestFit="true" customWidth="true" width="10.7109375" collapsed="true"/>
    <col min="19" max="19" bestFit="true" customWidth="true" width="11.5703125" collapsed="true"/>
    <col min="20" max="20" bestFit="true" customWidth="true" width="9.28515625" collapsed="true"/>
    <col min="21" max="21" bestFit="true" customWidth="true" width="11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37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19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383" t="s">
        <v>248</v>
      </c>
      <c r="B7" s="12" t="n">
        <v>16958.7523226109</v>
      </c>
      <c r="C7" s="12" t="n">
        <v>1064.6801145748</v>
      </c>
      <c r="D7" s="12" t="n">
        <v>1316.8980800259</v>
      </c>
      <c r="E7" s="12" t="n">
        <v>781.901638796</v>
      </c>
      <c r="F7" s="12" t="n">
        <v>1306.229572005</v>
      </c>
      <c r="G7" s="12" t="n">
        <v>703.3970396990001</v>
      </c>
      <c r="H7" s="12" t="n">
        <v>2801.218170355</v>
      </c>
      <c r="I7" s="12"/>
      <c r="J7" s="12">
        <f>SUM(B7:I7)</f>
        <v>24933.076938066602</v>
      </c>
      <c r="K7" s="12"/>
      <c r="L7" t="str">
        <f>$A$7</f>
        <v>Bellevue</v>
      </c>
      <c r="M7" s="430" t="n">
        <v>12247.0</v>
      </c>
      <c r="N7" s="430" t="n">
        <v>2630.0</v>
      </c>
      <c r="O7" s="430" t="n">
        <v>1644.0</v>
      </c>
      <c r="P7" s="430" t="n">
        <v>2593.0</v>
      </c>
      <c r="Q7" s="430" t="n">
        <v>3051.0</v>
      </c>
      <c r="R7" s="430" t="n">
        <v>814.0</v>
      </c>
      <c r="S7" s="430" t="n">
        <v>3349.0</v>
      </c>
      <c r="T7" s="430"/>
      <c r="U7" s="431">
        <f>SUM(M7:T7)</f>
        <v>26250</v>
      </c>
    </row>
    <row r="8" spans="1:21" x14ac:dyDescent="0.25">
      <c r="A8" t="s">
        <v>249</v>
      </c>
      <c r="B8" s="12" t="n">
        <v>131.494048378</v>
      </c>
      <c r="C8" s="12" t="n">
        <v>354.2747928245</v>
      </c>
      <c r="D8" s="12" t="n">
        <v>0.0</v>
      </c>
      <c r="E8" s="12" t="n">
        <v>0.0</v>
      </c>
      <c r="F8" s="12" t="n">
        <v>0.0</v>
      </c>
      <c r="G8" s="12" t="n">
        <v>0.0</v>
      </c>
      <c r="H8" s="12" t="n">
        <v>0.0</v>
      </c>
      <c r="I8" s="12"/>
      <c r="J8" s="12">
        <f ref="J8:J14" si="0" t="shared">SUM(B8:I8)</f>
        <v>485.76884120250003</v>
      </c>
      <c r="K8" s="12"/>
      <c r="L8" t="str">
        <f>$A$8</f>
        <v>Bellevue Downtown</v>
      </c>
      <c r="M8" s="430" t="n">
        <v>680.0</v>
      </c>
      <c r="N8" s="430" t="n">
        <v>759.0</v>
      </c>
      <c r="O8" s="430" t="n">
        <v>100.0</v>
      </c>
      <c r="P8" s="430" t="n">
        <v>56.0</v>
      </c>
      <c r="Q8" s="430" t="n">
        <v>135.0</v>
      </c>
      <c r="R8" s="430" t="n">
        <v>29.0</v>
      </c>
      <c r="S8" s="430" t="n">
        <v>102.0</v>
      </c>
      <c r="T8" s="430"/>
      <c r="U8" s="431">
        <f ref="U8:U14" si="1" t="shared">SUM(M8:T8)</f>
        <v>1856</v>
      </c>
    </row>
    <row r="9" spans="1:21" x14ac:dyDescent="0.25">
      <c r="A9" t="s">
        <v>250</v>
      </c>
      <c r="B9" s="12" t="n">
        <v>0.0</v>
      </c>
      <c r="C9" s="12" t="n">
        <v>191.153539079</v>
      </c>
      <c r="D9" s="12" t="n">
        <v>22512.264472701</v>
      </c>
      <c r="E9" s="12" t="n">
        <v>2951.87033819</v>
      </c>
      <c r="F9" s="12" t="n">
        <v>707.178626424</v>
      </c>
      <c r="G9" s="12" t="n">
        <v>529.272159155</v>
      </c>
      <c r="H9" s="12" t="n">
        <v>3478.001713329</v>
      </c>
      <c r="I9" s="12"/>
      <c r="J9" s="12">
        <f si="0" t="shared"/>
        <v>30369.740848878002</v>
      </c>
      <c r="K9" s="13"/>
      <c r="L9" t="str">
        <f>$A$9</f>
        <v>Kirkland</v>
      </c>
      <c r="M9" s="430" t="n">
        <v>2010.0</v>
      </c>
      <c r="N9" s="430" t="n">
        <v>658.0</v>
      </c>
      <c r="O9" s="430" t="n">
        <v>10884.0</v>
      </c>
      <c r="P9" s="430" t="n">
        <v>2444.0</v>
      </c>
      <c r="Q9" s="430" t="n">
        <v>3330.0</v>
      </c>
      <c r="R9" s="430" t="n">
        <v>496.0</v>
      </c>
      <c r="S9" s="430" t="n">
        <v>3242.0</v>
      </c>
      <c r="T9" s="430"/>
      <c r="U9" s="431">
        <f si="1" t="shared"/>
        <v>23050</v>
      </c>
    </row>
    <row r="10" spans="1:21" x14ac:dyDescent="0.25">
      <c r="A10" t="s">
        <v>251</v>
      </c>
      <c r="B10" s="12" t="n">
        <v>609.158998074</v>
      </c>
      <c r="C10" s="12" t="n">
        <v>260.124522619</v>
      </c>
      <c r="D10" s="12" t="n">
        <v>5974.811841592</v>
      </c>
      <c r="E10" s="12" t="n">
        <v>13997.361400411999</v>
      </c>
      <c r="F10" s="12" t="n">
        <v>2700.348496165</v>
      </c>
      <c r="G10" s="12" t="n">
        <v>0.0</v>
      </c>
      <c r="H10" s="12" t="n">
        <v>1017.747610799</v>
      </c>
      <c r="I10" s="12"/>
      <c r="J10" s="12">
        <f si="0" t="shared"/>
        <v>24559.552869660998</v>
      </c>
      <c r="K10" s="13"/>
      <c r="L10" t="str">
        <f>$A$10</f>
        <v>Redmond</v>
      </c>
      <c r="M10" s="430" t="n">
        <v>2850.0</v>
      </c>
      <c r="N10" s="430" t="n">
        <v>541.0</v>
      </c>
      <c r="O10" s="430" t="n">
        <v>3094.0</v>
      </c>
      <c r="P10" s="430" t="n">
        <v>7297.0</v>
      </c>
      <c r="Q10" s="430" t="n">
        <v>1687.0</v>
      </c>
      <c r="R10" s="430" t="n">
        <v>290.0</v>
      </c>
      <c r="S10" s="430" t="n">
        <v>2569.0</v>
      </c>
      <c r="T10" s="430"/>
      <c r="U10" s="431">
        <f si="1" t="shared"/>
        <v>18316</v>
      </c>
    </row>
    <row r="11" spans="1:21" x14ac:dyDescent="0.25">
      <c r="A11" t="s">
        <v>247</v>
      </c>
      <c r="B11" s="12" t="n">
        <v>0.0</v>
      </c>
      <c r="C11" s="12" t="n">
        <v>0.0</v>
      </c>
      <c r="D11" s="12" t="n">
        <v>0.0</v>
      </c>
      <c r="E11" s="12" t="n">
        <v>0.0</v>
      </c>
      <c r="F11" s="12" t="n">
        <v>0.0</v>
      </c>
      <c r="G11" s="12" t="n">
        <v>0.0</v>
      </c>
      <c r="H11" s="12" t="n">
        <v>0.0</v>
      </c>
      <c r="I11" s="12"/>
      <c r="J11" s="12">
        <f si="0" t="shared"/>
        <v>0</v>
      </c>
      <c r="K11" s="13"/>
      <c r="L11" t="str">
        <f>$A$11</f>
        <v>Seattle</v>
      </c>
      <c r="M11" s="430" t="n">
        <v>0.0</v>
      </c>
      <c r="N11" s="430" t="n">
        <v>0.0</v>
      </c>
      <c r="O11" s="430" t="n">
        <v>0.0</v>
      </c>
      <c r="P11" s="430" t="n">
        <v>0.0</v>
      </c>
      <c r="Q11" s="430" t="n">
        <v>0.0</v>
      </c>
      <c r="R11" s="430" t="n">
        <v>0.0</v>
      </c>
      <c r="S11" s="430" t="n">
        <v>0.0</v>
      </c>
      <c r="T11" s="430"/>
      <c r="U11" s="431">
        <f si="1" t="shared"/>
        <v>0</v>
      </c>
    </row>
    <row r="12" spans="1:21" x14ac:dyDescent="0.25">
      <c r="A12" t="s">
        <v>252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12" t="n">
        <v>0.0</v>
      </c>
      <c r="I12" s="12"/>
      <c r="J12" s="12">
        <f si="0" t="shared"/>
        <v>0</v>
      </c>
      <c r="K12" s="13"/>
      <c r="L12" t="str">
        <f>$A$12</f>
        <v>Seattle Downtown</v>
      </c>
      <c r="M12" s="430" t="n">
        <v>0.0</v>
      </c>
      <c r="N12" s="430" t="n">
        <v>0.0</v>
      </c>
      <c r="O12" s="430" t="n">
        <v>0.0</v>
      </c>
      <c r="P12" s="430" t="n">
        <v>0.0</v>
      </c>
      <c r="Q12" s="430" t="n">
        <v>0.0</v>
      </c>
      <c r="R12" s="430" t="n">
        <v>0.0</v>
      </c>
      <c r="S12" s="430" t="n">
        <v>0.0</v>
      </c>
      <c r="T12" s="430"/>
      <c r="U12" s="431">
        <f si="1" t="shared"/>
        <v>0</v>
      </c>
    </row>
    <row r="13" spans="1:21" x14ac:dyDescent="0.25">
      <c r="A13" t="s">
        <v>253</v>
      </c>
      <c r="B13" s="12" t="n">
        <v>0.0</v>
      </c>
      <c r="C13" s="12" t="n">
        <v>0.0</v>
      </c>
      <c r="D13" s="12" t="n">
        <v>0.0</v>
      </c>
      <c r="E13" s="12" t="n">
        <v>0.0</v>
      </c>
      <c r="F13" s="12" t="n">
        <v>0.0</v>
      </c>
      <c r="G13" s="12" t="n">
        <v>0.0</v>
      </c>
      <c r="H13" s="12" t="n">
        <v>0.0</v>
      </c>
      <c r="I13" s="12"/>
      <c r="J13" s="12">
        <f si="0" t="shared"/>
        <v>0</v>
      </c>
      <c r="K13" s="13"/>
      <c r="L13" t="str">
        <f>$A$13</f>
        <v>Rest</v>
      </c>
      <c r="M13" s="430" t="n">
        <v>0.0</v>
      </c>
      <c r="N13" s="430" t="n">
        <v>0.0</v>
      </c>
      <c r="O13" s="430" t="n">
        <v>0.0</v>
      </c>
      <c r="P13" s="430" t="n">
        <v>0.0</v>
      </c>
      <c r="Q13" s="430" t="n">
        <v>0.0</v>
      </c>
      <c r="R13" s="430" t="n">
        <v>0.0</v>
      </c>
      <c r="S13" s="430" t="n">
        <v>0.0</v>
      </c>
      <c r="T13" s="430"/>
      <c r="U13" s="431">
        <f si="1" t="shared"/>
        <v>0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15" t="s">
        <v>13</v>
      </c>
      <c r="M14" s="432"/>
      <c r="N14" s="432"/>
      <c r="O14" s="432"/>
      <c r="P14" s="432"/>
      <c r="Q14" s="432"/>
      <c r="R14" s="432"/>
      <c r="S14" s="432"/>
      <c r="T14" s="432"/>
      <c r="U14" s="432">
        <f si="1" t="shared"/>
        <v>0</v>
      </c>
    </row>
    <row ht="15.75" r="15" spans="1:21" thickBot="1" x14ac:dyDescent="0.3">
      <c r="A15" s="1" t="s">
        <v>4</v>
      </c>
      <c r="B15" s="16">
        <f ref="B15:J15" si="2" t="shared">SUM(B7:B14)</f>
        <v>17699.405369062901</v>
      </c>
      <c r="C15" s="16">
        <f si="2" t="shared"/>
        <v>1870.2329690973002</v>
      </c>
      <c r="D15" s="16">
        <f si="2" t="shared"/>
        <v>29803.974394318902</v>
      </c>
      <c r="E15" s="16">
        <f si="2" t="shared"/>
        <v>17731.133377398</v>
      </c>
      <c r="F15" s="16">
        <f si="2" t="shared"/>
        <v>4713.7566945939998</v>
      </c>
      <c r="G15" s="16">
        <f si="2" t="shared"/>
        <v>1232.6691988540001</v>
      </c>
      <c r="H15" s="16">
        <f si="2" t="shared"/>
        <v>7296.9674944829994</v>
      </c>
      <c r="I15" s="16">
        <f si="2" t="shared"/>
        <v>0</v>
      </c>
      <c r="J15" s="16">
        <f si="2" t="shared"/>
        <v>80348.139497808108</v>
      </c>
      <c r="K15" s="12"/>
      <c r="L15" s="16" t="s">
        <v>4</v>
      </c>
      <c r="M15" s="433">
        <f ref="M15:U15" si="3" t="shared">SUM(M7:M14)</f>
        <v>18384</v>
      </c>
      <c r="N15" s="433">
        <f si="3" t="shared"/>
        <v>3956</v>
      </c>
      <c r="O15" s="433">
        <f si="3" t="shared"/>
        <v>15957</v>
      </c>
      <c r="P15" s="433">
        <f si="3" t="shared"/>
        <v>10902</v>
      </c>
      <c r="Q15" s="433">
        <f si="3" t="shared"/>
        <v>8753</v>
      </c>
      <c r="R15" s="433">
        <f si="3" t="shared"/>
        <v>1793</v>
      </c>
      <c r="S15" s="433">
        <f si="3" t="shared"/>
        <v>9727</v>
      </c>
      <c r="T15" s="433">
        <f si="3" t="shared"/>
        <v>0</v>
      </c>
      <c r="U15" s="433">
        <f si="3" t="shared"/>
        <v>69472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19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ref="B20:G20" si="4" t="shared">($U7/$J7)*B7</f>
        <v>17854.485010988621</v>
      </c>
      <c r="C20" s="12">
        <f si="4" t="shared"/>
        <v>1120.9147221183555</v>
      </c>
      <c r="D20" s="12">
        <f si="4" t="shared"/>
        <v>1386.4544150145493</v>
      </c>
      <c r="E20" s="12">
        <f si="4" t="shared"/>
        <v>823.20036429433071</v>
      </c>
      <c r="F20" s="12">
        <f si="4" t="shared"/>
        <v>1375.2224143976873</v>
      </c>
      <c r="G20" s="12">
        <f si="4" t="shared"/>
        <v>740.54928470976472</v>
      </c>
      <c r="H20" s="12">
        <f ref="H20" si="5" t="shared">($U7/$J7)*H7</f>
        <v>2949.1737884766935</v>
      </c>
      <c r="I20" s="12"/>
      <c r="J20" s="12">
        <f>SUM(B20:I20)</f>
        <v>26250</v>
      </c>
      <c r="K20" s="12"/>
      <c r="L20" t="str">
        <f>$A$7</f>
        <v>Bellevue</v>
      </c>
      <c r="M20" s="12">
        <f>M7</f>
        <v>12620</v>
      </c>
      <c r="N20" s="12">
        <f ref="N20:U20" si="6" t="shared">N7</f>
        <v>2265</v>
      </c>
      <c r="O20" s="12">
        <f si="6" t="shared"/>
        <v>1677</v>
      </c>
      <c r="P20" s="12">
        <f si="6" t="shared"/>
        <v>1960</v>
      </c>
      <c r="Q20" s="12">
        <f si="6" t="shared"/>
        <v>3244</v>
      </c>
      <c r="R20" s="12">
        <f si="6" t="shared"/>
        <v>919</v>
      </c>
      <c r="S20" s="12">
        <f si="6" t="shared"/>
        <v>3565</v>
      </c>
      <c r="T20" s="12"/>
      <c r="U20" s="12">
        <f si="6" t="shared"/>
        <v>26250</v>
      </c>
    </row>
    <row r="21" spans="1:32" x14ac:dyDescent="0.25">
      <c r="A21" t="str">
        <f>$A$8</f>
        <v>Bellevue Downtown</v>
      </c>
      <c r="B21" s="12">
        <f ref="B21:G26" si="7" t="shared">($U8/$J8)*B8</f>
        <v>502.40553343319704</v>
      </c>
      <c r="C21" s="12">
        <f si="7" t="shared"/>
        <v>1353.594466566803</v>
      </c>
      <c r="D21" s="12">
        <f si="7" t="shared"/>
        <v>0</v>
      </c>
      <c r="E21" s="12">
        <f si="7" t="shared"/>
        <v>0</v>
      </c>
      <c r="F21" s="12">
        <f si="7" t="shared"/>
        <v>0</v>
      </c>
      <c r="G21" s="12">
        <f si="7" t="shared"/>
        <v>0</v>
      </c>
      <c r="H21" s="12">
        <f ref="H21" si="8" t="shared">($U8/$J8)*H8</f>
        <v>0</v>
      </c>
      <c r="I21" s="12"/>
      <c r="J21" s="12">
        <f ref="J21:J27" si="9" t="shared">SUM(B21:I21)</f>
        <v>1856</v>
      </c>
      <c r="K21" s="12"/>
      <c r="L21" t="str">
        <f>$A$8</f>
        <v>Bellevue Downtown</v>
      </c>
      <c r="M21" s="12">
        <f ref="M21:U21" si="10" t="shared">M8</f>
        <v>735</v>
      </c>
      <c r="N21" s="12">
        <f si="10" t="shared"/>
        <v>651</v>
      </c>
      <c r="O21" s="12">
        <f si="10" t="shared"/>
        <v>111</v>
      </c>
      <c r="P21" s="12">
        <f si="10" t="shared"/>
        <v>41</v>
      </c>
      <c r="Q21" s="12">
        <f si="10" t="shared"/>
        <v>164</v>
      </c>
      <c r="R21" s="12">
        <f si="10" t="shared"/>
        <v>42</v>
      </c>
      <c r="S21" s="12">
        <f si="10" t="shared"/>
        <v>112</v>
      </c>
      <c r="T21" s="12"/>
      <c r="U21" s="12">
        <f si="10" t="shared"/>
        <v>1856</v>
      </c>
    </row>
    <row r="22" spans="1:32" x14ac:dyDescent="0.25">
      <c r="A22" t="str">
        <f>$A$9</f>
        <v>Kirkland</v>
      </c>
      <c r="B22" s="12">
        <f si="7" t="shared"/>
        <v>0</v>
      </c>
      <c r="C22" s="12">
        <f si="7" t="shared"/>
        <v>145.08155001045165</v>
      </c>
      <c r="D22" s="12">
        <f si="7" t="shared"/>
        <v>17086.339283495363</v>
      </c>
      <c r="E22" s="12">
        <f si="7" t="shared"/>
        <v>2240.4080309362676</v>
      </c>
      <c r="F22" s="12">
        <f si="7" t="shared"/>
        <v>536.73383056462308</v>
      </c>
      <c r="G22" s="12">
        <f si="7" t="shared"/>
        <v>401.70653181498795</v>
      </c>
      <c r="H22" s="12">
        <f ref="H22" si="11" t="shared">($U9/$J9)*H9</f>
        <v>2639.7307731783035</v>
      </c>
      <c r="I22" s="12"/>
      <c r="J22" s="12">
        <f si="9" t="shared"/>
        <v>23049.999999999996</v>
      </c>
      <c r="K22" s="13"/>
      <c r="L22" t="str">
        <f>$A$9</f>
        <v>Kirkland</v>
      </c>
      <c r="M22" s="12">
        <f ref="M22:U22" si="12" t="shared">M9</f>
        <v>2069</v>
      </c>
      <c r="N22" s="12">
        <f si="12" t="shared"/>
        <v>588</v>
      </c>
      <c r="O22" s="12">
        <f si="12" t="shared"/>
        <v>10957</v>
      </c>
      <c r="P22" s="12">
        <f si="12" t="shared"/>
        <v>2006</v>
      </c>
      <c r="Q22" s="12">
        <f si="12" t="shared"/>
        <v>3549</v>
      </c>
      <c r="R22" s="12">
        <f si="12" t="shared"/>
        <v>493</v>
      </c>
      <c r="S22" s="12">
        <f si="12" t="shared"/>
        <v>3388</v>
      </c>
      <c r="T22" s="12"/>
      <c r="U22" s="12">
        <f si="12" t="shared"/>
        <v>23050</v>
      </c>
    </row>
    <row r="23" spans="1:32" x14ac:dyDescent="0.25">
      <c r="A23" t="str">
        <f>$A$10</f>
        <v>Redmond</v>
      </c>
      <c r="B23" s="12">
        <f si="7" t="shared"/>
        <v>454.29801869505258</v>
      </c>
      <c r="C23" s="12">
        <f si="7" t="shared"/>
        <v>193.99541928042311</v>
      </c>
      <c r="D23" s="12">
        <f si="7" t="shared"/>
        <v>4455.8894973119113</v>
      </c>
      <c r="E23" s="12">
        <f si="7" t="shared"/>
        <v>10438.938883396902</v>
      </c>
      <c r="F23" s="12">
        <f si="7" t="shared"/>
        <v>2013.8633353075716</v>
      </c>
      <c r="G23" s="12">
        <f si="7" t="shared"/>
        <v>0</v>
      </c>
      <c r="H23" s="12">
        <f ref="H23" si="13" t="shared">($U10/$J10)*H10</f>
        <v>759.01484600813865</v>
      </c>
      <c r="I23" s="12"/>
      <c r="J23" s="12">
        <f>SUM(B23:I23)</f>
        <v>18316</v>
      </c>
      <c r="K23" s="13"/>
      <c r="L23" t="str">
        <f>$A$10</f>
        <v>Redmond</v>
      </c>
      <c r="M23" s="12">
        <f ref="M23:S23" si="14" t="shared">M10</f>
        <v>2960</v>
      </c>
      <c r="N23" s="12">
        <f si="14" t="shared"/>
        <v>452</v>
      </c>
      <c r="O23" s="12">
        <f si="14" t="shared"/>
        <v>3212</v>
      </c>
      <c r="P23" s="12">
        <f si="14" t="shared"/>
        <v>6895</v>
      </c>
      <c r="Q23" s="12">
        <f si="14" t="shared"/>
        <v>1796</v>
      </c>
      <c r="R23" s="12">
        <f si="14" t="shared"/>
        <v>339</v>
      </c>
      <c r="S23" s="12">
        <f si="14" t="shared"/>
        <v>2662</v>
      </c>
      <c r="T23" s="12"/>
      <c r="U23" s="12">
        <f ref="U23" si="15" t="shared">U10</f>
        <v>18316</v>
      </c>
    </row>
    <row r="24" spans="1:32" x14ac:dyDescent="0.25">
      <c r="A24" t="str">
        <f>$A$11</f>
        <v>Seattle</v>
      </c>
      <c r="B24" s="12" t="e">
        <f si="7" t="shared"/>
        <v>#DIV/0!</v>
      </c>
      <c r="C24" s="12" t="e">
        <f si="7" t="shared"/>
        <v>#DIV/0!</v>
      </c>
      <c r="D24" s="12" t="e">
        <f si="7" t="shared"/>
        <v>#DIV/0!</v>
      </c>
      <c r="E24" s="12" t="e">
        <f si="7" t="shared"/>
        <v>#DIV/0!</v>
      </c>
      <c r="F24" s="12" t="e">
        <f si="7" t="shared"/>
        <v>#DIV/0!</v>
      </c>
      <c r="G24" s="12" t="e">
        <f si="7" t="shared"/>
        <v>#DIV/0!</v>
      </c>
      <c r="H24" s="12" t="e">
        <f ref="H24" si="16" t="shared">($U11/$J11)*H11</f>
        <v>#DIV/0!</v>
      </c>
      <c r="I24" s="12"/>
      <c r="J24" s="12" t="e">
        <f si="9" t="shared"/>
        <v>#DIV/0!</v>
      </c>
      <c r="K24" s="13"/>
      <c r="L24" t="str">
        <f>$A$11</f>
        <v>Seattle</v>
      </c>
      <c r="M24" s="12">
        <f ref="M24:S24" si="17" t="shared">M11</f>
        <v>0</v>
      </c>
      <c r="N24" s="12">
        <f si="17" t="shared"/>
        <v>0</v>
      </c>
      <c r="O24" s="12">
        <f si="17" t="shared"/>
        <v>0</v>
      </c>
      <c r="P24" s="12">
        <f si="17" t="shared"/>
        <v>0</v>
      </c>
      <c r="Q24" s="12">
        <f si="17" t="shared"/>
        <v>0</v>
      </c>
      <c r="R24" s="12">
        <f si="17" t="shared"/>
        <v>0</v>
      </c>
      <c r="S24" s="12">
        <f si="17" t="shared"/>
        <v>0</v>
      </c>
      <c r="T24" s="12"/>
      <c r="U24" s="12">
        <f ref="U24" si="18" t="shared">U11</f>
        <v>0</v>
      </c>
    </row>
    <row r="25" spans="1:32" x14ac:dyDescent="0.25">
      <c r="A25" t="str">
        <f>$A$12</f>
        <v>Seattle Downtown</v>
      </c>
      <c r="B25" s="12" t="e">
        <f si="7" t="shared"/>
        <v>#DIV/0!</v>
      </c>
      <c r="C25" s="12" t="e">
        <f si="7" t="shared"/>
        <v>#DIV/0!</v>
      </c>
      <c r="D25" s="12" t="e">
        <f si="7" t="shared"/>
        <v>#DIV/0!</v>
      </c>
      <c r="E25" s="12" t="e">
        <f si="7" t="shared"/>
        <v>#DIV/0!</v>
      </c>
      <c r="F25" s="12" t="e">
        <f si="7" t="shared"/>
        <v>#DIV/0!</v>
      </c>
      <c r="G25" s="12" t="e">
        <f si="7" t="shared"/>
        <v>#DIV/0!</v>
      </c>
      <c r="H25" s="12" t="e">
        <f ref="H25" si="19" t="shared">($U12/$J12)*H12</f>
        <v>#DIV/0!</v>
      </c>
      <c r="I25" s="12"/>
      <c r="J25" s="12" t="e">
        <f si="9" t="shared"/>
        <v>#DIV/0!</v>
      </c>
      <c r="K25" s="13"/>
      <c r="L25" t="str">
        <f>$A$12</f>
        <v>Seattle Downtown</v>
      </c>
      <c r="M25" s="12">
        <f ref="M25:S26" si="20" t="shared">M12</f>
        <v>0</v>
      </c>
      <c r="N25" s="12">
        <f si="20" t="shared"/>
        <v>0</v>
      </c>
      <c r="O25" s="12">
        <f si="20" t="shared"/>
        <v>0</v>
      </c>
      <c r="P25" s="12">
        <f si="20" t="shared"/>
        <v>0</v>
      </c>
      <c r="Q25" s="12">
        <f si="20" t="shared"/>
        <v>0</v>
      </c>
      <c r="R25" s="12">
        <f si="20" t="shared"/>
        <v>0</v>
      </c>
      <c r="S25" s="12">
        <f si="20" t="shared"/>
        <v>0</v>
      </c>
      <c r="T25" s="12"/>
      <c r="U25" s="12">
        <f ref="U25:U26" si="21" t="shared">U12</f>
        <v>0</v>
      </c>
    </row>
    <row r="26" spans="1:32" x14ac:dyDescent="0.25">
      <c r="A26" t="str">
        <f>$A$13</f>
        <v>Rest</v>
      </c>
      <c r="B26" s="12" t="e">
        <f si="7" t="shared"/>
        <v>#DIV/0!</v>
      </c>
      <c r="C26" s="12" t="e">
        <f si="7" t="shared"/>
        <v>#DIV/0!</v>
      </c>
      <c r="D26" s="12" t="e">
        <f si="7" t="shared"/>
        <v>#DIV/0!</v>
      </c>
      <c r="E26" s="12" t="e">
        <f si="7" t="shared"/>
        <v>#DIV/0!</v>
      </c>
      <c r="F26" s="12" t="e">
        <f si="7" t="shared"/>
        <v>#DIV/0!</v>
      </c>
      <c r="G26" s="12" t="e">
        <f si="7" t="shared"/>
        <v>#DIV/0!</v>
      </c>
      <c r="H26" s="12" t="e">
        <f ref="H26" si="22" t="shared">($U13/$J13)*H13</f>
        <v>#DIV/0!</v>
      </c>
      <c r="I26" s="12"/>
      <c r="J26" s="12" t="e">
        <f si="9" t="shared"/>
        <v>#DIV/0!</v>
      </c>
      <c r="K26" s="13"/>
      <c r="L26" t="str">
        <f>$A$13</f>
        <v>Rest</v>
      </c>
      <c r="M26" s="12">
        <f si="20" t="shared"/>
        <v>0</v>
      </c>
      <c r="N26" s="12">
        <f si="20" t="shared"/>
        <v>0</v>
      </c>
      <c r="O26" s="12">
        <f si="20" t="shared"/>
        <v>0</v>
      </c>
      <c r="P26" s="12">
        <f si="20" t="shared"/>
        <v>0</v>
      </c>
      <c r="Q26" s="12">
        <f si="20" t="shared"/>
        <v>0</v>
      </c>
      <c r="R26" s="12">
        <f si="20" t="shared"/>
        <v>0</v>
      </c>
      <c r="S26" s="12">
        <f si="20" t="shared"/>
        <v>0</v>
      </c>
      <c r="T26" s="12"/>
      <c r="U26" s="12">
        <f si="21" t="shared"/>
        <v>0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si="9" t="shared"/>
        <v>0</v>
      </c>
      <c r="K27" s="12"/>
      <c r="L27" s="15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6" t="e">
        <f ref="B28:J28" si="23" t="shared">SUM(B20:B27)</f>
        <v>#DIV/0!</v>
      </c>
      <c r="C28" s="16" t="e">
        <f si="23" t="shared"/>
        <v>#DIV/0!</v>
      </c>
      <c r="D28" s="16" t="e">
        <f si="23" t="shared"/>
        <v>#DIV/0!</v>
      </c>
      <c r="E28" s="16" t="e">
        <f si="23" t="shared"/>
        <v>#DIV/0!</v>
      </c>
      <c r="F28" s="16" t="e">
        <f si="23" t="shared"/>
        <v>#DIV/0!</v>
      </c>
      <c r="G28" s="16" t="e">
        <f si="23" t="shared"/>
        <v>#DIV/0!</v>
      </c>
      <c r="H28" s="16" t="e">
        <f si="23" t="shared"/>
        <v>#DIV/0!</v>
      </c>
      <c r="I28" s="16">
        <f si="23" t="shared"/>
        <v>0</v>
      </c>
      <c r="J28" s="16" t="e">
        <f si="23" t="shared"/>
        <v>#DIV/0!</v>
      </c>
      <c r="K28" s="12"/>
      <c r="L28" s="16" t="s">
        <v>4</v>
      </c>
      <c r="M28" s="16">
        <f ref="M28:U28" si="24" t="shared">M15</f>
        <v>18384</v>
      </c>
      <c r="N28" s="16">
        <f si="24" t="shared"/>
        <v>3956</v>
      </c>
      <c r="O28" s="16">
        <f si="24" t="shared"/>
        <v>15957</v>
      </c>
      <c r="P28" s="16">
        <f si="24" t="shared"/>
        <v>10902</v>
      </c>
      <c r="Q28" s="16">
        <f si="24" t="shared"/>
        <v>8753</v>
      </c>
      <c r="R28" s="16">
        <f si="24" t="shared"/>
        <v>1793</v>
      </c>
      <c r="S28" s="16">
        <f si="24" t="shared"/>
        <v>9727</v>
      </c>
      <c r="T28" s="16"/>
      <c r="U28" s="16">
        <f si="24" t="shared"/>
        <v>69472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19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19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7" t="e">
        <f ref="B33:G33" si="25" t="shared">B20/$J$28</f>
        <v>#DIV/0!</v>
      </c>
      <c r="C33" s="17" t="e">
        <f si="25" t="shared"/>
        <v>#DIV/0!</v>
      </c>
      <c r="D33" s="17" t="e">
        <f si="25" t="shared"/>
        <v>#DIV/0!</v>
      </c>
      <c r="E33" s="17" t="e">
        <f si="25" t="shared"/>
        <v>#DIV/0!</v>
      </c>
      <c r="F33" s="17" t="e">
        <f si="25" t="shared"/>
        <v>#DIV/0!</v>
      </c>
      <c r="G33" s="17" t="e">
        <f si="25" t="shared"/>
        <v>#DIV/0!</v>
      </c>
      <c r="H33" s="17" t="e">
        <f ref="H33" si="26" t="shared">H20/$J$28</f>
        <v>#DIV/0!</v>
      </c>
      <c r="I33" s="12"/>
      <c r="J33" s="17" t="e">
        <f ref="J33:J39" si="27" t="shared">J20/$J$28</f>
        <v>#DIV/0!</v>
      </c>
      <c r="K33" s="12"/>
      <c r="L33" t="str">
        <f>$A$7</f>
        <v>Bellevue</v>
      </c>
      <c r="M33" s="17">
        <f ref="M33:R33" si="28" t="shared">M20/$U$28</f>
        <v>0.18165591893136804</v>
      </c>
      <c r="N33" s="17">
        <f si="28" t="shared"/>
        <v>3.2603063104560112E-2</v>
      </c>
      <c r="O33" s="17">
        <f si="28" t="shared"/>
        <v>2.4139221556886227E-2</v>
      </c>
      <c r="P33" s="17">
        <f si="28" t="shared"/>
        <v>2.8212805158912942E-2</v>
      </c>
      <c r="Q33" s="17">
        <f si="28" t="shared"/>
        <v>4.6695071395670196E-2</v>
      </c>
      <c r="R33" s="17">
        <f si="28" t="shared"/>
        <v>1.3228350990327039E-2</v>
      </c>
      <c r="S33" s="17">
        <f ref="S33" si="29" t="shared">S20/$U$28</f>
        <v>5.1315637954859515E-2</v>
      </c>
      <c r="T33" s="17"/>
      <c r="U33" s="17">
        <f>U20/$U$28</f>
        <v>0.37785006909258406</v>
      </c>
      <c r="W33" t="str">
        <f>$A$7</f>
        <v>Bellevue</v>
      </c>
      <c r="X33" s="17" t="e">
        <f>M33-B33</f>
        <v>#DIV/0!</v>
      </c>
      <c r="Y33" s="17" t="e">
        <f ref="Y33:Y35" si="30" t="shared">N33-C33</f>
        <v>#DIV/0!</v>
      </c>
      <c r="Z33" s="17" t="e">
        <f ref="Z33:Z35" si="31" t="shared">O33-D33</f>
        <v>#DIV/0!</v>
      </c>
      <c r="AA33" s="17" t="e">
        <f ref="AA33" si="32" t="shared">P33-E33</f>
        <v>#DIV/0!</v>
      </c>
      <c r="AB33" s="17" t="e">
        <f ref="AB33" si="33" t="shared">Q33-F33</f>
        <v>#DIV/0!</v>
      </c>
      <c r="AC33" s="17" t="e">
        <f ref="AC33:AD33" si="34" t="shared">R33-G33</f>
        <v>#DIV/0!</v>
      </c>
      <c r="AD33" s="17" t="e">
        <f si="34" t="shared"/>
        <v>#DIV/0!</v>
      </c>
      <c r="AE33" s="17"/>
      <c r="AF33" s="17" t="e">
        <f ref="AF33:AF39" si="35" t="shared">U33-J33</f>
        <v>#DIV/0!</v>
      </c>
    </row>
    <row r="34" spans="1:32" x14ac:dyDescent="0.25">
      <c r="A34" t="str">
        <f>$A$8</f>
        <v>Bellevue Downtown</v>
      </c>
      <c r="B34" s="17" t="e">
        <f ref="B34:G39" si="36" t="shared">B21/$J$28</f>
        <v>#DIV/0!</v>
      </c>
      <c r="C34" s="17" t="e">
        <f si="36" t="shared"/>
        <v>#DIV/0!</v>
      </c>
      <c r="D34" s="17" t="e">
        <f si="36" t="shared"/>
        <v>#DIV/0!</v>
      </c>
      <c r="E34" s="17" t="e">
        <f si="36" t="shared"/>
        <v>#DIV/0!</v>
      </c>
      <c r="F34" s="17" t="e">
        <f si="36" t="shared"/>
        <v>#DIV/0!</v>
      </c>
      <c r="G34" s="17" t="e">
        <f si="36" t="shared"/>
        <v>#DIV/0!</v>
      </c>
      <c r="H34" s="17" t="e">
        <f ref="H34" si="37" t="shared">H21/$J$28</f>
        <v>#DIV/0!</v>
      </c>
      <c r="I34" s="12"/>
      <c r="J34" s="17" t="e">
        <f si="27" t="shared"/>
        <v>#DIV/0!</v>
      </c>
      <c r="K34" s="12"/>
      <c r="L34" t="str">
        <f>$A$8</f>
        <v>Bellevue Downtown</v>
      </c>
      <c r="M34" s="17">
        <f ref="M34:R36" si="38" t="shared">M21/$U$28</f>
        <v>1.0579801934592353E-2</v>
      </c>
      <c r="N34" s="17">
        <f si="38" t="shared"/>
        <v>9.3706817134960839E-3</v>
      </c>
      <c r="O34" s="17">
        <f si="38" t="shared"/>
        <v>1.5977660064486411E-3</v>
      </c>
      <c r="P34" s="17">
        <f si="38" t="shared"/>
        <v>5.9016582220175039E-4</v>
      </c>
      <c r="Q34" s="17">
        <f si="38" t="shared"/>
        <v>2.3606632888070016E-3</v>
      </c>
      <c r="R34" s="17">
        <f si="38" t="shared"/>
        <v>6.0456011054813453E-4</v>
      </c>
      <c r="S34" s="17">
        <f ref="S34" si="39" t="shared">S21/$U$28</f>
        <v>1.6121602947950253E-3</v>
      </c>
      <c r="T34" s="17"/>
      <c r="U34" s="17">
        <f>U21/$U$28</f>
        <v>2.6715799170888992E-2</v>
      </c>
      <c r="W34" t="str">
        <f>$A$8</f>
        <v>Bellevue Downtown</v>
      </c>
      <c r="X34" s="17" t="e">
        <f ref="X34:X35" si="40" t="shared">M34-B34</f>
        <v>#DIV/0!</v>
      </c>
      <c r="Y34" s="17" t="e">
        <f si="30" t="shared"/>
        <v>#DIV/0!</v>
      </c>
      <c r="Z34" s="17" t="e">
        <f si="31" t="shared"/>
        <v>#DIV/0!</v>
      </c>
      <c r="AA34" s="17" t="e">
        <f ref="AA34:AA38" si="41" t="shared">P34-E34</f>
        <v>#DIV/0!</v>
      </c>
      <c r="AB34" s="17" t="e">
        <f ref="AB34:AB38" si="42" t="shared">Q34-F34</f>
        <v>#DIV/0!</v>
      </c>
      <c r="AC34" s="17" t="e">
        <f ref="AC34:AD38" si="43" t="shared">R34-G34</f>
        <v>#DIV/0!</v>
      </c>
      <c r="AD34" s="17" t="e">
        <f si="43" t="shared"/>
        <v>#DIV/0!</v>
      </c>
      <c r="AE34" s="17"/>
      <c r="AF34" s="17" t="e">
        <f si="35" t="shared"/>
        <v>#DIV/0!</v>
      </c>
    </row>
    <row r="35" spans="1:32" x14ac:dyDescent="0.25">
      <c r="A35" t="str">
        <f>$A$9</f>
        <v>Kirkland</v>
      </c>
      <c r="B35" s="17" t="e">
        <f si="36" t="shared"/>
        <v>#DIV/0!</v>
      </c>
      <c r="C35" s="17" t="e">
        <f si="36" t="shared"/>
        <v>#DIV/0!</v>
      </c>
      <c r="D35" s="17" t="e">
        <f si="36" t="shared"/>
        <v>#DIV/0!</v>
      </c>
      <c r="E35" s="17" t="e">
        <f si="36" t="shared"/>
        <v>#DIV/0!</v>
      </c>
      <c r="F35" s="17" t="e">
        <f si="36" t="shared"/>
        <v>#DIV/0!</v>
      </c>
      <c r="G35" s="17" t="e">
        <f si="36" t="shared"/>
        <v>#DIV/0!</v>
      </c>
      <c r="H35" s="17" t="e">
        <f ref="H35" si="44" t="shared">H22/$J$28</f>
        <v>#DIV/0!</v>
      </c>
      <c r="I35" s="12"/>
      <c r="J35" s="17" t="e">
        <f si="27" t="shared"/>
        <v>#DIV/0!</v>
      </c>
      <c r="K35" s="13"/>
      <c r="L35" t="str">
        <f>$A$9</f>
        <v>Kirkland</v>
      </c>
      <c r="M35" s="17">
        <f si="38" t="shared"/>
        <v>2.9781782588668815E-2</v>
      </c>
      <c r="N35" s="17">
        <f si="38" t="shared"/>
        <v>8.4638415476738834E-3</v>
      </c>
      <c r="O35" s="17">
        <f si="38" t="shared"/>
        <v>0.15771821741133119</v>
      </c>
      <c r="P35" s="17">
        <f si="38" t="shared"/>
        <v>2.8874942422846616E-2</v>
      </c>
      <c r="Q35" s="17">
        <f si="38" t="shared"/>
        <v>5.1085329341317362E-2</v>
      </c>
      <c r="R35" s="17">
        <f si="38" t="shared"/>
        <v>7.096384154767388E-3</v>
      </c>
      <c r="S35" s="17">
        <f ref="S35" si="45" t="shared">S22/$U$28</f>
        <v>4.8767848917549518E-2</v>
      </c>
      <c r="T35" s="17"/>
      <c r="U35" s="17">
        <f>U22/$U$28</f>
        <v>0.33178834638415478</v>
      </c>
      <c r="W35" t="str">
        <f>$A$9</f>
        <v>Kirkland</v>
      </c>
      <c r="X35" s="17" t="e">
        <f si="40" t="shared"/>
        <v>#DIV/0!</v>
      </c>
      <c r="Y35" s="17" t="e">
        <f si="30" t="shared"/>
        <v>#DIV/0!</v>
      </c>
      <c r="Z35" s="17" t="e">
        <f si="31" t="shared"/>
        <v>#DIV/0!</v>
      </c>
      <c r="AA35" s="17" t="e">
        <f si="41" t="shared"/>
        <v>#DIV/0!</v>
      </c>
      <c r="AB35" s="17" t="e">
        <f si="42" t="shared"/>
        <v>#DIV/0!</v>
      </c>
      <c r="AC35" s="17" t="e">
        <f si="43" t="shared"/>
        <v>#DIV/0!</v>
      </c>
      <c r="AD35" s="17" t="e">
        <f si="43" t="shared"/>
        <v>#DIV/0!</v>
      </c>
      <c r="AE35" s="17"/>
      <c r="AF35" s="17" t="e">
        <f si="35" t="shared"/>
        <v>#DIV/0!</v>
      </c>
    </row>
    <row r="36" spans="1:32" x14ac:dyDescent="0.25">
      <c r="A36" t="str">
        <f>$A$10</f>
        <v>Redmond</v>
      </c>
      <c r="B36" s="17" t="e">
        <f si="36" t="shared"/>
        <v>#DIV/0!</v>
      </c>
      <c r="C36" s="17" t="e">
        <f si="36" t="shared"/>
        <v>#DIV/0!</v>
      </c>
      <c r="D36" s="17" t="e">
        <f si="36" t="shared"/>
        <v>#DIV/0!</v>
      </c>
      <c r="E36" s="17" t="e">
        <f si="36" t="shared"/>
        <v>#DIV/0!</v>
      </c>
      <c r="F36" s="17" t="e">
        <f si="36" t="shared"/>
        <v>#DIV/0!</v>
      </c>
      <c r="G36" s="17" t="e">
        <f si="36" t="shared"/>
        <v>#DIV/0!</v>
      </c>
      <c r="H36" s="17" t="e">
        <f ref="H36" si="46" t="shared">H23/$J$28</f>
        <v>#DIV/0!</v>
      </c>
      <c r="I36" s="12"/>
      <c r="J36" s="17" t="e">
        <f si="27" t="shared"/>
        <v>#DIV/0!</v>
      </c>
      <c r="K36" s="13"/>
      <c r="L36" t="str">
        <f>$A$10</f>
        <v>Redmond</v>
      </c>
      <c r="M36" s="17">
        <f si="38" t="shared"/>
        <v>4.2607093505297101E-2</v>
      </c>
      <c r="N36" s="17">
        <f si="38" t="shared"/>
        <v>6.5062183325656376E-3</v>
      </c>
      <c r="O36" s="17">
        <f si="38" t="shared"/>
        <v>4.6234454168585903E-2</v>
      </c>
      <c r="P36" s="17">
        <f si="38" t="shared"/>
        <v>9.9248618148318743E-2</v>
      </c>
      <c r="Q36" s="17">
        <f si="38" t="shared"/>
        <v>2.5852141870105941E-2</v>
      </c>
      <c r="R36" s="17">
        <f si="38" t="shared"/>
        <v>4.8796637494242286E-3</v>
      </c>
      <c r="S36" s="17">
        <f ref="S36" si="47" t="shared">S23/$U$28</f>
        <v>3.8317595578074619E-2</v>
      </c>
      <c r="T36" s="17"/>
      <c r="U36" s="17">
        <f ref="U36" si="48" t="shared">U23/$U$28</f>
        <v>0.26364578535237215</v>
      </c>
      <c r="W36" t="str">
        <f>$A$10</f>
        <v>Redmond</v>
      </c>
      <c r="X36" s="17" t="e">
        <f ref="X36:X38" si="49" t="shared">M36-B36</f>
        <v>#DIV/0!</v>
      </c>
      <c r="Y36" s="17" t="e">
        <f ref="Y36:Y38" si="50" t="shared">N36-C36</f>
        <v>#DIV/0!</v>
      </c>
      <c r="Z36" s="17" t="e">
        <f ref="Z36:Z38" si="51" t="shared">O36-D36</f>
        <v>#DIV/0!</v>
      </c>
      <c r="AA36" s="17" t="e">
        <f si="41" t="shared"/>
        <v>#DIV/0!</v>
      </c>
      <c r="AB36" s="17" t="e">
        <f si="42" t="shared"/>
        <v>#DIV/0!</v>
      </c>
      <c r="AC36" s="17" t="e">
        <f si="43" t="shared"/>
        <v>#DIV/0!</v>
      </c>
      <c r="AD36" s="17" t="e">
        <f si="43" t="shared"/>
        <v>#DIV/0!</v>
      </c>
      <c r="AE36" s="17"/>
      <c r="AF36" s="17" t="e">
        <f si="35" t="shared"/>
        <v>#DIV/0!</v>
      </c>
    </row>
    <row r="37" spans="1:32" x14ac:dyDescent="0.25">
      <c r="A37" t="str">
        <f>$A$11</f>
        <v>Seattle</v>
      </c>
      <c r="B37" s="17" t="e">
        <f si="36" t="shared"/>
        <v>#DIV/0!</v>
      </c>
      <c r="C37" s="17" t="e">
        <f si="36" t="shared"/>
        <v>#DIV/0!</v>
      </c>
      <c r="D37" s="17" t="e">
        <f si="36" t="shared"/>
        <v>#DIV/0!</v>
      </c>
      <c r="E37" s="17" t="e">
        <f si="36" t="shared"/>
        <v>#DIV/0!</v>
      </c>
      <c r="F37" s="17" t="e">
        <f si="36" t="shared"/>
        <v>#DIV/0!</v>
      </c>
      <c r="G37" s="17" t="e">
        <f si="36" t="shared"/>
        <v>#DIV/0!</v>
      </c>
      <c r="H37" s="17" t="e">
        <f ref="H37" si="52" t="shared">H24/$J$28</f>
        <v>#DIV/0!</v>
      </c>
      <c r="I37" s="12"/>
      <c r="J37" s="17" t="e">
        <f si="27" t="shared"/>
        <v>#DIV/0!</v>
      </c>
      <c r="K37" s="13"/>
      <c r="L37" t="str">
        <f>$A$11</f>
        <v>Seattle</v>
      </c>
      <c r="M37" s="17">
        <f ref="M37:N39" si="53" t="shared">M24/$U$28</f>
        <v>0</v>
      </c>
      <c r="N37" s="17">
        <f si="53" t="shared"/>
        <v>0</v>
      </c>
      <c r="O37" s="17">
        <f ref="O37:R37" si="54" t="shared">O24/$U$28</f>
        <v>0</v>
      </c>
      <c r="P37" s="17">
        <f si="54" t="shared"/>
        <v>0</v>
      </c>
      <c r="Q37" s="17">
        <f si="54" t="shared"/>
        <v>0</v>
      </c>
      <c r="R37" s="17">
        <f si="54" t="shared"/>
        <v>0</v>
      </c>
      <c r="S37" s="17">
        <f ref="S37" si="55" t="shared">S24/$U$28</f>
        <v>0</v>
      </c>
      <c r="T37" s="17"/>
      <c r="U37" s="17">
        <f ref="U37" si="56" t="shared">U24/$U$28</f>
        <v>0</v>
      </c>
      <c r="W37" t="str">
        <f>$A$11</f>
        <v>Seattle</v>
      </c>
      <c r="X37" s="17" t="e">
        <f si="49" t="shared"/>
        <v>#DIV/0!</v>
      </c>
      <c r="Y37" s="17" t="e">
        <f si="50" t="shared"/>
        <v>#DIV/0!</v>
      </c>
      <c r="Z37" s="17" t="e">
        <f si="51" t="shared"/>
        <v>#DIV/0!</v>
      </c>
      <c r="AA37" s="17" t="e">
        <f si="41" t="shared"/>
        <v>#DIV/0!</v>
      </c>
      <c r="AB37" s="17" t="e">
        <f si="42" t="shared"/>
        <v>#DIV/0!</v>
      </c>
      <c r="AC37" s="17" t="e">
        <f si="43" t="shared"/>
        <v>#DIV/0!</v>
      </c>
      <c r="AD37" s="17" t="e">
        <f si="43" t="shared"/>
        <v>#DIV/0!</v>
      </c>
      <c r="AE37" s="17"/>
      <c r="AF37" s="17" t="e">
        <f si="35" t="shared"/>
        <v>#DIV/0!</v>
      </c>
    </row>
    <row r="38" spans="1:32" x14ac:dyDescent="0.25">
      <c r="A38" t="str">
        <f>$A$12</f>
        <v>Seattle Downtown</v>
      </c>
      <c r="B38" s="17" t="e">
        <f si="36" t="shared"/>
        <v>#DIV/0!</v>
      </c>
      <c r="C38" s="17" t="e">
        <f si="36" t="shared"/>
        <v>#DIV/0!</v>
      </c>
      <c r="D38" s="17" t="e">
        <f si="36" t="shared"/>
        <v>#DIV/0!</v>
      </c>
      <c r="E38" s="17" t="e">
        <f si="36" t="shared"/>
        <v>#DIV/0!</v>
      </c>
      <c r="F38" s="17" t="e">
        <f si="36" t="shared"/>
        <v>#DIV/0!</v>
      </c>
      <c r="G38" s="17" t="e">
        <f si="36" t="shared"/>
        <v>#DIV/0!</v>
      </c>
      <c r="H38" s="17" t="e">
        <f ref="H38" si="57" t="shared">H25/$J$28</f>
        <v>#DIV/0!</v>
      </c>
      <c r="I38" s="12"/>
      <c r="J38" s="17" t="e">
        <f si="27" t="shared"/>
        <v>#DIV/0!</v>
      </c>
      <c r="K38" s="13"/>
      <c r="L38" t="str">
        <f>$A$12</f>
        <v>Seattle Downtown</v>
      </c>
      <c r="M38" s="17">
        <f si="53" t="shared"/>
        <v>0</v>
      </c>
      <c r="N38" s="17">
        <f si="53" t="shared"/>
        <v>0</v>
      </c>
      <c r="O38" s="17">
        <f ref="O38:R39" si="58" t="shared">O25/$U$28</f>
        <v>0</v>
      </c>
      <c r="P38" s="17">
        <f si="58" t="shared"/>
        <v>0</v>
      </c>
      <c r="Q38" s="17">
        <f si="58" t="shared"/>
        <v>0</v>
      </c>
      <c r="R38" s="17">
        <f si="58" t="shared"/>
        <v>0</v>
      </c>
      <c r="S38" s="17">
        <f ref="S38" si="59" t="shared">S25/$U$28</f>
        <v>0</v>
      </c>
      <c r="T38" s="17"/>
      <c r="U38" s="17">
        <f ref="U38:U39" si="60" t="shared">U25/$U$28</f>
        <v>0</v>
      </c>
      <c r="W38" t="str">
        <f>$A$12</f>
        <v>Seattle Downtown</v>
      </c>
      <c r="X38" s="17" t="e">
        <f si="49" t="shared"/>
        <v>#DIV/0!</v>
      </c>
      <c r="Y38" s="17" t="e">
        <f si="50" t="shared"/>
        <v>#DIV/0!</v>
      </c>
      <c r="Z38" s="17" t="e">
        <f si="51" t="shared"/>
        <v>#DIV/0!</v>
      </c>
      <c r="AA38" s="17" t="e">
        <f si="41" t="shared"/>
        <v>#DIV/0!</v>
      </c>
      <c r="AB38" s="17" t="e">
        <f si="42" t="shared"/>
        <v>#DIV/0!</v>
      </c>
      <c r="AC38" s="17" t="e">
        <f si="43" t="shared"/>
        <v>#DIV/0!</v>
      </c>
      <c r="AD38" s="17" t="e">
        <f si="43" t="shared"/>
        <v>#DIV/0!</v>
      </c>
      <c r="AE38" s="17"/>
      <c r="AF38" s="17" t="e">
        <f si="35" t="shared"/>
        <v>#DIV/0!</v>
      </c>
    </row>
    <row r="39" spans="1:32" x14ac:dyDescent="0.25">
      <c r="A39" t="str">
        <f>$A$13</f>
        <v>Rest</v>
      </c>
      <c r="B39" s="17" t="e">
        <f si="36" t="shared"/>
        <v>#DIV/0!</v>
      </c>
      <c r="C39" s="17" t="e">
        <f si="36" t="shared"/>
        <v>#DIV/0!</v>
      </c>
      <c r="D39" s="17" t="e">
        <f si="36" t="shared"/>
        <v>#DIV/0!</v>
      </c>
      <c r="E39" s="17" t="e">
        <f si="36" t="shared"/>
        <v>#DIV/0!</v>
      </c>
      <c r="F39" s="17" t="e">
        <f si="36" t="shared"/>
        <v>#DIV/0!</v>
      </c>
      <c r="G39" s="17" t="e">
        <f si="36" t="shared"/>
        <v>#DIV/0!</v>
      </c>
      <c r="H39" s="17" t="e">
        <f ref="H39" si="61" t="shared">H26/$J$28</f>
        <v>#DIV/0!</v>
      </c>
      <c r="I39" s="12"/>
      <c r="J39" s="17" t="e">
        <f si="27" t="shared"/>
        <v>#DIV/0!</v>
      </c>
      <c r="K39" s="13"/>
      <c r="L39" t="str">
        <f>$A$13</f>
        <v>Rest</v>
      </c>
      <c r="M39" s="17">
        <f si="53" t="shared"/>
        <v>0</v>
      </c>
      <c r="N39" s="17">
        <f si="53" t="shared"/>
        <v>0</v>
      </c>
      <c r="O39" s="17">
        <f si="58" t="shared"/>
        <v>0</v>
      </c>
      <c r="P39" s="17">
        <f si="58" t="shared"/>
        <v>0</v>
      </c>
      <c r="Q39" s="17">
        <f si="58" t="shared"/>
        <v>0</v>
      </c>
      <c r="R39" s="17">
        <f si="58" t="shared"/>
        <v>0</v>
      </c>
      <c r="S39" s="17">
        <f ref="S39" si="62" t="shared">S26/$U$28</f>
        <v>0</v>
      </c>
      <c r="T39" s="17"/>
      <c r="U39" s="17">
        <f si="60" t="shared"/>
        <v>0</v>
      </c>
      <c r="W39" t="str">
        <f>$A$13</f>
        <v>Rest</v>
      </c>
      <c r="X39" s="17" t="e">
        <f ref="X39" si="63" t="shared">M39-B39</f>
        <v>#DIV/0!</v>
      </c>
      <c r="Y39" s="17" t="e">
        <f ref="Y39" si="64" t="shared">N39-C39</f>
        <v>#DIV/0!</v>
      </c>
      <c r="Z39" s="17" t="e">
        <f ref="Z39" si="65" t="shared">O39-D39</f>
        <v>#DIV/0!</v>
      </c>
      <c r="AA39" s="17" t="e">
        <f ref="AA39" si="66" t="shared">P39-E39</f>
        <v>#DIV/0!</v>
      </c>
      <c r="AB39" s="17" t="e">
        <f ref="AB39" si="67" t="shared">Q39-F39</f>
        <v>#DIV/0!</v>
      </c>
      <c r="AC39" s="17" t="e">
        <f ref="AC39:AD39" si="68" t="shared">R39-G39</f>
        <v>#DIV/0!</v>
      </c>
      <c r="AD39" s="17" t="e">
        <f si="68" t="shared"/>
        <v>#DIV/0!</v>
      </c>
      <c r="AE39" s="17"/>
      <c r="AF39" s="17" t="e">
        <f si="35" t="shared"/>
        <v>#DIV/0!</v>
      </c>
    </row>
    <row r="40" spans="1:32" x14ac:dyDescent="0.25">
      <c r="A40" s="7" t="s">
        <v>13</v>
      </c>
      <c r="B40" s="14"/>
      <c r="C40" s="14"/>
      <c r="D40" s="14"/>
      <c r="E40" s="14"/>
      <c r="F40" s="14"/>
      <c r="G40" s="14"/>
      <c r="H40" s="14"/>
      <c r="I40" s="14"/>
      <c r="J40" s="18"/>
      <c r="K40" s="12"/>
      <c r="L40" s="15" t="s">
        <v>13</v>
      </c>
      <c r="M40" s="18"/>
      <c r="N40" s="18"/>
      <c r="O40" s="18"/>
      <c r="P40" s="18"/>
      <c r="Q40" s="18"/>
      <c r="R40" s="18"/>
      <c r="S40" s="18"/>
      <c r="T40" s="18"/>
      <c r="U40" s="18"/>
      <c r="W40" s="15" t="s">
        <v>13</v>
      </c>
      <c r="X40" s="18"/>
      <c r="Y40" s="18"/>
      <c r="Z40" s="18"/>
      <c r="AA40" s="18"/>
      <c r="AB40" s="18"/>
      <c r="AC40" s="18"/>
      <c r="AD40" s="18"/>
      <c r="AE40" s="18"/>
      <c r="AF40" s="18"/>
    </row>
    <row ht="15.75" r="41" spans="1:32" thickBot="1" x14ac:dyDescent="0.3">
      <c r="A41" s="1" t="s">
        <v>4</v>
      </c>
      <c r="B41" s="19" t="e">
        <f ref="B41:H41" si="69" t="shared">B28/$J$28</f>
        <v>#DIV/0!</v>
      </c>
      <c r="C41" s="19" t="e">
        <f si="69" t="shared"/>
        <v>#DIV/0!</v>
      </c>
      <c r="D41" s="19" t="e">
        <f si="69" t="shared"/>
        <v>#DIV/0!</v>
      </c>
      <c r="E41" s="19" t="e">
        <f si="69" t="shared"/>
        <v>#DIV/0!</v>
      </c>
      <c r="F41" s="19" t="e">
        <f si="69" t="shared"/>
        <v>#DIV/0!</v>
      </c>
      <c r="G41" s="19" t="e">
        <f si="69" t="shared"/>
        <v>#DIV/0!</v>
      </c>
      <c r="H41" s="19" t="e">
        <f si="69" t="shared"/>
        <v>#DIV/0!</v>
      </c>
      <c r="I41" s="19" t="e">
        <f>I28/$J$28</f>
        <v>#DIV/0!</v>
      </c>
      <c r="J41" s="19" t="e">
        <f>J28/$J$28</f>
        <v>#DIV/0!</v>
      </c>
      <c r="K41" s="12"/>
      <c r="L41" s="16" t="s">
        <v>4</v>
      </c>
      <c r="M41" s="19">
        <f>M28/$U$28</f>
        <v>0.26462459695992629</v>
      </c>
      <c r="N41" s="19">
        <f>N28/$U$28</f>
        <v>5.6943804698295714E-2</v>
      </c>
      <c r="O41" s="19">
        <f>O28/$U$28</f>
        <v>0.22968965914325196</v>
      </c>
      <c r="P41" s="19">
        <f>P28/$U$28</f>
        <v>0.15692653155228006</v>
      </c>
      <c r="Q41" s="19">
        <f ref="Q41:S41" si="70" t="shared">Q28/$U$28</f>
        <v>0.12599320589590052</v>
      </c>
      <c r="R41" s="19">
        <f si="70" t="shared"/>
        <v>2.580895900506679E-2</v>
      </c>
      <c r="S41" s="19">
        <f si="70" t="shared"/>
        <v>0.14001324274527868</v>
      </c>
      <c r="T41" s="19">
        <f>T28/$U$28</f>
        <v>0</v>
      </c>
      <c r="U41" s="19">
        <f>U28/$U$28</f>
        <v>1</v>
      </c>
      <c r="W41" s="16" t="s">
        <v>4</v>
      </c>
      <c r="X41" s="19" t="e">
        <f ref="X41:AF41" si="71" t="shared">M41-B41</f>
        <v>#DIV/0!</v>
      </c>
      <c r="Y41" s="19" t="e">
        <f si="71" t="shared"/>
        <v>#DIV/0!</v>
      </c>
      <c r="Z41" s="19" t="e">
        <f si="71" t="shared"/>
        <v>#DIV/0!</v>
      </c>
      <c r="AA41" s="19" t="e">
        <f si="71" t="shared"/>
        <v>#DIV/0!</v>
      </c>
      <c r="AB41" s="19" t="e">
        <f si="71" t="shared"/>
        <v>#DIV/0!</v>
      </c>
      <c r="AC41" s="19" t="e">
        <f si="71" t="shared"/>
        <v>#DIV/0!</v>
      </c>
      <c r="AD41" s="19" t="e">
        <f si="71" t="shared"/>
        <v>#DIV/0!</v>
      </c>
      <c r="AE41" s="19" t="e">
        <f si="71" t="shared"/>
        <v>#DIV/0!</v>
      </c>
      <c r="AF41" s="19" t="e">
        <f si="71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>
      <selection activeCell="G13" sqref="G13"/>
    </sheetView>
  </sheetViews>
  <sheetFormatPr defaultRowHeight="15" x14ac:dyDescent="0.25"/>
  <sheetData>
    <row r="1" spans="1:3" x14ac:dyDescent="0.25">
      <c r="A1" s="10" t="s">
        <v>20</v>
      </c>
    </row>
    <row r="2" spans="1:3" x14ac:dyDescent="0.25">
      <c r="A2">
        <v>1</v>
      </c>
      <c r="B2" t="s">
        <v>246</v>
      </c>
    </row>
    <row r="3" spans="1:3" x14ac:dyDescent="0.25">
      <c r="B3" t="s">
        <v>21</v>
      </c>
      <c r="C3" t="s">
        <v>22</v>
      </c>
    </row>
    <row r="4" spans="1:3" x14ac:dyDescent="0.25">
      <c r="B4" t="s">
        <v>23</v>
      </c>
      <c r="C4" t="s">
        <v>24</v>
      </c>
    </row>
    <row r="5" spans="1:3" x14ac:dyDescent="0.25">
      <c r="B5" t="s">
        <v>25</v>
      </c>
      <c r="C5" t="s">
        <v>26</v>
      </c>
    </row>
    <row r="6" spans="1:3" x14ac:dyDescent="0.25">
      <c r="B6" t="s">
        <v>27</v>
      </c>
      <c r="C6" t="s">
        <v>28</v>
      </c>
    </row>
    <row r="8" spans="1:3" x14ac:dyDescent="0.25">
      <c r="A8">
        <v>2</v>
      </c>
      <c r="B8" t="s">
        <v>29</v>
      </c>
    </row>
    <row r="10" spans="1:3" x14ac:dyDescent="0.25">
      <c r="A10">
        <v>3</v>
      </c>
      <c r="B10" t="s">
        <v>30</v>
      </c>
    </row>
    <row r="12" spans="1:3" x14ac:dyDescent="0.25">
      <c r="A12">
        <v>4</v>
      </c>
      <c r="B12" t="s">
        <v>31</v>
      </c>
    </row>
    <row r="14" spans="1:3" x14ac:dyDescent="0.25">
      <c r="A14">
        <v>5</v>
      </c>
      <c r="B14" t="s">
        <v>32</v>
      </c>
    </row>
    <row r="15" spans="1:3" x14ac:dyDescent="0.25">
      <c r="B15" t="s">
        <v>33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04"/>
  <sheetViews>
    <sheetView topLeftCell="A17" workbookViewId="0">
      <selection activeCell="B39" sqref="B3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386" t="s">
        <v>42</v>
      </c>
    </row>
    <row r="2" spans="1:4" x14ac:dyDescent="0.25">
      <c r="A2" t="s">
        <v>259</v>
      </c>
      <c r="B2" t="s">
        <v>260</v>
      </c>
      <c r="C2" t="s">
        <v>91</v>
      </c>
      <c r="D2" t="s">
        <v>261</v>
      </c>
    </row>
    <row r="3" spans="1:4" x14ac:dyDescent="0.25">
      <c r="A3">
        <v>1</v>
      </c>
      <c r="B3" t="s">
        <v>45</v>
      </c>
      <c r="C3" t="s">
        <v>262</v>
      </c>
      <c r="D3" t="s">
        <v>46</v>
      </c>
    </row>
    <row r="4" spans="1:4" x14ac:dyDescent="0.25">
      <c r="A4">
        <v>2</v>
      </c>
      <c r="B4" t="s">
        <v>48</v>
      </c>
      <c r="C4" t="s">
        <v>262</v>
      </c>
      <c r="D4" t="s">
        <v>49</v>
      </c>
    </row>
    <row r="5" spans="1:4" x14ac:dyDescent="0.25">
      <c r="A5">
        <v>3</v>
      </c>
      <c r="B5" t="s">
        <v>51</v>
      </c>
      <c r="C5" t="s">
        <v>262</v>
      </c>
      <c r="D5" t="s">
        <v>52</v>
      </c>
    </row>
    <row r="6" spans="1:4" x14ac:dyDescent="0.25">
      <c r="A6">
        <v>4</v>
      </c>
      <c r="B6" t="s">
        <v>54</v>
      </c>
      <c r="C6" t="s">
        <v>262</v>
      </c>
      <c r="D6" t="s">
        <v>55</v>
      </c>
    </row>
    <row r="7" spans="1:4" x14ac:dyDescent="0.25">
      <c r="A7">
        <v>5</v>
      </c>
      <c r="B7" t="s">
        <v>57</v>
      </c>
      <c r="C7" t="s">
        <v>262</v>
      </c>
      <c r="D7" t="s">
        <v>58</v>
      </c>
    </row>
    <row r="8" spans="1:4" x14ac:dyDescent="0.25">
      <c r="A8">
        <v>6</v>
      </c>
      <c r="B8" t="s">
        <v>59</v>
      </c>
      <c r="C8" t="s">
        <v>262</v>
      </c>
      <c r="D8" t="s">
        <v>60</v>
      </c>
    </row>
    <row r="9" spans="1:4" x14ac:dyDescent="0.25">
      <c r="A9">
        <v>7</v>
      </c>
      <c r="B9" t="s">
        <v>61</v>
      </c>
      <c r="C9" t="s">
        <v>262</v>
      </c>
      <c r="D9" t="s">
        <v>62</v>
      </c>
    </row>
    <row r="10" spans="1:4" x14ac:dyDescent="0.25">
      <c r="A10">
        <v>8</v>
      </c>
      <c r="B10" t="s">
        <v>64</v>
      </c>
      <c r="C10" t="s">
        <v>262</v>
      </c>
      <c r="D10" t="s">
        <v>65</v>
      </c>
    </row>
    <row r="11" spans="1:4" x14ac:dyDescent="0.25">
      <c r="A11">
        <v>9</v>
      </c>
      <c r="B11" t="s">
        <v>66</v>
      </c>
      <c r="C11" t="s">
        <v>262</v>
      </c>
      <c r="D11" t="s">
        <v>67</v>
      </c>
    </row>
    <row r="12" spans="1:4" x14ac:dyDescent="0.25">
      <c r="A12">
        <v>10</v>
      </c>
      <c r="B12" t="s">
        <v>68</v>
      </c>
      <c r="C12" t="s">
        <v>262</v>
      </c>
      <c r="D12" t="s">
        <v>69</v>
      </c>
    </row>
    <row r="13" spans="1:4" x14ac:dyDescent="0.25">
      <c r="A13">
        <v>11</v>
      </c>
      <c r="B13" t="s">
        <v>70</v>
      </c>
      <c r="C13" t="s">
        <v>262</v>
      </c>
      <c r="D13" t="s">
        <v>71</v>
      </c>
    </row>
    <row r="14" spans="1:4" x14ac:dyDescent="0.25">
      <c r="A14">
        <v>12</v>
      </c>
      <c r="B14" t="s">
        <v>72</v>
      </c>
      <c r="C14" t="s">
        <v>262</v>
      </c>
      <c r="D14" t="s">
        <v>73</v>
      </c>
    </row>
    <row r="15" spans="1:4" x14ac:dyDescent="0.25">
      <c r="A15">
        <v>13</v>
      </c>
      <c r="B15" t="s">
        <v>74</v>
      </c>
      <c r="C15" t="s">
        <v>262</v>
      </c>
      <c r="D15" t="s">
        <v>75</v>
      </c>
    </row>
    <row r="16" spans="1:4" x14ac:dyDescent="0.25">
      <c r="A16">
        <v>14</v>
      </c>
      <c r="B16" t="s">
        <v>76</v>
      </c>
      <c r="C16" t="s">
        <v>262</v>
      </c>
      <c r="D16" t="s">
        <v>77</v>
      </c>
    </row>
    <row r="17" spans="1:4" x14ac:dyDescent="0.25">
      <c r="A17">
        <v>15</v>
      </c>
      <c r="B17" t="s">
        <v>78</v>
      </c>
      <c r="C17" t="s">
        <v>262</v>
      </c>
      <c r="D17" t="s">
        <v>79</v>
      </c>
    </row>
    <row r="18" spans="1:4" x14ac:dyDescent="0.25">
      <c r="A18">
        <v>16</v>
      </c>
      <c r="B18" t="s">
        <v>80</v>
      </c>
      <c r="C18" t="s">
        <v>262</v>
      </c>
      <c r="D18" t="s">
        <v>81</v>
      </c>
    </row>
    <row r="19" spans="1:4" x14ac:dyDescent="0.25">
      <c r="A19">
        <v>17</v>
      </c>
      <c r="B19" t="s">
        <v>83</v>
      </c>
      <c r="C19" t="s">
        <v>262</v>
      </c>
      <c r="D19" t="s">
        <v>84</v>
      </c>
    </row>
    <row r="20" spans="1:4" x14ac:dyDescent="0.25">
      <c r="A20">
        <v>18</v>
      </c>
      <c r="B20" t="s">
        <v>86</v>
      </c>
      <c r="C20" t="s">
        <v>262</v>
      </c>
      <c r="D20" t="s">
        <v>87</v>
      </c>
    </row>
    <row r="21" spans="1:4" x14ac:dyDescent="0.25">
      <c r="A21">
        <v>19</v>
      </c>
      <c r="B21" t="s">
        <v>89</v>
      </c>
      <c r="C21" t="s">
        <v>262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263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620"/>
  <sheetViews>
    <sheetView workbookViewId="0">
      <selection activeCell="P18" sqref="P18"/>
    </sheetView>
  </sheetViews>
  <sheetFormatPr defaultRowHeight="15" x14ac:dyDescent="0.25"/>
  <sheetData>
    <row r="1" spans="1:11" x14ac:dyDescent="0.25">
      <c r="A1" s="452" t="s">
        <v>227</v>
      </c>
      <c r="B1" s="453"/>
      <c r="C1" s="453"/>
      <c r="D1" s="453"/>
      <c r="E1" s="453"/>
      <c r="F1" s="453"/>
      <c r="G1" s="453"/>
      <c r="H1" s="453" t="s">
        <v>228</v>
      </c>
      <c r="I1" s="453"/>
      <c r="J1" s="453"/>
      <c r="K1" s="454"/>
    </row>
    <row r="2" spans="1:11" x14ac:dyDescent="0.25">
      <c r="A2" s="455">
        <v>1</v>
      </c>
      <c r="B2" s="456" t="s">
        <v>264</v>
      </c>
      <c r="C2" s="456"/>
      <c r="D2" s="456"/>
      <c r="E2" s="456"/>
      <c r="F2" s="456"/>
      <c r="G2" s="456"/>
      <c r="H2" s="456"/>
      <c r="I2" s="456"/>
      <c r="J2" s="456"/>
      <c r="K2" s="457"/>
    </row>
    <row r="3" spans="1:11" x14ac:dyDescent="0.25">
      <c r="A3" s="455">
        <v>2</v>
      </c>
      <c r="B3" s="456" t="s">
        <v>229</v>
      </c>
      <c r="C3" s="456"/>
      <c r="D3" s="456"/>
      <c r="E3" s="456"/>
      <c r="F3" s="456"/>
      <c r="G3" s="456"/>
      <c r="H3" s="456"/>
      <c r="I3" s="456"/>
      <c r="J3" s="456"/>
      <c r="K3" s="457"/>
    </row>
    <row r="4" spans="1:11" x14ac:dyDescent="0.25">
      <c r="A4" s="455">
        <v>3</v>
      </c>
      <c r="B4" s="456" t="s">
        <v>230</v>
      </c>
      <c r="C4" s="456"/>
      <c r="D4" s="456"/>
      <c r="E4" s="456"/>
      <c r="F4" s="456"/>
      <c r="G4" s="456"/>
      <c r="H4" s="456"/>
      <c r="I4" s="456"/>
      <c r="J4" s="456"/>
      <c r="K4" s="457"/>
    </row>
    <row r="5" spans="1:11" x14ac:dyDescent="0.25">
      <c r="A5" s="458">
        <v>4</v>
      </c>
      <c r="B5" s="459" t="s">
        <v>231</v>
      </c>
      <c r="C5" s="459"/>
      <c r="D5" s="459"/>
      <c r="E5" s="459"/>
      <c r="F5" s="459"/>
      <c r="G5" s="459"/>
      <c r="H5" s="459"/>
      <c r="I5" s="459"/>
      <c r="J5" s="459"/>
      <c r="K5" s="460"/>
    </row>
    <row r="8" spans="1:11" x14ac:dyDescent="0.25">
      <c r="A8" t="s">
        <v>232</v>
      </c>
      <c r="B8" t="s">
        <v>233</v>
      </c>
      <c r="C8" t="s">
        <v>234</v>
      </c>
      <c r="D8" t="s">
        <v>265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424">
        <v>0.46135416666666668</v>
      </c>
      <c r="G9" t="s">
        <v>239</v>
      </c>
      <c r="H9">
        <v>31</v>
      </c>
      <c r="I9" t="s">
        <v>266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48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51</v>
      </c>
      <c r="D13" t="s">
        <v>241</v>
      </c>
      <c r="E13" s="425">
        <v>-0.2117</v>
      </c>
      <c r="F13">
        <v>0</v>
      </c>
    </row>
    <row r="14" spans="1:11" x14ac:dyDescent="0.25">
      <c r="B14">
        <v>4</v>
      </c>
      <c r="C14" t="s">
        <v>54</v>
      </c>
      <c r="D14" t="s">
        <v>242</v>
      </c>
      <c r="E14" s="425">
        <v>0.27120783067900001</v>
      </c>
      <c r="F14">
        <v>0.28080475059900001</v>
      </c>
    </row>
    <row r="15" spans="1:11" x14ac:dyDescent="0.25">
      <c r="B15">
        <v>5</v>
      </c>
      <c r="C15" t="s">
        <v>57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59</v>
      </c>
      <c r="D16" t="s">
        <v>242</v>
      </c>
      <c r="E16" s="425">
        <v>-8.2865473150899996E-2</v>
      </c>
      <c r="F16">
        <v>0.12955742148800001</v>
      </c>
    </row>
    <row r="17" spans="2:6" x14ac:dyDescent="0.25">
      <c r="B17">
        <v>7</v>
      </c>
      <c r="C17" t="s">
        <v>61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64</v>
      </c>
      <c r="D18" t="s">
        <v>241</v>
      </c>
      <c r="E18" s="425">
        <v>6.9400000000000003E-2</v>
      </c>
      <c r="F18">
        <v>0</v>
      </c>
    </row>
    <row r="19" spans="2:6" x14ac:dyDescent="0.25">
      <c r="B19">
        <v>9</v>
      </c>
      <c r="C19" t="s">
        <v>66</v>
      </c>
      <c r="D19" t="s">
        <v>242</v>
      </c>
      <c r="E19" s="425">
        <v>-9.5820044919499997E-2</v>
      </c>
      <c r="F19">
        <v>0.17082561533000001</v>
      </c>
    </row>
    <row r="20" spans="2:6" x14ac:dyDescent="0.25">
      <c r="B20">
        <v>10</v>
      </c>
      <c r="C20" t="s">
        <v>68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72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74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76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78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80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0.63771148688699997</v>
      </c>
      <c r="F30" s="425">
        <v>6.0015015733300002E-2</v>
      </c>
    </row>
    <row r="31" spans="2:6" x14ac:dyDescent="0.25">
      <c r="B31">
        <v>21</v>
      </c>
      <c r="C31" t="s">
        <v>94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96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98</v>
      </c>
      <c r="D33" t="s">
        <v>242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100</v>
      </c>
      <c r="D34" t="s">
        <v>242</v>
      </c>
      <c r="E34">
        <v>0.10429329553199999</v>
      </c>
      <c r="F34" s="425">
        <v>1.6423300294899999E-2</v>
      </c>
    </row>
    <row r="35" spans="2:6" x14ac:dyDescent="0.25">
      <c r="B35">
        <v>25</v>
      </c>
      <c r="C35" t="s">
        <v>103</v>
      </c>
      <c r="D35" t="s">
        <v>241</v>
      </c>
      <c r="E35">
        <v>0</v>
      </c>
      <c r="F35" s="425">
        <v>0</v>
      </c>
    </row>
    <row r="36" spans="2:6" x14ac:dyDescent="0.25">
      <c r="B36">
        <v>26</v>
      </c>
      <c r="C36" t="s">
        <v>105</v>
      </c>
      <c r="D36" t="s">
        <v>242</v>
      </c>
      <c r="E36">
        <v>0.417326479157</v>
      </c>
      <c r="F36" s="425">
        <v>9.4301876730200004E-2</v>
      </c>
    </row>
    <row r="37" spans="2:6" x14ac:dyDescent="0.25">
      <c r="B37">
        <v>27</v>
      </c>
      <c r="C37" t="s">
        <v>106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108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109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110</v>
      </c>
      <c r="D40" t="s">
        <v>242</v>
      </c>
      <c r="E40">
        <v>-0.91046169190000004</v>
      </c>
      <c r="F40" s="425">
        <v>9.2244527309799998E-2</v>
      </c>
    </row>
    <row r="41" spans="2:6" x14ac:dyDescent="0.25">
      <c r="B41">
        <v>31</v>
      </c>
      <c r="C41" t="s">
        <v>112</v>
      </c>
      <c r="D41" t="s">
        <v>242</v>
      </c>
      <c r="E41" s="425">
        <v>5.7553461640599997E-2</v>
      </c>
      <c r="F41" s="425">
        <v>1.69631861578E-2</v>
      </c>
    </row>
    <row r="42" spans="2:6" x14ac:dyDescent="0.25">
      <c r="B42">
        <v>32</v>
      </c>
      <c r="C42" t="s">
        <v>114</v>
      </c>
      <c r="D42" t="s">
        <v>242</v>
      </c>
      <c r="E42">
        <v>0.237798002151</v>
      </c>
      <c r="F42" s="425">
        <v>2.05709725741E-2</v>
      </c>
    </row>
    <row r="43" spans="2:6" x14ac:dyDescent="0.25">
      <c r="B43">
        <v>33</v>
      </c>
      <c r="C43" t="s">
        <v>116</v>
      </c>
      <c r="D43" t="s">
        <v>241</v>
      </c>
      <c r="E43">
        <v>0</v>
      </c>
      <c r="F43" s="425">
        <v>0</v>
      </c>
    </row>
    <row r="44" spans="2:6" x14ac:dyDescent="0.25">
      <c r="B44">
        <v>34</v>
      </c>
      <c r="C44" t="s">
        <v>118</v>
      </c>
      <c r="D44" t="s">
        <v>241</v>
      </c>
      <c r="E44">
        <v>0</v>
      </c>
      <c r="F44" s="425">
        <v>0</v>
      </c>
    </row>
    <row r="45" spans="2:6" x14ac:dyDescent="0.25">
      <c r="B45">
        <v>35</v>
      </c>
      <c r="C45" t="s">
        <v>121</v>
      </c>
      <c r="D45" t="s">
        <v>241</v>
      </c>
      <c r="E45">
        <v>0</v>
      </c>
      <c r="F45" s="425">
        <v>0</v>
      </c>
    </row>
    <row r="46" spans="2:6" x14ac:dyDescent="0.25">
      <c r="B46">
        <v>36</v>
      </c>
      <c r="C46" t="s">
        <v>123</v>
      </c>
      <c r="D46" t="s">
        <v>242</v>
      </c>
      <c r="E46" s="425">
        <v>0.61259135262599995</v>
      </c>
      <c r="F46" s="425">
        <v>9.8788050589500007E-2</v>
      </c>
    </row>
    <row r="47" spans="2:6" x14ac:dyDescent="0.25">
      <c r="B47">
        <v>37</v>
      </c>
      <c r="C47" t="s">
        <v>124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126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127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128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129</v>
      </c>
      <c r="D51" t="s">
        <v>242</v>
      </c>
      <c r="E51">
        <v>-0.22141031751900001</v>
      </c>
      <c r="F51" s="425">
        <v>1.8224220405400001E-2</v>
      </c>
    </row>
    <row r="52" spans="2:6" x14ac:dyDescent="0.25">
      <c r="B52">
        <v>42</v>
      </c>
      <c r="C52" t="s">
        <v>131</v>
      </c>
      <c r="D52" t="s">
        <v>242</v>
      </c>
      <c r="E52">
        <v>0.64228876129599999</v>
      </c>
      <c r="F52" s="425">
        <v>2.3327425635499999E-2</v>
      </c>
    </row>
    <row r="53" spans="2:6" x14ac:dyDescent="0.25">
      <c r="B53">
        <v>43</v>
      </c>
      <c r="C53" t="s">
        <v>133</v>
      </c>
      <c r="D53" t="s">
        <v>242</v>
      </c>
      <c r="E53">
        <v>0.74588429254199995</v>
      </c>
      <c r="F53" s="425">
        <v>9.8514285453599998E-2</v>
      </c>
    </row>
    <row r="54" spans="2:6" x14ac:dyDescent="0.25">
      <c r="B54">
        <v>44</v>
      </c>
      <c r="C54" t="s">
        <v>134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136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138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140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143</v>
      </c>
      <c r="D58" t="s">
        <v>242</v>
      </c>
      <c r="E58">
        <v>0.65760260093900003</v>
      </c>
      <c r="F58" s="425">
        <v>2.9500746847800002E-2</v>
      </c>
    </row>
    <row r="59" spans="2:6" x14ac:dyDescent="0.25">
      <c r="B59">
        <v>49</v>
      </c>
      <c r="C59" t="s">
        <v>145</v>
      </c>
      <c r="D59" t="s">
        <v>242</v>
      </c>
      <c r="E59">
        <v>0.201576719663</v>
      </c>
      <c r="F59" s="425">
        <v>0.11309559824400001</v>
      </c>
    </row>
    <row r="60" spans="2:6" x14ac:dyDescent="0.25">
      <c r="B60">
        <v>50</v>
      </c>
      <c r="C60" t="s">
        <v>146</v>
      </c>
      <c r="D60" t="s">
        <v>242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147</v>
      </c>
      <c r="D61" t="s">
        <v>242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148</v>
      </c>
      <c r="D62" t="s">
        <v>242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149</v>
      </c>
      <c r="D63" t="s">
        <v>242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150</v>
      </c>
      <c r="D64" t="s">
        <v>242</v>
      </c>
      <c r="E64">
        <v>0.20818008309700001</v>
      </c>
      <c r="F64" s="425">
        <v>4.2700310294800002E-2</v>
      </c>
    </row>
    <row r="65" spans="2:6" x14ac:dyDescent="0.25">
      <c r="B65">
        <v>55</v>
      </c>
      <c r="C65" t="s">
        <v>152</v>
      </c>
      <c r="D65" t="s">
        <v>242</v>
      </c>
      <c r="E65">
        <v>0.42522231451499998</v>
      </c>
      <c r="F65" s="425">
        <v>4.5274903018000003E-2</v>
      </c>
    </row>
    <row r="66" spans="2:6" x14ac:dyDescent="0.25">
      <c r="B66">
        <v>56</v>
      </c>
      <c r="C66" t="s">
        <v>153</v>
      </c>
      <c r="D66" t="s">
        <v>242</v>
      </c>
      <c r="E66">
        <v>-0.743588483327</v>
      </c>
      <c r="F66" s="425">
        <v>4.4293261467400001E-2</v>
      </c>
    </row>
    <row r="67" spans="2:6" x14ac:dyDescent="0.25">
      <c r="B67">
        <v>57</v>
      </c>
      <c r="C67" t="s">
        <v>154</v>
      </c>
      <c r="D67" t="s">
        <v>241</v>
      </c>
      <c r="E67" s="425">
        <v>6.2100000000000002E-2</v>
      </c>
      <c r="F67" s="425">
        <v>0</v>
      </c>
    </row>
    <row r="68" spans="2:6" x14ac:dyDescent="0.25">
      <c r="B68">
        <v>118</v>
      </c>
      <c r="C68" t="s">
        <v>263</v>
      </c>
      <c r="D68" t="s">
        <v>241</v>
      </c>
      <c r="E68" s="425">
        <v>-3</v>
      </c>
      <c r="F68" s="425">
        <v>0</v>
      </c>
    </row>
    <row r="69" spans="2:6" x14ac:dyDescent="0.25">
      <c r="B69">
        <v>70</v>
      </c>
      <c r="C69" t="s">
        <v>155</v>
      </c>
      <c r="D69" t="s">
        <v>242</v>
      </c>
      <c r="E69">
        <v>0.29394695214400002</v>
      </c>
      <c r="F69" s="425">
        <v>8.1089668188599993E-3</v>
      </c>
    </row>
    <row r="70" spans="2:6" x14ac:dyDescent="0.25">
      <c r="B70">
        <v>71</v>
      </c>
      <c r="C70" t="s">
        <v>156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158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162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164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166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168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170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172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174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176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178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179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183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185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187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189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191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193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195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197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199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203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205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207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209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210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211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212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213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214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215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216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217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218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220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221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222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223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224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226</v>
      </c>
      <c r="D112" t="s">
        <v>242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425">
        <v>-5981.59020986</v>
      </c>
      <c r="D114" s="425">
        <v>-29805.783655800002</v>
      </c>
      <c r="E114" s="425">
        <v>-17292.021287899999</v>
      </c>
    </row>
    <row r="115" spans="1:11" x14ac:dyDescent="0.25">
      <c r="B115">
        <v>17</v>
      </c>
      <c r="C115" t="s">
        <v>267</v>
      </c>
      <c r="D115" t="s">
        <v>239</v>
      </c>
      <c r="E115">
        <v>31</v>
      </c>
      <c r="F115" t="s">
        <v>266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W104"/>
  <sheetViews>
    <sheetView tabSelected="1" workbookViewId="0">
      <selection activeCell="Q28" sqref="Q28"/>
    </sheetView>
  </sheetViews>
  <sheetFormatPr defaultRowHeight="15" x14ac:dyDescent="0.25"/>
  <cols>
    <col min="1" max="2" style="385" width="9.140625" collapsed="true"/>
    <col min="3" max="3" bestFit="true" customWidth="true" style="385" width="12.7109375" collapsed="true"/>
    <col min="4" max="4" customWidth="true" style="384" width="18.85546875" collapsed="true"/>
    <col min="5" max="5" customWidth="true" style="385" width="6.7109375" collapsed="true"/>
    <col min="6" max="6" customWidth="true" style="385" width="12.7109375" collapsed="true"/>
    <col min="7" max="8" customWidth="true" style="384" width="18.85546875" collapsed="true"/>
    <col min="9" max="9" customWidth="true" style="384" width="6.5703125" collapsed="true"/>
    <col min="10" max="10" customWidth="true" style="384" width="10.140625" collapsed="true"/>
    <col min="11" max="11" customWidth="true" style="384" width="9.85546875" collapsed="true"/>
    <col min="12" max="14" style="385" width="9.140625" collapsed="true"/>
    <col min="15" max="15" customWidth="true" style="385" width="13.0" collapsed="true"/>
    <col min="16" max="16" customWidth="true" style="387" width="19.5703125" collapsed="true"/>
    <col min="17" max="17" customWidth="true" style="423" width="19.5703125" collapsed="true"/>
    <col min="18" max="16384" style="385" width="9.140625" collapsed="true"/>
  </cols>
  <sheetData>
    <row r="1" spans="3:23" x14ac:dyDescent="0.25">
      <c r="C1" s="10" t="s">
        <v>40</v>
      </c>
      <c r="F1" s="10" t="s">
        <v>41</v>
      </c>
      <c r="N1" s="386" t="s">
        <v>268</v>
      </c>
      <c r="S1" s="386"/>
      <c r="T1" s="386" t="s">
        <v>268</v>
      </c>
      <c r="U1" s="410"/>
      <c r="V1" s="410"/>
      <c r="W1" s="410"/>
    </row>
    <row ht="15.75" r="2" spans="3:23" thickBot="1" x14ac:dyDescent="0.3">
      <c r="C2" s="386" t="s">
        <v>43</v>
      </c>
      <c r="M2" s="10" t="s">
        <v>91</v>
      </c>
      <c r="N2" s="10" t="s">
        <v>259</v>
      </c>
      <c r="O2" s="10" t="s">
        <v>260</v>
      </c>
      <c r="P2" s="461" t="s">
        <v>269</v>
      </c>
      <c r="Q2" s="462" t="s">
        <v>270</v>
      </c>
      <c r="T2" s="410"/>
      <c r="U2" s="386" t="s">
        <v>271</v>
      </c>
      <c r="V2"/>
      <c r="W2" s="410"/>
    </row>
    <row r="3" spans="3:23" x14ac:dyDescent="0.25">
      <c r="C3" s="388" t="s">
        <v>3</v>
      </c>
      <c r="D3" s="389" t="s">
        <v>44</v>
      </c>
      <c r="F3" s="388" t="s">
        <v>3</v>
      </c>
      <c r="G3" s="389" t="s">
        <v>44</v>
      </c>
      <c r="H3" s="434"/>
      <c r="I3" s="434"/>
      <c r="J3" s="434"/>
      <c r="K3" s="434"/>
      <c r="L3" s="390"/>
      <c r="M3" s="385" t="str">
        <f>VLOOKUP(N3,Coeff_Descr!$A:$D,3,FALSE)</f>
        <v>ALL</v>
      </c>
      <c r="N3" s="385">
        <f>OtherTourDestination!B11</f>
        <v>1</v>
      </c>
      <c r="O3" s="385" t="str">
        <f>OtherTourDestination!C11</f>
        <v>Beta00001</v>
      </c>
      <c r="P3" s="387">
        <f>OtherTourDestination!E11</f>
        <v>1</v>
      </c>
      <c r="Q3" s="426">
        <f>_xlfn.IFNA(VLOOKUP(N3,$B$43:$D$46,3,FALSE),P3)</f>
        <v>1</v>
      </c>
      <c r="T3">
        <v>1</v>
      </c>
      <c r="U3" s="383" t="s">
        <v>272</v>
      </c>
      <c r="V3"/>
      <c r="W3" s="410"/>
    </row>
    <row r="4" spans="3:23" x14ac:dyDescent="0.25">
      <c r="C4" s="391" t="s">
        <v>47</v>
      </c>
      <c r="D4" s="392">
        <f>TLFD!B11</f>
        <v>17690.655125531299</v>
      </c>
      <c r="F4" s="391" t="s">
        <v>47</v>
      </c>
      <c r="G4" s="392">
        <f>TLFD!F11</f>
        <v>7361</v>
      </c>
      <c r="H4" s="392"/>
      <c r="I4" s="392"/>
      <c r="J4" s="392"/>
      <c r="K4" s="392"/>
      <c r="L4" s="393"/>
      <c r="M4" s="385" t="str">
        <f>VLOOKUP(N4,Coeff_Descr!$A:$D,3,FALSE)</f>
        <v>ALL</v>
      </c>
      <c r="N4" s="385">
        <f>OtherTourDestination!B12</f>
        <v>2</v>
      </c>
      <c r="O4" s="385" t="str">
        <f>OtherTourDestination!C12</f>
        <v>Beta00002</v>
      </c>
      <c r="P4" s="387">
        <f>OtherTourDestination!E12</f>
        <v>11.7146172749</v>
      </c>
      <c r="Q4" s="426">
        <f>_xlfn.IFNA(VLOOKUP(N4,$B$43:$D$46,3,FALSE),P4)</f>
        <v>11.7146172749</v>
      </c>
      <c r="T4">
        <v>2</v>
      </c>
      <c r="U4" s="383" t="s">
        <v>273</v>
      </c>
      <c r="V4"/>
      <c r="W4" s="410"/>
    </row>
    <row r="5" spans="3:23" x14ac:dyDescent="0.25">
      <c r="C5" s="394" t="s">
        <v>50</v>
      </c>
      <c r="D5" s="395">
        <f>TLFD!B12+TLFD!B13+(TLFD!B14/2)</f>
        <v>28254.101136992245</v>
      </c>
      <c r="F5" s="394" t="s">
        <v>50</v>
      </c>
      <c r="G5" s="395">
        <f>TLFD!F12+TLFD!F13+(TLFD!F14/2)</f>
        <v>17485</v>
      </c>
      <c r="H5" s="395"/>
      <c r="I5" s="395"/>
      <c r="J5" s="395"/>
      <c r="K5" s="395"/>
      <c r="L5" s="393"/>
      <c r="M5" s="385" t="str">
        <f>VLOOKUP(N5,Coeff_Descr!$A:$D,3,FALSE)</f>
        <v>ALL</v>
      </c>
      <c r="N5" s="385">
        <f>OtherTourDestination!B13</f>
        <v>3</v>
      </c>
      <c r="O5" s="385" t="str">
        <f>OtherTourDestination!C13</f>
        <v>Beta00003</v>
      </c>
      <c r="P5" s="387">
        <f>OtherTourDestination!E13</f>
        <v>-0.2117</v>
      </c>
      <c r="Q5" s="426">
        <f ref="Q5:Q68" si="0" t="shared">_xlfn.IFNA(VLOOKUP(N5,$B$43:$D$46,3,FALSE),P5)</f>
        <v>-0.2117</v>
      </c>
      <c r="T5">
        <v>3</v>
      </c>
      <c r="U5" s="410" t="s">
        <v>274</v>
      </c>
      <c r="V5" s="410"/>
      <c r="W5" s="410"/>
    </row>
    <row r="6" spans="3:23" x14ac:dyDescent="0.25">
      <c r="C6" s="394" t="s">
        <v>53</v>
      </c>
      <c r="D6" s="395">
        <f>(TLFD!B14/2)+SUM(TLFD!B15:B20)</f>
        <v>20721.161616122547</v>
      </c>
      <c r="F6" s="394" t="s">
        <v>53</v>
      </c>
      <c r="G6" s="395">
        <f>(TLFD!F14/2)+SUM(TLFD!F15:F20)</f>
        <v>25531</v>
      </c>
      <c r="H6" s="395"/>
      <c r="I6" s="395"/>
      <c r="J6" s="395"/>
      <c r="K6" s="395"/>
      <c r="L6" s="396"/>
      <c r="M6" s="385" t="str">
        <f>VLOOKUP(N6,Coeff_Descr!$A:$D,3,FALSE)</f>
        <v>ALL</v>
      </c>
      <c r="N6" s="385">
        <f>OtherTourDestination!B14</f>
        <v>4</v>
      </c>
      <c r="O6" s="385" t="str">
        <f>OtherTourDestination!C14</f>
        <v>Beta00004</v>
      </c>
      <c r="P6" s="387">
        <f>OtherTourDestination!E14</f>
        <v>0.27120783067900001</v>
      </c>
      <c r="Q6" s="426">
        <f si="0" t="shared"/>
        <v>0.27120783067900001</v>
      </c>
      <c r="T6">
        <v>4</v>
      </c>
      <c r="U6" s="410" t="s">
        <v>275</v>
      </c>
      <c r="V6" s="410"/>
      <c r="W6" s="410"/>
    </row>
    <row r="7" spans="3:23" x14ac:dyDescent="0.25">
      <c r="C7" s="397" t="s">
        <v>56</v>
      </c>
      <c r="D7" s="398">
        <f>SUM(TLFD!B21:B101)</f>
        <v>13682.221619162001</v>
      </c>
      <c r="F7" s="397" t="s">
        <v>56</v>
      </c>
      <c r="G7" s="398">
        <f>SUM(TLFD!F21:F101)</f>
        <v>19132</v>
      </c>
      <c r="H7" s="435"/>
      <c r="I7" s="435"/>
      <c r="J7" s="435"/>
      <c r="K7" s="435"/>
      <c r="L7" s="399"/>
      <c r="M7" s="385" t="str">
        <f>VLOOKUP(N7,Coeff_Descr!$A:$D,3,FALSE)</f>
        <v>ALL</v>
      </c>
      <c r="N7" s="385">
        <f>OtherTourDestination!B15</f>
        <v>5</v>
      </c>
      <c r="O7" s="385" t="str">
        <f>OtherTourDestination!C15</f>
        <v>Beta00005</v>
      </c>
      <c r="P7" s="387">
        <f>OtherTourDestination!E15</f>
        <v>-0.34490013167299999</v>
      </c>
      <c r="Q7" s="426">
        <f si="0" t="shared"/>
        <v>-0.34490013167299999</v>
      </c>
      <c r="T7" s="410">
        <v>5</v>
      </c>
      <c r="U7" s="410" t="s">
        <v>276</v>
      </c>
      <c r="V7" s="410"/>
      <c r="W7" s="410"/>
    </row>
    <row ht="15.75" r="8" spans="3:23" thickBot="1" x14ac:dyDescent="0.3">
      <c r="C8" s="400" t="s">
        <v>4</v>
      </c>
      <c r="D8" s="401">
        <f>SUM(D4:D7)</f>
        <v>80348.139497808079</v>
      </c>
      <c r="E8" s="402"/>
      <c r="F8" s="400" t="s">
        <v>4</v>
      </c>
      <c r="G8" s="401">
        <f>SUM(G4:G7)</f>
        <v>69509</v>
      </c>
      <c r="H8" s="436"/>
      <c r="I8" s="436"/>
      <c r="J8" s="436" t="s">
        <v>254</v>
      </c>
      <c r="K8" s="438">
        <v>1</v>
      </c>
      <c r="M8" s="385" t="str">
        <f>VLOOKUP(N8,Coeff_Descr!$A:$D,3,FALSE)</f>
        <v>ALL</v>
      </c>
      <c r="N8" s="385">
        <f>OtherTourDestination!B16</f>
        <v>6</v>
      </c>
      <c r="O8" s="385" t="str">
        <f>OtherTourDestination!C16</f>
        <v>Beta00006</v>
      </c>
      <c r="P8" s="387">
        <f>OtherTourDestination!E16</f>
        <v>-8.2865473150899996E-2</v>
      </c>
      <c r="Q8" s="426">
        <f si="0" t="shared"/>
        <v>-8.2865473150899996E-2</v>
      </c>
      <c r="T8" s="410"/>
      <c r="U8" s="410"/>
      <c r="V8" s="410"/>
      <c r="W8" s="410"/>
    </row>
    <row r="9" spans="3:23" x14ac:dyDescent="0.25">
      <c r="M9" s="385" t="str">
        <f>VLOOKUP(N9,Coeff_Descr!$A:$D,3,FALSE)</f>
        <v>ALL</v>
      </c>
      <c r="N9" s="385">
        <f>OtherTourDestination!B17</f>
        <v>7</v>
      </c>
      <c r="O9" s="385" t="str">
        <f>OtherTourDestination!C17</f>
        <v>Beta00007</v>
      </c>
      <c r="P9" s="387">
        <f>OtherTourDestination!E17</f>
        <v>-3.9895313632499998</v>
      </c>
      <c r="Q9" s="426">
        <f si="0" t="shared"/>
        <v>-3.9895313632499998</v>
      </c>
      <c r="T9" s="410"/>
      <c r="U9" s="463" t="s">
        <v>277</v>
      </c>
      <c r="V9" s="410"/>
      <c r="W9" s="410"/>
    </row>
    <row ht="15.75" r="10" spans="3:23" thickBot="1" x14ac:dyDescent="0.3">
      <c r="C10" s="403" t="s">
        <v>63</v>
      </c>
      <c r="I10" s="439" t="s">
        <v>255</v>
      </c>
      <c r="J10" s="440"/>
      <c r="K10" s="440"/>
      <c r="L10" s="390"/>
      <c r="M10" s="385" t="str">
        <f>VLOOKUP(N10,Coeff_Descr!$A:$D,3,FALSE)</f>
        <v>ALL</v>
      </c>
      <c r="N10" s="385">
        <f>OtherTourDestination!B18</f>
        <v>8</v>
      </c>
      <c r="O10" s="385" t="str">
        <f>OtherTourDestination!C18</f>
        <v>Beta00008</v>
      </c>
      <c r="P10" s="387">
        <f>OtherTourDestination!E18</f>
        <v>6.9400000000000003E-2</v>
      </c>
      <c r="Q10" s="426">
        <f si="0" t="shared"/>
        <v>6.9400000000000003E-2</v>
      </c>
      <c r="T10" s="410">
        <v>1</v>
      </c>
      <c r="U10" s="383" t="s">
        <v>272</v>
      </c>
      <c r="V10" s="410"/>
      <c r="W10" s="410"/>
    </row>
    <row r="11" spans="3:23" x14ac:dyDescent="0.25">
      <c r="C11" s="388" t="s">
        <v>3</v>
      </c>
      <c r="D11" s="389" t="s">
        <v>44</v>
      </c>
      <c r="F11" s="388" t="s">
        <v>3</v>
      </c>
      <c r="G11" s="389" t="s">
        <v>44</v>
      </c>
      <c r="H11" s="434"/>
      <c r="I11" s="389" t="s">
        <v>256</v>
      </c>
      <c r="J11" s="389" t="s">
        <v>257</v>
      </c>
      <c r="K11" s="389" t="s">
        <v>258</v>
      </c>
      <c r="L11" s="404"/>
      <c r="M11" s="385" t="str">
        <f>VLOOKUP(N11,Coeff_Descr!$A:$D,3,FALSE)</f>
        <v>ALL</v>
      </c>
      <c r="N11" s="385">
        <f>OtherTourDestination!B19</f>
        <v>9</v>
      </c>
      <c r="O11" s="385" t="str">
        <f>OtherTourDestination!C19</f>
        <v>Beta00009</v>
      </c>
      <c r="P11" s="387">
        <f>OtherTourDestination!E19</f>
        <v>-9.5820044919499997E-2</v>
      </c>
      <c r="Q11" s="426">
        <f si="0" t="shared"/>
        <v>-9.5820044919499997E-2</v>
      </c>
      <c r="T11" s="410">
        <v>2</v>
      </c>
      <c r="U11" s="410" t="s">
        <v>278</v>
      </c>
      <c r="V11" s="410"/>
      <c r="W11" s="410"/>
    </row>
    <row r="12" spans="3:23" x14ac:dyDescent="0.25">
      <c r="C12" s="391" t="s">
        <v>47</v>
      </c>
      <c r="D12" s="405">
        <f>D4/D$8</f>
        <v>0.22017504370482535</v>
      </c>
      <c r="F12" s="391" t="s">
        <v>47</v>
      </c>
      <c r="G12" s="405">
        <f>G4/G$8</f>
        <v>0.1058999554014588</v>
      </c>
      <c r="H12" s="405"/>
      <c r="I12" s="441">
        <f>D12/G12</f>
        <v>2.0790853298300105</v>
      </c>
      <c r="J12" s="442">
        <f>LN(I12)</f>
        <v>0.73192805172288544</v>
      </c>
      <c r="K12" s="442">
        <f>K8*J12</f>
        <v>0.73192805172288544</v>
      </c>
      <c r="L12" s="404"/>
      <c r="M12" s="385" t="str">
        <f>VLOOKUP(N12,Coeff_Descr!$A:$D,3,FALSE)</f>
        <v>ALL</v>
      </c>
      <c r="N12" s="385">
        <f>OtherTourDestination!B20</f>
        <v>10</v>
      </c>
      <c r="O12" s="385" t="str">
        <f>OtherTourDestination!C20</f>
        <v>Beta00010</v>
      </c>
      <c r="P12" s="387">
        <f>OtherTourDestination!E20</f>
        <v>0.517563261484</v>
      </c>
      <c r="Q12" s="426">
        <f si="0" t="shared"/>
        <v>0.517563261484</v>
      </c>
      <c r="T12" s="410">
        <v>3</v>
      </c>
      <c r="U12" s="410" t="s">
        <v>279</v>
      </c>
      <c r="V12" s="410"/>
      <c r="W12" s="410"/>
    </row>
    <row r="13" spans="3:23" x14ac:dyDescent="0.25">
      <c r="C13" s="394" t="s">
        <v>50</v>
      </c>
      <c r="D13" s="406">
        <f ref="D13:D16" si="1" t="shared">D5/D$8</f>
        <v>0.35164599097858423</v>
      </c>
      <c r="F13" s="394" t="s">
        <v>50</v>
      </c>
      <c r="G13" s="406">
        <f ref="G13:G16" si="2" t="shared">G5/G$8</f>
        <v>0.25155015897221944</v>
      </c>
      <c r="H13" s="406"/>
      <c r="I13" s="441">
        <f ref="I13:I15" si="3" t="shared">D13/G13</f>
        <v>1.3979159958210128</v>
      </c>
      <c r="J13" s="442">
        <f ref="J13:J15" si="4" t="shared">LN(I13)</f>
        <v>0.33498255318004155</v>
      </c>
      <c r="K13" s="442">
        <f>K8*(J13-J12)</f>
        <v>-0.39694549854284389</v>
      </c>
      <c r="L13" s="404"/>
      <c r="M13" s="385" t="str">
        <f>VLOOKUP(N13,Coeff_Descr!$A:$D,3,FALSE)</f>
        <v>ALL</v>
      </c>
      <c r="N13" s="385">
        <f>OtherTourDestination!B21</f>
        <v>11</v>
      </c>
      <c r="O13" s="385" t="str">
        <f>OtherTourDestination!C21</f>
        <v>Beta00011</v>
      </c>
      <c r="P13" s="387">
        <f>OtherTourDestination!E21</f>
        <v>-0.80352358260699996</v>
      </c>
      <c r="Q13" s="426">
        <f si="0" t="shared"/>
        <v>-0.80352358260699996</v>
      </c>
      <c r="T13" s="410">
        <v>4</v>
      </c>
      <c r="U13" s="410" t="s">
        <v>280</v>
      </c>
      <c r="V13" s="410"/>
      <c r="W13" s="410"/>
    </row>
    <row r="14" spans="3:23" x14ac:dyDescent="0.25">
      <c r="C14" s="394" t="s">
        <v>53</v>
      </c>
      <c r="D14" s="406">
        <f si="1" t="shared"/>
        <v>0.25789223926818899</v>
      </c>
      <c r="F14" s="394" t="s">
        <v>53</v>
      </c>
      <c r="G14" s="406">
        <f si="2" t="shared"/>
        <v>0.36730495331539803</v>
      </c>
      <c r="H14" s="406"/>
      <c r="I14" s="441">
        <f si="3" t="shared"/>
        <v>0.70212023263062739</v>
      </c>
      <c r="J14" s="442">
        <f si="4" t="shared"/>
        <v>-0.35365061806802373</v>
      </c>
      <c r="K14" s="442">
        <f>K8*(J14-J13-J12)</f>
        <v>-1.4205612229709508</v>
      </c>
      <c r="L14" s="407"/>
      <c r="M14" s="385" t="str">
        <f>VLOOKUP(N14,Coeff_Descr!$A:$D,3,FALSE)</f>
        <v>ALL</v>
      </c>
      <c r="N14" s="385">
        <f>OtherTourDestination!B22</f>
        <v>12</v>
      </c>
      <c r="O14" s="385" t="str">
        <f>OtherTourDestination!C22</f>
        <v>Beta00012</v>
      </c>
      <c r="P14" s="387">
        <f>OtherTourDestination!E22</f>
        <v>-0.80534348065299999</v>
      </c>
      <c r="Q14" s="426">
        <f si="0" t="shared"/>
        <v>-0.80534348065299999</v>
      </c>
      <c r="T14" s="410">
        <v>5</v>
      </c>
      <c r="U14" s="383" t="s">
        <v>281</v>
      </c>
      <c r="V14" s="410"/>
      <c r="W14" s="410"/>
    </row>
    <row ht="15.75" r="15" spans="3:23" thickBot="1" x14ac:dyDescent="0.3">
      <c r="C15" s="397" t="s">
        <v>56</v>
      </c>
      <c r="D15" s="406">
        <f si="1" t="shared"/>
        <v>0.17028672604840162</v>
      </c>
      <c r="F15" s="397" t="s">
        <v>56</v>
      </c>
      <c r="G15" s="406">
        <f si="2" t="shared"/>
        <v>0.27524493231092378</v>
      </c>
      <c r="H15" s="406"/>
      <c r="I15" s="443">
        <f si="3" t="shared"/>
        <v>0.61867342885732524</v>
      </c>
      <c r="J15" s="444">
        <f si="4" t="shared"/>
        <v>-0.48017772409876264</v>
      </c>
      <c r="K15" s="444">
        <f>K8*(J15-J14-J13-J12)</f>
        <v>-1.193437710933666</v>
      </c>
      <c r="M15" s="385" t="str">
        <f>VLOOKUP(N15,Coeff_Descr!$A:$D,3,FALSE)</f>
        <v>ALL</v>
      </c>
      <c r="N15" s="385">
        <f>OtherTourDestination!B23</f>
        <v>13</v>
      </c>
      <c r="O15" s="385" t="str">
        <f>OtherTourDestination!C23</f>
        <v>Beta00013</v>
      </c>
      <c r="P15" s="387">
        <f>OtherTourDestination!E23</f>
        <v>-0.51977799879300002</v>
      </c>
      <c r="Q15" s="426">
        <f si="0" t="shared"/>
        <v>-0.51977799879300002</v>
      </c>
      <c r="T15" s="410">
        <v>6</v>
      </c>
      <c r="U15" s="410" t="s">
        <v>282</v>
      </c>
      <c r="V15" s="410"/>
      <c r="W15" s="410"/>
    </row>
    <row ht="15.75" r="16" spans="3:23" thickBot="1" x14ac:dyDescent="0.3">
      <c r="C16" s="400" t="s">
        <v>4</v>
      </c>
      <c r="D16" s="408">
        <f si="1" t="shared"/>
        <v>1</v>
      </c>
      <c r="E16" s="402"/>
      <c r="F16" s="400" t="s">
        <v>4</v>
      </c>
      <c r="G16" s="408">
        <f si="2" t="shared"/>
        <v>1</v>
      </c>
      <c r="H16" s="437"/>
      <c r="I16" s="441"/>
      <c r="J16" s="441"/>
      <c r="K16" s="441"/>
      <c r="M16" s="385" t="str">
        <f>VLOOKUP(N16,Coeff_Descr!$A:$D,3,FALSE)</f>
        <v>ALL</v>
      </c>
      <c r="N16" s="385">
        <f>OtherTourDestination!B24</f>
        <v>14</v>
      </c>
      <c r="O16" s="385" t="str">
        <f>OtherTourDestination!C24</f>
        <v>Beta00014</v>
      </c>
      <c r="P16" s="387">
        <f>OtherTourDestination!E24</f>
        <v>-0.27562686954600002</v>
      </c>
      <c r="Q16" s="426">
        <f si="0" t="shared"/>
        <v>-0.27562686954600002</v>
      </c>
      <c r="T16" s="410">
        <v>7</v>
      </c>
      <c r="U16" s="410" t="s">
        <v>275</v>
      </c>
      <c r="V16" s="410"/>
      <c r="W16" s="410"/>
    </row>
    <row r="17" spans="2:23" x14ac:dyDescent="0.25">
      <c r="M17" s="385" t="str">
        <f>VLOOKUP(N17,Coeff_Descr!$A:$D,3,FALSE)</f>
        <v>ALL</v>
      </c>
      <c r="N17" s="385">
        <f>OtherTourDestination!B25</f>
        <v>15</v>
      </c>
      <c r="O17" s="385" t="str">
        <f>OtherTourDestination!C25</f>
        <v>Beta00015</v>
      </c>
      <c r="P17" s="387">
        <f>OtherTourDestination!E25</f>
        <v>-0.55245424085299999</v>
      </c>
      <c r="Q17" s="426">
        <f si="0" t="shared"/>
        <v>-0.55245424085299999</v>
      </c>
      <c r="T17" s="410">
        <v>8</v>
      </c>
      <c r="U17" s="410" t="s">
        <v>283</v>
      </c>
      <c r="V17" s="410"/>
      <c r="W17" s="410"/>
    </row>
    <row r="18" spans="2:23" x14ac:dyDescent="0.25">
      <c r="I18" s="445"/>
      <c r="J18" s="445"/>
      <c r="K18" s="442"/>
      <c r="M18" s="385" t="str">
        <f>VLOOKUP(N18,Coeff_Descr!$A:$D,3,FALSE)</f>
        <v>ALL</v>
      </c>
      <c r="N18" s="385">
        <f>OtherTourDestination!B26</f>
        <v>16</v>
      </c>
      <c r="O18" s="385" t="str">
        <f>OtherTourDestination!C26</f>
        <v>Beta00016</v>
      </c>
      <c r="P18" s="387">
        <f>OtherTourDestination!E26</f>
        <v>-0.493022087256</v>
      </c>
      <c r="Q18" s="426">
        <f si="0" t="shared"/>
        <v>-0.493022087256</v>
      </c>
    </row>
    <row r="19" spans="2:23" x14ac:dyDescent="0.25">
      <c r="C19" s="409" t="s">
        <v>82</v>
      </c>
      <c r="I19" s="445"/>
      <c r="J19" s="445"/>
      <c r="K19" s="442"/>
      <c r="M19" s="385" t="str">
        <f>VLOOKUP(N19,Coeff_Descr!$A:$D,3,FALSE)</f>
        <v>ALL</v>
      </c>
      <c r="N19" s="385">
        <f>OtherTourDestination!B27</f>
        <v>17</v>
      </c>
      <c r="O19" s="385" t="str">
        <f>OtherTourDestination!C27</f>
        <v>Beta00017</v>
      </c>
      <c r="P19" s="387">
        <f>OtherTourDestination!E27</f>
        <v>0</v>
      </c>
      <c r="Q19" s="426">
        <f si="0" t="shared"/>
        <v>0</v>
      </c>
    </row>
    <row r="20" spans="2:23" x14ac:dyDescent="0.25">
      <c r="C20" s="409" t="s">
        <v>85</v>
      </c>
      <c r="I20" s="445"/>
      <c r="J20" s="445"/>
      <c r="K20" s="442"/>
      <c r="M20" s="385" t="str">
        <f>VLOOKUP(N20,Coeff_Descr!$A:$D,3,FALSE)</f>
        <v>ALL</v>
      </c>
      <c r="N20" s="385">
        <f>OtherTourDestination!B28</f>
        <v>18</v>
      </c>
      <c r="O20" s="385" t="str">
        <f>OtherTourDestination!C28</f>
        <v>Beta00018</v>
      </c>
      <c r="P20" s="387">
        <f>OtherTourDestination!E28</f>
        <v>0</v>
      </c>
      <c r="Q20" s="426">
        <f si="0" t="shared"/>
        <v>0</v>
      </c>
    </row>
    <row ht="15.75" r="21" spans="2:23" thickBot="1" x14ac:dyDescent="0.3">
      <c r="C21" s="410"/>
      <c r="I21" s="445"/>
      <c r="J21" s="445"/>
      <c r="K21" s="442"/>
      <c r="M21" s="385" t="str">
        <f>VLOOKUP(N21,Coeff_Descr!$A:$D,3,FALSE)</f>
        <v>ALL</v>
      </c>
      <c r="N21" s="385">
        <f>OtherTourDestination!B29</f>
        <v>19</v>
      </c>
      <c r="O21" s="385" t="str">
        <f>OtherTourDestination!C29</f>
        <v>Beta00019</v>
      </c>
      <c r="P21" s="387">
        <f>OtherTourDestination!E29</f>
        <v>0</v>
      </c>
      <c r="Q21" s="426">
        <f si="0" t="shared"/>
        <v>0</v>
      </c>
    </row>
    <row r="22" spans="2:23" x14ac:dyDescent="0.25">
      <c r="B22" s="447" t="s">
        <v>259</v>
      </c>
      <c r="C22" s="411" t="s">
        <v>91</v>
      </c>
      <c r="D22" s="412"/>
      <c r="M22" s="385" t="str">
        <f>VLOOKUP(N22,Coeff_Descr!$A:$D,3,FALSE)</f>
        <v>ESCORT</v>
      </c>
      <c r="N22" s="385">
        <f>OtherTourDestination!B30</f>
        <v>20</v>
      </c>
      <c r="O22" s="385" t="str">
        <f>OtherTourDestination!C30</f>
        <v>Beta00020</v>
      </c>
      <c r="P22" s="387">
        <f>OtherTourDestination!E30</f>
        <v>0.63771148688699997</v>
      </c>
      <c r="Q22" s="426">
        <f si="0" t="shared"/>
        <v>0.63771148688699997</v>
      </c>
    </row>
    <row r="23" spans="2:23" x14ac:dyDescent="0.25">
      <c r="B23" s="448">
        <v>27</v>
      </c>
      <c r="C23" s="391" t="s">
        <v>47</v>
      </c>
      <c r="D23" s="465">
        <f>VLOOKUP($B23,$N:$P,3,FALSE)</f>
        <v>-14.8384910501</v>
      </c>
      <c r="I23" s="446"/>
      <c r="J23" s="446"/>
      <c r="K23" s="446"/>
      <c r="M23" s="385" t="str">
        <f>VLOOKUP(N23,Coeff_Descr!$A:$D,3,FALSE)</f>
        <v>ESCORT</v>
      </c>
      <c r="N23" s="385">
        <f>OtherTourDestination!B31</f>
        <v>21</v>
      </c>
      <c r="O23" s="385" t="str">
        <f>OtherTourDestination!C31</f>
        <v>Beta00021</v>
      </c>
      <c r="P23" s="387">
        <f>OtherTourDestination!E31</f>
        <v>-12.0946718381</v>
      </c>
      <c r="Q23" s="426">
        <f si="0" t="shared"/>
        <v>-12.0946718381</v>
      </c>
    </row>
    <row r="24" spans="2:23" x14ac:dyDescent="0.25">
      <c r="B24" s="448">
        <v>28</v>
      </c>
      <c r="C24" s="394" t="s">
        <v>50</v>
      </c>
      <c r="D24" s="465">
        <f ref="D24:D26" si="5" t="shared">VLOOKUP($B24,$N:$P,3,FALSE)</f>
        <v>-5.1880432348000003</v>
      </c>
      <c r="M24" s="385" t="str">
        <f>VLOOKUP(N24,Coeff_Descr!$A:$D,3,FALSE)</f>
        <v>ESCORT</v>
      </c>
      <c r="N24" s="385">
        <f>OtherTourDestination!B32</f>
        <v>22</v>
      </c>
      <c r="O24" s="385" t="str">
        <f>OtherTourDestination!C32</f>
        <v>Beta00022</v>
      </c>
      <c r="P24" s="387">
        <f>OtherTourDestination!E32</f>
        <v>-4.03623745316</v>
      </c>
      <c r="Q24" s="426">
        <f si="0" t="shared"/>
        <v>-4.03623745316</v>
      </c>
    </row>
    <row r="25" spans="2:23" x14ac:dyDescent="0.25">
      <c r="B25" s="448">
        <v>29</v>
      </c>
      <c r="C25" s="394" t="s">
        <v>53</v>
      </c>
      <c r="D25" s="465">
        <f si="5" t="shared"/>
        <v>-2.6156308707</v>
      </c>
      <c r="M25" s="385" t="str">
        <f>VLOOKUP(N25,Coeff_Descr!$A:$D,3,FALSE)</f>
        <v>ESCORT</v>
      </c>
      <c r="N25" s="385">
        <f>OtherTourDestination!B33</f>
        <v>23</v>
      </c>
      <c r="O25" s="385" t="str">
        <f>OtherTourDestination!C33</f>
        <v>Beta00023</v>
      </c>
      <c r="P25" s="387">
        <f>OtherTourDestination!E33</f>
        <v>-2.16371815818</v>
      </c>
      <c r="Q25" s="426">
        <f si="0" t="shared"/>
        <v>-2.16371815818</v>
      </c>
    </row>
    <row ht="15.75" r="26" spans="2:23" thickBot="1" x14ac:dyDescent="0.3">
      <c r="B26" s="449">
        <v>30</v>
      </c>
      <c r="C26" s="414" t="s">
        <v>56</v>
      </c>
      <c r="D26" s="466">
        <f si="5" t="shared"/>
        <v>-0.91046169190000004</v>
      </c>
      <c r="M26" s="385" t="str">
        <f>VLOOKUP(N26,Coeff_Descr!$A:$D,3,FALSE)</f>
        <v>ESCORT</v>
      </c>
      <c r="N26" s="385">
        <f>OtherTourDestination!B34</f>
        <v>24</v>
      </c>
      <c r="O26" s="385" t="str">
        <f>OtherTourDestination!C34</f>
        <v>Beta00024</v>
      </c>
      <c r="P26" s="387">
        <f>OtherTourDestination!E34</f>
        <v>0.10429329553199999</v>
      </c>
      <c r="Q26" s="426">
        <f si="0" t="shared"/>
        <v>0.10429329553199999</v>
      </c>
    </row>
    <row r="27" spans="2:23" x14ac:dyDescent="0.25">
      <c r="C27" s="410"/>
      <c r="D27" s="416"/>
      <c r="M27" s="385" t="str">
        <f>VLOOKUP(N27,Coeff_Descr!$A:$D,3,FALSE)</f>
        <v>ESCORT</v>
      </c>
      <c r="N27" s="385">
        <f>OtherTourDestination!B35</f>
        <v>25</v>
      </c>
      <c r="O27" s="385" t="str">
        <f>OtherTourDestination!C35</f>
        <v>Beta00025</v>
      </c>
      <c r="P27" s="387">
        <f>OtherTourDestination!E35</f>
        <v>0</v>
      </c>
      <c r="Q27" s="426">
        <f si="0" t="shared"/>
        <v>0</v>
      </c>
    </row>
    <row r="28" spans="2:23" x14ac:dyDescent="0.25">
      <c r="C28" s="410"/>
      <c r="D28" s="416"/>
      <c r="M28" s="385" t="str">
        <f>VLOOKUP(N28,Coeff_Descr!$A:$D,3,FALSE)</f>
        <v>PERSBUS/MED</v>
      </c>
      <c r="N28" s="385">
        <f>OtherTourDestination!B36</f>
        <v>26</v>
      </c>
      <c r="O28" s="385" t="str">
        <f>OtherTourDestination!C36</f>
        <v>Beta00026</v>
      </c>
      <c r="P28" s="387">
        <f>OtherTourDestination!E36</f>
        <v>0.417326479157</v>
      </c>
      <c r="Q28" s="426">
        <f si="0" t="shared"/>
        <v>0.417326479157</v>
      </c>
    </row>
    <row r="29" spans="2:23" x14ac:dyDescent="0.25">
      <c r="C29" s="409" t="s">
        <v>82</v>
      </c>
      <c r="D29" s="417"/>
      <c r="M29" s="385" t="str">
        <f>VLOOKUP(N29,Coeff_Descr!$A:$D,3,FALSE)</f>
        <v>PERSBUS/MED</v>
      </c>
      <c r="N29" s="427">
        <f>OtherTourDestination!B37</f>
        <v>27</v>
      </c>
      <c r="O29" s="427" t="str">
        <f>OtherTourDestination!C37</f>
        <v>Beta00027</v>
      </c>
      <c r="P29" s="428">
        <f>OtherTourDestination!E37</f>
        <v>-14.8384910501</v>
      </c>
      <c r="Q29" s="429">
        <f si="0" t="shared"/>
        <v>-14.106562998377115</v>
      </c>
      <c r="R29" s="385" t="str">
        <f>VLOOKUP(N29,Coeff_Descr!$A$2:$E$104,4,FALSE)</f>
        <v>distanceFromOrigin4</v>
      </c>
    </row>
    <row r="30" spans="2:23" x14ac:dyDescent="0.25">
      <c r="C30" s="409" t="s">
        <v>107</v>
      </c>
      <c r="D30" s="417"/>
      <c r="M30" s="385" t="str">
        <f>VLOOKUP(N30,Coeff_Descr!$A:$D,3,FALSE)</f>
        <v>PERSBUS/MED</v>
      </c>
      <c r="N30" s="427">
        <f>OtherTourDestination!B38</f>
        <v>28</v>
      </c>
      <c r="O30" s="427" t="str">
        <f>OtherTourDestination!C38</f>
        <v>Beta00028</v>
      </c>
      <c r="P30" s="428">
        <f>OtherTourDestination!E38</f>
        <v>-5.1880432348000003</v>
      </c>
      <c r="Q30" s="429">
        <f si="0" t="shared"/>
        <v>-5.5849887333428443</v>
      </c>
      <c r="R30" s="385" t="str">
        <f>VLOOKUP(N30,Coeff_Descr!$A$2:$E$104,4,FALSE)</f>
        <v>distanceFromOrigin8</v>
      </c>
    </row>
    <row ht="15.75" r="31" spans="2:23" thickBot="1" x14ac:dyDescent="0.3">
      <c r="C31" s="410"/>
      <c r="D31" s="416"/>
      <c r="M31" s="385" t="str">
        <f>VLOOKUP(N31,Coeff_Descr!$A:$D,3,FALSE)</f>
        <v>PERSBUS/MED</v>
      </c>
      <c r="N31" s="427">
        <f>OtherTourDestination!B39</f>
        <v>29</v>
      </c>
      <c r="O31" s="427" t="str">
        <f>OtherTourDestination!C39</f>
        <v>Beta00029</v>
      </c>
      <c r="P31" s="428">
        <f>OtherTourDestination!E39</f>
        <v>-2.6156308707</v>
      </c>
      <c r="Q31" s="429">
        <f si="0" t="shared"/>
        <v>-4.0361920936709508</v>
      </c>
      <c r="R31" s="385" t="str">
        <f>VLOOKUP(N31,Coeff_Descr!$A$2:$E$104,4,FALSE)</f>
        <v>distanceFromOrigin9</v>
      </c>
    </row>
    <row r="32" spans="2:23" x14ac:dyDescent="0.25">
      <c r="B32" s="447" t="s">
        <v>259</v>
      </c>
      <c r="C32" s="411" t="s">
        <v>91</v>
      </c>
      <c r="D32" s="412"/>
      <c r="M32" s="385" t="str">
        <f>VLOOKUP(N32,Coeff_Descr!$A:$D,3,FALSE)</f>
        <v>PERSBUS/MED</v>
      </c>
      <c r="N32" s="427">
        <f>OtherTourDestination!B40</f>
        <v>30</v>
      </c>
      <c r="O32" s="427" t="str">
        <f>OtherTourDestination!C40</f>
        <v>Beta00030</v>
      </c>
      <c r="P32" s="428">
        <f>OtherTourDestination!E40</f>
        <v>-0.91046169190000004</v>
      </c>
      <c r="Q32" s="429">
        <f si="0" t="shared"/>
        <v>-2.1038994028336662</v>
      </c>
      <c r="R32" s="385" t="str">
        <f>VLOOKUP(N32,Coeff_Descr!$A$2:$E$104,4,FALSE)</f>
        <v>distanceFromOrigin3</v>
      </c>
    </row>
    <row r="33" spans="2:17" x14ac:dyDescent="0.25">
      <c r="B33" s="448">
        <f>B23</f>
        <v>27</v>
      </c>
      <c r="C33" s="391" t="s">
        <v>47</v>
      </c>
      <c r="D33" s="467">
        <f>K12</f>
        <v>0.73192805172288544</v>
      </c>
      <c r="M33" s="385" t="str">
        <f>VLOOKUP(N33,Coeff_Descr!$A:$D,3,FALSE)</f>
        <v>PERSBUS/MED</v>
      </c>
      <c r="N33" s="385">
        <f>OtherTourDestination!B41</f>
        <v>31</v>
      </c>
      <c r="O33" s="385" t="str">
        <f>OtherTourDestination!C41</f>
        <v>Beta00031</v>
      </c>
      <c r="P33" s="387">
        <f>OtherTourDestination!E41</f>
        <v>5.7553461640599997E-2</v>
      </c>
      <c r="Q33" s="426">
        <f si="0" t="shared"/>
        <v>5.7553461640599997E-2</v>
      </c>
    </row>
    <row r="34" spans="2:17" x14ac:dyDescent="0.25">
      <c r="B34" s="448">
        <f ref="B34:B36" si="6" t="shared">B24</f>
        <v>28</v>
      </c>
      <c r="C34" s="394" t="s">
        <v>50</v>
      </c>
      <c r="D34" s="468">
        <f ref="D34:D36" si="7" t="shared">K13</f>
        <v>-0.39694549854284389</v>
      </c>
      <c r="M34" s="385" t="str">
        <f>VLOOKUP(N34,Coeff_Descr!$A:$D,3,FALSE)</f>
        <v>PERSBUS/MED</v>
      </c>
      <c r="N34" s="385">
        <f>OtherTourDestination!B42</f>
        <v>32</v>
      </c>
      <c r="O34" s="385" t="str">
        <f>OtherTourDestination!C42</f>
        <v>Beta00032</v>
      </c>
      <c r="P34" s="387">
        <f>OtherTourDestination!E42</f>
        <v>0.237798002151</v>
      </c>
      <c r="Q34" s="426">
        <f si="0" t="shared"/>
        <v>0.237798002151</v>
      </c>
    </row>
    <row r="35" spans="2:17" x14ac:dyDescent="0.25">
      <c r="B35" s="448">
        <f si="6" t="shared"/>
        <v>29</v>
      </c>
      <c r="C35" s="394" t="s">
        <v>53</v>
      </c>
      <c r="D35" s="468">
        <f si="7" t="shared"/>
        <v>-1.4205612229709508</v>
      </c>
      <c r="G35" s="418"/>
      <c r="H35" s="418"/>
      <c r="I35" s="418"/>
      <c r="J35" s="418"/>
      <c r="K35" s="418"/>
      <c r="M35" s="385" t="str">
        <f>VLOOKUP(N35,Coeff_Descr!$A:$D,3,FALSE)</f>
        <v>PERSBUS/MED</v>
      </c>
      <c r="N35" s="385">
        <f>OtherTourDestination!B43</f>
        <v>33</v>
      </c>
      <c r="O35" s="385" t="str">
        <f>OtherTourDestination!C43</f>
        <v>Beta00033</v>
      </c>
      <c r="P35" s="387">
        <f>OtherTourDestination!E43</f>
        <v>0</v>
      </c>
      <c r="Q35" s="426">
        <f si="0" t="shared"/>
        <v>0</v>
      </c>
    </row>
    <row ht="15.75" r="36" spans="2:17" thickBot="1" x14ac:dyDescent="0.3">
      <c r="B36" s="450">
        <f si="6" t="shared"/>
        <v>30</v>
      </c>
      <c r="C36" s="414" t="s">
        <v>56</v>
      </c>
      <c r="D36" s="415">
        <f si="7" t="shared"/>
        <v>-1.193437710933666</v>
      </c>
      <c r="G36" s="419"/>
      <c r="H36" s="419"/>
      <c r="I36" s="419"/>
      <c r="J36" s="419"/>
      <c r="K36" s="419"/>
      <c r="M36" s="385" t="str">
        <f>VLOOKUP(N36,Coeff_Descr!$A:$D,3,FALSE)</f>
        <v>PERSBUS/MED</v>
      </c>
      <c r="N36" s="385">
        <f>OtherTourDestination!B44</f>
        <v>34</v>
      </c>
      <c r="O36" s="385" t="str">
        <f>OtherTourDestination!C44</f>
        <v>Beta00034</v>
      </c>
      <c r="P36" s="387">
        <f>OtherTourDestination!E44</f>
        <v>0</v>
      </c>
      <c r="Q36" s="426">
        <f si="0" t="shared"/>
        <v>0</v>
      </c>
    </row>
    <row ht="15.75" r="37" spans="2:17" thickTop="1" x14ac:dyDescent="0.25">
      <c r="C37" s="410"/>
      <c r="D37" s="413"/>
      <c r="M37" s="385" t="str">
        <f>VLOOKUP(N37,Coeff_Descr!$A:$D,3,FALSE)</f>
        <v>PERSBUS/MED</v>
      </c>
      <c r="N37" s="385">
        <f>OtherTourDestination!B45</f>
        <v>35</v>
      </c>
      <c r="O37" s="385" t="str">
        <f>OtherTourDestination!C45</f>
        <v>Beta00035</v>
      </c>
      <c r="P37" s="387">
        <f>OtherTourDestination!E45</f>
        <v>0</v>
      </c>
      <c r="Q37" s="426">
        <f si="0" t="shared"/>
        <v>0</v>
      </c>
    </row>
    <row r="38" spans="2:17" x14ac:dyDescent="0.25">
      <c r="C38" s="410"/>
      <c r="D38" s="413"/>
      <c r="M38" s="385" t="str">
        <f>VLOOKUP(N38,Coeff_Descr!$A:$D,3,FALSE)</f>
        <v>SHOP</v>
      </c>
      <c r="N38" s="385">
        <f>OtherTourDestination!B46</f>
        <v>36</v>
      </c>
      <c r="O38" s="385" t="str">
        <f>OtherTourDestination!C46</f>
        <v>Beta00036</v>
      </c>
      <c r="P38" s="387">
        <f>OtherTourDestination!E46</f>
        <v>0.61259135262599995</v>
      </c>
      <c r="Q38" s="426">
        <f si="0" t="shared"/>
        <v>0.61259135262599995</v>
      </c>
    </row>
    <row r="39" spans="2:17" x14ac:dyDescent="0.25">
      <c r="C39" s="409" t="s">
        <v>82</v>
      </c>
      <c r="D39" s="420"/>
      <c r="M39" s="385" t="str">
        <f>VLOOKUP(N39,Coeff_Descr!$A:$D,3,FALSE)</f>
        <v>SHOP</v>
      </c>
      <c r="N39" s="422">
        <f>OtherTourDestination!B47</f>
        <v>37</v>
      </c>
      <c r="O39" s="422" t="str">
        <f>OtherTourDestination!C47</f>
        <v>Beta00037</v>
      </c>
      <c r="P39" s="464">
        <f>OtherTourDestination!E47</f>
        <v>-20.810228388700001</v>
      </c>
      <c r="Q39" s="426">
        <f si="0" t="shared"/>
        <v>-20.810228388700001</v>
      </c>
    </row>
    <row r="40" spans="2:17" x14ac:dyDescent="0.25">
      <c r="C40" s="409" t="s">
        <v>125</v>
      </c>
      <c r="D40" s="420"/>
      <c r="M40" s="385" t="str">
        <f>VLOOKUP(N40,Coeff_Descr!$A:$D,3,FALSE)</f>
        <v>SHOP</v>
      </c>
      <c r="N40" s="422">
        <f>OtherTourDestination!B48</f>
        <v>38</v>
      </c>
      <c r="O40" s="422" t="str">
        <f>OtherTourDestination!C48</f>
        <v>Beta00038</v>
      </c>
      <c r="P40" s="464">
        <f>OtherTourDestination!E48</f>
        <v>-7.1836373472300004</v>
      </c>
      <c r="Q40" s="426">
        <f si="0" t="shared"/>
        <v>-7.1836373472300004</v>
      </c>
    </row>
    <row ht="15.75" r="41" spans="2:17" thickBot="1" x14ac:dyDescent="0.3">
      <c r="B41" s="451"/>
      <c r="C41" s="410"/>
      <c r="D41" s="413"/>
      <c r="M41" s="385" t="str">
        <f>VLOOKUP(N41,Coeff_Descr!$A:$D,3,FALSE)</f>
        <v>SHOP</v>
      </c>
      <c r="N41" s="422">
        <f>OtherTourDestination!B49</f>
        <v>39</v>
      </c>
      <c r="O41" s="422" t="str">
        <f>OtherTourDestination!C49</f>
        <v>Beta00039</v>
      </c>
      <c r="P41" s="464">
        <f>OtherTourDestination!E49</f>
        <v>-3.6600975390500001</v>
      </c>
      <c r="Q41" s="426">
        <f si="0" t="shared"/>
        <v>-3.6600975390500001</v>
      </c>
    </row>
    <row r="42" spans="2:17" x14ac:dyDescent="0.25">
      <c r="B42" s="447" t="s">
        <v>259</v>
      </c>
      <c r="C42" s="411" t="s">
        <v>91</v>
      </c>
      <c r="D42" s="421"/>
      <c r="M42" s="385" t="str">
        <f>VLOOKUP(N42,Coeff_Descr!$A:$D,3,FALSE)</f>
        <v>SHOP</v>
      </c>
      <c r="N42" s="422">
        <f>OtherTourDestination!B50</f>
        <v>40</v>
      </c>
      <c r="O42" s="422" t="str">
        <f>OtherTourDestination!C50</f>
        <v>Beta00040</v>
      </c>
      <c r="P42" s="464">
        <f>OtherTourDestination!E50</f>
        <v>-1.3605457273599999</v>
      </c>
      <c r="Q42" s="426">
        <f si="0" t="shared"/>
        <v>-1.3605457273599999</v>
      </c>
    </row>
    <row r="43" spans="2:17" x14ac:dyDescent="0.25">
      <c r="B43" s="448">
        <f>B33</f>
        <v>27</v>
      </c>
      <c r="C43" s="391" t="s">
        <v>47</v>
      </c>
      <c r="D43" s="469">
        <f>D23+D33</f>
        <v>-14.106562998377115</v>
      </c>
      <c r="M43" s="385" t="str">
        <f>VLOOKUP(N43,Coeff_Descr!$A:$D,3,FALSE)</f>
        <v>SHOP</v>
      </c>
      <c r="N43" s="385">
        <f>OtherTourDestination!B51</f>
        <v>41</v>
      </c>
      <c r="O43" s="385" t="str">
        <f>OtherTourDestination!C51</f>
        <v>Beta00041</v>
      </c>
      <c r="P43" s="387">
        <f>OtherTourDestination!E51</f>
        <v>-0.22141031751900001</v>
      </c>
      <c r="Q43" s="426">
        <f si="0" t="shared"/>
        <v>-0.22141031751900001</v>
      </c>
    </row>
    <row r="44" spans="2:17" x14ac:dyDescent="0.25">
      <c r="B44" s="448">
        <f ref="B44:B46" si="8" t="shared">B34</f>
        <v>28</v>
      </c>
      <c r="C44" s="394" t="s">
        <v>50</v>
      </c>
      <c r="D44" s="469">
        <f ref="D44:D46" si="9" t="shared">D24+D34</f>
        <v>-5.5849887333428443</v>
      </c>
      <c r="M44" s="385" t="str">
        <f>VLOOKUP(N44,Coeff_Descr!$A:$D,3,FALSE)</f>
        <v>SHOP</v>
      </c>
      <c r="N44" s="385">
        <f>OtherTourDestination!B52</f>
        <v>42</v>
      </c>
      <c r="O44" s="385" t="str">
        <f>OtherTourDestination!C52</f>
        <v>Beta00042</v>
      </c>
      <c r="P44" s="387">
        <f>OtherTourDestination!E52</f>
        <v>0.64228876129599999</v>
      </c>
      <c r="Q44" s="426">
        <f si="0" t="shared"/>
        <v>0.64228876129599999</v>
      </c>
    </row>
    <row r="45" spans="2:17" x14ac:dyDescent="0.25">
      <c r="B45" s="448">
        <f si="8" t="shared"/>
        <v>29</v>
      </c>
      <c r="C45" s="394" t="s">
        <v>53</v>
      </c>
      <c r="D45" s="469">
        <f si="9" t="shared"/>
        <v>-4.0361920936709508</v>
      </c>
      <c r="M45" s="385" t="str">
        <f>VLOOKUP(N45,Coeff_Descr!$A:$D,3,FALSE)</f>
        <v>MEAL</v>
      </c>
      <c r="N45" s="385">
        <f>OtherTourDestination!B53</f>
        <v>43</v>
      </c>
      <c r="O45" s="385" t="str">
        <f>OtherTourDestination!C53</f>
        <v>Beta00043</v>
      </c>
      <c r="P45" s="387">
        <f>OtherTourDestination!E53</f>
        <v>0.74588429254199995</v>
      </c>
      <c r="Q45" s="426">
        <f si="0" t="shared"/>
        <v>0.74588429254199995</v>
      </c>
    </row>
    <row ht="15.75" r="46" spans="2:17" thickBot="1" x14ac:dyDescent="0.3">
      <c r="B46" s="450">
        <f si="8" t="shared"/>
        <v>30</v>
      </c>
      <c r="C46" s="414" t="s">
        <v>56</v>
      </c>
      <c r="D46" s="470">
        <f si="9" t="shared"/>
        <v>-2.1038994028336662</v>
      </c>
      <c r="M46" s="385" t="str">
        <f>VLOOKUP(N46,Coeff_Descr!$A:$D,3,FALSE)</f>
        <v>MEAL</v>
      </c>
      <c r="N46" s="385">
        <f>OtherTourDestination!B54</f>
        <v>44</v>
      </c>
      <c r="O46" s="385" t="str">
        <f>OtherTourDestination!C54</f>
        <v>Beta00044</v>
      </c>
      <c r="P46" s="387">
        <f>OtherTourDestination!E54</f>
        <v>-32.156094092099998</v>
      </c>
      <c r="Q46" s="426">
        <f si="0" t="shared"/>
        <v>-32.156094092099998</v>
      </c>
    </row>
    <row ht="15.75" r="47" spans="2:17" thickTop="1" x14ac:dyDescent="0.25">
      <c r="M47" s="385" t="str">
        <f>VLOOKUP(N47,Coeff_Descr!$A:$D,3,FALSE)</f>
        <v>MEAL</v>
      </c>
      <c r="N47" s="385">
        <f>OtherTourDestination!B55</f>
        <v>45</v>
      </c>
      <c r="O47" s="385" t="str">
        <f>OtherTourDestination!C55</f>
        <v>Beta00045</v>
      </c>
      <c r="P47" s="387">
        <f>OtherTourDestination!E55</f>
        <v>-7.5551873767200002</v>
      </c>
      <c r="Q47" s="426">
        <f si="0" t="shared"/>
        <v>-7.5551873767200002</v>
      </c>
    </row>
    <row r="48" spans="2:17" x14ac:dyDescent="0.25">
      <c r="M48" s="385" t="str">
        <f>VLOOKUP(N48,Coeff_Descr!$A:$D,3,FALSE)</f>
        <v>MEAL</v>
      </c>
      <c r="N48" s="385">
        <f>OtherTourDestination!B56</f>
        <v>46</v>
      </c>
      <c r="O48" s="385" t="str">
        <f>OtherTourDestination!C56</f>
        <v>Beta00046</v>
      </c>
      <c r="P48" s="387">
        <f>OtherTourDestination!E56</f>
        <v>-3.4784098231399998</v>
      </c>
      <c r="Q48" s="426">
        <f si="0" t="shared"/>
        <v>-3.4784098231399998</v>
      </c>
    </row>
    <row r="49" spans="13:17" x14ac:dyDescent="0.25">
      <c r="M49" s="385" t="str">
        <f>VLOOKUP(N49,Coeff_Descr!$A:$D,3,FALSE)</f>
        <v>MEAL</v>
      </c>
      <c r="N49" s="385">
        <f>OtherTourDestination!B57</f>
        <v>47</v>
      </c>
      <c r="O49" s="385" t="str">
        <f>OtherTourDestination!C57</f>
        <v>Beta00047</v>
      </c>
      <c r="P49" s="387">
        <f>OtherTourDestination!E57</f>
        <v>-0.79171784712299997</v>
      </c>
      <c r="Q49" s="426">
        <f si="0" t="shared"/>
        <v>-0.79171784712299997</v>
      </c>
    </row>
    <row r="50" spans="13:17" x14ac:dyDescent="0.25">
      <c r="M50" s="385" t="str">
        <f>VLOOKUP(N50,Coeff_Descr!$A:$D,3,FALSE)</f>
        <v>MEAL</v>
      </c>
      <c r="N50" s="385">
        <f>OtherTourDestination!B58</f>
        <v>48</v>
      </c>
      <c r="O50" s="385" t="str">
        <f>OtherTourDestination!C58</f>
        <v>Beta00048</v>
      </c>
      <c r="P50" s="387">
        <f>OtherTourDestination!E58</f>
        <v>0.65760260093900003</v>
      </c>
      <c r="Q50" s="426">
        <f si="0" t="shared"/>
        <v>0.65760260093900003</v>
      </c>
    </row>
    <row r="51" spans="13:17" x14ac:dyDescent="0.25">
      <c r="M51" s="385" t="str">
        <f>VLOOKUP(N51,Coeff_Descr!$A:$D,3,FALSE)</f>
        <v>SOCREC</v>
      </c>
      <c r="N51" s="385">
        <f>OtherTourDestination!B59</f>
        <v>49</v>
      </c>
      <c r="O51" s="385" t="str">
        <f>OtherTourDestination!C59</f>
        <v>Beta00049</v>
      </c>
      <c r="P51" s="387">
        <f>OtherTourDestination!E59</f>
        <v>0.201576719663</v>
      </c>
      <c r="Q51" s="426">
        <f si="0" t="shared"/>
        <v>0.201576719663</v>
      </c>
    </row>
    <row r="52" spans="13:17" x14ac:dyDescent="0.25">
      <c r="M52" s="385" t="str">
        <f>VLOOKUP(N52,Coeff_Descr!$A:$D,3,FALSE)</f>
        <v>SOCREC</v>
      </c>
      <c r="N52" s="422">
        <f>OtherTourDestination!B60</f>
        <v>50</v>
      </c>
      <c r="O52" s="422" t="str">
        <f>OtherTourDestination!C60</f>
        <v>Beta00050</v>
      </c>
      <c r="P52" s="464">
        <f>OtherTourDestination!E60</f>
        <v>-28.552058518999999</v>
      </c>
      <c r="Q52" s="426">
        <f si="0" t="shared"/>
        <v>-28.552058518999999</v>
      </c>
    </row>
    <row r="53" spans="13:17" x14ac:dyDescent="0.25">
      <c r="M53" s="385" t="str">
        <f>VLOOKUP(N53,Coeff_Descr!$A:$D,3,FALSE)</f>
        <v>SOCREC</v>
      </c>
      <c r="N53" s="422">
        <f>OtherTourDestination!B61</f>
        <v>51</v>
      </c>
      <c r="O53" s="422" t="str">
        <f>OtherTourDestination!C61</f>
        <v>Beta00051</v>
      </c>
      <c r="P53" s="464">
        <f>OtherTourDestination!E61</f>
        <v>-7.25833529236</v>
      </c>
      <c r="Q53" s="426">
        <f si="0" t="shared"/>
        <v>-7.25833529236</v>
      </c>
    </row>
    <row r="54" spans="13:17" x14ac:dyDescent="0.25">
      <c r="M54" s="385" t="str">
        <f>VLOOKUP(N54,Coeff_Descr!$A:$D,3,FALSE)</f>
        <v>SOCREC</v>
      </c>
      <c r="N54" s="422">
        <f>OtherTourDestination!B62</f>
        <v>52</v>
      </c>
      <c r="O54" s="422" t="str">
        <f>OtherTourDestination!C62</f>
        <v>Beta00052</v>
      </c>
      <c r="P54" s="464">
        <f>OtherTourDestination!E62</f>
        <v>-2.64524710889</v>
      </c>
      <c r="Q54" s="426">
        <f si="0" t="shared"/>
        <v>-2.64524710889</v>
      </c>
    </row>
    <row r="55" spans="13:17" x14ac:dyDescent="0.25">
      <c r="M55" s="385" t="str">
        <f>VLOOKUP(N55,Coeff_Descr!$A:$D,3,FALSE)</f>
        <v>SOCREC</v>
      </c>
      <c r="N55" s="422">
        <f>OtherTourDestination!B63</f>
        <v>53</v>
      </c>
      <c r="O55" s="422" t="str">
        <f>OtherTourDestination!C63</f>
        <v>Beta00053</v>
      </c>
      <c r="P55" s="464">
        <f>OtherTourDestination!E63</f>
        <v>-0.76461618005800003</v>
      </c>
      <c r="Q55" s="426">
        <f si="0" t="shared"/>
        <v>-0.76461618005800003</v>
      </c>
    </row>
    <row r="56" spans="13:17" x14ac:dyDescent="0.25">
      <c r="M56" s="385" t="str">
        <f>VLOOKUP(N56,Coeff_Descr!$A:$D,3,FALSE)</f>
        <v>SOCREC</v>
      </c>
      <c r="N56" s="385">
        <f>OtherTourDestination!B64</f>
        <v>54</v>
      </c>
      <c r="O56" s="385" t="str">
        <f>OtherTourDestination!C64</f>
        <v>Beta00054</v>
      </c>
      <c r="P56" s="387">
        <f>OtherTourDestination!E64</f>
        <v>0.20818008309700001</v>
      </c>
      <c r="Q56" s="426">
        <f si="0" t="shared"/>
        <v>0.20818008309700001</v>
      </c>
    </row>
    <row r="57" spans="13:17" x14ac:dyDescent="0.25">
      <c r="M57" s="385" t="str">
        <f>VLOOKUP(N57,Coeff_Descr!$A:$D,3,FALSE)</f>
        <v>SOCREC</v>
      </c>
      <c r="N57" s="385">
        <f>OtherTourDestination!B65</f>
        <v>55</v>
      </c>
      <c r="O57" s="385" t="str">
        <f>OtherTourDestination!C65</f>
        <v>Beta00055</v>
      </c>
      <c r="P57" s="387">
        <f>OtherTourDestination!E65</f>
        <v>0.42522231451499998</v>
      </c>
      <c r="Q57" s="426">
        <f si="0" t="shared"/>
        <v>0.42522231451499998</v>
      </c>
    </row>
    <row r="58" spans="13:17" x14ac:dyDescent="0.25">
      <c r="M58" s="385" t="str">
        <f>VLOOKUP(N58,Coeff_Descr!$A:$D,3,FALSE)</f>
        <v>SOCREC</v>
      </c>
      <c r="N58" s="385">
        <f>OtherTourDestination!B66</f>
        <v>56</v>
      </c>
      <c r="O58" s="385" t="str">
        <f>OtherTourDestination!C66</f>
        <v>Beta00056</v>
      </c>
      <c r="P58" s="387">
        <f>OtherTourDestination!E66</f>
        <v>-0.743588483327</v>
      </c>
      <c r="Q58" s="426">
        <f si="0" t="shared"/>
        <v>-0.743588483327</v>
      </c>
    </row>
    <row r="59" spans="13:17" x14ac:dyDescent="0.25">
      <c r="M59" s="385" t="str">
        <f>VLOOKUP(N59,Coeff_Descr!$A:$D,3,FALSE)</f>
        <v>SOCREC</v>
      </c>
      <c r="N59" s="385">
        <f>OtherTourDestination!B67</f>
        <v>57</v>
      </c>
      <c r="O59" s="385" t="str">
        <f>OtherTourDestination!C67</f>
        <v>Beta00057</v>
      </c>
      <c r="P59" s="387">
        <f>OtherTourDestination!E67</f>
        <v>6.2100000000000002E-2</v>
      </c>
      <c r="Q59" s="426">
        <f si="0" t="shared"/>
        <v>6.2100000000000002E-2</v>
      </c>
    </row>
    <row r="60" spans="13:17" x14ac:dyDescent="0.25">
      <c r="M60" s="385">
        <f>VLOOKUP(N60,Coeff_Descr!$A:$D,3,FALSE)</f>
        <v>0</v>
      </c>
      <c r="N60" s="385">
        <f>OtherTourDestination!B68</f>
        <v>118</v>
      </c>
      <c r="O60" s="385" t="str">
        <f>OtherTourDestination!C68</f>
        <v>Beta00118</v>
      </c>
      <c r="P60" s="387">
        <f>OtherTourDestination!E68</f>
        <v>-3</v>
      </c>
      <c r="Q60" s="426">
        <f si="0" t="shared"/>
        <v>-3</v>
      </c>
    </row>
    <row r="61" spans="13:17" x14ac:dyDescent="0.25">
      <c r="M61" s="385" t="str">
        <f>VLOOKUP(N61,Coeff_Descr!$A:$D,3,FALSE)</f>
        <v>ESCORT</v>
      </c>
      <c r="N61" s="385">
        <f>OtherTourDestination!B69</f>
        <v>70</v>
      </c>
      <c r="O61" s="385" t="str">
        <f>OtherTourDestination!C69</f>
        <v>LSM_0070</v>
      </c>
      <c r="P61" s="387">
        <f>OtherTourDestination!E69</f>
        <v>0.29394695214400002</v>
      </c>
      <c r="Q61" s="426">
        <f si="0" t="shared"/>
        <v>0.29394695214400002</v>
      </c>
    </row>
    <row r="62" spans="13:17" x14ac:dyDescent="0.25">
      <c r="M62" s="385" t="str">
        <f>VLOOKUP(N62,Coeff_Descr!$A:$D,3,FALSE)</f>
        <v>ESCORT</v>
      </c>
      <c r="N62" s="385">
        <f>OtherTourDestination!B70</f>
        <v>71</v>
      </c>
      <c r="O62" s="385" t="str">
        <f>OtherTourDestination!C70</f>
        <v>Gamma071</v>
      </c>
      <c r="P62" s="387">
        <f>OtherTourDestination!E70</f>
        <v>0</v>
      </c>
      <c r="Q62" s="426">
        <f si="0" t="shared"/>
        <v>0</v>
      </c>
    </row>
    <row r="63" spans="13:17" x14ac:dyDescent="0.25">
      <c r="M63" s="385" t="str">
        <f>VLOOKUP(N63,Coeff_Descr!$A:$D,3,FALSE)</f>
        <v>ESCORT</v>
      </c>
      <c r="N63" s="385">
        <f>OtherTourDestination!B71</f>
        <v>72</v>
      </c>
      <c r="O63" s="385" t="str">
        <f>OtherTourDestination!C71</f>
        <v>Gamma072</v>
      </c>
      <c r="P63" s="387">
        <f>OtherTourDestination!E71</f>
        <v>-6.2798471793299999</v>
      </c>
      <c r="Q63" s="426">
        <f si="0" t="shared"/>
        <v>-6.2798471793299999</v>
      </c>
    </row>
    <row r="64" spans="13:17" x14ac:dyDescent="0.25">
      <c r="M64" s="385" t="str">
        <f>VLOOKUP(N64,Coeff_Descr!$A:$D,3,FALSE)</f>
        <v>ESCORT</v>
      </c>
      <c r="N64" s="385">
        <f>OtherTourDestination!B72</f>
        <v>73</v>
      </c>
      <c r="O64" s="385" t="str">
        <f>OtherTourDestination!C72</f>
        <v>Gamma073</v>
      </c>
      <c r="P64" s="387">
        <f>OtherTourDestination!E72</f>
        <v>3.2962256518299999</v>
      </c>
      <c r="Q64" s="426">
        <f si="0" t="shared"/>
        <v>3.2962256518299999</v>
      </c>
    </row>
    <row r="65" spans="13:17" x14ac:dyDescent="0.25">
      <c r="M65" s="385" t="str">
        <f>VLOOKUP(N65,Coeff_Descr!$A:$D,3,FALSE)</f>
        <v>ESCORT</v>
      </c>
      <c r="N65" s="385">
        <f>OtherTourDestination!B73</f>
        <v>74</v>
      </c>
      <c r="O65" s="385" t="str">
        <f>OtherTourDestination!C73</f>
        <v>Gamma074</v>
      </c>
      <c r="P65" s="387">
        <f>OtherTourDestination!E73</f>
        <v>-5.4150639062700003</v>
      </c>
      <c r="Q65" s="426">
        <f si="0" t="shared"/>
        <v>-5.4150639062700003</v>
      </c>
    </row>
    <row r="66" spans="13:17" x14ac:dyDescent="0.25">
      <c r="M66" s="385" t="str">
        <f>VLOOKUP(N66,Coeff_Descr!$A:$D,3,FALSE)</f>
        <v>ESCORT</v>
      </c>
      <c r="N66" s="385">
        <f>OtherTourDestination!B74</f>
        <v>75</v>
      </c>
      <c r="O66" s="385" t="str">
        <f>OtherTourDestination!C74</f>
        <v>Gamma075</v>
      </c>
      <c r="P66" s="387">
        <f>OtherTourDestination!E74</f>
        <v>-5.94820877094</v>
      </c>
      <c r="Q66" s="426">
        <f si="0" t="shared"/>
        <v>-5.94820877094</v>
      </c>
    </row>
    <row r="67" spans="13:17" x14ac:dyDescent="0.25">
      <c r="M67" s="385" t="str">
        <f>VLOOKUP(N67,Coeff_Descr!$A:$D,3,FALSE)</f>
        <v>ESCORT</v>
      </c>
      <c r="N67" s="385">
        <f>OtherTourDestination!B75</f>
        <v>76</v>
      </c>
      <c r="O67" s="385" t="str">
        <f>OtherTourDestination!C75</f>
        <v>Gamma076</v>
      </c>
      <c r="P67" s="387">
        <f>OtherTourDestination!E75</f>
        <v>-4.8479831726300002</v>
      </c>
      <c r="Q67" s="426">
        <f si="0" t="shared"/>
        <v>-4.8479831726300002</v>
      </c>
    </row>
    <row r="68" spans="13:17" x14ac:dyDescent="0.25">
      <c r="M68" s="385" t="str">
        <f>VLOOKUP(N68,Coeff_Descr!$A:$D,3,FALSE)</f>
        <v>ESCORT</v>
      </c>
      <c r="N68" s="385">
        <f>OtherTourDestination!B76</f>
        <v>77</v>
      </c>
      <c r="O68" s="385" t="str">
        <f>OtherTourDestination!C76</f>
        <v>Gamma077</v>
      </c>
      <c r="P68" s="387">
        <f>OtherTourDestination!E76</f>
        <v>-5.4883496585599998</v>
      </c>
      <c r="Q68" s="426">
        <f si="0" t="shared"/>
        <v>-5.4883496585599998</v>
      </c>
    </row>
    <row r="69" spans="13:17" x14ac:dyDescent="0.25">
      <c r="M69" s="385" t="str">
        <f>VLOOKUP(N69,Coeff_Descr!$A:$D,3,FALSE)</f>
        <v>ESCORT</v>
      </c>
      <c r="N69" s="385">
        <f>OtherTourDestination!B77</f>
        <v>78</v>
      </c>
      <c r="O69" s="385" t="str">
        <f>OtherTourDestination!C77</f>
        <v>Gamma078</v>
      </c>
      <c r="P69" s="387">
        <f>OtherTourDestination!E77</f>
        <v>-6.9308352438999998</v>
      </c>
      <c r="Q69" s="426">
        <f ref="Q69:Q104" si="10" t="shared">_xlfn.IFNA(VLOOKUP(N69,$B$43:$D$46,3,FALSE),P69)</f>
        <v>-6.9308352438999998</v>
      </c>
    </row>
    <row r="70" spans="13:17" x14ac:dyDescent="0.25">
      <c r="M70" s="385" t="str">
        <f>VLOOKUP(N70,Coeff_Descr!$A:$D,3,FALSE)</f>
        <v>ESCORT</v>
      </c>
      <c r="N70" s="385">
        <f>OtherTourDestination!B78</f>
        <v>79</v>
      </c>
      <c r="O70" s="385" t="str">
        <f>OtherTourDestination!C78</f>
        <v>Gamma079</v>
      </c>
      <c r="P70" s="387">
        <f>OtherTourDestination!E78</f>
        <v>-22.404820174200001</v>
      </c>
      <c r="Q70" s="426">
        <f si="10" t="shared"/>
        <v>-22.404820174200001</v>
      </c>
    </row>
    <row r="71" spans="13:17" x14ac:dyDescent="0.25">
      <c r="M71" s="385" t="str">
        <f>VLOOKUP(N71,Coeff_Descr!$A:$D,3,FALSE)</f>
        <v>ESCORT</v>
      </c>
      <c r="N71" s="385">
        <f>OtherTourDestination!B79</f>
        <v>80</v>
      </c>
      <c r="O71" s="385" t="str">
        <f>OtherTourDestination!C79</f>
        <v>Gamma080</v>
      </c>
      <c r="P71" s="387">
        <f>OtherTourDestination!E79</f>
        <v>-2.8929233973800002</v>
      </c>
      <c r="Q71" s="426">
        <f si="10" t="shared"/>
        <v>-2.8929233973800002</v>
      </c>
    </row>
    <row r="72" spans="13:17" x14ac:dyDescent="0.25">
      <c r="M72" s="385" t="str">
        <f>VLOOKUP(N72,Coeff_Descr!$A:$D,3,FALSE)</f>
        <v>ESCORT</v>
      </c>
      <c r="N72" s="385">
        <f>OtherTourDestination!B80</f>
        <v>81</v>
      </c>
      <c r="O72" s="385" t="str">
        <f>OtherTourDestination!C80</f>
        <v>Gamma081</v>
      </c>
      <c r="P72" s="387">
        <f>OtherTourDestination!E80</f>
        <v>-2.5610724948299999</v>
      </c>
      <c r="Q72" s="426">
        <f si="10" t="shared"/>
        <v>-2.5610724948299999</v>
      </c>
    </row>
    <row r="73" spans="13:17" x14ac:dyDescent="0.25">
      <c r="M73" s="385" t="str">
        <f>VLOOKUP(N73,Coeff_Descr!$A:$D,3,FALSE)</f>
        <v>ESCORT</v>
      </c>
      <c r="N73" s="385">
        <f>OtherTourDestination!B81</f>
        <v>82</v>
      </c>
      <c r="O73" s="385" t="str">
        <f>OtherTourDestination!C81</f>
        <v>Gamma082</v>
      </c>
      <c r="P73" s="387">
        <f>OtherTourDestination!E81</f>
        <v>-6.7871010869299999</v>
      </c>
      <c r="Q73" s="426">
        <f si="10" t="shared"/>
        <v>-6.7871010869299999</v>
      </c>
    </row>
    <row r="74" spans="13:17" x14ac:dyDescent="0.25">
      <c r="M74" s="385" t="str">
        <f>VLOOKUP(N74,Coeff_Descr!$A:$D,3,FALSE)</f>
        <v>ESCORT</v>
      </c>
      <c r="N74" s="385">
        <f>OtherTourDestination!B82</f>
        <v>83</v>
      </c>
      <c r="O74" s="385" t="str">
        <f>OtherTourDestination!C82</f>
        <v>Gamma083</v>
      </c>
      <c r="P74" s="387">
        <f>OtherTourDestination!E82</f>
        <v>-7.1983706387300002</v>
      </c>
      <c r="Q74" s="426">
        <f si="10" t="shared"/>
        <v>-7.1983706387300002</v>
      </c>
    </row>
    <row r="75" spans="13:17" x14ac:dyDescent="0.25">
      <c r="M75" s="385" t="str">
        <f>VLOOKUP(N75,Coeff_Descr!$A:$D,3,FALSE)</f>
        <v>ESCORT</v>
      </c>
      <c r="N75" s="385">
        <f>OtherTourDestination!B83</f>
        <v>84</v>
      </c>
      <c r="O75" s="385" t="str">
        <f>OtherTourDestination!C83</f>
        <v>Gamma084</v>
      </c>
      <c r="P75" s="387">
        <f>OtherTourDestination!E83</f>
        <v>-6.5584328775399996</v>
      </c>
      <c r="Q75" s="426">
        <f si="10" t="shared"/>
        <v>-6.5584328775399996</v>
      </c>
    </row>
    <row r="76" spans="13:17" x14ac:dyDescent="0.25">
      <c r="M76" s="385" t="str">
        <f>VLOOKUP(N76,Coeff_Descr!$A:$D,3,FALSE)</f>
        <v>ESCORT</v>
      </c>
      <c r="N76" s="385">
        <f>OtherTourDestination!B84</f>
        <v>85</v>
      </c>
      <c r="O76" s="385" t="str">
        <f>OtherTourDestination!C84</f>
        <v>Gamma085</v>
      </c>
      <c r="P76" s="387">
        <f>OtherTourDestination!E84</f>
        <v>-7.3832576457999997</v>
      </c>
      <c r="Q76" s="426">
        <f si="10" t="shared"/>
        <v>-7.3832576457999997</v>
      </c>
    </row>
    <row r="77" spans="13:17" x14ac:dyDescent="0.25">
      <c r="M77" s="385" t="str">
        <f>VLOOKUP(N77,Coeff_Descr!$A:$D,3,FALSE)</f>
        <v>ESCORT</v>
      </c>
      <c r="N77" s="385">
        <f>OtherTourDestination!B85</f>
        <v>86</v>
      </c>
      <c r="O77" s="385" t="str">
        <f>OtherTourDestination!C85</f>
        <v>Gamma086</v>
      </c>
      <c r="P77" s="387">
        <f>OtherTourDestination!E85</f>
        <v>-8.5452246906399996</v>
      </c>
      <c r="Q77" s="426">
        <f si="10" t="shared"/>
        <v>-8.5452246906399996</v>
      </c>
    </row>
    <row r="78" spans="13:17" x14ac:dyDescent="0.25">
      <c r="M78" s="385" t="str">
        <f>VLOOKUP(N78,Coeff_Descr!$A:$D,3,FALSE)</f>
        <v>ESCORT</v>
      </c>
      <c r="N78" s="385">
        <f>OtherTourDestination!B86</f>
        <v>87</v>
      </c>
      <c r="O78" s="385" t="str">
        <f>OtherTourDestination!C86</f>
        <v>Gamma087</v>
      </c>
      <c r="P78" s="387">
        <f>OtherTourDestination!E86</f>
        <v>-24.633851965200002</v>
      </c>
      <c r="Q78" s="426">
        <f si="10" t="shared"/>
        <v>-24.633851965200002</v>
      </c>
    </row>
    <row r="79" spans="13:17" x14ac:dyDescent="0.25">
      <c r="M79" s="385" t="str">
        <f>VLOOKUP(N79,Coeff_Descr!$A:$D,3,FALSE)</f>
        <v>ESCORT</v>
      </c>
      <c r="N79" s="385">
        <f>OtherTourDestination!B87</f>
        <v>88</v>
      </c>
      <c r="O79" s="385" t="str">
        <f>OtherTourDestination!C87</f>
        <v>Gamma088</v>
      </c>
      <c r="P79" s="387">
        <f>OtherTourDestination!E87</f>
        <v>0</v>
      </c>
      <c r="Q79" s="426">
        <f si="10" t="shared"/>
        <v>0</v>
      </c>
    </row>
    <row r="80" spans="13:17" x14ac:dyDescent="0.25">
      <c r="M80" s="385" t="str">
        <f>VLOOKUP(N80,Coeff_Descr!$A:$D,3,FALSE)</f>
        <v>PERSBUS/MED</v>
      </c>
      <c r="N80" s="385">
        <f>OtherTourDestination!B88</f>
        <v>89</v>
      </c>
      <c r="O80" s="385" t="str">
        <f>OtherTourDestination!C88</f>
        <v>Gamma089</v>
      </c>
      <c r="P80" s="387">
        <f>OtherTourDestination!E88</f>
        <v>-0.55009338373399996</v>
      </c>
      <c r="Q80" s="426">
        <f si="10" t="shared"/>
        <v>-0.55009338373399996</v>
      </c>
    </row>
    <row r="81" spans="13:17" x14ac:dyDescent="0.25">
      <c r="M81" s="385" t="str">
        <f>VLOOKUP(N81,Coeff_Descr!$A:$D,3,FALSE)</f>
        <v>PERSBUS/MED</v>
      </c>
      <c r="N81" s="385">
        <f>OtherTourDestination!B89</f>
        <v>90</v>
      </c>
      <c r="O81" s="385" t="str">
        <f>OtherTourDestination!C89</f>
        <v>Gamma090</v>
      </c>
      <c r="P81" s="387">
        <f>OtherTourDestination!E89</f>
        <v>-9.9117567037699992</v>
      </c>
      <c r="Q81" s="426">
        <f si="10" t="shared"/>
        <v>-9.9117567037699992</v>
      </c>
    </row>
    <row r="82" spans="13:17" x14ac:dyDescent="0.25">
      <c r="M82" s="385" t="str">
        <f>VLOOKUP(N82,Coeff_Descr!$A:$D,3,FALSE)</f>
        <v>PERSBUS/MED</v>
      </c>
      <c r="N82" s="385">
        <f>OtherTourDestination!B90</f>
        <v>91</v>
      </c>
      <c r="O82" s="385" t="str">
        <f>OtherTourDestination!C90</f>
        <v>Gamma091</v>
      </c>
      <c r="P82" s="387">
        <f>OtherTourDestination!E90</f>
        <v>-9.3194311560499994</v>
      </c>
      <c r="Q82" s="426">
        <f si="10" t="shared"/>
        <v>-9.3194311560499994</v>
      </c>
    </row>
    <row r="83" spans="13:17" x14ac:dyDescent="0.25">
      <c r="M83" s="385" t="str">
        <f>VLOOKUP(N83,Coeff_Descr!$A:$D,3,FALSE)</f>
        <v>PERSBUS/MED</v>
      </c>
      <c r="N83" s="385">
        <f>OtherTourDestination!B91</f>
        <v>92</v>
      </c>
      <c r="O83" s="385" t="str">
        <f>OtherTourDestination!C91</f>
        <v>Gamma092</v>
      </c>
      <c r="P83" s="387">
        <f>OtherTourDestination!E91</f>
        <v>-0.20086270196799999</v>
      </c>
      <c r="Q83" s="426">
        <f si="10" t="shared"/>
        <v>-0.20086270196799999</v>
      </c>
    </row>
    <row r="84" spans="13:17" x14ac:dyDescent="0.25">
      <c r="M84" s="385" t="str">
        <f>VLOOKUP(N84,Coeff_Descr!$A:$D,3,FALSE)</f>
        <v>PERSBUS/MED</v>
      </c>
      <c r="N84" s="385">
        <f>OtherTourDestination!B92</f>
        <v>93</v>
      </c>
      <c r="O84" s="385" t="str">
        <f>OtherTourDestination!C92</f>
        <v>Gamma093</v>
      </c>
      <c r="P84" s="387">
        <f>OtherTourDestination!E92</f>
        <v>-2.1843835309699999</v>
      </c>
      <c r="Q84" s="426">
        <f si="10" t="shared"/>
        <v>-2.1843835309699999</v>
      </c>
    </row>
    <row r="85" spans="13:17" x14ac:dyDescent="0.25">
      <c r="M85" s="385" t="str">
        <f>VLOOKUP(N85,Coeff_Descr!$A:$D,3,FALSE)</f>
        <v>PERSBUS/MED</v>
      </c>
      <c r="N85" s="385">
        <f>OtherTourDestination!B93</f>
        <v>94</v>
      </c>
      <c r="O85" s="385" t="str">
        <f>OtherTourDestination!C93</f>
        <v>Gamma094</v>
      </c>
      <c r="P85" s="387">
        <f>OtherTourDestination!E93</f>
        <v>0</v>
      </c>
      <c r="Q85" s="426">
        <f si="10" t="shared"/>
        <v>0</v>
      </c>
    </row>
    <row r="86" spans="13:17" x14ac:dyDescent="0.25">
      <c r="M86" s="385" t="str">
        <f>VLOOKUP(N86,Coeff_Descr!$A:$D,3,FALSE)</f>
        <v>PERSBUS/MED</v>
      </c>
      <c r="N86" s="385">
        <f>OtherTourDestination!B94</f>
        <v>95</v>
      </c>
      <c r="O86" s="385" t="str">
        <f>OtherTourDestination!C94</f>
        <v>Gamma095</v>
      </c>
      <c r="P86" s="387">
        <f>OtherTourDestination!E94</f>
        <v>-9.9476357147400005</v>
      </c>
      <c r="Q86" s="426">
        <f si="10" t="shared"/>
        <v>-9.9476357147400005</v>
      </c>
    </row>
    <row r="87" spans="13:17" x14ac:dyDescent="0.25">
      <c r="M87" s="385" t="str">
        <f>VLOOKUP(N87,Coeff_Descr!$A:$D,3,FALSE)</f>
        <v>PERSBUS/MED</v>
      </c>
      <c r="N87" s="385">
        <f>OtherTourDestination!B95</f>
        <v>96</v>
      </c>
      <c r="O87" s="385" t="str">
        <f>OtherTourDestination!C95</f>
        <v>Gamma096</v>
      </c>
      <c r="P87" s="387">
        <f>OtherTourDestination!E95</f>
        <v>-12.800107987600001</v>
      </c>
      <c r="Q87" s="426">
        <f si="10" t="shared"/>
        <v>-12.800107987600001</v>
      </c>
    </row>
    <row r="88" spans="13:17" x14ac:dyDescent="0.25">
      <c r="M88" s="385" t="str">
        <f>VLOOKUP(N88,Coeff_Descr!$A:$D,3,FALSE)</f>
        <v>PERSBUS/MED</v>
      </c>
      <c r="N88" s="385">
        <f>OtherTourDestination!B96</f>
        <v>97</v>
      </c>
      <c r="O88" s="385" t="str">
        <f>OtherTourDestination!C96</f>
        <v>Gamma097</v>
      </c>
      <c r="P88" s="387">
        <f>OtherTourDestination!E96</f>
        <v>-30</v>
      </c>
      <c r="Q88" s="426">
        <f si="10" t="shared"/>
        <v>-30</v>
      </c>
    </row>
    <row r="89" spans="13:17" x14ac:dyDescent="0.25">
      <c r="M89" s="385" t="str">
        <f>VLOOKUP(N89,Coeff_Descr!$A:$D,3,FALSE)</f>
        <v>SHOP</v>
      </c>
      <c r="N89" s="385">
        <f>OtherTourDestination!B97</f>
        <v>98</v>
      </c>
      <c r="O89" s="385" t="str">
        <f>OtherTourDestination!C97</f>
        <v>Gamma098</v>
      </c>
      <c r="P89" s="387">
        <f>OtherTourDestination!E97</f>
        <v>-21.699928591700001</v>
      </c>
      <c r="Q89" s="426">
        <f si="10" t="shared"/>
        <v>-21.699928591700001</v>
      </c>
    </row>
    <row r="90" spans="13:17" x14ac:dyDescent="0.25">
      <c r="M90" s="385" t="str">
        <f>VLOOKUP(N90,Coeff_Descr!$A:$D,3,FALSE)</f>
        <v>SHOP</v>
      </c>
      <c r="N90" s="385">
        <f>OtherTourDestination!B98</f>
        <v>99</v>
      </c>
      <c r="O90" s="385" t="str">
        <f>OtherTourDestination!C98</f>
        <v>Gamma099</v>
      </c>
      <c r="P90" s="387">
        <f>OtherTourDestination!E98</f>
        <v>-17.700475093400001</v>
      </c>
      <c r="Q90" s="426">
        <f si="10" t="shared"/>
        <v>-17.700475093400001</v>
      </c>
    </row>
    <row r="91" spans="13:17" x14ac:dyDescent="0.25">
      <c r="M91" s="385" t="str">
        <f>VLOOKUP(N91,Coeff_Descr!$A:$D,3,FALSE)</f>
        <v>SHOP</v>
      </c>
      <c r="N91" s="385">
        <f>OtherTourDestination!B99</f>
        <v>100</v>
      </c>
      <c r="O91" s="385" t="str">
        <f>OtherTourDestination!C99</f>
        <v>Gamma100</v>
      </c>
      <c r="P91" s="387">
        <f>OtherTourDestination!E99</f>
        <v>-0.7</v>
      </c>
      <c r="Q91" s="426">
        <f si="10" t="shared"/>
        <v>-0.7</v>
      </c>
    </row>
    <row r="92" spans="13:17" x14ac:dyDescent="0.25">
      <c r="M92" s="385" t="str">
        <f>VLOOKUP(N92,Coeff_Descr!$A:$D,3,FALSE)</f>
        <v>SHOP</v>
      </c>
      <c r="N92" s="385">
        <f>OtherTourDestination!B100</f>
        <v>101</v>
      </c>
      <c r="O92" s="385" t="str">
        <f>OtherTourDestination!C100</f>
        <v>Gamma101</v>
      </c>
      <c r="P92" s="387">
        <f>OtherTourDestination!E100</f>
        <v>-17.8758745875</v>
      </c>
      <c r="Q92" s="426">
        <f si="10" t="shared"/>
        <v>-17.8758745875</v>
      </c>
    </row>
    <row r="93" spans="13:17" x14ac:dyDescent="0.25">
      <c r="M93" s="385" t="str">
        <f>VLOOKUP(N93,Coeff_Descr!$A:$D,3,FALSE)</f>
        <v>MEAL</v>
      </c>
      <c r="N93" s="385">
        <f>OtherTourDestination!B101</f>
        <v>102</v>
      </c>
      <c r="O93" s="385" t="str">
        <f>OtherTourDestination!C101</f>
        <v>Gamma102</v>
      </c>
      <c r="P93" s="387">
        <f>OtherTourDestination!E101</f>
        <v>0</v>
      </c>
      <c r="Q93" s="426">
        <f si="10" t="shared"/>
        <v>0</v>
      </c>
    </row>
    <row r="94" spans="13:17" x14ac:dyDescent="0.25">
      <c r="M94" s="385" t="str">
        <f>VLOOKUP(N94,Coeff_Descr!$A:$D,3,FALSE)</f>
        <v>MEAL</v>
      </c>
      <c r="N94" s="385">
        <f>OtherTourDestination!B102</f>
        <v>103</v>
      </c>
      <c r="O94" s="385" t="str">
        <f>OtherTourDestination!C102</f>
        <v>Gamma103</v>
      </c>
      <c r="P94" s="387">
        <f>OtherTourDestination!E102</f>
        <v>5</v>
      </c>
      <c r="Q94" s="426">
        <f si="10" t="shared"/>
        <v>5</v>
      </c>
    </row>
    <row r="95" spans="13:17" x14ac:dyDescent="0.25">
      <c r="M95" s="385" t="str">
        <f>VLOOKUP(N95,Coeff_Descr!$A:$D,3,FALSE)</f>
        <v>MEAL</v>
      </c>
      <c r="N95" s="385">
        <f>OtherTourDestination!B103</f>
        <v>104</v>
      </c>
      <c r="O95" s="385" t="str">
        <f>OtherTourDestination!C103</f>
        <v>Gamma104</v>
      </c>
      <c r="P95" s="387">
        <f>OtherTourDestination!E103</f>
        <v>-30</v>
      </c>
      <c r="Q95" s="426">
        <f si="10" t="shared"/>
        <v>-30</v>
      </c>
    </row>
    <row r="96" spans="13:17" x14ac:dyDescent="0.25">
      <c r="M96" s="385" t="str">
        <f>VLOOKUP(N96,Coeff_Descr!$A:$D,3,FALSE)</f>
        <v>MEAL</v>
      </c>
      <c r="N96" s="385">
        <f>OtherTourDestination!B104</f>
        <v>105</v>
      </c>
      <c r="O96" s="385" t="str">
        <f>OtherTourDestination!C104</f>
        <v>Gamma105</v>
      </c>
      <c r="P96" s="387">
        <f>OtherTourDestination!E104</f>
        <v>-24.158093970700001</v>
      </c>
      <c r="Q96" s="426">
        <f si="10" t="shared"/>
        <v>-24.158093970700001</v>
      </c>
    </row>
    <row r="97" spans="13:17" x14ac:dyDescent="0.25">
      <c r="M97" s="385" t="str">
        <f>VLOOKUP(N97,Coeff_Descr!$A:$D,3,FALSE)</f>
        <v>SOCREC</v>
      </c>
      <c r="N97" s="385">
        <f>OtherTourDestination!B105</f>
        <v>106</v>
      </c>
      <c r="O97" s="385" t="str">
        <f>OtherTourDestination!C105</f>
        <v>Gamma106</v>
      </c>
      <c r="P97" s="387">
        <f>OtherTourDestination!E105</f>
        <v>-9.5803170794600003</v>
      </c>
      <c r="Q97" s="426">
        <f si="10" t="shared"/>
        <v>-9.5803170794600003</v>
      </c>
    </row>
    <row r="98" spans="13:17" x14ac:dyDescent="0.25">
      <c r="M98" s="385" t="str">
        <f>VLOOKUP(N98,Coeff_Descr!$A:$D,3,FALSE)</f>
        <v>SOCREC</v>
      </c>
      <c r="N98" s="385">
        <f>OtherTourDestination!B106</f>
        <v>107</v>
      </c>
      <c r="O98" s="385" t="str">
        <f>OtherTourDestination!C106</f>
        <v>Gamma107</v>
      </c>
      <c r="P98" s="387">
        <f>OtherTourDestination!E106</f>
        <v>0</v>
      </c>
      <c r="Q98" s="426">
        <f si="10" t="shared"/>
        <v>0</v>
      </c>
    </row>
    <row r="99" spans="13:17" x14ac:dyDescent="0.25">
      <c r="M99" s="385" t="str">
        <f>VLOOKUP(N99,Coeff_Descr!$A:$D,3,FALSE)</f>
        <v>SOCREC</v>
      </c>
      <c r="N99" s="385">
        <f>OtherTourDestination!B107</f>
        <v>108</v>
      </c>
      <c r="O99" s="385" t="str">
        <f>OtherTourDestination!C107</f>
        <v>Gamma108</v>
      </c>
      <c r="P99" s="387">
        <f>OtherTourDestination!E107</f>
        <v>-15.671349338700001</v>
      </c>
      <c r="Q99" s="426">
        <f si="10" t="shared"/>
        <v>-15.671349338700001</v>
      </c>
    </row>
    <row r="100" spans="13:17" x14ac:dyDescent="0.25">
      <c r="M100" s="385" t="str">
        <f>VLOOKUP(N100,Coeff_Descr!$A:$D,3,FALSE)</f>
        <v>SOCREC</v>
      </c>
      <c r="N100" s="385">
        <f>OtherTourDestination!B108</f>
        <v>109</v>
      </c>
      <c r="O100" s="385" t="str">
        <f>OtherTourDestination!C108</f>
        <v>Gamma109</v>
      </c>
      <c r="P100" s="387">
        <f>OtherTourDestination!E108</f>
        <v>-18.208541213899998</v>
      </c>
      <c r="Q100" s="426">
        <f si="10" t="shared"/>
        <v>-18.208541213899998</v>
      </c>
    </row>
    <row r="101" spans="13:17" x14ac:dyDescent="0.25">
      <c r="M101" s="385" t="str">
        <f>VLOOKUP(N101,Coeff_Descr!$A:$D,3,FALSE)</f>
        <v>SOCREC</v>
      </c>
      <c r="N101" s="385">
        <f>OtherTourDestination!B109</f>
        <v>110</v>
      </c>
      <c r="O101" s="385" t="str">
        <f>OtherTourDestination!C109</f>
        <v>Gamma110</v>
      </c>
      <c r="P101" s="387">
        <f>OtherTourDestination!E109</f>
        <v>-11.2471450075</v>
      </c>
      <c r="Q101" s="426">
        <f si="10" t="shared"/>
        <v>-11.2471450075</v>
      </c>
    </row>
    <row r="102" spans="13:17" x14ac:dyDescent="0.25">
      <c r="M102" s="385" t="str">
        <f>VLOOKUP(N102,Coeff_Descr!$A:$D,3,FALSE)</f>
        <v>SOCREC</v>
      </c>
      <c r="N102" s="385">
        <f>OtherTourDestination!B110</f>
        <v>111</v>
      </c>
      <c r="O102" s="385" t="str">
        <f>OtherTourDestination!C110</f>
        <v>Gamma111</v>
      </c>
      <c r="P102" s="387">
        <f>OtherTourDestination!E110</f>
        <v>-10.0807778908</v>
      </c>
      <c r="Q102" s="426">
        <f si="10" t="shared"/>
        <v>-10.0807778908</v>
      </c>
    </row>
    <row r="103" spans="13:17" x14ac:dyDescent="0.25">
      <c r="M103" s="385" t="str">
        <f>VLOOKUP(N103,Coeff_Descr!$A:$D,3,FALSE)</f>
        <v>SOCREC</v>
      </c>
      <c r="N103" s="385">
        <f>OtherTourDestination!B111</f>
        <v>112</v>
      </c>
      <c r="O103" s="385" t="str">
        <f>OtherTourDestination!C111</f>
        <v>Gamma112</v>
      </c>
      <c r="P103" s="387">
        <f>OtherTourDestination!E111</f>
        <v>-5.6623999999999999</v>
      </c>
      <c r="Q103" s="426">
        <f si="10" t="shared"/>
        <v>-5.6623999999999999</v>
      </c>
    </row>
    <row r="104" spans="13:17" x14ac:dyDescent="0.25">
      <c r="M104" s="385" t="str">
        <f>VLOOKUP(N104,Coeff_Descr!$A:$D,3,FALSE)</f>
        <v>SOCREC</v>
      </c>
      <c r="N104" s="385">
        <f>OtherTourDestination!B112</f>
        <v>113</v>
      </c>
      <c r="O104" s="385" t="str">
        <f>OtherTourDestination!C112</f>
        <v>Gamma113</v>
      </c>
      <c r="P104" s="387">
        <f>OtherTourDestination!E112</f>
        <v>-12.0597581892</v>
      </c>
      <c r="Q104" s="426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baseType="lpstr" size="2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2017-10-26T15:42:36Z</dcterms:modified>
</cp:coreProperties>
</file>