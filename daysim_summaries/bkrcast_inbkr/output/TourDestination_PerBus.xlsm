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801D12D9-E554-4798-B287-F3C34C34F83C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D16" i="6"/>
  <c r="D12" i="6"/>
  <c r="D15" i="6"/>
  <c r="D14" i="6"/>
  <c r="S15" i="1"/>
  <c r="U13" i="1"/>
  <c r="I13" i="6" l="1"/>
  <c r="J13" i="6" s="1"/>
  <c r="I15" i="6"/>
  <c r="J15" i="6" s="1"/>
  <c r="I14" i="6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Q30" i="6" s="1"/>
  <c r="K15" i="6"/>
  <c r="D36" i="6" s="1"/>
  <c r="D46" i="6" s="1"/>
  <c r="Q32" i="6" s="1"/>
  <c r="Q42" i="6"/>
  <c r="K14" i="6"/>
  <c r="D35" i="6" s="1"/>
  <c r="D45" i="6" s="1"/>
  <c r="Q31" i="6" s="1"/>
  <c r="Q40" i="6"/>
  <c r="Q4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H20" i="1" l="1"/>
  <c r="J23" i="1"/>
  <c r="J24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F28" i="1" l="1"/>
  <c r="S35" i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<sst xmlns="http://schemas.openxmlformats.org/spreadsheetml/2006/main" count="716" uniqueCount="284">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</sst>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0.22017504370482532</c:v>
                </c:pt>
                <c:pt idx="1">
                  <c:v>0.21312552537287996</c:v>
                </c:pt>
                <c:pt idx="2">
                  <c:v>8.9960640475372611E-2</c:v>
                </c:pt>
                <c:pt idx="3">
                  <c:v>9.7119650260663187E-2</c:v>
                </c:pt>
                <c:pt idx="4">
                  <c:v>7.0297075266330028E-2</c:v>
                </c:pt>
                <c:pt idx="5">
                  <c:v>7.4754269837235668E-2</c:v>
                </c:pt>
                <c:pt idx="6">
                  <c:v>3.0815675572712482E-2</c:v>
                </c:pt>
                <c:pt idx="7">
                  <c:v>7.7444035231453616E-3</c:v>
                </c:pt>
                <c:pt idx="8">
                  <c:v>9.7768522281269487E-3</c:v>
                </c:pt>
                <c:pt idx="9">
                  <c:v>1.5944137710306883E-2</c:v>
                </c:pt>
                <c:pt idx="10">
                  <c:v>2.4324964165888599E-3</c:v>
                </c:pt>
                <c:pt idx="11">
                  <c:v>2.594918675465881E-2</c:v>
                </c:pt>
                <c:pt idx="12">
                  <c:v>6.7079135969128831E-3</c:v>
                </c:pt>
                <c:pt idx="13">
                  <c:v>2.4734128896590256E-3</c:v>
                </c:pt>
                <c:pt idx="14">
                  <c:v>2.0181437918823694E-2</c:v>
                </c:pt>
                <c:pt idx="15">
                  <c:v>7.8907006965145184E-3</c:v>
                </c:pt>
                <c:pt idx="16">
                  <c:v>6.110714780637753E-3</c:v>
                </c:pt>
                <c:pt idx="17">
                  <c:v>0</c:v>
                </c:pt>
                <c:pt idx="18">
                  <c:v>9.5549183533110114E-3</c:v>
                </c:pt>
                <c:pt idx="19">
                  <c:v>4.4231264761543744E-2</c:v>
                </c:pt>
                <c:pt idx="20">
                  <c:v>1.0482144346341409E-2</c:v>
                </c:pt>
                <c:pt idx="21">
                  <c:v>2.3331249719492761E-3</c:v>
                </c:pt>
                <c:pt idx="22">
                  <c:v>1.6314597845426902E-2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5.126956382073263E-3</c:v>
                </c:pt>
                <c:pt idx="34">
                  <c:v>0</c:v>
                </c:pt>
                <c:pt idx="35">
                  <c:v>7.7082422771580878E-3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0.11721167413421789</c:v>
                </c:pt>
                <c:pt idx="1">
                  <c:v>0.10906750501274848</c:v>
                </c:pt>
                <c:pt idx="2">
                  <c:v>9.3113350001237716E-2</c:v>
                </c:pt>
                <c:pt idx="3">
                  <c:v>8.4337945887070817E-2</c:v>
                </c:pt>
                <c:pt idx="4">
                  <c:v>8.2407109438819709E-2</c:v>
                </c:pt>
                <c:pt idx="5">
                  <c:v>7.0723073495556607E-2</c:v>
                </c:pt>
                <c:pt idx="6">
                  <c:v>5.5041215931876129E-2</c:v>
                </c:pt>
                <c:pt idx="7">
                  <c:v>4.3691363220041093E-2</c:v>
                </c:pt>
                <c:pt idx="8">
                  <c:v>4.177290392850954E-2</c:v>
                </c:pt>
                <c:pt idx="9">
                  <c:v>2.8096145753397528E-2</c:v>
                </c:pt>
                <c:pt idx="10">
                  <c:v>2.7440156447260937E-2</c:v>
                </c:pt>
                <c:pt idx="11">
                  <c:v>2.335569472980667E-2</c:v>
                </c:pt>
                <c:pt idx="12">
                  <c:v>2.6202440775305098E-2</c:v>
                </c:pt>
                <c:pt idx="13">
                  <c:v>2.3244300319330644E-2</c:v>
                </c:pt>
                <c:pt idx="14">
                  <c:v>2.4420130207688691E-2</c:v>
                </c:pt>
                <c:pt idx="15">
                  <c:v>2.1499121221872912E-2</c:v>
                </c:pt>
                <c:pt idx="16">
                  <c:v>1.8924672624204768E-2</c:v>
                </c:pt>
                <c:pt idx="17">
                  <c:v>1.7340396564101294E-2</c:v>
                </c:pt>
                <c:pt idx="18">
                  <c:v>1.461742208579845E-2</c:v>
                </c:pt>
                <c:pt idx="19">
                  <c:v>1.378815258558804E-2</c:v>
                </c:pt>
                <c:pt idx="20">
                  <c:v>1.1597395846226205E-2</c:v>
                </c:pt>
                <c:pt idx="21">
                  <c:v>1.1424115652152388E-2</c:v>
                </c:pt>
                <c:pt idx="22">
                  <c:v>7.9832660841151568E-3</c:v>
                </c:pt>
                <c:pt idx="23">
                  <c:v>6.9188306062331366E-3</c:v>
                </c:pt>
                <c:pt idx="24">
                  <c:v>5.3716860162883384E-3</c:v>
                </c:pt>
                <c:pt idx="25">
                  <c:v>4.2082332846498502E-3</c:v>
                </c:pt>
                <c:pt idx="26">
                  <c:v>3.4160952545981139E-3</c:v>
                </c:pt>
                <c:pt idx="27">
                  <c:v>2.7724831051810779E-3</c:v>
                </c:pt>
                <c:pt idx="28">
                  <c:v>1.7204247840186153E-3</c:v>
                </c:pt>
                <c:pt idx="29">
                  <c:v>2.0546080154466915E-3</c:v>
                </c:pt>
                <c:pt idx="30">
                  <c:v>1.163452731638488E-3</c:v>
                </c:pt>
                <c:pt idx="31">
                  <c:v>1.1758298883580464E-3</c:v>
                </c:pt>
                <c:pt idx="32">
                  <c:v>7.1787508973438624E-4</c:v>
                </c:pt>
                <c:pt idx="33">
                  <c:v>6.1885783597791916E-4</c:v>
                </c:pt>
                <c:pt idx="34">
                  <c:v>2.5992029111072604E-4</c:v>
                </c:pt>
                <c:pt idx="35">
                  <c:v>2.9705176126940119E-4</c:v>
                </c:pt>
                <c:pt idx="36">
                  <c:v>2.9705176126940119E-4</c:v>
                </c:pt>
                <c:pt idx="37">
                  <c:v>2.3516597767160927E-4</c:v>
                </c:pt>
                <c:pt idx="38">
                  <c:v>3.0942891798895958E-4</c:v>
                </c:pt>
                <c:pt idx="39">
                  <c:v>1.7328019407381737E-4</c:v>
                </c:pt>
                <c:pt idx="40">
                  <c:v>1.9803450751293414E-4</c:v>
                </c:pt>
                <c:pt idx="41">
                  <c:v>1.2377156719558383E-4</c:v>
                </c:pt>
                <c:pt idx="42">
                  <c:v>6.1885783597791913E-5</c:v>
                </c:pt>
                <c:pt idx="43">
                  <c:v>9.9017253756467069E-5</c:v>
                </c:pt>
                <c:pt idx="44">
                  <c:v>7.4262940317350299E-5</c:v>
                </c:pt>
                <c:pt idx="45">
                  <c:v>1.2377156719558383E-4</c:v>
                </c:pt>
                <c:pt idx="46">
                  <c:v>6.1885783597791913E-5</c:v>
                </c:pt>
                <c:pt idx="47">
                  <c:v>6.1885783597791913E-5</c:v>
                </c:pt>
                <c:pt idx="48">
                  <c:v>4.9508626878233535E-5</c:v>
                </c:pt>
                <c:pt idx="49">
                  <c:v>8.6640097036908684E-5</c:v>
                </c:pt>
                <c:pt idx="50">
                  <c:v>1.2377156719558384E-5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1.2377156719558384E-5</c:v>
                </c:pt>
                <c:pt idx="57">
                  <c:v>1.2377156719558384E-5</c:v>
                </c:pt>
                <c:pt idx="58">
                  <c:v>0</c:v>
                </c:pt>
                <c:pt idx="59">
                  <c:v>1.2377156719558384E-5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0864"/>
        <c:axId val="133742432"/>
      </c:lineChart>
      <c:catAx>
        <c:axId val="13374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42432"/>
        <c:crosses val="autoZero"/>
        <c:auto val="1"/>
        <c:lblAlgn val="ctr"/>
        <c:lblOffset val="100"/>
        <c:tickLblSkip val="10"/>
        <c:noMultiLvlLbl val="0"/>
      </c:catAx>
      <c:valAx>
        <c:axId val="1337424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08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9.6996549331532525E-2</c:v>
                </c:pt>
                <c:pt idx="2">
                  <c:v>4.6491062266773506E-2</c:v>
                </c:pt>
                <c:pt idx="3">
                  <c:v>0.12874525106266085</c:v>
                </c:pt>
                <c:pt idx="4">
                  <c:v>0.11117387119063887</c:v>
                </c:pt>
                <c:pt idx="5">
                  <c:v>9.6741157025693761E-2</c:v>
                </c:pt>
                <c:pt idx="6">
                  <c:v>3.5573132676077368E-2</c:v>
                </c:pt>
                <c:pt idx="7">
                  <c:v>5.3686345567014342E-2</c:v>
                </c:pt>
                <c:pt idx="8">
                  <c:v>3.2018411217879926E-2</c:v>
                </c:pt>
                <c:pt idx="9">
                  <c:v>4.5556393641360611E-2</c:v>
                </c:pt>
                <c:pt idx="10">
                  <c:v>4.1215322940107907E-2</c:v>
                </c:pt>
                <c:pt idx="11">
                  <c:v>5.7495751124978137E-2</c:v>
                </c:pt>
                <c:pt idx="12">
                  <c:v>2.5243685488483922E-2</c:v>
                </c:pt>
                <c:pt idx="13">
                  <c:v>1.1404182262614767E-2</c:v>
                </c:pt>
                <c:pt idx="14">
                  <c:v>4.7642499582014938E-3</c:v>
                </c:pt>
                <c:pt idx="15">
                  <c:v>1.5440219865673973E-2</c:v>
                </c:pt>
                <c:pt idx="16">
                  <c:v>2.7475627101237656E-3</c:v>
                </c:pt>
                <c:pt idx="17">
                  <c:v>1.1982186370155638E-2</c:v>
                </c:pt>
                <c:pt idx="18">
                  <c:v>1.9352406924735558E-2</c:v>
                </c:pt>
                <c:pt idx="19">
                  <c:v>2.8160843332803321E-3</c:v>
                </c:pt>
                <c:pt idx="20">
                  <c:v>3.2374679021173382E-3</c:v>
                </c:pt>
                <c:pt idx="21">
                  <c:v>0</c:v>
                </c:pt>
                <c:pt idx="22">
                  <c:v>0</c:v>
                </c:pt>
                <c:pt idx="23">
                  <c:v>1.2518401694894741E-2</c:v>
                </c:pt>
                <c:pt idx="24">
                  <c:v>4.6072005571342264E-3</c:v>
                </c:pt>
                <c:pt idx="25">
                  <c:v>1.8593128766979778E-3</c:v>
                </c:pt>
                <c:pt idx="26">
                  <c:v>0</c:v>
                </c:pt>
                <c:pt idx="27">
                  <c:v>1.0753370498374394E-2</c:v>
                </c:pt>
                <c:pt idx="28">
                  <c:v>6.8325382395441319E-3</c:v>
                </c:pt>
                <c:pt idx="29">
                  <c:v>3.0920885087299074E-3</c:v>
                </c:pt>
                <c:pt idx="30">
                  <c:v>2.5657303257584932E-2</c:v>
                </c:pt>
                <c:pt idx="31">
                  <c:v>6.368934840488249E-3</c:v>
                </c:pt>
                <c:pt idx="32">
                  <c:v>9.795836310291562E-3</c:v>
                </c:pt>
                <c:pt idx="33">
                  <c:v>7.5706663727116439E-3</c:v>
                </c:pt>
                <c:pt idx="34">
                  <c:v>2.7302858157155527E-3</c:v>
                </c:pt>
                <c:pt idx="35">
                  <c:v>1.6944974190922515E-2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7.728021416985505E-3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1.6314597845426902E-2</c:v>
                </c:pt>
                <c:pt idx="45">
                  <c:v>2.3331249719492761E-3</c:v>
                </c:pt>
                <c:pt idx="46">
                  <c:v>5.126956382073263E-3</c:v>
                </c:pt>
                <c:pt idx="47">
                  <c:v>0</c:v>
                </c:pt>
                <c:pt idx="48">
                  <c:v>6.5872360264102774E-3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7.7082422771580878E-3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5.3964403297274552E-3</c:v>
                </c:pt>
                <c:pt idx="1">
                  <c:v>2.5992029111072606E-2</c:v>
                </c:pt>
                <c:pt idx="2">
                  <c:v>5.3172265267222817E-2</c:v>
                </c:pt>
                <c:pt idx="3">
                  <c:v>6.3135876426467313E-2</c:v>
                </c:pt>
                <c:pt idx="4">
                  <c:v>5.3828254573359408E-2</c:v>
                </c:pt>
                <c:pt idx="5">
                  <c:v>4.8407059930192835E-2</c:v>
                </c:pt>
                <c:pt idx="6">
                  <c:v>4.7726316310617127E-2</c:v>
                </c:pt>
                <c:pt idx="7">
                  <c:v>4.8308042676436368E-2</c:v>
                </c:pt>
                <c:pt idx="8">
                  <c:v>4.3654231749882415E-2</c:v>
                </c:pt>
                <c:pt idx="9">
                  <c:v>4.5349902220461917E-2</c:v>
                </c:pt>
                <c:pt idx="10">
                  <c:v>4.4582518503849297E-2</c:v>
                </c:pt>
                <c:pt idx="11">
                  <c:v>3.7997871129044236E-2</c:v>
                </c:pt>
                <c:pt idx="12">
                  <c:v>3.4148575389261582E-2</c:v>
                </c:pt>
                <c:pt idx="13">
                  <c:v>2.6945070178478601E-2</c:v>
                </c:pt>
                <c:pt idx="14">
                  <c:v>2.3021511498378593E-2</c:v>
                </c:pt>
                <c:pt idx="15">
                  <c:v>2.0806000445577642E-2</c:v>
                </c:pt>
                <c:pt idx="16">
                  <c:v>2.4147832759858406E-2</c:v>
                </c:pt>
                <c:pt idx="17">
                  <c:v>1.8169666064311706E-2</c:v>
                </c:pt>
                <c:pt idx="18">
                  <c:v>1.6127435205584573E-2</c:v>
                </c:pt>
                <c:pt idx="19">
                  <c:v>1.6115058048865014E-2</c:v>
                </c:pt>
                <c:pt idx="20">
                  <c:v>1.5124885511300343E-2</c:v>
                </c:pt>
                <c:pt idx="21">
                  <c:v>1.7129984899868802E-2</c:v>
                </c:pt>
                <c:pt idx="22">
                  <c:v>1.5137262668019902E-2</c:v>
                </c:pt>
                <c:pt idx="23">
                  <c:v>1.5360051488971953E-2</c:v>
                </c:pt>
                <c:pt idx="24">
                  <c:v>1.4283238854370373E-2</c:v>
                </c:pt>
                <c:pt idx="25">
                  <c:v>1.5174394138178577E-2</c:v>
                </c:pt>
                <c:pt idx="26">
                  <c:v>1.3614872391514222E-2</c:v>
                </c:pt>
                <c:pt idx="27">
                  <c:v>1.3614872391514222E-2</c:v>
                </c:pt>
                <c:pt idx="28">
                  <c:v>1.3701512488551131E-2</c:v>
                </c:pt>
                <c:pt idx="29">
                  <c:v>1.2760848577864694E-2</c:v>
                </c:pt>
                <c:pt idx="30">
                  <c:v>1.3057900339134095E-2</c:v>
                </c:pt>
                <c:pt idx="31">
                  <c:v>1.2265762309082358E-2</c:v>
                </c:pt>
                <c:pt idx="32">
                  <c:v>1.1585018689506647E-2</c:v>
                </c:pt>
                <c:pt idx="33">
                  <c:v>1.2364779562838825E-2</c:v>
                </c:pt>
                <c:pt idx="34">
                  <c:v>1.1300344084956804E-2</c:v>
                </c:pt>
                <c:pt idx="35">
                  <c:v>1.0050251256281407E-2</c:v>
                </c:pt>
                <c:pt idx="36">
                  <c:v>1.0112137039879199E-2</c:v>
                </c:pt>
                <c:pt idx="37">
                  <c:v>8.7877812708864519E-3</c:v>
                </c:pt>
                <c:pt idx="38">
                  <c:v>9.4561477337426047E-3</c:v>
                </c:pt>
                <c:pt idx="39">
                  <c:v>7.1663737406243034E-3</c:v>
                </c:pt>
                <c:pt idx="40">
                  <c:v>6.8321905091962279E-3</c:v>
                </c:pt>
                <c:pt idx="41">
                  <c:v>5.0251256281407036E-3</c:v>
                </c:pt>
                <c:pt idx="42">
                  <c:v>5.8172636581924403E-3</c:v>
                </c:pt>
                <c:pt idx="43">
                  <c:v>4.6785652399930688E-3</c:v>
                </c:pt>
                <c:pt idx="44">
                  <c:v>4.2701190682476421E-3</c:v>
                </c:pt>
                <c:pt idx="45">
                  <c:v>4.010198777136916E-3</c:v>
                </c:pt>
                <c:pt idx="46">
                  <c:v>3.3913409411589972E-3</c:v>
                </c:pt>
                <c:pt idx="47">
                  <c:v>2.6858430081441692E-3</c:v>
                </c:pt>
                <c:pt idx="48">
                  <c:v>2.1536252692031586E-3</c:v>
                </c:pt>
                <c:pt idx="49">
                  <c:v>1.8070648810555238E-3</c:v>
                </c:pt>
                <c:pt idx="50">
                  <c:v>1.7575562541772903E-3</c:v>
                </c:pt>
                <c:pt idx="51">
                  <c:v>1.5595217466643563E-3</c:v>
                </c:pt>
                <c:pt idx="52">
                  <c:v>9.6541822412555384E-4</c:v>
                </c:pt>
                <c:pt idx="53">
                  <c:v>1.1510755749189296E-3</c:v>
                </c:pt>
                <c:pt idx="54">
                  <c:v>8.1689234349085333E-4</c:v>
                </c:pt>
                <c:pt idx="55">
                  <c:v>7.0549793301482786E-4</c:v>
                </c:pt>
                <c:pt idx="56">
                  <c:v>7.0549793301482786E-4</c:v>
                </c:pt>
                <c:pt idx="57">
                  <c:v>4.5795479862366015E-4</c:v>
                </c:pt>
                <c:pt idx="58">
                  <c:v>3.4656038814763474E-4</c:v>
                </c:pt>
                <c:pt idx="59">
                  <c:v>2.9705176126940119E-4</c:v>
                </c:pt>
                <c:pt idx="60">
                  <c:v>3.3418323142807635E-4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1256"/>
        <c:axId val="133736160"/>
      </c:lineChart>
      <c:catAx>
        <c:axId val="13374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36160"/>
        <c:crosses val="autoZero"/>
        <c:auto val="1"/>
        <c:lblAlgn val="ctr"/>
        <c:lblOffset val="100"/>
        <c:tickLblSkip val="10"/>
        <c:noMultiLvlLbl val="0"/>
      </c:catAx>
      <c:valAx>
        <c:axId val="13373616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12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E1" workbookViewId="0">
      <selection activeCell="T10" sqref="T10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17690.6551255313</v>
      </c>
      <c r="C11" s="11">
        <f>B11/B$102</f>
        <v>0.22017504370482532</v>
      </c>
      <c r="E11" s="20">
        <v>0</v>
      </c>
      <c r="F11" s="110" t="n">
        <v>9471.0</v>
      </c>
      <c r="G11" s="11">
        <f>F11/F$102</f>
        <v>0.11721167413421789</v>
      </c>
      <c r="K11" s="8" t="n">
        <v>4.993831860891899</v>
      </c>
      <c r="L11" s="8" t="n">
        <v>7.454574272466484</v>
      </c>
    </row>
    <row r="12" spans="1:12" x14ac:dyDescent="0.45">
      <c r="A12">
        <v>1</v>
      </c>
      <c r="B12" s="8" t="n">
        <v>17124.239443203798</v>
      </c>
      <c r="C12" s="11">
        <f>B12/B$102</f>
        <v>0.21312552537287996</v>
      </c>
      <c r="E12" s="21">
        <v>1</v>
      </c>
      <c r="F12" s="111" t="n">
        <v>9134.0</v>
      </c>
      <c r="G12" s="11">
        <f>F12/F$102</f>
        <v>0.10906750501274848</v>
      </c>
      <c r="K12" s="8"/>
      <c r="L12" s="380"/>
    </row>
    <row r="13" spans="1:12" x14ac:dyDescent="0.45">
      <c r="A13">
        <v>2</v>
      </c>
      <c r="B13" s="8" t="n">
        <v>7228.1700902274</v>
      </c>
      <c r="C13" s="11">
        <f t="shared" ref="C13:C76" si="0">B13/B$102</f>
        <v>8.9960640475372611E-2</v>
      </c>
      <c r="E13" s="22">
        <v>2</v>
      </c>
      <c r="F13" s="112" t="n">
        <v>7521.0</v>
      </c>
      <c r="G13" s="11">
        <f t="shared" ref="G13:G76" si="1">F13/F$102</f>
        <v>9.3113350001237716E-2</v>
      </c>
    </row>
    <row r="14" spans="1:12" x14ac:dyDescent="0.45">
      <c r="A14">
        <v>3</v>
      </c>
      <c r="B14" s="8" t="n">
        <v>7803.3832071220995</v>
      </c>
      <c r="C14" s="11">
        <f t="shared" si="0"/>
        <v>9.7119650260663187E-2</v>
      </c>
      <c r="E14" s="23">
        <v>3</v>
      </c>
      <c r="F14" s="113" t="n">
        <v>6872.0</v>
      </c>
      <c r="G14" s="11">
        <f t="shared" si="1"/>
        <v>8.4337945887070817E-2</v>
      </c>
    </row>
    <row r="15" spans="1:12" x14ac:dyDescent="0.45">
      <c r="A15">
        <v>4</v>
      </c>
      <c r="B15" s="8" t="n">
        <v>5648.239209787</v>
      </c>
      <c r="C15" s="11">
        <f t="shared" si="0"/>
        <v>7.0297075266330028E-2</v>
      </c>
      <c r="E15" s="24">
        <v>4</v>
      </c>
      <c r="F15" s="114" t="n">
        <v>6624.0</v>
      </c>
      <c r="G15" s="11">
        <f t="shared" si="1"/>
        <v>8.2407109438819709E-2</v>
      </c>
    </row>
    <row r="16" spans="1:12" x14ac:dyDescent="0.45">
      <c r="A16">
        <v>5</v>
      </c>
      <c r="B16" s="8" t="n">
        <v>6006.366500939</v>
      </c>
      <c r="C16" s="11">
        <f t="shared" si="0"/>
        <v>7.4754269837235668E-2</v>
      </c>
      <c r="E16" s="25">
        <v>5</v>
      </c>
      <c r="F16" s="115" t="n">
        <v>5676.0</v>
      </c>
      <c r="G16" s="11">
        <f t="shared" si="1"/>
        <v>7.0723073495556607E-2</v>
      </c>
    </row>
    <row r="17" spans="1:7" x14ac:dyDescent="0.45">
      <c r="A17">
        <v>6</v>
      </c>
      <c r="B17" s="8" t="n">
        <v>2475.9821996355</v>
      </c>
      <c r="C17" s="11">
        <f t="shared" si="0"/>
        <v>3.0815675572712482E-2</v>
      </c>
      <c r="E17" s="26">
        <v>6</v>
      </c>
      <c r="F17" s="116" t="n">
        <v>4335.0</v>
      </c>
      <c r="G17" s="11">
        <f t="shared" si="1"/>
        <v>5.5041215931876129E-2</v>
      </c>
    </row>
    <row r="18" spans="1:7" x14ac:dyDescent="0.45">
      <c r="A18">
        <v>7</v>
      </c>
      <c r="B18" s="8" t="n">
        <v>622.248414605</v>
      </c>
      <c r="C18" s="11">
        <f t="shared" si="0"/>
        <v>7.7444035231453616E-3</v>
      </c>
      <c r="E18" s="27">
        <v>7</v>
      </c>
      <c r="F18" s="117" t="n">
        <v>3627.0</v>
      </c>
      <c r="G18" s="11">
        <f t="shared" si="1"/>
        <v>4.3691363220041093E-2</v>
      </c>
    </row>
    <row r="19" spans="1:7" x14ac:dyDescent="0.45">
      <c r="A19">
        <v>8</v>
      </c>
      <c r="B19" s="8" t="n">
        <v>785.551886675</v>
      </c>
      <c r="C19" s="11">
        <f t="shared" si="0"/>
        <v>9.7768522281269487E-3</v>
      </c>
      <c r="E19" s="28">
        <v>8</v>
      </c>
      <c r="F19" s="118" t="n">
        <v>3252.0</v>
      </c>
      <c r="G19" s="11">
        <f t="shared" si="1"/>
        <v>4.177290392850954E-2</v>
      </c>
    </row>
    <row r="20" spans="1:7" x14ac:dyDescent="0.45">
      <c r="A20">
        <v>9</v>
      </c>
      <c r="B20" s="8" t="n">
        <v>1281.08180092</v>
      </c>
      <c r="C20" s="11">
        <f t="shared" si="0"/>
        <v>1.5944137710306883E-2</v>
      </c>
      <c r="E20" s="29">
        <v>9</v>
      </c>
      <c r="F20" s="119" t="n">
        <v>2343.0</v>
      </c>
      <c r="G20" s="11">
        <f t="shared" si="1"/>
        <v>2.8096145753397528E-2</v>
      </c>
    </row>
    <row r="21" spans="1:7" x14ac:dyDescent="0.45">
      <c r="A21">
        <v>10</v>
      </c>
      <c r="B21" s="8" t="n">
        <v>195.446561408</v>
      </c>
      <c r="C21" s="11">
        <f t="shared" si="0"/>
        <v>2.4324964165888599E-3</v>
      </c>
      <c r="E21" s="30">
        <v>10</v>
      </c>
      <c r="F21" s="120" t="n">
        <v>2068.0</v>
      </c>
      <c r="G21" s="11">
        <f t="shared" si="1"/>
        <v>2.7440156447260937E-2</v>
      </c>
    </row>
    <row r="22" spans="1:7" x14ac:dyDescent="0.45">
      <c r="A22">
        <v>11</v>
      </c>
      <c r="B22" s="8" t="n">
        <v>2084.968877218</v>
      </c>
      <c r="C22" s="11">
        <f t="shared" si="0"/>
        <v>2.594918675465881E-2</v>
      </c>
      <c r="E22" s="31">
        <v>11</v>
      </c>
      <c r="F22" s="121" t="n">
        <v>1862.0</v>
      </c>
      <c r="G22" s="11">
        <f t="shared" si="1"/>
        <v>2.335569472980667E-2</v>
      </c>
    </row>
    <row r="23" spans="1:7" x14ac:dyDescent="0.45">
      <c r="A23">
        <v>12</v>
      </c>
      <c r="B23" s="8" t="n">
        <v>538.968377424</v>
      </c>
      <c r="C23" s="11">
        <f t="shared" si="0"/>
        <v>6.7079135969128831E-3</v>
      </c>
      <c r="E23" s="32">
        <v>12</v>
      </c>
      <c r="F23" s="122" t="n">
        <v>2033.0</v>
      </c>
      <c r="G23" s="11">
        <f t="shared" si="1"/>
        <v>2.6202440775305098E-2</v>
      </c>
    </row>
    <row r="24" spans="1:7" x14ac:dyDescent="0.45">
      <c r="A24">
        <v>13</v>
      </c>
      <c r="B24" s="8" t="n">
        <v>198.734123894</v>
      </c>
      <c r="C24" s="11">
        <f t="shared" si="0"/>
        <v>2.4734128896590256E-3</v>
      </c>
      <c r="E24" s="33">
        <v>13</v>
      </c>
      <c r="F24" s="123" t="n">
        <v>2009.0</v>
      </c>
      <c r="G24" s="11">
        <f t="shared" si="1"/>
        <v>2.3244300319330644E-2</v>
      </c>
    </row>
    <row r="25" spans="1:7" x14ac:dyDescent="0.45">
      <c r="A25">
        <v>14</v>
      </c>
      <c r="B25" s="8" t="n">
        <v>1621.5409891680001</v>
      </c>
      <c r="C25" s="11">
        <f t="shared" si="0"/>
        <v>2.0181437918823694E-2</v>
      </c>
      <c r="E25" s="34">
        <v>14</v>
      </c>
      <c r="F25" s="124" t="n">
        <v>1921.0</v>
      </c>
      <c r="G25" s="11">
        <f t="shared" si="1"/>
        <v>2.4420130207688691E-2</v>
      </c>
    </row>
    <row r="26" spans="1:7" x14ac:dyDescent="0.45">
      <c r="A26">
        <v>15</v>
      </c>
      <c r="B26" s="8" t="n">
        <v>634.003120299</v>
      </c>
      <c r="C26" s="11">
        <f t="shared" si="0"/>
        <v>7.8907006965145184E-3</v>
      </c>
      <c r="E26" s="35">
        <v>15</v>
      </c>
      <c r="F26" s="125" t="n">
        <v>1847.0</v>
      </c>
      <c r="G26" s="11">
        <f t="shared" si="1"/>
        <v>2.1499121221872912E-2</v>
      </c>
    </row>
    <row r="27" spans="1:7" x14ac:dyDescent="0.45">
      <c r="A27">
        <v>16</v>
      </c>
      <c r="B27" s="8" t="n">
        <v>490.98456362599995</v>
      </c>
      <c r="C27" s="11">
        <f t="shared" si="0"/>
        <v>6.110714780637753E-3</v>
      </c>
      <c r="E27" s="36">
        <v>16</v>
      </c>
      <c r="F27" s="126" t="n">
        <v>1555.0</v>
      </c>
      <c r="G27" s="11">
        <f t="shared" si="1"/>
        <v>1.8924672624204768E-2</v>
      </c>
    </row>
    <row r="28" spans="1:7" x14ac:dyDescent="0.45">
      <c r="A28">
        <v>17</v>
      </c>
      <c r="B28" s="8" t="n">
        <v>0.0</v>
      </c>
      <c r="C28" s="11">
        <f t="shared" si="0"/>
        <v>0</v>
      </c>
      <c r="E28" s="37">
        <v>17</v>
      </c>
      <c r="F28" s="127" t="n">
        <v>1459.0</v>
      </c>
      <c r="G28" s="11">
        <f t="shared" si="1"/>
        <v>1.7340396564101294E-2</v>
      </c>
    </row>
    <row r="29" spans="1:7" x14ac:dyDescent="0.45">
      <c r="A29">
        <v>18</v>
      </c>
      <c r="B29" s="8" t="n">
        <v>767.7199127419999</v>
      </c>
      <c r="C29" s="11">
        <f t="shared" si="0"/>
        <v>9.5549183533110114E-3</v>
      </c>
      <c r="E29" s="38">
        <v>18</v>
      </c>
      <c r="F29" s="128" t="n">
        <v>1243.0</v>
      </c>
      <c r="G29" s="11">
        <f t="shared" si="1"/>
        <v>1.461742208579845E-2</v>
      </c>
    </row>
    <row r="30" spans="1:7" x14ac:dyDescent="0.45">
      <c r="A30">
        <v>19</v>
      </c>
      <c r="B30" s="8" t="n">
        <v>3553.899831225</v>
      </c>
      <c r="C30" s="11">
        <f t="shared" si="0"/>
        <v>4.4231264761543744E-2</v>
      </c>
      <c r="E30" s="39">
        <v>19</v>
      </c>
      <c r="F30" s="129" t="n">
        <v>1164.0</v>
      </c>
      <c r="G30" s="11">
        <f t="shared" si="1"/>
        <v>1.378815258558804E-2</v>
      </c>
    </row>
    <row r="31" spans="1:7" x14ac:dyDescent="0.45">
      <c r="A31">
        <v>20</v>
      </c>
      <c r="B31" s="8" t="n">
        <v>842.220796176</v>
      </c>
      <c r="C31" s="11">
        <f t="shared" si="0"/>
        <v>1.0482144346341409E-2</v>
      </c>
      <c r="E31" s="40">
        <v>20</v>
      </c>
      <c r="F31" s="130" t="n">
        <v>1024.0</v>
      </c>
      <c r="G31" s="11">
        <f t="shared" si="1"/>
        <v>1.1597395846226205E-2</v>
      </c>
    </row>
    <row r="32" spans="1:7" x14ac:dyDescent="0.45">
      <c r="A32">
        <v>21</v>
      </c>
      <c r="B32" s="8" t="n">
        <v>187.462250712</v>
      </c>
      <c r="C32" s="11">
        <f t="shared" si="0"/>
        <v>2.3331249719492761E-3</v>
      </c>
      <c r="E32" s="41">
        <v>21</v>
      </c>
      <c r="F32" s="131" t="n">
        <v>864.0</v>
      </c>
      <c r="G32" s="11">
        <f t="shared" si="1"/>
        <v>1.1424115652152388E-2</v>
      </c>
    </row>
    <row r="33" spans="1:7" x14ac:dyDescent="0.45">
      <c r="A33">
        <v>22</v>
      </c>
      <c r="B33" s="8" t="n">
        <v>1310.847583535</v>
      </c>
      <c r="C33" s="11">
        <f t="shared" si="0"/>
        <v>1.6314597845426902E-2</v>
      </c>
      <c r="E33" s="42">
        <v>22</v>
      </c>
      <c r="F33" s="132" t="n">
        <v>714.0</v>
      </c>
      <c r="G33" s="11">
        <f t="shared" si="1"/>
        <v>7.9832660841151568E-3</v>
      </c>
    </row>
    <row r="34" spans="1:7" x14ac:dyDescent="0.45">
      <c r="A34">
        <v>23</v>
      </c>
      <c r="B34" s="8" t="n">
        <v>0.0</v>
      </c>
      <c r="C34" s="11">
        <f t="shared" si="0"/>
        <v>0</v>
      </c>
      <c r="E34" s="43">
        <v>23</v>
      </c>
      <c r="F34" s="133" t="n">
        <v>610.0</v>
      </c>
      <c r="G34" s="11">
        <f t="shared" si="1"/>
        <v>6.9188306062331366E-3</v>
      </c>
    </row>
    <row r="35" spans="1:7" x14ac:dyDescent="0.45">
      <c r="A35">
        <v>24</v>
      </c>
      <c r="B35" s="8" t="n">
        <v>0.0</v>
      </c>
      <c r="C35" s="11">
        <f t="shared" si="0"/>
        <v>0</v>
      </c>
      <c r="E35" s="44">
        <v>24</v>
      </c>
      <c r="F35" s="134" t="n">
        <v>428.0</v>
      </c>
      <c r="G35" s="11">
        <f t="shared" si="1"/>
        <v>5.3716860162883384E-3</v>
      </c>
    </row>
    <row r="36" spans="1:7" x14ac:dyDescent="0.45">
      <c r="A36">
        <v>25</v>
      </c>
      <c r="B36" s="8" t="n">
        <v>0.0</v>
      </c>
      <c r="C36" s="11">
        <f t="shared" si="0"/>
        <v>0</v>
      </c>
      <c r="E36" s="45">
        <v>25</v>
      </c>
      <c r="F36" s="135" t="n">
        <v>343.0</v>
      </c>
      <c r="G36" s="11">
        <f t="shared" si="1"/>
        <v>4.2082332846498502E-3</v>
      </c>
    </row>
    <row r="37" spans="1:7" x14ac:dyDescent="0.45">
      <c r="A37">
        <v>26</v>
      </c>
      <c r="B37" s="8" t="n">
        <v>0.0</v>
      </c>
      <c r="C37" s="11">
        <f t="shared" si="0"/>
        <v>0</v>
      </c>
      <c r="E37" s="46">
        <v>26</v>
      </c>
      <c r="F37" s="136" t="n">
        <v>296.0</v>
      </c>
      <c r="G37" s="11">
        <f t="shared" si="1"/>
        <v>3.4160952545981139E-3</v>
      </c>
    </row>
    <row r="38" spans="1:7" x14ac:dyDescent="0.45">
      <c r="A38">
        <v>27</v>
      </c>
      <c r="B38" s="8" t="n">
        <v>0.0</v>
      </c>
      <c r="C38" s="11">
        <f t="shared" si="0"/>
        <v>0</v>
      </c>
      <c r="E38" s="47">
        <v>27</v>
      </c>
      <c r="F38" s="137" t="n">
        <v>229.0</v>
      </c>
      <c r="G38" s="11">
        <f t="shared" si="1"/>
        <v>2.7724831051810779E-3</v>
      </c>
    </row>
    <row r="39" spans="1:7" x14ac:dyDescent="0.45">
      <c r="A39">
        <v>28</v>
      </c>
      <c r="B39" s="8" t="n">
        <v>0.0</v>
      </c>
      <c r="C39" s="11">
        <f t="shared" si="0"/>
        <v>0</v>
      </c>
      <c r="E39" s="48">
        <v>28</v>
      </c>
      <c r="F39" s="138" t="n">
        <v>158.0</v>
      </c>
      <c r="G39" s="11">
        <f t="shared" si="1"/>
        <v>1.7204247840186153E-3</v>
      </c>
    </row>
    <row r="40" spans="1:7" x14ac:dyDescent="0.45">
      <c r="A40">
        <v>29</v>
      </c>
      <c r="B40" s="8" t="n">
        <v>0.0</v>
      </c>
      <c r="C40" s="11">
        <f t="shared" si="0"/>
        <v>0</v>
      </c>
      <c r="E40" s="49">
        <v>29</v>
      </c>
      <c r="F40" s="139" t="n">
        <v>122.0</v>
      </c>
      <c r="G40" s="11">
        <f t="shared" si="1"/>
        <v>2.0546080154466915E-3</v>
      </c>
    </row>
    <row r="41" spans="1:7" x14ac:dyDescent="0.45">
      <c r="A41">
        <v>30</v>
      </c>
      <c r="B41" s="8" t="n">
        <v>0.0</v>
      </c>
      <c r="C41" s="11">
        <f t="shared" si="0"/>
        <v>0</v>
      </c>
      <c r="E41" s="50">
        <v>30</v>
      </c>
      <c r="F41" s="140" t="n">
        <v>112.0</v>
      </c>
      <c r="G41" s="11">
        <f t="shared" si="1"/>
        <v>1.163452731638488E-3</v>
      </c>
    </row>
    <row r="42" spans="1:7" x14ac:dyDescent="0.45">
      <c r="A42">
        <v>31</v>
      </c>
      <c r="B42" s="8" t="n">
        <v>0.0</v>
      </c>
      <c r="C42" s="11">
        <f t="shared" si="0"/>
        <v>0</v>
      </c>
      <c r="E42" s="51">
        <v>31</v>
      </c>
      <c r="F42" s="141" t="n">
        <v>68.0</v>
      </c>
      <c r="G42" s="11">
        <f t="shared" si="1"/>
        <v>1.1758298883580464E-3</v>
      </c>
    </row>
    <row r="43" spans="1:7" x14ac:dyDescent="0.4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67.0</v>
      </c>
      <c r="G43" s="11">
        <f t="shared" si="1"/>
        <v>7.1787508973438624E-4</v>
      </c>
    </row>
    <row r="44" spans="1:7" x14ac:dyDescent="0.45">
      <c r="A44">
        <v>33</v>
      </c>
      <c r="B44" s="8" t="n">
        <v>411.941406586</v>
      </c>
      <c r="C44" s="11">
        <f t="shared" si="0"/>
        <v>5.126956382073263E-3</v>
      </c>
      <c r="E44" s="53">
        <v>33</v>
      </c>
      <c r="F44" s="143" t="n">
        <v>58.0</v>
      </c>
      <c r="G44" s="11">
        <f t="shared" si="1"/>
        <v>6.1885783597791916E-4</v>
      </c>
    </row>
    <row r="45" spans="1:7" x14ac:dyDescent="0.45">
      <c r="A45">
        <v>34</v>
      </c>
      <c r="B45" s="8" t="n">
        <v>0.0</v>
      </c>
      <c r="C45" s="11">
        <f t="shared" si="0"/>
        <v>0</v>
      </c>
      <c r="E45" s="54">
        <v>34</v>
      </c>
      <c r="F45" s="144" t="n">
        <v>44.0</v>
      </c>
      <c r="G45" s="11">
        <f t="shared" si="1"/>
        <v>2.5992029111072604E-4</v>
      </c>
    </row>
    <row r="46" spans="1:7" x14ac:dyDescent="0.45">
      <c r="A46">
        <v>35</v>
      </c>
      <c r="B46" s="8" t="n">
        <v>619.342925768</v>
      </c>
      <c r="C46" s="11">
        <f t="shared" si="0"/>
        <v>7.7082422771580878E-3</v>
      </c>
      <c r="E46" s="55">
        <v>35</v>
      </c>
      <c r="F46" s="145" t="n">
        <v>23.0</v>
      </c>
      <c r="G46" s="11">
        <f t="shared" si="1"/>
        <v>2.9705176126940119E-4</v>
      </c>
    </row>
    <row r="47" spans="1:7" x14ac:dyDescent="0.45">
      <c r="A47">
        <v>36</v>
      </c>
      <c r="B47" s="8" t="n">
        <v>0.0</v>
      </c>
      <c r="C47" s="11">
        <f t="shared" si="0"/>
        <v>0</v>
      </c>
      <c r="E47" s="56">
        <v>36</v>
      </c>
      <c r="F47" s="146" t="n">
        <v>18.0</v>
      </c>
      <c r="G47" s="11">
        <f t="shared" si="1"/>
        <v>2.9705176126940119E-4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57">
        <v>37</v>
      </c>
      <c r="F48" s="147" t="n">
        <v>32.0</v>
      </c>
      <c r="G48" s="11">
        <f t="shared" si="1"/>
        <v>2.3516597767160927E-4</v>
      </c>
    </row>
    <row r="49" spans="1:7" x14ac:dyDescent="0.45">
      <c r="A49">
        <v>38</v>
      </c>
      <c r="B49" s="8" t="n">
        <v>0.0</v>
      </c>
      <c r="C49" s="11">
        <f t="shared" si="0"/>
        <v>0</v>
      </c>
      <c r="E49" s="58">
        <v>38</v>
      </c>
      <c r="F49" s="148" t="n">
        <v>26.0</v>
      </c>
      <c r="G49" s="11">
        <f t="shared" si="1"/>
        <v>3.0942891798895958E-4</v>
      </c>
    </row>
    <row r="50" spans="1:7" x14ac:dyDescent="0.45">
      <c r="A50">
        <v>39</v>
      </c>
      <c r="B50" s="8" t="n">
        <v>0.0</v>
      </c>
      <c r="C50" s="11">
        <f t="shared" si="0"/>
        <v>0</v>
      </c>
      <c r="E50" s="59">
        <v>39</v>
      </c>
      <c r="F50" s="149" t="n">
        <v>20.0</v>
      </c>
      <c r="G50" s="11">
        <f t="shared" si="1"/>
        <v>1.7328019407381737E-4</v>
      </c>
    </row>
    <row r="51" spans="1:7" x14ac:dyDescent="0.45">
      <c r="A51">
        <v>40</v>
      </c>
      <c r="B51" s="8" t="n">
        <v>0.0</v>
      </c>
      <c r="C51" s="11">
        <f t="shared" si="0"/>
        <v>0</v>
      </c>
      <c r="E51" s="60">
        <v>40</v>
      </c>
      <c r="F51" s="150" t="n">
        <v>16.0</v>
      </c>
      <c r="G51" s="11">
        <f t="shared" si="1"/>
        <v>1.9803450751293414E-4</v>
      </c>
    </row>
    <row r="52" spans="1:7" x14ac:dyDescent="0.45">
      <c r="A52">
        <v>41</v>
      </c>
      <c r="B52" s="8" t="n">
        <v>0.0</v>
      </c>
      <c r="C52" s="11">
        <f t="shared" si="0"/>
        <v>0</v>
      </c>
      <c r="E52" s="61">
        <v>41</v>
      </c>
      <c r="F52" s="151" t="n">
        <v>11.0</v>
      </c>
      <c r="G52" s="11">
        <f t="shared" si="1"/>
        <v>1.2377156719558383E-4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62">
        <v>42</v>
      </c>
      <c r="F53" s="152" t="n">
        <v>6.0</v>
      </c>
      <c r="G53" s="11">
        <f t="shared" si="1"/>
        <v>6.1885783597791913E-5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63">
        <v>43</v>
      </c>
      <c r="F54" s="153" t="n">
        <v>8.0</v>
      </c>
      <c r="G54" s="11">
        <f t="shared" si="1"/>
        <v>9.9017253756467069E-5</v>
      </c>
    </row>
    <row r="55" spans="1:7" x14ac:dyDescent="0.45">
      <c r="A55">
        <v>44</v>
      </c>
      <c r="B55" s="8" t="n">
        <v>0.0</v>
      </c>
      <c r="C55" s="11">
        <f t="shared" si="0"/>
        <v>0</v>
      </c>
      <c r="E55" s="64">
        <v>44</v>
      </c>
      <c r="F55" s="154" t="n">
        <v>3.0</v>
      </c>
      <c r="G55" s="11">
        <f t="shared" si="1"/>
        <v>7.4262940317350299E-5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65">
        <v>45</v>
      </c>
      <c r="F56" s="155" t="n">
        <v>7.0</v>
      </c>
      <c r="G56" s="11">
        <f t="shared" si="1"/>
        <v>1.2377156719558383E-4</v>
      </c>
    </row>
    <row r="57" spans="1:7" x14ac:dyDescent="0.4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7.0</v>
      </c>
      <c r="G57" s="11">
        <f t="shared" si="1"/>
        <v>6.1885783597791913E-5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4.0</v>
      </c>
      <c r="G58" s="11">
        <f t="shared" si="1"/>
        <v>6.1885783597791913E-5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68">
        <v>48</v>
      </c>
      <c r="F59" s="158" t="n">
        <v>3.0</v>
      </c>
      <c r="G59" s="11">
        <f t="shared" si="1"/>
        <v>4.9508626878233535E-5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2.0</v>
      </c>
      <c r="G60" s="11">
        <f t="shared" si="1"/>
        <v>8.6640097036908684E-5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70">
        <v>50</v>
      </c>
      <c r="F61" s="160" t="n">
        <v>2.0</v>
      </c>
      <c r="G61" s="11">
        <f t="shared" si="1"/>
        <v>1.2377156719558384E-5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71">
        <v>51</v>
      </c>
      <c r="F62" s="161" t="n">
        <v>3.0</v>
      </c>
      <c r="G62" s="11">
        <f t="shared" si="1"/>
        <v>0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0.0</v>
      </c>
      <c r="G63" s="11">
        <f t="shared" si="1"/>
        <v>0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1.0</v>
      </c>
      <c r="G64" s="11">
        <f t="shared" si="1"/>
        <v>0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2.0</v>
      </c>
      <c r="G65" s="11">
        <f t="shared" si="1"/>
        <v>0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0.0</v>
      </c>
      <c r="G66" s="11">
        <f t="shared" si="1"/>
        <v>0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76">
        <v>56</v>
      </c>
      <c r="F67" s="166" t="n">
        <v>1.0</v>
      </c>
      <c r="G67" s="11">
        <f t="shared" si="1"/>
        <v>1.2377156719558384E-5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77">
        <v>57</v>
      </c>
      <c r="F68" s="167" t="n">
        <v>0.0</v>
      </c>
      <c r="G68" s="11">
        <f t="shared" si="1"/>
        <v>1.2377156719558384E-5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0.0</v>
      </c>
      <c r="G69" s="11">
        <f t="shared" si="1"/>
        <v>0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0.0</v>
      </c>
      <c r="G70" s="11">
        <f t="shared" si="1"/>
        <v>1.2377156719558384E-5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0.0</v>
      </c>
      <c r="G71" s="11">
        <f t="shared" si="1"/>
        <v>0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0.0</v>
      </c>
      <c r="G72" s="11">
        <f t="shared" si="1"/>
        <v>0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0.0</v>
      </c>
      <c r="G73" s="11">
        <f t="shared" si="1"/>
        <v>0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0.0</v>
      </c>
      <c r="G74" s="11">
        <f t="shared" si="1"/>
        <v>0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0.0</v>
      </c>
      <c r="G75" s="11">
        <f t="shared" si="1"/>
        <v>0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0.0</v>
      </c>
      <c r="G76" s="11">
        <f t="shared" si="1"/>
        <v>0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0.0</v>
      </c>
      <c r="G78" s="11">
        <f t="shared" si="3"/>
        <v>0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0.0</v>
      </c>
      <c r="G79" s="11">
        <f t="shared" si="3"/>
        <v>0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89">
        <v>69</v>
      </c>
      <c r="F80" s="179" t="n">
        <v>0.0</v>
      </c>
      <c r="G80" s="11">
        <f t="shared" si="3"/>
        <v>0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0.0</v>
      </c>
      <c r="G81" s="11">
        <f t="shared" si="3"/>
        <v>0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0</v>
      </c>
    </row>
    <row r="84" spans="1:7" x14ac:dyDescent="0.45">
      <c r="A84">
        <v>73</v>
      </c>
      <c r="B84" s="8" t="n">
        <v>224.140299381</v>
      </c>
      <c r="C84" s="11">
        <f t="shared" si="2"/>
        <v>2.7896140568023304E-3</v>
      </c>
      <c r="E84" s="93">
        <v>73</v>
      </c>
      <c r="F84" s="183" t="n">
        <v>0.0</v>
      </c>
      <c r="G84" s="11">
        <f t="shared" si="3"/>
        <v>0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0.0</v>
      </c>
      <c r="G85" s="11">
        <f t="shared" si="3"/>
        <v>0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0.0</v>
      </c>
      <c r="G86" s="11">
        <f t="shared" si="3"/>
        <v>0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0.0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0.0</v>
      </c>
      <c r="G93" s="11">
        <f t="shared" si="3"/>
        <v>0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0.0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45">
      <c r="B102" s="8">
        <f>SUM(B11:B101)</f>
        <v>80348.139497808093</v>
      </c>
      <c r="C102" s="11">
        <f t="shared" si="2"/>
        <v>1</v>
      </c>
      <c r="F102" s="8">
        <f>SUM(F11:F101)</f>
        <v>80794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M30" sqref="M30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460.0</v>
      </c>
      <c r="G11" s="11">
        <f>F11/F$102</f>
        <v>5.3964403297274552E-3</v>
      </c>
      <c r="K11" s="8" t="n">
        <v>10.98354899777834</v>
      </c>
      <c r="L11" s="8" t="n">
        <v>15.71076671838279</v>
      </c>
    </row>
    <row r="12" spans="1:12" x14ac:dyDescent="0.45">
      <c r="A12">
        <v>1</v>
      </c>
      <c r="B12" s="8" t="n">
        <v>7793.492276496</v>
      </c>
      <c r="C12" s="11">
        <f>B12/B$102</f>
        <v>9.6996549331532525E-2</v>
      </c>
      <c r="E12" s="201">
        <v>1</v>
      </c>
      <c r="F12" s="291" t="n">
        <v>2143.0</v>
      </c>
      <c r="G12" s="11">
        <f>F12/F$102</f>
        <v>2.5992029111072606E-2</v>
      </c>
      <c r="K12" s="8"/>
      <c r="L12" s="381"/>
    </row>
    <row r="13" spans="1:12" x14ac:dyDescent="0.45">
      <c r="A13">
        <v>2</v>
      </c>
      <c r="B13" s="8" t="n">
        <v>3735.470356412</v>
      </c>
      <c r="C13" s="11">
        <f t="shared" ref="C13:C76" si="0">B13/B$102</f>
        <v>4.6491062266773506E-2</v>
      </c>
      <c r="E13" s="202">
        <v>2</v>
      </c>
      <c r="F13" s="292" t="n">
        <v>4306.0</v>
      </c>
      <c r="G13" s="11">
        <f t="shared" ref="G13:G76" si="1">F13/F$102</f>
        <v>5.3172265267222817E-2</v>
      </c>
    </row>
    <row r="14" spans="1:12" x14ac:dyDescent="0.45">
      <c r="A14">
        <v>3</v>
      </c>
      <c r="B14" s="8" t="n">
        <v>10344.441392063</v>
      </c>
      <c r="C14" s="11">
        <f t="shared" si="0"/>
        <v>0.12874525106266085</v>
      </c>
      <c r="E14" s="203">
        <v>3</v>
      </c>
      <c r="F14" s="293" t="n">
        <v>5107.0</v>
      </c>
      <c r="G14" s="11">
        <f t="shared" si="1"/>
        <v>6.3135876426467313E-2</v>
      </c>
    </row>
    <row r="15" spans="1:12" x14ac:dyDescent="0.45">
      <c r="A15">
        <v>4</v>
      </c>
      <c r="B15" s="8" t="n">
        <v>8932.613710936801</v>
      </c>
      <c r="C15" s="11">
        <f t="shared" si="0"/>
        <v>0.11117387119063887</v>
      </c>
      <c r="E15" s="204">
        <v>4</v>
      </c>
      <c r="F15" s="294" t="n">
        <v>4464.0</v>
      </c>
      <c r="G15" s="11">
        <f t="shared" si="1"/>
        <v>5.3828254573359408E-2</v>
      </c>
    </row>
    <row r="16" spans="1:12" x14ac:dyDescent="0.45">
      <c r="A16">
        <v>5</v>
      </c>
      <c r="B16" s="8" t="n">
        <v>7772.9719798798</v>
      </c>
      <c r="C16" s="11">
        <f t="shared" si="0"/>
        <v>9.6741157025693761E-2</v>
      </c>
      <c r="E16" s="205">
        <v>5</v>
      </c>
      <c r="F16" s="295" t="n">
        <v>4054.0</v>
      </c>
      <c r="G16" s="11">
        <f t="shared" si="1"/>
        <v>4.8407059930192835E-2</v>
      </c>
    </row>
    <row r="17" spans="1:7" x14ac:dyDescent="0.45">
      <c r="A17">
        <v>6</v>
      </c>
      <c r="B17" s="8" t="n">
        <v>2858.2350266314997</v>
      </c>
      <c r="C17" s="11">
        <f t="shared" si="0"/>
        <v>3.5573132676077368E-2</v>
      </c>
      <c r="E17" s="206">
        <v>6</v>
      </c>
      <c r="F17" s="296" t="n">
        <v>3838.0</v>
      </c>
      <c r="G17" s="11">
        <f t="shared" si="1"/>
        <v>4.7726316310617127E-2</v>
      </c>
    </row>
    <row r="18" spans="1:7" x14ac:dyDescent="0.45">
      <c r="A18">
        <v>7</v>
      </c>
      <c r="B18" s="8" t="n">
        <v>4313.597982746</v>
      </c>
      <c r="C18" s="11">
        <f t="shared" si="0"/>
        <v>5.3686345567014342E-2</v>
      </c>
      <c r="E18" s="207">
        <v>7</v>
      </c>
      <c r="F18" s="297" t="n">
        <v>3877.0</v>
      </c>
      <c r="G18" s="11">
        <f t="shared" si="1"/>
        <v>4.8308042676436368E-2</v>
      </c>
    </row>
    <row r="19" spans="1:7" x14ac:dyDescent="0.45">
      <c r="A19">
        <v>8</v>
      </c>
      <c r="B19" s="8" t="n">
        <v>2572.6197710324</v>
      </c>
      <c r="C19" s="11">
        <f t="shared" si="0"/>
        <v>3.2018411217879926E-2</v>
      </c>
      <c r="E19" s="208">
        <v>8</v>
      </c>
      <c r="F19" s="298" t="n">
        <v>3489.0</v>
      </c>
      <c r="G19" s="11">
        <f t="shared" si="1"/>
        <v>4.3654231749882415E-2</v>
      </c>
    </row>
    <row r="20" spans="1:7" x14ac:dyDescent="0.45">
      <c r="A20">
        <v>9</v>
      </c>
      <c r="B20" s="8" t="n">
        <v>3660.3714713131</v>
      </c>
      <c r="C20" s="11">
        <f t="shared" si="0"/>
        <v>4.5556393641360611E-2</v>
      </c>
      <c r="E20" s="209">
        <v>9</v>
      </c>
      <c r="F20" s="299" t="n">
        <v>3595.0</v>
      </c>
      <c r="G20" s="11">
        <f t="shared" si="1"/>
        <v>4.5349902220461917E-2</v>
      </c>
    </row>
    <row r="21" spans="1:7" x14ac:dyDescent="0.45">
      <c r="A21">
        <v>10</v>
      </c>
      <c r="B21" s="8" t="n">
        <v>3311.574517039</v>
      </c>
      <c r="C21" s="11">
        <f t="shared" si="0"/>
        <v>4.1215322940107907E-2</v>
      </c>
      <c r="E21" s="210">
        <v>10</v>
      </c>
      <c r="F21" s="300" t="n">
        <v>3563.0</v>
      </c>
      <c r="G21" s="11">
        <f t="shared" si="1"/>
        <v>4.4582518503849297E-2</v>
      </c>
    </row>
    <row r="22" spans="1:7" x14ac:dyDescent="0.45">
      <c r="A22">
        <v>11</v>
      </c>
      <c r="B22" s="8" t="n">
        <v>4619.676631921</v>
      </c>
      <c r="C22" s="11">
        <f t="shared" si="0"/>
        <v>5.7495751124978137E-2</v>
      </c>
      <c r="E22" s="211">
        <v>11</v>
      </c>
      <c r="F22" s="301" t="n">
        <v>3100.0</v>
      </c>
      <c r="G22" s="11">
        <f t="shared" si="1"/>
        <v>3.7997871129044236E-2</v>
      </c>
    </row>
    <row r="23" spans="1:7" x14ac:dyDescent="0.45">
      <c r="A23">
        <v>12</v>
      </c>
      <c r="B23" s="8" t="n">
        <v>2028.2831630675</v>
      </c>
      <c r="C23" s="11">
        <f t="shared" si="0"/>
        <v>2.5243685488483922E-2</v>
      </c>
      <c r="E23" s="212">
        <v>12</v>
      </c>
      <c r="F23" s="302" t="n">
        <v>2758.0</v>
      </c>
      <c r="G23" s="11">
        <f t="shared" si="1"/>
        <v>3.4148575389261582E-2</v>
      </c>
    </row>
    <row r="24" spans="1:7" x14ac:dyDescent="0.45">
      <c r="A24">
        <v>13</v>
      </c>
      <c r="B24" s="8" t="n">
        <v>916.304827295</v>
      </c>
      <c r="C24" s="11">
        <f t="shared" si="0"/>
        <v>1.1404182262614767E-2</v>
      </c>
      <c r="E24" s="213">
        <v>13</v>
      </c>
      <c r="F24" s="303" t="n">
        <v>2239.0</v>
      </c>
      <c r="G24" s="11">
        <f t="shared" si="1"/>
        <v>2.6945070178478601E-2</v>
      </c>
    </row>
    <row r="25" spans="1:7" x14ac:dyDescent="0.45">
      <c r="A25">
        <v>14</v>
      </c>
      <c r="B25" s="8" t="n">
        <v>382.798620244</v>
      </c>
      <c r="C25" s="11">
        <f t="shared" si="0"/>
        <v>4.7642499582014938E-3</v>
      </c>
      <c r="E25" s="214">
        <v>14</v>
      </c>
      <c r="F25" s="304" t="n">
        <v>1879.0</v>
      </c>
      <c r="G25" s="11">
        <f t="shared" si="1"/>
        <v>2.3021511498378593E-2</v>
      </c>
    </row>
    <row r="26" spans="1:7" x14ac:dyDescent="0.45">
      <c r="A26">
        <v>15</v>
      </c>
      <c r="B26" s="8" t="n">
        <v>1240.5929396440001</v>
      </c>
      <c r="C26" s="11">
        <f t="shared" si="0"/>
        <v>1.5440219865673973E-2</v>
      </c>
      <c r="E26" s="215">
        <v>15</v>
      </c>
      <c r="F26" s="305" t="n">
        <v>1656.0</v>
      </c>
      <c r="G26" s="11">
        <f t="shared" si="1"/>
        <v>2.0806000445577642E-2</v>
      </c>
    </row>
    <row r="27" spans="1:7" x14ac:dyDescent="0.45">
      <c r="A27">
        <v>16</v>
      </c>
      <c r="B27" s="8" t="n">
        <v>220.761551912</v>
      </c>
      <c r="C27" s="11">
        <f t="shared" si="0"/>
        <v>2.7475627101237656E-3</v>
      </c>
      <c r="E27" s="216">
        <v>16</v>
      </c>
      <c r="F27" s="306" t="n">
        <v>2025.0</v>
      </c>
      <c r="G27" s="11">
        <f t="shared" si="1"/>
        <v>2.4147832759858406E-2</v>
      </c>
    </row>
    <row r="28" spans="1:7" x14ac:dyDescent="0.45">
      <c r="A28">
        <v>17</v>
      </c>
      <c r="B28" s="8" t="n">
        <v>962.746381958</v>
      </c>
      <c r="C28" s="11">
        <f t="shared" si="0"/>
        <v>1.1982186370155638E-2</v>
      </c>
      <c r="E28" s="217">
        <v>17</v>
      </c>
      <c r="F28" s="307" t="n">
        <v>1404.0</v>
      </c>
      <c r="G28" s="11">
        <f t="shared" si="1"/>
        <v>1.8169666064311706E-2</v>
      </c>
    </row>
    <row r="29" spans="1:7" x14ac:dyDescent="0.45">
      <c r="A29">
        <v>18</v>
      </c>
      <c r="B29" s="8" t="n">
        <v>1554.9298912069999</v>
      </c>
      <c r="C29" s="11">
        <f t="shared" si="0"/>
        <v>1.9352406924735558E-2</v>
      </c>
      <c r="E29" s="218">
        <v>18</v>
      </c>
      <c r="F29" s="308" t="n">
        <v>1297.0</v>
      </c>
      <c r="G29" s="11">
        <f t="shared" si="1"/>
        <v>1.6127435205584573E-2</v>
      </c>
    </row>
    <row r="30" spans="1:7" x14ac:dyDescent="0.45">
      <c r="A30">
        <v>19</v>
      </c>
      <c r="B30" s="8" t="n">
        <v>226.267136848</v>
      </c>
      <c r="C30" s="11">
        <f t="shared" si="0"/>
        <v>2.8160843332803321E-3</v>
      </c>
      <c r="E30" s="219">
        <v>19</v>
      </c>
      <c r="F30" s="309" t="n">
        <v>1292.0</v>
      </c>
      <c r="G30" s="11">
        <f t="shared" si="1"/>
        <v>1.6115058048865014E-2</v>
      </c>
    </row>
    <row r="31" spans="1:7" x14ac:dyDescent="0.45">
      <c r="A31">
        <v>20</v>
      </c>
      <c r="B31" s="8" t="n">
        <v>260.124522619</v>
      </c>
      <c r="C31" s="11">
        <f t="shared" si="0"/>
        <v>3.2374679021173382E-3</v>
      </c>
      <c r="E31" s="220">
        <v>20</v>
      </c>
      <c r="F31" s="310" t="n">
        <v>1217.0</v>
      </c>
      <c r="G31" s="11">
        <f t="shared" si="1"/>
        <v>1.5124885511300343E-2</v>
      </c>
    </row>
    <row r="32" spans="1:7" x14ac:dyDescent="0.45">
      <c r="A32">
        <v>21</v>
      </c>
      <c r="B32" s="8" t="n">
        <v>0.0</v>
      </c>
      <c r="C32" s="11">
        <f t="shared" si="0"/>
        <v>0</v>
      </c>
      <c r="E32" s="221">
        <v>21</v>
      </c>
      <c r="F32" s="311" t="n">
        <v>1305.0</v>
      </c>
      <c r="G32" s="11">
        <f t="shared" si="1"/>
        <v>1.7129984899868802E-2</v>
      </c>
    </row>
    <row r="33" spans="1:7" x14ac:dyDescent="0.45">
      <c r="A33">
        <v>22</v>
      </c>
      <c r="B33" s="8" t="n">
        <v>0.0</v>
      </c>
      <c r="C33" s="11">
        <f t="shared" si="0"/>
        <v>0</v>
      </c>
      <c r="E33" s="222">
        <v>22</v>
      </c>
      <c r="F33" s="312" t="n">
        <v>1313.0</v>
      </c>
      <c r="G33" s="11">
        <f t="shared" si="1"/>
        <v>1.5137262668019902E-2</v>
      </c>
    </row>
    <row r="34" spans="1:7" x14ac:dyDescent="0.45">
      <c r="A34">
        <v>23</v>
      </c>
      <c r="B34" s="8" t="n">
        <v>1005.830285671</v>
      </c>
      <c r="C34" s="11">
        <f t="shared" si="0"/>
        <v>1.2518401694894741E-2</v>
      </c>
      <c r="E34" s="223">
        <v>23</v>
      </c>
      <c r="F34" s="313" t="n">
        <v>1222.0</v>
      </c>
      <c r="G34" s="11">
        <f t="shared" si="1"/>
        <v>1.5360051488971953E-2</v>
      </c>
    </row>
    <row r="35" spans="1:7" x14ac:dyDescent="0.45">
      <c r="A35">
        <v>24</v>
      </c>
      <c r="B35" s="8" t="n">
        <v>370.179993059</v>
      </c>
      <c r="C35" s="11">
        <f t="shared" si="0"/>
        <v>4.6072005571342264E-3</v>
      </c>
      <c r="E35" s="224">
        <v>24</v>
      </c>
      <c r="F35" s="314" t="n">
        <v>1208.0</v>
      </c>
      <c r="G35" s="11">
        <f t="shared" si="1"/>
        <v>1.4283238854370373E-2</v>
      </c>
    </row>
    <row r="36" spans="1:7" x14ac:dyDescent="0.45">
      <c r="A36">
        <v>25</v>
      </c>
      <c r="B36" s="8" t="n">
        <v>149.392330387</v>
      </c>
      <c r="C36" s="11">
        <f t="shared" si="0"/>
        <v>1.8593128766979778E-3</v>
      </c>
      <c r="E36" s="225">
        <v>25</v>
      </c>
      <c r="F36" s="315" t="n">
        <v>1227.0</v>
      </c>
      <c r="G36" s="11">
        <f t="shared" si="1"/>
        <v>1.5174394138178577E-2</v>
      </c>
    </row>
    <row r="37" spans="1:7" x14ac:dyDescent="0.45">
      <c r="A37">
        <v>26</v>
      </c>
      <c r="B37" s="8" t="n">
        <v>0.0</v>
      </c>
      <c r="C37" s="11">
        <f t="shared" si="0"/>
        <v>0</v>
      </c>
      <c r="E37" s="226">
        <v>26</v>
      </c>
      <c r="F37" s="316" t="n">
        <v>1135.0</v>
      </c>
      <c r="G37" s="11">
        <f t="shared" si="1"/>
        <v>1.3614872391514222E-2</v>
      </c>
    </row>
    <row r="38" spans="1:7" x14ac:dyDescent="0.45">
      <c r="A38">
        <v>27</v>
      </c>
      <c r="B38" s="8" t="n">
        <v>864.013312875</v>
      </c>
      <c r="C38" s="11">
        <f t="shared" si="0"/>
        <v>1.0753370498374394E-2</v>
      </c>
      <c r="E38" s="227">
        <v>27</v>
      </c>
      <c r="F38" s="317" t="n">
        <v>1047.0</v>
      </c>
      <c r="G38" s="11">
        <f t="shared" si="1"/>
        <v>1.3614872391514222E-2</v>
      </c>
    </row>
    <row r="39" spans="1:7" x14ac:dyDescent="0.45">
      <c r="A39">
        <v>28</v>
      </c>
      <c r="B39" s="8" t="n">
        <v>548.981735595</v>
      </c>
      <c r="C39" s="11">
        <f t="shared" si="0"/>
        <v>6.8325382395441319E-3</v>
      </c>
      <c r="E39" s="228">
        <v>28</v>
      </c>
      <c r="F39" s="318" t="n">
        <v>1195.0</v>
      </c>
      <c r="G39" s="11">
        <f t="shared" si="1"/>
        <v>1.3701512488551131E-2</v>
      </c>
    </row>
    <row r="40" spans="1:7" x14ac:dyDescent="0.45">
      <c r="A40">
        <v>29</v>
      </c>
      <c r="B40" s="8" t="n">
        <v>248.443558839</v>
      </c>
      <c r="C40" s="11">
        <f t="shared" si="0"/>
        <v>3.0920885087299074E-3</v>
      </c>
      <c r="E40" s="229">
        <v>29</v>
      </c>
      <c r="F40" s="319" t="n">
        <v>1087.0</v>
      </c>
      <c r="G40" s="11">
        <f t="shared" si="1"/>
        <v>1.2760848577864694E-2</v>
      </c>
    </row>
    <row r="41" spans="1:7" x14ac:dyDescent="0.45">
      <c r="A41">
        <v>30</v>
      </c>
      <c r="B41" s="8" t="n">
        <v>2061.516581278</v>
      </c>
      <c r="C41" s="11">
        <f t="shared" si="0"/>
        <v>2.5657303257584932E-2</v>
      </c>
      <c r="E41" s="230">
        <v>30</v>
      </c>
      <c r="F41" s="320" t="n">
        <v>1035.0</v>
      </c>
      <c r="G41" s="11">
        <f t="shared" si="1"/>
        <v>1.3057900339134095E-2</v>
      </c>
    </row>
    <row r="42" spans="1:7" x14ac:dyDescent="0.45">
      <c r="A42">
        <v>31</v>
      </c>
      <c r="B42" s="8" t="n">
        <v>511.732065016</v>
      </c>
      <c r="C42" s="11">
        <f t="shared" si="0"/>
        <v>6.368934840488249E-3</v>
      </c>
      <c r="E42" s="231">
        <v>31</v>
      </c>
      <c r="F42" s="321" t="n">
        <v>1078.0</v>
      </c>
      <c r="G42" s="11">
        <f t="shared" si="1"/>
        <v>1.2265762309082358E-2</v>
      </c>
    </row>
    <row r="43" spans="1:7" x14ac:dyDescent="0.45">
      <c r="A43">
        <v>32</v>
      </c>
      <c r="B43" s="8" t="n">
        <v>787.0772223570001</v>
      </c>
      <c r="C43" s="11">
        <f t="shared" si="0"/>
        <v>9.795836310291562E-3</v>
      </c>
      <c r="E43" s="232">
        <v>32</v>
      </c>
      <c r="F43" s="322" t="n">
        <v>1045.0</v>
      </c>
      <c r="G43" s="11">
        <f t="shared" si="1"/>
        <v>1.1585018689506647E-2</v>
      </c>
    </row>
    <row r="44" spans="1:7" x14ac:dyDescent="0.45">
      <c r="A44">
        <v>33</v>
      </c>
      <c r="B44" s="8" t="n">
        <v>608.288957806</v>
      </c>
      <c r="C44" s="11">
        <f t="shared" si="0"/>
        <v>7.5706663727116439E-3</v>
      </c>
      <c r="E44" s="233">
        <v>33</v>
      </c>
      <c r="F44" s="323" t="n">
        <v>931.0</v>
      </c>
      <c r="G44" s="11">
        <f t="shared" si="1"/>
        <v>1.2364779562838825E-2</v>
      </c>
    </row>
    <row r="45" spans="1:7" x14ac:dyDescent="0.45">
      <c r="A45">
        <v>34</v>
      </c>
      <c r="B45" s="8" t="n">
        <v>219.37338559</v>
      </c>
      <c r="C45" s="11">
        <f t="shared" si="0"/>
        <v>2.7302858157155527E-3</v>
      </c>
      <c r="E45" s="234">
        <v>34</v>
      </c>
      <c r="F45" s="324" t="n">
        <v>965.0</v>
      </c>
      <c r="G45" s="11">
        <f t="shared" si="1"/>
        <v>1.1300344084956804E-2</v>
      </c>
    </row>
    <row r="46" spans="1:7" x14ac:dyDescent="0.45">
      <c r="A46">
        <v>35</v>
      </c>
      <c r="B46" s="8" t="n">
        <v>1361.497150079</v>
      </c>
      <c r="C46" s="11">
        <f t="shared" si="0"/>
        <v>1.6944974190922515E-2</v>
      </c>
      <c r="E46" s="235">
        <v>35</v>
      </c>
      <c r="F46" s="325" t="n">
        <v>876.0</v>
      </c>
      <c r="G46" s="11">
        <f t="shared" si="1"/>
        <v>1.0050251256281407E-2</v>
      </c>
    </row>
    <row r="47" spans="1:7" x14ac:dyDescent="0.45">
      <c r="A47">
        <v>36</v>
      </c>
      <c r="B47" s="8" t="n">
        <v>0.0</v>
      </c>
      <c r="C47" s="11">
        <f t="shared" si="0"/>
        <v>0</v>
      </c>
      <c r="E47" s="236">
        <v>36</v>
      </c>
      <c r="F47" s="326" t="n">
        <v>809.0</v>
      </c>
      <c r="G47" s="11">
        <f t="shared" si="1"/>
        <v>1.0112137039879199E-2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237">
        <v>37</v>
      </c>
      <c r="F48" s="327" t="n">
        <v>677.0</v>
      </c>
      <c r="G48" s="11">
        <f t="shared" si="1"/>
        <v>8.7877812708864519E-3</v>
      </c>
    </row>
    <row r="49" spans="1:7" x14ac:dyDescent="0.45">
      <c r="A49">
        <v>38</v>
      </c>
      <c r="B49" s="8" t="n">
        <v>0.0</v>
      </c>
      <c r="C49" s="11">
        <f t="shared" si="0"/>
        <v>0</v>
      </c>
      <c r="E49" s="238">
        <v>38</v>
      </c>
      <c r="F49" s="328" t="n">
        <v>715.0</v>
      </c>
      <c r="G49" s="11">
        <f t="shared" si="1"/>
        <v>9.4561477337426047E-3</v>
      </c>
    </row>
    <row r="50" spans="1:7" x14ac:dyDescent="0.45">
      <c r="A50">
        <v>39</v>
      </c>
      <c r="B50" s="8" t="n">
        <v>620.932142854</v>
      </c>
      <c r="C50" s="11">
        <f t="shared" si="0"/>
        <v>7.728021416985505E-3</v>
      </c>
      <c r="E50" s="239">
        <v>39</v>
      </c>
      <c r="F50" s="329" t="n">
        <v>628.0</v>
      </c>
      <c r="G50" s="11">
        <f t="shared" si="1"/>
        <v>7.1663737406243034E-3</v>
      </c>
    </row>
    <row r="51" spans="1:7" x14ac:dyDescent="0.45">
      <c r="A51">
        <v>40</v>
      </c>
      <c r="B51" s="8" t="n">
        <v>0.0</v>
      </c>
      <c r="C51" s="11">
        <f t="shared" si="0"/>
        <v>0</v>
      </c>
      <c r="E51" s="240">
        <v>40</v>
      </c>
      <c r="F51" s="330" t="n">
        <v>521.0</v>
      </c>
      <c r="G51" s="11">
        <f t="shared" si="1"/>
        <v>6.8321905091962279E-3</v>
      </c>
    </row>
    <row r="52" spans="1:7" x14ac:dyDescent="0.45">
      <c r="A52">
        <v>41</v>
      </c>
      <c r="B52" s="8" t="n">
        <v>0.0</v>
      </c>
      <c r="C52" s="11">
        <f t="shared" si="0"/>
        <v>0</v>
      </c>
      <c r="E52" s="241">
        <v>41</v>
      </c>
      <c r="F52" s="331" t="n">
        <v>485.0</v>
      </c>
      <c r="G52" s="11">
        <f t="shared" si="1"/>
        <v>5.0251256281407036E-3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242">
        <v>42</v>
      </c>
      <c r="F53" s="332" t="n">
        <v>454.0</v>
      </c>
      <c r="G53" s="11">
        <f t="shared" si="1"/>
        <v>5.8172636581924403E-3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243">
        <v>43</v>
      </c>
      <c r="F54" s="333" t="n">
        <v>418.0</v>
      </c>
      <c r="G54" s="11">
        <f t="shared" si="1"/>
        <v>4.6785652399930688E-3</v>
      </c>
    </row>
    <row r="55" spans="1:7" x14ac:dyDescent="0.45">
      <c r="A55">
        <v>44</v>
      </c>
      <c r="B55" s="8" t="n">
        <v>1310.847583535</v>
      </c>
      <c r="C55" s="11">
        <f t="shared" si="0"/>
        <v>1.6314597845426902E-2</v>
      </c>
      <c r="E55" s="244">
        <v>44</v>
      </c>
      <c r="F55" s="334" t="n">
        <v>348.0</v>
      </c>
      <c r="G55" s="11">
        <f t="shared" si="1"/>
        <v>4.2701190682476421E-3</v>
      </c>
    </row>
    <row r="56" spans="1:7" x14ac:dyDescent="0.45">
      <c r="A56">
        <v>45</v>
      </c>
      <c r="B56" s="8" t="n">
        <v>187.462250712</v>
      </c>
      <c r="C56" s="11">
        <f t="shared" si="0"/>
        <v>2.3331249719492761E-3</v>
      </c>
      <c r="E56" s="245">
        <v>45</v>
      </c>
      <c r="F56" s="335" t="n">
        <v>280.0</v>
      </c>
      <c r="G56" s="11">
        <f t="shared" si="1"/>
        <v>4.010198777136916E-3</v>
      </c>
    </row>
    <row r="57" spans="1:7" x14ac:dyDescent="0.45">
      <c r="A57">
        <v>46</v>
      </c>
      <c r="B57" s="8" t="n">
        <v>411.941406586</v>
      </c>
      <c r="C57" s="11">
        <f t="shared" si="0"/>
        <v>5.126956382073263E-3</v>
      </c>
      <c r="E57" s="246">
        <v>46</v>
      </c>
      <c r="F57" s="336" t="n">
        <v>229.0</v>
      </c>
      <c r="G57" s="11">
        <f t="shared" si="1"/>
        <v>3.3913409411589972E-3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247">
        <v>47</v>
      </c>
      <c r="F58" s="337" t="n">
        <v>221.0</v>
      </c>
      <c r="G58" s="11">
        <f t="shared" si="1"/>
        <v>2.6858430081441692E-3</v>
      </c>
    </row>
    <row r="59" spans="1:7" x14ac:dyDescent="0.45">
      <c r="A59">
        <v>48</v>
      </c>
      <c r="B59" s="8" t="n">
        <v>529.272159155</v>
      </c>
      <c r="C59" s="11">
        <f t="shared" si="0"/>
        <v>6.5872360264102774E-3</v>
      </c>
      <c r="E59" s="248">
        <v>48</v>
      </c>
      <c r="F59" s="338" t="n">
        <v>161.0</v>
      </c>
      <c r="G59" s="11">
        <f t="shared" si="1"/>
        <v>2.1536252692031586E-3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249">
        <v>49</v>
      </c>
      <c r="F60" s="339" t="n">
        <v>164.0</v>
      </c>
      <c r="G60" s="11">
        <f t="shared" si="1"/>
        <v>1.8070648810555238E-3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250">
        <v>50</v>
      </c>
      <c r="F61" s="340" t="n">
        <v>146.0</v>
      </c>
      <c r="G61" s="11">
        <f t="shared" si="1"/>
        <v>1.7575562541772903E-3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251">
        <v>51</v>
      </c>
      <c r="F62" s="341" t="n">
        <v>97.0</v>
      </c>
      <c r="G62" s="11">
        <f t="shared" si="1"/>
        <v>1.5595217466643563E-3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86.0</v>
      </c>
      <c r="G63" s="11">
        <f t="shared" si="1"/>
        <v>9.6541822412555384E-4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253">
        <v>53</v>
      </c>
      <c r="F64" s="343" t="n">
        <v>89.0</v>
      </c>
      <c r="G64" s="11">
        <f t="shared" si="1"/>
        <v>1.1510755749189296E-3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254">
        <v>54</v>
      </c>
      <c r="F65" s="344" t="n">
        <v>72.0</v>
      </c>
      <c r="G65" s="11">
        <f t="shared" si="1"/>
        <v>8.1689234349085333E-4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255">
        <v>55</v>
      </c>
      <c r="F66" s="345" t="n">
        <v>56.0</v>
      </c>
      <c r="G66" s="11">
        <f t="shared" si="1"/>
        <v>7.0549793301482786E-4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256">
        <v>56</v>
      </c>
      <c r="F67" s="346" t="n">
        <v>55.0</v>
      </c>
      <c r="G67" s="11">
        <f t="shared" si="1"/>
        <v>7.0549793301482786E-4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257">
        <v>57</v>
      </c>
      <c r="F68" s="347" t="n">
        <v>40.0</v>
      </c>
      <c r="G68" s="11">
        <f t="shared" si="1"/>
        <v>4.5795479862366015E-4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258">
        <v>58</v>
      </c>
      <c r="F69" s="348" t="n">
        <v>29.0</v>
      </c>
      <c r="G69" s="11">
        <f t="shared" si="1"/>
        <v>3.4656038814763474E-4</v>
      </c>
    </row>
    <row r="70" spans="1:7" x14ac:dyDescent="0.45">
      <c r="A70">
        <v>59</v>
      </c>
      <c r="B70" s="8" t="n">
        <v>619.342925768</v>
      </c>
      <c r="C70" s="11">
        <f t="shared" si="0"/>
        <v>7.7082422771580878E-3</v>
      </c>
      <c r="E70" s="259">
        <v>59</v>
      </c>
      <c r="F70" s="349" t="n">
        <v>21.0</v>
      </c>
      <c r="G70" s="11">
        <f t="shared" si="1"/>
        <v>2.9705176126940119E-4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260">
        <v>60</v>
      </c>
      <c r="F71" s="350" t="n">
        <v>19.0</v>
      </c>
      <c r="G71" s="11">
        <f t="shared" si="1"/>
        <v>3.3418323142807635E-4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261">
        <v>61</v>
      </c>
      <c r="F72" s="351" t="n">
        <v>15.0</v>
      </c>
      <c r="G72" s="11">
        <f t="shared" si="1"/>
        <v>2.3516597767160927E-4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262">
        <v>62</v>
      </c>
      <c r="F73" s="352" t="n">
        <v>14.0</v>
      </c>
      <c r="G73" s="11">
        <f t="shared" si="1"/>
        <v>1.2377156719558383E-4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263">
        <v>63</v>
      </c>
      <c r="F74" s="353" t="n">
        <v>9.0</v>
      </c>
      <c r="G74" s="11">
        <f t="shared" si="1"/>
        <v>1.8565735079337575E-4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264">
        <v>64</v>
      </c>
      <c r="F75" s="354" t="n">
        <v>7.0</v>
      </c>
      <c r="G75" s="11">
        <f t="shared" si="1"/>
        <v>1.6090303735425898E-4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265">
        <v>65</v>
      </c>
      <c r="F76" s="355" t="n">
        <v>8.0</v>
      </c>
      <c r="G76" s="11">
        <f t="shared" si="1"/>
        <v>3.7131470158675149E-5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266">
        <v>66</v>
      </c>
      <c r="F77" s="356" t="n">
        <v>5.0</v>
      </c>
      <c r="G77" s="11">
        <f t="shared" ref="G77:G102" si="3">F77/F$102</f>
        <v>2.4754313439116767E-5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267">
        <v>67</v>
      </c>
      <c r="F78" s="357" t="n">
        <v>6.0</v>
      </c>
      <c r="G78" s="11">
        <f t="shared" si="3"/>
        <v>4.9508626878233535E-5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268">
        <v>68</v>
      </c>
      <c r="F79" s="358" t="n">
        <v>3.0</v>
      </c>
      <c r="G79" s="11">
        <f t="shared" si="3"/>
        <v>8.6640097036908684E-5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269">
        <v>69</v>
      </c>
      <c r="F80" s="359" t="n">
        <v>6.0</v>
      </c>
      <c r="G80" s="11">
        <f t="shared" si="3"/>
        <v>2.4754313439116767E-5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3.0</v>
      </c>
      <c r="G81" s="11">
        <f t="shared" si="3"/>
        <v>3.7131470158675149E-5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0.0</v>
      </c>
      <c r="G82" s="11">
        <f t="shared" si="3"/>
        <v>1.2377156719558384E-5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272">
        <v>72</v>
      </c>
      <c r="F83" s="362" t="n">
        <v>2.0</v>
      </c>
      <c r="G83" s="11">
        <f t="shared" si="3"/>
        <v>0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273">
        <v>73</v>
      </c>
      <c r="F84" s="363" t="n">
        <v>2.0</v>
      </c>
      <c r="G84" s="11">
        <f t="shared" si="3"/>
        <v>3.7131470158675149E-5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1.0</v>
      </c>
      <c r="G85" s="11">
        <f t="shared" si="3"/>
        <v>4.9508626878233535E-5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6.0</v>
      </c>
      <c r="G86" s="11">
        <f t="shared" si="3"/>
        <v>1.2377156719558384E-5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2.0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277">
        <v>77</v>
      </c>
      <c r="F88" s="367" t="n">
        <v>1.0</v>
      </c>
      <c r="G88" s="11">
        <f t="shared" si="3"/>
        <v>1.2377156719558384E-5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278">
        <v>78</v>
      </c>
      <c r="F89" s="368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279">
        <v>79</v>
      </c>
      <c r="F90" s="369" t="n">
        <v>0.0</v>
      </c>
      <c r="G90" s="11">
        <f t="shared" si="3"/>
        <v>2.4754313439116767E-5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280">
        <v>80</v>
      </c>
      <c r="F91" s="370" t="n">
        <v>1.0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281">
        <v>81</v>
      </c>
      <c r="F92" s="371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0.0</v>
      </c>
      <c r="G93" s="11">
        <f t="shared" si="3"/>
        <v>1.2377156719558384E-5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1.0</v>
      </c>
      <c r="G94" s="11">
        <f t="shared" si="3"/>
        <v>1.2377156719558384E-5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284">
        <v>84</v>
      </c>
      <c r="F95" s="374" t="n">
        <v>2.0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0.0</v>
      </c>
      <c r="G96" s="11">
        <f t="shared" si="3"/>
        <v>1.2377156719558384E-5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1.0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1.0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224.140299381</v>
      </c>
      <c r="C101" s="11">
        <f t="shared" si="2"/>
        <v>2.7896140568023304E-3</v>
      </c>
      <c r="E101" s="382">
        <v>90</v>
      </c>
      <c r="F101" s="382" t="n">
        <v>0.0</v>
      </c>
      <c r="G101" s="11">
        <f t="shared" si="3"/>
        <v>0</v>
      </c>
    </row>
    <row r="102" spans="1:7" x14ac:dyDescent="0.45">
      <c r="B102" s="8">
        <f>SUM(B11:B101)</f>
        <v>80348.139497808093</v>
      </c>
      <c r="C102" s="11">
        <f t="shared" si="2"/>
        <v>1</v>
      </c>
      <c r="F102" s="8">
        <f>SUM(F11:F101)</f>
        <v>80794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C29" sqref="AC29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6" bestFit="true" customWidth="true" width="10.73046875" collapsed="true"/>
    <col min="17" max="17" bestFit="true" customWidth="true" width="11.59765625" collapsed="true"/>
    <col min="18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37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13015.0</v>
      </c>
      <c r="N7" s="430" t="n">
        <v>5459.0</v>
      </c>
      <c r="O7" s="430" t="n">
        <v>957.0</v>
      </c>
      <c r="P7" s="430" t="n">
        <v>1499.0</v>
      </c>
      <c r="Q7" s="430" t="n">
        <v>3231.0</v>
      </c>
      <c r="R7" s="430" t="n">
        <v>1088.0</v>
      </c>
      <c r="S7" s="430" t="n">
        <v>4365.0</v>
      </c>
      <c r="T7" s="430"/>
      <c r="U7" s="431">
        <f>SUM(M7:T7)</f>
        <v>28739</v>
      </c>
    </row>
    <row r="8" spans="1:21" x14ac:dyDescent="0.4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485.76884120250003</v>
      </c>
      <c r="K8" s="12"/>
      <c r="L8" t="str">
        <f>$A$8</f>
        <v>Bellevue Downtown</v>
      </c>
      <c r="M8" s="430" t="n">
        <v>1022.0</v>
      </c>
      <c r="N8" s="430" t="n">
        <v>1821.0</v>
      </c>
      <c r="O8" s="430" t="n">
        <v>88.0</v>
      </c>
      <c r="P8" s="430" t="n">
        <v>41.0</v>
      </c>
      <c r="Q8" s="430" t="n">
        <v>167.0</v>
      </c>
      <c r="R8" s="430" t="n">
        <v>61.0</v>
      </c>
      <c r="S8" s="430" t="n">
        <v>182.0</v>
      </c>
      <c r="T8" s="430"/>
      <c r="U8" s="431">
        <f t="shared" ref="U8:U14" si="1">SUM(M8:T8)</f>
        <v>3361</v>
      </c>
    </row>
    <row r="9" spans="1:21" x14ac:dyDescent="0.4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t="shared" si="0"/>
        <v>30369.740848878002</v>
      </c>
      <c r="K9" s="13"/>
      <c r="L9" t="str">
        <f>$A$9</f>
        <v>Kirkland</v>
      </c>
      <c r="M9" s="430" t="n">
        <v>2351.0</v>
      </c>
      <c r="N9" s="430" t="n">
        <v>1684.0</v>
      </c>
      <c r="O9" s="430" t="n">
        <v>10191.0</v>
      </c>
      <c r="P9" s="430" t="n">
        <v>1875.0</v>
      </c>
      <c r="Q9" s="430" t="n">
        <v>4454.0</v>
      </c>
      <c r="R9" s="430" t="n">
        <v>731.0</v>
      </c>
      <c r="S9" s="430" t="n">
        <v>5047.0</v>
      </c>
      <c r="T9" s="430"/>
      <c r="U9" s="431">
        <f t="shared" si="1"/>
        <v>26835</v>
      </c>
    </row>
    <row r="10" spans="1:21" x14ac:dyDescent="0.4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t="shared" si="0"/>
        <v>24559.552869660998</v>
      </c>
      <c r="K10" s="13"/>
      <c r="L10" t="str">
        <f>$A$10</f>
        <v>Redmond</v>
      </c>
      <c r="M10" s="430" t="n">
        <v>3622.0</v>
      </c>
      <c r="N10" s="430" t="n">
        <v>1379.0</v>
      </c>
      <c r="O10" s="430" t="n">
        <v>2683.0</v>
      </c>
      <c r="P10" s="430" t="n">
        <v>7770.0</v>
      </c>
      <c r="Q10" s="430" t="n">
        <v>2107.0</v>
      </c>
      <c r="R10" s="430" t="n">
        <v>517.0</v>
      </c>
      <c r="S10" s="430" t="n">
        <v>3941.0</v>
      </c>
      <c r="T10" s="430"/>
      <c r="U10" s="431">
        <f t="shared" si="1"/>
        <v>21859</v>
      </c>
    </row>
    <row r="11" spans="1:21" x14ac:dyDescent="0.4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t="shared" si="0"/>
        <v>0</v>
      </c>
      <c r="K11" s="13"/>
      <c r="L11" t="str">
        <f>$A$11</f>
        <v>Seattle</v>
      </c>
      <c r="M11" s="430" t="n">
        <v>0.0</v>
      </c>
      <c r="N11" s="430" t="n">
        <v>0.0</v>
      </c>
      <c r="O11" s="430" t="n">
        <v>0.0</v>
      </c>
      <c r="P11" s="430" t="n">
        <v>0.0</v>
      </c>
      <c r="Q11" s="430" t="n">
        <v>0.0</v>
      </c>
      <c r="R11" s="430" t="n">
        <v>0.0</v>
      </c>
      <c r="S11" s="430" t="n">
        <v>0.0</v>
      </c>
      <c r="T11" s="430"/>
      <c r="U11" s="431">
        <f t="shared" si="1"/>
        <v>0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t="shared" si="0"/>
        <v>0</v>
      </c>
      <c r="K12" s="13"/>
      <c r="L12" t="str">
        <f>$A$12</f>
        <v>Seattle Downtown</v>
      </c>
      <c r="M12" s="430" t="n">
        <v>0.0</v>
      </c>
      <c r="N12" s="430" t="n">
        <v>0.0</v>
      </c>
      <c r="O12" s="430" t="n">
        <v>0.0</v>
      </c>
      <c r="P12" s="430" t="n">
        <v>0.0</v>
      </c>
      <c r="Q12" s="430" t="n">
        <v>0.0</v>
      </c>
      <c r="R12" s="430" t="n">
        <v>0.0</v>
      </c>
      <c r="S12" s="430" t="n">
        <v>0.0</v>
      </c>
      <c r="T12" s="430"/>
      <c r="U12" s="431">
        <f t="shared" si="1"/>
        <v>0</v>
      </c>
    </row>
    <row r="13" spans="1:21" x14ac:dyDescent="0.4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t="shared" si="0"/>
        <v>0</v>
      </c>
      <c r="K13" s="13"/>
      <c r="L13" t="str">
        <f>$A$13</f>
        <v>Rest</v>
      </c>
      <c r="M13" s="430" t="n">
        <v>0.0</v>
      </c>
      <c r="N13" s="430" t="n">
        <v>0.0</v>
      </c>
      <c r="O13" s="430" t="n">
        <v>0.0</v>
      </c>
      <c r="P13" s="430" t="n">
        <v>0.0</v>
      </c>
      <c r="Q13" s="430" t="n">
        <v>0.0</v>
      </c>
      <c r="R13" s="430" t="n">
        <v>0.0</v>
      </c>
      <c r="S13" s="430" t="n">
        <v>0.0</v>
      </c>
      <c r="T13" s="430"/>
      <c r="U13" s="431">
        <f t="shared" si="1"/>
        <v>0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17699.405369062901</v>
      </c>
      <c r="C15" s="16">
        <f t="shared" si="2"/>
        <v>1870.2329690973002</v>
      </c>
      <c r="D15" s="16">
        <f t="shared" si="2"/>
        <v>29803.974394318902</v>
      </c>
      <c r="E15" s="16">
        <f t="shared" si="2"/>
        <v>17731.133377398</v>
      </c>
      <c r="F15" s="16">
        <f t="shared" si="2"/>
        <v>4713.7566945939998</v>
      </c>
      <c r="G15" s="16">
        <f t="shared" si="2"/>
        <v>1232.6691988540001</v>
      </c>
      <c r="H15" s="16">
        <f t="shared" si="2"/>
        <v>7296.9674944829994</v>
      </c>
      <c r="I15" s="16">
        <f t="shared" si="2"/>
        <v>0</v>
      </c>
      <c r="J15" s="16">
        <f t="shared" si="2"/>
        <v>80348.139497808108</v>
      </c>
      <c r="K15" s="12"/>
      <c r="L15" s="16" t="s">
        <v>4</v>
      </c>
      <c r="M15" s="433">
        <f t="shared" ref="M15:U15" si="3">SUM(M7:M14)</f>
        <v>19735</v>
      </c>
      <c r="N15" s="433">
        <f t="shared" si="3"/>
        <v>10195</v>
      </c>
      <c r="O15" s="433">
        <f t="shared" si="3"/>
        <v>14357</v>
      </c>
      <c r="P15" s="433">
        <f t="shared" si="3"/>
        <v>11098</v>
      </c>
      <c r="Q15" s="433">
        <f t="shared" si="3"/>
        <v>10238</v>
      </c>
      <c r="R15" s="433">
        <f t="shared" si="3"/>
        <v>2246</v>
      </c>
      <c r="S15" s="433">
        <f t="shared" si="3"/>
        <v>12925</v>
      </c>
      <c r="T15" s="433">
        <f t="shared" si="3"/>
        <v>0</v>
      </c>
      <c r="U15" s="433">
        <f t="shared" si="3"/>
        <v>80794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19547.430275459119</v>
      </c>
      <c r="C20" s="12">
        <f t="shared" si="4"/>
        <v>1227.1987885317872</v>
      </c>
      <c r="D20" s="12">
        <f t="shared" si="4"/>
        <v>1517.9167022134523</v>
      </c>
      <c r="E20" s="12">
        <f t="shared" si="4"/>
        <v>901.25543883637204</v>
      </c>
      <c r="F20" s="12">
        <f t="shared" si="4"/>
        <v>1505.6196939952431</v>
      </c>
      <c r="G20" s="12">
        <f t="shared" si="4"/>
        <v>810.76746260091147</v>
      </c>
      <c r="H20" s="12">
        <f t="shared" ref="H20" si="5">($U7/$J7)*H7</f>
        <v>3228.8116383631113</v>
      </c>
      <c r="I20" s="12"/>
      <c r="J20" s="12">
        <f>SUM(B20:I20)</f>
        <v>28738.999999999993</v>
      </c>
      <c r="K20" s="12"/>
      <c r="L20" t="str">
        <f>$A$7</f>
        <v>Bellevue</v>
      </c>
      <c r="M20" s="12">
        <f>M7</f>
        <v>12746</v>
      </c>
      <c r="N20" s="12">
        <f t="shared" ref="N20:U20" si="6">N7</f>
        <v>5281</v>
      </c>
      <c r="O20" s="12">
        <f t="shared" si="6"/>
        <v>973</v>
      </c>
      <c r="P20" s="12">
        <f t="shared" si="6"/>
        <v>1432</v>
      </c>
      <c r="Q20" s="12">
        <f t="shared" si="6"/>
        <v>3221</v>
      </c>
      <c r="R20" s="12">
        <f t="shared" si="6"/>
        <v>996</v>
      </c>
      <c r="S20" s="12">
        <f t="shared" si="6"/>
        <v>4090</v>
      </c>
      <c r="T20" s="12"/>
      <c r="U20" s="12">
        <f t="shared" si="6"/>
        <v>28739</v>
      </c>
    </row>
    <row r="21" spans="1:32" x14ac:dyDescent="0.45">
      <c r="A21" t="str">
        <f>$A$8</f>
        <v>Bellevue Downtown</v>
      </c>
      <c r="B21" s="12">
        <f t="shared" ref="B21:G26" si="7">($U8/$J8)*B8</f>
        <v>909.79795143802539</v>
      </c>
      <c r="C21" s="12">
        <f t="shared" si="7"/>
        <v>2451.2020485619746</v>
      </c>
      <c r="D21" s="12">
        <f t="shared" si="7"/>
        <v>0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" si="8">($U8/$J8)*H8</f>
        <v>0</v>
      </c>
      <c r="I21" s="12"/>
      <c r="J21" s="12">
        <f t="shared" ref="J21:J27" si="9">SUM(B21:I21)</f>
        <v>3361</v>
      </c>
      <c r="K21" s="12"/>
      <c r="L21" t="str">
        <f>$A$8</f>
        <v>Bellevue Downtown</v>
      </c>
      <c r="M21" s="12">
        <f t="shared" ref="M21:U21" si="10">M8</f>
        <v>996</v>
      </c>
      <c r="N21" s="12">
        <f t="shared" si="10"/>
        <v>1810</v>
      </c>
      <c r="O21" s="12">
        <f t="shared" si="10"/>
        <v>74</v>
      </c>
      <c r="P21" s="12">
        <f t="shared" si="10"/>
        <v>59</v>
      </c>
      <c r="Q21" s="12">
        <f t="shared" si="10"/>
        <v>210</v>
      </c>
      <c r="R21" s="12">
        <f t="shared" si="10"/>
        <v>47</v>
      </c>
      <c r="S21" s="12">
        <f t="shared" si="10"/>
        <v>165</v>
      </c>
      <c r="T21" s="12"/>
      <c r="U21" s="12">
        <f t="shared" si="10"/>
        <v>3361</v>
      </c>
    </row>
    <row r="22" spans="1:32" x14ac:dyDescent="0.45">
      <c r="A22" t="str">
        <f>$A$9</f>
        <v>Kirkland</v>
      </c>
      <c r="B22" s="12">
        <f t="shared" si="7"/>
        <v>0</v>
      </c>
      <c r="C22" s="12">
        <f t="shared" si="7"/>
        <v>168.90513642214623</v>
      </c>
      <c r="D22" s="12">
        <f t="shared" si="7"/>
        <v>19892.057035687554</v>
      </c>
      <c r="E22" s="12">
        <f t="shared" si="7"/>
        <v>2608.3014971876246</v>
      </c>
      <c r="F22" s="12">
        <f t="shared" si="7"/>
        <v>624.86994981352109</v>
      </c>
      <c r="G22" s="12">
        <f t="shared" si="7"/>
        <v>467.67005558590904</v>
      </c>
      <c r="H22" s="12">
        <f t="shared" ref="H22" si="11">($U9/$J9)*H9</f>
        <v>3073.1963253032445</v>
      </c>
      <c r="I22" s="12"/>
      <c r="J22" s="12">
        <f t="shared" si="9"/>
        <v>26835</v>
      </c>
      <c r="K22" s="13"/>
      <c r="L22" t="str">
        <f>$A$9</f>
        <v>Kirkland</v>
      </c>
      <c r="M22" s="12">
        <f t="shared" ref="M22:U22" si="12">M9</f>
        <v>2363</v>
      </c>
      <c r="N22" s="12">
        <f t="shared" si="12"/>
        <v>1760</v>
      </c>
      <c r="O22" s="12">
        <f t="shared" si="12"/>
        <v>10445</v>
      </c>
      <c r="P22" s="12">
        <f t="shared" si="12"/>
        <v>2023</v>
      </c>
      <c r="Q22" s="12">
        <f t="shared" si="12"/>
        <v>4661</v>
      </c>
      <c r="R22" s="12">
        <f t="shared" si="12"/>
        <v>717</v>
      </c>
      <c r="S22" s="12">
        <f t="shared" si="12"/>
        <v>4866</v>
      </c>
      <c r="T22" s="12"/>
      <c r="U22" s="12">
        <f t="shared" si="12"/>
        <v>26835</v>
      </c>
    </row>
    <row r="23" spans="1:32" x14ac:dyDescent="0.45">
      <c r="A23" t="str">
        <f>$A$10</f>
        <v>Redmond</v>
      </c>
      <c r="B23" s="12">
        <f t="shared" si="7"/>
        <v>542.17626068219886</v>
      </c>
      <c r="C23" s="12">
        <f t="shared" si="7"/>
        <v>231.52139495800222</v>
      </c>
      <c r="D23" s="12">
        <f t="shared" si="7"/>
        <v>5317.8253178500263</v>
      </c>
      <c r="E23" s="12">
        <f t="shared" si="7"/>
        <v>12458.220411234597</v>
      </c>
      <c r="F23" s="12">
        <f t="shared" si="7"/>
        <v>2403.4198867923242</v>
      </c>
      <c r="G23" s="12">
        <f t="shared" si="7"/>
        <v>0</v>
      </c>
      <c r="H23" s="12">
        <f t="shared" ref="H23" si="13">($U10/$J10)*H10</f>
        <v>905.8367284828513</v>
      </c>
      <c r="I23" s="12"/>
      <c r="J23" s="12">
        <f>SUM(B23:I23)</f>
        <v>21859.000000000004</v>
      </c>
      <c r="K23" s="13"/>
      <c r="L23" t="str">
        <f>$A$10</f>
        <v>Redmond</v>
      </c>
      <c r="M23" s="12">
        <f t="shared" ref="M23:S23" si="14">M10</f>
        <v>3630</v>
      </c>
      <c r="N23" s="12">
        <f t="shared" si="14"/>
        <v>1344</v>
      </c>
      <c r="O23" s="12">
        <f t="shared" si="14"/>
        <v>2865</v>
      </c>
      <c r="P23" s="12">
        <f t="shared" si="14"/>
        <v>7584</v>
      </c>
      <c r="Q23" s="12">
        <f t="shared" si="14"/>
        <v>2146</v>
      </c>
      <c r="R23" s="12">
        <f t="shared" si="14"/>
        <v>486</v>
      </c>
      <c r="S23" s="12">
        <f t="shared" si="14"/>
        <v>3804</v>
      </c>
      <c r="T23" s="12"/>
      <c r="U23" s="12">
        <f t="shared" ref="U23" si="15">U10</f>
        <v>21859</v>
      </c>
    </row>
    <row r="24" spans="1:32" x14ac:dyDescent="0.45">
      <c r="A24" t="str">
        <f>$A$11</f>
        <v>Seattle</v>
      </c>
      <c r="B24" s="12" t="e">
        <f t="shared" si="7"/>
        <v>#DIV/0!</v>
      </c>
      <c r="C24" s="12" t="e">
        <f t="shared" si="7"/>
        <v>#DIV/0!</v>
      </c>
      <c r="D24" s="12" t="e">
        <f t="shared" si="7"/>
        <v>#DIV/0!</v>
      </c>
      <c r="E24" s="12" t="e">
        <f t="shared" si="7"/>
        <v>#DIV/0!</v>
      </c>
      <c r="F24" s="12" t="e">
        <f t="shared" si="7"/>
        <v>#DIV/0!</v>
      </c>
      <c r="G24" s="12" t="e">
        <f t="shared" si="7"/>
        <v>#DIV/0!</v>
      </c>
      <c r="H24" s="12" t="e">
        <f t="shared" ref="H24" si="16">($U11/$J11)*H11</f>
        <v>#DIV/0!</v>
      </c>
      <c r="I24" s="12"/>
      <c r="J24" s="12" t="e">
        <f t="shared" si="9"/>
        <v>#DIV/0!</v>
      </c>
      <c r="K24" s="13"/>
      <c r="L24" t="str">
        <f>$A$11</f>
        <v>Seattle</v>
      </c>
      <c r="M24" s="12">
        <f t="shared" ref="M24:S24" si="17">M11</f>
        <v>0</v>
      </c>
      <c r="N24" s="12">
        <f t="shared" si="17"/>
        <v>0</v>
      </c>
      <c r="O24" s="12">
        <f t="shared" si="17"/>
        <v>0</v>
      </c>
      <c r="P24" s="12">
        <f t="shared" si="17"/>
        <v>0</v>
      </c>
      <c r="Q24" s="12">
        <f t="shared" si="17"/>
        <v>0</v>
      </c>
      <c r="R24" s="12">
        <f t="shared" si="17"/>
        <v>0</v>
      </c>
      <c r="S24" s="12">
        <f t="shared" si="17"/>
        <v>0</v>
      </c>
      <c r="T24" s="12"/>
      <c r="U24" s="12">
        <f t="shared" ref="U24" si="18">U11</f>
        <v>0</v>
      </c>
    </row>
    <row r="25" spans="1:32" x14ac:dyDescent="0.45">
      <c r="A25" t="str">
        <f>$A$12</f>
        <v>Seattle Downtown</v>
      </c>
      <c r="B25" s="12" t="e">
        <f t="shared" si="7"/>
        <v>#DIV/0!</v>
      </c>
      <c r="C25" s="12" t="e">
        <f t="shared" si="7"/>
        <v>#DIV/0!</v>
      </c>
      <c r="D25" s="12" t="e">
        <f t="shared" si="7"/>
        <v>#DIV/0!</v>
      </c>
      <c r="E25" s="12" t="e">
        <f t="shared" si="7"/>
        <v>#DIV/0!</v>
      </c>
      <c r="F25" s="12" t="e">
        <f t="shared" si="7"/>
        <v>#DIV/0!</v>
      </c>
      <c r="G25" s="12" t="e">
        <f t="shared" si="7"/>
        <v>#DIV/0!</v>
      </c>
      <c r="H25" s="12" t="e">
        <f t="shared" ref="H25" si="19">($U12/$J12)*H12</f>
        <v>#DIV/0!</v>
      </c>
      <c r="I25" s="12"/>
      <c r="J25" s="12" t="e">
        <f t="shared" si="9"/>
        <v>#DIV/0!</v>
      </c>
      <c r="K25" s="13"/>
      <c r="L25" t="str">
        <f>$A$12</f>
        <v>Seattle Downtown</v>
      </c>
      <c r="M25" s="12">
        <f t="shared" ref="M25:S26" si="20">M12</f>
        <v>0</v>
      </c>
      <c r="N25" s="12">
        <f t="shared" si="20"/>
        <v>0</v>
      </c>
      <c r="O25" s="12">
        <f t="shared" si="20"/>
        <v>0</v>
      </c>
      <c r="P25" s="12">
        <f t="shared" si="20"/>
        <v>0</v>
      </c>
      <c r="Q25" s="12">
        <f t="shared" si="20"/>
        <v>0</v>
      </c>
      <c r="R25" s="12">
        <f t="shared" si="20"/>
        <v>0</v>
      </c>
      <c r="S25" s="12">
        <f t="shared" si="20"/>
        <v>0</v>
      </c>
      <c r="T25" s="12"/>
      <c r="U25" s="12">
        <f t="shared" ref="U25:U26" si="21">U12</f>
        <v>0</v>
      </c>
    </row>
    <row r="26" spans="1:32" x14ac:dyDescent="0.45">
      <c r="A26" t="str">
        <f>$A$13</f>
        <v>Rest</v>
      </c>
      <c r="B26" s="12" t="e">
        <f t="shared" si="7"/>
        <v>#DIV/0!</v>
      </c>
      <c r="C26" s="12" t="e">
        <f t="shared" si="7"/>
        <v>#DIV/0!</v>
      </c>
      <c r="D26" s="12" t="e">
        <f t="shared" si="7"/>
        <v>#DIV/0!</v>
      </c>
      <c r="E26" s="12" t="e">
        <f t="shared" si="7"/>
        <v>#DIV/0!</v>
      </c>
      <c r="F26" s="12" t="e">
        <f t="shared" si="7"/>
        <v>#DIV/0!</v>
      </c>
      <c r="G26" s="12" t="e">
        <f t="shared" si="7"/>
        <v>#DIV/0!</v>
      </c>
      <c r="H26" s="12" t="e">
        <f t="shared" ref="H26" si="22">($U13/$J13)*H13</f>
        <v>#DIV/0!</v>
      </c>
      <c r="I26" s="12"/>
      <c r="J26" s="12" t="e">
        <f t="shared" si="9"/>
        <v>#DIV/0!</v>
      </c>
      <c r="K26" s="13"/>
      <c r="L26" t="str">
        <f>$A$13</f>
        <v>Rest</v>
      </c>
      <c r="M26" s="12">
        <f t="shared" si="20"/>
        <v>0</v>
      </c>
      <c r="N26" s="12">
        <f t="shared" si="20"/>
        <v>0</v>
      </c>
      <c r="O26" s="12">
        <f t="shared" si="20"/>
        <v>0</v>
      </c>
      <c r="P26" s="12">
        <f t="shared" si="20"/>
        <v>0</v>
      </c>
      <c r="Q26" s="12">
        <f t="shared" si="20"/>
        <v>0</v>
      </c>
      <c r="R26" s="12">
        <f t="shared" si="20"/>
        <v>0</v>
      </c>
      <c r="S26" s="12">
        <f t="shared" si="20"/>
        <v>0</v>
      </c>
      <c r="T26" s="12"/>
      <c r="U26" s="12">
        <f t="shared" si="21"/>
        <v>0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6" t="e">
        <f t="shared" ref="B28:J28" si="23">SUM(B20:B27)</f>
        <v>#DIV/0!</v>
      </c>
      <c r="C28" s="16" t="e">
        <f t="shared" si="23"/>
        <v>#DIV/0!</v>
      </c>
      <c r="D28" s="16" t="e">
        <f t="shared" si="23"/>
        <v>#DIV/0!</v>
      </c>
      <c r="E28" s="16" t="e">
        <f t="shared" si="23"/>
        <v>#DIV/0!</v>
      </c>
      <c r="F28" s="16" t="e">
        <f t="shared" si="23"/>
        <v>#DIV/0!</v>
      </c>
      <c r="G28" s="16" t="e">
        <f t="shared" si="23"/>
        <v>#DIV/0!</v>
      </c>
      <c r="H28" s="16" t="e">
        <f t="shared" si="23"/>
        <v>#DIV/0!</v>
      </c>
      <c r="I28" s="16">
        <f t="shared" si="23"/>
        <v>0</v>
      </c>
      <c r="J28" s="16" t="e">
        <f t="shared" si="23"/>
        <v>#DIV/0!</v>
      </c>
      <c r="K28" s="12"/>
      <c r="L28" s="16" t="s">
        <v>4</v>
      </c>
      <c r="M28" s="16">
        <f t="shared" ref="M28:U28" si="24">M15</f>
        <v>19735</v>
      </c>
      <c r="N28" s="16">
        <f t="shared" si="24"/>
        <v>10195</v>
      </c>
      <c r="O28" s="16">
        <f t="shared" si="24"/>
        <v>14357</v>
      </c>
      <c r="P28" s="16">
        <f t="shared" si="24"/>
        <v>11098</v>
      </c>
      <c r="Q28" s="16">
        <f t="shared" si="24"/>
        <v>10238</v>
      </c>
      <c r="R28" s="16">
        <f t="shared" si="24"/>
        <v>2246</v>
      </c>
      <c r="S28" s="16">
        <f t="shared" si="24"/>
        <v>12925</v>
      </c>
      <c r="T28" s="16"/>
      <c r="U28" s="16">
        <f t="shared" si="24"/>
        <v>80794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7" t="e">
        <f t="shared" ref="B33:G33" si="25">B20/$J$28</f>
        <v>#DIV/0!</v>
      </c>
      <c r="C33" s="17" t="e">
        <f t="shared" si="25"/>
        <v>#DIV/0!</v>
      </c>
      <c r="D33" s="17" t="e">
        <f t="shared" si="25"/>
        <v>#DIV/0!</v>
      </c>
      <c r="E33" s="17" t="e">
        <f t="shared" si="25"/>
        <v>#DIV/0!</v>
      </c>
      <c r="F33" s="17" t="e">
        <f t="shared" si="25"/>
        <v>#DIV/0!</v>
      </c>
      <c r="G33" s="17" t="e">
        <f t="shared" si="25"/>
        <v>#DIV/0!</v>
      </c>
      <c r="H33" s="17" t="e">
        <f t="shared" ref="H33" si="26">H20/$J$28</f>
        <v>#DIV/0!</v>
      </c>
      <c r="I33" s="12"/>
      <c r="J33" s="17" t="e">
        <f t="shared" ref="J33:J39" si="27">J20/$J$28</f>
        <v>#DIV/0!</v>
      </c>
      <c r="K33" s="12"/>
      <c r="L33" t="str">
        <f>$A$7</f>
        <v>Bellevue</v>
      </c>
      <c r="M33" s="17">
        <f t="shared" ref="M33:R33" si="28">M20/$U$28</f>
        <v>0.15775923954749116</v>
      </c>
      <c r="N33" s="17">
        <f t="shared" si="28"/>
        <v>6.5363764635987823E-2</v>
      </c>
      <c r="O33" s="17">
        <f t="shared" si="28"/>
        <v>1.2042973488130307E-2</v>
      </c>
      <c r="P33" s="17">
        <f t="shared" si="28"/>
        <v>1.7724088422407604E-2</v>
      </c>
      <c r="Q33" s="17">
        <f t="shared" si="28"/>
        <v>3.9866821793697549E-2</v>
      </c>
      <c r="R33" s="17">
        <f t="shared" si="28"/>
        <v>1.232764809268015E-2</v>
      </c>
      <c r="S33" s="17">
        <f t="shared" ref="S33" si="29">S20/$U$28</f>
        <v>5.0622570982993789E-2</v>
      </c>
      <c r="T33" s="17"/>
      <c r="U33" s="17">
        <f>U20/$U$28</f>
        <v>0.35570710696338836</v>
      </c>
      <c r="W33" t="str">
        <f>$A$7</f>
        <v>Bellevue</v>
      </c>
      <c r="X33" s="17" t="e">
        <f>M33-B33</f>
        <v>#DIV/0!</v>
      </c>
      <c r="Y33" s="17" t="e">
        <f t="shared" ref="Y33:Y35" si="30">N33-C33</f>
        <v>#DIV/0!</v>
      </c>
      <c r="Z33" s="17" t="e">
        <f t="shared" ref="Z33:Z35" si="31">O33-D33</f>
        <v>#DIV/0!</v>
      </c>
      <c r="AA33" s="17" t="e">
        <f t="shared" ref="AA33" si="32">P33-E33</f>
        <v>#DIV/0!</v>
      </c>
      <c r="AB33" s="17" t="e">
        <f t="shared" ref="AB33" si="33">Q33-F33</f>
        <v>#DIV/0!</v>
      </c>
      <c r="AC33" s="17" t="e">
        <f t="shared" ref="AC33:AD33" si="34">R33-G33</f>
        <v>#DIV/0!</v>
      </c>
      <c r="AD33" s="17" t="e">
        <f t="shared" si="34"/>
        <v>#DIV/0!</v>
      </c>
      <c r="AE33" s="17"/>
      <c r="AF33" s="17" t="e">
        <f t="shared" ref="AF33:AF39" si="35">U33-J33</f>
        <v>#DIV/0!</v>
      </c>
    </row>
    <row r="34" spans="1:32" x14ac:dyDescent="0.45">
      <c r="A34" t="str">
        <f>$A$8</f>
        <v>Bellevue Downtown</v>
      </c>
      <c r="B34" s="17" t="e">
        <f t="shared" ref="B34:G39" si="36">B21/$J$28</f>
        <v>#DIV/0!</v>
      </c>
      <c r="C34" s="17" t="e">
        <f t="shared" si="36"/>
        <v>#DIV/0!</v>
      </c>
      <c r="D34" s="17" t="e">
        <f t="shared" si="36"/>
        <v>#DIV/0!</v>
      </c>
      <c r="E34" s="17" t="e">
        <f t="shared" si="36"/>
        <v>#DIV/0!</v>
      </c>
      <c r="F34" s="17" t="e">
        <f t="shared" si="36"/>
        <v>#DIV/0!</v>
      </c>
      <c r="G34" s="17" t="e">
        <f t="shared" si="36"/>
        <v>#DIV/0!</v>
      </c>
      <c r="H34" s="17" t="e">
        <f t="shared" ref="H34" si="37">H21/$J$28</f>
        <v>#DIV/0!</v>
      </c>
      <c r="I34" s="12"/>
      <c r="J34" s="17" t="e">
        <f t="shared" si="27"/>
        <v>#DIV/0!</v>
      </c>
      <c r="K34" s="12"/>
      <c r="L34" t="str">
        <f>$A$8</f>
        <v>Bellevue Downtown</v>
      </c>
      <c r="M34" s="17">
        <f t="shared" ref="M34:R36" si="38">M21/$U$28</f>
        <v>1.232764809268015E-2</v>
      </c>
      <c r="N34" s="17">
        <f t="shared" si="38"/>
        <v>2.2402653662400674E-2</v>
      </c>
      <c r="O34" s="17">
        <f t="shared" si="38"/>
        <v>9.159095972473203E-4</v>
      </c>
      <c r="P34" s="17">
        <f t="shared" si="38"/>
        <v>7.3025224645394463E-4</v>
      </c>
      <c r="Q34" s="17">
        <f t="shared" si="38"/>
        <v>2.5992029111072605E-3</v>
      </c>
      <c r="R34" s="17">
        <f t="shared" si="38"/>
        <v>5.81726365819244E-4</v>
      </c>
      <c r="S34" s="17">
        <f t="shared" ref="S34" si="39">S21/$U$28</f>
        <v>2.0422308587271332E-3</v>
      </c>
      <c r="T34" s="17"/>
      <c r="U34" s="17">
        <f>U21/$U$28</f>
        <v>4.1599623734435723E-2</v>
      </c>
      <c r="W34" t="str">
        <f>$A$8</f>
        <v>Bellevue Downtown</v>
      </c>
      <c r="X34" s="17" t="e">
        <f t="shared" ref="X34:X35" si="40">M34-B34</f>
        <v>#DIV/0!</v>
      </c>
      <c r="Y34" s="17" t="e">
        <f t="shared" si="30"/>
        <v>#DIV/0!</v>
      </c>
      <c r="Z34" s="17" t="e">
        <f t="shared" si="31"/>
        <v>#DIV/0!</v>
      </c>
      <c r="AA34" s="17" t="e">
        <f t="shared" ref="AA34:AA38" si="41">P34-E34</f>
        <v>#DIV/0!</v>
      </c>
      <c r="AB34" s="17" t="e">
        <f t="shared" ref="AB34:AB38" si="42">Q34-F34</f>
        <v>#DIV/0!</v>
      </c>
      <c r="AC34" s="17" t="e">
        <f t="shared" ref="AC34:AD38" si="43">R34-G34</f>
        <v>#DIV/0!</v>
      </c>
      <c r="AD34" s="17" t="e">
        <f t="shared" si="43"/>
        <v>#DIV/0!</v>
      </c>
      <c r="AE34" s="17"/>
      <c r="AF34" s="17" t="e">
        <f t="shared" si="35"/>
        <v>#DIV/0!</v>
      </c>
    </row>
    <row r="35" spans="1:32" x14ac:dyDescent="0.45">
      <c r="A35" t="str">
        <f>$A$9</f>
        <v>Kirkland</v>
      </c>
      <c r="B35" s="17" t="e">
        <f t="shared" si="36"/>
        <v>#DIV/0!</v>
      </c>
      <c r="C35" s="17" t="e">
        <f t="shared" si="36"/>
        <v>#DIV/0!</v>
      </c>
      <c r="D35" s="17" t="e">
        <f t="shared" si="36"/>
        <v>#DIV/0!</v>
      </c>
      <c r="E35" s="17" t="e">
        <f t="shared" si="36"/>
        <v>#DIV/0!</v>
      </c>
      <c r="F35" s="17" t="e">
        <f t="shared" si="36"/>
        <v>#DIV/0!</v>
      </c>
      <c r="G35" s="17" t="e">
        <f t="shared" si="36"/>
        <v>#DIV/0!</v>
      </c>
      <c r="H35" s="17" t="e">
        <f t="shared" ref="H35" si="44">H22/$J$28</f>
        <v>#DIV/0!</v>
      </c>
      <c r="I35" s="12"/>
      <c r="J35" s="17" t="e">
        <f t="shared" si="27"/>
        <v>#DIV/0!</v>
      </c>
      <c r="K35" s="13"/>
      <c r="L35" t="str">
        <f>$A$9</f>
        <v>Kirkland</v>
      </c>
      <c r="M35" s="17">
        <f t="shared" si="38"/>
        <v>2.9247221328316458E-2</v>
      </c>
      <c r="N35" s="17">
        <f t="shared" si="38"/>
        <v>2.1783795826422755E-2</v>
      </c>
      <c r="O35" s="17">
        <f t="shared" si="38"/>
        <v>0.12927940193578732</v>
      </c>
      <c r="P35" s="17">
        <f t="shared" si="38"/>
        <v>2.503898804366661E-2</v>
      </c>
      <c r="Q35" s="17">
        <f t="shared" si="38"/>
        <v>5.7689927469861624E-2</v>
      </c>
      <c r="R35" s="17">
        <f t="shared" si="38"/>
        <v>8.8744213679233606E-3</v>
      </c>
      <c r="S35" s="17">
        <f t="shared" ref="S35" si="45">S22/$U$28</f>
        <v>6.0227244597371089E-2</v>
      </c>
      <c r="T35" s="17"/>
      <c r="U35" s="17">
        <f>U22/$U$28</f>
        <v>0.3321410005693492</v>
      </c>
      <c r="W35" t="str">
        <f>$A$9</f>
        <v>Kirkland</v>
      </c>
      <c r="X35" s="17" t="e">
        <f t="shared" si="40"/>
        <v>#DIV/0!</v>
      </c>
      <c r="Y35" s="17" t="e">
        <f t="shared" si="30"/>
        <v>#DIV/0!</v>
      </c>
      <c r="Z35" s="17" t="e">
        <f t="shared" si="31"/>
        <v>#DIV/0!</v>
      </c>
      <c r="AA35" s="17" t="e">
        <f t="shared" si="41"/>
        <v>#DIV/0!</v>
      </c>
      <c r="AB35" s="17" t="e">
        <f t="shared" si="42"/>
        <v>#DIV/0!</v>
      </c>
      <c r="AC35" s="17" t="e">
        <f t="shared" si="43"/>
        <v>#DIV/0!</v>
      </c>
      <c r="AD35" s="17" t="e">
        <f t="shared" si="43"/>
        <v>#DIV/0!</v>
      </c>
      <c r="AE35" s="17"/>
      <c r="AF35" s="17" t="e">
        <f t="shared" si="35"/>
        <v>#DIV/0!</v>
      </c>
    </row>
    <row r="36" spans="1:32" x14ac:dyDescent="0.45">
      <c r="A36" t="str">
        <f>$A$10</f>
        <v>Redmond</v>
      </c>
      <c r="B36" s="17" t="e">
        <f t="shared" si="36"/>
        <v>#DIV/0!</v>
      </c>
      <c r="C36" s="17" t="e">
        <f t="shared" si="36"/>
        <v>#DIV/0!</v>
      </c>
      <c r="D36" s="17" t="e">
        <f t="shared" si="36"/>
        <v>#DIV/0!</v>
      </c>
      <c r="E36" s="17" t="e">
        <f t="shared" si="36"/>
        <v>#DIV/0!</v>
      </c>
      <c r="F36" s="17" t="e">
        <f t="shared" si="36"/>
        <v>#DIV/0!</v>
      </c>
      <c r="G36" s="17" t="e">
        <f t="shared" si="36"/>
        <v>#DIV/0!</v>
      </c>
      <c r="H36" s="17" t="e">
        <f t="shared" ref="H36" si="46">H23/$J$28</f>
        <v>#DIV/0!</v>
      </c>
      <c r="I36" s="12"/>
      <c r="J36" s="17" t="e">
        <f t="shared" si="27"/>
        <v>#DIV/0!</v>
      </c>
      <c r="K36" s="13"/>
      <c r="L36" t="str">
        <f>$A$10</f>
        <v>Redmond</v>
      </c>
      <c r="M36" s="17">
        <f t="shared" si="38"/>
        <v>4.4929078891996932E-2</v>
      </c>
      <c r="N36" s="17">
        <f t="shared" si="38"/>
        <v>1.6634898631086466E-2</v>
      </c>
      <c r="O36" s="17">
        <f t="shared" si="38"/>
        <v>3.5460554001534771E-2</v>
      </c>
      <c r="P36" s="17">
        <f t="shared" si="38"/>
        <v>9.3868356561130781E-2</v>
      </c>
      <c r="Q36" s="17">
        <f t="shared" si="38"/>
        <v>2.6561378320172292E-2</v>
      </c>
      <c r="R36" s="17">
        <f t="shared" si="38"/>
        <v>6.0152981657053744E-3</v>
      </c>
      <c r="S36" s="17">
        <f t="shared" ref="S36" si="47">S23/$U$28</f>
        <v>4.7082704161200091E-2</v>
      </c>
      <c r="T36" s="17"/>
      <c r="U36" s="17">
        <f t="shared" ref="U36" si="48">U23/$U$28</f>
        <v>0.27055226873282667</v>
      </c>
      <c r="W36" t="str">
        <f>$A$10</f>
        <v>Redmond</v>
      </c>
      <c r="X36" s="17" t="e">
        <f t="shared" ref="X36:X38" si="49">M36-B36</f>
        <v>#DIV/0!</v>
      </c>
      <c r="Y36" s="17" t="e">
        <f t="shared" ref="Y36:Y38" si="50">N36-C36</f>
        <v>#DIV/0!</v>
      </c>
      <c r="Z36" s="17" t="e">
        <f t="shared" ref="Z36:Z38" si="51">O36-D36</f>
        <v>#DIV/0!</v>
      </c>
      <c r="AA36" s="17" t="e">
        <f t="shared" si="41"/>
        <v>#DIV/0!</v>
      </c>
      <c r="AB36" s="17" t="e">
        <f t="shared" si="42"/>
        <v>#DIV/0!</v>
      </c>
      <c r="AC36" s="17" t="e">
        <f t="shared" si="43"/>
        <v>#DIV/0!</v>
      </c>
      <c r="AD36" s="17" t="e">
        <f t="shared" si="43"/>
        <v>#DIV/0!</v>
      </c>
      <c r="AE36" s="17"/>
      <c r="AF36" s="17" t="e">
        <f t="shared" si="35"/>
        <v>#DIV/0!</v>
      </c>
    </row>
    <row r="37" spans="1:32" x14ac:dyDescent="0.45">
      <c r="A37" t="str">
        <f>$A$11</f>
        <v>Seattle</v>
      </c>
      <c r="B37" s="17" t="e">
        <f t="shared" si="36"/>
        <v>#DIV/0!</v>
      </c>
      <c r="C37" s="17" t="e">
        <f t="shared" si="36"/>
        <v>#DIV/0!</v>
      </c>
      <c r="D37" s="17" t="e">
        <f t="shared" si="36"/>
        <v>#DIV/0!</v>
      </c>
      <c r="E37" s="17" t="e">
        <f t="shared" si="36"/>
        <v>#DIV/0!</v>
      </c>
      <c r="F37" s="17" t="e">
        <f t="shared" si="36"/>
        <v>#DIV/0!</v>
      </c>
      <c r="G37" s="17" t="e">
        <f t="shared" si="36"/>
        <v>#DIV/0!</v>
      </c>
      <c r="H37" s="17" t="e">
        <f t="shared" ref="H37" si="52">H24/$J$28</f>
        <v>#DIV/0!</v>
      </c>
      <c r="I37" s="12"/>
      <c r="J37" s="17" t="e">
        <f t="shared" si="27"/>
        <v>#DIV/0!</v>
      </c>
      <c r="K37" s="13"/>
      <c r="L37" t="str">
        <f>$A$11</f>
        <v>Seattle</v>
      </c>
      <c r="M37" s="17">
        <f t="shared" ref="M37:N39" si="53">M24/$U$28</f>
        <v>0</v>
      </c>
      <c r="N37" s="17">
        <f t="shared" si="53"/>
        <v>0</v>
      </c>
      <c r="O37" s="17">
        <f t="shared" ref="O37:R37" si="54">O24/$U$28</f>
        <v>0</v>
      </c>
      <c r="P37" s="17">
        <f t="shared" si="54"/>
        <v>0</v>
      </c>
      <c r="Q37" s="17">
        <f t="shared" si="54"/>
        <v>0</v>
      </c>
      <c r="R37" s="17">
        <f t="shared" si="54"/>
        <v>0</v>
      </c>
      <c r="S37" s="17">
        <f t="shared" ref="S37" si="55">S24/$U$28</f>
        <v>0</v>
      </c>
      <c r="T37" s="17"/>
      <c r="U37" s="17">
        <f t="shared" ref="U37" si="56">U24/$U$28</f>
        <v>0</v>
      </c>
      <c r="W37" t="str">
        <f>$A$11</f>
        <v>Seattle</v>
      </c>
      <c r="X37" s="17" t="e">
        <f t="shared" si="49"/>
        <v>#DIV/0!</v>
      </c>
      <c r="Y37" s="17" t="e">
        <f t="shared" si="50"/>
        <v>#DIV/0!</v>
      </c>
      <c r="Z37" s="17" t="e">
        <f t="shared" si="51"/>
        <v>#DIV/0!</v>
      </c>
      <c r="AA37" s="17" t="e">
        <f t="shared" si="41"/>
        <v>#DIV/0!</v>
      </c>
      <c r="AB37" s="17" t="e">
        <f t="shared" si="42"/>
        <v>#DIV/0!</v>
      </c>
      <c r="AC37" s="17" t="e">
        <f t="shared" si="43"/>
        <v>#DIV/0!</v>
      </c>
      <c r="AD37" s="17" t="e">
        <f t="shared" si="43"/>
        <v>#DIV/0!</v>
      </c>
      <c r="AE37" s="17"/>
      <c r="AF37" s="17" t="e">
        <f t="shared" si="35"/>
        <v>#DIV/0!</v>
      </c>
    </row>
    <row r="38" spans="1:32" x14ac:dyDescent="0.45">
      <c r="A38" t="str">
        <f>$A$12</f>
        <v>Seattle Downtown</v>
      </c>
      <c r="B38" s="17" t="e">
        <f t="shared" si="36"/>
        <v>#DIV/0!</v>
      </c>
      <c r="C38" s="17" t="e">
        <f t="shared" si="36"/>
        <v>#DIV/0!</v>
      </c>
      <c r="D38" s="17" t="e">
        <f t="shared" si="36"/>
        <v>#DIV/0!</v>
      </c>
      <c r="E38" s="17" t="e">
        <f t="shared" si="36"/>
        <v>#DIV/0!</v>
      </c>
      <c r="F38" s="17" t="e">
        <f t="shared" si="36"/>
        <v>#DIV/0!</v>
      </c>
      <c r="G38" s="17" t="e">
        <f t="shared" si="36"/>
        <v>#DIV/0!</v>
      </c>
      <c r="H38" s="17" t="e">
        <f t="shared" ref="H38" si="57">H25/$J$28</f>
        <v>#DIV/0!</v>
      </c>
      <c r="I38" s="12"/>
      <c r="J38" s="17" t="e">
        <f t="shared" si="27"/>
        <v>#DIV/0!</v>
      </c>
      <c r="K38" s="13"/>
      <c r="L38" t="str">
        <f>$A$12</f>
        <v>Seattle Downtown</v>
      </c>
      <c r="M38" s="17">
        <f t="shared" si="53"/>
        <v>0</v>
      </c>
      <c r="N38" s="17">
        <f t="shared" si="53"/>
        <v>0</v>
      </c>
      <c r="O38" s="17">
        <f t="shared" ref="O38:R39" si="58">O25/$U$28</f>
        <v>0</v>
      </c>
      <c r="P38" s="17">
        <f t="shared" si="58"/>
        <v>0</v>
      </c>
      <c r="Q38" s="17">
        <f t="shared" si="58"/>
        <v>0</v>
      </c>
      <c r="R38" s="17">
        <f t="shared" si="58"/>
        <v>0</v>
      </c>
      <c r="S38" s="17">
        <f t="shared" ref="S38" si="59">S25/$U$28</f>
        <v>0</v>
      </c>
      <c r="T38" s="17"/>
      <c r="U38" s="17">
        <f t="shared" ref="U38:U39" si="60">U25/$U$28</f>
        <v>0</v>
      </c>
      <c r="W38" t="str">
        <f>$A$12</f>
        <v>Seattle Downtown</v>
      </c>
      <c r="X38" s="17" t="e">
        <f t="shared" si="49"/>
        <v>#DIV/0!</v>
      </c>
      <c r="Y38" s="17" t="e">
        <f t="shared" si="50"/>
        <v>#DIV/0!</v>
      </c>
      <c r="Z38" s="17" t="e">
        <f t="shared" si="51"/>
        <v>#DIV/0!</v>
      </c>
      <c r="AA38" s="17" t="e">
        <f t="shared" si="41"/>
        <v>#DIV/0!</v>
      </c>
      <c r="AB38" s="17" t="e">
        <f t="shared" si="42"/>
        <v>#DIV/0!</v>
      </c>
      <c r="AC38" s="17" t="e">
        <f t="shared" si="43"/>
        <v>#DIV/0!</v>
      </c>
      <c r="AD38" s="17" t="e">
        <f t="shared" si="43"/>
        <v>#DIV/0!</v>
      </c>
      <c r="AE38" s="17"/>
      <c r="AF38" s="17" t="e">
        <f t="shared" si="35"/>
        <v>#DIV/0!</v>
      </c>
    </row>
    <row r="39" spans="1:32" x14ac:dyDescent="0.45">
      <c r="A39" t="str">
        <f>$A$13</f>
        <v>Rest</v>
      </c>
      <c r="B39" s="17" t="e">
        <f t="shared" si="36"/>
        <v>#DIV/0!</v>
      </c>
      <c r="C39" s="17" t="e">
        <f t="shared" si="36"/>
        <v>#DIV/0!</v>
      </c>
      <c r="D39" s="17" t="e">
        <f t="shared" si="36"/>
        <v>#DIV/0!</v>
      </c>
      <c r="E39" s="17" t="e">
        <f t="shared" si="36"/>
        <v>#DIV/0!</v>
      </c>
      <c r="F39" s="17" t="e">
        <f t="shared" si="36"/>
        <v>#DIV/0!</v>
      </c>
      <c r="G39" s="17" t="e">
        <f t="shared" si="36"/>
        <v>#DIV/0!</v>
      </c>
      <c r="H39" s="17" t="e">
        <f t="shared" ref="H39" si="61">H26/$J$28</f>
        <v>#DIV/0!</v>
      </c>
      <c r="I39" s="12"/>
      <c r="J39" s="17" t="e">
        <f t="shared" si="27"/>
        <v>#DIV/0!</v>
      </c>
      <c r="K39" s="13"/>
      <c r="L39" t="str">
        <f>$A$13</f>
        <v>Rest</v>
      </c>
      <c r="M39" s="17">
        <f t="shared" si="53"/>
        <v>0</v>
      </c>
      <c r="N39" s="17">
        <f t="shared" si="53"/>
        <v>0</v>
      </c>
      <c r="O39" s="17">
        <f t="shared" si="58"/>
        <v>0</v>
      </c>
      <c r="P39" s="17">
        <f t="shared" si="58"/>
        <v>0</v>
      </c>
      <c r="Q39" s="17">
        <f t="shared" si="58"/>
        <v>0</v>
      </c>
      <c r="R39" s="17">
        <f t="shared" si="58"/>
        <v>0</v>
      </c>
      <c r="S39" s="17">
        <f t="shared" ref="S39" si="62">S26/$U$28</f>
        <v>0</v>
      </c>
      <c r="T39" s="17"/>
      <c r="U39" s="17">
        <f t="shared" si="60"/>
        <v>0</v>
      </c>
      <c r="W39" t="str">
        <f>$A$13</f>
        <v>Rest</v>
      </c>
      <c r="X39" s="17" t="e">
        <f t="shared" ref="X39" si="63">M39-B39</f>
        <v>#DIV/0!</v>
      </c>
      <c r="Y39" s="17" t="e">
        <f t="shared" ref="Y39" si="64">N39-C39</f>
        <v>#DIV/0!</v>
      </c>
      <c r="Z39" s="17" t="e">
        <f t="shared" ref="Z39" si="65">O39-D39</f>
        <v>#DIV/0!</v>
      </c>
      <c r="AA39" s="17" t="e">
        <f t="shared" ref="AA39" si="66">P39-E39</f>
        <v>#DIV/0!</v>
      </c>
      <c r="AB39" s="17" t="e">
        <f t="shared" ref="AB39" si="67">Q39-F39</f>
        <v>#DIV/0!</v>
      </c>
      <c r="AC39" s="17" t="e">
        <f t="shared" ref="AC39:AD39" si="68">R39-G39</f>
        <v>#DIV/0!</v>
      </c>
      <c r="AD39" s="17" t="e">
        <f t="shared" si="68"/>
        <v>#DIV/0!</v>
      </c>
      <c r="AE39" s="17"/>
      <c r="AF39" s="17" t="e">
        <f t="shared" si="35"/>
        <v>#DIV/0!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 t="e">
        <f t="shared" ref="B41:H41" si="69">B28/$J$28</f>
        <v>#DIV/0!</v>
      </c>
      <c r="C41" s="19" t="e">
        <f t="shared" si="69"/>
        <v>#DIV/0!</v>
      </c>
      <c r="D41" s="19" t="e">
        <f t="shared" si="69"/>
        <v>#DIV/0!</v>
      </c>
      <c r="E41" s="19" t="e">
        <f t="shared" si="69"/>
        <v>#DIV/0!</v>
      </c>
      <c r="F41" s="19" t="e">
        <f t="shared" si="69"/>
        <v>#DIV/0!</v>
      </c>
      <c r="G41" s="19" t="e">
        <f t="shared" si="69"/>
        <v>#DIV/0!</v>
      </c>
      <c r="H41" s="19" t="e">
        <f t="shared" si="69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0.24426318786048468</v>
      </c>
      <c r="N41" s="19">
        <f>N28/$U$28</f>
        <v>0.12618511275589772</v>
      </c>
      <c r="O41" s="19">
        <f>O28/$U$28</f>
        <v>0.1776988390226997</v>
      </c>
      <c r="P41" s="19">
        <f>P28/$U$28</f>
        <v>0.13736168527365894</v>
      </c>
      <c r="Q41" s="19">
        <f t="shared" ref="Q41:S41" si="70">Q28/$U$28</f>
        <v>0.12671733049483871</v>
      </c>
      <c r="R41" s="19">
        <f t="shared" si="70"/>
        <v>2.7799093992128127E-2</v>
      </c>
      <c r="S41" s="19">
        <f t="shared" si="70"/>
        <v>0.15997475060029209</v>
      </c>
      <c r="T41" s="19">
        <f>T28/$U$28</f>
        <v>0</v>
      </c>
      <c r="U41" s="19">
        <f>U28/$U$28</f>
        <v>1</v>
      </c>
      <c r="W41" s="16" t="s">
        <v>4</v>
      </c>
      <c r="X41" s="19" t="e">
        <f t="shared" ref="X41:AF41" si="71">M41-B41</f>
        <v>#DIV/0!</v>
      </c>
      <c r="Y41" s="19" t="e">
        <f t="shared" si="71"/>
        <v>#DIV/0!</v>
      </c>
      <c r="Z41" s="19" t="e">
        <f t="shared" si="71"/>
        <v>#DIV/0!</v>
      </c>
      <c r="AA41" s="19" t="e">
        <f t="shared" si="71"/>
        <v>#DIV/0!</v>
      </c>
      <c r="AB41" s="19" t="e">
        <f t="shared" si="71"/>
        <v>#DIV/0!</v>
      </c>
      <c r="AC41" s="19" t="e">
        <f t="shared" si="71"/>
        <v>#DIV/0!</v>
      </c>
      <c r="AD41" s="19" t="e">
        <f t="shared" si="71"/>
        <v>#DIV/0!</v>
      </c>
      <c r="AE41" s="19" t="e">
        <f t="shared" si="71"/>
        <v>#DIV/0!</v>
      </c>
      <c r="AF41" s="19" t="e">
        <f t="shared" si="71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G13" sqref="G13"/>
    </sheetView>
  </sheetViews>
  <sheetFormatPr defaultRowHeight="14.25" x14ac:dyDescent="0.45"/>
  <sheetData>
    <row r="1" spans="1:3" x14ac:dyDescent="0.45">
      <c r="A1" s="10" t="s">
        <v>20</v>
      </c>
    </row>
    <row r="2" spans="1:3" x14ac:dyDescent="0.45">
      <c r="A2">
        <v>1</v>
      </c>
      <c r="B2" t="s">
        <v>246</v>
      </c>
    </row>
    <row r="3" spans="1:3" x14ac:dyDescent="0.45">
      <c r="B3" t="s">
        <v>21</v>
      </c>
      <c r="C3" t="s">
        <v>22</v>
      </c>
    </row>
    <row r="4" spans="1:3" x14ac:dyDescent="0.45">
      <c r="B4" t="s">
        <v>23</v>
      </c>
      <c r="C4" t="s">
        <v>24</v>
      </c>
    </row>
    <row r="5" spans="1:3" x14ac:dyDescent="0.45">
      <c r="B5" t="s">
        <v>25</v>
      </c>
      <c r="C5" t="s">
        <v>26</v>
      </c>
    </row>
    <row r="6" spans="1:3" x14ac:dyDescent="0.45">
      <c r="B6" t="s">
        <v>27</v>
      </c>
      <c r="C6" t="s">
        <v>28</v>
      </c>
    </row>
    <row r="8" spans="1:3" x14ac:dyDescent="0.45">
      <c r="A8">
        <v>2</v>
      </c>
      <c r="B8" t="s">
        <v>29</v>
      </c>
    </row>
    <row r="10" spans="1:3" x14ac:dyDescent="0.45">
      <c r="A10">
        <v>3</v>
      </c>
      <c r="B10" t="s">
        <v>30</v>
      </c>
    </row>
    <row r="12" spans="1:3" x14ac:dyDescent="0.45">
      <c r="A12">
        <v>4</v>
      </c>
      <c r="B12" t="s">
        <v>31</v>
      </c>
    </row>
    <row r="14" spans="1:3" x14ac:dyDescent="0.45">
      <c r="A14">
        <v>5</v>
      </c>
      <c r="B14" t="s">
        <v>32</v>
      </c>
    </row>
    <row r="15" spans="1:3" x14ac:dyDescent="0.4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7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386" t="s">
        <v>42</v>
      </c>
    </row>
    <row r="2" spans="1:4" x14ac:dyDescent="0.45">
      <c r="A2" t="s">
        <v>259</v>
      </c>
      <c r="B2" t="s">
        <v>260</v>
      </c>
      <c r="C2" t="s">
        <v>91</v>
      </c>
      <c r="D2" t="s">
        <v>261</v>
      </c>
    </row>
    <row r="3" spans="1:4" x14ac:dyDescent="0.45">
      <c r="A3">
        <v>1</v>
      </c>
      <c r="B3" t="s">
        <v>45</v>
      </c>
      <c r="C3" t="s">
        <v>262</v>
      </c>
      <c r="D3" t="s">
        <v>46</v>
      </c>
    </row>
    <row r="4" spans="1:4" x14ac:dyDescent="0.45">
      <c r="A4">
        <v>2</v>
      </c>
      <c r="B4" t="s">
        <v>48</v>
      </c>
      <c r="C4" t="s">
        <v>262</v>
      </c>
      <c r="D4" t="s">
        <v>49</v>
      </c>
    </row>
    <row r="5" spans="1:4" x14ac:dyDescent="0.45">
      <c r="A5">
        <v>3</v>
      </c>
      <c r="B5" t="s">
        <v>51</v>
      </c>
      <c r="C5" t="s">
        <v>262</v>
      </c>
      <c r="D5" t="s">
        <v>52</v>
      </c>
    </row>
    <row r="6" spans="1:4" x14ac:dyDescent="0.45">
      <c r="A6">
        <v>4</v>
      </c>
      <c r="B6" t="s">
        <v>54</v>
      </c>
      <c r="C6" t="s">
        <v>262</v>
      </c>
      <c r="D6" t="s">
        <v>55</v>
      </c>
    </row>
    <row r="7" spans="1:4" x14ac:dyDescent="0.45">
      <c r="A7">
        <v>5</v>
      </c>
      <c r="B7" t="s">
        <v>57</v>
      </c>
      <c r="C7" t="s">
        <v>262</v>
      </c>
      <c r="D7" t="s">
        <v>58</v>
      </c>
    </row>
    <row r="8" spans="1:4" x14ac:dyDescent="0.45">
      <c r="A8">
        <v>6</v>
      </c>
      <c r="B8" t="s">
        <v>59</v>
      </c>
      <c r="C8" t="s">
        <v>262</v>
      </c>
      <c r="D8" t="s">
        <v>60</v>
      </c>
    </row>
    <row r="9" spans="1:4" x14ac:dyDescent="0.45">
      <c r="A9">
        <v>7</v>
      </c>
      <c r="B9" t="s">
        <v>61</v>
      </c>
      <c r="C9" t="s">
        <v>262</v>
      </c>
      <c r="D9" t="s">
        <v>62</v>
      </c>
    </row>
    <row r="10" spans="1:4" x14ac:dyDescent="0.45">
      <c r="A10">
        <v>8</v>
      </c>
      <c r="B10" t="s">
        <v>64</v>
      </c>
      <c r="C10" t="s">
        <v>262</v>
      </c>
      <c r="D10" t="s">
        <v>65</v>
      </c>
    </row>
    <row r="11" spans="1:4" x14ac:dyDescent="0.45">
      <c r="A11">
        <v>9</v>
      </c>
      <c r="B11" t="s">
        <v>66</v>
      </c>
      <c r="C11" t="s">
        <v>262</v>
      </c>
      <c r="D11" t="s">
        <v>67</v>
      </c>
    </row>
    <row r="12" spans="1:4" x14ac:dyDescent="0.45">
      <c r="A12">
        <v>10</v>
      </c>
      <c r="B12" t="s">
        <v>68</v>
      </c>
      <c r="C12" t="s">
        <v>262</v>
      </c>
      <c r="D12" t="s">
        <v>69</v>
      </c>
    </row>
    <row r="13" spans="1:4" x14ac:dyDescent="0.45">
      <c r="A13">
        <v>11</v>
      </c>
      <c r="B13" t="s">
        <v>70</v>
      </c>
      <c r="C13" t="s">
        <v>262</v>
      </c>
      <c r="D13" t="s">
        <v>71</v>
      </c>
    </row>
    <row r="14" spans="1:4" x14ac:dyDescent="0.45">
      <c r="A14">
        <v>12</v>
      </c>
      <c r="B14" t="s">
        <v>72</v>
      </c>
      <c r="C14" t="s">
        <v>262</v>
      </c>
      <c r="D14" t="s">
        <v>73</v>
      </c>
    </row>
    <row r="15" spans="1:4" x14ac:dyDescent="0.45">
      <c r="A15">
        <v>13</v>
      </c>
      <c r="B15" t="s">
        <v>74</v>
      </c>
      <c r="C15" t="s">
        <v>262</v>
      </c>
      <c r="D15" t="s">
        <v>75</v>
      </c>
    </row>
    <row r="16" spans="1:4" x14ac:dyDescent="0.45">
      <c r="A16">
        <v>14</v>
      </c>
      <c r="B16" t="s">
        <v>76</v>
      </c>
      <c r="C16" t="s">
        <v>262</v>
      </c>
      <c r="D16" t="s">
        <v>77</v>
      </c>
    </row>
    <row r="17" spans="1:4" x14ac:dyDescent="0.45">
      <c r="A17">
        <v>15</v>
      </c>
      <c r="B17" t="s">
        <v>78</v>
      </c>
      <c r="C17" t="s">
        <v>262</v>
      </c>
      <c r="D17" t="s">
        <v>79</v>
      </c>
    </row>
    <row r="18" spans="1:4" x14ac:dyDescent="0.45">
      <c r="A18">
        <v>16</v>
      </c>
      <c r="B18" t="s">
        <v>80</v>
      </c>
      <c r="C18" t="s">
        <v>262</v>
      </c>
      <c r="D18" t="s">
        <v>81</v>
      </c>
    </row>
    <row r="19" spans="1:4" x14ac:dyDescent="0.45">
      <c r="A19">
        <v>17</v>
      </c>
      <c r="B19" t="s">
        <v>83</v>
      </c>
      <c r="C19" t="s">
        <v>262</v>
      </c>
      <c r="D19" t="s">
        <v>84</v>
      </c>
    </row>
    <row r="20" spans="1:4" x14ac:dyDescent="0.45">
      <c r="A20">
        <v>18</v>
      </c>
      <c r="B20" t="s">
        <v>86</v>
      </c>
      <c r="C20" t="s">
        <v>262</v>
      </c>
      <c r="D20" t="s">
        <v>87</v>
      </c>
    </row>
    <row r="21" spans="1:4" x14ac:dyDescent="0.45">
      <c r="A21">
        <v>19</v>
      </c>
      <c r="B21" t="s">
        <v>89</v>
      </c>
      <c r="C21" t="s">
        <v>262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263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4.25" x14ac:dyDescent="0.45"/>
  <sheetData>
    <row r="1" spans="1:11" x14ac:dyDescent="0.4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4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4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4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4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45">
      <c r="A8" t="s">
        <v>232</v>
      </c>
      <c r="B8" t="s">
        <v>233</v>
      </c>
      <c r="C8" t="s">
        <v>234</v>
      </c>
      <c r="D8" t="s">
        <v>265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4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4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4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Q28" sqref="Q28"/>
    </sheetView>
  </sheetViews>
  <sheetFormatPr defaultColWidth="9.1328125" defaultRowHeight="14.25" x14ac:dyDescent="0.45"/>
  <cols>
    <col min="1" max="2" style="385" width="9.1328125" collapsed="true"/>
    <col min="3" max="3" bestFit="true" customWidth="true" style="385" width="12.73046875" collapsed="true"/>
    <col min="4" max="4" customWidth="true" style="384" width="18.86328125" collapsed="true"/>
    <col min="5" max="5" customWidth="true" style="385" width="6.73046875" collapsed="true"/>
    <col min="6" max="6" customWidth="true" style="385" width="12.73046875" collapsed="true"/>
    <col min="7" max="8" customWidth="true" style="384" width="18.86328125" collapsed="true"/>
    <col min="9" max="9" customWidth="true" style="384" width="6.59765625" collapsed="true"/>
    <col min="10" max="10" customWidth="true" style="384" width="10.1328125" collapsed="true"/>
    <col min="11" max="11" customWidth="true" style="384" width="9.86328125" collapsed="true"/>
    <col min="12" max="14" style="385" width="9.1328125" collapsed="true"/>
    <col min="15" max="15" customWidth="true" style="385" width="13.0" collapsed="true"/>
    <col min="16" max="16" customWidth="true" style="387" width="19.59765625" collapsed="true"/>
    <col min="17" max="17" customWidth="true" style="423" width="19.59765625" collapsed="true"/>
    <col min="18" max="16384" style="385" width="9.1328125" collapsed="true"/>
  </cols>
  <sheetData>
    <row r="1" spans="3:23" x14ac:dyDescent="0.4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4.65" thickBot="1" x14ac:dyDescent="0.5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4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45">
      <c r="C4" s="391" t="s">
        <v>47</v>
      </c>
      <c r="D4" s="392">
        <f>TLFD!B11</f>
        <v>17690.655125531299</v>
      </c>
      <c r="F4" s="391" t="s">
        <v>47</v>
      </c>
      <c r="G4" s="392">
        <f>TLFD!F11</f>
        <v>9470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45">
      <c r="C5" s="394" t="s">
        <v>50</v>
      </c>
      <c r="D5" s="395">
        <f>TLFD!B12+TLFD!B13+(TLFD!B14/2)</f>
        <v>28254.101136992245</v>
      </c>
      <c r="F5" s="394" t="s">
        <v>50</v>
      </c>
      <c r="G5" s="395">
        <f>TLFD!F12+TLFD!F13+(TLFD!F14/2)</f>
        <v>19742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45">
      <c r="C6" s="394" t="s">
        <v>53</v>
      </c>
      <c r="D6" s="395">
        <f>(TLFD!B14/2)+SUM(TLFD!B15:B20)</f>
        <v>20721.161616122547</v>
      </c>
      <c r="F6" s="394" t="s">
        <v>53</v>
      </c>
      <c r="G6" s="395">
        <f>(TLFD!F14/2)+SUM(TLFD!F15:F20)</f>
        <v>29401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45">
      <c r="C7" s="397" t="s">
        <v>56</v>
      </c>
      <c r="D7" s="398">
        <f>SUM(TLFD!B21:B101)</f>
        <v>13682.221619162001</v>
      </c>
      <c r="F7" s="397" t="s">
        <v>56</v>
      </c>
      <c r="G7" s="398">
        <f>SUM(TLFD!F21:F101)</f>
        <v>22181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4.65" thickBot="1" x14ac:dyDescent="0.5">
      <c r="C8" s="400" t="s">
        <v>4</v>
      </c>
      <c r="D8" s="401">
        <f>SUM(D4:D7)</f>
        <v>80348.139497808079</v>
      </c>
      <c r="E8" s="402"/>
      <c r="F8" s="400" t="s">
        <v>4</v>
      </c>
      <c r="G8" s="401">
        <f>SUM(G4:G7)</f>
        <v>80794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4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4.65" thickBot="1" x14ac:dyDescent="0.5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4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45">
      <c r="C12" s="391" t="s">
        <v>47</v>
      </c>
      <c r="D12" s="405">
        <f>D4/D$8</f>
        <v>0.22017504370482535</v>
      </c>
      <c r="F12" s="391" t="s">
        <v>47</v>
      </c>
      <c r="G12" s="405">
        <f>G4/G$8</f>
        <v>0.11721167413421789</v>
      </c>
      <c r="H12" s="405"/>
      <c r="I12" s="441">
        <f>D12/G12</f>
        <v>1.8784395439374508</v>
      </c>
      <c r="J12" s="442">
        <f>LN(I12)</f>
        <v>0.63044140235586654</v>
      </c>
      <c r="K12" s="442">
        <f>K8*J12</f>
        <v>0.63044140235586654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45">
      <c r="C13" s="394" t="s">
        <v>50</v>
      </c>
      <c r="D13" s="406">
        <f t="shared" ref="D13:D16" si="1">D5/D$8</f>
        <v>0.35164599097858423</v>
      </c>
      <c r="F13" s="394" t="s">
        <v>50</v>
      </c>
      <c r="G13" s="406">
        <f t="shared" ref="G13:G16" si="2">G5/G$8</f>
        <v>0.24434982795752161</v>
      </c>
      <c r="H13" s="406"/>
      <c r="I13" s="441">
        <f t="shared" ref="I13:I15" si="3">D13/G13</f>
        <v>1.4391088134496877</v>
      </c>
      <c r="J13" s="442">
        <f t="shared" ref="J13:J15" si="4">LN(I13)</f>
        <v>0.36402404245408382</v>
      </c>
      <c r="K13" s="442">
        <f>K8*(J13-J12)</f>
        <v>-0.26641735990178272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45">
      <c r="C14" s="394" t="s">
        <v>53</v>
      </c>
      <c r="D14" s="406">
        <f t="shared" si="1"/>
        <v>0.25789223926818899</v>
      </c>
      <c r="F14" s="394" t="s">
        <v>53</v>
      </c>
      <c r="G14" s="406">
        <f t="shared" si="2"/>
        <v>0.36390078471173604</v>
      </c>
      <c r="H14" s="406"/>
      <c r="I14" s="441">
        <f t="shared" si="3"/>
        <v>0.70868832962940242</v>
      </c>
      <c r="J14" s="442">
        <f t="shared" si="4"/>
        <v>-0.34433944059458249</v>
      </c>
      <c r="K14" s="442">
        <f>K8*(J14-J13-J12)</f>
        <v>-1.3388048854045329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4.65" thickBot="1" x14ac:dyDescent="0.5">
      <c r="C15" s="397" t="s">
        <v>56</v>
      </c>
      <c r="D15" s="406">
        <f t="shared" si="1"/>
        <v>0.17028672604840162</v>
      </c>
      <c r="F15" s="397" t="s">
        <v>56</v>
      </c>
      <c r="G15" s="406">
        <f t="shared" si="2"/>
        <v>0.27453771319652448</v>
      </c>
      <c r="H15" s="406"/>
      <c r="I15" s="443">
        <f t="shared" si="3"/>
        <v>0.62026715406674904</v>
      </c>
      <c r="J15" s="444">
        <f t="shared" si="4"/>
        <v>-0.47760500009496509</v>
      </c>
      <c r="K15" s="444">
        <f>K8*(J15-J14-J13-J12)</f>
        <v>-1.127731004310333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4.65" thickBot="1" x14ac:dyDescent="0.5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4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4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4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4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4.65" thickBot="1" x14ac:dyDescent="0.5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4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4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4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4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4.65" thickBot="1" x14ac:dyDescent="0.5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4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4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4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-14.208049647744133</v>
      </c>
      <c r="R29" s="385" t="str">
        <f>VLOOKUP(N29,Coeff_Descr!$A$2:$E$104,4,FALSE)</f>
        <v>distanceFromOrigin4</v>
      </c>
    </row>
    <row r="30" spans="2:23" x14ac:dyDescent="0.4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-5.454460594701783</v>
      </c>
      <c r="R30" s="385" t="str">
        <f>VLOOKUP(N30,Coeff_Descr!$A$2:$E$104,4,FALSE)</f>
        <v>distanceFromOrigin8</v>
      </c>
    </row>
    <row r="31" spans="2:23" ht="14.65" thickBot="1" x14ac:dyDescent="0.5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-3.9544357561045329</v>
      </c>
      <c r="R31" s="385" t="str">
        <f>VLOOKUP(N31,Coeff_Descr!$A$2:$E$104,4,FALSE)</f>
        <v>distanceFromOrigin9</v>
      </c>
    </row>
    <row r="32" spans="2:23" x14ac:dyDescent="0.4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-2.0381926962103329</v>
      </c>
      <c r="R32" s="385" t="str">
        <f>VLOOKUP(N32,Coeff_Descr!$A$2:$E$104,4,FALSE)</f>
        <v>distanceFromOrigin3</v>
      </c>
    </row>
    <row r="33" spans="2:17" x14ac:dyDescent="0.45">
      <c r="B33" s="448">
        <f>B23</f>
        <v>27</v>
      </c>
      <c r="C33" s="391" t="s">
        <v>47</v>
      </c>
      <c r="D33" s="467">
        <f>K12</f>
        <v>0.63044140235586654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45">
      <c r="B34" s="448">
        <f t="shared" ref="B34:B36" si="6">B24</f>
        <v>28</v>
      </c>
      <c r="C34" s="394" t="s">
        <v>50</v>
      </c>
      <c r="D34" s="468">
        <f t="shared" ref="D34:D36" si="7">K13</f>
        <v>-0.26641735990178272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45">
      <c r="B35" s="448">
        <f t="shared" si="6"/>
        <v>29</v>
      </c>
      <c r="C35" s="394" t="s">
        <v>53</v>
      </c>
      <c r="D35" s="468">
        <f t="shared" si="7"/>
        <v>-1.3388048854045329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4.65" thickBot="1" x14ac:dyDescent="0.5">
      <c r="B36" s="450">
        <f t="shared" si="6"/>
        <v>30</v>
      </c>
      <c r="C36" s="414" t="s">
        <v>56</v>
      </c>
      <c r="D36" s="415">
        <f t="shared" si="7"/>
        <v>-1.127731004310333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4.65" thickTop="1" x14ac:dyDescent="0.4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4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4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4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4.65" thickBot="1" x14ac:dyDescent="0.5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4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45">
      <c r="B43" s="448">
        <f>B33</f>
        <v>27</v>
      </c>
      <c r="C43" s="391" t="s">
        <v>47</v>
      </c>
      <c r="D43" s="469">
        <f>D23+D33</f>
        <v>-14.208049647744133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45">
      <c r="B44" s="448">
        <f t="shared" ref="B44:B46" si="8">B34</f>
        <v>28</v>
      </c>
      <c r="C44" s="394" t="s">
        <v>50</v>
      </c>
      <c r="D44" s="469">
        <f t="shared" ref="D44:D46" si="9">D24+D34</f>
        <v>-5.454460594701783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45">
      <c r="B45" s="448">
        <f t="shared" si="8"/>
        <v>29</v>
      </c>
      <c r="C45" s="394" t="s">
        <v>53</v>
      </c>
      <c r="D45" s="469">
        <f t="shared" si="9"/>
        <v>-3.9544357561045329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4.65" thickBot="1" x14ac:dyDescent="0.5">
      <c r="B46" s="450">
        <f t="shared" si="8"/>
        <v>30</v>
      </c>
      <c r="C46" s="414" t="s">
        <v>56</v>
      </c>
      <c r="D46" s="470">
        <f t="shared" si="9"/>
        <v>-2.0381926962103329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4.65" thickTop="1" x14ac:dyDescent="0.4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4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4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4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4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4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4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4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4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4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4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4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4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4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4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4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4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4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4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4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4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4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4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4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4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4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4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4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4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4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4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4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4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4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4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4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4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4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4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4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4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4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4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4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4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4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4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4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4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4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4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4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4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4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4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4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4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4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2022-01-21T23:37:25Z</dcterms:modified>
</cp:coreProperties>
</file>