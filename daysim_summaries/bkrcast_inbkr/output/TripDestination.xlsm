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919CF3F2-0D79-45A5-84D0-E68D8FB345E3}" xr6:coauthVersionLast="47" xr6:coauthVersionMax="47" xr10:uidLastSave="{00000000-0000-0000-0000-000000000000}"/>
  <bookViews>
    <workbookView xWindow="10545" yWindow="4890" windowWidth="7200" windowHeight="4050" xr2:uid="{00000000-000D-0000-FFFF-FFFF00000000}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6" i="3" l="1"/>
  <c r="V16" i="3"/>
  <c r="Z17" i="3"/>
  <c r="V17" i="3"/>
  <c r="Z15" i="3"/>
  <c r="V15" i="3"/>
  <c r="Z14" i="3"/>
  <c r="V14" i="3"/>
  <c r="Z13" i="3"/>
  <c r="V13" i="3"/>
  <c r="Z12" i="3"/>
  <c r="V12" i="3"/>
  <c r="Z11" i="3"/>
  <c r="V11" i="3"/>
  <c r="Z10" i="3"/>
  <c r="V10" i="3"/>
  <c r="F102" i="22" l="1"/>
  <c r="G102" i="22" s="1"/>
  <c r="B102" i="22"/>
  <c r="C65" i="22" s="1"/>
  <c r="F102" i="21"/>
  <c r="B102" i="21"/>
  <c r="F102" i="20"/>
  <c r="G102" i="20" s="1"/>
  <c r="B102" i="20"/>
  <c r="C101" i="20" s="1"/>
  <c r="F102" i="19"/>
  <c r="B102" i="19"/>
  <c r="F102" i="18"/>
  <c r="G48" i="18" s="1"/>
  <c r="B102" i="18"/>
  <c r="C93" i="18" s="1"/>
  <c r="F102" i="17"/>
  <c r="B102" i="17"/>
  <c r="F102" i="16"/>
  <c r="G89" i="16" s="1"/>
  <c r="B102" i="16"/>
  <c r="C37" i="16" s="1"/>
  <c r="F102" i="15"/>
  <c r="B102" i="15"/>
  <c r="F102" i="14"/>
  <c r="G65" i="14" s="1"/>
  <c r="B102" i="14"/>
  <c r="C34" i="14" s="1"/>
  <c r="F102" i="13"/>
  <c r="B102" i="13"/>
  <c r="F102" i="12"/>
  <c r="G102" i="12" s="1"/>
  <c r="B102" i="12"/>
  <c r="C34" i="12" s="1"/>
  <c r="F102" i="11"/>
  <c r="B102" i="11"/>
  <c r="F102" i="9"/>
  <c r="G78" i="9" s="1"/>
  <c r="B102" i="9"/>
  <c r="C61" i="9" s="1"/>
  <c r="F102" i="8"/>
  <c r="B102" i="8"/>
  <c r="G12" i="22" l="1"/>
  <c r="G32" i="22"/>
  <c r="G34" i="22"/>
  <c r="G36" i="22"/>
  <c r="C30" i="15"/>
  <c r="U14" i="3"/>
  <c r="W14" i="3" s="1"/>
  <c r="G29" i="21"/>
  <c r="Y17" i="3"/>
  <c r="G27" i="15"/>
  <c r="Y14" i="3"/>
  <c r="AA14" i="3" s="1"/>
  <c r="G89" i="17"/>
  <c r="Y15" i="3"/>
  <c r="AA15" i="3" s="1"/>
  <c r="G81" i="19"/>
  <c r="Y16" i="3"/>
  <c r="AA16" i="3" s="1"/>
  <c r="C92" i="17"/>
  <c r="U15" i="3"/>
  <c r="W15" i="3" s="1"/>
  <c r="G38" i="22"/>
  <c r="C46" i="8"/>
  <c r="U11" i="3"/>
  <c r="W11" i="3" s="1"/>
  <c r="C40" i="22"/>
  <c r="C100" i="19"/>
  <c r="U16" i="3"/>
  <c r="W16" i="3" s="1"/>
  <c r="G51" i="8"/>
  <c r="Y11" i="3"/>
  <c r="AA11" i="3" s="1"/>
  <c r="C12" i="11"/>
  <c r="U12" i="3"/>
  <c r="W12" i="3" s="1"/>
  <c r="G57" i="13"/>
  <c r="Y13" i="3"/>
  <c r="AA13" i="3" s="1"/>
  <c r="C99" i="21"/>
  <c r="U17" i="3"/>
  <c r="G67" i="11"/>
  <c r="Y12" i="3"/>
  <c r="AA12" i="3" s="1"/>
  <c r="C38" i="13"/>
  <c r="U13" i="3"/>
  <c r="W13" i="3" s="1"/>
  <c r="C33" i="20"/>
  <c r="C32" i="20"/>
  <c r="C34" i="20"/>
  <c r="C30" i="20"/>
  <c r="G40" i="22"/>
  <c r="C42" i="22"/>
  <c r="C43" i="22"/>
  <c r="C37" i="20"/>
  <c r="C31" i="20"/>
  <c r="C38" i="20"/>
  <c r="G18" i="22"/>
  <c r="G22" i="22"/>
  <c r="C23" i="22"/>
  <c r="G29" i="20"/>
  <c r="G24" i="22"/>
  <c r="G69" i="20"/>
  <c r="G44" i="22"/>
  <c r="C73" i="20"/>
  <c r="C47" i="22"/>
  <c r="C74" i="20"/>
  <c r="G48" i="22"/>
  <c r="C39" i="20"/>
  <c r="C72" i="20"/>
  <c r="C45" i="22"/>
  <c r="C75" i="20"/>
  <c r="C50" i="22"/>
  <c r="C76" i="20"/>
  <c r="G50" i="22"/>
  <c r="C79" i="20"/>
  <c r="G54" i="22"/>
  <c r="G81" i="8"/>
  <c r="G12" i="12"/>
  <c r="C22" i="22"/>
  <c r="C13" i="12"/>
  <c r="C16" i="12"/>
  <c r="C18" i="12"/>
  <c r="C60" i="12"/>
  <c r="C64" i="12"/>
  <c r="C48" i="22"/>
  <c r="C53" i="22"/>
  <c r="C11" i="22"/>
  <c r="C15" i="22"/>
  <c r="C16" i="22"/>
  <c r="C18" i="22"/>
  <c r="C68" i="12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B102" i="3"/>
  <c r="C13" i="3" l="1"/>
  <c r="U10" i="3"/>
  <c r="W10" i="3" s="1"/>
  <c r="G102" i="3"/>
  <c r="Y10" i="3"/>
  <c r="AA10" i="3" s="1"/>
  <c r="AA17" i="3"/>
  <c r="W17" i="3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AA18" i="3" l="1"/>
  <c r="AA19" i="3" s="1"/>
  <c r="Y18" i="3"/>
  <c r="Y19" i="3" s="1"/>
  <c r="U18" i="3"/>
  <c r="U19" i="3" s="1"/>
  <c r="W18" i="3"/>
  <c r="W19" i="3" s="1"/>
  <c r="Z19" i="3" l="1"/>
  <c r="Z18" i="3"/>
  <c r="V19" i="3"/>
  <c r="V18" i="3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<sst xmlns="http://schemas.openxmlformats.org/spreadsheetml/2006/main" count="303" uniqueCount="49">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</sst>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  <xf numFmtId="43" fontId="3" fillId="0" borderId="0" applyFont="0" applyFill="0" applyBorder="0" applyAlignment="0" applyProtection="0"/>
  </cellStyleXfs>
  <cellXfs count="380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165" fontId="0" fillId="0" borderId="0" xfId="8" applyNumberFormat="1" applyFont="1"/>
    <xf numFmtId="0" fontId="0" fillId="0" borderId="3" xfId="0" applyBorder="1"/>
    <xf numFmtId="0" fontId="1" fillId="0" borderId="3" xfId="0" applyFont="1" applyBorder="1"/>
    <xf numFmtId="165" fontId="1" fillId="0" borderId="3" xfId="8" applyNumberFormat="1" applyFont="1" applyBorder="1"/>
    <xf numFmtId="2" fontId="1" fillId="0" borderId="3" xfId="0" applyNumberFormat="1" applyFont="1" applyBorder="1"/>
    <xf numFmtId="43" fontId="1" fillId="0" borderId="3" xfId="0" applyNumberFormat="1" applyFont="1" applyBorder="1"/>
    <xf numFmtId="165" fontId="1" fillId="0" borderId="3" xfId="0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theme/theme1.xml" Type="http://schemas.openxmlformats.org/officeDocument/2006/relationships/theme"/><Relationship Id="rId18" Target="styles.xml" Type="http://schemas.openxmlformats.org/officeDocument/2006/relationships/styles"/><Relationship Id="rId19" Target="sharedStrings.xml" Type="http://schemas.openxmlformats.org/officeDocument/2006/relationships/sharedStrings"/><Relationship Id="rId2" Target="worksheets/sheet2.xml" Type="http://schemas.openxmlformats.org/officeDocument/2006/relationships/worksheet"/><Relationship Id="rId20" Target="calcChain.xml" Type="http://schemas.openxmlformats.org/officeDocument/2006/relationships/calcChain"/><Relationship Id="rId21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0.17718106540722242</c:v>
                </c:pt>
                <c:pt idx="1">
                  <c:v>0.17111379858542641</c:v>
                </c:pt>
                <c:pt idx="2">
                  <c:v>0.12598664406880378</c:v>
                </c:pt>
                <c:pt idx="3">
                  <c:v>0.110466886627455</c:v>
                </c:pt>
                <c:pt idx="4">
                  <c:v>8.0759944459159447E-2</c:v>
                </c:pt>
                <c:pt idx="5">
                  <c:v>6.1071990165775046E-2</c:v>
                </c:pt>
                <c:pt idx="6">
                  <c:v>2.5798069565205761E-2</c:v>
                </c:pt>
                <c:pt idx="7">
                  <c:v>3.0877772140653004E-2</c:v>
                </c:pt>
                <c:pt idx="8">
                  <c:v>2.6307891847702901E-2</c:v>
                </c:pt>
                <c:pt idx="9">
                  <c:v>2.6754254520467542E-2</c:v>
                </c:pt>
                <c:pt idx="10">
                  <c:v>1.4834754450003238E-2</c:v>
                </c:pt>
                <c:pt idx="11">
                  <c:v>1.9139302802573366E-2</c:v>
                </c:pt>
                <c:pt idx="12">
                  <c:v>8.7098473581214298E-3</c:v>
                </c:pt>
                <c:pt idx="13">
                  <c:v>5.8072232297503154E-3</c:v>
                </c:pt>
                <c:pt idx="14">
                  <c:v>1.0713864619711595E-2</c:v>
                </c:pt>
                <c:pt idx="15">
                  <c:v>1.8533444649636223E-2</c:v>
                </c:pt>
                <c:pt idx="16">
                  <c:v>1.2412414940727779E-2</c:v>
                </c:pt>
                <c:pt idx="17">
                  <c:v>1.141914372799439E-2</c:v>
                </c:pt>
                <c:pt idx="18">
                  <c:v>1.7432515445267287E-2</c:v>
                </c:pt>
                <c:pt idx="19">
                  <c:v>8.1576438866169405E-3</c:v>
                </c:pt>
                <c:pt idx="20">
                  <c:v>7.758077838972019E-3</c:v>
                </c:pt>
                <c:pt idx="21">
                  <c:v>2.7595433254411061E-3</c:v>
                </c:pt>
                <c:pt idx="22">
                  <c:v>8.7245264289693408E-3</c:v>
                </c:pt>
                <c:pt idx="23">
                  <c:v>3.4946089756137575E-3</c:v>
                </c:pt>
                <c:pt idx="24">
                  <c:v>8.0516299296897918E-4</c:v>
                </c:pt>
                <c:pt idx="25">
                  <c:v>1.1820604245830406E-3</c:v>
                </c:pt>
                <c:pt idx="26">
                  <c:v>4.6390236119323502E-4</c:v>
                </c:pt>
                <c:pt idx="27">
                  <c:v>1.1606196104786636E-3</c:v>
                </c:pt>
                <c:pt idx="28">
                  <c:v>0</c:v>
                </c:pt>
                <c:pt idx="29">
                  <c:v>3.2619835983314048E-3</c:v>
                </c:pt>
                <c:pt idx="30">
                  <c:v>1.1097322806232499E-3</c:v>
                </c:pt>
                <c:pt idx="31">
                  <c:v>4.8788040201711274E-4</c:v>
                </c:pt>
                <c:pt idx="32">
                  <c:v>9.1939570000323966E-4</c:v>
                </c:pt>
                <c:pt idx="33">
                  <c:v>8.9244285885927614E-4</c:v>
                </c:pt>
                <c:pt idx="34">
                  <c:v>3.5799501486274304E-4</c:v>
                </c:pt>
                <c:pt idx="35">
                  <c:v>8.9244285885927614E-4</c:v>
                </c:pt>
                <c:pt idx="36">
                  <c:v>0</c:v>
                </c:pt>
                <c:pt idx="37">
                  <c:v>0</c:v>
                </c:pt>
                <c:pt idx="38">
                  <c:v>6.9418975233161823E-4</c:v>
                </c:pt>
                <c:pt idx="39">
                  <c:v>1.0439758403245534E-3</c:v>
                </c:pt>
                <c:pt idx="40">
                  <c:v>5.1298723729357868E-4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0.10592002298555253</c:v>
                </c:pt>
                <c:pt idx="1">
                  <c:v>0.12880473745498547</c:v>
                </c:pt>
                <c:pt idx="2">
                  <c:v>0.1133502686022049</c:v>
                </c:pt>
                <c:pt idx="3">
                  <c:v>0.10876835287243433</c:v>
                </c:pt>
                <c:pt idx="4">
                  <c:v>9.5394187031120278E-2</c:v>
                </c:pt>
                <c:pt idx="5">
                  <c:v>7.805418457232921E-2</c:v>
                </c:pt>
                <c:pt idx="6">
                  <c:v>5.8057858945510153E-2</c:v>
                </c:pt>
                <c:pt idx="7">
                  <c:v>4.5037316989279395E-2</c:v>
                </c:pt>
                <c:pt idx="8">
                  <c:v>4.3651829658269484E-2</c:v>
                </c:pt>
                <c:pt idx="9">
                  <c:v>2.9097996637810406E-2</c:v>
                </c:pt>
                <c:pt idx="10">
                  <c:v>2.5035465989255913E-2</c:v>
                </c:pt>
                <c:pt idx="11">
                  <c:v>2.139424504753893E-2</c:v>
                </c:pt>
                <c:pt idx="12">
                  <c:v>2.1260254747331592E-2</c:v>
                </c:pt>
                <c:pt idx="13">
                  <c:v>1.8322137545877866E-2</c:v>
                </c:pt>
                <c:pt idx="14">
                  <c:v>1.6067785278471903E-2</c:v>
                </c:pt>
                <c:pt idx="15">
                  <c:v>1.503039645934085E-2</c:v>
                </c:pt>
                <c:pt idx="16">
                  <c:v>1.1995585226809663E-2</c:v>
                </c:pt>
                <c:pt idx="17">
                  <c:v>1.0633580731918562E-2</c:v>
                </c:pt>
                <c:pt idx="18">
                  <c:v>7.9523933844706622E-3</c:v>
                </c:pt>
                <c:pt idx="19">
                  <c:v>7.1360194935166654E-3</c:v>
                </c:pt>
                <c:pt idx="20">
                  <c:v>6.2574851540128712E-3</c:v>
                </c:pt>
                <c:pt idx="21">
                  <c:v>5.4936023085009247E-3</c:v>
                </c:pt>
                <c:pt idx="22">
                  <c:v>4.6178306555993438E-3</c:v>
                </c:pt>
                <c:pt idx="23">
                  <c:v>3.7724485553221085E-3</c:v>
                </c:pt>
                <c:pt idx="24">
                  <c:v>3.2268179513850041E-3</c:v>
                </c:pt>
                <c:pt idx="25">
                  <c:v>2.4919433151962956E-3</c:v>
                </c:pt>
                <c:pt idx="26">
                  <c:v>2.3330888355690377E-3</c:v>
                </c:pt>
                <c:pt idx="27">
                  <c:v>1.7625940522120141E-3</c:v>
                </c:pt>
                <c:pt idx="28">
                  <c:v>1.4283089733442183E-3</c:v>
                </c:pt>
                <c:pt idx="29">
                  <c:v>1.095405237777529E-3</c:v>
                </c:pt>
                <c:pt idx="30">
                  <c:v>1.0000925500011741E-3</c:v>
                </c:pt>
                <c:pt idx="31">
                  <c:v>7.6112015890973336E-4</c:v>
                </c:pt>
                <c:pt idx="32">
                  <c:v>7.3901866609202781E-4</c:v>
                </c:pt>
                <c:pt idx="33">
                  <c:v>6.2712985870239373E-4</c:v>
                </c:pt>
                <c:pt idx="34">
                  <c:v>3.5914925828771447E-4</c:v>
                </c:pt>
                <c:pt idx="35">
                  <c:v>4.4202985635411011E-4</c:v>
                </c:pt>
                <c:pt idx="36">
                  <c:v>3.1909030255562325E-4</c:v>
                </c:pt>
                <c:pt idx="37">
                  <c:v>3.3428507886779579E-4</c:v>
                </c:pt>
                <c:pt idx="38">
                  <c:v>2.334470178870144E-4</c:v>
                </c:pt>
                <c:pt idx="39">
                  <c:v>2.0858283846709571E-4</c:v>
                </c:pt>
                <c:pt idx="40">
                  <c:v>1.8233731574607043E-4</c:v>
                </c:pt>
                <c:pt idx="41">
                  <c:v>1.6714253943389789E-4</c:v>
                </c:pt>
                <c:pt idx="42">
                  <c:v>1.4089701671287261E-4</c:v>
                </c:pt>
                <c:pt idx="43">
                  <c:v>1.4089701671287261E-4</c:v>
                </c:pt>
                <c:pt idx="44">
                  <c:v>1.2432089709959348E-4</c:v>
                </c:pt>
                <c:pt idx="45">
                  <c:v>1.7266791263832425E-4</c:v>
                </c:pt>
                <c:pt idx="46">
                  <c:v>9.3931344475248394E-5</c:v>
                </c:pt>
                <c:pt idx="47">
                  <c:v>8.4261941367502245E-5</c:v>
                </c:pt>
                <c:pt idx="48">
                  <c:v>8.8405971270822021E-5</c:v>
                </c:pt>
                <c:pt idx="49">
                  <c:v>6.216044854979674E-5</c:v>
                </c:pt>
                <c:pt idx="50">
                  <c:v>3.8677612430984638E-5</c:v>
                </c:pt>
                <c:pt idx="51">
                  <c:v>2.4864179419918695E-5</c:v>
                </c:pt>
                <c:pt idx="52">
                  <c:v>2.6245522721025288E-5</c:v>
                </c:pt>
                <c:pt idx="53">
                  <c:v>3.1770895925451661E-5</c:v>
                </c:pt>
                <c:pt idx="54">
                  <c:v>1.3813433011065941E-5</c:v>
                </c:pt>
                <c:pt idx="55">
                  <c:v>1.2432089709959348E-5</c:v>
                </c:pt>
                <c:pt idx="56">
                  <c:v>3.0389552624345072E-5</c:v>
                </c:pt>
                <c:pt idx="57">
                  <c:v>2.2101492817705505E-5</c:v>
                </c:pt>
                <c:pt idx="58">
                  <c:v>1.6576119613279129E-5</c:v>
                </c:pt>
                <c:pt idx="59">
                  <c:v>1.3813433011065941E-5</c:v>
                </c:pt>
                <c:pt idx="60">
                  <c:v>1.3813433011065941E-5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26992"/>
        <c:axId val="124726600"/>
      </c:lineChart>
      <c:catAx>
        <c:axId val="124726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26600"/>
        <c:crosses val="autoZero"/>
        <c:auto val="1"/>
        <c:lblAlgn val="ctr"/>
        <c:lblOffset val="100"/>
        <c:tickLblSkip val="10"/>
        <c:noMultiLvlLbl val="0"/>
      </c:catAx>
      <c:valAx>
        <c:axId val="1247266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26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9.7667443553309981E-3</c:v>
                </c:pt>
                <c:pt idx="1">
                  <c:v>2.7826725967537751E-2</c:v>
                </c:pt>
                <c:pt idx="2">
                  <c:v>4.0718366462372549E-2</c:v>
                </c:pt>
                <c:pt idx="3">
                  <c:v>6.0300928863323423E-2</c:v>
                </c:pt>
                <c:pt idx="4">
                  <c:v>4.5783821117422359E-2</c:v>
                </c:pt>
                <c:pt idx="5">
                  <c:v>6.2719274397129599E-2</c:v>
                </c:pt>
                <c:pt idx="6">
                  <c:v>6.9505345642036365E-2</c:v>
                </c:pt>
                <c:pt idx="7">
                  <c:v>7.8095737953513322E-2</c:v>
                </c:pt>
                <c:pt idx="8">
                  <c:v>7.1736604897113476E-2</c:v>
                </c:pt>
                <c:pt idx="9">
                  <c:v>4.5554391890384689E-2</c:v>
                </c:pt>
                <c:pt idx="10">
                  <c:v>5.686975770427135E-2</c:v>
                </c:pt>
                <c:pt idx="11">
                  <c:v>4.4713231517041867E-2</c:v>
                </c:pt>
                <c:pt idx="12">
                  <c:v>2.5333464307065602E-2</c:v>
                </c:pt>
                <c:pt idx="13">
                  <c:v>2.3878473092776707E-2</c:v>
                </c:pt>
                <c:pt idx="14">
                  <c:v>2.5995037031112233E-2</c:v>
                </c:pt>
                <c:pt idx="15">
                  <c:v>1.9771054324334614E-2</c:v>
                </c:pt>
                <c:pt idx="16">
                  <c:v>1.5357778902609141E-2</c:v>
                </c:pt>
                <c:pt idx="17">
                  <c:v>2.1950706027244003E-2</c:v>
                </c:pt>
                <c:pt idx="18">
                  <c:v>1.5657558872628655E-2</c:v>
                </c:pt>
                <c:pt idx="19">
                  <c:v>7.9492806514676138E-3</c:v>
                </c:pt>
                <c:pt idx="20">
                  <c:v>1.8727764660805887E-2</c:v>
                </c:pt>
                <c:pt idx="21">
                  <c:v>6.7086382867537027E-3</c:v>
                </c:pt>
                <c:pt idx="22">
                  <c:v>1.8559197946599677E-2</c:v>
                </c:pt>
                <c:pt idx="23">
                  <c:v>1.5948290580664395E-2</c:v>
                </c:pt>
                <c:pt idx="24">
                  <c:v>6.9329628806580673E-3</c:v>
                </c:pt>
                <c:pt idx="25">
                  <c:v>8.8696062882116389E-3</c:v>
                </c:pt>
                <c:pt idx="26">
                  <c:v>5.0504756152140815E-3</c:v>
                </c:pt>
                <c:pt idx="27">
                  <c:v>5.5265303001115519E-3</c:v>
                </c:pt>
                <c:pt idx="28">
                  <c:v>8.9962454935485821E-3</c:v>
                </c:pt>
                <c:pt idx="29">
                  <c:v>4.5888253187580568E-3</c:v>
                </c:pt>
                <c:pt idx="30">
                  <c:v>5.7029120775322585E-3</c:v>
                </c:pt>
                <c:pt idx="31">
                  <c:v>6.891740041636253E-3</c:v>
                </c:pt>
                <c:pt idx="32">
                  <c:v>8.9795851567391755E-3</c:v>
                </c:pt>
                <c:pt idx="33">
                  <c:v>5.9159754500131174E-3</c:v>
                </c:pt>
                <c:pt idx="34">
                  <c:v>4.4193312175591594E-3</c:v>
                </c:pt>
                <c:pt idx="35">
                  <c:v>9.6758051605174891E-3</c:v>
                </c:pt>
                <c:pt idx="36">
                  <c:v>7.1938103887978968E-3</c:v>
                </c:pt>
                <c:pt idx="37">
                  <c:v>5.1933942514696832E-3</c:v>
                </c:pt>
                <c:pt idx="38">
                  <c:v>8.5975027513917578E-3</c:v>
                </c:pt>
                <c:pt idx="39">
                  <c:v>3.4326151322174735E-3</c:v>
                </c:pt>
                <c:pt idx="40">
                  <c:v>5.2414186018355288E-3</c:v>
                </c:pt>
                <c:pt idx="41">
                  <c:v>2.9052475482574331E-3</c:v>
                </c:pt>
                <c:pt idx="42">
                  <c:v>4.0478057417312526E-3</c:v>
                </c:pt>
                <c:pt idx="43">
                  <c:v>2.184505371661928E-3</c:v>
                </c:pt>
                <c:pt idx="44">
                  <c:v>5.4488243699304046E-3</c:v>
                </c:pt>
                <c:pt idx="45">
                  <c:v>6.9936814063927422E-3</c:v>
                </c:pt>
                <c:pt idx="46">
                  <c:v>5.2337032788908854E-3</c:v>
                </c:pt>
                <c:pt idx="47">
                  <c:v>5.0092416314087241E-3</c:v>
                </c:pt>
                <c:pt idx="48">
                  <c:v>5.5391920833065562E-3</c:v>
                </c:pt>
                <c:pt idx="49">
                  <c:v>1.7418103839299717E-3</c:v>
                </c:pt>
                <c:pt idx="50">
                  <c:v>1.1540633045585755E-3</c:v>
                </c:pt>
                <c:pt idx="51">
                  <c:v>3.2051024094959749E-3</c:v>
                </c:pt>
                <c:pt idx="52">
                  <c:v>2.4005067409415201E-3</c:v>
                </c:pt>
                <c:pt idx="53">
                  <c:v>1.9890916360948601E-3</c:v>
                </c:pt>
                <c:pt idx="54">
                  <c:v>2.0764966310839504E-3</c:v>
                </c:pt>
                <c:pt idx="55">
                  <c:v>1.5920452623907001E-4</c:v>
                </c:pt>
                <c:pt idx="56">
                  <c:v>4.6390236119323502E-4</c:v>
                </c:pt>
                <c:pt idx="57">
                  <c:v>1.4307983493585894E-3</c:v>
                </c:pt>
                <c:pt idx="58">
                  <c:v>1.7156821035688695E-3</c:v>
                </c:pt>
                <c:pt idx="59">
                  <c:v>0</c:v>
                </c:pt>
                <c:pt idx="60">
                  <c:v>1.1930782159948583E-3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3.048624665542253E-3</c:v>
                </c:pt>
                <c:pt idx="1">
                  <c:v>1.719219872557267E-2</c:v>
                </c:pt>
                <c:pt idx="2">
                  <c:v>3.3987951923727749E-2</c:v>
                </c:pt>
                <c:pt idx="3">
                  <c:v>4.8688207334104124E-2</c:v>
                </c:pt>
                <c:pt idx="4">
                  <c:v>5.2270030513873522E-2</c:v>
                </c:pt>
                <c:pt idx="5">
                  <c:v>5.3033913359385468E-2</c:v>
                </c:pt>
                <c:pt idx="6">
                  <c:v>5.4880769352964986E-2</c:v>
                </c:pt>
                <c:pt idx="7">
                  <c:v>5.5911251455590505E-2</c:v>
                </c:pt>
                <c:pt idx="8">
                  <c:v>5.4133462627066316E-2</c:v>
                </c:pt>
                <c:pt idx="9">
                  <c:v>5.1435699160005136E-2</c:v>
                </c:pt>
                <c:pt idx="10">
                  <c:v>4.8399506584172844E-2</c:v>
                </c:pt>
                <c:pt idx="11">
                  <c:v>4.1977641577328285E-2</c:v>
                </c:pt>
                <c:pt idx="12">
                  <c:v>3.6011619859848909E-2</c:v>
                </c:pt>
                <c:pt idx="13">
                  <c:v>2.9897794409151125E-2</c:v>
                </c:pt>
                <c:pt idx="14">
                  <c:v>2.3915196572058463E-2</c:v>
                </c:pt>
                <c:pt idx="15">
                  <c:v>2.3833697317293175E-2</c:v>
                </c:pt>
                <c:pt idx="16">
                  <c:v>2.6458249589395702E-2</c:v>
                </c:pt>
                <c:pt idx="17">
                  <c:v>2.1630454752028159E-2</c:v>
                </c:pt>
                <c:pt idx="18">
                  <c:v>2.0015664433034548E-2</c:v>
                </c:pt>
                <c:pt idx="19">
                  <c:v>1.8812514417770706E-2</c:v>
                </c:pt>
                <c:pt idx="20">
                  <c:v>1.8135656200228473E-2</c:v>
                </c:pt>
                <c:pt idx="21">
                  <c:v>1.7008480066525493E-2</c:v>
                </c:pt>
                <c:pt idx="22">
                  <c:v>1.6915930065351352E-2</c:v>
                </c:pt>
                <c:pt idx="23">
                  <c:v>1.6342672595392117E-2</c:v>
                </c:pt>
                <c:pt idx="24">
                  <c:v>1.3745747189311718E-2</c:v>
                </c:pt>
                <c:pt idx="25">
                  <c:v>1.3713976293386266E-2</c:v>
                </c:pt>
                <c:pt idx="26">
                  <c:v>1.2535690457542341E-2</c:v>
                </c:pt>
                <c:pt idx="27">
                  <c:v>1.1484488205400224E-2</c:v>
                </c:pt>
                <c:pt idx="28">
                  <c:v>1.2204168065276759E-2</c:v>
                </c:pt>
                <c:pt idx="29">
                  <c:v>1.0487158342001262E-2</c:v>
                </c:pt>
                <c:pt idx="30">
                  <c:v>9.4152359403425461E-3</c:v>
                </c:pt>
                <c:pt idx="31">
                  <c:v>8.8267836940711369E-3</c:v>
                </c:pt>
                <c:pt idx="32">
                  <c:v>8.2756277169296049E-3</c:v>
                </c:pt>
                <c:pt idx="33">
                  <c:v>8.2093232384764896E-3</c:v>
                </c:pt>
                <c:pt idx="34">
                  <c:v>6.8265985940687878E-3</c:v>
                </c:pt>
                <c:pt idx="35">
                  <c:v>6.249197094206232E-3</c:v>
                </c:pt>
                <c:pt idx="36">
                  <c:v>6.3168829159604553E-3</c:v>
                </c:pt>
                <c:pt idx="37">
                  <c:v>5.2366724544950982E-3</c:v>
                </c:pt>
                <c:pt idx="38">
                  <c:v>4.9686918540804191E-3</c:v>
                </c:pt>
                <c:pt idx="39">
                  <c:v>4.3332739355713855E-3</c:v>
                </c:pt>
                <c:pt idx="40">
                  <c:v>3.9423537813582194E-3</c:v>
                </c:pt>
                <c:pt idx="41">
                  <c:v>3.4188246702388206E-3</c:v>
                </c:pt>
                <c:pt idx="42">
                  <c:v>3.6577970613302611E-3</c:v>
                </c:pt>
                <c:pt idx="43">
                  <c:v>3.2461567576004963E-3</c:v>
                </c:pt>
                <c:pt idx="44">
                  <c:v>3.1591321296307808E-3</c:v>
                </c:pt>
                <c:pt idx="45">
                  <c:v>2.6190268988981026E-3</c:v>
                </c:pt>
                <c:pt idx="46">
                  <c:v>2.4311642099476057E-3</c:v>
                </c:pt>
                <c:pt idx="47">
                  <c:v>2.262640327212601E-3</c:v>
                </c:pt>
                <c:pt idx="48">
                  <c:v>1.9988037567012415E-3</c:v>
                </c:pt>
                <c:pt idx="49">
                  <c:v>1.8910589792149274E-3</c:v>
                </c:pt>
                <c:pt idx="50">
                  <c:v>1.7391112160932019E-3</c:v>
                </c:pt>
                <c:pt idx="51">
                  <c:v>1.6631373345323394E-3</c:v>
                </c:pt>
                <c:pt idx="52">
                  <c:v>1.4794186754851623E-3</c:v>
                </c:pt>
                <c:pt idx="53">
                  <c:v>1.2722171803191732E-3</c:v>
                </c:pt>
                <c:pt idx="54">
                  <c:v>1.1851925523494577E-3</c:v>
                </c:pt>
                <c:pt idx="55">
                  <c:v>1.0733037449598237E-3</c:v>
                </c:pt>
                <c:pt idx="56">
                  <c:v>9.6970299737682904E-4</c:v>
                </c:pt>
                <c:pt idx="57">
                  <c:v>1.0304821026255193E-3</c:v>
                </c:pt>
                <c:pt idx="58">
                  <c:v>9.379321014513774E-4</c:v>
                </c:pt>
                <c:pt idx="59">
                  <c:v>7.5145075580198715E-4</c:v>
                </c:pt>
                <c:pt idx="60">
                  <c:v>1.0318634459266258E-3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0912"/>
        <c:axId val="124730520"/>
      </c:lineChart>
      <c:catAx>
        <c:axId val="1247309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0520"/>
        <c:crosses val="autoZero"/>
        <c:auto val="1"/>
        <c:lblAlgn val="ctr"/>
        <c:lblOffset val="100"/>
        <c:tickLblSkip val="10"/>
        <c:noMultiLvlLbl val="0"/>
      </c:catAx>
      <c:valAx>
        <c:axId val="12473052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09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8.3158478250500989E-2</c:v>
                </c:pt>
                <c:pt idx="1">
                  <c:v>9.7330644904119051E-2</c:v>
                </c:pt>
                <c:pt idx="2">
                  <c:v>7.6893376167124119E-2</c:v>
                </c:pt>
                <c:pt idx="3">
                  <c:v>8.1784151310776418E-2</c:v>
                </c:pt>
                <c:pt idx="4">
                  <c:v>7.3253902845880653E-2</c:v>
                </c:pt>
                <c:pt idx="5">
                  <c:v>5.748421611979028E-2</c:v>
                </c:pt>
                <c:pt idx="6">
                  <c:v>5.1165750241210992E-2</c:v>
                </c:pt>
                <c:pt idx="7">
                  <c:v>6.0551071757581239E-2</c:v>
                </c:pt>
                <c:pt idx="8">
                  <c:v>2.8986358274095483E-2</c:v>
                </c:pt>
                <c:pt idx="9">
                  <c:v>2.235665053385234E-2</c:v>
                </c:pt>
                <c:pt idx="10">
                  <c:v>3.2995455789998136E-2</c:v>
                </c:pt>
                <c:pt idx="11">
                  <c:v>5.832605086167536E-2</c:v>
                </c:pt>
                <c:pt idx="12">
                  <c:v>2.6880550762301232E-2</c:v>
                </c:pt>
                <c:pt idx="13">
                  <c:v>1.5912337232336937E-2</c:v>
                </c:pt>
                <c:pt idx="14">
                  <c:v>2.7806679102098546E-2</c:v>
                </c:pt>
                <c:pt idx="15">
                  <c:v>2.503970210686458E-2</c:v>
                </c:pt>
                <c:pt idx="16">
                  <c:v>2.471059227577839E-2</c:v>
                </c:pt>
                <c:pt idx="17">
                  <c:v>1.984036919808899E-2</c:v>
                </c:pt>
                <c:pt idx="18">
                  <c:v>4.0709735263209576E-2</c:v>
                </c:pt>
                <c:pt idx="19">
                  <c:v>1.1866240656636525E-2</c:v>
                </c:pt>
                <c:pt idx="20">
                  <c:v>1.356017674256455E-2</c:v>
                </c:pt>
                <c:pt idx="21">
                  <c:v>2.0876753834902499E-2</c:v>
                </c:pt>
                <c:pt idx="22">
                  <c:v>1.2745592195892917E-2</c:v>
                </c:pt>
                <c:pt idx="23">
                  <c:v>9.5367322031749101E-3</c:v>
                </c:pt>
                <c:pt idx="24">
                  <c:v>2.9987841247096428E-3</c:v>
                </c:pt>
                <c:pt idx="25">
                  <c:v>6.3817624104583817E-3</c:v>
                </c:pt>
                <c:pt idx="26">
                  <c:v>2.4243869234896872E-3</c:v>
                </c:pt>
                <c:pt idx="27">
                  <c:v>1.8959340373200248E-3</c:v>
                </c:pt>
                <c:pt idx="28">
                  <c:v>4.2726515737155759E-4</c:v>
                </c:pt>
                <c:pt idx="29">
                  <c:v>0</c:v>
                </c:pt>
                <c:pt idx="30">
                  <c:v>1.1270761555593593E-3</c:v>
                </c:pt>
                <c:pt idx="31">
                  <c:v>0</c:v>
                </c:pt>
                <c:pt idx="32">
                  <c:v>1.9807090711274028E-3</c:v>
                </c:pt>
                <c:pt idx="33">
                  <c:v>0</c:v>
                </c:pt>
                <c:pt idx="34">
                  <c:v>0</c:v>
                </c:pt>
                <c:pt idx="35">
                  <c:v>9.6076914379853709E-4</c:v>
                </c:pt>
                <c:pt idx="36">
                  <c:v>2.5832400631587362E-3</c:v>
                </c:pt>
                <c:pt idx="37">
                  <c:v>9.9943389538423928E-4</c:v>
                </c:pt>
                <c:pt idx="38">
                  <c:v>0</c:v>
                </c:pt>
                <c:pt idx="39">
                  <c:v>2.3181014517868943E-3</c:v>
                </c:pt>
                <c:pt idx="40">
                  <c:v>7.5423940482290401E-4</c:v>
                </c:pt>
                <c:pt idx="41">
                  <c:v>1.3767295305581121E-3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0.10409637365145356</c:v>
                </c:pt>
                <c:pt idx="1">
                  <c:v>8.6945391965161392E-2</c:v>
                </c:pt>
                <c:pt idx="2">
                  <c:v>7.1888551002658535E-2</c:v>
                </c:pt>
                <c:pt idx="3">
                  <c:v>7.1641818664067755E-2</c:v>
                </c:pt>
                <c:pt idx="4">
                  <c:v>7.9793238300260916E-2</c:v>
                </c:pt>
                <c:pt idx="5">
                  <c:v>6.525453524879872E-2</c:v>
                </c:pt>
                <c:pt idx="6">
                  <c:v>5.1474534138503197E-2</c:v>
                </c:pt>
                <c:pt idx="7">
                  <c:v>4.5108839802860859E-2</c:v>
                </c:pt>
                <c:pt idx="8">
                  <c:v>4.2015433107778853E-2</c:v>
                </c:pt>
                <c:pt idx="9">
                  <c:v>3.3429147724819426E-2</c:v>
                </c:pt>
                <c:pt idx="10">
                  <c:v>3.4477760163830272E-2</c:v>
                </c:pt>
                <c:pt idx="11">
                  <c:v>3.3722142376895983E-2</c:v>
                </c:pt>
                <c:pt idx="12">
                  <c:v>3.267352993788513E-2</c:v>
                </c:pt>
                <c:pt idx="13">
                  <c:v>2.970965772056329E-2</c:v>
                </c:pt>
                <c:pt idx="14">
                  <c:v>2.8577773117278049E-2</c:v>
                </c:pt>
                <c:pt idx="15">
                  <c:v>2.6489800701953503E-2</c:v>
                </c:pt>
                <c:pt idx="16">
                  <c:v>2.3646210499694668E-2</c:v>
                </c:pt>
                <c:pt idx="17">
                  <c:v>2.169702502482744E-2</c:v>
                </c:pt>
                <c:pt idx="18">
                  <c:v>1.6228819570809096E-2</c:v>
                </c:pt>
                <c:pt idx="19">
                  <c:v>1.511235573868578E-2</c:v>
                </c:pt>
                <c:pt idx="20">
                  <c:v>1.2466151407299576E-2</c:v>
                </c:pt>
                <c:pt idx="21">
                  <c:v>1.0729772574466903E-2</c:v>
                </c:pt>
                <c:pt idx="22">
                  <c:v>9.3449873241261052E-3</c:v>
                </c:pt>
                <c:pt idx="23">
                  <c:v>7.9848753076443846E-3</c:v>
                </c:pt>
                <c:pt idx="24">
                  <c:v>6.4057883406633395E-3</c:v>
                </c:pt>
                <c:pt idx="25">
                  <c:v>5.8136307280454479E-3</c:v>
                </c:pt>
                <c:pt idx="26">
                  <c:v>5.2399780408218652E-3</c:v>
                </c:pt>
                <c:pt idx="27">
                  <c:v>4.472023636958037E-3</c:v>
                </c:pt>
                <c:pt idx="28">
                  <c:v>2.9731246800189983E-3</c:v>
                </c:pt>
                <c:pt idx="29">
                  <c:v>2.8343377395616798E-3</c:v>
                </c:pt>
                <c:pt idx="30">
                  <c:v>2.5043332366965006E-3</c:v>
                </c:pt>
                <c:pt idx="31">
                  <c:v>2.2329276642466338E-3</c:v>
                </c:pt>
                <c:pt idx="32">
                  <c:v>1.6006760466077388E-3</c:v>
                </c:pt>
                <c:pt idx="33">
                  <c:v>1.7302105243679027E-3</c:v>
                </c:pt>
                <c:pt idx="34">
                  <c:v>9.838452001307682E-4</c:v>
                </c:pt>
                <c:pt idx="35">
                  <c:v>9.3449873241261046E-4</c:v>
                </c:pt>
                <c:pt idx="36">
                  <c:v>1.0763698271023137E-3</c:v>
                </c:pt>
                <c:pt idx="37">
                  <c:v>8.8206811046206794E-4</c:v>
                </c:pt>
                <c:pt idx="38">
                  <c:v>7.6795440386382839E-4</c:v>
                </c:pt>
                <c:pt idx="39">
                  <c:v>5.8290514992073727E-4</c:v>
                </c:pt>
                <c:pt idx="40">
                  <c:v>5.9832592108266145E-4</c:v>
                </c:pt>
                <c:pt idx="41">
                  <c:v>4.5028651792818856E-4</c:v>
                </c:pt>
                <c:pt idx="42">
                  <c:v>4.6879144332249767E-4</c:v>
                </c:pt>
                <c:pt idx="43">
                  <c:v>3.36172811329949E-4</c:v>
                </c:pt>
                <c:pt idx="44">
                  <c:v>3.4234111979471871E-4</c:v>
                </c:pt>
                <c:pt idx="45">
                  <c:v>3.3308865709756412E-4</c:v>
                </c:pt>
                <c:pt idx="46">
                  <c:v>3.1149957747087019E-4</c:v>
                </c:pt>
                <c:pt idx="47">
                  <c:v>2.559848012879428E-4</c:v>
                </c:pt>
                <c:pt idx="48">
                  <c:v>2.1897495049932457E-4</c:v>
                </c:pt>
                <c:pt idx="49">
                  <c:v>1.7888094547832147E-4</c:v>
                </c:pt>
                <c:pt idx="50">
                  <c:v>1.3570278622493354E-4</c:v>
                </c:pt>
                <c:pt idx="51">
                  <c:v>8.9440472739160735E-5</c:v>
                </c:pt>
                <c:pt idx="52">
                  <c:v>1.1102955236585471E-4</c:v>
                </c:pt>
                <c:pt idx="53">
                  <c:v>7.4019701577236475E-5</c:v>
                </c:pt>
                <c:pt idx="54">
                  <c:v>8.3272164274391031E-5</c:v>
                </c:pt>
                <c:pt idx="55">
                  <c:v>7.0935547344851623E-5</c:v>
                </c:pt>
                <c:pt idx="56">
                  <c:v>7.4019701577236475E-5</c:v>
                </c:pt>
                <c:pt idx="57">
                  <c:v>4.6262313485772794E-5</c:v>
                </c:pt>
                <c:pt idx="58">
                  <c:v>8.3272164274391031E-5</c:v>
                </c:pt>
                <c:pt idx="59">
                  <c:v>2.7757388091463678E-5</c:v>
                </c:pt>
                <c:pt idx="60">
                  <c:v>3.0841542323848534E-5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28952"/>
        <c:axId val="124729344"/>
      </c:lineChart>
      <c:catAx>
        <c:axId val="1247289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29344"/>
        <c:crosses val="autoZero"/>
        <c:auto val="1"/>
        <c:lblAlgn val="ctr"/>
        <c:lblOffset val="100"/>
        <c:tickLblSkip val="10"/>
        <c:noMultiLvlLbl val="0"/>
      </c:catAx>
      <c:valAx>
        <c:axId val="1247293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289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4.4698956554603342E-3</c:v>
                </c:pt>
                <c:pt idx="1">
                  <c:v>1.7851703069814008E-3</c:v>
                </c:pt>
                <c:pt idx="2">
                  <c:v>1.7843725997369147E-2</c:v>
                </c:pt>
                <c:pt idx="3">
                  <c:v>8.7445705020392402E-3</c:v>
                </c:pt>
                <c:pt idx="4">
                  <c:v>1.9602379777461747E-2</c:v>
                </c:pt>
                <c:pt idx="5">
                  <c:v>4.2381018088582599E-2</c:v>
                </c:pt>
                <c:pt idx="6">
                  <c:v>5.6763785739116106E-2</c:v>
                </c:pt>
                <c:pt idx="7">
                  <c:v>5.5594312991840124E-2</c:v>
                </c:pt>
                <c:pt idx="8">
                  <c:v>3.3011576582905468E-2</c:v>
                </c:pt>
                <c:pt idx="9">
                  <c:v>2.6554536781981431E-2</c:v>
                </c:pt>
                <c:pt idx="10">
                  <c:v>3.2414333989553235E-2</c:v>
                </c:pt>
                <c:pt idx="11">
                  <c:v>2.9567968334262857E-2</c:v>
                </c:pt>
                <c:pt idx="12">
                  <c:v>1.9594802409577044E-2</c:v>
                </c:pt>
                <c:pt idx="13">
                  <c:v>2.7464750486752173E-2</c:v>
                </c:pt>
                <c:pt idx="14">
                  <c:v>1.9836965295240167E-2</c:v>
                </c:pt>
                <c:pt idx="15">
                  <c:v>3.663390073261371E-2</c:v>
                </c:pt>
                <c:pt idx="16">
                  <c:v>1.8671839689468842E-2</c:v>
                </c:pt>
                <c:pt idx="17">
                  <c:v>1.4272778010316805E-2</c:v>
                </c:pt>
                <c:pt idx="18">
                  <c:v>2.6603954610950338E-2</c:v>
                </c:pt>
                <c:pt idx="19">
                  <c:v>3.0668778432063164E-2</c:v>
                </c:pt>
                <c:pt idx="20">
                  <c:v>2.9521227509345629E-2</c:v>
                </c:pt>
                <c:pt idx="21">
                  <c:v>2.6775830274118978E-2</c:v>
                </c:pt>
                <c:pt idx="22">
                  <c:v>1.7122796745665986E-2</c:v>
                </c:pt>
                <c:pt idx="23">
                  <c:v>1.4875656244274444E-2</c:v>
                </c:pt>
                <c:pt idx="24">
                  <c:v>1.6455716650126267E-2</c:v>
                </c:pt>
                <c:pt idx="25">
                  <c:v>1.472846103831112E-2</c:v>
                </c:pt>
                <c:pt idx="26">
                  <c:v>8.1028327110293404E-3</c:v>
                </c:pt>
                <c:pt idx="27">
                  <c:v>1.8662068564867993E-2</c:v>
                </c:pt>
                <c:pt idx="28">
                  <c:v>1.158225623211067E-2</c:v>
                </c:pt>
                <c:pt idx="29">
                  <c:v>1.3503458370655952E-2</c:v>
                </c:pt>
                <c:pt idx="30">
                  <c:v>1.1030848794999748E-2</c:v>
                </c:pt>
                <c:pt idx="31">
                  <c:v>8.5135856151028547E-3</c:v>
                </c:pt>
                <c:pt idx="32">
                  <c:v>1.0896070034871426E-2</c:v>
                </c:pt>
                <c:pt idx="33">
                  <c:v>1.4377560478025957E-2</c:v>
                </c:pt>
                <c:pt idx="34">
                  <c:v>1.3747465120621331E-2</c:v>
                </c:pt>
                <c:pt idx="35">
                  <c:v>1.1969617391131492E-2</c:v>
                </c:pt>
                <c:pt idx="36">
                  <c:v>2.3152552799450287E-2</c:v>
                </c:pt>
                <c:pt idx="37">
                  <c:v>1.4325434533986577E-2</c:v>
                </c:pt>
                <c:pt idx="38">
                  <c:v>1.4498026172155553E-2</c:v>
                </c:pt>
                <c:pt idx="39">
                  <c:v>6.6157958812223432E-3</c:v>
                </c:pt>
                <c:pt idx="40">
                  <c:v>1.3289625656268029E-2</c:v>
                </c:pt>
                <c:pt idx="41">
                  <c:v>3.4435562799798716E-2</c:v>
                </c:pt>
                <c:pt idx="42">
                  <c:v>1.2402884529889991E-2</c:v>
                </c:pt>
                <c:pt idx="43">
                  <c:v>6.8160533608829848E-3</c:v>
                </c:pt>
                <c:pt idx="44">
                  <c:v>6.1846918545390185E-3</c:v>
                </c:pt>
                <c:pt idx="45">
                  <c:v>3.3056969114901528E-3</c:v>
                </c:pt>
                <c:pt idx="46">
                  <c:v>3.1668521662849029E-3</c:v>
                </c:pt>
                <c:pt idx="47">
                  <c:v>1.7166015127919064E-2</c:v>
                </c:pt>
                <c:pt idx="48">
                  <c:v>9.5597290497046929E-3</c:v>
                </c:pt>
                <c:pt idx="49">
                  <c:v>2.8124193031987062E-3</c:v>
                </c:pt>
                <c:pt idx="50">
                  <c:v>2.7559453087512213E-3</c:v>
                </c:pt>
                <c:pt idx="51">
                  <c:v>4.1361286738566677E-3</c:v>
                </c:pt>
                <c:pt idx="52">
                  <c:v>4.1339003405980951E-3</c:v>
                </c:pt>
                <c:pt idx="53">
                  <c:v>9.5732810662386737E-3</c:v>
                </c:pt>
                <c:pt idx="54">
                  <c:v>3.0595027093879941E-3</c:v>
                </c:pt>
                <c:pt idx="55">
                  <c:v>6.6685533067808748E-3</c:v>
                </c:pt>
                <c:pt idx="56">
                  <c:v>7.8865380056226063E-4</c:v>
                </c:pt>
                <c:pt idx="57">
                  <c:v>3.3240574915022027E-3</c:v>
                </c:pt>
                <c:pt idx="58">
                  <c:v>2.3643141886503438E-3</c:v>
                </c:pt>
                <c:pt idx="59">
                  <c:v>4.9383049385887871E-4</c:v>
                </c:pt>
                <c:pt idx="60">
                  <c:v>5.4585119542581986E-3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7.6487024963144362E-4</c:v>
                </c:pt>
                <c:pt idx="1">
                  <c:v>1.0372010683510261E-2</c:v>
                </c:pt>
                <c:pt idx="2">
                  <c:v>2.1077110024118086E-2</c:v>
                </c:pt>
                <c:pt idx="3">
                  <c:v>3.304054429153893E-2</c:v>
                </c:pt>
                <c:pt idx="4">
                  <c:v>3.5174779020349246E-2</c:v>
                </c:pt>
                <c:pt idx="5">
                  <c:v>3.4394487999555884E-2</c:v>
                </c:pt>
                <c:pt idx="6">
                  <c:v>3.6470123797950886E-2</c:v>
                </c:pt>
                <c:pt idx="7">
                  <c:v>3.7389201759201574E-2</c:v>
                </c:pt>
                <c:pt idx="8">
                  <c:v>3.6923494470111465E-2</c:v>
                </c:pt>
                <c:pt idx="9">
                  <c:v>3.6815549071977989E-2</c:v>
                </c:pt>
                <c:pt idx="10">
                  <c:v>3.5683664468692748E-2</c:v>
                </c:pt>
                <c:pt idx="11">
                  <c:v>3.1766788593563987E-2</c:v>
                </c:pt>
                <c:pt idx="12">
                  <c:v>2.9277876128029411E-2</c:v>
                </c:pt>
                <c:pt idx="13">
                  <c:v>2.5481282267963656E-2</c:v>
                </c:pt>
                <c:pt idx="14">
                  <c:v>2.151814407934912E-2</c:v>
                </c:pt>
                <c:pt idx="15">
                  <c:v>1.9488770594439885E-2</c:v>
                </c:pt>
                <c:pt idx="16">
                  <c:v>2.0691590745069981E-2</c:v>
                </c:pt>
                <c:pt idx="17">
                  <c:v>1.8347633528457492E-2</c:v>
                </c:pt>
                <c:pt idx="18">
                  <c:v>2.6249236671827485E-2</c:v>
                </c:pt>
                <c:pt idx="19">
                  <c:v>2.4448090600114731E-2</c:v>
                </c:pt>
                <c:pt idx="20">
                  <c:v>2.4552951844015816E-2</c:v>
                </c:pt>
                <c:pt idx="21">
                  <c:v>2.359686403197651E-2</c:v>
                </c:pt>
                <c:pt idx="22">
                  <c:v>2.3667799579321361E-2</c:v>
                </c:pt>
                <c:pt idx="23">
                  <c:v>2.2582177289521894E-2</c:v>
                </c:pt>
                <c:pt idx="24">
                  <c:v>2.0318408082951413E-2</c:v>
                </c:pt>
                <c:pt idx="25">
                  <c:v>2.1231317735737328E-2</c:v>
                </c:pt>
                <c:pt idx="26">
                  <c:v>2.1172718805322017E-2</c:v>
                </c:pt>
                <c:pt idx="27">
                  <c:v>1.9528864599460891E-2</c:v>
                </c:pt>
                <c:pt idx="28">
                  <c:v>1.9858869102326069E-2</c:v>
                </c:pt>
                <c:pt idx="29">
                  <c:v>1.8523430319703427E-2</c:v>
                </c:pt>
                <c:pt idx="30">
                  <c:v>1.6990605666208157E-2</c:v>
                </c:pt>
                <c:pt idx="31">
                  <c:v>1.6506393451723732E-2</c:v>
                </c:pt>
                <c:pt idx="32">
                  <c:v>1.6176388948858554E-2</c:v>
                </c:pt>
                <c:pt idx="33">
                  <c:v>1.5738439047859907E-2</c:v>
                </c:pt>
                <c:pt idx="34">
                  <c:v>1.4403000265237264E-2</c:v>
                </c:pt>
                <c:pt idx="35">
                  <c:v>1.4421505190631572E-2</c:v>
                </c:pt>
                <c:pt idx="36">
                  <c:v>1.2540171108876813E-2</c:v>
                </c:pt>
                <c:pt idx="37">
                  <c:v>1.1633429764555666E-2</c:v>
                </c:pt>
                <c:pt idx="38">
                  <c:v>1.0581733171312431E-2</c:v>
                </c:pt>
                <c:pt idx="39">
                  <c:v>9.338819015661335E-3</c:v>
                </c:pt>
                <c:pt idx="40">
                  <c:v>8.4752558305935758E-3</c:v>
                </c:pt>
                <c:pt idx="41">
                  <c:v>7.9910436161091548E-3</c:v>
                </c:pt>
                <c:pt idx="42">
                  <c:v>7.090470580252777E-3</c:v>
                </c:pt>
                <c:pt idx="43">
                  <c:v>7.0411241125346198E-3</c:v>
                </c:pt>
                <c:pt idx="44">
                  <c:v>6.5569118980501979E-3</c:v>
                </c:pt>
                <c:pt idx="45">
                  <c:v>5.9092395092493789E-3</c:v>
                </c:pt>
                <c:pt idx="46">
                  <c:v>5.4867103794126537E-3</c:v>
                </c:pt>
                <c:pt idx="47">
                  <c:v>4.93773092604815E-3</c:v>
                </c:pt>
                <c:pt idx="48">
                  <c:v>4.2777219203177915E-3</c:v>
                </c:pt>
                <c:pt idx="49">
                  <c:v>4.3733307015217217E-3</c:v>
                </c:pt>
                <c:pt idx="50">
                  <c:v>4.3085634626416399E-3</c:v>
                </c:pt>
                <c:pt idx="51">
                  <c:v>3.7225741584885176E-3</c:v>
                </c:pt>
                <c:pt idx="52">
                  <c:v>3.4264953521795719E-3</c:v>
                </c:pt>
                <c:pt idx="53">
                  <c:v>2.8559268191883738E-3</c:v>
                </c:pt>
                <c:pt idx="54">
                  <c:v>2.5105015451612703E-3</c:v>
                </c:pt>
                <c:pt idx="55">
                  <c:v>2.2205910473170943E-3</c:v>
                </c:pt>
                <c:pt idx="56">
                  <c:v>1.952269629099612E-3</c:v>
                </c:pt>
                <c:pt idx="57">
                  <c:v>1.7178739074383631E-3</c:v>
                </c:pt>
                <c:pt idx="58">
                  <c:v>1.9029231613814544E-3</c:v>
                </c:pt>
                <c:pt idx="59">
                  <c:v>1.5482454246571963E-3</c:v>
                </c:pt>
                <c:pt idx="60">
                  <c:v>1.6932006735792843E-3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2872"/>
        <c:axId val="124732088"/>
      </c:lineChart>
      <c:catAx>
        <c:axId val="124732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2088"/>
        <c:crosses val="autoZero"/>
        <c:auto val="1"/>
        <c:lblAlgn val="ctr"/>
        <c:lblOffset val="100"/>
        <c:tickLblSkip val="10"/>
        <c:noMultiLvlLbl val="0"/>
      </c:catAx>
      <c:valAx>
        <c:axId val="1247320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2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0.20492417465086504</c:v>
                </c:pt>
                <c:pt idx="1">
                  <c:v>0.21016338157440542</c:v>
                </c:pt>
                <c:pt idx="2">
                  <c:v>8.6556202365378324E-2</c:v>
                </c:pt>
                <c:pt idx="3">
                  <c:v>8.8330489739957566E-2</c:v>
                </c:pt>
                <c:pt idx="4">
                  <c:v>5.7538104293342503E-2</c:v>
                </c:pt>
                <c:pt idx="5">
                  <c:v>0.11967842066260574</c:v>
                </c:pt>
                <c:pt idx="6">
                  <c:v>2.2438142263670604E-2</c:v>
                </c:pt>
                <c:pt idx="7">
                  <c:v>4.5785716303444787E-2</c:v>
                </c:pt>
                <c:pt idx="8">
                  <c:v>1.8755918888639363E-2</c:v>
                </c:pt>
                <c:pt idx="9">
                  <c:v>1.8230897197892459E-2</c:v>
                </c:pt>
                <c:pt idx="10">
                  <c:v>6.4863405524616096E-3</c:v>
                </c:pt>
                <c:pt idx="11">
                  <c:v>5.803248251045231E-3</c:v>
                </c:pt>
                <c:pt idx="12">
                  <c:v>6.558530588775288E-3</c:v>
                </c:pt>
                <c:pt idx="13">
                  <c:v>1.2099940517883738E-2</c:v>
                </c:pt>
                <c:pt idx="14">
                  <c:v>3.3267623086497217E-3</c:v>
                </c:pt>
                <c:pt idx="15">
                  <c:v>5.9005691375940746E-3</c:v>
                </c:pt>
                <c:pt idx="16">
                  <c:v>1.1122273108335365E-2</c:v>
                </c:pt>
                <c:pt idx="17">
                  <c:v>2.6291363288745435E-2</c:v>
                </c:pt>
                <c:pt idx="18">
                  <c:v>2.0777228379600179E-2</c:v>
                </c:pt>
                <c:pt idx="19">
                  <c:v>4.398194899416143E-5</c:v>
                </c:pt>
                <c:pt idx="20">
                  <c:v>2.0330790561170491E-3</c:v>
                </c:pt>
                <c:pt idx="21">
                  <c:v>2.664219459835619E-3</c:v>
                </c:pt>
                <c:pt idx="22">
                  <c:v>0</c:v>
                </c:pt>
                <c:pt idx="23">
                  <c:v>2.8615519143410585E-3</c:v>
                </c:pt>
                <c:pt idx="24">
                  <c:v>4.398194899416143E-5</c:v>
                </c:pt>
                <c:pt idx="25">
                  <c:v>5.1124149605683367E-3</c:v>
                </c:pt>
                <c:pt idx="26">
                  <c:v>0</c:v>
                </c:pt>
                <c:pt idx="27">
                  <c:v>0</c:v>
                </c:pt>
                <c:pt idx="28">
                  <c:v>1.6473066637857033E-2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0.12035901926444834</c:v>
                </c:pt>
                <c:pt idx="1">
                  <c:v>0.1785245183887916</c:v>
                </c:pt>
                <c:pt idx="2">
                  <c:v>0.15677539404553414</c:v>
                </c:pt>
                <c:pt idx="3">
                  <c:v>0.13046190893169876</c:v>
                </c:pt>
                <c:pt idx="4">
                  <c:v>0.10790280210157618</c:v>
                </c:pt>
                <c:pt idx="5">
                  <c:v>7.1552101576182137E-2</c:v>
                </c:pt>
                <c:pt idx="6">
                  <c:v>4.7000875656742554E-2</c:v>
                </c:pt>
                <c:pt idx="7">
                  <c:v>3.7073117338003503E-2</c:v>
                </c:pt>
                <c:pt idx="8">
                  <c:v>2.856830122591944E-2</c:v>
                </c:pt>
                <c:pt idx="9">
                  <c:v>2.0326182136602453E-2</c:v>
                </c:pt>
                <c:pt idx="10">
                  <c:v>2.0862521891418562E-2</c:v>
                </c:pt>
                <c:pt idx="11">
                  <c:v>1.4043345008756567E-2</c:v>
                </c:pt>
                <c:pt idx="12">
                  <c:v>1.2292031523642732E-2</c:v>
                </c:pt>
                <c:pt idx="13">
                  <c:v>1.1274080560420315E-2</c:v>
                </c:pt>
                <c:pt idx="14">
                  <c:v>8.7565674255691769E-3</c:v>
                </c:pt>
                <c:pt idx="15">
                  <c:v>7.5525394045534147E-3</c:v>
                </c:pt>
                <c:pt idx="16">
                  <c:v>7.3336252189141853E-3</c:v>
                </c:pt>
                <c:pt idx="17">
                  <c:v>4.8927320490367776E-3</c:v>
                </c:pt>
                <c:pt idx="18">
                  <c:v>3.5683012259194397E-3</c:v>
                </c:pt>
                <c:pt idx="19">
                  <c:v>3.2399299474605956E-3</c:v>
                </c:pt>
                <c:pt idx="20">
                  <c:v>2.0468476357267951E-3</c:v>
                </c:pt>
                <c:pt idx="21">
                  <c:v>1.5761821366024518E-3</c:v>
                </c:pt>
                <c:pt idx="22">
                  <c:v>1.6199649737302978E-3</c:v>
                </c:pt>
                <c:pt idx="23">
                  <c:v>4.3782837127845885E-4</c:v>
                </c:pt>
                <c:pt idx="24">
                  <c:v>6.3485113835376537E-4</c:v>
                </c:pt>
                <c:pt idx="25">
                  <c:v>3.6120840630472854E-4</c:v>
                </c:pt>
                <c:pt idx="26">
                  <c:v>2.6269702276707533E-4</c:v>
                </c:pt>
                <c:pt idx="27">
                  <c:v>2.1891418563922942E-4</c:v>
                </c:pt>
                <c:pt idx="28">
                  <c:v>1.4229422066549911E-4</c:v>
                </c:pt>
                <c:pt idx="29">
                  <c:v>7.6619964973730296E-5</c:v>
                </c:pt>
                <c:pt idx="30">
                  <c:v>8.7565674255691772E-5</c:v>
                </c:pt>
                <c:pt idx="31">
                  <c:v>6.5674255691768832E-5</c:v>
                </c:pt>
                <c:pt idx="32">
                  <c:v>1.0945709281961472E-5</c:v>
                </c:pt>
                <c:pt idx="33">
                  <c:v>2.1891418563922943E-5</c:v>
                </c:pt>
                <c:pt idx="34">
                  <c:v>1.0945709281961472E-5</c:v>
                </c:pt>
                <c:pt idx="35">
                  <c:v>1.0945709281961472E-5</c:v>
                </c:pt>
                <c:pt idx="36">
                  <c:v>1.0945709281961472E-5</c:v>
                </c:pt>
                <c:pt idx="37">
                  <c:v>3.2837127845884416E-5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1.0945709281961472E-5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3264"/>
        <c:axId val="124732480"/>
      </c:lineChart>
      <c:catAx>
        <c:axId val="1247332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2480"/>
        <c:crosses val="autoZero"/>
        <c:auto val="1"/>
        <c:lblAlgn val="ctr"/>
        <c:lblOffset val="100"/>
        <c:tickLblSkip val="10"/>
        <c:noMultiLvlLbl val="0"/>
      </c:catAx>
      <c:valAx>
        <c:axId val="1247324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32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6.4610578133194027E-2</c:v>
                </c:pt>
                <c:pt idx="2">
                  <c:v>5.6875047305553643E-2</c:v>
                </c:pt>
                <c:pt idx="3">
                  <c:v>0.1187717405190451</c:v>
                </c:pt>
                <c:pt idx="4">
                  <c:v>6.7011358250779529E-2</c:v>
                </c:pt>
                <c:pt idx="5">
                  <c:v>3.7233191190215419E-2</c:v>
                </c:pt>
                <c:pt idx="6">
                  <c:v>4.848296434908176E-2</c:v>
                </c:pt>
                <c:pt idx="7">
                  <c:v>9.3374611040314012E-2</c:v>
                </c:pt>
                <c:pt idx="8">
                  <c:v>1.6895010732925781E-2</c:v>
                </c:pt>
                <c:pt idx="9">
                  <c:v>5.9860328421896924E-2</c:v>
                </c:pt>
                <c:pt idx="10">
                  <c:v>4.351687605918305E-2</c:v>
                </c:pt>
                <c:pt idx="11">
                  <c:v>5.740098661505174E-2</c:v>
                </c:pt>
                <c:pt idx="12">
                  <c:v>7.6735252095090592E-2</c:v>
                </c:pt>
                <c:pt idx="13">
                  <c:v>1.4184314674794677E-2</c:v>
                </c:pt>
                <c:pt idx="14">
                  <c:v>3.2692410593683899E-2</c:v>
                </c:pt>
                <c:pt idx="15">
                  <c:v>1.308727164750755E-2</c:v>
                </c:pt>
                <c:pt idx="16">
                  <c:v>9.8858460449097133E-3</c:v>
                </c:pt>
                <c:pt idx="17">
                  <c:v>2.4891612974512228E-2</c:v>
                </c:pt>
                <c:pt idx="18">
                  <c:v>1.8014695143199311E-2</c:v>
                </c:pt>
                <c:pt idx="19">
                  <c:v>1.2028296353006646E-2</c:v>
                </c:pt>
                <c:pt idx="20">
                  <c:v>0</c:v>
                </c:pt>
                <c:pt idx="21">
                  <c:v>6.6535246172994443E-3</c:v>
                </c:pt>
                <c:pt idx="22">
                  <c:v>6.5395138312047563E-3</c:v>
                </c:pt>
                <c:pt idx="23">
                  <c:v>2.2589998461164384E-3</c:v>
                </c:pt>
                <c:pt idx="24">
                  <c:v>0</c:v>
                </c:pt>
                <c:pt idx="25">
                  <c:v>1.25457287537321E-2</c:v>
                </c:pt>
                <c:pt idx="26">
                  <c:v>1.2094734491268104E-2</c:v>
                </c:pt>
                <c:pt idx="27">
                  <c:v>4.918797560979687E-5</c:v>
                </c:pt>
                <c:pt idx="28">
                  <c:v>4.918797560979687E-5</c:v>
                </c:pt>
                <c:pt idx="29">
                  <c:v>2.4884807222737379E-4</c:v>
                </c:pt>
                <c:pt idx="30">
                  <c:v>1.0236125435294225E-4</c:v>
                </c:pt>
                <c:pt idx="31">
                  <c:v>2.8194347454260488E-2</c:v>
                </c:pt>
                <c:pt idx="32">
                  <c:v>5.1054483337818549E-3</c:v>
                </c:pt>
                <c:pt idx="33">
                  <c:v>1.406487676597807E-2</c:v>
                </c:pt>
                <c:pt idx="34">
                  <c:v>8.2902748723713299E-3</c:v>
                </c:pt>
                <c:pt idx="35">
                  <c:v>0</c:v>
                </c:pt>
                <c:pt idx="36">
                  <c:v>0</c:v>
                </c:pt>
                <c:pt idx="37">
                  <c:v>5.3173278743145374E-5</c:v>
                </c:pt>
                <c:pt idx="38">
                  <c:v>1.4453605387822793E-4</c:v>
                </c:pt>
                <c:pt idx="39">
                  <c:v>7.3258407137795321E-3</c:v>
                </c:pt>
                <c:pt idx="40">
                  <c:v>4.918797560979687E-5</c:v>
                </c:pt>
                <c:pt idx="41">
                  <c:v>0</c:v>
                </c:pt>
                <c:pt idx="42">
                  <c:v>2.7050561781559639E-3</c:v>
                </c:pt>
                <c:pt idx="43">
                  <c:v>0</c:v>
                </c:pt>
                <c:pt idx="44">
                  <c:v>2.0330790561170491E-3</c:v>
                </c:pt>
                <c:pt idx="45">
                  <c:v>0</c:v>
                </c:pt>
                <c:pt idx="46">
                  <c:v>1.7461517603691697E-2</c:v>
                </c:pt>
                <c:pt idx="47">
                  <c:v>0</c:v>
                </c:pt>
                <c:pt idx="48">
                  <c:v>0</c:v>
                </c:pt>
                <c:pt idx="49">
                  <c:v>1.8731009485063971E-3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5.1124149605683376E-3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1.0945709281961471E-3</c:v>
                </c:pt>
                <c:pt idx="1">
                  <c:v>3.3264010507880908E-2</c:v>
                </c:pt>
                <c:pt idx="2">
                  <c:v>5.1641856392294218E-2</c:v>
                </c:pt>
                <c:pt idx="3">
                  <c:v>6.6309106830122588E-2</c:v>
                </c:pt>
                <c:pt idx="4">
                  <c:v>7.201182136602452E-2</c:v>
                </c:pt>
                <c:pt idx="5">
                  <c:v>6.8312171628721538E-2</c:v>
                </c:pt>
                <c:pt idx="6">
                  <c:v>7.1880472854640984E-2</c:v>
                </c:pt>
                <c:pt idx="7">
                  <c:v>6.933012259194396E-2</c:v>
                </c:pt>
                <c:pt idx="8">
                  <c:v>6.3933887915936946E-2</c:v>
                </c:pt>
                <c:pt idx="9">
                  <c:v>5.7826182136602448E-2</c:v>
                </c:pt>
                <c:pt idx="10">
                  <c:v>5.3294658493870405E-2</c:v>
                </c:pt>
                <c:pt idx="11">
                  <c:v>4.1418563922942207E-2</c:v>
                </c:pt>
                <c:pt idx="12">
                  <c:v>3.6547723292469352E-2</c:v>
                </c:pt>
                <c:pt idx="13">
                  <c:v>2.6138353765323991E-2</c:v>
                </c:pt>
                <c:pt idx="14">
                  <c:v>2.2176007005253941E-2</c:v>
                </c:pt>
                <c:pt idx="15">
                  <c:v>2.0753064798598949E-2</c:v>
                </c:pt>
                <c:pt idx="16">
                  <c:v>2.396015761821366E-2</c:v>
                </c:pt>
                <c:pt idx="17">
                  <c:v>1.5969789842381787E-2</c:v>
                </c:pt>
                <c:pt idx="18">
                  <c:v>1.6473292469352013E-2</c:v>
                </c:pt>
                <c:pt idx="19">
                  <c:v>1.2543782837127846E-2</c:v>
                </c:pt>
                <c:pt idx="20">
                  <c:v>1.3824430823117339E-2</c:v>
                </c:pt>
                <c:pt idx="21">
                  <c:v>1.1569614711033275E-2</c:v>
                </c:pt>
                <c:pt idx="22">
                  <c:v>1.1690017513134851E-2</c:v>
                </c:pt>
                <c:pt idx="23">
                  <c:v>1.0321803852889668E-2</c:v>
                </c:pt>
                <c:pt idx="24">
                  <c:v>8.5595446584938711E-3</c:v>
                </c:pt>
                <c:pt idx="25">
                  <c:v>8.4281961471103332E-3</c:v>
                </c:pt>
                <c:pt idx="26">
                  <c:v>7.9903677758318744E-3</c:v>
                </c:pt>
                <c:pt idx="27">
                  <c:v>6.7753940455341508E-3</c:v>
                </c:pt>
                <c:pt idx="28">
                  <c:v>7.3336252189141853E-3</c:v>
                </c:pt>
                <c:pt idx="29">
                  <c:v>6.1514886164623465E-3</c:v>
                </c:pt>
                <c:pt idx="30">
                  <c:v>5.2977232924693524E-3</c:v>
                </c:pt>
                <c:pt idx="31">
                  <c:v>5.9106830122591944E-3</c:v>
                </c:pt>
                <c:pt idx="32">
                  <c:v>4.8817863397548162E-3</c:v>
                </c:pt>
                <c:pt idx="33">
                  <c:v>4.9146234676007003E-3</c:v>
                </c:pt>
                <c:pt idx="34">
                  <c:v>3.3712784588441329E-3</c:v>
                </c:pt>
                <c:pt idx="35">
                  <c:v>3.3384413309982485E-3</c:v>
                </c:pt>
                <c:pt idx="36">
                  <c:v>2.692644483362522E-3</c:v>
                </c:pt>
                <c:pt idx="37">
                  <c:v>2.999124343257443E-3</c:v>
                </c:pt>
                <c:pt idx="38">
                  <c:v>2.4956217162872153E-3</c:v>
                </c:pt>
                <c:pt idx="39">
                  <c:v>2.5831873905429073E-3</c:v>
                </c:pt>
                <c:pt idx="40">
                  <c:v>2.2110332749562174E-3</c:v>
                </c:pt>
                <c:pt idx="41">
                  <c:v>2.0359019264448337E-3</c:v>
                </c:pt>
                <c:pt idx="42">
                  <c:v>2.0577933450087564E-3</c:v>
                </c:pt>
                <c:pt idx="43">
                  <c:v>2.0468476357267951E-3</c:v>
                </c:pt>
                <c:pt idx="44">
                  <c:v>1.7403677758318738E-3</c:v>
                </c:pt>
                <c:pt idx="45">
                  <c:v>1.5542907180385289E-3</c:v>
                </c:pt>
                <c:pt idx="46">
                  <c:v>1.3134851138353765E-3</c:v>
                </c:pt>
                <c:pt idx="47">
                  <c:v>1.0617338003502627E-3</c:v>
                </c:pt>
                <c:pt idx="48">
                  <c:v>1.11646234676007E-3</c:v>
                </c:pt>
                <c:pt idx="49">
                  <c:v>8.6471103327495624E-4</c:v>
                </c:pt>
                <c:pt idx="50">
                  <c:v>9.6322241681260951E-4</c:v>
                </c:pt>
                <c:pt idx="51">
                  <c:v>1.0945709281961471E-3</c:v>
                </c:pt>
                <c:pt idx="52">
                  <c:v>8.4281961471103324E-4</c:v>
                </c:pt>
                <c:pt idx="53">
                  <c:v>1.0288966725043782E-3</c:v>
                </c:pt>
                <c:pt idx="54">
                  <c:v>7.8809106830122588E-4</c:v>
                </c:pt>
                <c:pt idx="55">
                  <c:v>7.2241681260945708E-4</c:v>
                </c:pt>
                <c:pt idx="56">
                  <c:v>6.8957968476357273E-4</c:v>
                </c:pt>
                <c:pt idx="57">
                  <c:v>6.4579684763572682E-4</c:v>
                </c:pt>
                <c:pt idx="58">
                  <c:v>7.3336252189141853E-4</c:v>
                </c:pt>
                <c:pt idx="59">
                  <c:v>5.6917688266199646E-4</c:v>
                </c:pt>
                <c:pt idx="60">
                  <c:v>8.0998248686514889E-4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456"/>
        <c:axId val="340245496"/>
      </c:lineChart>
      <c:catAx>
        <c:axId val="340247456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5496"/>
        <c:crosses val="autoZero"/>
        <c:auto val="1"/>
        <c:lblAlgn val="ctr"/>
        <c:lblOffset val="100"/>
        <c:tickLblSkip val="10"/>
        <c:noMultiLvlLbl val="0"/>
      </c:catAx>
      <c:valAx>
        <c:axId val="34024549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4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0.16475622835150841</c:v>
                </c:pt>
                <c:pt idx="1">
                  <c:v>0.16414714759624091</c:v>
                </c:pt>
                <c:pt idx="2">
                  <c:v>0.10154307279961239</c:v>
                </c:pt>
                <c:pt idx="3">
                  <c:v>0.11271073614927901</c:v>
                </c:pt>
                <c:pt idx="4">
                  <c:v>9.0108409004602666E-2</c:v>
                </c:pt>
                <c:pt idx="5">
                  <c:v>2.8439544022600727E-2</c:v>
                </c:pt>
                <c:pt idx="6">
                  <c:v>2.5570391740800742E-2</c:v>
                </c:pt>
                <c:pt idx="7">
                  <c:v>5.2094594013091029E-2</c:v>
                </c:pt>
                <c:pt idx="8">
                  <c:v>2.7953585870636736E-2</c:v>
                </c:pt>
                <c:pt idx="9">
                  <c:v>2.4590221957656394E-2</c:v>
                </c:pt>
                <c:pt idx="10">
                  <c:v>2.7445927123213178E-2</c:v>
                </c:pt>
                <c:pt idx="11">
                  <c:v>2.6916011992461346E-2</c:v>
                </c:pt>
                <c:pt idx="12">
                  <c:v>1.0657463103393376E-2</c:v>
                </c:pt>
                <c:pt idx="13">
                  <c:v>4.3550348208104765E-2</c:v>
                </c:pt>
                <c:pt idx="14">
                  <c:v>6.7834934702980893E-3</c:v>
                </c:pt>
                <c:pt idx="15">
                  <c:v>2.1385823054549492E-2</c:v>
                </c:pt>
                <c:pt idx="16">
                  <c:v>1.4733552892640854E-2</c:v>
                </c:pt>
                <c:pt idx="17">
                  <c:v>1.1232584817470864E-2</c:v>
                </c:pt>
                <c:pt idx="18">
                  <c:v>2.3906967454217682E-2</c:v>
                </c:pt>
                <c:pt idx="19">
                  <c:v>1.1052973010840593E-3</c:v>
                </c:pt>
                <c:pt idx="20">
                  <c:v>1.6163533205168687E-3</c:v>
                </c:pt>
                <c:pt idx="21">
                  <c:v>1.512959310131404E-3</c:v>
                </c:pt>
                <c:pt idx="22">
                  <c:v>7.8988077405627369E-3</c:v>
                </c:pt>
                <c:pt idx="23">
                  <c:v>4.6925992744444332E-4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1.959241495255185E-3</c:v>
                </c:pt>
                <c:pt idx="29">
                  <c:v>2.9276755938025209E-3</c:v>
                </c:pt>
                <c:pt idx="30">
                  <c:v>0</c:v>
                </c:pt>
                <c:pt idx="31">
                  <c:v>1.9844281788177695E-3</c:v>
                </c:pt>
                <c:pt idx="32">
                  <c:v>0</c:v>
                </c:pt>
                <c:pt idx="33">
                  <c:v>1.117785032961885E-3</c:v>
                </c:pt>
                <c:pt idx="34">
                  <c:v>0</c:v>
                </c:pt>
                <c:pt idx="35">
                  <c:v>8.8208847704441293E-4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0.13244543100258971</c:v>
                </c:pt>
                <c:pt idx="1">
                  <c:v>0.16631460861885838</c:v>
                </c:pt>
                <c:pt idx="2">
                  <c:v>0.13831704318976526</c:v>
                </c:pt>
                <c:pt idx="3">
                  <c:v>0.11711002112348287</c:v>
                </c:pt>
                <c:pt idx="4">
                  <c:v>0.10440012888904801</c:v>
                </c:pt>
                <c:pt idx="5">
                  <c:v>7.1670664613989229E-2</c:v>
                </c:pt>
                <c:pt idx="6">
                  <c:v>4.8834628190899003E-2</c:v>
                </c:pt>
                <c:pt idx="7">
                  <c:v>3.6512596517608867E-2</c:v>
                </c:pt>
                <c:pt idx="8">
                  <c:v>2.9322258422541263E-2</c:v>
                </c:pt>
                <c:pt idx="9">
                  <c:v>1.918418006277374E-2</c:v>
                </c:pt>
                <c:pt idx="10">
                  <c:v>1.6600432016994258E-2</c:v>
                </c:pt>
                <c:pt idx="11">
                  <c:v>1.4977384745742485E-2</c:v>
                </c:pt>
                <c:pt idx="12">
                  <c:v>1.4601458355709904E-2</c:v>
                </c:pt>
                <c:pt idx="13">
                  <c:v>1.3229028677813183E-2</c:v>
                </c:pt>
                <c:pt idx="14">
                  <c:v>1.1158449989855955E-2</c:v>
                </c:pt>
                <c:pt idx="15">
                  <c:v>9.7263494563985062E-3</c:v>
                </c:pt>
                <c:pt idx="16">
                  <c:v>8.5508336018521834E-3</c:v>
                </c:pt>
                <c:pt idx="17">
                  <c:v>7.2082393517358253E-3</c:v>
                </c:pt>
                <c:pt idx="18">
                  <c:v>6.3609132027735013E-3</c:v>
                </c:pt>
                <c:pt idx="19">
                  <c:v>5.1078252359982338E-3</c:v>
                </c:pt>
                <c:pt idx="20">
                  <c:v>4.624491305956345E-3</c:v>
                </c:pt>
                <c:pt idx="21">
                  <c:v>3.9621448092322748E-3</c:v>
                </c:pt>
                <c:pt idx="22">
                  <c:v>3.2699628847278413E-3</c:v>
                </c:pt>
                <c:pt idx="23">
                  <c:v>2.9179048369195517E-3</c:v>
                </c:pt>
                <c:pt idx="24">
                  <c:v>2.3868342224290812E-3</c:v>
                </c:pt>
                <c:pt idx="25">
                  <c:v>1.7364218968171565E-3</c:v>
                </c:pt>
                <c:pt idx="26">
                  <c:v>1.6588497845882115E-3</c:v>
                </c:pt>
                <c:pt idx="27">
                  <c:v>1.3724296778967217E-3</c:v>
                </c:pt>
                <c:pt idx="28">
                  <c:v>8.9506283341090546E-4</c:v>
                </c:pt>
                <c:pt idx="29">
                  <c:v>9.4279951785948709E-4</c:v>
                </c:pt>
                <c:pt idx="30">
                  <c:v>7.9958946451374221E-4</c:v>
                </c:pt>
                <c:pt idx="31">
                  <c:v>6.0267564116334301E-4</c:v>
                </c:pt>
                <c:pt idx="32">
                  <c:v>4.2366307448116192E-4</c:v>
                </c:pt>
                <c:pt idx="33">
                  <c:v>4.4156433114938003E-4</c:v>
                </c:pt>
                <c:pt idx="34">
                  <c:v>3.1028844891578056E-4</c:v>
                </c:pt>
                <c:pt idx="35">
                  <c:v>2.5658467891112623E-4</c:v>
                </c:pt>
                <c:pt idx="36">
                  <c:v>2.6255176446719894E-4</c:v>
                </c:pt>
                <c:pt idx="37">
                  <c:v>1.7901256668218109E-4</c:v>
                </c:pt>
                <c:pt idx="38">
                  <c:v>1.849796522382538E-4</c:v>
                </c:pt>
                <c:pt idx="39">
                  <c:v>1.909467377943265E-4</c:v>
                </c:pt>
                <c:pt idx="40">
                  <c:v>1.6707839557003569E-4</c:v>
                </c:pt>
                <c:pt idx="41">
                  <c:v>1.4917713890181758E-4</c:v>
                </c:pt>
                <c:pt idx="42">
                  <c:v>8.9506283341090546E-5</c:v>
                </c:pt>
                <c:pt idx="43">
                  <c:v>8.3539197785017843E-5</c:v>
                </c:pt>
                <c:pt idx="44">
                  <c:v>7.1605026672872437E-5</c:v>
                </c:pt>
                <c:pt idx="45">
                  <c:v>7.1605026672872437E-5</c:v>
                </c:pt>
                <c:pt idx="46">
                  <c:v>8.9506283341090546E-5</c:v>
                </c:pt>
                <c:pt idx="47">
                  <c:v>5.9670855560727031E-5</c:v>
                </c:pt>
                <c:pt idx="48">
                  <c:v>1.7901256668218109E-5</c:v>
                </c:pt>
                <c:pt idx="49">
                  <c:v>6.5637941116799734E-5</c:v>
                </c:pt>
                <c:pt idx="50">
                  <c:v>2.3868342224290812E-5</c:v>
                </c:pt>
                <c:pt idx="51">
                  <c:v>1.1934171112145406E-5</c:v>
                </c:pt>
                <c:pt idx="52">
                  <c:v>1.1934171112145406E-5</c:v>
                </c:pt>
                <c:pt idx="53">
                  <c:v>0</c:v>
                </c:pt>
                <c:pt idx="54">
                  <c:v>5.9670855560727031E-6</c:v>
                </c:pt>
                <c:pt idx="55">
                  <c:v>1.1934171112145406E-5</c:v>
                </c:pt>
                <c:pt idx="56">
                  <c:v>1.1934171112145406E-5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9024"/>
        <c:axId val="340248632"/>
      </c:lineChart>
      <c:catAx>
        <c:axId val="3402490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8632"/>
        <c:crosses val="autoZero"/>
        <c:auto val="1"/>
        <c:lblAlgn val="ctr"/>
        <c:lblOffset val="100"/>
        <c:tickLblSkip val="10"/>
        <c:noMultiLvlLbl val="0"/>
      </c:catAx>
      <c:valAx>
        <c:axId val="34024863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902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3.4609401512278842E-2</c:v>
                </c:pt>
                <c:pt idx="1">
                  <c:v>4.1222278616439935E-2</c:v>
                </c:pt>
                <c:pt idx="2">
                  <c:v>4.1280109971925959E-2</c:v>
                </c:pt>
                <c:pt idx="3">
                  <c:v>6.0028824750758936E-2</c:v>
                </c:pt>
                <c:pt idx="4">
                  <c:v>6.5172823461241106E-2</c:v>
                </c:pt>
                <c:pt idx="5">
                  <c:v>5.3654122368029251E-2</c:v>
                </c:pt>
                <c:pt idx="6">
                  <c:v>6.2938657515859697E-2</c:v>
                </c:pt>
                <c:pt idx="7">
                  <c:v>8.5418602442622477E-2</c:v>
                </c:pt>
                <c:pt idx="8">
                  <c:v>5.6774559082842173E-2</c:v>
                </c:pt>
                <c:pt idx="9">
                  <c:v>4.1084971852635259E-2</c:v>
                </c:pt>
                <c:pt idx="10">
                  <c:v>4.6388449001054127E-2</c:v>
                </c:pt>
                <c:pt idx="11">
                  <c:v>3.209403000435259E-2</c:v>
                </c:pt>
                <c:pt idx="12">
                  <c:v>1.7966898943279019E-2</c:v>
                </c:pt>
                <c:pt idx="13">
                  <c:v>1.2465857269458779E-2</c:v>
                </c:pt>
                <c:pt idx="14">
                  <c:v>2.4848196047839395E-2</c:v>
                </c:pt>
                <c:pt idx="15">
                  <c:v>1.2484369960025698E-2</c:v>
                </c:pt>
                <c:pt idx="16">
                  <c:v>1.2577621663755785E-2</c:v>
                </c:pt>
                <c:pt idx="17">
                  <c:v>1.740404051170439E-2</c:v>
                </c:pt>
                <c:pt idx="18">
                  <c:v>1.1441718183823989E-2</c:v>
                </c:pt>
                <c:pt idx="19">
                  <c:v>2.1693017562111002E-2</c:v>
                </c:pt>
                <c:pt idx="20">
                  <c:v>1.2877684458236354E-2</c:v>
                </c:pt>
                <c:pt idx="21">
                  <c:v>9.7844522418966268E-3</c:v>
                </c:pt>
                <c:pt idx="22">
                  <c:v>3.6255073947667318E-2</c:v>
                </c:pt>
                <c:pt idx="23">
                  <c:v>4.5946458337028867E-3</c:v>
                </c:pt>
                <c:pt idx="24">
                  <c:v>1.8807758224152132E-2</c:v>
                </c:pt>
                <c:pt idx="25">
                  <c:v>7.0433812560118693E-3</c:v>
                </c:pt>
                <c:pt idx="26">
                  <c:v>4.8455014150192849E-2</c:v>
                </c:pt>
                <c:pt idx="27">
                  <c:v>0</c:v>
                </c:pt>
                <c:pt idx="28">
                  <c:v>0</c:v>
                </c:pt>
                <c:pt idx="29">
                  <c:v>6.3335036517312253E-3</c:v>
                </c:pt>
                <c:pt idx="30">
                  <c:v>5.879745295840612E-3</c:v>
                </c:pt>
                <c:pt idx="31">
                  <c:v>1.3967234597361822E-2</c:v>
                </c:pt>
                <c:pt idx="32">
                  <c:v>2.6810844945309507E-3</c:v>
                </c:pt>
                <c:pt idx="33">
                  <c:v>1.6658806022199112E-2</c:v>
                </c:pt>
                <c:pt idx="34">
                  <c:v>2.5846062788332075E-3</c:v>
                </c:pt>
                <c:pt idx="35">
                  <c:v>1.4134796385663676E-3</c:v>
                </c:pt>
                <c:pt idx="36">
                  <c:v>1.7331792709637341E-2</c:v>
                </c:pt>
                <c:pt idx="37">
                  <c:v>2.2607486430334467E-3</c:v>
                </c:pt>
                <c:pt idx="38">
                  <c:v>5.9988546764338357E-3</c:v>
                </c:pt>
                <c:pt idx="39">
                  <c:v>1.5682185933952749E-3</c:v>
                </c:pt>
                <c:pt idx="40">
                  <c:v>4.4652450517811406E-3</c:v>
                </c:pt>
                <c:pt idx="41">
                  <c:v>2.7688421133513451E-5</c:v>
                </c:pt>
                <c:pt idx="42">
                  <c:v>4.6777713994126556E-4</c:v>
                </c:pt>
                <c:pt idx="43">
                  <c:v>1.1470933930724254E-3</c:v>
                </c:pt>
                <c:pt idx="44">
                  <c:v>8.219655465521199E-3</c:v>
                </c:pt>
                <c:pt idx="45">
                  <c:v>7.8428619406330788E-4</c:v>
                </c:pt>
                <c:pt idx="46">
                  <c:v>2.2830873328395012E-3</c:v>
                </c:pt>
                <c:pt idx="47">
                  <c:v>2.7707104983242139E-3</c:v>
                </c:pt>
                <c:pt idx="48">
                  <c:v>1.3514541895529126E-3</c:v>
                </c:pt>
                <c:pt idx="49">
                  <c:v>1.2086175361297885E-3</c:v>
                </c:pt>
                <c:pt idx="50">
                  <c:v>0</c:v>
                </c:pt>
                <c:pt idx="51">
                  <c:v>0</c:v>
                </c:pt>
                <c:pt idx="52">
                  <c:v>1.959241495255185E-3</c:v>
                </c:pt>
                <c:pt idx="53">
                  <c:v>0</c:v>
                </c:pt>
                <c:pt idx="54">
                  <c:v>7.8428619406330788E-4</c:v>
                </c:pt>
                <c:pt idx="55">
                  <c:v>1.2508973731839886E-3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4.3022686859284188E-3</c:v>
                </c:pt>
                <c:pt idx="1">
                  <c:v>2.5819579201126586E-2</c:v>
                </c:pt>
                <c:pt idx="2">
                  <c:v>4.827372214862817E-2</c:v>
                </c:pt>
                <c:pt idx="3">
                  <c:v>6.7875598200327E-2</c:v>
                </c:pt>
                <c:pt idx="4">
                  <c:v>7.238074779516189E-2</c:v>
                </c:pt>
                <c:pt idx="5">
                  <c:v>6.9242060792667648E-2</c:v>
                </c:pt>
                <c:pt idx="6">
                  <c:v>6.7613046435859803E-2</c:v>
                </c:pt>
                <c:pt idx="7">
                  <c:v>6.6001933335720173E-2</c:v>
                </c:pt>
                <c:pt idx="8">
                  <c:v>5.9933407325194227E-2</c:v>
                </c:pt>
                <c:pt idx="9">
                  <c:v>5.2928048882364874E-2</c:v>
                </c:pt>
                <c:pt idx="10">
                  <c:v>4.5857052498418725E-2</c:v>
                </c:pt>
                <c:pt idx="11">
                  <c:v>3.6876588736529305E-2</c:v>
                </c:pt>
                <c:pt idx="12">
                  <c:v>3.193584189610111E-2</c:v>
                </c:pt>
                <c:pt idx="13">
                  <c:v>2.4250235699879465E-2</c:v>
                </c:pt>
                <c:pt idx="14">
                  <c:v>1.9560106452806321E-2</c:v>
                </c:pt>
                <c:pt idx="15">
                  <c:v>1.849796522382538E-2</c:v>
                </c:pt>
                <c:pt idx="16">
                  <c:v>2.0240354206198609E-2</c:v>
                </c:pt>
                <c:pt idx="17">
                  <c:v>1.5627797071354411E-2</c:v>
                </c:pt>
                <c:pt idx="18">
                  <c:v>1.8784385330516868E-2</c:v>
                </c:pt>
                <c:pt idx="19">
                  <c:v>1.6970391321470768E-2</c:v>
                </c:pt>
                <c:pt idx="20">
                  <c:v>1.5269771937990046E-2</c:v>
                </c:pt>
                <c:pt idx="21">
                  <c:v>1.5228002339097537E-2</c:v>
                </c:pt>
                <c:pt idx="22">
                  <c:v>1.5687467926915135E-2</c:v>
                </c:pt>
                <c:pt idx="23">
                  <c:v>1.3026147768906711E-2</c:v>
                </c:pt>
                <c:pt idx="24">
                  <c:v>1.1391166326542791E-2</c:v>
                </c:pt>
                <c:pt idx="25">
                  <c:v>1.1486639695439954E-2</c:v>
                </c:pt>
                <c:pt idx="26">
                  <c:v>1.0269354242001122E-2</c:v>
                </c:pt>
                <c:pt idx="27">
                  <c:v>1.0221617557552539E-2</c:v>
                </c:pt>
                <c:pt idx="28">
                  <c:v>9.0819042163426539E-3</c:v>
                </c:pt>
                <c:pt idx="29">
                  <c:v>8.8491878796558184E-3</c:v>
                </c:pt>
                <c:pt idx="30">
                  <c:v>8.2644134951606937E-3</c:v>
                </c:pt>
                <c:pt idx="31">
                  <c:v>6.6950699939135726E-3</c:v>
                </c:pt>
                <c:pt idx="32">
                  <c:v>6.7726421061425181E-3</c:v>
                </c:pt>
                <c:pt idx="33">
                  <c:v>6.4384853150024467E-3</c:v>
                </c:pt>
                <c:pt idx="34">
                  <c:v>5.9193488716241215E-3</c:v>
                </c:pt>
                <c:pt idx="35">
                  <c:v>5.2510352893439787E-3</c:v>
                </c:pt>
                <c:pt idx="36">
                  <c:v>5.0899239793300161E-3</c:v>
                </c:pt>
                <c:pt idx="37">
                  <c:v>4.2246965736994734E-3</c:v>
                </c:pt>
                <c:pt idx="38">
                  <c:v>3.7592639003258027E-3</c:v>
                </c:pt>
                <c:pt idx="39">
                  <c:v>3.6339551036482761E-3</c:v>
                </c:pt>
                <c:pt idx="40">
                  <c:v>2.8821023235831157E-3</c:v>
                </c:pt>
                <c:pt idx="41">
                  <c:v>2.9000035802513335E-3</c:v>
                </c:pt>
                <c:pt idx="42">
                  <c:v>2.5897151313355529E-3</c:v>
                </c:pt>
                <c:pt idx="43">
                  <c:v>2.2973279390879906E-3</c:v>
                </c:pt>
                <c:pt idx="44">
                  <c:v>2.1779862279665365E-3</c:v>
                </c:pt>
                <c:pt idx="45">
                  <c:v>1.8318952657143197E-3</c:v>
                </c:pt>
                <c:pt idx="46">
                  <c:v>1.5991789290274844E-3</c:v>
                </c:pt>
                <c:pt idx="47">
                  <c:v>1.605146014583557E-3</c:v>
                </c:pt>
                <c:pt idx="48">
                  <c:v>1.3664625923406489E-3</c:v>
                </c:pt>
                <c:pt idx="49">
                  <c:v>1.3008246512238493E-3</c:v>
                </c:pt>
                <c:pt idx="50">
                  <c:v>1.1158449989855954E-3</c:v>
                </c:pt>
                <c:pt idx="51">
                  <c:v>9.5473368897163249E-4</c:v>
                </c:pt>
                <c:pt idx="52">
                  <c:v>9.0102991896697817E-4</c:v>
                </c:pt>
                <c:pt idx="53">
                  <c:v>7.697540367333787E-4</c:v>
                </c:pt>
                <c:pt idx="54">
                  <c:v>7.2798443784086978E-4</c:v>
                </c:pt>
                <c:pt idx="55">
                  <c:v>7.4588569450908789E-4</c:v>
                </c:pt>
                <c:pt idx="56">
                  <c:v>4.8930101559796165E-4</c:v>
                </c:pt>
                <c:pt idx="57">
                  <c:v>6.2654398338763382E-4</c:v>
                </c:pt>
                <c:pt idx="58">
                  <c:v>4.2366307448116192E-4</c:v>
                </c:pt>
                <c:pt idx="59">
                  <c:v>4.6543267337367084E-4</c:v>
                </c:pt>
                <c:pt idx="60">
                  <c:v>5.3107061449047057E-4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848"/>
        <c:axId val="340248240"/>
      </c:lineChart>
      <c:catAx>
        <c:axId val="34024784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8240"/>
        <c:crosses val="autoZero"/>
        <c:auto val="1"/>
        <c:lblAlgn val="ctr"/>
        <c:lblOffset val="100"/>
        <c:tickLblSkip val="10"/>
        <c:noMultiLvlLbl val="0"/>
      </c:catAx>
      <c:valAx>
        <c:axId val="34024824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8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0.20059219556467947</c:v>
                </c:pt>
                <c:pt idx="1">
                  <c:v>0.17806986873525268</c:v>
                </c:pt>
                <c:pt idx="2">
                  <c:v>8.5789009099934643E-2</c:v>
                </c:pt>
                <c:pt idx="3">
                  <c:v>8.6054561392987131E-2</c:v>
                </c:pt>
                <c:pt idx="4">
                  <c:v>0.1145209195526198</c:v>
                </c:pt>
                <c:pt idx="5">
                  <c:v>5.4609699378764288E-2</c:v>
                </c:pt>
                <c:pt idx="6">
                  <c:v>4.1791852229449623E-2</c:v>
                </c:pt>
                <c:pt idx="7">
                  <c:v>2.245013425376672E-2</c:v>
                </c:pt>
                <c:pt idx="8">
                  <c:v>2.0547680080627014E-2</c:v>
                </c:pt>
                <c:pt idx="9">
                  <c:v>2.0725236833097578E-2</c:v>
                </c:pt>
                <c:pt idx="10">
                  <c:v>1.0847991022120794E-2</c:v>
                </c:pt>
                <c:pt idx="11">
                  <c:v>1.7580314190805819E-2</c:v>
                </c:pt>
                <c:pt idx="12">
                  <c:v>7.3373253233312528E-3</c:v>
                </c:pt>
                <c:pt idx="13">
                  <c:v>2.193405513943571E-2</c:v>
                </c:pt>
                <c:pt idx="14">
                  <c:v>1.0095517998082422E-2</c:v>
                </c:pt>
                <c:pt idx="15">
                  <c:v>7.4523988432052685E-3</c:v>
                </c:pt>
                <c:pt idx="16">
                  <c:v>2.3159832094709419E-2</c:v>
                </c:pt>
                <c:pt idx="17">
                  <c:v>2.960264906305183E-3</c:v>
                </c:pt>
                <c:pt idx="18">
                  <c:v>1.6389684841103105E-2</c:v>
                </c:pt>
                <c:pt idx="19">
                  <c:v>3.671208065481401E-2</c:v>
                </c:pt>
                <c:pt idx="20">
                  <c:v>0</c:v>
                </c:pt>
                <c:pt idx="21">
                  <c:v>2.8174694648311974E-3</c:v>
                </c:pt>
                <c:pt idx="22">
                  <c:v>7.571963220297618E-3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2.1040564618482519E-3</c:v>
                </c:pt>
                <c:pt idx="28">
                  <c:v>0</c:v>
                </c:pt>
                <c:pt idx="29">
                  <c:v>6.3406992774173252E-4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2.3795330736890172E-3</c:v>
                </c:pt>
                <c:pt idx="34">
                  <c:v>0</c:v>
                </c:pt>
                <c:pt idx="35">
                  <c:v>3.577564557139529E-3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0.1745306324110672</c:v>
                </c:pt>
                <c:pt idx="1">
                  <c:v>0.16004817193675888</c:v>
                </c:pt>
                <c:pt idx="2">
                  <c:v>0.12009899068322981</c:v>
                </c:pt>
                <c:pt idx="3">
                  <c:v>0.10158455674760022</c:v>
                </c:pt>
                <c:pt idx="4">
                  <c:v>9.4367588932806321E-2</c:v>
                </c:pt>
                <c:pt idx="5">
                  <c:v>6.5437958780350081E-2</c:v>
                </c:pt>
                <c:pt idx="6">
                  <c:v>4.6438276397515528E-2</c:v>
                </c:pt>
                <c:pt idx="7">
                  <c:v>3.5564299830604176E-2</c:v>
                </c:pt>
                <c:pt idx="8">
                  <c:v>3.0394198193111236E-2</c:v>
                </c:pt>
                <c:pt idx="9">
                  <c:v>2.1086250705815924E-2</c:v>
                </c:pt>
                <c:pt idx="10">
                  <c:v>1.8739412761151892E-2</c:v>
                </c:pt>
                <c:pt idx="11">
                  <c:v>1.70410431959345E-2</c:v>
                </c:pt>
                <c:pt idx="12">
                  <c:v>1.6741071428571428E-2</c:v>
                </c:pt>
                <c:pt idx="13">
                  <c:v>1.4892715979672502E-2</c:v>
                </c:pt>
                <c:pt idx="14">
                  <c:v>1.3428147939017504E-2</c:v>
                </c:pt>
                <c:pt idx="15">
                  <c:v>1.1826828063241106E-2</c:v>
                </c:pt>
                <c:pt idx="16">
                  <c:v>1.0009352060982496E-2</c:v>
                </c:pt>
                <c:pt idx="17">
                  <c:v>8.3198051948051941E-3</c:v>
                </c:pt>
                <c:pt idx="18">
                  <c:v>6.806712309429701E-3</c:v>
                </c:pt>
                <c:pt idx="19">
                  <c:v>5.8759175607001691E-3</c:v>
                </c:pt>
                <c:pt idx="20">
                  <c:v>4.7289666854884249E-3</c:v>
                </c:pt>
                <c:pt idx="21">
                  <c:v>4.1907820440429139E-3</c:v>
                </c:pt>
                <c:pt idx="22">
                  <c:v>3.401150479954828E-3</c:v>
                </c:pt>
                <c:pt idx="23">
                  <c:v>3.101178712591756E-3</c:v>
                </c:pt>
                <c:pt idx="24">
                  <c:v>2.31154714850367E-3</c:v>
                </c:pt>
                <c:pt idx="25">
                  <c:v>1.7071922642574817E-3</c:v>
                </c:pt>
                <c:pt idx="26">
                  <c:v>1.5836744776962168E-3</c:v>
                </c:pt>
                <c:pt idx="27">
                  <c:v>1.1204827780914737E-3</c:v>
                </c:pt>
                <c:pt idx="28">
                  <c:v>8.1168831168831174E-4</c:v>
                </c:pt>
                <c:pt idx="29">
                  <c:v>7.0140457368718238E-4</c:v>
                </c:pt>
                <c:pt idx="30">
                  <c:v>7.0581592320722751E-4</c:v>
                </c:pt>
                <c:pt idx="31">
                  <c:v>4.8524844720496894E-4</c:v>
                </c:pt>
                <c:pt idx="32">
                  <c:v>3.3526256352343307E-4</c:v>
                </c:pt>
                <c:pt idx="33">
                  <c:v>3.1761716544325238E-4</c:v>
                </c:pt>
                <c:pt idx="34">
                  <c:v>1.9851072840203275E-4</c:v>
                </c:pt>
                <c:pt idx="35">
                  <c:v>1.1910643704121966E-4</c:v>
                </c:pt>
                <c:pt idx="36">
                  <c:v>1.6321993224167137E-4</c:v>
                </c:pt>
                <c:pt idx="37">
                  <c:v>1.4998588368153585E-4</c:v>
                </c:pt>
                <c:pt idx="38">
                  <c:v>1.1028373800112931E-4</c:v>
                </c:pt>
                <c:pt idx="39">
                  <c:v>1.2351778656126481E-4</c:v>
                </c:pt>
                <c:pt idx="40">
                  <c:v>8.3815640880858266E-5</c:v>
                </c:pt>
                <c:pt idx="41">
                  <c:v>6.6170242800677579E-5</c:v>
                </c:pt>
                <c:pt idx="42">
                  <c:v>5.7347543760587242E-5</c:v>
                </c:pt>
                <c:pt idx="43">
                  <c:v>1.7645398080180688E-5</c:v>
                </c:pt>
                <c:pt idx="44">
                  <c:v>2.6468097120271035E-5</c:v>
                </c:pt>
                <c:pt idx="45">
                  <c:v>4.4113495200451719E-5</c:v>
                </c:pt>
                <c:pt idx="46">
                  <c:v>1.7645398080180688E-5</c:v>
                </c:pt>
                <c:pt idx="47">
                  <c:v>2.6468097120271035E-5</c:v>
                </c:pt>
                <c:pt idx="48">
                  <c:v>2.205674760022586E-5</c:v>
                </c:pt>
                <c:pt idx="49">
                  <c:v>8.8226990400903438E-6</c:v>
                </c:pt>
                <c:pt idx="50">
                  <c:v>1.3234048560135517E-5</c:v>
                </c:pt>
                <c:pt idx="51">
                  <c:v>4.4113495200451719E-6</c:v>
                </c:pt>
                <c:pt idx="52">
                  <c:v>0</c:v>
                </c:pt>
                <c:pt idx="53">
                  <c:v>4.4113495200451719E-6</c:v>
                </c:pt>
                <c:pt idx="54">
                  <c:v>4.4113495200451719E-6</c:v>
                </c:pt>
                <c:pt idx="55">
                  <c:v>0</c:v>
                </c:pt>
                <c:pt idx="56">
                  <c:v>4.4113495200451719E-6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5888"/>
        <c:axId val="340246280"/>
      </c:lineChart>
      <c:catAx>
        <c:axId val="34024588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6280"/>
        <c:crosses val="autoZero"/>
        <c:auto val="1"/>
        <c:lblAlgn val="ctr"/>
        <c:lblOffset val="100"/>
        <c:tickLblSkip val="10"/>
        <c:noMultiLvlLbl val="0"/>
      </c:catAx>
      <c:valAx>
        <c:axId val="3402462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58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2.8763110705452392E-2</c:v>
                </c:pt>
                <c:pt idx="2">
                  <c:v>3.6050837478703301E-2</c:v>
                </c:pt>
                <c:pt idx="3">
                  <c:v>7.626247474447391E-2</c:v>
                </c:pt>
                <c:pt idx="4">
                  <c:v>7.1938483811772272E-2</c:v>
                </c:pt>
                <c:pt idx="5">
                  <c:v>8.6084087613117519E-2</c:v>
                </c:pt>
                <c:pt idx="6">
                  <c:v>5.599674576286523E-2</c:v>
                </c:pt>
                <c:pt idx="7">
                  <c:v>5.7356950812887608E-2</c:v>
                </c:pt>
                <c:pt idx="8">
                  <c:v>6.3239665728301794E-2</c:v>
                </c:pt>
                <c:pt idx="9">
                  <c:v>3.6733490544478636E-2</c:v>
                </c:pt>
                <c:pt idx="10">
                  <c:v>5.1216312667912579E-2</c:v>
                </c:pt>
                <c:pt idx="11">
                  <c:v>5.141537434461603E-2</c:v>
                </c:pt>
                <c:pt idx="12">
                  <c:v>1.9652516353771986E-2</c:v>
                </c:pt>
                <c:pt idx="13">
                  <c:v>3.0253883023496089E-2</c:v>
                </c:pt>
                <c:pt idx="14">
                  <c:v>1.2996296096519469E-2</c:v>
                </c:pt>
                <c:pt idx="15">
                  <c:v>2.4836774771246819E-2</c:v>
                </c:pt>
                <c:pt idx="16">
                  <c:v>1.592805206204136E-2</c:v>
                </c:pt>
                <c:pt idx="17">
                  <c:v>1.6467863462995017E-2</c:v>
                </c:pt>
                <c:pt idx="18">
                  <c:v>3.0707383459121846E-2</c:v>
                </c:pt>
                <c:pt idx="19">
                  <c:v>1.8648153111971284E-2</c:v>
                </c:pt>
                <c:pt idx="20">
                  <c:v>4.9160938468369129E-3</c:v>
                </c:pt>
                <c:pt idx="21">
                  <c:v>1.2103765222536646E-2</c:v>
                </c:pt>
                <c:pt idx="22">
                  <c:v>2.4830571072174974E-3</c:v>
                </c:pt>
                <c:pt idx="23">
                  <c:v>2.542134599809983E-2</c:v>
                </c:pt>
                <c:pt idx="24">
                  <c:v>4.8839410543210669E-3</c:v>
                </c:pt>
                <c:pt idx="25">
                  <c:v>4.4201139346302827E-3</c:v>
                </c:pt>
                <c:pt idx="26">
                  <c:v>1.2811537896380726E-2</c:v>
                </c:pt>
                <c:pt idx="27">
                  <c:v>1.2369859120906082E-2</c:v>
                </c:pt>
                <c:pt idx="28">
                  <c:v>5.1426179690746187E-3</c:v>
                </c:pt>
                <c:pt idx="29">
                  <c:v>6.3335575675121467E-3</c:v>
                </c:pt>
                <c:pt idx="30">
                  <c:v>1.5297594176178294E-2</c:v>
                </c:pt>
                <c:pt idx="31">
                  <c:v>4.9962504863138562E-3</c:v>
                </c:pt>
                <c:pt idx="32">
                  <c:v>1.5997687671508533E-2</c:v>
                </c:pt>
                <c:pt idx="33">
                  <c:v>3.5137125579460791E-3</c:v>
                </c:pt>
                <c:pt idx="34">
                  <c:v>2.0945628498946392E-2</c:v>
                </c:pt>
                <c:pt idx="35">
                  <c:v>7.3282181363372462E-3</c:v>
                </c:pt>
                <c:pt idx="36">
                  <c:v>2.8435469232873929E-3</c:v>
                </c:pt>
                <c:pt idx="37">
                  <c:v>0</c:v>
                </c:pt>
                <c:pt idx="38">
                  <c:v>0</c:v>
                </c:pt>
                <c:pt idx="39">
                  <c:v>3.5867444903944761E-3</c:v>
                </c:pt>
                <c:pt idx="40">
                  <c:v>0</c:v>
                </c:pt>
                <c:pt idx="41">
                  <c:v>6.3406992774173252E-4</c:v>
                </c:pt>
                <c:pt idx="42">
                  <c:v>0</c:v>
                </c:pt>
                <c:pt idx="43">
                  <c:v>0</c:v>
                </c:pt>
                <c:pt idx="44">
                  <c:v>1.0928966019021814E-2</c:v>
                </c:pt>
                <c:pt idx="45">
                  <c:v>1.0828545480150973E-3</c:v>
                </c:pt>
                <c:pt idx="46">
                  <c:v>6.0889854891349061E-3</c:v>
                </c:pt>
                <c:pt idx="47">
                  <c:v>1.1973122577399409E-2</c:v>
                </c:pt>
                <c:pt idx="48">
                  <c:v>3.0572809325716418E-3</c:v>
                </c:pt>
                <c:pt idx="49">
                  <c:v>0</c:v>
                </c:pt>
                <c:pt idx="50">
                  <c:v>0</c:v>
                </c:pt>
                <c:pt idx="51">
                  <c:v>4.9408553605918143E-4</c:v>
                </c:pt>
                <c:pt idx="52">
                  <c:v>0</c:v>
                </c:pt>
                <c:pt idx="53">
                  <c:v>0</c:v>
                </c:pt>
                <c:pt idx="54">
                  <c:v>5.004032159079597E-3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3.577564557139529E-3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6.039137492941841E-3</c:v>
                </c:pt>
                <c:pt idx="1">
                  <c:v>2.9361942405420668E-2</c:v>
                </c:pt>
                <c:pt idx="2">
                  <c:v>5.5362436476566912E-2</c:v>
                </c:pt>
                <c:pt idx="3">
                  <c:v>7.3753352625635232E-2</c:v>
                </c:pt>
                <c:pt idx="4">
                  <c:v>7.051542207792208E-2</c:v>
                </c:pt>
                <c:pt idx="5">
                  <c:v>6.5583533314511569E-2</c:v>
                </c:pt>
                <c:pt idx="6">
                  <c:v>6.0845743929983064E-2</c:v>
                </c:pt>
                <c:pt idx="7">
                  <c:v>5.926206945228684E-2</c:v>
                </c:pt>
                <c:pt idx="8">
                  <c:v>5.3139116318464144E-2</c:v>
                </c:pt>
                <c:pt idx="9">
                  <c:v>4.8467497176736304E-2</c:v>
                </c:pt>
                <c:pt idx="10">
                  <c:v>4.3751764539808016E-2</c:v>
                </c:pt>
                <c:pt idx="11">
                  <c:v>3.4554100790513832E-2</c:v>
                </c:pt>
                <c:pt idx="12">
                  <c:v>2.9922183794466404E-2</c:v>
                </c:pt>
                <c:pt idx="13">
                  <c:v>2.3230166572557876E-2</c:v>
                </c:pt>
                <c:pt idx="14">
                  <c:v>1.903497317899492E-2</c:v>
                </c:pt>
                <c:pt idx="15">
                  <c:v>1.7054277244494636E-2</c:v>
                </c:pt>
                <c:pt idx="16">
                  <c:v>2.0715697346132128E-2</c:v>
                </c:pt>
                <c:pt idx="17">
                  <c:v>1.5422077922077922E-2</c:v>
                </c:pt>
                <c:pt idx="18">
                  <c:v>1.983783879164314E-2</c:v>
                </c:pt>
                <c:pt idx="19">
                  <c:v>1.8033596837944664E-2</c:v>
                </c:pt>
                <c:pt idx="20">
                  <c:v>1.6573440146809712E-2</c:v>
                </c:pt>
                <c:pt idx="21">
                  <c:v>1.680283032185206E-2</c:v>
                </c:pt>
                <c:pt idx="22">
                  <c:v>1.7063099943534728E-2</c:v>
                </c:pt>
                <c:pt idx="23">
                  <c:v>1.4438346979107848E-2</c:v>
                </c:pt>
                <c:pt idx="24">
                  <c:v>1.2223849520045172E-2</c:v>
                </c:pt>
                <c:pt idx="25">
                  <c:v>1.307523997741389E-2</c:v>
                </c:pt>
                <c:pt idx="26">
                  <c:v>1.1734189723320158E-2</c:v>
                </c:pt>
                <c:pt idx="27">
                  <c:v>1.0962203557312252E-2</c:v>
                </c:pt>
                <c:pt idx="28">
                  <c:v>1.0128458498023716E-2</c:v>
                </c:pt>
                <c:pt idx="29">
                  <c:v>9.506458215697346E-3</c:v>
                </c:pt>
                <c:pt idx="30">
                  <c:v>8.880046583850932E-3</c:v>
                </c:pt>
                <c:pt idx="31">
                  <c:v>7.786031902879729E-3</c:v>
                </c:pt>
                <c:pt idx="32">
                  <c:v>7.763975155279503E-3</c:v>
                </c:pt>
                <c:pt idx="33">
                  <c:v>7.04492518351214E-3</c:v>
                </c:pt>
                <c:pt idx="34">
                  <c:v>6.537619988706945E-3</c:v>
                </c:pt>
                <c:pt idx="35">
                  <c:v>5.9553218520609821E-3</c:v>
                </c:pt>
                <c:pt idx="36">
                  <c:v>5.196569734613213E-3</c:v>
                </c:pt>
                <c:pt idx="37">
                  <c:v>4.592214850367024E-3</c:v>
                </c:pt>
                <c:pt idx="38">
                  <c:v>4.1863706945228681E-3</c:v>
                </c:pt>
                <c:pt idx="39">
                  <c:v>3.6437747035573125E-3</c:v>
                </c:pt>
                <c:pt idx="40">
                  <c:v>3.2952780914737435E-3</c:v>
                </c:pt>
                <c:pt idx="41">
                  <c:v>2.9291360813099945E-3</c:v>
                </c:pt>
                <c:pt idx="42">
                  <c:v>2.562994071146245E-3</c:v>
                </c:pt>
                <c:pt idx="43">
                  <c:v>2.5232919254658385E-3</c:v>
                </c:pt>
                <c:pt idx="44">
                  <c:v>2.0865683229813665E-3</c:v>
                </c:pt>
                <c:pt idx="45">
                  <c:v>2.0424548277809145E-3</c:v>
                </c:pt>
                <c:pt idx="46">
                  <c:v>1.539560982495765E-3</c:v>
                </c:pt>
                <c:pt idx="47">
                  <c:v>1.6586674195369848E-3</c:v>
                </c:pt>
                <c:pt idx="48">
                  <c:v>1.2484119141727837E-3</c:v>
                </c:pt>
                <c:pt idx="49">
                  <c:v>1.230766516092603E-3</c:v>
                </c:pt>
                <c:pt idx="50">
                  <c:v>1.1645962732919255E-3</c:v>
                </c:pt>
                <c:pt idx="51">
                  <c:v>9.6608554488989275E-4</c:v>
                </c:pt>
                <c:pt idx="52">
                  <c:v>8.4256775832862788E-4</c:v>
                </c:pt>
                <c:pt idx="53">
                  <c:v>7.94042913608131E-4</c:v>
                </c:pt>
                <c:pt idx="54">
                  <c:v>5.6024138904573687E-4</c:v>
                </c:pt>
                <c:pt idx="55">
                  <c:v>5.7788678712591751E-4</c:v>
                </c:pt>
                <c:pt idx="56">
                  <c:v>5.1171654432524E-4</c:v>
                </c:pt>
                <c:pt idx="57">
                  <c:v>5.3377329192546587E-4</c:v>
                </c:pt>
                <c:pt idx="58">
                  <c:v>4.2790090344438169E-4</c:v>
                </c:pt>
                <c:pt idx="59">
                  <c:v>3.970214568040655E-4</c:v>
                </c:pt>
                <c:pt idx="60">
                  <c:v>5.249505928853755E-4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064"/>
        <c:axId val="340250200"/>
      </c:lineChart>
      <c:catAx>
        <c:axId val="34024706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0200"/>
        <c:crosses val="autoZero"/>
        <c:auto val="1"/>
        <c:lblAlgn val="ctr"/>
        <c:lblOffset val="100"/>
        <c:tickLblSkip val="10"/>
        <c:noMultiLvlLbl val="0"/>
      </c:catAx>
      <c:valAx>
        <c:axId val="3402502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0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0.182936851148471</c:v>
                </c:pt>
                <c:pt idx="1">
                  <c:v>0.21933886401220748</c:v>
                </c:pt>
                <c:pt idx="2">
                  <c:v>0.10378679228432686</c:v>
                </c:pt>
                <c:pt idx="3">
                  <c:v>0.10292807353321302</c:v>
                </c:pt>
                <c:pt idx="4">
                  <c:v>7.5080894444983226E-2</c:v>
                </c:pt>
                <c:pt idx="5">
                  <c:v>6.1326298775620396E-2</c:v>
                </c:pt>
                <c:pt idx="6">
                  <c:v>4.6692261797964672E-2</c:v>
                </c:pt>
                <c:pt idx="7">
                  <c:v>2.9553398077562191E-2</c:v>
                </c:pt>
                <c:pt idx="8">
                  <c:v>3.0585700987007389E-2</c:v>
                </c:pt>
                <c:pt idx="9">
                  <c:v>1.9990951672547219E-2</c:v>
                </c:pt>
                <c:pt idx="10">
                  <c:v>5.5614361481065152E-3</c:v>
                </c:pt>
                <c:pt idx="11">
                  <c:v>1.1841865514714982E-2</c:v>
                </c:pt>
                <c:pt idx="12">
                  <c:v>2.2114612886106597E-2</c:v>
                </c:pt>
                <c:pt idx="13">
                  <c:v>1.2841739214624085E-2</c:v>
                </c:pt>
                <c:pt idx="14">
                  <c:v>1.8352387633957575E-2</c:v>
                </c:pt>
                <c:pt idx="15">
                  <c:v>1.2518960936027168E-2</c:v>
                </c:pt>
                <c:pt idx="16">
                  <c:v>7.7322064411421291E-3</c:v>
                </c:pt>
                <c:pt idx="17">
                  <c:v>0</c:v>
                </c:pt>
                <c:pt idx="18">
                  <c:v>5.0941563551193366E-3</c:v>
                </c:pt>
                <c:pt idx="19">
                  <c:v>1.2618141687388984E-2</c:v>
                </c:pt>
                <c:pt idx="20">
                  <c:v>3.4032148219592948E-3</c:v>
                </c:pt>
                <c:pt idx="21">
                  <c:v>4.8453404001934427E-3</c:v>
                </c:pt>
                <c:pt idx="22">
                  <c:v>3.968934936246238E-3</c:v>
                </c:pt>
                <c:pt idx="23">
                  <c:v>0</c:v>
                </c:pt>
                <c:pt idx="24">
                  <c:v>3.6089949830391192E-3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2.390443473983264E-3</c:v>
                </c:pt>
                <c:pt idx="33">
                  <c:v>0</c:v>
                </c:pt>
                <c:pt idx="34">
                  <c:v>0</c:v>
                </c:pt>
                <c:pt idx="35">
                  <c:v>8.8747783348791759E-4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0.24827667920632032</c:v>
                </c:pt>
                <c:pt idx="1">
                  <c:v>0.17021627728855732</c:v>
                </c:pt>
                <c:pt idx="2">
                  <c:v>0.1184468320095465</c:v>
                </c:pt>
                <c:pt idx="3">
                  <c:v>9.6789481924702839E-2</c:v>
                </c:pt>
                <c:pt idx="4">
                  <c:v>9.1470355497065378E-2</c:v>
                </c:pt>
                <c:pt idx="5">
                  <c:v>6.1218617365657146E-2</c:v>
                </c:pt>
                <c:pt idx="6">
                  <c:v>4.0856138153412574E-2</c:v>
                </c:pt>
                <c:pt idx="7">
                  <c:v>3.1593156649754359E-2</c:v>
                </c:pt>
                <c:pt idx="8">
                  <c:v>2.6714117054634241E-2</c:v>
                </c:pt>
                <c:pt idx="9">
                  <c:v>1.6972964281029294E-2</c:v>
                </c:pt>
                <c:pt idx="10">
                  <c:v>1.5331101867406915E-2</c:v>
                </c:pt>
                <c:pt idx="11">
                  <c:v>1.29825615592615E-2</c:v>
                </c:pt>
                <c:pt idx="12">
                  <c:v>1.3172983746408426E-2</c:v>
                </c:pt>
                <c:pt idx="13">
                  <c:v>1.0502841522192647E-2</c:v>
                </c:pt>
                <c:pt idx="14">
                  <c:v>8.6324724839939564E-3</c:v>
                </c:pt>
                <c:pt idx="15">
                  <c:v>7.1133265909773735E-3</c:v>
                </c:pt>
                <c:pt idx="16">
                  <c:v>5.6745811769783805E-3</c:v>
                </c:pt>
                <c:pt idx="17">
                  <c:v>4.6463013663849825E-3</c:v>
                </c:pt>
                <c:pt idx="18">
                  <c:v>3.4783786185505062E-3</c:v>
                </c:pt>
                <c:pt idx="19">
                  <c:v>3.05944980682727E-3</c:v>
                </c:pt>
                <c:pt idx="20">
                  <c:v>2.2004341625866948E-3</c:v>
                </c:pt>
                <c:pt idx="21">
                  <c:v>2.0565596211867959E-3</c:v>
                </c:pt>
                <c:pt idx="22">
                  <c:v>1.730726100957612E-3</c:v>
                </c:pt>
                <c:pt idx="23">
                  <c:v>1.4048925807284283E-3</c:v>
                </c:pt>
                <c:pt idx="24">
                  <c:v>9.8596376900519228E-4</c:v>
                </c:pt>
                <c:pt idx="25">
                  <c:v>6.93983082046573E-4</c:v>
                </c:pt>
                <c:pt idx="26">
                  <c:v>6.93983082046573E-4</c:v>
                </c:pt>
                <c:pt idx="27">
                  <c:v>4.6124485331144183E-4</c:v>
                </c:pt>
                <c:pt idx="28">
                  <c:v>3.8930758261149218E-4</c:v>
                </c:pt>
                <c:pt idx="29">
                  <c:v>4.1046560340559502E-4</c:v>
                </c:pt>
                <c:pt idx="30">
                  <c:v>2.9621229111743969E-4</c:v>
                </c:pt>
                <c:pt idx="31">
                  <c:v>2.7928587448215742E-4</c:v>
                </c:pt>
                <c:pt idx="32">
                  <c:v>2.0311699962338722E-4</c:v>
                </c:pt>
                <c:pt idx="33">
                  <c:v>1.3964293724107871E-4</c:v>
                </c:pt>
                <c:pt idx="34">
                  <c:v>1.1425331228815532E-4</c:v>
                </c:pt>
                <c:pt idx="35">
                  <c:v>1.2694812476461703E-4</c:v>
                </c:pt>
                <c:pt idx="36">
                  <c:v>8.0400479017590773E-5</c:v>
                </c:pt>
                <c:pt idx="37">
                  <c:v>9.3095291494052476E-5</c:v>
                </c:pt>
                <c:pt idx="38">
                  <c:v>1.2271652060579646E-4</c:v>
                </c:pt>
                <c:pt idx="39">
                  <c:v>8.8863687335231909E-5</c:v>
                </c:pt>
                <c:pt idx="40">
                  <c:v>6.3474062382308516E-5</c:v>
                </c:pt>
                <c:pt idx="41">
                  <c:v>2.9621229111743971E-5</c:v>
                </c:pt>
                <c:pt idx="42">
                  <c:v>3.8084437429385103E-5</c:v>
                </c:pt>
                <c:pt idx="43">
                  <c:v>3.8084437429385103E-5</c:v>
                </c:pt>
                <c:pt idx="44">
                  <c:v>2.9621229111743971E-5</c:v>
                </c:pt>
                <c:pt idx="45">
                  <c:v>1.2694812476461701E-5</c:v>
                </c:pt>
                <c:pt idx="46">
                  <c:v>4.2316041588205669E-6</c:v>
                </c:pt>
                <c:pt idx="47">
                  <c:v>8.4632083176411338E-6</c:v>
                </c:pt>
                <c:pt idx="48">
                  <c:v>8.4632083176411338E-6</c:v>
                </c:pt>
                <c:pt idx="49">
                  <c:v>1.6926416635282268E-5</c:v>
                </c:pt>
                <c:pt idx="50">
                  <c:v>4.2316041588205669E-6</c:v>
                </c:pt>
                <c:pt idx="51">
                  <c:v>4.2316041588205669E-6</c:v>
                </c:pt>
                <c:pt idx="52">
                  <c:v>4.2316041588205669E-6</c:v>
                </c:pt>
                <c:pt idx="53">
                  <c:v>4.2316041588205669E-6</c:v>
                </c:pt>
                <c:pt idx="54">
                  <c:v>4.2316041588205669E-6</c:v>
                </c:pt>
                <c:pt idx="55">
                  <c:v>0</c:v>
                </c:pt>
                <c:pt idx="56">
                  <c:v>4.2316041588205669E-6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50984"/>
        <c:axId val="340251376"/>
      </c:lineChart>
      <c:catAx>
        <c:axId val="34025098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1376"/>
        <c:crosses val="autoZero"/>
        <c:auto val="1"/>
        <c:lblAlgn val="ctr"/>
        <c:lblOffset val="100"/>
        <c:tickLblSkip val="10"/>
        <c:noMultiLvlLbl val="0"/>
      </c:catAx>
      <c:valAx>
        <c:axId val="34025137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509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9.9245577569848711E-3</c:v>
                </c:pt>
                <c:pt idx="1">
                  <c:v>9.4650266596167879E-3</c:v>
                </c:pt>
                <c:pt idx="2">
                  <c:v>3.6554207697513698E-2</c:v>
                </c:pt>
                <c:pt idx="3">
                  <c:v>7.2975972158147009E-2</c:v>
                </c:pt>
                <c:pt idx="4">
                  <c:v>6.4992630400954085E-2</c:v>
                </c:pt>
                <c:pt idx="5">
                  <c:v>0.11766702254237588</c:v>
                </c:pt>
                <c:pt idx="6">
                  <c:v>6.1522707259166705E-2</c:v>
                </c:pt>
                <c:pt idx="7">
                  <c:v>8.2482599867713807E-2</c:v>
                </c:pt>
                <c:pt idx="8">
                  <c:v>5.5557689566908937E-2</c:v>
                </c:pt>
                <c:pt idx="9">
                  <c:v>4.7538200124559171E-2</c:v>
                </c:pt>
                <c:pt idx="10">
                  <c:v>4.7053970387668169E-2</c:v>
                </c:pt>
                <c:pt idx="11">
                  <c:v>2.6793965166429571E-2</c:v>
                </c:pt>
                <c:pt idx="12">
                  <c:v>3.4093933810456209E-2</c:v>
                </c:pt>
                <c:pt idx="13">
                  <c:v>2.4471178948682445E-2</c:v>
                </c:pt>
                <c:pt idx="14">
                  <c:v>1.0626567760033671E-2</c:v>
                </c:pt>
                <c:pt idx="15">
                  <c:v>2.4794005086764229E-2</c:v>
                </c:pt>
                <c:pt idx="16">
                  <c:v>2.1903638230882934E-2</c:v>
                </c:pt>
                <c:pt idx="17">
                  <c:v>8.8584080665645767E-3</c:v>
                </c:pt>
                <c:pt idx="18">
                  <c:v>8.3549384536576472E-3</c:v>
                </c:pt>
                <c:pt idx="19">
                  <c:v>1.7412136626761904E-2</c:v>
                </c:pt>
                <c:pt idx="20">
                  <c:v>3.0962314229851871E-2</c:v>
                </c:pt>
                <c:pt idx="21">
                  <c:v>1.4798209964081434E-2</c:v>
                </c:pt>
                <c:pt idx="22">
                  <c:v>1.3058615674254394E-2</c:v>
                </c:pt>
                <c:pt idx="23">
                  <c:v>6.3898101508791279E-3</c:v>
                </c:pt>
                <c:pt idx="24">
                  <c:v>7.7483704480455287E-3</c:v>
                </c:pt>
                <c:pt idx="25">
                  <c:v>6.8357590394737249E-3</c:v>
                </c:pt>
                <c:pt idx="26">
                  <c:v>1.0619173399468813E-2</c:v>
                </c:pt>
                <c:pt idx="27">
                  <c:v>7.0369452703367454E-3</c:v>
                </c:pt>
                <c:pt idx="28">
                  <c:v>8.4824619181018794E-3</c:v>
                </c:pt>
                <c:pt idx="29">
                  <c:v>6.3107673059164624E-3</c:v>
                </c:pt>
                <c:pt idx="30">
                  <c:v>1.7121469990499258E-3</c:v>
                </c:pt>
                <c:pt idx="31">
                  <c:v>1.002545239412618E-2</c:v>
                </c:pt>
                <c:pt idx="32">
                  <c:v>8.6581903723209168E-3</c:v>
                </c:pt>
                <c:pt idx="33">
                  <c:v>7.3735273996045948E-4</c:v>
                </c:pt>
                <c:pt idx="34">
                  <c:v>1.5309103851757409E-2</c:v>
                </c:pt>
                <c:pt idx="35">
                  <c:v>4.5481140193892695E-3</c:v>
                </c:pt>
                <c:pt idx="36">
                  <c:v>1.5377107813575822E-2</c:v>
                </c:pt>
                <c:pt idx="37">
                  <c:v>1.247378999284519E-2</c:v>
                </c:pt>
                <c:pt idx="38">
                  <c:v>0</c:v>
                </c:pt>
                <c:pt idx="39">
                  <c:v>2.6442272782605578E-5</c:v>
                </c:pt>
                <c:pt idx="40">
                  <c:v>2.6442272782605578E-5</c:v>
                </c:pt>
                <c:pt idx="41">
                  <c:v>0</c:v>
                </c:pt>
                <c:pt idx="42">
                  <c:v>3.3122459946203085E-3</c:v>
                </c:pt>
                <c:pt idx="43">
                  <c:v>1.8710636411778581E-3</c:v>
                </c:pt>
                <c:pt idx="44">
                  <c:v>1.0313183830926497E-3</c:v>
                </c:pt>
                <c:pt idx="45">
                  <c:v>0</c:v>
                </c:pt>
                <c:pt idx="46">
                  <c:v>1.49761218447846E-2</c:v>
                </c:pt>
                <c:pt idx="47">
                  <c:v>2.9829578274460844E-3</c:v>
                </c:pt>
                <c:pt idx="48">
                  <c:v>8.874778334879177E-4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3.0865117733655818E-3</c:v>
                </c:pt>
                <c:pt idx="54">
                  <c:v>7.4898851700692785E-4</c:v>
                </c:pt>
                <c:pt idx="55">
                  <c:v>0</c:v>
                </c:pt>
                <c:pt idx="56">
                  <c:v>0</c:v>
                </c:pt>
                <c:pt idx="57">
                  <c:v>9.8597710880015473E-4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9.2968343369287856E-3</c:v>
                </c:pt>
                <c:pt idx="1">
                  <c:v>3.6891125056597703E-2</c:v>
                </c:pt>
                <c:pt idx="2">
                  <c:v>6.8645082664387236E-2</c:v>
                </c:pt>
                <c:pt idx="3">
                  <c:v>9.0281274728436806E-2</c:v>
                </c:pt>
                <c:pt idx="4">
                  <c:v>7.9448368081856152E-2</c:v>
                </c:pt>
                <c:pt idx="5">
                  <c:v>6.9190959600875096E-2</c:v>
                </c:pt>
                <c:pt idx="6">
                  <c:v>6.3296335007638052E-2</c:v>
                </c:pt>
                <c:pt idx="7">
                  <c:v>5.9792566764134615E-2</c:v>
                </c:pt>
                <c:pt idx="8">
                  <c:v>5.1177020696775939E-2</c:v>
                </c:pt>
                <c:pt idx="9">
                  <c:v>4.7199312787484606E-2</c:v>
                </c:pt>
                <c:pt idx="10">
                  <c:v>4.5675935290309201E-2</c:v>
                </c:pt>
                <c:pt idx="11">
                  <c:v>3.4910734310269677E-2</c:v>
                </c:pt>
                <c:pt idx="12">
                  <c:v>2.991744140286141E-2</c:v>
                </c:pt>
                <c:pt idx="13">
                  <c:v>2.4272481454994773E-2</c:v>
                </c:pt>
                <c:pt idx="14">
                  <c:v>1.7628862925646482E-2</c:v>
                </c:pt>
                <c:pt idx="15">
                  <c:v>1.6257823178188621E-2</c:v>
                </c:pt>
                <c:pt idx="16">
                  <c:v>1.940613667235112E-2</c:v>
                </c:pt>
                <c:pt idx="17">
                  <c:v>1.4941794284795423E-2</c:v>
                </c:pt>
                <c:pt idx="18">
                  <c:v>1.9617716880292149E-2</c:v>
                </c:pt>
                <c:pt idx="19">
                  <c:v>1.7303029405417298E-2</c:v>
                </c:pt>
                <c:pt idx="20">
                  <c:v>1.4146252702937156E-2</c:v>
                </c:pt>
                <c:pt idx="21">
                  <c:v>1.3960062119949051E-2</c:v>
                </c:pt>
                <c:pt idx="22">
                  <c:v>1.4091241848872489E-2</c:v>
                </c:pt>
                <c:pt idx="23">
                  <c:v>1.2745591726367548E-2</c:v>
                </c:pt>
                <c:pt idx="24">
                  <c:v>1.0193934418598746E-2</c:v>
                </c:pt>
                <c:pt idx="25">
                  <c:v>1.0811748625786549E-2</c:v>
                </c:pt>
                <c:pt idx="26">
                  <c:v>9.3518451909934529E-3</c:v>
                </c:pt>
                <c:pt idx="27">
                  <c:v>8.2304700889060042E-3</c:v>
                </c:pt>
                <c:pt idx="28">
                  <c:v>7.5322554027006097E-3</c:v>
                </c:pt>
                <c:pt idx="29">
                  <c:v>6.7197874042070607E-3</c:v>
                </c:pt>
                <c:pt idx="30">
                  <c:v>6.2670057592132599E-3</c:v>
                </c:pt>
                <c:pt idx="31">
                  <c:v>5.5010854064667372E-3</c:v>
                </c:pt>
                <c:pt idx="32">
                  <c:v>5.2344943444610414E-3</c:v>
                </c:pt>
                <c:pt idx="33">
                  <c:v>4.895966011755396E-3</c:v>
                </c:pt>
                <c:pt idx="34">
                  <c:v>4.4601107833968775E-3</c:v>
                </c:pt>
                <c:pt idx="35">
                  <c:v>3.9311602635443074E-3</c:v>
                </c:pt>
                <c:pt idx="36">
                  <c:v>3.3598937021035303E-3</c:v>
                </c:pt>
                <c:pt idx="37">
                  <c:v>3.0086705569214232E-3</c:v>
                </c:pt>
                <c:pt idx="38">
                  <c:v>2.6955318491687012E-3</c:v>
                </c:pt>
                <c:pt idx="39">
                  <c:v>2.2808346416042856E-3</c:v>
                </c:pt>
                <c:pt idx="40">
                  <c:v>1.9126850797868964E-3</c:v>
                </c:pt>
                <c:pt idx="41">
                  <c:v>1.9042218714692553E-3</c:v>
                </c:pt>
                <c:pt idx="42">
                  <c:v>1.8322846007693056E-3</c:v>
                </c:pt>
                <c:pt idx="43">
                  <c:v>1.6926416635282269E-3</c:v>
                </c:pt>
                <c:pt idx="44">
                  <c:v>1.6333992053047389E-3</c:v>
                </c:pt>
                <c:pt idx="45">
                  <c:v>1.4091241848872488E-3</c:v>
                </c:pt>
                <c:pt idx="46">
                  <c:v>1.2060071852638616E-3</c:v>
                </c:pt>
                <c:pt idx="47">
                  <c:v>1.1340699145639119E-3</c:v>
                </c:pt>
                <c:pt idx="48">
                  <c:v>9.1402649830524252E-4</c:v>
                </c:pt>
                <c:pt idx="49">
                  <c:v>1.1086802896109885E-3</c:v>
                </c:pt>
                <c:pt idx="50">
                  <c:v>8.3362601928765173E-4</c:v>
                </c:pt>
                <c:pt idx="51">
                  <c:v>8.251628109700106E-4</c:v>
                </c:pt>
                <c:pt idx="52">
                  <c:v>5.754981655995971E-4</c:v>
                </c:pt>
                <c:pt idx="53">
                  <c:v>7.3206751947595811E-4</c:v>
                </c:pt>
                <c:pt idx="54">
                  <c:v>5.501085406466737E-4</c:v>
                </c:pt>
                <c:pt idx="55">
                  <c:v>4.9932929074082699E-4</c:v>
                </c:pt>
                <c:pt idx="56">
                  <c:v>4.3162362419969785E-4</c:v>
                </c:pt>
                <c:pt idx="57">
                  <c:v>3.9777079092913331E-4</c:v>
                </c:pt>
                <c:pt idx="58">
                  <c:v>4.4855004083498013E-4</c:v>
                </c:pt>
                <c:pt idx="59">
                  <c:v>2.496646453704135E-4</c:v>
                </c:pt>
                <c:pt idx="60">
                  <c:v>4.9509768658200642E-4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51768"/>
        <c:axId val="340252160"/>
      </c:lineChart>
      <c:catAx>
        <c:axId val="340251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2160"/>
        <c:crosses val="autoZero"/>
        <c:auto val="1"/>
        <c:lblAlgn val="ctr"/>
        <c:lblOffset val="100"/>
        <c:tickLblSkip val="10"/>
        <c:noMultiLvlLbl val="0"/>
      </c:catAx>
      <c:valAx>
        <c:axId val="3402521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517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0.38361449555254917</c:v>
                </c:pt>
                <c:pt idx="1">
                  <c:v>0.14411832297958829</c:v>
                </c:pt>
                <c:pt idx="2">
                  <c:v>9.6121814846209547E-2</c:v>
                </c:pt>
                <c:pt idx="3">
                  <c:v>9.5021750056130366E-2</c:v>
                </c:pt>
                <c:pt idx="4">
                  <c:v>5.8859517737522876E-2</c:v>
                </c:pt>
                <c:pt idx="5">
                  <c:v>5.3899360101035215E-2</c:v>
                </c:pt>
                <c:pt idx="6">
                  <c:v>3.03031870579594E-2</c:v>
                </c:pt>
                <c:pt idx="7">
                  <c:v>6.5831432430394892E-3</c:v>
                </c:pt>
                <c:pt idx="8">
                  <c:v>4.9423196359604914E-3</c:v>
                </c:pt>
                <c:pt idx="9">
                  <c:v>2.1289855693291497E-2</c:v>
                </c:pt>
                <c:pt idx="10">
                  <c:v>1.0757604060380435E-2</c:v>
                </c:pt>
                <c:pt idx="11">
                  <c:v>3.7716095076122612E-3</c:v>
                </c:pt>
                <c:pt idx="12">
                  <c:v>7.6619739917064339E-3</c:v>
                </c:pt>
                <c:pt idx="13">
                  <c:v>1.7093788108940987E-2</c:v>
                </c:pt>
                <c:pt idx="14">
                  <c:v>1.5121582286359472E-2</c:v>
                </c:pt>
                <c:pt idx="15">
                  <c:v>6.9316025944750406E-3</c:v>
                </c:pt>
                <c:pt idx="16">
                  <c:v>2.4289391119246592E-2</c:v>
                </c:pt>
                <c:pt idx="17">
                  <c:v>0</c:v>
                </c:pt>
                <c:pt idx="18">
                  <c:v>3.2413617628384941E-3</c:v>
                </c:pt>
                <c:pt idx="19">
                  <c:v>0</c:v>
                </c:pt>
                <c:pt idx="20">
                  <c:v>4.8322131834517392E-3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7.8805767260973977E-3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3.6645297556045656E-3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0.23669925798044522</c:v>
                </c:pt>
                <c:pt idx="1">
                  <c:v>0.15529290682425589</c:v>
                </c:pt>
                <c:pt idx="2">
                  <c:v>0.11327833203300078</c:v>
                </c:pt>
                <c:pt idx="3">
                  <c:v>9.1266745239952859E-2</c:v>
                </c:pt>
                <c:pt idx="4">
                  <c:v>8.6743247954051222E-2</c:v>
                </c:pt>
                <c:pt idx="5">
                  <c:v>6.200926279444232E-2</c:v>
                </c:pt>
                <c:pt idx="6">
                  <c:v>4.1831974900815062E-2</c:v>
                </c:pt>
                <c:pt idx="7">
                  <c:v>3.3590079845952095E-2</c:v>
                </c:pt>
                <c:pt idx="8">
                  <c:v>2.7315283610829834E-2</c:v>
                </c:pt>
                <c:pt idx="9">
                  <c:v>1.9911688052987167E-2</c:v>
                </c:pt>
                <c:pt idx="10">
                  <c:v>1.7537889477266314E-2</c:v>
                </c:pt>
                <c:pt idx="11">
                  <c:v>1.5977490413505751E-2</c:v>
                </c:pt>
                <c:pt idx="12">
                  <c:v>1.6043890373665777E-2</c:v>
                </c:pt>
                <c:pt idx="13">
                  <c:v>1.4300891419465148E-2</c:v>
                </c:pt>
                <c:pt idx="14">
                  <c:v>1.2400192559884464E-2</c:v>
                </c:pt>
                <c:pt idx="15">
                  <c:v>1.0408193755083747E-2</c:v>
                </c:pt>
                <c:pt idx="16">
                  <c:v>8.4244949453030332E-3</c:v>
                </c:pt>
                <c:pt idx="17">
                  <c:v>7.2956956225826266E-3</c:v>
                </c:pt>
                <c:pt idx="18">
                  <c:v>5.77679653392208E-3</c:v>
                </c:pt>
                <c:pt idx="19">
                  <c:v>4.4238973456615927E-3</c:v>
                </c:pt>
                <c:pt idx="20">
                  <c:v>3.4361979382812372E-3</c:v>
                </c:pt>
                <c:pt idx="21">
                  <c:v>3.1705980976411414E-3</c:v>
                </c:pt>
                <c:pt idx="22">
                  <c:v>2.5978984412609353E-3</c:v>
                </c:pt>
                <c:pt idx="23">
                  <c:v>2.1662987002207799E-3</c:v>
                </c:pt>
                <c:pt idx="24">
                  <c:v>1.8176989093806543E-3</c:v>
                </c:pt>
                <c:pt idx="25">
                  <c:v>1.2532992480204512E-3</c:v>
                </c:pt>
                <c:pt idx="26">
                  <c:v>1.0457993725203766E-3</c:v>
                </c:pt>
                <c:pt idx="27">
                  <c:v>8.9639946216032269E-4</c:v>
                </c:pt>
                <c:pt idx="28">
                  <c:v>4.2329974602015237E-4</c:v>
                </c:pt>
                <c:pt idx="29">
                  <c:v>5.8099965140020918E-4</c:v>
                </c:pt>
                <c:pt idx="30">
                  <c:v>3.236998057801165E-4</c:v>
                </c:pt>
                <c:pt idx="31">
                  <c:v>4.2329974602015237E-4</c:v>
                </c:pt>
                <c:pt idx="32">
                  <c:v>1.2449992530004481E-4</c:v>
                </c:pt>
                <c:pt idx="33">
                  <c:v>2.5729984562009262E-4</c:v>
                </c:pt>
                <c:pt idx="34">
                  <c:v>1.410999153400508E-4</c:v>
                </c:pt>
                <c:pt idx="35">
                  <c:v>1.0789993526003884E-4</c:v>
                </c:pt>
                <c:pt idx="36">
                  <c:v>1.1619993028004183E-4</c:v>
                </c:pt>
                <c:pt idx="37">
                  <c:v>1.0789993526003884E-4</c:v>
                </c:pt>
                <c:pt idx="38">
                  <c:v>5.8099965140020916E-5</c:v>
                </c:pt>
                <c:pt idx="39">
                  <c:v>8.2999950200029874E-5</c:v>
                </c:pt>
                <c:pt idx="40">
                  <c:v>4.1499975100014937E-5</c:v>
                </c:pt>
                <c:pt idx="41">
                  <c:v>8.2999950200029874E-5</c:v>
                </c:pt>
                <c:pt idx="42">
                  <c:v>0</c:v>
                </c:pt>
                <c:pt idx="43">
                  <c:v>5.8099965140020916E-5</c:v>
                </c:pt>
                <c:pt idx="44">
                  <c:v>5.8099965140020916E-5</c:v>
                </c:pt>
                <c:pt idx="45">
                  <c:v>3.3199980080011951E-5</c:v>
                </c:pt>
                <c:pt idx="46">
                  <c:v>3.3199980080011951E-5</c:v>
                </c:pt>
                <c:pt idx="47">
                  <c:v>0</c:v>
                </c:pt>
                <c:pt idx="48">
                  <c:v>0</c:v>
                </c:pt>
                <c:pt idx="49">
                  <c:v>1.6599990040005976E-5</c:v>
                </c:pt>
                <c:pt idx="50">
                  <c:v>8.2999950200029878E-6</c:v>
                </c:pt>
                <c:pt idx="51">
                  <c:v>8.2999950200029878E-6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8344"/>
        <c:axId val="131346384"/>
      </c:lineChart>
      <c:catAx>
        <c:axId val="131348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6384"/>
        <c:crosses val="autoZero"/>
        <c:auto val="1"/>
        <c:lblAlgn val="ctr"/>
        <c:lblOffset val="100"/>
        <c:tickLblSkip val="10"/>
        <c:noMultiLvlLbl val="0"/>
      </c:catAx>
      <c:valAx>
        <c:axId val="1313463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834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2.0756168652276957E-3</c:v>
                </c:pt>
                <c:pt idx="2">
                  <c:v>2.3207279474661037E-3</c:v>
                </c:pt>
                <c:pt idx="3">
                  <c:v>6.3663094370976295E-2</c:v>
                </c:pt>
                <c:pt idx="4">
                  <c:v>6.299342806705191E-2</c:v>
                </c:pt>
                <c:pt idx="5">
                  <c:v>0.127553405610071</c:v>
                </c:pt>
                <c:pt idx="6">
                  <c:v>8.015615442580433E-2</c:v>
                </c:pt>
                <c:pt idx="7">
                  <c:v>9.2949840266606742E-2</c:v>
                </c:pt>
                <c:pt idx="8">
                  <c:v>5.1847998190021137E-2</c:v>
                </c:pt>
                <c:pt idx="9">
                  <c:v>0.1308682342155677</c:v>
                </c:pt>
                <c:pt idx="10">
                  <c:v>4.2236007105338466E-2</c:v>
                </c:pt>
                <c:pt idx="11">
                  <c:v>2.5681887588056351E-2</c:v>
                </c:pt>
                <c:pt idx="12">
                  <c:v>2.9210907122274823E-2</c:v>
                </c:pt>
                <c:pt idx="13">
                  <c:v>1.6430904539029741E-2</c:v>
                </c:pt>
                <c:pt idx="14">
                  <c:v>2.3821760287222264E-2</c:v>
                </c:pt>
                <c:pt idx="15">
                  <c:v>2.3452904726714449E-2</c:v>
                </c:pt>
                <c:pt idx="16">
                  <c:v>6.6018502568859928E-3</c:v>
                </c:pt>
                <c:pt idx="17">
                  <c:v>1.7254671641955246E-3</c:v>
                </c:pt>
                <c:pt idx="18">
                  <c:v>2.9839365555234788E-2</c:v>
                </c:pt>
                <c:pt idx="19">
                  <c:v>1.1167808694325862E-2</c:v>
                </c:pt>
                <c:pt idx="20">
                  <c:v>1.5304508775779699E-2</c:v>
                </c:pt>
                <c:pt idx="21">
                  <c:v>2.128222719691969E-2</c:v>
                </c:pt>
                <c:pt idx="22">
                  <c:v>2.1840727418275018E-3</c:v>
                </c:pt>
                <c:pt idx="23">
                  <c:v>1.466749360163287E-3</c:v>
                </c:pt>
                <c:pt idx="24">
                  <c:v>1.0011527450800781E-2</c:v>
                </c:pt>
                <c:pt idx="25">
                  <c:v>8.1060374115535221E-3</c:v>
                </c:pt>
                <c:pt idx="26">
                  <c:v>7.1469628052343694E-3</c:v>
                </c:pt>
                <c:pt idx="27">
                  <c:v>0</c:v>
                </c:pt>
                <c:pt idx="28">
                  <c:v>1.2025245720981081E-2</c:v>
                </c:pt>
                <c:pt idx="29">
                  <c:v>3.7369246064691379E-3</c:v>
                </c:pt>
                <c:pt idx="30">
                  <c:v>2.8245201518786412E-3</c:v>
                </c:pt>
                <c:pt idx="31">
                  <c:v>1.3834613490402192E-2</c:v>
                </c:pt>
                <c:pt idx="32">
                  <c:v>0</c:v>
                </c:pt>
                <c:pt idx="33">
                  <c:v>8.5132172915743879E-3</c:v>
                </c:pt>
                <c:pt idx="34">
                  <c:v>0</c:v>
                </c:pt>
                <c:pt idx="35">
                  <c:v>1.6369653636407941E-4</c:v>
                </c:pt>
                <c:pt idx="36">
                  <c:v>5.2683387174347392E-3</c:v>
                </c:pt>
                <c:pt idx="37">
                  <c:v>0</c:v>
                </c:pt>
                <c:pt idx="38">
                  <c:v>0</c:v>
                </c:pt>
                <c:pt idx="39">
                  <c:v>7.8805767260973995E-3</c:v>
                </c:pt>
                <c:pt idx="40">
                  <c:v>7.2972695814071632E-3</c:v>
                </c:pt>
                <c:pt idx="41">
                  <c:v>0</c:v>
                </c:pt>
                <c:pt idx="42">
                  <c:v>2.1067601761965665E-3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2.1092939596253362E-3</c:v>
                </c:pt>
                <c:pt idx="47">
                  <c:v>3.664529755604566E-3</c:v>
                </c:pt>
                <c:pt idx="48">
                  <c:v>0</c:v>
                </c:pt>
                <c:pt idx="49">
                  <c:v>0</c:v>
                </c:pt>
                <c:pt idx="50">
                  <c:v>1.3470192481539651E-3</c:v>
                </c:pt>
                <c:pt idx="51">
                  <c:v>0</c:v>
                </c:pt>
                <c:pt idx="52">
                  <c:v>1.5264153071823402E-2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2.0621899397813602E-3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5.818296509022095E-3</c:v>
                </c:pt>
                <c:pt idx="1">
                  <c:v>3.2336780597931644E-2</c:v>
                </c:pt>
                <c:pt idx="2">
                  <c:v>5.822446506532096E-2</c:v>
                </c:pt>
                <c:pt idx="3">
                  <c:v>7.6542554074467556E-2</c:v>
                </c:pt>
                <c:pt idx="4">
                  <c:v>7.0599757640145422E-2</c:v>
                </c:pt>
                <c:pt idx="5">
                  <c:v>6.4922561046463378E-2</c:v>
                </c:pt>
                <c:pt idx="6">
                  <c:v>6.2142062714762372E-2</c:v>
                </c:pt>
                <c:pt idx="7">
                  <c:v>5.8772264736641155E-2</c:v>
                </c:pt>
                <c:pt idx="8">
                  <c:v>5.352666788399927E-2</c:v>
                </c:pt>
                <c:pt idx="9">
                  <c:v>4.6861771882936873E-2</c:v>
                </c:pt>
                <c:pt idx="10">
                  <c:v>4.2471074517355288E-2</c:v>
                </c:pt>
                <c:pt idx="11">
                  <c:v>3.5183678889792666E-2</c:v>
                </c:pt>
                <c:pt idx="12">
                  <c:v>2.9830182101890739E-2</c:v>
                </c:pt>
                <c:pt idx="13">
                  <c:v>2.4401985358808786E-2</c:v>
                </c:pt>
                <c:pt idx="14">
                  <c:v>1.8874188675486795E-2</c:v>
                </c:pt>
                <c:pt idx="15">
                  <c:v>1.7247389651566209E-2</c:v>
                </c:pt>
                <c:pt idx="16">
                  <c:v>1.8650088809946713E-2</c:v>
                </c:pt>
                <c:pt idx="17">
                  <c:v>1.5587390647565612E-2</c:v>
                </c:pt>
                <c:pt idx="18">
                  <c:v>2.021878786872728E-2</c:v>
                </c:pt>
                <c:pt idx="19">
                  <c:v>1.8982088610746833E-2</c:v>
                </c:pt>
                <c:pt idx="20">
                  <c:v>1.6400790159525905E-2</c:v>
                </c:pt>
                <c:pt idx="21">
                  <c:v>1.6317790209325875E-2</c:v>
                </c:pt>
                <c:pt idx="22">
                  <c:v>1.7097989741206156E-2</c:v>
                </c:pt>
                <c:pt idx="23">
                  <c:v>1.5031290981225411E-2</c:v>
                </c:pt>
                <c:pt idx="24">
                  <c:v>1.1976892813864312E-2</c:v>
                </c:pt>
                <c:pt idx="25">
                  <c:v>1.3147192111684733E-2</c:v>
                </c:pt>
                <c:pt idx="26">
                  <c:v>1.1171793296924021E-2</c:v>
                </c:pt>
                <c:pt idx="27">
                  <c:v>1.0242193854683687E-2</c:v>
                </c:pt>
                <c:pt idx="28">
                  <c:v>9.802294118623529E-3</c:v>
                </c:pt>
                <c:pt idx="29">
                  <c:v>9.0137945917232454E-3</c:v>
                </c:pt>
                <c:pt idx="30">
                  <c:v>7.8185953088428153E-3</c:v>
                </c:pt>
                <c:pt idx="31">
                  <c:v>7.7936953237828059E-3</c:v>
                </c:pt>
                <c:pt idx="32">
                  <c:v>6.9221958466824923E-3</c:v>
                </c:pt>
                <c:pt idx="33">
                  <c:v>6.7976959213824472E-3</c:v>
                </c:pt>
                <c:pt idx="34">
                  <c:v>6.0257963845221692E-3</c:v>
                </c:pt>
                <c:pt idx="35">
                  <c:v>5.6107966335220199E-3</c:v>
                </c:pt>
                <c:pt idx="36">
                  <c:v>4.9467970319217805E-3</c:v>
                </c:pt>
                <c:pt idx="37">
                  <c:v>4.1997974801215119E-3</c:v>
                </c:pt>
                <c:pt idx="38">
                  <c:v>3.4527979283212429E-3</c:v>
                </c:pt>
                <c:pt idx="39">
                  <c:v>2.8219983068010161E-3</c:v>
                </c:pt>
                <c:pt idx="40">
                  <c:v>2.9713982171610696E-3</c:v>
                </c:pt>
                <c:pt idx="41">
                  <c:v>2.5729984562009264E-3</c:v>
                </c:pt>
                <c:pt idx="42">
                  <c:v>2.141398715160771E-3</c:v>
                </c:pt>
                <c:pt idx="43">
                  <c:v>1.9753988147607113E-3</c:v>
                </c:pt>
                <c:pt idx="44">
                  <c:v>1.9006988595806843E-3</c:v>
                </c:pt>
                <c:pt idx="45">
                  <c:v>1.6765989940406036E-3</c:v>
                </c:pt>
                <c:pt idx="46">
                  <c:v>1.4192991484205109E-3</c:v>
                </c:pt>
                <c:pt idx="47">
                  <c:v>1.3113992131604721E-3</c:v>
                </c:pt>
                <c:pt idx="48">
                  <c:v>1.1619993028004184E-3</c:v>
                </c:pt>
                <c:pt idx="49">
                  <c:v>1.2366992579804451E-3</c:v>
                </c:pt>
                <c:pt idx="50">
                  <c:v>8.8809946714031975E-4</c:v>
                </c:pt>
                <c:pt idx="51">
                  <c:v>9.9599940240035849E-4</c:v>
                </c:pt>
                <c:pt idx="52">
                  <c:v>8.4659949204030473E-4</c:v>
                </c:pt>
                <c:pt idx="53">
                  <c:v>8.1339951196029287E-4</c:v>
                </c:pt>
                <c:pt idx="54">
                  <c:v>4.3159974104015536E-4</c:v>
                </c:pt>
                <c:pt idx="55">
                  <c:v>8.2999950200029885E-4</c:v>
                </c:pt>
                <c:pt idx="56">
                  <c:v>6.2249962650022409E-4</c:v>
                </c:pt>
                <c:pt idx="57">
                  <c:v>4.9799970120017925E-4</c:v>
                </c:pt>
                <c:pt idx="58">
                  <c:v>4.4819973108016134E-4</c:v>
                </c:pt>
                <c:pt idx="59">
                  <c:v>4.3989973606015835E-4</c:v>
                </c:pt>
                <c:pt idx="60">
                  <c:v>4.8969970618017631E-4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3248"/>
        <c:axId val="131342856"/>
      </c:lineChart>
      <c:catAx>
        <c:axId val="131343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2856"/>
        <c:crosses val="autoZero"/>
        <c:auto val="1"/>
        <c:lblAlgn val="ctr"/>
        <c:lblOffset val="100"/>
        <c:tickLblSkip val="10"/>
        <c:noMultiLvlLbl val="0"/>
      </c:catAx>
      <c:valAx>
        <c:axId val="1313428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32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0.21184033144131748</c:v>
                </c:pt>
                <c:pt idx="1">
                  <c:v>0.17749782235608291</c:v>
                </c:pt>
                <c:pt idx="2">
                  <c:v>0.13024415894237715</c:v>
                </c:pt>
                <c:pt idx="3">
                  <c:v>7.288810346032458E-2</c:v>
                </c:pt>
                <c:pt idx="4">
                  <c:v>6.2291065993336586E-2</c:v>
                </c:pt>
                <c:pt idx="5">
                  <c:v>4.1264389295902169E-2</c:v>
                </c:pt>
                <c:pt idx="6">
                  <c:v>2.9206010740916839E-2</c:v>
                </c:pt>
                <c:pt idx="7">
                  <c:v>5.319411108845476E-2</c:v>
                </c:pt>
                <c:pt idx="8">
                  <c:v>1.908286875042756E-2</c:v>
                </c:pt>
                <c:pt idx="9">
                  <c:v>1.8059443938082301E-2</c:v>
                </c:pt>
                <c:pt idx="10">
                  <c:v>1.8771168095913369E-2</c:v>
                </c:pt>
                <c:pt idx="11">
                  <c:v>1.9560891362514571E-2</c:v>
                </c:pt>
                <c:pt idx="12">
                  <c:v>3.0154188138763172E-3</c:v>
                </c:pt>
                <c:pt idx="13">
                  <c:v>2.1277824338291427E-2</c:v>
                </c:pt>
                <c:pt idx="14">
                  <c:v>8.095735115274557E-3</c:v>
                </c:pt>
                <c:pt idx="15">
                  <c:v>2.2927638102474678E-2</c:v>
                </c:pt>
                <c:pt idx="16">
                  <c:v>9.7190247935053601E-3</c:v>
                </c:pt>
                <c:pt idx="17">
                  <c:v>9.258108420327647E-3</c:v>
                </c:pt>
                <c:pt idx="18">
                  <c:v>8.8039413423954636E-3</c:v>
                </c:pt>
                <c:pt idx="19">
                  <c:v>5.761512233017354E-4</c:v>
                </c:pt>
                <c:pt idx="20">
                  <c:v>1.5103103135212432E-3</c:v>
                </c:pt>
                <c:pt idx="21">
                  <c:v>4.6308319539051295E-3</c:v>
                </c:pt>
                <c:pt idx="22">
                  <c:v>2.955596548648627E-3</c:v>
                </c:pt>
                <c:pt idx="23">
                  <c:v>3.4565977556112806E-2</c:v>
                </c:pt>
                <c:pt idx="24">
                  <c:v>0</c:v>
                </c:pt>
                <c:pt idx="25">
                  <c:v>4.9579429303883964E-3</c:v>
                </c:pt>
                <c:pt idx="26">
                  <c:v>0</c:v>
                </c:pt>
                <c:pt idx="27">
                  <c:v>1.5860994176418075E-3</c:v>
                </c:pt>
                <c:pt idx="28">
                  <c:v>0</c:v>
                </c:pt>
                <c:pt idx="29">
                  <c:v>3.0796021228933252E-3</c:v>
                </c:pt>
                <c:pt idx="30">
                  <c:v>2.7947790065766531E-5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3.7065604577392495E-3</c:v>
                </c:pt>
                <c:pt idx="37">
                  <c:v>0</c:v>
                </c:pt>
                <c:pt idx="38">
                  <c:v>3.5208740722774957E-4</c:v>
                </c:pt>
                <c:pt idx="39">
                  <c:v>0</c:v>
                </c:pt>
                <c:pt idx="40">
                  <c:v>1.6913243315079894E-3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3.3615115552505419E-3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0.10028829688075781</c:v>
                </c:pt>
                <c:pt idx="1">
                  <c:v>0.10514382329352091</c:v>
                </c:pt>
                <c:pt idx="2">
                  <c:v>0.10377387119849132</c:v>
                </c:pt>
                <c:pt idx="3">
                  <c:v>0.11234040708386621</c:v>
                </c:pt>
                <c:pt idx="4">
                  <c:v>0.11607742830511782</c:v>
                </c:pt>
                <c:pt idx="5">
                  <c:v>9.7648104393817881E-2</c:v>
                </c:pt>
                <c:pt idx="6">
                  <c:v>7.3001972557605183E-2</c:v>
                </c:pt>
                <c:pt idx="7">
                  <c:v>6.2298137992326537E-2</c:v>
                </c:pt>
                <c:pt idx="8">
                  <c:v>4.9686775193462381E-2</c:v>
                </c:pt>
                <c:pt idx="9">
                  <c:v>3.41187436325407E-2</c:v>
                </c:pt>
                <c:pt idx="10">
                  <c:v>2.5699607656124682E-2</c:v>
                </c:pt>
                <c:pt idx="11">
                  <c:v>2.1693798365595127E-2</c:v>
                </c:pt>
                <c:pt idx="12">
                  <c:v>2.0003034704007976E-2</c:v>
                </c:pt>
                <c:pt idx="13">
                  <c:v>1.683827195283203E-2</c:v>
                </c:pt>
                <c:pt idx="14">
                  <c:v>1.2277545357986691E-2</c:v>
                </c:pt>
                <c:pt idx="15">
                  <c:v>1.0825222725597728E-2</c:v>
                </c:pt>
                <c:pt idx="16">
                  <c:v>8.6792534628140385E-3</c:v>
                </c:pt>
                <c:pt idx="17">
                  <c:v>6.4422430797910386E-3</c:v>
                </c:pt>
                <c:pt idx="18">
                  <c:v>5.4494613400385842E-3</c:v>
                </c:pt>
                <c:pt idx="19">
                  <c:v>4.4350031430862935E-3</c:v>
                </c:pt>
                <c:pt idx="20">
                  <c:v>2.9566687620575295E-3</c:v>
                </c:pt>
                <c:pt idx="21">
                  <c:v>2.4581102464613183E-3</c:v>
                </c:pt>
                <c:pt idx="22">
                  <c:v>1.7687989075065571E-3</c:v>
                </c:pt>
                <c:pt idx="23">
                  <c:v>1.3872932607894566E-3</c:v>
                </c:pt>
                <c:pt idx="24">
                  <c:v>1.0578111113519607E-3</c:v>
                </c:pt>
                <c:pt idx="25">
                  <c:v>7.5867600199423411E-4</c:v>
                </c:pt>
                <c:pt idx="26">
                  <c:v>5.5058201287581563E-4</c:v>
                </c:pt>
                <c:pt idx="27">
                  <c:v>4.4653501831660634E-4</c:v>
                </c:pt>
                <c:pt idx="28">
                  <c:v>3.424880237573971E-4</c:v>
                </c:pt>
                <c:pt idx="29">
                  <c:v>1.9508811479851732E-4</c:v>
                </c:pt>
                <c:pt idx="30">
                  <c:v>2.2543515487828669E-4</c:v>
                </c:pt>
                <c:pt idx="31">
                  <c:v>1.9942340623848437E-4</c:v>
                </c:pt>
                <c:pt idx="32">
                  <c:v>1.2572345175904451E-4</c:v>
                </c:pt>
                <c:pt idx="33">
                  <c:v>1.6040578327878091E-4</c:v>
                </c:pt>
                <c:pt idx="34">
                  <c:v>5.202349727960462E-5</c:v>
                </c:pt>
                <c:pt idx="35">
                  <c:v>6.0694080159538728E-5</c:v>
                </c:pt>
                <c:pt idx="36">
                  <c:v>9.9711703119242186E-5</c:v>
                </c:pt>
                <c:pt idx="37">
                  <c:v>4.7688205839637573E-5</c:v>
                </c:pt>
                <c:pt idx="38">
                  <c:v>9.5376411679275145E-5</c:v>
                </c:pt>
                <c:pt idx="39">
                  <c:v>5.6358788719571674E-5</c:v>
                </c:pt>
                <c:pt idx="40">
                  <c:v>6.0694080159538728E-5</c:v>
                </c:pt>
                <c:pt idx="41">
                  <c:v>3.0347040079769364E-5</c:v>
                </c:pt>
                <c:pt idx="42">
                  <c:v>2.1676457199835259E-5</c:v>
                </c:pt>
                <c:pt idx="43">
                  <c:v>2.601174863980231E-5</c:v>
                </c:pt>
                <c:pt idx="44">
                  <c:v>1.7341165759868205E-5</c:v>
                </c:pt>
                <c:pt idx="45">
                  <c:v>2.601174863980231E-5</c:v>
                </c:pt>
                <c:pt idx="46">
                  <c:v>4.3352914399670514E-6</c:v>
                </c:pt>
                <c:pt idx="47">
                  <c:v>1.3005874319901155E-5</c:v>
                </c:pt>
                <c:pt idx="48">
                  <c:v>4.3352914399670514E-6</c:v>
                </c:pt>
                <c:pt idx="49">
                  <c:v>8.6705828799341027E-6</c:v>
                </c:pt>
                <c:pt idx="50">
                  <c:v>4.3352914399670514E-6</c:v>
                </c:pt>
                <c:pt idx="51">
                  <c:v>0</c:v>
                </c:pt>
                <c:pt idx="52">
                  <c:v>4.3352914399670514E-6</c:v>
                </c:pt>
                <c:pt idx="53">
                  <c:v>8.6705828799341027E-6</c:v>
                </c:pt>
                <c:pt idx="54">
                  <c:v>0</c:v>
                </c:pt>
                <c:pt idx="55">
                  <c:v>0</c:v>
                </c:pt>
                <c:pt idx="56">
                  <c:v>4.3352914399670514E-6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5208"/>
        <c:axId val="131343640"/>
      </c:lineChart>
      <c:catAx>
        <c:axId val="131345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3640"/>
        <c:crosses val="autoZero"/>
        <c:auto val="1"/>
        <c:lblAlgn val="ctr"/>
        <c:lblOffset val="100"/>
        <c:tickLblSkip val="10"/>
        <c:noMultiLvlLbl val="0"/>
      </c:catAx>
      <c:valAx>
        <c:axId val="131343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5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1.8533693667124485E-3</c:v>
                </c:pt>
                <c:pt idx="1">
                  <c:v>1.2136554212625229E-2</c:v>
                </c:pt>
                <c:pt idx="2">
                  <c:v>1.7940280219590567E-2</c:v>
                </c:pt>
                <c:pt idx="3">
                  <c:v>3.2832675636525616E-2</c:v>
                </c:pt>
                <c:pt idx="4">
                  <c:v>6.6114695213156841E-2</c:v>
                </c:pt>
                <c:pt idx="5">
                  <c:v>3.6495448270626195E-2</c:v>
                </c:pt>
                <c:pt idx="6">
                  <c:v>7.5131177886538641E-2</c:v>
                </c:pt>
                <c:pt idx="7">
                  <c:v>8.864647476271395E-2</c:v>
                </c:pt>
                <c:pt idx="8">
                  <c:v>6.6454356632825243E-2</c:v>
                </c:pt>
                <c:pt idx="9">
                  <c:v>8.0930761464156301E-2</c:v>
                </c:pt>
                <c:pt idx="10">
                  <c:v>3.6422419748679817E-2</c:v>
                </c:pt>
                <c:pt idx="11">
                  <c:v>1.2116999180108065E-2</c:v>
                </c:pt>
                <c:pt idx="12">
                  <c:v>2.3807531095490077E-2</c:v>
                </c:pt>
                <c:pt idx="13">
                  <c:v>1.163753314687381E-2</c:v>
                </c:pt>
                <c:pt idx="14">
                  <c:v>1.4728478035008506E-2</c:v>
                </c:pt>
                <c:pt idx="15">
                  <c:v>2.409245756271881E-2</c:v>
                </c:pt>
                <c:pt idx="16">
                  <c:v>1.4045200481262225E-2</c:v>
                </c:pt>
                <c:pt idx="17">
                  <c:v>1.0267349960026158E-2</c:v>
                </c:pt>
                <c:pt idx="18">
                  <c:v>3.9278299499246487E-2</c:v>
                </c:pt>
                <c:pt idx="19">
                  <c:v>2.7075340614753401E-2</c:v>
                </c:pt>
                <c:pt idx="20">
                  <c:v>1.6222307807775862E-2</c:v>
                </c:pt>
                <c:pt idx="21">
                  <c:v>1.7192300288948303E-2</c:v>
                </c:pt>
                <c:pt idx="22">
                  <c:v>5.7473215622706542E-3</c:v>
                </c:pt>
                <c:pt idx="23">
                  <c:v>6.8802874209520195E-3</c:v>
                </c:pt>
                <c:pt idx="24">
                  <c:v>5.2849387628788715E-3</c:v>
                </c:pt>
                <c:pt idx="25">
                  <c:v>9.9089873889563057E-3</c:v>
                </c:pt>
                <c:pt idx="26">
                  <c:v>1.7765038562330322E-2</c:v>
                </c:pt>
                <c:pt idx="27">
                  <c:v>5.425008685172354E-3</c:v>
                </c:pt>
                <c:pt idx="28">
                  <c:v>6.3428404162677457E-3</c:v>
                </c:pt>
                <c:pt idx="29">
                  <c:v>2.2469809924777949E-2</c:v>
                </c:pt>
                <c:pt idx="30">
                  <c:v>9.8757238095735483E-3</c:v>
                </c:pt>
                <c:pt idx="31">
                  <c:v>8.6765787396476911E-3</c:v>
                </c:pt>
                <c:pt idx="32">
                  <c:v>3.1620970627114109E-2</c:v>
                </c:pt>
                <c:pt idx="33">
                  <c:v>4.4690060647111576E-3</c:v>
                </c:pt>
                <c:pt idx="34">
                  <c:v>4.166308847688812E-3</c:v>
                </c:pt>
                <c:pt idx="35">
                  <c:v>2.9165185593388772E-3</c:v>
                </c:pt>
                <c:pt idx="36">
                  <c:v>9.2489710074683297E-3</c:v>
                </c:pt>
                <c:pt idx="37">
                  <c:v>1.3257036208821965E-2</c:v>
                </c:pt>
                <c:pt idx="38">
                  <c:v>2.7259948031009605E-3</c:v>
                </c:pt>
                <c:pt idx="39">
                  <c:v>6.3676222052250131E-3</c:v>
                </c:pt>
                <c:pt idx="40">
                  <c:v>6.1336520656874284E-4</c:v>
                </c:pt>
                <c:pt idx="41">
                  <c:v>1.4142964963366385E-3</c:v>
                </c:pt>
                <c:pt idx="42">
                  <c:v>1.6897419196332073E-3</c:v>
                </c:pt>
                <c:pt idx="43">
                  <c:v>1.5860994176418071E-3</c:v>
                </c:pt>
                <c:pt idx="44">
                  <c:v>2.8781242154663519E-3</c:v>
                </c:pt>
                <c:pt idx="45">
                  <c:v>2.9597263670491395E-3</c:v>
                </c:pt>
                <c:pt idx="46">
                  <c:v>7.4173882548051566E-3</c:v>
                </c:pt>
                <c:pt idx="47">
                  <c:v>1.829375082492823E-3</c:v>
                </c:pt>
                <c:pt idx="48">
                  <c:v>3.2426790412968844E-2</c:v>
                </c:pt>
                <c:pt idx="49">
                  <c:v>6.4631561428068847E-3</c:v>
                </c:pt>
                <c:pt idx="50">
                  <c:v>0</c:v>
                </c:pt>
                <c:pt idx="51">
                  <c:v>4.724015638347877E-3</c:v>
                </c:pt>
                <c:pt idx="52">
                  <c:v>1.0773566562391459E-3</c:v>
                </c:pt>
                <c:pt idx="53">
                  <c:v>2.8510153073390662E-3</c:v>
                </c:pt>
                <c:pt idx="54">
                  <c:v>2.4236248796727644E-3</c:v>
                </c:pt>
                <c:pt idx="55">
                  <c:v>0</c:v>
                </c:pt>
                <c:pt idx="56">
                  <c:v>1.2502270404005013E-3</c:v>
                </c:pt>
                <c:pt idx="57">
                  <c:v>0</c:v>
                </c:pt>
                <c:pt idx="58">
                  <c:v>4.3043505819000899E-3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3.3251685344547286E-3</c:v>
                </c:pt>
                <c:pt idx="1">
                  <c:v>1.4666290941408536E-2</c:v>
                </c:pt>
                <c:pt idx="2">
                  <c:v>1.9647540805930678E-2</c:v>
                </c:pt>
                <c:pt idx="3">
                  <c:v>2.687880692779572E-2</c:v>
                </c:pt>
                <c:pt idx="4">
                  <c:v>3.2046474324236449E-2</c:v>
                </c:pt>
                <c:pt idx="5">
                  <c:v>3.9086987622742937E-2</c:v>
                </c:pt>
                <c:pt idx="6">
                  <c:v>4.35263260572692E-2</c:v>
                </c:pt>
                <c:pt idx="7">
                  <c:v>4.8698328745149892E-2</c:v>
                </c:pt>
                <c:pt idx="8">
                  <c:v>5.2574079292480438E-2</c:v>
                </c:pt>
                <c:pt idx="9">
                  <c:v>5.0050939674419613E-2</c:v>
                </c:pt>
                <c:pt idx="10">
                  <c:v>4.6717100557084952E-2</c:v>
                </c:pt>
                <c:pt idx="11">
                  <c:v>4.0821104198729759E-2</c:v>
                </c:pt>
                <c:pt idx="12">
                  <c:v>3.5315284069971607E-2</c:v>
                </c:pt>
                <c:pt idx="13">
                  <c:v>3.0334034205449462E-2</c:v>
                </c:pt>
                <c:pt idx="14">
                  <c:v>2.1828192400234106E-2</c:v>
                </c:pt>
                <c:pt idx="15">
                  <c:v>2.5409143129646889E-2</c:v>
                </c:pt>
                <c:pt idx="16">
                  <c:v>3.0216981336570352E-2</c:v>
                </c:pt>
                <c:pt idx="17">
                  <c:v>2.5448160752606593E-2</c:v>
                </c:pt>
                <c:pt idx="18">
                  <c:v>2.8331129560184683E-2</c:v>
                </c:pt>
                <c:pt idx="19">
                  <c:v>3.0936639715604883E-2</c:v>
                </c:pt>
                <c:pt idx="20">
                  <c:v>2.6922159842195391E-2</c:v>
                </c:pt>
                <c:pt idx="21">
                  <c:v>2.4979949277090151E-2</c:v>
                </c:pt>
                <c:pt idx="22">
                  <c:v>2.5400472546766955E-2</c:v>
                </c:pt>
                <c:pt idx="23">
                  <c:v>2.1186569267118982E-2</c:v>
                </c:pt>
                <c:pt idx="24">
                  <c:v>1.6439425140355061E-2</c:v>
                </c:pt>
                <c:pt idx="25">
                  <c:v>1.8533370905859145E-2</c:v>
                </c:pt>
                <c:pt idx="26">
                  <c:v>1.5394619903323001E-2</c:v>
                </c:pt>
                <c:pt idx="27">
                  <c:v>1.3825244402054928E-2</c:v>
                </c:pt>
                <c:pt idx="28">
                  <c:v>1.3265991806299178E-2</c:v>
                </c:pt>
                <c:pt idx="29">
                  <c:v>1.1449504692952984E-2</c:v>
                </c:pt>
                <c:pt idx="30">
                  <c:v>9.4205882990484029E-3</c:v>
                </c:pt>
                <c:pt idx="31">
                  <c:v>9.021741486571434E-3</c:v>
                </c:pt>
                <c:pt idx="32">
                  <c:v>7.7254893460212866E-3</c:v>
                </c:pt>
                <c:pt idx="33">
                  <c:v>7.1749073331454707E-3</c:v>
                </c:pt>
                <c:pt idx="34">
                  <c:v>6.160449136193181E-3</c:v>
                </c:pt>
                <c:pt idx="35">
                  <c:v>4.9595734073223071E-3</c:v>
                </c:pt>
                <c:pt idx="36">
                  <c:v>5.0722909847614505E-3</c:v>
                </c:pt>
                <c:pt idx="37">
                  <c:v>4.2008974053280735E-3</c:v>
                </c:pt>
                <c:pt idx="38">
                  <c:v>4.404656103006525E-3</c:v>
                </c:pt>
                <c:pt idx="39">
                  <c:v>3.437886111893872E-3</c:v>
                </c:pt>
                <c:pt idx="40">
                  <c:v>2.9913510935772659E-3</c:v>
                </c:pt>
                <c:pt idx="41">
                  <c:v>2.8526217674983202E-3</c:v>
                </c:pt>
                <c:pt idx="42">
                  <c:v>2.8179394359785837E-3</c:v>
                </c:pt>
                <c:pt idx="43">
                  <c:v>2.4581102464613183E-3</c:v>
                </c:pt>
                <c:pt idx="44">
                  <c:v>2.4494396635813842E-3</c:v>
                </c:pt>
                <c:pt idx="45">
                  <c:v>2.4320984978215159E-3</c:v>
                </c:pt>
                <c:pt idx="46">
                  <c:v>1.7731341989465242E-3</c:v>
                </c:pt>
                <c:pt idx="47">
                  <c:v>1.7427871588667548E-3</c:v>
                </c:pt>
                <c:pt idx="48">
                  <c:v>1.5520343355082044E-3</c:v>
                </c:pt>
                <c:pt idx="49">
                  <c:v>1.6604166215073808E-3</c:v>
                </c:pt>
                <c:pt idx="50">
                  <c:v>1.4696637981488306E-3</c:v>
                </c:pt>
                <c:pt idx="51">
                  <c:v>1.2789109747902803E-3</c:v>
                </c:pt>
                <c:pt idx="52">
                  <c:v>1.1488522315912686E-3</c:v>
                </c:pt>
                <c:pt idx="53">
                  <c:v>9.9278173975245491E-4</c:v>
                </c:pt>
                <c:pt idx="54">
                  <c:v>1.1705286887911039E-3</c:v>
                </c:pt>
                <c:pt idx="55">
                  <c:v>1.0708169856718619E-3</c:v>
                </c:pt>
                <c:pt idx="56">
                  <c:v>9.1041120239308089E-4</c:v>
                </c:pt>
                <c:pt idx="57">
                  <c:v>1.0534758199119937E-3</c:v>
                </c:pt>
                <c:pt idx="58">
                  <c:v>9.3642295103288321E-4</c:v>
                </c:pt>
                <c:pt idx="59">
                  <c:v>6.2861725879522249E-4</c:v>
                </c:pt>
                <c:pt idx="60">
                  <c:v>1.335269763509852E-3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5992"/>
        <c:axId val="131348736"/>
      </c:lineChart>
      <c:catAx>
        <c:axId val="131345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8736"/>
        <c:crosses val="autoZero"/>
        <c:auto val="1"/>
        <c:lblAlgn val="ctr"/>
        <c:lblOffset val="100"/>
        <c:tickLblSkip val="10"/>
        <c:noMultiLvlLbl val="0"/>
      </c:catAx>
      <c:valAx>
        <c:axId val="1313487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5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0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11.xml" Type="http://schemas.openxmlformats.org/officeDocument/2006/relationships/chart"/></Relationships>
</file>

<file path=xl/drawings/_rels/drawing12.xml.rels><?xml version="1.0" encoding="UTF-8" standalone="no"?><Relationships xmlns="http://schemas.openxmlformats.org/package/2006/relationships"><Relationship Id="rId1" Target="../charts/chart12.xml" Type="http://schemas.openxmlformats.org/officeDocument/2006/relationships/chart"/></Relationships>
</file>

<file path=xl/drawings/_rels/drawing13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14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15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16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11.xml" Type="http://schemas.openxmlformats.org/officeDocument/2006/relationships/drawing"/></Relationships>
</file>

<file path=xl/worksheets/_rels/sheet12.xml.rels><?xml version="1.0" encoding="UTF-8" standalone="no"?><Relationships xmlns="http://schemas.openxmlformats.org/package/2006/relationships"><Relationship Id="rId1" Target="../drawings/drawing12.xml" Type="http://schemas.openxmlformats.org/officeDocument/2006/relationships/drawing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13.xml" Type="http://schemas.openxmlformats.org/officeDocument/2006/relationships/drawing"/></Relationships>
</file>

<file path=xl/worksheets/_rels/sheet14.xml.rels><?xml version="1.0" encoding="UTF-8" standalone="no"?><Relationships xmlns="http://schemas.openxmlformats.org/package/2006/relationships"><Relationship Id="rId1" Target="../drawings/drawing14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15.xml" Type="http://schemas.openxmlformats.org/officeDocument/2006/relationships/drawing"/></Relationships>
</file>

<file path=xl/worksheets/_rels/sheet16.xml.rels><?xml version="1.0" encoding="UTF-8" standalone="no"?><Relationships xmlns="http://schemas.openxmlformats.org/package/2006/relationships"><Relationship Id="rId1" Target="../drawings/drawing1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2"/>
  <sheetViews>
    <sheetView tabSelected="1" topLeftCell="O1" workbookViewId="0">
      <selection activeCell="T21" sqref="T2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20" max="20" bestFit="true" customWidth="true" width="15.265625" collapsed="true"/>
    <col min="21" max="21" bestFit="true" customWidth="true" width="14.265625" collapsed="true"/>
    <col min="23" max="23" bestFit="true" customWidth="true" width="12.265625" collapsed="true"/>
    <col min="25" max="25" bestFit="true" customWidth="true" width="14.265625" collapsed="true"/>
    <col min="27" max="27" bestFit="true" customWidth="true" width="12.265625" collapsed="true"/>
  </cols>
  <sheetData>
    <row r="1" spans="1:27" x14ac:dyDescent="0.45">
      <c r="A1" t="s">
        <v>1</v>
      </c>
    </row>
    <row r="2" spans="1:27" x14ac:dyDescent="0.45">
      <c r="A2" t="s">
        <v>19</v>
      </c>
    </row>
    <row r="3" spans="1:27" x14ac:dyDescent="0.45">
      <c r="A3" t="s">
        <v>20</v>
      </c>
    </row>
    <row r="4" spans="1:27" x14ac:dyDescent="0.45">
      <c r="A4" t="s">
        <v>4</v>
      </c>
    </row>
    <row r="5" spans="1:27" x14ac:dyDescent="0.45">
      <c r="A5" t="s">
        <v>6</v>
      </c>
    </row>
    <row r="7" spans="1:27" x14ac:dyDescent="0.45">
      <c r="A7" t="s">
        <v>9</v>
      </c>
      <c r="T7" t="s">
        <v>23</v>
      </c>
    </row>
    <row r="8" spans="1:27" x14ac:dyDescent="0.45">
      <c r="U8" t="s">
        <v>17</v>
      </c>
      <c r="Y8" t="s">
        <v>13</v>
      </c>
    </row>
    <row r="9" spans="1:27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693986.08506952086</v>
      </c>
      <c r="V10" s="6">
        <f>K11</f>
        <v>5.0060949982708234</v>
      </c>
      <c r="W10" s="373">
        <f>U10*V10</f>
        <v>3474160.2693360783</v>
      </c>
      <c r="Y10" s="373">
        <f>F102</f>
        <v>723933</v>
      </c>
      <c r="Z10" s="6">
        <f>L11</f>
        <v>6.2879441804989042</v>
      </c>
      <c r="AA10" s="373">
        <f>Y10*Z10</f>
        <v>4552050.2944211131</v>
      </c>
    </row>
    <row r="11" spans="1:27" x14ac:dyDescent="0.45">
      <c r="A11">
        <v>0</v>
      </c>
      <c r="B11" s="6" t="n">
        <v>122961.193930405</v>
      </c>
      <c r="C11" s="9">
        <f>B11/B$102</f>
        <v>0.17718106540722242</v>
      </c>
      <c r="E11" s="10">
        <v>0</v>
      </c>
      <c r="F11" s="100" t="n">
        <v>77523.0</v>
      </c>
      <c r="G11" s="9">
        <f>F11/F$102</f>
        <v>0.10592002298555253</v>
      </c>
      <c r="K11" s="6" t="n">
        <v>5.006094998270823</v>
      </c>
      <c r="L11" s="6" t="n">
        <v>6.281397504109986</v>
      </c>
      <c r="S11" t="s">
        <v>42</v>
      </c>
      <c r="T11" t="s">
        <v>27</v>
      </c>
      <c r="U11" s="373">
        <f>TLFD_Work!B102</f>
        <v>258588.19513784876</v>
      </c>
      <c r="V11" s="6">
        <f>TLFD_Work!K11</f>
        <v>8.2414167710902948</v>
      </c>
      <c r="W11" s="373">
        <f t="shared" ref="W11:W16" si="0">U11*V11</f>
        <v>2131133.0882150368</v>
      </c>
      <c r="Y11" s="373">
        <f>TLFD_Work!F102</f>
        <v>324238</v>
      </c>
      <c r="Z11" s="6">
        <f>TLFD_Work!L11</f>
        <v>8.6906584057225711</v>
      </c>
      <c r="AA11" s="373">
        <f t="shared" ref="AA11:AA16" si="1">Y11*Z11</f>
        <v>2817841.7001546752</v>
      </c>
    </row>
    <row r="12" spans="1:27" x14ac:dyDescent="0.45">
      <c r="A12">
        <v>1</v>
      </c>
      <c r="B12" s="6" t="n">
        <v>118750.5951816746</v>
      </c>
      <c r="C12" s="9">
        <f>B12/B$102</f>
        <v>0.17111379858542641</v>
      </c>
      <c r="E12" s="11">
        <v>1</v>
      </c>
      <c r="F12" s="101" t="n">
        <v>94377.0</v>
      </c>
      <c r="G12" s="9">
        <f>F12/F$102</f>
        <v>0.12880473745498547</v>
      </c>
      <c r="K12" s="6"/>
      <c r="L12" s="370"/>
      <c r="S12" t="s">
        <v>43</v>
      </c>
      <c r="T12" t="s">
        <v>28</v>
      </c>
      <c r="U12" s="373">
        <f>TLFD_School!B102</f>
        <v>104446.25818218781</v>
      </c>
      <c r="V12" s="6">
        <f>TLFD_School!K11</f>
        <v>4.5318625358887044</v>
      </c>
      <c r="W12" s="373">
        <f t="shared" si="0"/>
        <v>473336.08446961601</v>
      </c>
      <c r="Y12" s="373">
        <f>TLFD_School!F102</f>
        <v>91360</v>
      </c>
      <c r="Z12" s="6">
        <f>TLFD_School!L11</f>
        <v>4.5112573156801021</v>
      </c>
      <c r="AA12" s="373">
        <f t="shared" si="1"/>
        <v>412148.46836053411</v>
      </c>
    </row>
    <row r="13" spans="1:27" x14ac:dyDescent="0.45">
      <c r="A13">
        <v>2</v>
      </c>
      <c r="B13" s="6" t="n">
        <v>87432.9778883563</v>
      </c>
      <c r="C13" s="9">
        <f t="shared" ref="C13:C76" si="2">B13/B$102</f>
        <v>0.12598664406880378</v>
      </c>
      <c r="E13" s="12">
        <v>2</v>
      </c>
      <c r="F13" s="102" t="n">
        <v>82979.0</v>
      </c>
      <c r="G13" s="9">
        <f t="shared" ref="G13:G76" si="3">F13/F$102</f>
        <v>0.1133502686022049</v>
      </c>
      <c r="S13" t="s">
        <v>44</v>
      </c>
      <c r="T13" t="s">
        <v>29</v>
      </c>
      <c r="U13" s="373">
        <f>TLFD_Escort!B102</f>
        <v>185546.87445799081</v>
      </c>
      <c r="V13" s="6">
        <f>TLFD_Escort!K11</f>
        <v>5.2575510607641567</v>
      </c>
      <c r="W13" s="373">
        <f t="shared" si="0"/>
        <v>975522.16662808333</v>
      </c>
      <c r="Y13" s="373">
        <f>TLFD_Escort!F102</f>
        <v>167586</v>
      </c>
      <c r="Z13" s="6">
        <f>TLFD_Escort!L11</f>
        <v>5.1784640727353679</v>
      </c>
      <c r="AA13" s="373">
        <f t="shared" si="1"/>
        <v>867838.08009342942</v>
      </c>
    </row>
    <row r="14" spans="1:27" x14ac:dyDescent="0.45">
      <c r="A14">
        <v>3</v>
      </c>
      <c r="B14" s="6" t="n">
        <v>76662.4821804061</v>
      </c>
      <c r="C14" s="9">
        <f t="shared" si="2"/>
        <v>0.110466886627455</v>
      </c>
      <c r="E14" s="13">
        <v>3</v>
      </c>
      <c r="F14" s="103" t="n">
        <v>79319.0</v>
      </c>
      <c r="G14" s="9">
        <f t="shared" si="3"/>
        <v>0.10876835287243433</v>
      </c>
      <c r="S14" t="s">
        <v>45</v>
      </c>
      <c r="T14" t="s">
        <v>30</v>
      </c>
      <c r="U14" s="373">
        <f>TLFD_PerBus!B102</f>
        <v>173118.58832344893</v>
      </c>
      <c r="V14" s="6">
        <f>TLFD_PerBus!K11</f>
        <v>5.088760181863778</v>
      </c>
      <c r="W14" s="373">
        <f t="shared" si="0"/>
        <v>880958.97900083452</v>
      </c>
      <c r="Y14" s="373">
        <f>TLFD_PerBus!F102</f>
        <v>226688</v>
      </c>
      <c r="Z14" s="6">
        <f>TLFD_PerBus!L11</f>
        <v>5.1740621231086008</v>
      </c>
      <c r="AA14" s="373">
        <f t="shared" si="1"/>
        <v>1172897.7945632425</v>
      </c>
    </row>
    <row r="15" spans="1:27" x14ac:dyDescent="0.45">
      <c r="A15">
        <v>4</v>
      </c>
      <c r="B15" s="6" t="n">
        <v>56046.277685644</v>
      </c>
      <c r="C15" s="9">
        <f t="shared" si="2"/>
        <v>8.0759944459159447E-2</v>
      </c>
      <c r="E15" s="14">
        <v>4</v>
      </c>
      <c r="F15" s="104" t="n">
        <v>69491.0</v>
      </c>
      <c r="G15" s="9">
        <f t="shared" si="3"/>
        <v>9.5394187031120278E-2</v>
      </c>
      <c r="S15" t="s">
        <v>46</v>
      </c>
      <c r="T15" t="s">
        <v>31</v>
      </c>
      <c r="U15" s="373">
        <f>TLFD_Shop!B102</f>
        <v>194291.16559827578</v>
      </c>
      <c r="V15" s="6">
        <f>TLFD_Shop!K11</f>
        <v>4.252759439908437</v>
      </c>
      <c r="W15" s="373">
        <f t="shared" si="0"/>
        <v>826273.58858888072</v>
      </c>
      <c r="Y15" s="373">
        <f>TLFD_Shop!F102</f>
        <v>236317</v>
      </c>
      <c r="Z15" s="6">
        <f>TLFD_Shop!L11</f>
        <v>4.1045390933542638</v>
      </c>
      <c r="AA15" s="373">
        <f t="shared" si="1"/>
        <v>969972.36492419953</v>
      </c>
    </row>
    <row r="16" spans="1:27" x14ac:dyDescent="0.45">
      <c r="A16">
        <v>5</v>
      </c>
      <c r="B16" s="6" t="n">
        <v>42383.1113625505</v>
      </c>
      <c r="C16" s="9">
        <f t="shared" si="2"/>
        <v>6.1071990165775046E-2</v>
      </c>
      <c r="E16" s="15">
        <v>5</v>
      </c>
      <c r="F16" s="105" t="n">
        <v>56915.0</v>
      </c>
      <c r="G16" s="9">
        <f t="shared" si="3"/>
        <v>7.805418457232921E-2</v>
      </c>
      <c r="S16" t="s">
        <v>34</v>
      </c>
      <c r="T16" t="s">
        <v>48</v>
      </c>
      <c r="U16" s="6">
        <f>TLFD_Meal!B102</f>
        <v>93465.630610357519</v>
      </c>
      <c r="V16" s="6">
        <f>TLFD_Meal!K11</f>
        <v>3.3054569253799677</v>
      </c>
      <c r="W16" s="373">
        <f t="shared" si="0"/>
        <v>308946.61598601216</v>
      </c>
      <c r="Y16" s="6">
        <f>TLFD_Meal!F102</f>
        <v>120482</v>
      </c>
      <c r="Z16" s="6">
        <f>TLFD_Meal!L11</f>
        <v>4.6499037979617208</v>
      </c>
      <c r="AA16" s="373">
        <f t="shared" si="1"/>
        <v>560229.70938602404</v>
      </c>
    </row>
    <row r="17" spans="1:28" x14ac:dyDescent="0.45">
      <c r="A17">
        <v>6</v>
      </c>
      <c r="B17" s="6" t="n">
        <v>17903.5012999083</v>
      </c>
      <c r="C17" s="9">
        <f t="shared" si="2"/>
        <v>2.5798069565205761E-2</v>
      </c>
      <c r="E17" s="16">
        <v>6</v>
      </c>
      <c r="F17" s="106" t="n">
        <v>42267.0</v>
      </c>
      <c r="G17" s="9">
        <f t="shared" si="3"/>
        <v>5.8057858945510153E-2</v>
      </c>
      <c r="S17" t="s">
        <v>47</v>
      </c>
      <c r="T17" t="s">
        <v>32</v>
      </c>
      <c r="U17" s="373">
        <f>TLFD_SocRec!B102</f>
        <v>198718.75332292667</v>
      </c>
      <c r="V17" s="6">
        <f>TLFD_SocRec!K11</f>
        <v>5.3917548890704108</v>
      </c>
      <c r="W17" s="373">
        <f>U17*V17</f>
        <v>1071442.8097788668</v>
      </c>
      <c r="Y17" s="373">
        <f>TLFD_SocRec!F102</f>
        <v>230665</v>
      </c>
      <c r="Z17" s="6">
        <f>TLFD_SocRec!L11</f>
        <v>5.7062504684933577</v>
      </c>
      <c r="AA17" s="373">
        <f>Y17*Z17</f>
        <v>1316232.2643150203</v>
      </c>
    </row>
    <row r="18" spans="1:28" x14ac:dyDescent="0.45">
      <c r="A18">
        <v>7</v>
      </c>
      <c r="B18" s="6" t="n">
        <v>21428.744203560498</v>
      </c>
      <c r="C18" s="9">
        <f t="shared" si="2"/>
        <v>3.0877772140653004E-2</v>
      </c>
      <c r="E18" s="17">
        <v>7</v>
      </c>
      <c r="F18" s="107" t="n">
        <v>33317.0</v>
      </c>
      <c r="G18" s="9">
        <f t="shared" si="3"/>
        <v>4.5037316989279395E-2</v>
      </c>
      <c r="T18" s="375" t="s">
        <v>35</v>
      </c>
      <c r="U18" s="376">
        <f>SUM(U10:U15)+U17</f>
        <v>1808695.9200921997</v>
      </c>
      <c r="V18" s="377">
        <f>W18/U18</f>
        <v>5.4364179610225252</v>
      </c>
      <c r="W18" s="376">
        <f>SUM(W10:W15)+W17</f>
        <v>9832826.9860173967</v>
      </c>
      <c r="X18" s="375"/>
      <c r="Y18" s="376">
        <f>SUM(Y10:Y15)+Y17</f>
        <v>2000787</v>
      </c>
      <c r="Z18" s="377">
        <f>AA18/Y18</f>
        <v>6.0521089785330551</v>
      </c>
      <c r="AA18" s="376">
        <f>SUM(AA10:AA15)+AA17</f>
        <v>12108980.966832215</v>
      </c>
      <c r="AB18" t="s">
        <v>38</v>
      </c>
    </row>
    <row r="19" spans="1:28" x14ac:dyDescent="0.45">
      <c r="A19">
        <v>8</v>
      </c>
      <c r="B19" s="6" t="n">
        <v>18257.3108698197</v>
      </c>
      <c r="C19" s="9">
        <f t="shared" si="2"/>
        <v>2.6307891847702901E-2</v>
      </c>
      <c r="E19" s="18">
        <v>8</v>
      </c>
      <c r="F19" s="108" t="n">
        <v>30901.0</v>
      </c>
      <c r="G19" s="9">
        <f t="shared" si="3"/>
        <v>4.3651829658269484E-2</v>
      </c>
      <c r="S19" s="375" t="s">
        <v>36</v>
      </c>
      <c r="U19" s="378">
        <f>U18+U16</f>
        <v>1902161.5507025572</v>
      </c>
      <c r="V19" s="377">
        <f>W19/U19</f>
        <v>5.3317099161517474</v>
      </c>
      <c r="W19" s="379">
        <f>W18+W16</f>
        <v>10141773.602003409</v>
      </c>
      <c r="X19" s="375"/>
      <c r="Y19" s="378">
        <f>Y18+Y16</f>
        <v>2121269</v>
      </c>
      <c r="Z19" s="377">
        <f>AA19/Y19</f>
        <v>5.9724677427606965</v>
      </c>
      <c r="AA19" s="379">
        <f>AA18+AA16</f>
        <v>12669210.67621824</v>
      </c>
      <c r="AB19" t="s">
        <v>37</v>
      </c>
    </row>
    <row r="20" spans="1:28" x14ac:dyDescent="0.45">
      <c r="A20">
        <v>9</v>
      </c>
      <c r="B20" s="6" t="n">
        <v>18567.0803536128</v>
      </c>
      <c r="C20" s="9">
        <f t="shared" si="2"/>
        <v>2.6754254520467542E-2</v>
      </c>
      <c r="E20" s="19">
        <v>9</v>
      </c>
      <c r="F20" s="109" t="n">
        <v>21150.0</v>
      </c>
      <c r="G20" s="9">
        <f t="shared" si="3"/>
        <v>2.9097996637810406E-2</v>
      </c>
    </row>
    <row r="21" spans="1:28" x14ac:dyDescent="0.45">
      <c r="A21">
        <v>10</v>
      </c>
      <c r="B21" s="6" t="n">
        <v>10295.1131637254</v>
      </c>
      <c r="C21" s="9">
        <f t="shared" si="2"/>
        <v>1.4834754450003238E-2</v>
      </c>
      <c r="E21" s="20">
        <v>10</v>
      </c>
      <c r="F21" s="110" t="n">
        <v>17715.0</v>
      </c>
      <c r="G21" s="9">
        <f t="shared" si="3"/>
        <v>2.5035465989255913E-2</v>
      </c>
    </row>
    <row r="22" spans="1:28" x14ac:dyDescent="0.45">
      <c r="A22">
        <v>11</v>
      </c>
      <c r="B22" s="6" t="n">
        <v>13282.409822918</v>
      </c>
      <c r="C22" s="9">
        <f t="shared" si="2"/>
        <v>1.9139302802573366E-2</v>
      </c>
      <c r="E22" s="21">
        <v>11</v>
      </c>
      <c r="F22" s="111" t="n">
        <v>15687.0</v>
      </c>
      <c r="G22" s="9">
        <f t="shared" si="3"/>
        <v>2.139424504753893E-2</v>
      </c>
    </row>
    <row r="23" spans="1:28" x14ac:dyDescent="0.45">
      <c r="A23">
        <v>12</v>
      </c>
      <c r="B23" s="6" t="n">
        <v>6044.5128696158</v>
      </c>
      <c r="C23" s="9">
        <f t="shared" si="2"/>
        <v>8.7098473581214298E-3</v>
      </c>
      <c r="E23" s="22">
        <v>12</v>
      </c>
      <c r="F23" s="112" t="n">
        <v>15203.0</v>
      </c>
      <c r="G23" s="9">
        <f t="shared" si="3"/>
        <v>2.1260254747331592E-2</v>
      </c>
    </row>
    <row r="24" spans="1:28" x14ac:dyDescent="0.45">
      <c r="A24">
        <v>13</v>
      </c>
      <c r="B24" s="6" t="n">
        <v>4030.1321143392</v>
      </c>
      <c r="C24" s="9">
        <f t="shared" si="2"/>
        <v>5.8072232297503154E-3</v>
      </c>
      <c r="E24" s="23">
        <v>13</v>
      </c>
      <c r="F24" s="113" t="n">
        <v>13423.0</v>
      </c>
      <c r="G24" s="9">
        <f t="shared" si="3"/>
        <v>1.8322137545877866E-2</v>
      </c>
    </row>
    <row r="25" spans="1:28" x14ac:dyDescent="0.45">
      <c r="A25">
        <v>14</v>
      </c>
      <c r="B25" s="6" t="n">
        <v>7435.2729633985</v>
      </c>
      <c r="C25" s="9">
        <f t="shared" si="2"/>
        <v>1.0713864619711595E-2</v>
      </c>
      <c r="E25" s="24">
        <v>14</v>
      </c>
      <c r="F25" s="114" t="n">
        <v>11357.0</v>
      </c>
      <c r="G25" s="9">
        <f t="shared" si="3"/>
        <v>1.6067785278471903E-2</v>
      </c>
    </row>
    <row r="26" spans="1:28" x14ac:dyDescent="0.45">
      <c r="A26">
        <v>15</v>
      </c>
      <c r="B26" s="6" t="n">
        <v>12861.9526952537</v>
      </c>
      <c r="C26" s="9">
        <f t="shared" si="2"/>
        <v>1.8533444649636223E-2</v>
      </c>
      <c r="E26" s="25">
        <v>15</v>
      </c>
      <c r="F26" s="115" t="n">
        <v>11219.0</v>
      </c>
      <c r="G26" s="9">
        <f t="shared" si="3"/>
        <v>1.503039645934085E-2</v>
      </c>
    </row>
    <row r="27" spans="1:28" x14ac:dyDescent="0.45">
      <c r="A27">
        <v>16</v>
      </c>
      <c r="B27" s="6" t="n">
        <v>8614.0432509741</v>
      </c>
      <c r="C27" s="9">
        <f t="shared" si="2"/>
        <v>1.2412414940727779E-2</v>
      </c>
      <c r="E27" s="26">
        <v>16</v>
      </c>
      <c r="F27" s="116" t="n">
        <v>8899.0</v>
      </c>
      <c r="G27" s="9">
        <f t="shared" si="3"/>
        <v>1.1995585226809663E-2</v>
      </c>
    </row>
    <row r="28" spans="1:28" x14ac:dyDescent="0.45">
      <c r="A28">
        <v>17</v>
      </c>
      <c r="B28" s="6" t="n">
        <v>7924.726850637</v>
      </c>
      <c r="C28" s="9">
        <f t="shared" si="2"/>
        <v>1.141914372799439E-2</v>
      </c>
      <c r="E28" s="27">
        <v>17</v>
      </c>
      <c r="F28" s="117" t="n">
        <v>7807.0</v>
      </c>
      <c r="G28" s="9">
        <f t="shared" si="3"/>
        <v>1.0633580731918562E-2</v>
      </c>
    </row>
    <row r="29" spans="1:28" x14ac:dyDescent="0.45">
      <c r="A29">
        <v>18</v>
      </c>
      <c r="B29" s="6" t="n">
        <v>12097.923146775</v>
      </c>
      <c r="C29" s="9">
        <f t="shared" si="2"/>
        <v>1.7432515445267287E-2</v>
      </c>
      <c r="E29" s="28">
        <v>18</v>
      </c>
      <c r="F29" s="118" t="n">
        <v>5899.0</v>
      </c>
      <c r="G29" s="9">
        <f t="shared" si="3"/>
        <v>7.9523933844706622E-3</v>
      </c>
    </row>
    <row r="30" spans="1:28" x14ac:dyDescent="0.45">
      <c r="A30">
        <v>19</v>
      </c>
      <c r="B30" s="6" t="n">
        <v>5661.2913442646</v>
      </c>
      <c r="C30" s="9">
        <f t="shared" si="2"/>
        <v>8.1576438866169405E-3</v>
      </c>
      <c r="E30" s="29">
        <v>19</v>
      </c>
      <c r="F30" s="119" t="n">
        <v>5379.0</v>
      </c>
      <c r="G30" s="9">
        <f t="shared" si="3"/>
        <v>7.1360194935166654E-3</v>
      </c>
    </row>
    <row r="31" spans="1:28" x14ac:dyDescent="0.45">
      <c r="A31">
        <v>20</v>
      </c>
      <c r="B31" s="6" t="n">
        <v>5383.9980671328</v>
      </c>
      <c r="C31" s="9">
        <f t="shared" si="2"/>
        <v>7.758077838972019E-3</v>
      </c>
      <c r="E31" s="30">
        <v>20</v>
      </c>
      <c r="F31" s="120" t="n">
        <v>4560.0</v>
      </c>
      <c r="G31" s="9">
        <f t="shared" si="3"/>
        <v>6.2574851540128712E-3</v>
      </c>
    </row>
    <row r="32" spans="1:28" x14ac:dyDescent="0.45">
      <c r="A32">
        <v>21</v>
      </c>
      <c r="B32" s="6" t="n">
        <v>1915.0846690025999</v>
      </c>
      <c r="C32" s="9">
        <f t="shared" si="2"/>
        <v>2.7595433254411061E-3</v>
      </c>
      <c r="E32" s="31">
        <v>21</v>
      </c>
      <c r="F32" s="121" t="n">
        <v>4071.0</v>
      </c>
      <c r="G32" s="9">
        <f t="shared" si="3"/>
        <v>5.4936023085009247E-3</v>
      </c>
    </row>
    <row r="33" spans="1:7" x14ac:dyDescent="0.45">
      <c r="A33">
        <v>22</v>
      </c>
      <c r="B33" s="6" t="n">
        <v>6054.699940526</v>
      </c>
      <c r="C33" s="9">
        <f t="shared" si="2"/>
        <v>8.7245264289693408E-3</v>
      </c>
      <c r="E33" s="32">
        <v>22</v>
      </c>
      <c r="F33" s="122" t="n">
        <v>3331.0</v>
      </c>
      <c r="G33" s="9">
        <f t="shared" si="3"/>
        <v>4.6178306555993438E-3</v>
      </c>
    </row>
    <row r="34" spans="1:7" x14ac:dyDescent="0.45">
      <c r="A34">
        <v>23</v>
      </c>
      <c r="B34" s="6" t="n">
        <v>2425.210001835</v>
      </c>
      <c r="C34" s="9">
        <f t="shared" si="2"/>
        <v>3.4946089756137575E-3</v>
      </c>
      <c r="E34" s="33">
        <v>23</v>
      </c>
      <c r="F34" s="123" t="n">
        <v>2831.0</v>
      </c>
      <c r="G34" s="9">
        <f t="shared" si="3"/>
        <v>3.7724485553221085E-3</v>
      </c>
    </row>
    <row r="35" spans="1:7" x14ac:dyDescent="0.45">
      <c r="A35">
        <v>24</v>
      </c>
      <c r="B35" s="6" t="n">
        <v>558.7719133334</v>
      </c>
      <c r="C35" s="9">
        <f t="shared" si="2"/>
        <v>8.0516299296897918E-4</v>
      </c>
      <c r="E35" s="34">
        <v>24</v>
      </c>
      <c r="F35" s="124" t="n">
        <v>2275.0</v>
      </c>
      <c r="G35" s="9">
        <f t="shared" si="3"/>
        <v>3.2268179513850041E-3</v>
      </c>
    </row>
    <row r="36" spans="1:7" x14ac:dyDescent="0.45">
      <c r="A36">
        <v>25</v>
      </c>
      <c r="B36" s="6" t="n">
        <v>820.3334863719999</v>
      </c>
      <c r="C36" s="9">
        <f t="shared" si="2"/>
        <v>1.1820604245830406E-3</v>
      </c>
      <c r="E36" s="35">
        <v>25</v>
      </c>
      <c r="F36" s="125" t="n">
        <v>1857.0</v>
      </c>
      <c r="G36" s="9">
        <f t="shared" si="3"/>
        <v>2.4919433151962956E-3</v>
      </c>
    </row>
    <row r="37" spans="1:7" x14ac:dyDescent="0.45">
      <c r="A37">
        <v>26</v>
      </c>
      <c r="B37" s="6" t="n">
        <v>321.941783499</v>
      </c>
      <c r="C37" s="9">
        <f t="shared" si="2"/>
        <v>4.6390236119323502E-4</v>
      </c>
      <c r="E37" s="36">
        <v>26</v>
      </c>
      <c r="F37" s="126" t="n">
        <v>1675.0</v>
      </c>
      <c r="G37" s="9">
        <f t="shared" si="3"/>
        <v>2.3330888355690377E-3</v>
      </c>
    </row>
    <row r="38" spans="1:7" x14ac:dyDescent="0.45">
      <c r="A38">
        <v>27</v>
      </c>
      <c r="B38" s="6" t="n">
        <v>805.453859731</v>
      </c>
      <c r="C38" s="9">
        <f t="shared" si="2"/>
        <v>1.1606196104786636E-3</v>
      </c>
      <c r="E38" s="37">
        <v>27</v>
      </c>
      <c r="F38" s="127" t="n">
        <v>1322.0</v>
      </c>
      <c r="G38" s="9">
        <f t="shared" si="3"/>
        <v>1.7625940522120141E-3</v>
      </c>
    </row>
    <row r="39" spans="1:7" x14ac:dyDescent="0.45">
      <c r="A39">
        <v>28</v>
      </c>
      <c r="B39" s="6" t="n">
        <v>0.0</v>
      </c>
      <c r="C39" s="9">
        <f t="shared" si="2"/>
        <v>0</v>
      </c>
      <c r="E39" s="38">
        <v>28</v>
      </c>
      <c r="F39" s="128" t="n">
        <v>991.0</v>
      </c>
      <c r="G39" s="9">
        <f t="shared" si="3"/>
        <v>1.4283089733442183E-3</v>
      </c>
    </row>
    <row r="40" spans="1:7" x14ac:dyDescent="0.45">
      <c r="A40">
        <v>29</v>
      </c>
      <c r="B40" s="6" t="n">
        <v>2263.771226967</v>
      </c>
      <c r="C40" s="9">
        <f t="shared" si="2"/>
        <v>3.2619835983314048E-3</v>
      </c>
      <c r="E40" s="39">
        <v>29</v>
      </c>
      <c r="F40" s="129" t="n">
        <v>916.0</v>
      </c>
      <c r="G40" s="9">
        <f t="shared" si="3"/>
        <v>1.095405237777529E-3</v>
      </c>
    </row>
    <row r="41" spans="1:7" x14ac:dyDescent="0.45">
      <c r="A41">
        <v>30</v>
      </c>
      <c r="B41" s="6" t="n">
        <v>770.138760905</v>
      </c>
      <c r="C41" s="9">
        <f t="shared" si="2"/>
        <v>1.1097322806232499E-3</v>
      </c>
      <c r="E41" s="40">
        <v>30</v>
      </c>
      <c r="F41" s="130" t="n">
        <v>681.0</v>
      </c>
      <c r="G41" s="9">
        <f t="shared" si="3"/>
        <v>1.0000925500011741E-3</v>
      </c>
    </row>
    <row r="42" spans="1:7" x14ac:dyDescent="0.45">
      <c r="A42">
        <v>31</v>
      </c>
      <c r="B42" s="6" t="n">
        <v>338.582210178</v>
      </c>
      <c r="C42" s="9">
        <f t="shared" si="2"/>
        <v>4.8788040201711274E-4</v>
      </c>
      <c r="E42" s="41">
        <v>31</v>
      </c>
      <c r="F42" s="131" t="n">
        <v>608.0</v>
      </c>
      <c r="G42" s="9">
        <f t="shared" si="3"/>
        <v>7.6112015890973336E-4</v>
      </c>
    </row>
    <row r="43" spans="1:7" x14ac:dyDescent="0.45">
      <c r="A43">
        <v>32</v>
      </c>
      <c r="B43" s="6" t="n">
        <v>638.047822475</v>
      </c>
      <c r="C43" s="9">
        <f t="shared" si="2"/>
        <v>9.1939570000323966E-4</v>
      </c>
      <c r="E43" s="42">
        <v>32</v>
      </c>
      <c r="F43" s="132" t="n">
        <v>474.0</v>
      </c>
      <c r="G43" s="9">
        <f t="shared" si="3"/>
        <v>7.3901866609202781E-4</v>
      </c>
    </row>
    <row r="44" spans="1:7" x14ac:dyDescent="0.45">
      <c r="A44">
        <v>33</v>
      </c>
      <c r="B44" s="6" t="n">
        <v>619.342925768</v>
      </c>
      <c r="C44" s="9">
        <f t="shared" si="2"/>
        <v>8.9244285885927614E-4</v>
      </c>
      <c r="E44" s="43">
        <v>33</v>
      </c>
      <c r="F44" s="133" t="n">
        <v>422.0</v>
      </c>
      <c r="G44" s="9">
        <f t="shared" si="3"/>
        <v>6.2712985870239373E-4</v>
      </c>
    </row>
    <row r="45" spans="1:7" x14ac:dyDescent="0.45">
      <c r="A45">
        <v>34</v>
      </c>
      <c r="B45" s="6" t="n">
        <v>248.443558839</v>
      </c>
      <c r="C45" s="9">
        <f t="shared" si="2"/>
        <v>3.5799501486274304E-4</v>
      </c>
      <c r="E45" s="44">
        <v>34</v>
      </c>
      <c r="F45" s="134" t="n">
        <v>241.0</v>
      </c>
      <c r="G45" s="9">
        <f t="shared" si="3"/>
        <v>3.5914925828771447E-4</v>
      </c>
    </row>
    <row r="46" spans="1:7" x14ac:dyDescent="0.45">
      <c r="A46">
        <v>35</v>
      </c>
      <c r="B46" s="6" t="n">
        <v>619.342925768</v>
      </c>
      <c r="C46" s="9">
        <f t="shared" si="2"/>
        <v>8.9244285885927614E-4</v>
      </c>
      <c r="E46" s="45">
        <v>35</v>
      </c>
      <c r="F46" s="135" t="n">
        <v>261.0</v>
      </c>
      <c r="G46" s="9">
        <f t="shared" si="3"/>
        <v>4.4202985635411011E-4</v>
      </c>
    </row>
    <row r="47" spans="1:7" x14ac:dyDescent="0.45">
      <c r="A47">
        <v>36</v>
      </c>
      <c r="B47" s="6" t="n">
        <v>0.0</v>
      </c>
      <c r="C47" s="9">
        <f t="shared" si="2"/>
        <v>0</v>
      </c>
      <c r="E47" s="46">
        <v>36</v>
      </c>
      <c r="F47" s="136" t="n">
        <v>243.0</v>
      </c>
      <c r="G47" s="9">
        <f t="shared" si="3"/>
        <v>3.1909030255562325E-4</v>
      </c>
    </row>
    <row r="48" spans="1:7" x14ac:dyDescent="0.45">
      <c r="A48">
        <v>37</v>
      </c>
      <c r="B48" s="6" t="n">
        <v>0.0</v>
      </c>
      <c r="C48" s="9">
        <f t="shared" si="2"/>
        <v>0</v>
      </c>
      <c r="E48" s="47">
        <v>37</v>
      </c>
      <c r="F48" s="137" t="n">
        <v>255.0</v>
      </c>
      <c r="G48" s="9">
        <f t="shared" si="3"/>
        <v>3.3428507886779579E-4</v>
      </c>
    </row>
    <row r="49" spans="1:7" x14ac:dyDescent="0.45">
      <c r="A49">
        <v>38</v>
      </c>
      <c r="B49" s="6" t="n">
        <v>481.758028516</v>
      </c>
      <c r="C49" s="9">
        <f t="shared" si="2"/>
        <v>6.9418975233161823E-4</v>
      </c>
      <c r="E49" s="48">
        <v>38</v>
      </c>
      <c r="F49" s="138" t="n">
        <v>183.0</v>
      </c>
      <c r="G49" s="9">
        <f t="shared" si="3"/>
        <v>2.334470178870144E-4</v>
      </c>
    </row>
    <row r="50" spans="1:7" x14ac:dyDescent="0.45">
      <c r="A50">
        <v>39</v>
      </c>
      <c r="B50" s="6" t="n">
        <v>724.504706334</v>
      </c>
      <c r="C50" s="9">
        <f t="shared" si="2"/>
        <v>1.0439758403245534E-3</v>
      </c>
      <c r="E50" s="49">
        <v>39</v>
      </c>
      <c r="F50" s="139" t="n">
        <v>184.0</v>
      </c>
      <c r="G50" s="9">
        <f t="shared" si="3"/>
        <v>2.0858283846709571E-4</v>
      </c>
    </row>
    <row r="51" spans="1:7" x14ac:dyDescent="0.45">
      <c r="A51">
        <v>40</v>
      </c>
      <c r="B51" s="6" t="n">
        <v>356.0060045</v>
      </c>
      <c r="C51" s="9">
        <f t="shared" si="2"/>
        <v>5.1298723729357868E-4</v>
      </c>
      <c r="E51" s="50">
        <v>40</v>
      </c>
      <c r="F51" s="140" t="n">
        <v>159.0</v>
      </c>
      <c r="G51" s="9">
        <f t="shared" si="3"/>
        <v>1.8233731574607043E-4</v>
      </c>
    </row>
    <row r="52" spans="1:7" x14ac:dyDescent="0.45">
      <c r="A52">
        <v>41</v>
      </c>
      <c r="B52" s="6" t="n">
        <v>0.0</v>
      </c>
      <c r="C52" s="9">
        <f t="shared" si="2"/>
        <v>0</v>
      </c>
      <c r="E52" s="51">
        <v>41</v>
      </c>
      <c r="F52" s="141" t="n">
        <v>115.0</v>
      </c>
      <c r="G52" s="9">
        <f t="shared" si="3"/>
        <v>1.6714253943389789E-4</v>
      </c>
    </row>
    <row r="53" spans="1:7" x14ac:dyDescent="0.45">
      <c r="A53">
        <v>42</v>
      </c>
      <c r="B53" s="6" t="n">
        <v>0.0</v>
      </c>
      <c r="C53" s="9">
        <f t="shared" si="2"/>
        <v>0</v>
      </c>
      <c r="E53" s="52">
        <v>42</v>
      </c>
      <c r="F53" s="142" t="n">
        <v>122.0</v>
      </c>
      <c r="G53" s="9">
        <f t="shared" si="3"/>
        <v>1.4089701671287261E-4</v>
      </c>
    </row>
    <row r="54" spans="1:7" x14ac:dyDescent="0.45">
      <c r="A54">
        <v>43</v>
      </c>
      <c r="B54" s="6" t="n">
        <v>0.0</v>
      </c>
      <c r="C54" s="9">
        <f t="shared" si="2"/>
        <v>0</v>
      </c>
      <c r="E54" s="53">
        <v>43</v>
      </c>
      <c r="F54" s="143" t="n">
        <v>82.0</v>
      </c>
      <c r="G54" s="9">
        <f t="shared" si="3"/>
        <v>1.4089701671287261E-4</v>
      </c>
    </row>
    <row r="55" spans="1:7" x14ac:dyDescent="0.45">
      <c r="A55">
        <v>44</v>
      </c>
      <c r="B55" s="6" t="n">
        <v>0.0</v>
      </c>
      <c r="C55" s="9">
        <f t="shared" si="2"/>
        <v>0</v>
      </c>
      <c r="E55" s="54">
        <v>44</v>
      </c>
      <c r="F55" s="144" t="n">
        <v>98.0</v>
      </c>
      <c r="G55" s="9">
        <f t="shared" si="3"/>
        <v>1.2432089709959348E-4</v>
      </c>
    </row>
    <row r="56" spans="1:7" x14ac:dyDescent="0.45">
      <c r="A56">
        <v>45</v>
      </c>
      <c r="B56" s="6" t="n">
        <v>0.0</v>
      </c>
      <c r="C56" s="9">
        <f t="shared" si="2"/>
        <v>0</v>
      </c>
      <c r="E56" s="55">
        <v>45</v>
      </c>
      <c r="F56" s="145" t="n">
        <v>90.0</v>
      </c>
      <c r="G56" s="9">
        <f t="shared" si="3"/>
        <v>1.7266791263832425E-4</v>
      </c>
    </row>
    <row r="57" spans="1:7" x14ac:dyDescent="0.45">
      <c r="A57">
        <v>46</v>
      </c>
      <c r="B57" s="6" t="n">
        <v>0.0</v>
      </c>
      <c r="C57" s="9">
        <f t="shared" si="2"/>
        <v>0</v>
      </c>
      <c r="E57" s="56">
        <v>46</v>
      </c>
      <c r="F57" s="146" t="n">
        <v>71.0</v>
      </c>
      <c r="G57" s="9">
        <f t="shared" si="3"/>
        <v>9.3931344475248394E-5</v>
      </c>
    </row>
    <row r="58" spans="1:7" x14ac:dyDescent="0.45">
      <c r="A58">
        <v>47</v>
      </c>
      <c r="B58" s="6" t="n">
        <v>0.0</v>
      </c>
      <c r="C58" s="9">
        <f t="shared" si="2"/>
        <v>0</v>
      </c>
      <c r="E58" s="57">
        <v>47</v>
      </c>
      <c r="F58" s="147" t="n">
        <v>69.0</v>
      </c>
      <c r="G58" s="9">
        <f t="shared" si="3"/>
        <v>8.4261941367502245E-5</v>
      </c>
    </row>
    <row r="59" spans="1:7" x14ac:dyDescent="0.45">
      <c r="A59">
        <v>48</v>
      </c>
      <c r="B59" s="6" t="n">
        <v>0.0</v>
      </c>
      <c r="C59" s="9">
        <f t="shared" si="2"/>
        <v>0</v>
      </c>
      <c r="E59" s="58">
        <v>48</v>
      </c>
      <c r="F59" s="148" t="n">
        <v>51.0</v>
      </c>
      <c r="G59" s="9">
        <f t="shared" si="3"/>
        <v>8.8405971270822021E-5</v>
      </c>
    </row>
    <row r="60" spans="1:7" x14ac:dyDescent="0.45">
      <c r="A60">
        <v>49</v>
      </c>
      <c r="B60" s="6" t="n">
        <v>0.0</v>
      </c>
      <c r="C60" s="9">
        <f t="shared" si="2"/>
        <v>0</v>
      </c>
      <c r="E60" s="59">
        <v>49</v>
      </c>
      <c r="F60" s="149" t="n">
        <v>34.0</v>
      </c>
      <c r="G60" s="9">
        <f t="shared" si="3"/>
        <v>6.216044854979674E-5</v>
      </c>
    </row>
    <row r="61" spans="1:7" x14ac:dyDescent="0.45">
      <c r="A61">
        <v>50</v>
      </c>
      <c r="B61" s="6" t="n">
        <v>0.0</v>
      </c>
      <c r="C61" s="9">
        <f t="shared" si="2"/>
        <v>0</v>
      </c>
      <c r="E61" s="60">
        <v>50</v>
      </c>
      <c r="F61" s="150" t="n">
        <v>48.0</v>
      </c>
      <c r="G61" s="9">
        <f t="shared" si="3"/>
        <v>3.8677612430984638E-5</v>
      </c>
    </row>
    <row r="62" spans="1:7" x14ac:dyDescent="0.45">
      <c r="A62">
        <v>51</v>
      </c>
      <c r="B62" s="6" t="n">
        <v>0.0</v>
      </c>
      <c r="C62" s="9">
        <f t="shared" si="2"/>
        <v>0</v>
      </c>
      <c r="E62" s="61">
        <v>51</v>
      </c>
      <c r="F62" s="151" t="n">
        <v>33.0</v>
      </c>
      <c r="G62" s="9">
        <f t="shared" si="3"/>
        <v>2.4864179419918695E-5</v>
      </c>
    </row>
    <row r="63" spans="1:7" x14ac:dyDescent="0.45">
      <c r="A63">
        <v>52</v>
      </c>
      <c r="B63" s="6" t="n">
        <v>0.0</v>
      </c>
      <c r="C63" s="9">
        <f t="shared" si="2"/>
        <v>0</v>
      </c>
      <c r="E63" s="62">
        <v>52</v>
      </c>
      <c r="F63" s="152" t="n">
        <v>22.0</v>
      </c>
      <c r="G63" s="9">
        <f t="shared" si="3"/>
        <v>2.6245522721025288E-5</v>
      </c>
    </row>
    <row r="64" spans="1:7" x14ac:dyDescent="0.45">
      <c r="A64">
        <v>53</v>
      </c>
      <c r="B64" s="6" t="n">
        <v>0.0</v>
      </c>
      <c r="C64" s="9">
        <f t="shared" si="2"/>
        <v>0</v>
      </c>
      <c r="E64" s="63">
        <v>53</v>
      </c>
      <c r="F64" s="153" t="n">
        <v>20.0</v>
      </c>
      <c r="G64" s="9">
        <f t="shared" si="3"/>
        <v>3.1770895925451661E-5</v>
      </c>
    </row>
    <row r="65" spans="1:7" x14ac:dyDescent="0.45">
      <c r="A65">
        <v>54</v>
      </c>
      <c r="B65" s="6" t="n">
        <v>0.0</v>
      </c>
      <c r="C65" s="9">
        <f t="shared" si="2"/>
        <v>0</v>
      </c>
      <c r="E65" s="64">
        <v>54</v>
      </c>
      <c r="F65" s="154" t="n">
        <v>10.0</v>
      </c>
      <c r="G65" s="9">
        <f t="shared" si="3"/>
        <v>1.3813433011065941E-5</v>
      </c>
    </row>
    <row r="66" spans="1:7" x14ac:dyDescent="0.45">
      <c r="A66">
        <v>55</v>
      </c>
      <c r="B66" s="6" t="n">
        <v>0.0</v>
      </c>
      <c r="C66" s="9">
        <f t="shared" si="2"/>
        <v>0</v>
      </c>
      <c r="E66" s="65">
        <v>55</v>
      </c>
      <c r="F66" s="155" t="n">
        <v>7.0</v>
      </c>
      <c r="G66" s="9">
        <f t="shared" si="3"/>
        <v>1.2432089709959348E-5</v>
      </c>
    </row>
    <row r="67" spans="1:7" x14ac:dyDescent="0.45">
      <c r="A67">
        <v>56</v>
      </c>
      <c r="B67" s="6" t="n">
        <v>0.0</v>
      </c>
      <c r="C67" s="9">
        <f t="shared" si="2"/>
        <v>0</v>
      </c>
      <c r="E67" s="66">
        <v>56</v>
      </c>
      <c r="F67" s="156" t="n">
        <v>21.0</v>
      </c>
      <c r="G67" s="9">
        <f t="shared" si="3"/>
        <v>3.0389552624345072E-5</v>
      </c>
    </row>
    <row r="68" spans="1:7" x14ac:dyDescent="0.45">
      <c r="A68">
        <v>57</v>
      </c>
      <c r="B68" s="6" t="n">
        <v>0.0</v>
      </c>
      <c r="C68" s="9">
        <f t="shared" si="2"/>
        <v>0</v>
      </c>
      <c r="E68" s="67">
        <v>57</v>
      </c>
      <c r="F68" s="157" t="n">
        <v>27.0</v>
      </c>
      <c r="G68" s="9">
        <f t="shared" si="3"/>
        <v>2.2101492817705505E-5</v>
      </c>
    </row>
    <row r="69" spans="1:7" x14ac:dyDescent="0.45">
      <c r="A69">
        <v>58</v>
      </c>
      <c r="B69" s="6" t="n">
        <v>0.0</v>
      </c>
      <c r="C69" s="9">
        <f t="shared" si="2"/>
        <v>0</v>
      </c>
      <c r="E69" s="68">
        <v>58</v>
      </c>
      <c r="F69" s="158" t="n">
        <v>8.0</v>
      </c>
      <c r="G69" s="9">
        <f t="shared" si="3"/>
        <v>1.6576119613279129E-5</v>
      </c>
    </row>
    <row r="70" spans="1:7" x14ac:dyDescent="0.45">
      <c r="A70">
        <v>59</v>
      </c>
      <c r="B70" s="6" t="n">
        <v>0.0</v>
      </c>
      <c r="C70" s="9">
        <f t="shared" si="2"/>
        <v>0</v>
      </c>
      <c r="E70" s="69">
        <v>59</v>
      </c>
      <c r="F70" s="159" t="n">
        <v>6.0</v>
      </c>
      <c r="G70" s="9">
        <f t="shared" si="3"/>
        <v>1.3813433011065941E-5</v>
      </c>
    </row>
    <row r="71" spans="1:7" x14ac:dyDescent="0.45">
      <c r="A71">
        <v>60</v>
      </c>
      <c r="B71" s="6" t="n">
        <v>0.0</v>
      </c>
      <c r="C71" s="9">
        <f t="shared" si="2"/>
        <v>0</v>
      </c>
      <c r="E71" s="70">
        <v>60</v>
      </c>
      <c r="F71" s="160" t="n">
        <v>7.0</v>
      </c>
      <c r="G71" s="9">
        <f t="shared" si="3"/>
        <v>1.3813433011065941E-5</v>
      </c>
    </row>
    <row r="72" spans="1:7" x14ac:dyDescent="0.45">
      <c r="A72">
        <v>61</v>
      </c>
      <c r="B72" s="6" t="n">
        <v>0.0</v>
      </c>
      <c r="C72" s="9">
        <f t="shared" si="2"/>
        <v>0</v>
      </c>
      <c r="E72" s="71">
        <v>61</v>
      </c>
      <c r="F72" s="161" t="n">
        <v>4.0</v>
      </c>
      <c r="G72" s="9">
        <f t="shared" si="3"/>
        <v>1.6576119613279129E-5</v>
      </c>
    </row>
    <row r="73" spans="1:7" x14ac:dyDescent="0.45">
      <c r="A73">
        <v>62</v>
      </c>
      <c r="B73" s="6" t="n">
        <v>0.0</v>
      </c>
      <c r="C73" s="9">
        <f t="shared" si="2"/>
        <v>0</v>
      </c>
      <c r="E73" s="72">
        <v>62</v>
      </c>
      <c r="F73" s="162" t="n">
        <v>2.0</v>
      </c>
      <c r="G73" s="9">
        <f t="shared" si="3"/>
        <v>0</v>
      </c>
    </row>
    <row r="74" spans="1:7" x14ac:dyDescent="0.45">
      <c r="A74">
        <v>63</v>
      </c>
      <c r="B74" s="6" t="n">
        <v>0.0</v>
      </c>
      <c r="C74" s="9">
        <f t="shared" si="2"/>
        <v>0</v>
      </c>
      <c r="E74" s="73">
        <v>63</v>
      </c>
      <c r="F74" s="163" t="n">
        <v>2.0</v>
      </c>
      <c r="G74" s="9">
        <f t="shared" si="3"/>
        <v>4.1440299033197823E-6</v>
      </c>
    </row>
    <row r="75" spans="1:7" x14ac:dyDescent="0.45">
      <c r="A75">
        <v>64</v>
      </c>
      <c r="B75" s="6" t="n">
        <v>0.0</v>
      </c>
      <c r="C75" s="9">
        <f t="shared" si="2"/>
        <v>0</v>
      </c>
      <c r="E75" s="74">
        <v>64</v>
      </c>
      <c r="F75" s="164" t="n">
        <v>3.0</v>
      </c>
      <c r="G75" s="9">
        <f t="shared" si="3"/>
        <v>0</v>
      </c>
    </row>
    <row r="76" spans="1:7" x14ac:dyDescent="0.45">
      <c r="A76">
        <v>65</v>
      </c>
      <c r="B76" s="6" t="n">
        <v>0.0</v>
      </c>
      <c r="C76" s="9">
        <f t="shared" si="2"/>
        <v>0</v>
      </c>
      <c r="E76" s="75">
        <v>65</v>
      </c>
      <c r="F76" s="165" t="n">
        <v>0.0</v>
      </c>
      <c r="G76" s="9">
        <f t="shared" si="3"/>
        <v>2.7626866022131882E-6</v>
      </c>
    </row>
    <row r="77" spans="1:7" x14ac:dyDescent="0.45">
      <c r="A77">
        <v>66</v>
      </c>
      <c r="B77" s="6" t="n">
        <v>0.0</v>
      </c>
      <c r="C77" s="9">
        <f t="shared" ref="C77:C102" si="4">B77/B$102</f>
        <v>0</v>
      </c>
      <c r="E77" s="76">
        <v>66</v>
      </c>
      <c r="F77" s="166" t="n">
        <v>1.0</v>
      </c>
      <c r="G77" s="9">
        <f t="shared" ref="G77:G102" si="5">F77/F$102</f>
        <v>0</v>
      </c>
    </row>
    <row r="78" spans="1:7" x14ac:dyDescent="0.45">
      <c r="A78">
        <v>67</v>
      </c>
      <c r="B78" s="6" t="n">
        <v>0.0</v>
      </c>
      <c r="C78" s="9">
        <f t="shared" si="4"/>
        <v>0</v>
      </c>
      <c r="E78" s="77">
        <v>67</v>
      </c>
      <c r="F78" s="167" t="n">
        <v>2.0</v>
      </c>
      <c r="G78" s="9">
        <f t="shared" si="5"/>
        <v>0</v>
      </c>
    </row>
    <row r="79" spans="1:7" x14ac:dyDescent="0.45">
      <c r="A79">
        <v>68</v>
      </c>
      <c r="B79" s="6" t="n">
        <v>0.0</v>
      </c>
      <c r="C79" s="9">
        <f t="shared" si="4"/>
        <v>0</v>
      </c>
      <c r="E79" s="78">
        <v>68</v>
      </c>
      <c r="F79" s="168" t="n">
        <v>2.0</v>
      </c>
      <c r="G79" s="9">
        <f t="shared" si="5"/>
        <v>2.7626866022131882E-6</v>
      </c>
    </row>
    <row r="80" spans="1:7" x14ac:dyDescent="0.45">
      <c r="A80">
        <v>69</v>
      </c>
      <c r="B80" s="6" t="n">
        <v>0.0</v>
      </c>
      <c r="C80" s="9">
        <f t="shared" si="4"/>
        <v>0</v>
      </c>
      <c r="E80" s="79">
        <v>69</v>
      </c>
      <c r="F80" s="169" t="n">
        <v>1.0</v>
      </c>
      <c r="G80" s="9">
        <f t="shared" si="5"/>
        <v>0</v>
      </c>
    </row>
    <row r="81" spans="1:7" x14ac:dyDescent="0.45">
      <c r="A81">
        <v>70</v>
      </c>
      <c r="B81" s="6" t="n">
        <v>0.0</v>
      </c>
      <c r="C81" s="9">
        <f t="shared" si="4"/>
        <v>0</v>
      </c>
      <c r="E81" s="80">
        <v>70</v>
      </c>
      <c r="F81" s="170" t="n">
        <v>0.0</v>
      </c>
      <c r="G81" s="9">
        <f t="shared" si="5"/>
        <v>0</v>
      </c>
    </row>
    <row r="82" spans="1:7" x14ac:dyDescent="0.45">
      <c r="A82">
        <v>71</v>
      </c>
      <c r="B82" s="6" t="n">
        <v>0.0</v>
      </c>
      <c r="C82" s="9">
        <f t="shared" si="4"/>
        <v>0</v>
      </c>
      <c r="E82" s="81">
        <v>71</v>
      </c>
      <c r="F82" s="171" t="n">
        <v>0.0</v>
      </c>
      <c r="G82" s="9">
        <f t="shared" si="5"/>
        <v>4.1440299033197823E-6</v>
      </c>
    </row>
    <row r="83" spans="1:7" x14ac:dyDescent="0.45">
      <c r="A83">
        <v>72</v>
      </c>
      <c r="B83" s="6" t="n">
        <v>0.0</v>
      </c>
      <c r="C83" s="9">
        <f t="shared" si="4"/>
        <v>0</v>
      </c>
      <c r="E83" s="82">
        <v>72</v>
      </c>
      <c r="F83" s="172" t="n">
        <v>0.0</v>
      </c>
      <c r="G83" s="9">
        <f t="shared" si="5"/>
        <v>0</v>
      </c>
    </row>
    <row r="84" spans="1:7" x14ac:dyDescent="0.45">
      <c r="A84">
        <v>73</v>
      </c>
      <c r="B84" s="6" t="n">
        <v>0.0</v>
      </c>
      <c r="C84" s="9">
        <f t="shared" si="4"/>
        <v>0</v>
      </c>
      <c r="E84" s="83">
        <v>73</v>
      </c>
      <c r="F84" s="173" t="n">
        <v>0.0</v>
      </c>
      <c r="G84" s="9">
        <f t="shared" si="5"/>
        <v>0</v>
      </c>
    </row>
    <row r="85" spans="1:7" x14ac:dyDescent="0.45">
      <c r="A85">
        <v>74</v>
      </c>
      <c r="B85" s="6" t="n">
        <v>0.0</v>
      </c>
      <c r="C85" s="9">
        <f t="shared" si="4"/>
        <v>0</v>
      </c>
      <c r="E85" s="84">
        <v>74</v>
      </c>
      <c r="F85" s="174" t="n">
        <v>0.0</v>
      </c>
      <c r="G85" s="9">
        <f t="shared" si="5"/>
        <v>0</v>
      </c>
    </row>
    <row r="86" spans="1:7" x14ac:dyDescent="0.45">
      <c r="A86">
        <v>75</v>
      </c>
      <c r="B86" s="6" t="n">
        <v>0.0</v>
      </c>
      <c r="C86" s="9">
        <f t="shared" si="4"/>
        <v>0</v>
      </c>
      <c r="E86" s="85">
        <v>75</v>
      </c>
      <c r="F86" s="175" t="n">
        <v>1.0</v>
      </c>
      <c r="G86" s="9">
        <f t="shared" si="5"/>
        <v>0</v>
      </c>
    </row>
    <row r="87" spans="1:7" x14ac:dyDescent="0.45">
      <c r="A87">
        <v>76</v>
      </c>
      <c r="B87" s="6" t="n">
        <v>0.0</v>
      </c>
      <c r="C87" s="9">
        <f t="shared" si="4"/>
        <v>0</v>
      </c>
      <c r="E87" s="86">
        <v>76</v>
      </c>
      <c r="F87" s="176" t="n">
        <v>0.0</v>
      </c>
      <c r="G87" s="9">
        <f t="shared" si="5"/>
        <v>0</v>
      </c>
    </row>
    <row r="88" spans="1:7" x14ac:dyDescent="0.45">
      <c r="A88">
        <v>77</v>
      </c>
      <c r="B88" s="6" t="n">
        <v>0.0</v>
      </c>
      <c r="C88" s="9">
        <f t="shared" si="4"/>
        <v>0</v>
      </c>
      <c r="E88" s="87">
        <v>77</v>
      </c>
      <c r="F88" s="177" t="n">
        <v>0.0</v>
      </c>
      <c r="G88" s="9">
        <f t="shared" si="5"/>
        <v>0</v>
      </c>
    </row>
    <row r="89" spans="1:7" x14ac:dyDescent="0.45">
      <c r="A89">
        <v>78</v>
      </c>
      <c r="B89" s="6" t="n">
        <v>0.0</v>
      </c>
      <c r="C89" s="9">
        <f t="shared" si="4"/>
        <v>0</v>
      </c>
      <c r="E89" s="88">
        <v>78</v>
      </c>
      <c r="F89" s="178" t="n">
        <v>0.0</v>
      </c>
      <c r="G89" s="9">
        <f t="shared" si="5"/>
        <v>0</v>
      </c>
    </row>
    <row r="90" spans="1:7" x14ac:dyDescent="0.45">
      <c r="A90">
        <v>79</v>
      </c>
      <c r="B90" s="6" t="n">
        <v>0.0</v>
      </c>
      <c r="C90" s="9">
        <f t="shared" si="4"/>
        <v>0</v>
      </c>
      <c r="E90" s="89">
        <v>79</v>
      </c>
      <c r="F90" s="179" t="n">
        <v>0.0</v>
      </c>
      <c r="G90" s="9">
        <f t="shared" si="5"/>
        <v>0</v>
      </c>
    </row>
    <row r="91" spans="1:7" x14ac:dyDescent="0.45">
      <c r="A91">
        <v>80</v>
      </c>
      <c r="B91" s="6" t="n">
        <v>0.0</v>
      </c>
      <c r="C91" s="9">
        <f t="shared" si="4"/>
        <v>0</v>
      </c>
      <c r="E91" s="90">
        <v>80</v>
      </c>
      <c r="F91" s="180" t="n">
        <v>0.0</v>
      </c>
      <c r="G91" s="9">
        <f t="shared" si="5"/>
        <v>0</v>
      </c>
    </row>
    <row r="92" spans="1:7" x14ac:dyDescent="0.45">
      <c r="A92">
        <v>81</v>
      </c>
      <c r="B92" s="6" t="n">
        <v>0.0</v>
      </c>
      <c r="C92" s="9">
        <f t="shared" si="4"/>
        <v>0</v>
      </c>
      <c r="E92" s="91">
        <v>81</v>
      </c>
      <c r="F92" s="181" t="n">
        <v>0.0</v>
      </c>
      <c r="G92" s="9">
        <f t="shared" si="5"/>
        <v>0</v>
      </c>
    </row>
    <row r="93" spans="1:7" x14ac:dyDescent="0.45">
      <c r="A93">
        <v>82</v>
      </c>
      <c r="B93" s="6" t="n">
        <v>0.0</v>
      </c>
      <c r="C93" s="9">
        <f t="shared" si="4"/>
        <v>0</v>
      </c>
      <c r="E93" s="92">
        <v>82</v>
      </c>
      <c r="F93" s="182" t="n">
        <v>0.0</v>
      </c>
      <c r="G93" s="9">
        <f t="shared" si="5"/>
        <v>0</v>
      </c>
    </row>
    <row r="94" spans="1:7" x14ac:dyDescent="0.45">
      <c r="A94">
        <v>83</v>
      </c>
      <c r="B94" s="6" t="n">
        <v>0.0</v>
      </c>
      <c r="C94" s="9">
        <f t="shared" si="4"/>
        <v>0</v>
      </c>
      <c r="E94" s="93">
        <v>83</v>
      </c>
      <c r="F94" s="183" t="n">
        <v>0.0</v>
      </c>
      <c r="G94" s="9">
        <f t="shared" si="5"/>
        <v>0</v>
      </c>
    </row>
    <row r="95" spans="1:7" x14ac:dyDescent="0.45">
      <c r="A95">
        <v>84</v>
      </c>
      <c r="B95" s="6" t="n">
        <v>0.0</v>
      </c>
      <c r="C95" s="9">
        <f t="shared" si="4"/>
        <v>0</v>
      </c>
      <c r="E95" s="94">
        <v>84</v>
      </c>
      <c r="F95" s="184" t="n">
        <v>0.0</v>
      </c>
      <c r="G95" s="9">
        <f t="shared" si="5"/>
        <v>0</v>
      </c>
    </row>
    <row r="96" spans="1:7" x14ac:dyDescent="0.45">
      <c r="A96">
        <v>85</v>
      </c>
      <c r="B96" s="6" t="n">
        <v>0.0</v>
      </c>
      <c r="C96" s="9">
        <f t="shared" si="4"/>
        <v>0</v>
      </c>
      <c r="E96" s="95">
        <v>85</v>
      </c>
      <c r="F96" s="185" t="n">
        <v>0.0</v>
      </c>
      <c r="G96" s="9">
        <f t="shared" si="5"/>
        <v>0</v>
      </c>
    </row>
    <row r="97" spans="1:7" x14ac:dyDescent="0.45">
      <c r="A97">
        <v>86</v>
      </c>
      <c r="B97" s="6" t="n">
        <v>0.0</v>
      </c>
      <c r="C97" s="9">
        <f t="shared" si="4"/>
        <v>0</v>
      </c>
      <c r="E97" s="96">
        <v>86</v>
      </c>
      <c r="F97" s="186" t="n">
        <v>0.0</v>
      </c>
      <c r="G97" s="9">
        <f t="shared" si="5"/>
        <v>0</v>
      </c>
    </row>
    <row r="98" spans="1:7" x14ac:dyDescent="0.45">
      <c r="A98">
        <v>87</v>
      </c>
      <c r="B98" s="6" t="n">
        <v>0.0</v>
      </c>
      <c r="C98" s="9">
        <f t="shared" si="4"/>
        <v>0</v>
      </c>
      <c r="E98" s="97">
        <v>87</v>
      </c>
      <c r="F98" s="187" t="n">
        <v>0.0</v>
      </c>
      <c r="G98" s="9">
        <f t="shared" si="5"/>
        <v>0</v>
      </c>
    </row>
    <row r="99" spans="1:7" x14ac:dyDescent="0.45">
      <c r="A99">
        <v>88</v>
      </c>
      <c r="B99" s="6" t="n">
        <v>0.0</v>
      </c>
      <c r="C99" s="9">
        <f t="shared" si="4"/>
        <v>0</v>
      </c>
      <c r="E99" s="98">
        <v>88</v>
      </c>
      <c r="F99" s="188" t="n">
        <v>0.0</v>
      </c>
      <c r="G99" s="9">
        <f t="shared" si="5"/>
        <v>0</v>
      </c>
    </row>
    <row r="100" spans="1:7" x14ac:dyDescent="0.45">
      <c r="A100">
        <v>89</v>
      </c>
      <c r="B100" s="6" t="n">
        <v>0.0</v>
      </c>
      <c r="C100" s="9">
        <f t="shared" si="4"/>
        <v>0</v>
      </c>
      <c r="E100" s="99">
        <v>89</v>
      </c>
      <c r="F100" s="189" t="n">
        <v>0.0</v>
      </c>
      <c r="G100" s="9">
        <f t="shared" si="5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4"/>
        <v>0</v>
      </c>
      <c r="E101" s="372">
        <v>90</v>
      </c>
      <c r="F101" s="372" t="n">
        <v>0.0</v>
      </c>
      <c r="G101" s="9">
        <f t="shared" si="5"/>
        <v>0</v>
      </c>
    </row>
    <row r="102" spans="1:7" x14ac:dyDescent="0.45">
      <c r="B102" s="6">
        <f>SUM(B11:B101)</f>
        <v>693986.08506952086</v>
      </c>
      <c r="C102" s="9">
        <f t="shared" si="4"/>
        <v>1</v>
      </c>
      <c r="F102" s="6">
        <f>SUM(F11:F101)</f>
        <v>723933</v>
      </c>
      <c r="G102" s="9">
        <f t="shared" si="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3" sqref="A3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6777.984679031</v>
      </c>
      <c r="C11" s="9">
        <f>B11/B$102</f>
        <v>9.7667443553309981E-3</v>
      </c>
      <c r="E11" s="190">
        <v>0</v>
      </c>
      <c r="F11" s="280" t="n">
        <v>2174.0</v>
      </c>
      <c r="G11" s="9">
        <f>F11/F$102</f>
        <v>3.048624665542253E-3</v>
      </c>
      <c r="K11" s="6" t="n">
        <v>13.883643127877768</v>
      </c>
      <c r="L11" s="6" t="n">
        <v>17.580991200220506</v>
      </c>
    </row>
    <row r="12" spans="1:12" x14ac:dyDescent="0.45">
      <c r="A12">
        <v>1</v>
      </c>
      <c r="B12" s="6" t="n">
        <v>19311.3606145139</v>
      </c>
      <c r="C12" s="9">
        <f>B12/B$102</f>
        <v>2.7826725967537751E-2</v>
      </c>
      <c r="E12" s="191">
        <v>1</v>
      </c>
      <c r="F12" s="281" t="n">
        <v>12700.0</v>
      </c>
      <c r="G12" s="9">
        <f>F12/F$102</f>
        <v>1.719219872557267E-2</v>
      </c>
      <c r="K12" s="6"/>
      <c r="L12" s="371"/>
    </row>
    <row r="13" spans="1:12" x14ac:dyDescent="0.45">
      <c r="A13">
        <v>2</v>
      </c>
      <c r="B13" s="6" t="n">
        <v>28257.979731648</v>
      </c>
      <c r="C13" s="9">
        <f t="shared" ref="C13:C76" si="0">B13/B$102</f>
        <v>4.0718366462372549E-2</v>
      </c>
      <c r="E13" s="192">
        <v>2</v>
      </c>
      <c r="F13" s="282" t="n">
        <v>24771.0</v>
      </c>
      <c r="G13" s="9">
        <f t="shared" ref="G13:G76" si="1">F13/F$102</f>
        <v>3.3987951923727749E-2</v>
      </c>
    </row>
    <row r="14" spans="1:12" x14ac:dyDescent="0.45">
      <c r="A14">
        <v>3</v>
      </c>
      <c r="B14" s="6" t="n">
        <v>41848.0055479135</v>
      </c>
      <c r="C14" s="9">
        <f t="shared" si="0"/>
        <v>6.0300928863323423E-2</v>
      </c>
      <c r="E14" s="193">
        <v>3</v>
      </c>
      <c r="F14" s="283" t="n">
        <v>35379.0</v>
      </c>
      <c r="G14" s="9">
        <f t="shared" si="1"/>
        <v>4.8688207334104124E-2</v>
      </c>
    </row>
    <row r="15" spans="1:12" x14ac:dyDescent="0.45">
      <c r="A15">
        <v>4</v>
      </c>
      <c r="B15" s="6" t="n">
        <v>31773.3347768032</v>
      </c>
      <c r="C15" s="9">
        <f t="shared" si="0"/>
        <v>4.5783821117422359E-2</v>
      </c>
      <c r="E15" s="194">
        <v>4</v>
      </c>
      <c r="F15" s="284" t="n">
        <v>38068.0</v>
      </c>
      <c r="G15" s="9">
        <f t="shared" si="1"/>
        <v>5.2270030513873522E-2</v>
      </c>
    </row>
    <row r="16" spans="1:12" x14ac:dyDescent="0.45">
      <c r="A16">
        <v>5</v>
      </c>
      <c r="B16" s="6" t="n">
        <v>43526.303697265</v>
      </c>
      <c r="C16" s="9">
        <f t="shared" si="0"/>
        <v>6.2719274397129599E-2</v>
      </c>
      <c r="E16" s="195">
        <v>5</v>
      </c>
      <c r="F16" s="285" t="n">
        <v>38945.0</v>
      </c>
      <c r="G16" s="9">
        <f t="shared" si="1"/>
        <v>5.3033913359385468E-2</v>
      </c>
    </row>
    <row r="17" spans="1:7" x14ac:dyDescent="0.45">
      <c r="A17">
        <v>6</v>
      </c>
      <c r="B17" s="6" t="n">
        <v>48235.7427135207</v>
      </c>
      <c r="C17" s="9">
        <f t="shared" si="0"/>
        <v>6.9505345642036365E-2</v>
      </c>
      <c r="E17" s="196">
        <v>6</v>
      </c>
      <c r="F17" s="286" t="n">
        <v>39933.0</v>
      </c>
      <c r="G17" s="9">
        <f t="shared" si="1"/>
        <v>5.4880769352964986E-2</v>
      </c>
    </row>
    <row r="18" spans="1:7" x14ac:dyDescent="0.45">
      <c r="A18">
        <v>7</v>
      </c>
      <c r="B18" s="6" t="n">
        <v>54197.3554429739</v>
      </c>
      <c r="C18" s="9">
        <f t="shared" si="0"/>
        <v>7.8095737953513322E-2</v>
      </c>
      <c r="E18" s="197">
        <v>7</v>
      </c>
      <c r="F18" s="287" t="n">
        <v>41031.0</v>
      </c>
      <c r="G18" s="9">
        <f t="shared" si="1"/>
        <v>5.5911251455590505E-2</v>
      </c>
    </row>
    <row r="19" spans="1:7" x14ac:dyDescent="0.45">
      <c r="A19">
        <v>8</v>
      </c>
      <c r="B19" s="6" t="n">
        <v>49784.2055887268</v>
      </c>
      <c r="C19" s="9">
        <f t="shared" si="0"/>
        <v>7.1736604897113476E-2</v>
      </c>
      <c r="E19" s="198">
        <v>8</v>
      </c>
      <c r="F19" s="288" t="n">
        <v>38873.0</v>
      </c>
      <c r="G19" s="9">
        <f t="shared" si="1"/>
        <v>5.4133462627066316E-2</v>
      </c>
    </row>
    <row r="20" spans="1:7" x14ac:dyDescent="0.45">
      <c r="A20">
        <v>9</v>
      </c>
      <c r="B20" s="6" t="n">
        <v>31614.114085730802</v>
      </c>
      <c r="C20" s="9">
        <f t="shared" si="0"/>
        <v>4.5554391890384689E-2</v>
      </c>
      <c r="E20" s="199">
        <v>9</v>
      </c>
      <c r="F20" s="289" t="n">
        <v>37743.0</v>
      </c>
      <c r="G20" s="9">
        <f t="shared" si="1"/>
        <v>5.1435699160005136E-2</v>
      </c>
    </row>
    <row r="21" spans="1:7" x14ac:dyDescent="0.45">
      <c r="A21">
        <v>10</v>
      </c>
      <c r="B21" s="6" t="n">
        <v>39466.8205080395</v>
      </c>
      <c r="C21" s="9">
        <f t="shared" si="0"/>
        <v>5.686975770427135E-2</v>
      </c>
      <c r="E21" s="200">
        <v>10</v>
      </c>
      <c r="F21" s="290" t="n">
        <v>35290.0</v>
      </c>
      <c r="G21" s="9">
        <f t="shared" si="1"/>
        <v>4.8399506584172844E-2</v>
      </c>
    </row>
    <row r="22" spans="1:7" x14ac:dyDescent="0.45">
      <c r="A22">
        <v>11</v>
      </c>
      <c r="B22" s="6" t="n">
        <v>31030.360491319</v>
      </c>
      <c r="C22" s="9">
        <f t="shared" si="0"/>
        <v>4.4713231517041867E-2</v>
      </c>
      <c r="E22" s="201">
        <v>11</v>
      </c>
      <c r="F22" s="291" t="n">
        <v>30790.0</v>
      </c>
      <c r="G22" s="9">
        <f t="shared" si="1"/>
        <v>4.1977641577328285E-2</v>
      </c>
    </row>
    <row r="23" spans="1:7" x14ac:dyDescent="0.45">
      <c r="A23">
        <v>12</v>
      </c>
      <c r="B23" s="6" t="n">
        <v>17581.0717157089</v>
      </c>
      <c r="C23" s="9">
        <f t="shared" si="0"/>
        <v>2.5333464307065602E-2</v>
      </c>
      <c r="E23" s="202">
        <v>12</v>
      </c>
      <c r="F23" s="292" t="n">
        <v>26241.0</v>
      </c>
      <c r="G23" s="9">
        <f t="shared" si="1"/>
        <v>3.6011619859848909E-2</v>
      </c>
    </row>
    <row r="24" spans="1:7" x14ac:dyDescent="0.45">
      <c r="A24">
        <v>13</v>
      </c>
      <c r="B24" s="6" t="n">
        <v>16571.328059094</v>
      </c>
      <c r="C24" s="9">
        <f t="shared" si="0"/>
        <v>2.3878473092776707E-2</v>
      </c>
      <c r="E24" s="203">
        <v>13</v>
      </c>
      <c r="F24" s="293" t="n">
        <v>21588.0</v>
      </c>
      <c r="G24" s="9">
        <f t="shared" si="1"/>
        <v>2.9897794409151125E-2</v>
      </c>
    </row>
    <row r="25" spans="1:7" x14ac:dyDescent="0.45">
      <c r="A25">
        <v>14</v>
      </c>
      <c r="B25" s="6" t="n">
        <v>18040.1939804588</v>
      </c>
      <c r="C25" s="9">
        <f t="shared" si="0"/>
        <v>2.5995037031112233E-2</v>
      </c>
      <c r="E25" s="204">
        <v>14</v>
      </c>
      <c r="F25" s="294" t="n">
        <v>17545.0</v>
      </c>
      <c r="G25" s="9">
        <f t="shared" si="1"/>
        <v>2.3915196572058463E-2</v>
      </c>
    </row>
    <row r="26" spans="1:7" x14ac:dyDescent="0.45">
      <c r="A26">
        <v>15</v>
      </c>
      <c r="B26" s="6" t="n">
        <v>13720.8365882418</v>
      </c>
      <c r="C26" s="9">
        <f t="shared" si="0"/>
        <v>1.9771054324334614E-2</v>
      </c>
      <c r="E26" s="205">
        <v>15</v>
      </c>
      <c r="F26" s="295" t="n">
        <v>17538.0</v>
      </c>
      <c r="G26" s="9">
        <f t="shared" si="1"/>
        <v>2.3833697317293175E-2</v>
      </c>
    </row>
    <row r="27" spans="1:7" x14ac:dyDescent="0.45">
      <c r="A27">
        <v>16</v>
      </c>
      <c r="B27" s="6" t="n">
        <v>10658.084855985</v>
      </c>
      <c r="C27" s="9">
        <f t="shared" si="0"/>
        <v>1.5357778902609141E-2</v>
      </c>
      <c r="E27" s="206">
        <v>16</v>
      </c>
      <c r="F27" s="296" t="n">
        <v>19424.0</v>
      </c>
      <c r="G27" s="9">
        <f t="shared" si="1"/>
        <v>2.6458249589395702E-2</v>
      </c>
    </row>
    <row r="28" spans="1:7" x14ac:dyDescent="0.45">
      <c r="A28">
        <v>17</v>
      </c>
      <c r="B28" s="6" t="n">
        <v>15233.484540359</v>
      </c>
      <c r="C28" s="9">
        <f t="shared" si="0"/>
        <v>2.1950706027244003E-2</v>
      </c>
      <c r="E28" s="207">
        <v>17</v>
      </c>
      <c r="F28" s="297" t="n">
        <v>15198.0</v>
      </c>
      <c r="G28" s="9">
        <f t="shared" si="1"/>
        <v>2.1630454752028159E-2</v>
      </c>
    </row>
    <row r="29" spans="1:7" x14ac:dyDescent="0.45">
      <c r="A29">
        <v>18</v>
      </c>
      <c r="B29" s="6" t="n">
        <v>10866.1279837611</v>
      </c>
      <c r="C29" s="9">
        <f t="shared" si="0"/>
        <v>1.5657558872628655E-2</v>
      </c>
      <c r="E29" s="208">
        <v>18</v>
      </c>
      <c r="F29" s="298" t="n">
        <v>14913.0</v>
      </c>
      <c r="G29" s="9">
        <f t="shared" si="1"/>
        <v>2.0015664433034548E-2</v>
      </c>
    </row>
    <row r="30" spans="1:7" x14ac:dyDescent="0.45">
      <c r="A30">
        <v>19</v>
      </c>
      <c r="B30" s="6" t="n">
        <v>5516.6901584309</v>
      </c>
      <c r="C30" s="9">
        <f t="shared" si="0"/>
        <v>7.9492806514676138E-3</v>
      </c>
      <c r="E30" s="209">
        <v>19</v>
      </c>
      <c r="F30" s="299" t="n">
        <v>13696.0</v>
      </c>
      <c r="G30" s="9">
        <f t="shared" si="1"/>
        <v>1.8812514417770706E-2</v>
      </c>
    </row>
    <row r="31" spans="1:7" x14ac:dyDescent="0.45">
      <c r="A31">
        <v>20</v>
      </c>
      <c r="B31" s="6" t="n">
        <v>12996.808079056</v>
      </c>
      <c r="C31" s="9">
        <f t="shared" si="0"/>
        <v>1.8727764660805887E-2</v>
      </c>
      <c r="E31" s="210">
        <v>20</v>
      </c>
      <c r="F31" s="300" t="n">
        <v>13061.0</v>
      </c>
      <c r="G31" s="9">
        <f t="shared" si="1"/>
        <v>1.8135656200228473E-2</v>
      </c>
    </row>
    <row r="32" spans="1:7" x14ac:dyDescent="0.45">
      <c r="A32">
        <v>21</v>
      </c>
      <c r="B32" s="6" t="n">
        <v>4655.7016207717</v>
      </c>
      <c r="C32" s="9">
        <f t="shared" si="0"/>
        <v>6.7086382867537027E-3</v>
      </c>
      <c r="E32" s="211">
        <v>21</v>
      </c>
      <c r="F32" s="301" t="n">
        <v>12765.0</v>
      </c>
      <c r="G32" s="9">
        <f t="shared" si="1"/>
        <v>1.7008480066525493E-2</v>
      </c>
    </row>
    <row r="33" spans="1:7" x14ac:dyDescent="0.45">
      <c r="A33">
        <v>22</v>
      </c>
      <c r="B33" s="6" t="n">
        <v>12879.825124991</v>
      </c>
      <c r="C33" s="9">
        <f t="shared" si="0"/>
        <v>1.8559197946599677E-2</v>
      </c>
      <c r="E33" s="212">
        <v>22</v>
      </c>
      <c r="F33" s="302" t="n">
        <v>12581.0</v>
      </c>
      <c r="G33" s="9">
        <f t="shared" si="1"/>
        <v>1.6915930065351352E-2</v>
      </c>
    </row>
    <row r="34" spans="1:7" x14ac:dyDescent="0.45">
      <c r="A34">
        <v>23</v>
      </c>
      <c r="B34" s="6" t="n">
        <v>11067.8917436264</v>
      </c>
      <c r="C34" s="9">
        <f t="shared" si="0"/>
        <v>1.5948290580664395E-2</v>
      </c>
      <c r="E34" s="213">
        <v>23</v>
      </c>
      <c r="F34" s="303" t="n">
        <v>11891.0</v>
      </c>
      <c r="G34" s="9">
        <f t="shared" si="1"/>
        <v>1.6342672595392117E-2</v>
      </c>
    </row>
    <row r="35" spans="1:7" x14ac:dyDescent="0.45">
      <c r="A35">
        <v>24</v>
      </c>
      <c r="B35" s="6" t="n">
        <v>4811.3797674802</v>
      </c>
      <c r="C35" s="9">
        <f t="shared" si="0"/>
        <v>6.9329628806580673E-3</v>
      </c>
      <c r="E35" s="214">
        <v>24</v>
      </c>
      <c r="F35" s="304" t="n">
        <v>10250.0</v>
      </c>
      <c r="G35" s="9">
        <f t="shared" si="1"/>
        <v>1.3745747189311718E-2</v>
      </c>
    </row>
    <row r="36" spans="1:7" x14ac:dyDescent="0.45">
      <c r="A36">
        <v>25</v>
      </c>
      <c r="B36" s="6" t="n">
        <v>6155.383344064</v>
      </c>
      <c r="C36" s="9">
        <f t="shared" si="0"/>
        <v>8.8696062882116389E-3</v>
      </c>
      <c r="E36" s="215">
        <v>25</v>
      </c>
      <c r="F36" s="305" t="n">
        <v>9898.0</v>
      </c>
      <c r="G36" s="9">
        <f t="shared" si="1"/>
        <v>1.3713976293386266E-2</v>
      </c>
    </row>
    <row r="37" spans="1:7" x14ac:dyDescent="0.45">
      <c r="A37">
        <v>26</v>
      </c>
      <c r="B37" s="6" t="n">
        <v>3504.9597999415</v>
      </c>
      <c r="C37" s="9">
        <f t="shared" si="0"/>
        <v>5.0504756152140815E-3</v>
      </c>
      <c r="E37" s="216">
        <v>26</v>
      </c>
      <c r="F37" s="306" t="n">
        <v>9072.0</v>
      </c>
      <c r="G37" s="9">
        <f t="shared" si="1"/>
        <v>1.2535690457542341E-2</v>
      </c>
    </row>
    <row r="38" spans="1:7" x14ac:dyDescent="0.45">
      <c r="A38">
        <v>27</v>
      </c>
      <c r="B38" s="6" t="n">
        <v>3835.3351269925</v>
      </c>
      <c r="C38" s="9">
        <f t="shared" si="0"/>
        <v>5.5265303001115519E-3</v>
      </c>
      <c r="E38" s="217">
        <v>27</v>
      </c>
      <c r="F38" s="307" t="n">
        <v>8499.0</v>
      </c>
      <c r="G38" s="9">
        <f t="shared" si="1"/>
        <v>1.1484488205400224E-2</v>
      </c>
    </row>
    <row r="39" spans="1:7" x14ac:dyDescent="0.45">
      <c r="A39">
        <v>28</v>
      </c>
      <c r="B39" s="6" t="n">
        <v>6243.2691903920995</v>
      </c>
      <c r="C39" s="9">
        <f t="shared" si="0"/>
        <v>8.9962454935485821E-3</v>
      </c>
      <c r="E39" s="218">
        <v>28</v>
      </c>
      <c r="F39" s="308" t="n">
        <v>8709.0</v>
      </c>
      <c r="G39" s="9">
        <f t="shared" si="1"/>
        <v>1.2204168065276759E-2</v>
      </c>
    </row>
    <row r="40" spans="1:7" x14ac:dyDescent="0.45">
      <c r="A40">
        <v>29</v>
      </c>
      <c r="B40" s="6" t="n">
        <v>3184.5809180328</v>
      </c>
      <c r="C40" s="9">
        <f t="shared" si="0"/>
        <v>4.5888253187580568E-3</v>
      </c>
      <c r="E40" s="219">
        <v>29</v>
      </c>
      <c r="F40" s="309" t="n">
        <v>7841.0</v>
      </c>
      <c r="G40" s="9">
        <f t="shared" si="1"/>
        <v>1.0487158342001262E-2</v>
      </c>
    </row>
    <row r="41" spans="1:7" x14ac:dyDescent="0.45">
      <c r="A41">
        <v>30</v>
      </c>
      <c r="B41" s="6" t="n">
        <v>3957.7416261823</v>
      </c>
      <c r="C41" s="9">
        <f t="shared" si="0"/>
        <v>5.7029120775322585E-3</v>
      </c>
      <c r="E41" s="220">
        <v>30</v>
      </c>
      <c r="F41" s="310" t="n">
        <v>6927.0</v>
      </c>
      <c r="G41" s="9">
        <f t="shared" si="1"/>
        <v>9.4152359403425461E-3</v>
      </c>
    </row>
    <row r="42" spans="1:7" x14ac:dyDescent="0.45">
      <c r="A42">
        <v>31</v>
      </c>
      <c r="B42" s="6" t="n">
        <v>4782.771690812</v>
      </c>
      <c r="C42" s="9">
        <f t="shared" si="0"/>
        <v>6.891740041636253E-3</v>
      </c>
      <c r="E42" s="221">
        <v>31</v>
      </c>
      <c r="F42" s="311" t="n">
        <v>6639.0</v>
      </c>
      <c r="G42" s="9">
        <f t="shared" si="1"/>
        <v>8.8267836940711369E-3</v>
      </c>
    </row>
    <row r="43" spans="1:7" x14ac:dyDescent="0.45">
      <c r="A43">
        <v>32</v>
      </c>
      <c r="B43" s="6" t="n">
        <v>6231.7071484738</v>
      </c>
      <c r="C43" s="9">
        <f t="shared" si="0"/>
        <v>8.9795851567391755E-3</v>
      </c>
      <c r="E43" s="222">
        <v>32</v>
      </c>
      <c r="F43" s="312" t="n">
        <v>6495.0</v>
      </c>
      <c r="G43" s="9">
        <f t="shared" si="1"/>
        <v>8.2756277169296049E-3</v>
      </c>
    </row>
    <row r="44" spans="1:7" x14ac:dyDescent="0.45">
      <c r="A44">
        <v>33</v>
      </c>
      <c r="B44" s="6" t="n">
        <v>4105.604641922</v>
      </c>
      <c r="C44" s="9">
        <f t="shared" si="0"/>
        <v>5.9159754500131174E-3</v>
      </c>
      <c r="E44" s="223">
        <v>33</v>
      </c>
      <c r="F44" s="313" t="n">
        <v>5913.0</v>
      </c>
      <c r="G44" s="9">
        <f t="shared" si="1"/>
        <v>8.2093232384764896E-3</v>
      </c>
    </row>
    <row r="45" spans="1:7" x14ac:dyDescent="0.45">
      <c r="A45">
        <v>34</v>
      </c>
      <c r="B45" s="6" t="n">
        <v>3066.9543702994</v>
      </c>
      <c r="C45" s="9">
        <f t="shared" si="0"/>
        <v>4.4193312175591594E-3</v>
      </c>
      <c r="E45" s="224">
        <v>34</v>
      </c>
      <c r="F45" s="314" t="n">
        <v>5030.0</v>
      </c>
      <c r="G45" s="9">
        <f t="shared" si="1"/>
        <v>6.8265985940687878E-3</v>
      </c>
    </row>
    <row r="46" spans="1:7" x14ac:dyDescent="0.45">
      <c r="A46">
        <v>35</v>
      </c>
      <c r="B46" s="6" t="n">
        <v>6714.874143243</v>
      </c>
      <c r="C46" s="9">
        <f t="shared" si="0"/>
        <v>9.6758051605174891E-3</v>
      </c>
      <c r="E46" s="225">
        <v>35</v>
      </c>
      <c r="F46" s="315" t="n">
        <v>4841.0</v>
      </c>
      <c r="G46" s="9">
        <f t="shared" si="1"/>
        <v>6.249197094206232E-3</v>
      </c>
    </row>
    <row r="47" spans="1:7" x14ac:dyDescent="0.45">
      <c r="A47">
        <v>36</v>
      </c>
      <c r="B47" s="6" t="n">
        <v>4992.4043084543</v>
      </c>
      <c r="C47" s="9">
        <f t="shared" si="0"/>
        <v>7.1938103887978968E-3</v>
      </c>
      <c r="E47" s="226">
        <v>36</v>
      </c>
      <c r="F47" s="316" t="n">
        <v>4311.0</v>
      </c>
      <c r="G47" s="9">
        <f t="shared" si="1"/>
        <v>6.3168829159604553E-3</v>
      </c>
    </row>
    <row r="48" spans="1:7" x14ac:dyDescent="0.45">
      <c r="A48">
        <v>37</v>
      </c>
      <c r="B48" s="6" t="n">
        <v>3604.1433448000002</v>
      </c>
      <c r="C48" s="9">
        <f t="shared" si="0"/>
        <v>5.1933942514696832E-3</v>
      </c>
      <c r="E48" s="227">
        <v>37</v>
      </c>
      <c r="F48" s="317" t="n">
        <v>3856.0</v>
      </c>
      <c r="G48" s="9">
        <f t="shared" si="1"/>
        <v>5.2366724544950982E-3</v>
      </c>
    </row>
    <row r="49" spans="1:7" x14ac:dyDescent="0.45">
      <c r="A49">
        <v>38</v>
      </c>
      <c r="B49" s="6" t="n">
        <v>5966.5472758128</v>
      </c>
      <c r="C49" s="9">
        <f t="shared" si="0"/>
        <v>8.5975027513917578E-3</v>
      </c>
      <c r="E49" s="228">
        <v>38</v>
      </c>
      <c r="F49" s="318" t="n">
        <v>3640.0</v>
      </c>
      <c r="G49" s="9">
        <f t="shared" si="1"/>
        <v>4.9686918540804191E-3</v>
      </c>
    </row>
    <row r="50" spans="1:7" x14ac:dyDescent="0.45">
      <c r="A50">
        <v>39</v>
      </c>
      <c r="B50" s="6" t="n">
        <v>2382.187137158</v>
      </c>
      <c r="C50" s="9">
        <f t="shared" si="0"/>
        <v>3.4326151322174735E-3</v>
      </c>
      <c r="E50" s="229">
        <v>39</v>
      </c>
      <c r="F50" s="319" t="n">
        <v>3094.0</v>
      </c>
      <c r="G50" s="9">
        <f t="shared" si="1"/>
        <v>4.3332739355713855E-3</v>
      </c>
    </row>
    <row r="51" spans="1:7" x14ac:dyDescent="0.45">
      <c r="A51">
        <v>40</v>
      </c>
      <c r="B51" s="6" t="n">
        <v>3637.4715756984</v>
      </c>
      <c r="C51" s="9">
        <f t="shared" si="0"/>
        <v>5.2414186018355288E-3</v>
      </c>
      <c r="E51" s="230">
        <v>40</v>
      </c>
      <c r="F51" s="320" t="n">
        <v>2808.0</v>
      </c>
      <c r="G51" s="9">
        <f t="shared" si="1"/>
        <v>3.9423537813582194E-3</v>
      </c>
    </row>
    <row r="52" spans="1:7" x14ac:dyDescent="0.45">
      <c r="A52">
        <v>41</v>
      </c>
      <c r="B52" s="6" t="n">
        <v>2016.201372173</v>
      </c>
      <c r="C52" s="9">
        <f t="shared" si="0"/>
        <v>2.9052475482574331E-3</v>
      </c>
      <c r="E52" s="231">
        <v>41</v>
      </c>
      <c r="F52" s="321" t="n">
        <v>2495.0</v>
      </c>
      <c r="G52" s="9">
        <f t="shared" si="1"/>
        <v>3.4188246702388206E-3</v>
      </c>
    </row>
    <row r="53" spans="1:7" x14ac:dyDescent="0.45">
      <c r="A53">
        <v>42</v>
      </c>
      <c r="B53" s="6" t="n">
        <v>2809.120859826</v>
      </c>
      <c r="C53" s="9">
        <f t="shared" si="0"/>
        <v>4.0478057417312526E-3</v>
      </c>
      <c r="E53" s="232">
        <v>42</v>
      </c>
      <c r="F53" s="322" t="n">
        <v>2592.0</v>
      </c>
      <c r="G53" s="9">
        <f t="shared" si="1"/>
        <v>3.6577970613302611E-3</v>
      </c>
    </row>
    <row r="54" spans="1:7" x14ac:dyDescent="0.45">
      <c r="A54">
        <v>43</v>
      </c>
      <c r="B54" s="6" t="n">
        <v>1516.016330693</v>
      </c>
      <c r="C54" s="9">
        <f t="shared" si="0"/>
        <v>2.184505371661928E-3</v>
      </c>
      <c r="E54" s="233">
        <v>43</v>
      </c>
      <c r="F54" s="323" t="n">
        <v>2481.0</v>
      </c>
      <c r="G54" s="9">
        <f t="shared" si="1"/>
        <v>3.2461567576004963E-3</v>
      </c>
    </row>
    <row r="55" spans="1:7" x14ac:dyDescent="0.45">
      <c r="A55">
        <v>44</v>
      </c>
      <c r="B55" s="6" t="n">
        <v>3781.4082927194</v>
      </c>
      <c r="C55" s="9">
        <f t="shared" si="0"/>
        <v>5.4488243699304046E-3</v>
      </c>
      <c r="E55" s="234">
        <v>44</v>
      </c>
      <c r="F55" s="324" t="n">
        <v>2056.0</v>
      </c>
      <c r="G55" s="9">
        <f t="shared" si="1"/>
        <v>3.1591321296307808E-3</v>
      </c>
    </row>
    <row r="56" spans="1:7" x14ac:dyDescent="0.45">
      <c r="A56">
        <v>45</v>
      </c>
      <c r="B56" s="6" t="n">
        <v>4853.517579446</v>
      </c>
      <c r="C56" s="9">
        <f t="shared" si="0"/>
        <v>6.9936814063927422E-3</v>
      </c>
      <c r="E56" s="235">
        <v>45</v>
      </c>
      <c r="F56" s="325" t="n">
        <v>1892.0</v>
      </c>
      <c r="G56" s="9">
        <f t="shared" si="1"/>
        <v>2.6190268988981026E-3</v>
      </c>
    </row>
    <row r="57" spans="1:7" x14ac:dyDescent="0.45">
      <c r="A57">
        <v>46</v>
      </c>
      <c r="B57" s="6" t="n">
        <v>3632.117248933</v>
      </c>
      <c r="C57" s="9">
        <f t="shared" si="0"/>
        <v>5.2337032788908854E-3</v>
      </c>
      <c r="E57" s="236">
        <v>46</v>
      </c>
      <c r="F57" s="326" t="n">
        <v>1626.0</v>
      </c>
      <c r="G57" s="9">
        <f t="shared" si="1"/>
        <v>2.4311642099476057E-3</v>
      </c>
    </row>
    <row r="58" spans="1:7" x14ac:dyDescent="0.45">
      <c r="A58">
        <v>47</v>
      </c>
      <c r="B58" s="6" t="n">
        <v>3476.3439889486003</v>
      </c>
      <c r="C58" s="9">
        <f t="shared" si="0"/>
        <v>5.0092416314087241E-3</v>
      </c>
      <c r="E58" s="237">
        <v>47</v>
      </c>
      <c r="F58" s="327" t="n">
        <v>1611.0</v>
      </c>
      <c r="G58" s="9">
        <f t="shared" si="1"/>
        <v>2.262640327212601E-3</v>
      </c>
    </row>
    <row r="59" spans="1:7" x14ac:dyDescent="0.45">
      <c r="A59">
        <v>48</v>
      </c>
      <c r="B59" s="6" t="n">
        <v>3844.122228342</v>
      </c>
      <c r="C59" s="9">
        <f t="shared" si="0"/>
        <v>5.5391920833065562E-3</v>
      </c>
      <c r="E59" s="238">
        <v>48</v>
      </c>
      <c r="F59" s="328" t="n">
        <v>1433.0</v>
      </c>
      <c r="G59" s="9">
        <f t="shared" si="1"/>
        <v>1.9988037567012415E-3</v>
      </c>
    </row>
    <row r="60" spans="1:7" x14ac:dyDescent="0.45">
      <c r="A60">
        <v>49</v>
      </c>
      <c r="B60" s="6" t="n">
        <v>1208.792169277</v>
      </c>
      <c r="C60" s="9">
        <f t="shared" si="0"/>
        <v>1.7418103839299717E-3</v>
      </c>
      <c r="E60" s="239">
        <v>49</v>
      </c>
      <c r="F60" s="329" t="n">
        <v>1424.0</v>
      </c>
      <c r="G60" s="9">
        <f t="shared" si="1"/>
        <v>1.8910589792149274E-3</v>
      </c>
    </row>
    <row r="61" spans="1:7" x14ac:dyDescent="0.45">
      <c r="A61">
        <v>50</v>
      </c>
      <c r="B61" s="6" t="n">
        <v>800.903874653</v>
      </c>
      <c r="C61" s="9">
        <f t="shared" si="0"/>
        <v>1.1540633045585755E-3</v>
      </c>
      <c r="E61" s="240">
        <v>50</v>
      </c>
      <c r="F61" s="330" t="n">
        <v>1212.0</v>
      </c>
      <c r="G61" s="9">
        <f t="shared" si="1"/>
        <v>1.7391112160932019E-3</v>
      </c>
    </row>
    <row r="62" spans="1:7" x14ac:dyDescent="0.45">
      <c r="A62">
        <v>51</v>
      </c>
      <c r="B62" s="6" t="n">
        <v>2224.296473413</v>
      </c>
      <c r="C62" s="9">
        <f t="shared" si="0"/>
        <v>3.2051024094959749E-3</v>
      </c>
      <c r="E62" s="241">
        <v>51</v>
      </c>
      <c r="F62" s="331" t="n">
        <v>1126.0</v>
      </c>
      <c r="G62" s="9">
        <f t="shared" si="1"/>
        <v>1.6631373345323394E-3</v>
      </c>
    </row>
    <row r="63" spans="1:7" x14ac:dyDescent="0.45">
      <c r="A63">
        <v>52</v>
      </c>
      <c r="B63" s="6" t="n">
        <v>1665.918275329</v>
      </c>
      <c r="C63" s="9">
        <f t="shared" si="0"/>
        <v>2.4005067409415201E-3</v>
      </c>
      <c r="E63" s="242">
        <v>52</v>
      </c>
      <c r="F63" s="332" t="n">
        <v>987.0</v>
      </c>
      <c r="G63" s="9">
        <f t="shared" si="1"/>
        <v>1.4794186754851623E-3</v>
      </c>
    </row>
    <row r="64" spans="1:7" x14ac:dyDescent="0.45">
      <c r="A64">
        <v>53</v>
      </c>
      <c r="B64" s="6" t="n">
        <v>1380.401917378</v>
      </c>
      <c r="C64" s="9">
        <f t="shared" si="0"/>
        <v>1.9890916360948601E-3</v>
      </c>
      <c r="E64" s="243">
        <v>53</v>
      </c>
      <c r="F64" s="333" t="n">
        <v>871.0</v>
      </c>
      <c r="G64" s="9">
        <f t="shared" si="1"/>
        <v>1.2722171803191732E-3</v>
      </c>
    </row>
    <row r="65" spans="1:7" x14ac:dyDescent="0.45">
      <c r="A65">
        <v>54</v>
      </c>
      <c r="B65" s="6" t="n">
        <v>1441.059767666</v>
      </c>
      <c r="C65" s="9">
        <f t="shared" si="0"/>
        <v>2.0764966310839504E-3</v>
      </c>
      <c r="E65" s="244">
        <v>54</v>
      </c>
      <c r="F65" s="334" t="n">
        <v>770.0</v>
      </c>
      <c r="G65" s="9">
        <f t="shared" si="1"/>
        <v>1.1851925523494577E-3</v>
      </c>
    </row>
    <row r="66" spans="1:7" x14ac:dyDescent="0.45">
      <c r="A66">
        <v>55</v>
      </c>
      <c r="B66" s="6" t="n">
        <v>110.48572589</v>
      </c>
      <c r="C66" s="9">
        <f t="shared" si="0"/>
        <v>1.5920452623907001E-4</v>
      </c>
      <c r="E66" s="245">
        <v>55</v>
      </c>
      <c r="F66" s="335" t="n">
        <v>753.0</v>
      </c>
      <c r="G66" s="9">
        <f t="shared" si="1"/>
        <v>1.0733037449598237E-3</v>
      </c>
    </row>
    <row r="67" spans="1:7" x14ac:dyDescent="0.45">
      <c r="A67">
        <v>56</v>
      </c>
      <c r="B67" s="6" t="n">
        <v>321.941783499</v>
      </c>
      <c r="C67" s="9">
        <f t="shared" si="0"/>
        <v>4.6390236119323502E-4</v>
      </c>
      <c r="E67" s="246">
        <v>56</v>
      </c>
      <c r="F67" s="336" t="n">
        <v>753.0</v>
      </c>
      <c r="G67" s="9">
        <f t="shared" si="1"/>
        <v>9.6970299737682904E-4</v>
      </c>
    </row>
    <row r="68" spans="1:7" x14ac:dyDescent="0.45">
      <c r="A68">
        <v>57</v>
      </c>
      <c r="B68" s="6" t="n">
        <v>992.9541449953001</v>
      </c>
      <c r="C68" s="9">
        <f t="shared" si="0"/>
        <v>1.4307983493585894E-3</v>
      </c>
      <c r="E68" s="247">
        <v>57</v>
      </c>
      <c r="F68" s="337" t="n">
        <v>681.0</v>
      </c>
      <c r="G68" s="9">
        <f t="shared" si="1"/>
        <v>1.0304821026255193E-3</v>
      </c>
    </row>
    <row r="69" spans="1:7" x14ac:dyDescent="0.45">
      <c r="A69">
        <v>58</v>
      </c>
      <c r="B69" s="6" t="n">
        <v>1190.6595062796</v>
      </c>
      <c r="C69" s="9">
        <f t="shared" si="0"/>
        <v>1.7156821035688695E-3</v>
      </c>
      <c r="E69" s="248">
        <v>58</v>
      </c>
      <c r="F69" s="338" t="n">
        <v>606.0</v>
      </c>
      <c r="G69" s="9">
        <f t="shared" si="1"/>
        <v>9.379321014513774E-4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249">
        <v>59</v>
      </c>
      <c r="F70" s="339" t="n">
        <v>553.0</v>
      </c>
      <c r="G70" s="9">
        <f t="shared" si="1"/>
        <v>7.5145075580198715E-4</v>
      </c>
    </row>
    <row r="71" spans="1:7" x14ac:dyDescent="0.45">
      <c r="A71">
        <v>60</v>
      </c>
      <c r="B71" s="6" t="n">
        <v>827.9796802999999</v>
      </c>
      <c r="C71" s="9">
        <f t="shared" si="0"/>
        <v>1.1930782159948583E-3</v>
      </c>
      <c r="E71" s="250">
        <v>60</v>
      </c>
      <c r="F71" s="340" t="n">
        <v>710.0</v>
      </c>
      <c r="G71" s="9">
        <f t="shared" si="1"/>
        <v>1.0318634459266258E-3</v>
      </c>
    </row>
    <row r="72" spans="1:7" x14ac:dyDescent="0.45">
      <c r="A72">
        <v>61</v>
      </c>
      <c r="B72" s="6" t="n">
        <v>481.758028516</v>
      </c>
      <c r="C72" s="9">
        <f t="shared" si="0"/>
        <v>6.9418975233161823E-4</v>
      </c>
      <c r="E72" s="251">
        <v>61</v>
      </c>
      <c r="F72" s="341" t="n">
        <v>662.0</v>
      </c>
      <c r="G72" s="9">
        <f t="shared" si="1"/>
        <v>9.3516941484916426E-4</v>
      </c>
    </row>
    <row r="73" spans="1:7" x14ac:dyDescent="0.45">
      <c r="A73">
        <v>62</v>
      </c>
      <c r="B73" s="6" t="n">
        <v>155.903466484</v>
      </c>
      <c r="C73" s="9">
        <f t="shared" si="0"/>
        <v>2.2464926867861074E-4</v>
      </c>
      <c r="E73" s="252">
        <v>62</v>
      </c>
      <c r="F73" s="342" t="n">
        <v>630.0</v>
      </c>
      <c r="G73" s="9">
        <f t="shared" si="1"/>
        <v>8.992544890203928E-4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253">
        <v>63</v>
      </c>
      <c r="F74" s="343" t="n">
        <v>567.0</v>
      </c>
      <c r="G74" s="9">
        <f t="shared" si="1"/>
        <v>8.0117911464182463E-4</v>
      </c>
    </row>
    <row r="75" spans="1:7" x14ac:dyDescent="0.45">
      <c r="A75">
        <v>64</v>
      </c>
      <c r="B75" s="6" t="n">
        <v>630.0307990270001</v>
      </c>
      <c r="C75" s="9">
        <f t="shared" si="0"/>
        <v>9.0784356139343345E-4</v>
      </c>
      <c r="E75" s="254">
        <v>64</v>
      </c>
      <c r="F75" s="344" t="n">
        <v>540.0</v>
      </c>
      <c r="G75" s="9">
        <f t="shared" si="1"/>
        <v>8.315686672661697E-4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255">
        <v>65</v>
      </c>
      <c r="F76" s="345" t="n">
        <v>547.0</v>
      </c>
      <c r="G76" s="9">
        <f t="shared" si="1"/>
        <v>7.5973881560862679E-4</v>
      </c>
    </row>
    <row r="77" spans="1:7" x14ac:dyDescent="0.45">
      <c r="A77">
        <v>66</v>
      </c>
      <c r="B77" s="6" t="n">
        <v>529.467299939</v>
      </c>
      <c r="C77" s="9">
        <f t="shared" ref="C77:C102" si="2">B77/B$102</f>
        <v>7.629364785980687E-4</v>
      </c>
      <c r="E77" s="256">
        <v>66</v>
      </c>
      <c r="F77" s="346" t="n">
        <v>513.0</v>
      </c>
      <c r="G77" s="9">
        <f t="shared" ref="G77:G102" si="3">F77/F$102</f>
        <v>7.0862911346768274E-4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257">
        <v>67</v>
      </c>
      <c r="F78" s="347" t="n">
        <v>479.0</v>
      </c>
      <c r="G78" s="9">
        <f t="shared" si="3"/>
        <v>7.0448508356436303E-4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258">
        <v>68</v>
      </c>
      <c r="F79" s="348" t="n">
        <v>510.0</v>
      </c>
      <c r="G79" s="9">
        <f t="shared" si="3"/>
        <v>6.9067165055329701E-4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259">
        <v>69</v>
      </c>
      <c r="F80" s="349" t="n">
        <v>442.0</v>
      </c>
      <c r="G80" s="9">
        <f t="shared" si="3"/>
        <v>6.0640970918579486E-4</v>
      </c>
    </row>
    <row r="81" spans="1:7" x14ac:dyDescent="0.45">
      <c r="A81">
        <v>70</v>
      </c>
      <c r="B81" s="6" t="n">
        <v>356.0060045</v>
      </c>
      <c r="C81" s="9">
        <f t="shared" si="2"/>
        <v>5.1298723729357868E-4</v>
      </c>
      <c r="E81" s="260">
        <v>70</v>
      </c>
      <c r="F81" s="350" t="n">
        <v>609.0</v>
      </c>
      <c r="G81" s="9">
        <f t="shared" si="3"/>
        <v>8.50907473481662E-4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261">
        <v>71</v>
      </c>
      <c r="F82" s="351" t="n">
        <v>394.0</v>
      </c>
      <c r="G82" s="9">
        <f t="shared" si="3"/>
        <v>5.1662239461386622E-4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262">
        <v>72</v>
      </c>
      <c r="F83" s="352" t="n">
        <v>597.0</v>
      </c>
      <c r="G83" s="9">
        <f t="shared" si="3"/>
        <v>8.0670448784625102E-4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263">
        <v>73</v>
      </c>
      <c r="F84" s="353" t="n">
        <v>435.0</v>
      </c>
      <c r="G84" s="9">
        <f t="shared" si="3"/>
        <v>5.7325746995923654E-4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264">
        <v>74</v>
      </c>
      <c r="F85" s="354" t="n">
        <v>319.0</v>
      </c>
      <c r="G85" s="9">
        <f t="shared" si="3"/>
        <v>4.931395584950541E-4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265">
        <v>75</v>
      </c>
      <c r="F86" s="355" t="n">
        <v>333.0</v>
      </c>
      <c r="G86" s="9">
        <f t="shared" si="3"/>
        <v>4.1164030372976504E-4</v>
      </c>
    </row>
    <row r="87" spans="1:7" x14ac:dyDescent="0.45">
      <c r="A87">
        <v>76</v>
      </c>
      <c r="B87" s="6" t="n">
        <v>190.728922024</v>
      </c>
      <c r="C87" s="9">
        <f t="shared" si="2"/>
        <v>2.7483104651139154E-4</v>
      </c>
      <c r="E87" s="266">
        <v>76</v>
      </c>
      <c r="F87" s="356" t="n">
        <v>335.0</v>
      </c>
      <c r="G87" s="9">
        <f t="shared" si="3"/>
        <v>4.7794478218288156E-4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267">
        <v>77</v>
      </c>
      <c r="F88" s="357" t="n">
        <v>370.0</v>
      </c>
      <c r="G88" s="9">
        <f t="shared" si="3"/>
        <v>4.5998731926849584E-4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268">
        <v>78</v>
      </c>
      <c r="F89" s="358" t="n">
        <v>255.0</v>
      </c>
      <c r="G89" s="9">
        <f t="shared" si="3"/>
        <v>4.0335224392312551E-4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269">
        <v>79</v>
      </c>
      <c r="F90" s="359" t="n">
        <v>282.0</v>
      </c>
      <c r="G90" s="9">
        <f t="shared" si="3"/>
        <v>4.1302164703087166E-4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270">
        <v>80</v>
      </c>
      <c r="F91" s="360" t="n">
        <v>244.0</v>
      </c>
      <c r="G91" s="9">
        <f t="shared" si="3"/>
        <v>3.7020000469656724E-4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271">
        <v>81</v>
      </c>
      <c r="F92" s="361" t="n">
        <v>288.0</v>
      </c>
      <c r="G92" s="9">
        <f t="shared" si="3"/>
        <v>3.7986940780431339E-4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272">
        <v>82</v>
      </c>
      <c r="F93" s="362" t="n">
        <v>258.0</v>
      </c>
      <c r="G93" s="9">
        <f t="shared" si="3"/>
        <v>3.577679149866079E-4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273">
        <v>83</v>
      </c>
      <c r="F94" s="363" t="n">
        <v>264.0</v>
      </c>
      <c r="G94" s="9">
        <f t="shared" si="3"/>
        <v>3.8125075110541996E-4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274">
        <v>84</v>
      </c>
      <c r="F95" s="364" t="n">
        <v>438.0</v>
      </c>
      <c r="G95" s="9">
        <f t="shared" si="3"/>
        <v>5.8430821636808932E-4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275">
        <v>85</v>
      </c>
      <c r="F96" s="365" t="n">
        <v>277.0</v>
      </c>
      <c r="G96" s="9">
        <f t="shared" si="3"/>
        <v>3.9092015421316611E-4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276">
        <v>86</v>
      </c>
      <c r="F97" s="366" t="n">
        <v>263.0</v>
      </c>
      <c r="G97" s="9">
        <f t="shared" si="3"/>
        <v>3.5362388508328809E-4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277">
        <v>87</v>
      </c>
      <c r="F98" s="367" t="n">
        <v>240.0</v>
      </c>
      <c r="G98" s="9">
        <f t="shared" si="3"/>
        <v>3.2185298915783644E-4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278">
        <v>88</v>
      </c>
      <c r="F99" s="368" t="n">
        <v>270.0</v>
      </c>
      <c r="G99" s="9">
        <f t="shared" si="3"/>
        <v>3.3428507886779579E-4</v>
      </c>
    </row>
    <row r="100" spans="1:7" x14ac:dyDescent="0.45">
      <c r="A100">
        <v>89</v>
      </c>
      <c r="B100" s="6" t="n">
        <v>129.043199895</v>
      </c>
      <c r="C100" s="9">
        <f t="shared" si="2"/>
        <v>1.8594493848111225E-4</v>
      </c>
      <c r="E100" s="279">
        <v>89</v>
      </c>
      <c r="F100" s="369" t="n">
        <v>240.0</v>
      </c>
      <c r="G100" s="9">
        <f t="shared" si="3"/>
        <v>3.480985118788617E-4</v>
      </c>
    </row>
    <row r="101" spans="1:7" ht="14.65" thickBot="1" x14ac:dyDescent="0.5">
      <c r="A101" s="1">
        <v>90</v>
      </c>
      <c r="B101" s="7" t="n">
        <v>629.978391646</v>
      </c>
      <c r="C101" s="9">
        <f t="shared" si="2"/>
        <v>9.0776804492108973E-4</v>
      </c>
      <c r="E101" s="372">
        <v>90</v>
      </c>
      <c r="F101" s="372" t="n">
        <v>11132.0</v>
      </c>
      <c r="G101" s="9">
        <f t="shared" si="3"/>
        <v>1.530666511956217E-2</v>
      </c>
    </row>
    <row r="102" spans="1:7" x14ac:dyDescent="0.45">
      <c r="B102" s="6">
        <f>SUM(B11:B101)</f>
        <v>693986.08506952086</v>
      </c>
      <c r="C102" s="9">
        <f t="shared" si="2"/>
        <v>1</v>
      </c>
      <c r="F102" s="6">
        <f>SUM(F11:F101)</f>
        <v>723933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21503.8008012071</v>
      </c>
      <c r="C11" s="9">
        <f>B11/B$102</f>
        <v>8.3158478250500989E-2</v>
      </c>
      <c r="E11" s="371">
        <v>0</v>
      </c>
      <c r="F11" s="371" t="n">
        <v>33972.0</v>
      </c>
      <c r="G11" s="9">
        <f>F11/F$102</f>
        <v>0.10409637365145356</v>
      </c>
      <c r="K11" s="6" t="n">
        <v>8.241416771090295</v>
      </c>
      <c r="L11" s="6" t="n">
        <v>8.664526838384226</v>
      </c>
    </row>
    <row r="12" spans="1:12" x14ac:dyDescent="0.45">
      <c r="A12">
        <v>1</v>
      </c>
      <c r="B12" s="6" t="n">
        <v>25168.555797359</v>
      </c>
      <c r="C12" s="9">
        <f>B12/B$102</f>
        <v>9.7330644904119051E-2</v>
      </c>
      <c r="E12" s="371">
        <v>1</v>
      </c>
      <c r="F12" s="371" t="n">
        <v>28626.0</v>
      </c>
      <c r="G12" s="9">
        <f>F12/F$102</f>
        <v>8.6945391965161392E-2</v>
      </c>
      <c r="K12" s="6"/>
      <c r="L12" s="371"/>
    </row>
    <row r="13" spans="1:12" x14ac:dyDescent="0.45">
      <c r="A13">
        <v>2</v>
      </c>
      <c r="B13" s="6" t="n">
        <v>19883.7193611123</v>
      </c>
      <c r="C13" s="9">
        <f t="shared" ref="C13:C76" si="0">B13/B$102</f>
        <v>7.6893376167124119E-2</v>
      </c>
      <c r="E13" s="371">
        <v>2</v>
      </c>
      <c r="F13" s="371" t="n">
        <v>23851.0</v>
      </c>
      <c r="G13" s="9">
        <f t="shared" ref="G13:G76" si="1">F13/F$102</f>
        <v>7.1888551002658535E-2</v>
      </c>
    </row>
    <row r="14" spans="1:12" x14ac:dyDescent="0.45">
      <c r="A14">
        <v>3</v>
      </c>
      <c r="B14" s="6" t="n">
        <v>21148.4160783344</v>
      </c>
      <c r="C14" s="9">
        <f t="shared" si="0"/>
        <v>8.1784151310776418E-2</v>
      </c>
      <c r="E14" s="371">
        <v>3</v>
      </c>
      <c r="F14" s="371" t="n">
        <v>23844.0</v>
      </c>
      <c r="G14" s="9">
        <f t="shared" si="1"/>
        <v>7.1641818664067755E-2</v>
      </c>
    </row>
    <row r="15" spans="1:12" x14ac:dyDescent="0.45">
      <c r="A15">
        <v>4</v>
      </c>
      <c r="B15" s="6" t="n">
        <v>18942.5945237196</v>
      </c>
      <c r="C15" s="9">
        <f t="shared" si="0"/>
        <v>7.3253902845880653E-2</v>
      </c>
      <c r="E15" s="371">
        <v>4</v>
      </c>
      <c r="F15" s="371" t="n">
        <v>26557.0</v>
      </c>
      <c r="G15" s="9">
        <f t="shared" si="1"/>
        <v>7.9793238300260916E-2</v>
      </c>
    </row>
    <row r="16" spans="1:12" x14ac:dyDescent="0.45">
      <c r="A16">
        <v>5</v>
      </c>
      <c r="B16" s="6" t="n">
        <v>14864.7396953306</v>
      </c>
      <c r="C16" s="9">
        <f t="shared" si="0"/>
        <v>5.748421611979028E-2</v>
      </c>
      <c r="E16" s="371">
        <v>5</v>
      </c>
      <c r="F16" s="371" t="n">
        <v>21580.0</v>
      </c>
      <c r="G16" s="9">
        <f t="shared" si="1"/>
        <v>6.525453524879872E-2</v>
      </c>
    </row>
    <row r="17" spans="1:7" x14ac:dyDescent="0.45">
      <c r="A17">
        <v>6</v>
      </c>
      <c r="B17" s="6" t="n">
        <v>13230.8590077487</v>
      </c>
      <c r="C17" s="9">
        <f t="shared" si="0"/>
        <v>5.1165750241210992E-2</v>
      </c>
      <c r="E17" s="371">
        <v>6</v>
      </c>
      <c r="F17" s="371" t="n">
        <v>16535.0</v>
      </c>
      <c r="G17" s="9">
        <f t="shared" si="1"/>
        <v>5.1474534138503197E-2</v>
      </c>
    </row>
    <row r="18" spans="1:7" x14ac:dyDescent="0.45">
      <c r="A18">
        <v>7</v>
      </c>
      <c r="B18" s="6" t="n">
        <v>15657.7923594553</v>
      </c>
      <c r="C18" s="9">
        <f t="shared" si="0"/>
        <v>6.0551071757581239E-2</v>
      </c>
      <c r="E18" s="371">
        <v>7</v>
      </c>
      <c r="F18" s="371" t="n">
        <v>14860.0</v>
      </c>
      <c r="G18" s="9">
        <f t="shared" si="1"/>
        <v>4.5108839802860859E-2</v>
      </c>
    </row>
    <row r="19" spans="1:7" x14ac:dyDescent="0.45">
      <c r="A19">
        <v>8</v>
      </c>
      <c r="B19" s="6" t="n">
        <v>7495.5300697174</v>
      </c>
      <c r="C19" s="9">
        <f t="shared" si="0"/>
        <v>2.8986358274095483E-2</v>
      </c>
      <c r="E19" s="371">
        <v>8</v>
      </c>
      <c r="F19" s="371" t="n">
        <v>13598.0</v>
      </c>
      <c r="G19" s="9">
        <f t="shared" si="1"/>
        <v>4.2015433107778853E-2</v>
      </c>
    </row>
    <row r="20" spans="1:7" x14ac:dyDescent="0.45">
      <c r="A20">
        <v>9</v>
      </c>
      <c r="B20" s="6" t="n">
        <v>5781.1659108765</v>
      </c>
      <c r="C20" s="9">
        <f t="shared" si="0"/>
        <v>2.235665053385234E-2</v>
      </c>
      <c r="E20" s="371">
        <v>9</v>
      </c>
      <c r="F20" s="371" t="n">
        <v>10443.0</v>
      </c>
      <c r="G20" s="9">
        <f t="shared" si="1"/>
        <v>3.3429147724819426E-2</v>
      </c>
    </row>
    <row r="21" spans="1:7" x14ac:dyDescent="0.45">
      <c r="A21">
        <v>10</v>
      </c>
      <c r="B21" s="6" t="n">
        <v>8532.2353604863</v>
      </c>
      <c r="C21" s="9">
        <f t="shared" si="0"/>
        <v>3.2995455789998136E-2</v>
      </c>
      <c r="E21" s="371">
        <v>10</v>
      </c>
      <c r="F21" s="371" t="n">
        <v>10748.0</v>
      </c>
      <c r="G21" s="9">
        <f t="shared" si="1"/>
        <v>3.4477760163830272E-2</v>
      </c>
    </row>
    <row r="22" spans="1:7" x14ac:dyDescent="0.45">
      <c r="A22">
        <v>11</v>
      </c>
      <c r="B22" s="6" t="n">
        <v>15082.428221839</v>
      </c>
      <c r="C22" s="9">
        <f t="shared" si="0"/>
        <v>5.832605086167536E-2</v>
      </c>
      <c r="E22" s="371">
        <v>11</v>
      </c>
      <c r="F22" s="371" t="n">
        <v>10867.0</v>
      </c>
      <c r="G22" s="9">
        <f t="shared" si="1"/>
        <v>3.3722142376895983E-2</v>
      </c>
    </row>
    <row r="23" spans="1:7" x14ac:dyDescent="0.45">
      <c r="A23">
        <v>12</v>
      </c>
      <c r="B23" s="6" t="n">
        <v>6950.9931059348</v>
      </c>
      <c r="C23" s="9">
        <f t="shared" si="0"/>
        <v>2.6880550762301232E-2</v>
      </c>
      <c r="E23" s="371">
        <v>12</v>
      </c>
      <c r="F23" s="371" t="n">
        <v>11137.0</v>
      </c>
      <c r="G23" s="9">
        <f t="shared" si="1"/>
        <v>3.267352993788513E-2</v>
      </c>
    </row>
    <row r="24" spans="1:7" x14ac:dyDescent="0.45">
      <c r="A24">
        <v>13</v>
      </c>
      <c r="B24" s="6" t="n">
        <v>4114.7425653348</v>
      </c>
      <c r="C24" s="9">
        <f t="shared" si="0"/>
        <v>1.5912337232336937E-2</v>
      </c>
      <c r="E24" s="371">
        <v>13</v>
      </c>
      <c r="F24" s="371" t="n">
        <v>9564.0</v>
      </c>
      <c r="G24" s="9">
        <f t="shared" si="1"/>
        <v>2.970965772056329E-2</v>
      </c>
    </row>
    <row r="25" spans="1:7" x14ac:dyDescent="0.45">
      <c r="A25">
        <v>14</v>
      </c>
      <c r="B25" s="6" t="n">
        <v>7190.478961789</v>
      </c>
      <c r="C25" s="9">
        <f t="shared" si="0"/>
        <v>2.7806679102098546E-2</v>
      </c>
      <c r="E25" s="371">
        <v>14</v>
      </c>
      <c r="F25" s="371" t="n">
        <v>9387.0</v>
      </c>
      <c r="G25" s="9">
        <f t="shared" si="1"/>
        <v>2.8577773117278049E-2</v>
      </c>
    </row>
    <row r="26" spans="1:7" x14ac:dyDescent="0.45">
      <c r="A26">
        <v>15</v>
      </c>
      <c r="B26" s="6" t="n">
        <v>6474.9713746035</v>
      </c>
      <c r="C26" s="9">
        <f t="shared" si="0"/>
        <v>2.503970210686458E-2</v>
      </c>
      <c r="E26" s="371">
        <v>15</v>
      </c>
      <c r="F26" s="371" t="n">
        <v>9326.0</v>
      </c>
      <c r="G26" s="9">
        <f t="shared" si="1"/>
        <v>2.6489800701953503E-2</v>
      </c>
    </row>
    <row r="27" spans="1:7" x14ac:dyDescent="0.45">
      <c r="A27">
        <v>16</v>
      </c>
      <c r="B27" s="6" t="n">
        <v>6389.8674573808</v>
      </c>
      <c r="C27" s="9">
        <f t="shared" si="0"/>
        <v>2.471059227577839E-2</v>
      </c>
      <c r="E27" s="371">
        <v>16</v>
      </c>
      <c r="F27" s="371" t="n">
        <v>7969.0</v>
      </c>
      <c r="G27" s="9">
        <f t="shared" si="1"/>
        <v>2.3646210499694668E-2</v>
      </c>
    </row>
    <row r="28" spans="1:7" x14ac:dyDescent="0.45">
      <c r="A28">
        <v>17</v>
      </c>
      <c r="B28" s="6" t="n">
        <v>5130.4852618024</v>
      </c>
      <c r="C28" s="9">
        <f t="shared" si="0"/>
        <v>1.984036919808899E-2</v>
      </c>
      <c r="E28" s="371">
        <v>17</v>
      </c>
      <c r="F28" s="371" t="n">
        <v>7036.0</v>
      </c>
      <c r="G28" s="9">
        <f t="shared" si="1"/>
        <v>2.169702502482744E-2</v>
      </c>
    </row>
    <row r="29" spans="1:7" x14ac:dyDescent="0.45">
      <c r="A29">
        <v>18</v>
      </c>
      <c r="B29" s="6" t="n">
        <v>10527.056966253</v>
      </c>
      <c r="C29" s="9">
        <f t="shared" si="0"/>
        <v>4.0709735263209576E-2</v>
      </c>
      <c r="E29" s="371">
        <v>18</v>
      </c>
      <c r="F29" s="371" t="n">
        <v>5486.0</v>
      </c>
      <c r="G29" s="9">
        <f t="shared" si="1"/>
        <v>1.6228819570809096E-2</v>
      </c>
    </row>
    <row r="30" spans="1:7" x14ac:dyDescent="0.45">
      <c r="A30">
        <v>19</v>
      </c>
      <c r="B30" s="6" t="n">
        <v>3068.469754471</v>
      </c>
      <c r="C30" s="9">
        <f t="shared" si="0"/>
        <v>1.1866240656636525E-2</v>
      </c>
      <c r="E30" s="371">
        <v>19</v>
      </c>
      <c r="F30" s="371" t="n">
        <v>5274.0</v>
      </c>
      <c r="G30" s="9">
        <f t="shared" si="1"/>
        <v>1.511235573868578E-2</v>
      </c>
    </row>
    <row r="31" spans="1:7" x14ac:dyDescent="0.45">
      <c r="A31">
        <v>20</v>
      </c>
      <c r="B31" s="6" t="n">
        <v>3506.5016296100002</v>
      </c>
      <c r="C31" s="9">
        <f t="shared" si="0"/>
        <v>1.356017674256455E-2</v>
      </c>
      <c r="E31" s="371">
        <v>20</v>
      </c>
      <c r="F31" s="371" t="n">
        <v>3991.0</v>
      </c>
      <c r="G31" s="9">
        <f t="shared" si="1"/>
        <v>1.2466151407299576E-2</v>
      </c>
    </row>
    <row r="32" spans="1:7" x14ac:dyDescent="0.45">
      <c r="A32">
        <v>21</v>
      </c>
      <c r="B32" s="6" t="n">
        <v>5398.482094504599</v>
      </c>
      <c r="C32" s="9">
        <f t="shared" si="0"/>
        <v>2.0876753834902499E-2</v>
      </c>
      <c r="E32" s="371">
        <v>21</v>
      </c>
      <c r="F32" s="371" t="n">
        <v>3259.0</v>
      </c>
      <c r="G32" s="9">
        <f t="shared" si="1"/>
        <v>1.0729772574466903E-2</v>
      </c>
    </row>
    <row r="33" spans="1:7" x14ac:dyDescent="0.45">
      <c r="A33">
        <v>22</v>
      </c>
      <c r="B33" s="6" t="n">
        <v>3295.859681899</v>
      </c>
      <c r="C33" s="9">
        <f t="shared" si="0"/>
        <v>1.2745592195892917E-2</v>
      </c>
      <c r="E33" s="371">
        <v>22</v>
      </c>
      <c r="F33" s="371" t="n">
        <v>2862.0</v>
      </c>
      <c r="G33" s="9">
        <f t="shared" si="1"/>
        <v>9.3449873241261052E-3</v>
      </c>
    </row>
    <row r="34" spans="1:7" x14ac:dyDescent="0.45">
      <c r="A34">
        <v>23</v>
      </c>
      <c r="B34" s="6" t="n">
        <v>2466.086367932</v>
      </c>
      <c r="C34" s="9">
        <f t="shared" si="0"/>
        <v>9.5367322031749101E-3</v>
      </c>
      <c r="E34" s="371">
        <v>23</v>
      </c>
      <c r="F34" s="371" t="n">
        <v>2698.0</v>
      </c>
      <c r="G34" s="9">
        <f t="shared" si="1"/>
        <v>7.9848753076443846E-3</v>
      </c>
    </row>
    <row r="35" spans="1:7" x14ac:dyDescent="0.45">
      <c r="A35">
        <v>24</v>
      </c>
      <c r="B35" s="6" t="n">
        <v>775.4501744167001</v>
      </c>
      <c r="C35" s="9">
        <f t="shared" si="0"/>
        <v>2.9987841247096428E-3</v>
      </c>
      <c r="E35" s="371">
        <v>24</v>
      </c>
      <c r="F35" s="371" t="n">
        <v>2110.0</v>
      </c>
      <c r="G35" s="9">
        <f t="shared" si="1"/>
        <v>6.4057883406633395E-3</v>
      </c>
    </row>
    <row r="36" spans="1:7" x14ac:dyDescent="0.45">
      <c r="A36">
        <v>25</v>
      </c>
      <c r="B36" s="6" t="n">
        <v>1650.248423519</v>
      </c>
      <c r="C36" s="9">
        <f t="shared" si="0"/>
        <v>6.3817624104583817E-3</v>
      </c>
      <c r="E36" s="371">
        <v>25</v>
      </c>
      <c r="F36" s="371" t="n">
        <v>1867.0</v>
      </c>
      <c r="G36" s="9">
        <f t="shared" si="1"/>
        <v>5.8136307280454479E-3</v>
      </c>
    </row>
    <row r="37" spans="1:7" x14ac:dyDescent="0.45">
      <c r="A37">
        <v>26</v>
      </c>
      <c r="B37" s="6" t="n">
        <v>626.9178388610001</v>
      </c>
      <c r="C37" s="9">
        <f t="shared" si="0"/>
        <v>2.4243869234896872E-3</v>
      </c>
      <c r="E37" s="371">
        <v>26</v>
      </c>
      <c r="F37" s="371" t="n">
        <v>1675.0</v>
      </c>
      <c r="G37" s="9">
        <f t="shared" si="1"/>
        <v>5.2399780408218652E-3</v>
      </c>
    </row>
    <row r="38" spans="1:7" x14ac:dyDescent="0.45">
      <c r="A38">
        <v>27</v>
      </c>
      <c r="B38" s="6" t="n">
        <v>490.266160811</v>
      </c>
      <c r="C38" s="9">
        <f t="shared" si="0"/>
        <v>1.8959340373200248E-3</v>
      </c>
      <c r="E38" s="371">
        <v>27</v>
      </c>
      <c r="F38" s="371" t="n">
        <v>1498.0</v>
      </c>
      <c r="G38" s="9">
        <f t="shared" si="1"/>
        <v>4.472023636958037E-3</v>
      </c>
    </row>
    <row r="39" spans="1:7" x14ac:dyDescent="0.45">
      <c r="A39">
        <v>28</v>
      </c>
      <c r="B39" s="6" t="n">
        <v>110.48572589</v>
      </c>
      <c r="C39" s="9">
        <f t="shared" si="0"/>
        <v>4.2726515737155759E-4</v>
      </c>
      <c r="E39" s="371">
        <v>28</v>
      </c>
      <c r="F39" s="371" t="n">
        <v>944.0</v>
      </c>
      <c r="G39" s="9">
        <f t="shared" si="1"/>
        <v>2.9731246800189983E-3</v>
      </c>
    </row>
    <row r="40" spans="1:7" x14ac:dyDescent="0.45">
      <c r="A40">
        <v>29</v>
      </c>
      <c r="B40" s="6" t="n">
        <v>0.0</v>
      </c>
      <c r="C40" s="9">
        <f t="shared" si="0"/>
        <v>0</v>
      </c>
      <c r="E40" s="371">
        <v>29</v>
      </c>
      <c r="F40" s="371" t="n">
        <v>879.0</v>
      </c>
      <c r="G40" s="9">
        <f t="shared" si="1"/>
        <v>2.8343377395616798E-3</v>
      </c>
    </row>
    <row r="41" spans="1:7" x14ac:dyDescent="0.45">
      <c r="A41">
        <v>30</v>
      </c>
      <c r="B41" s="6" t="n">
        <v>291.448588849</v>
      </c>
      <c r="C41" s="9">
        <f t="shared" si="0"/>
        <v>1.1270761555593593E-3</v>
      </c>
      <c r="E41" s="371">
        <v>30</v>
      </c>
      <c r="F41" s="371" t="n">
        <v>844.0</v>
      </c>
      <c r="G41" s="9">
        <f t="shared" si="1"/>
        <v>2.5043332366965006E-3</v>
      </c>
    </row>
    <row r="42" spans="1:7" x14ac:dyDescent="0.4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649.0</v>
      </c>
      <c r="G42" s="9">
        <f t="shared" si="1"/>
        <v>2.2329276642466338E-3</v>
      </c>
    </row>
    <row r="43" spans="1:7" x14ac:dyDescent="0.45">
      <c r="A43">
        <v>32</v>
      </c>
      <c r="B43" s="6" t="n">
        <v>512.187983796</v>
      </c>
      <c r="C43" s="9">
        <f t="shared" si="0"/>
        <v>1.9807090711274028E-3</v>
      </c>
      <c r="E43" s="371">
        <v>32</v>
      </c>
      <c r="F43" s="371" t="n">
        <v>473.0</v>
      </c>
      <c r="G43" s="9">
        <f t="shared" si="1"/>
        <v>1.6006760466077388E-3</v>
      </c>
    </row>
    <row r="44" spans="1:7" x14ac:dyDescent="0.45">
      <c r="A44">
        <v>33</v>
      </c>
      <c r="B44" s="6" t="n">
        <v>0.0</v>
      </c>
      <c r="C44" s="9">
        <f t="shared" si="0"/>
        <v>0</v>
      </c>
      <c r="E44" s="371">
        <v>33</v>
      </c>
      <c r="F44" s="371" t="n">
        <v>552.0</v>
      </c>
      <c r="G44" s="9">
        <f t="shared" si="1"/>
        <v>1.7302105243679027E-3</v>
      </c>
    </row>
    <row r="45" spans="1:7" x14ac:dyDescent="0.45">
      <c r="A45">
        <v>34</v>
      </c>
      <c r="B45" s="6" t="n">
        <v>0.0</v>
      </c>
      <c r="C45" s="9">
        <f t="shared" si="0"/>
        <v>0</v>
      </c>
      <c r="E45" s="371">
        <v>34</v>
      </c>
      <c r="F45" s="371" t="n">
        <v>325.0</v>
      </c>
      <c r="G45" s="9">
        <f t="shared" si="1"/>
        <v>9.838452001307682E-4</v>
      </c>
    </row>
    <row r="46" spans="1:7" x14ac:dyDescent="0.45">
      <c r="A46">
        <v>35</v>
      </c>
      <c r="B46" s="6" t="n">
        <v>248.443558839</v>
      </c>
      <c r="C46" s="9">
        <f t="shared" si="0"/>
        <v>9.6076914379853709E-4</v>
      </c>
      <c r="E46" s="371">
        <v>35</v>
      </c>
      <c r="F46" s="371" t="n">
        <v>285.0</v>
      </c>
      <c r="G46" s="9">
        <f t="shared" si="1"/>
        <v>9.3449873241261046E-4</v>
      </c>
    </row>
    <row r="47" spans="1:7" x14ac:dyDescent="0.45">
      <c r="A47">
        <v>36</v>
      </c>
      <c r="B47" s="6" t="n">
        <v>667.99538554</v>
      </c>
      <c r="C47" s="9">
        <f t="shared" si="0"/>
        <v>2.5832400631587362E-3</v>
      </c>
      <c r="E47" s="371">
        <v>36</v>
      </c>
      <c r="F47" s="371" t="n">
        <v>319.0</v>
      </c>
      <c r="G47" s="9">
        <f t="shared" si="1"/>
        <v>1.0763698271023137E-3</v>
      </c>
    </row>
    <row r="48" spans="1:7" x14ac:dyDescent="0.45">
      <c r="A48">
        <v>37</v>
      </c>
      <c r="B48" s="6" t="n">
        <v>258.441807167</v>
      </c>
      <c r="C48" s="9">
        <f t="shared" si="0"/>
        <v>9.9943389538423928E-4</v>
      </c>
      <c r="E48" s="371">
        <v>37</v>
      </c>
      <c r="F48" s="371" t="n">
        <v>296.0</v>
      </c>
      <c r="G48" s="9">
        <f t="shared" si="1"/>
        <v>8.8206811046206794E-4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237.0</v>
      </c>
      <c r="G49" s="9">
        <f t="shared" si="1"/>
        <v>7.6795440386382839E-4</v>
      </c>
    </row>
    <row r="50" spans="1:7" x14ac:dyDescent="0.45">
      <c r="A50">
        <v>39</v>
      </c>
      <c r="B50" s="6" t="n">
        <v>599.433670564</v>
      </c>
      <c r="C50" s="9">
        <f t="shared" si="0"/>
        <v>2.3181014517868943E-3</v>
      </c>
      <c r="E50" s="371">
        <v>39</v>
      </c>
      <c r="F50" s="371" t="n">
        <v>217.0</v>
      </c>
      <c r="G50" s="9">
        <f t="shared" si="1"/>
        <v>5.8290514992073727E-4</v>
      </c>
    </row>
    <row r="51" spans="1:7" x14ac:dyDescent="0.45">
      <c r="A51">
        <v>40</v>
      </c>
      <c r="B51" s="6" t="n">
        <v>195.037406395</v>
      </c>
      <c r="C51" s="9">
        <f t="shared" si="0"/>
        <v>7.5423940482290401E-4</v>
      </c>
      <c r="E51" s="371">
        <v>40</v>
      </c>
      <c r="F51" s="371" t="n">
        <v>166.0</v>
      </c>
      <c r="G51" s="9">
        <f t="shared" si="1"/>
        <v>5.9832592108266145E-4</v>
      </c>
    </row>
    <row r="52" spans="1:7" x14ac:dyDescent="0.45">
      <c r="A52">
        <v>41</v>
      </c>
      <c r="B52" s="6" t="n">
        <v>356.0060045</v>
      </c>
      <c r="C52" s="9">
        <f t="shared" si="0"/>
        <v>1.3767295305581121E-3</v>
      </c>
      <c r="E52" s="371">
        <v>41</v>
      </c>
      <c r="F52" s="371" t="n">
        <v>136.0</v>
      </c>
      <c r="G52" s="9">
        <f t="shared" si="1"/>
        <v>4.5028651792818856E-4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142.0</v>
      </c>
      <c r="G53" s="9">
        <f t="shared" si="1"/>
        <v>4.6879144332249767E-4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100.0</v>
      </c>
      <c r="G54" s="9">
        <f t="shared" si="1"/>
        <v>3.36172811329949E-4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93.0</v>
      </c>
      <c r="G55" s="9">
        <f t="shared" si="1"/>
        <v>3.4234111979471871E-4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134.0</v>
      </c>
      <c r="G56" s="9">
        <f t="shared" si="1"/>
        <v>3.3308865709756412E-4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74.0</v>
      </c>
      <c r="G57" s="9">
        <f t="shared" si="1"/>
        <v>3.1149957747087019E-4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93.0</v>
      </c>
      <c r="G58" s="9">
        <f t="shared" si="1"/>
        <v>2.559848012879428E-4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61.0</v>
      </c>
      <c r="G59" s="9">
        <f t="shared" si="1"/>
        <v>2.1897495049932457E-4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52.0</v>
      </c>
      <c r="G60" s="9">
        <f t="shared" si="1"/>
        <v>1.7888094547832147E-4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45.0</v>
      </c>
      <c r="G61" s="9">
        <f t="shared" si="1"/>
        <v>1.3570278622493354E-4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33.0</v>
      </c>
      <c r="G62" s="9">
        <f t="shared" si="1"/>
        <v>8.9440472739160735E-5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30.0</v>
      </c>
      <c r="G63" s="9">
        <f t="shared" si="1"/>
        <v>1.1102955236585471E-4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40.0</v>
      </c>
      <c r="G64" s="9">
        <f t="shared" si="1"/>
        <v>7.4019701577236475E-5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31.0</v>
      </c>
      <c r="G65" s="9">
        <f t="shared" si="1"/>
        <v>8.3272164274391031E-5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25.0</v>
      </c>
      <c r="G66" s="9">
        <f t="shared" si="1"/>
        <v>7.0935547344851623E-5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19.0</v>
      </c>
      <c r="G67" s="9">
        <f t="shared" si="1"/>
        <v>7.4019701577236475E-5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31.0</v>
      </c>
      <c r="G68" s="9">
        <f t="shared" si="1"/>
        <v>4.6262313485772794E-5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15.0</v>
      </c>
      <c r="G69" s="9">
        <f t="shared" si="1"/>
        <v>8.3272164274391031E-5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16.0</v>
      </c>
      <c r="G70" s="9">
        <f t="shared" si="1"/>
        <v>2.7757388091463678E-5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15.0</v>
      </c>
      <c r="G71" s="9">
        <f t="shared" si="1"/>
        <v>3.0841542323848534E-5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14.0</v>
      </c>
      <c r="G72" s="9">
        <f t="shared" si="1"/>
        <v>2.7757388091463678E-5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14.0</v>
      </c>
      <c r="G73" s="9">
        <f t="shared" si="1"/>
        <v>4.009400502100309E-5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5.0</v>
      </c>
      <c r="G74" s="9">
        <f t="shared" si="1"/>
        <v>6.1683084647697066E-6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7.0</v>
      </c>
      <c r="G75" s="9">
        <f t="shared" si="1"/>
        <v>9.2524626971545594E-6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9.2524626971545594E-6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3.0</v>
      </c>
      <c r="G77" s="9">
        <f t="shared" ref="G77:G102" si="3">F77/F$102</f>
        <v>3.0841542323848533E-6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4.0</v>
      </c>
      <c r="G78" s="9">
        <f t="shared" si="3"/>
        <v>6.1683084647697066E-6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6.0</v>
      </c>
      <c r="G79" s="9">
        <f t="shared" si="3"/>
        <v>3.0841542323848533E-6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1.0</v>
      </c>
      <c r="G80" s="9">
        <f t="shared" si="3"/>
        <v>6.1683084647697066E-6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0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1.0</v>
      </c>
      <c r="G82" s="9">
        <f t="shared" si="3"/>
        <v>0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3.0</v>
      </c>
      <c r="G84" s="9">
        <f t="shared" si="3"/>
        <v>3.0841542323848533E-6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3.0841542323848533E-6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1.0</v>
      </c>
      <c r="G86" s="9">
        <f t="shared" si="3"/>
        <v>3.0841542323848533E-6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6.1683084647697066E-6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3.0841542323848533E-6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3.0841542323848533E-6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3.0841542323848533E-6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258588.19513784876</v>
      </c>
      <c r="C102" s="9">
        <f t="shared" si="2"/>
        <v>1</v>
      </c>
      <c r="F102" s="6">
        <f>SUM(F11:F101)</f>
        <v>324238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22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1155.86225</v>
      </c>
      <c r="C11" s="9">
        <f>B11/B$102</f>
        <v>4.4698956554603342E-3</v>
      </c>
      <c r="E11" s="371">
        <v>0</v>
      </c>
      <c r="F11" s="371" t="n">
        <v>260.0</v>
      </c>
      <c r="G11" s="9">
        <f>F11/F$102</f>
        <v>7.6487024963144362E-4</v>
      </c>
      <c r="K11" s="6" t="n">
        <v>22.798187666124246</v>
      </c>
      <c r="L11" s="6" t="n">
        <v>21.264935727000854</v>
      </c>
    </row>
    <row r="12" spans="1:12" x14ac:dyDescent="0.45">
      <c r="A12">
        <v>1</v>
      </c>
      <c r="B12" s="6" t="n">
        <v>461.623967696</v>
      </c>
      <c r="C12" s="9">
        <f>B12/B$102</f>
        <v>1.7851703069814008E-3</v>
      </c>
      <c r="E12" s="371">
        <v>1</v>
      </c>
      <c r="F12" s="371" t="n">
        <v>3328.0</v>
      </c>
      <c r="G12" s="9">
        <f>F12/F$102</f>
        <v>1.0372010683510261E-2</v>
      </c>
      <c r="K12" s="6"/>
      <c r="L12" s="371"/>
    </row>
    <row r="13" spans="1:12" x14ac:dyDescent="0.45">
      <c r="A13">
        <v>2</v>
      </c>
      <c r="B13" s="6" t="n">
        <v>4614.176900194</v>
      </c>
      <c r="C13" s="9">
        <f t="shared" ref="C13:C76" si="0">B13/B$102</f>
        <v>1.7843725997369147E-2</v>
      </c>
      <c r="E13" s="371">
        <v>2</v>
      </c>
      <c r="F13" s="371" t="n">
        <v>6966.0</v>
      </c>
      <c r="G13" s="9">
        <f t="shared" ref="G13:G76" si="1">F13/F$102</f>
        <v>2.1077110024118086E-2</v>
      </c>
    </row>
    <row r="14" spans="1:12" x14ac:dyDescent="0.45">
      <c r="A14">
        <v>3</v>
      </c>
      <c r="B14" s="6" t="n">
        <v>2261.242703378</v>
      </c>
      <c r="C14" s="9">
        <f t="shared" si="0"/>
        <v>8.7445705020392402E-3</v>
      </c>
      <c r="E14" s="371">
        <v>3</v>
      </c>
      <c r="F14" s="371" t="n">
        <v>10912.0</v>
      </c>
      <c r="G14" s="9">
        <f t="shared" si="1"/>
        <v>3.304054429153893E-2</v>
      </c>
    </row>
    <row r="15" spans="1:12" x14ac:dyDescent="0.45">
      <c r="A15">
        <v>4</v>
      </c>
      <c r="B15" s="6" t="n">
        <v>5068.944007060501</v>
      </c>
      <c r="C15" s="9">
        <f t="shared" si="0"/>
        <v>1.9602379777461747E-2</v>
      </c>
      <c r="E15" s="371">
        <v>4</v>
      </c>
      <c r="F15" s="371" t="n">
        <v>11672.0</v>
      </c>
      <c r="G15" s="9">
        <f t="shared" si="1"/>
        <v>3.5174779020349246E-2</v>
      </c>
    </row>
    <row r="16" spans="1:12" x14ac:dyDescent="0.45">
      <c r="A16">
        <v>5</v>
      </c>
      <c r="B16" s="6" t="n">
        <v>10959.2309756311</v>
      </c>
      <c r="C16" s="9">
        <f t="shared" si="0"/>
        <v>4.2381018088582599E-2</v>
      </c>
      <c r="E16" s="371">
        <v>5</v>
      </c>
      <c r="F16" s="371" t="n">
        <v>11185.0</v>
      </c>
      <c r="G16" s="9">
        <f t="shared" si="1"/>
        <v>3.4394487999555884E-2</v>
      </c>
    </row>
    <row r="17" spans="1:7" x14ac:dyDescent="0.45">
      <c r="A17">
        <v>6</v>
      </c>
      <c r="B17" s="6" t="n">
        <v>14678.444903469599</v>
      </c>
      <c r="C17" s="9">
        <f t="shared" si="0"/>
        <v>5.6763785739116106E-2</v>
      </c>
      <c r="E17" s="371">
        <v>6</v>
      </c>
      <c r="F17" s="371" t="n">
        <v>12102.0</v>
      </c>
      <c r="G17" s="9">
        <f t="shared" si="1"/>
        <v>3.6470123797950886E-2</v>
      </c>
    </row>
    <row r="18" spans="1:7" x14ac:dyDescent="0.45">
      <c r="A18">
        <v>7</v>
      </c>
      <c r="B18" s="6" t="n">
        <v>14376.0330564886</v>
      </c>
      <c r="C18" s="9">
        <f t="shared" si="0"/>
        <v>5.5594312991840124E-2</v>
      </c>
      <c r="E18" s="371">
        <v>7</v>
      </c>
      <c r="F18" s="371" t="n">
        <v>12451.0</v>
      </c>
      <c r="G18" s="9">
        <f t="shared" si="1"/>
        <v>3.7389201759201574E-2</v>
      </c>
    </row>
    <row r="19" spans="1:7" x14ac:dyDescent="0.45">
      <c r="A19">
        <v>8</v>
      </c>
      <c r="B19" s="6" t="n">
        <v>8536.4040072284</v>
      </c>
      <c r="C19" s="9">
        <f t="shared" si="0"/>
        <v>3.3011576582905468E-2</v>
      </c>
      <c r="E19" s="371">
        <v>8</v>
      </c>
      <c r="F19" s="371" t="n">
        <v>12105.0</v>
      </c>
      <c r="G19" s="9">
        <f t="shared" si="1"/>
        <v>3.6923494470111465E-2</v>
      </c>
    </row>
    <row r="20" spans="1:7" x14ac:dyDescent="0.45">
      <c r="A20">
        <v>9</v>
      </c>
      <c r="B20" s="6" t="n">
        <v>6866.6897391741995</v>
      </c>
      <c r="C20" s="9">
        <f t="shared" si="0"/>
        <v>2.6554536781981431E-2</v>
      </c>
      <c r="E20" s="371">
        <v>9</v>
      </c>
      <c r="F20" s="371" t="n">
        <v>12177.0</v>
      </c>
      <c r="G20" s="9">
        <f t="shared" si="1"/>
        <v>3.6815549071977989E-2</v>
      </c>
    </row>
    <row r="21" spans="1:7" x14ac:dyDescent="0.45">
      <c r="A21">
        <v>10</v>
      </c>
      <c r="B21" s="6" t="n">
        <v>8381.964122954</v>
      </c>
      <c r="C21" s="9">
        <f t="shared" si="0"/>
        <v>3.2414333989553235E-2</v>
      </c>
      <c r="E21" s="371">
        <v>10</v>
      </c>
      <c r="F21" s="371" t="n">
        <v>11605.0</v>
      </c>
      <c r="G21" s="9">
        <f t="shared" si="1"/>
        <v>3.5683664468692748E-2</v>
      </c>
    </row>
    <row r="22" spans="1:7" x14ac:dyDescent="0.45">
      <c r="A22">
        <v>11</v>
      </c>
      <c r="B22" s="6" t="n">
        <v>7645.9275654501</v>
      </c>
      <c r="C22" s="9">
        <f t="shared" si="0"/>
        <v>2.9567968334262857E-2</v>
      </c>
      <c r="E22" s="371">
        <v>11</v>
      </c>
      <c r="F22" s="371" t="n">
        <v>10515.0</v>
      </c>
      <c r="G22" s="9">
        <f t="shared" si="1"/>
        <v>3.1766788593563987E-2</v>
      </c>
    </row>
    <row r="23" spans="1:7" x14ac:dyDescent="0.45">
      <c r="A23">
        <v>12</v>
      </c>
      <c r="B23" s="6" t="n">
        <v>5066.9845891753</v>
      </c>
      <c r="C23" s="9">
        <f t="shared" si="0"/>
        <v>1.9594802409577044E-2</v>
      </c>
      <c r="E23" s="371">
        <v>12</v>
      </c>
      <c r="F23" s="371" t="n">
        <v>9987.0</v>
      </c>
      <c r="G23" s="9">
        <f t="shared" si="1"/>
        <v>2.9277876128029411E-2</v>
      </c>
    </row>
    <row r="24" spans="1:7" x14ac:dyDescent="0.45">
      <c r="A24">
        <v>13</v>
      </c>
      <c r="B24" s="6" t="n">
        <v>7102.0602582806005</v>
      </c>
      <c r="C24" s="9">
        <f t="shared" si="0"/>
        <v>2.7464750486752173E-2</v>
      </c>
      <c r="E24" s="371">
        <v>13</v>
      </c>
      <c r="F24" s="371" t="n">
        <v>8378.0</v>
      </c>
      <c r="G24" s="9">
        <f t="shared" si="1"/>
        <v>2.5481282267963656E-2</v>
      </c>
    </row>
    <row r="25" spans="1:7" x14ac:dyDescent="0.45">
      <c r="A25">
        <v>14</v>
      </c>
      <c r="B25" s="6" t="n">
        <v>5129.6050527083</v>
      </c>
      <c r="C25" s="9">
        <f t="shared" si="0"/>
        <v>1.9836965295240167E-2</v>
      </c>
      <c r="E25" s="371">
        <v>14</v>
      </c>
      <c r="F25" s="371" t="n">
        <v>6856.0</v>
      </c>
      <c r="G25" s="9">
        <f t="shared" si="1"/>
        <v>2.151814407934912E-2</v>
      </c>
    </row>
    <row r="26" spans="1:7" x14ac:dyDescent="0.45">
      <c r="A26">
        <v>15</v>
      </c>
      <c r="B26" s="6" t="n">
        <v>9473.0942713057</v>
      </c>
      <c r="C26" s="9">
        <f t="shared" si="0"/>
        <v>3.663390073261371E-2</v>
      </c>
      <c r="E26" s="371">
        <v>15</v>
      </c>
      <c r="F26" s="371" t="n">
        <v>6578.0</v>
      </c>
      <c r="G26" s="9">
        <f t="shared" si="1"/>
        <v>1.9488770594439885E-2</v>
      </c>
    </row>
    <row r="27" spans="1:7" x14ac:dyDescent="0.45">
      <c r="A27">
        <v>16</v>
      </c>
      <c r="B27" s="6" t="n">
        <v>4828.317325203</v>
      </c>
      <c r="C27" s="9">
        <f t="shared" si="0"/>
        <v>1.8671839689468842E-2</v>
      </c>
      <c r="E27" s="371">
        <v>16</v>
      </c>
      <c r="F27" s="371" t="n">
        <v>6821.0</v>
      </c>
      <c r="G27" s="9">
        <f t="shared" si="1"/>
        <v>2.0691590745069981E-2</v>
      </c>
    </row>
    <row r="28" spans="1:7" x14ac:dyDescent="0.45">
      <c r="A28">
        <v>17</v>
      </c>
      <c r="B28" s="6" t="n">
        <v>3690.771905291</v>
      </c>
      <c r="C28" s="9">
        <f t="shared" si="0"/>
        <v>1.4272778010316805E-2</v>
      </c>
      <c r="E28" s="371">
        <v>17</v>
      </c>
      <c r="F28" s="371" t="n">
        <v>6084.0</v>
      </c>
      <c r="G28" s="9">
        <f t="shared" si="1"/>
        <v>1.8347633528457492E-2</v>
      </c>
    </row>
    <row r="29" spans="1:7" x14ac:dyDescent="0.45">
      <c r="A29">
        <v>18</v>
      </c>
      <c r="B29" s="6" t="n">
        <v>6879.4686063749</v>
      </c>
      <c r="C29" s="9">
        <f t="shared" si="0"/>
        <v>2.6603954610950338E-2</v>
      </c>
      <c r="E29" s="371">
        <v>18</v>
      </c>
      <c r="F29" s="371" t="n">
        <v>8668.0</v>
      </c>
      <c r="G29" s="9">
        <f t="shared" si="1"/>
        <v>2.6249236671827485E-2</v>
      </c>
    </row>
    <row r="30" spans="1:7" x14ac:dyDescent="0.45">
      <c r="A30">
        <v>19</v>
      </c>
      <c r="B30" s="6" t="n">
        <v>7930.5840618298</v>
      </c>
      <c r="C30" s="9">
        <f t="shared" si="0"/>
        <v>3.0668778432063164E-2</v>
      </c>
      <c r="E30" s="371">
        <v>19</v>
      </c>
      <c r="F30" s="371" t="n">
        <v>8190.0</v>
      </c>
      <c r="G30" s="9">
        <f t="shared" si="1"/>
        <v>2.4448090600114731E-2</v>
      </c>
    </row>
    <row r="31" spans="1:7" x14ac:dyDescent="0.45">
      <c r="A31">
        <v>20</v>
      </c>
      <c r="B31" s="6" t="n">
        <v>7633.8409398955</v>
      </c>
      <c r="C31" s="9">
        <f t="shared" si="0"/>
        <v>2.9521227509345629E-2</v>
      </c>
      <c r="E31" s="371">
        <v>20</v>
      </c>
      <c r="F31" s="371" t="n">
        <v>8164.0</v>
      </c>
      <c r="G31" s="9">
        <f t="shared" si="1"/>
        <v>2.4552951844015816E-2</v>
      </c>
    </row>
    <row r="32" spans="1:7" x14ac:dyDescent="0.45">
      <c r="A32">
        <v>21</v>
      </c>
      <c r="B32" s="6" t="n">
        <v>6923.9136239018</v>
      </c>
      <c r="C32" s="9">
        <f t="shared" si="0"/>
        <v>2.6775830274118978E-2</v>
      </c>
      <c r="E32" s="371">
        <v>21</v>
      </c>
      <c r="F32" s="371" t="n">
        <v>8039.0</v>
      </c>
      <c r="G32" s="9">
        <f t="shared" si="1"/>
        <v>2.359686403197651E-2</v>
      </c>
    </row>
    <row r="33" spans="1:7" x14ac:dyDescent="0.45">
      <c r="A33">
        <v>22</v>
      </c>
      <c r="B33" s="6" t="n">
        <v>4427.753106174</v>
      </c>
      <c r="C33" s="9">
        <f t="shared" si="0"/>
        <v>1.7122796745665986E-2</v>
      </c>
      <c r="E33" s="371">
        <v>22</v>
      </c>
      <c r="F33" s="371" t="n">
        <v>7750.0</v>
      </c>
      <c r="G33" s="9">
        <f t="shared" si="1"/>
        <v>2.3667799579321361E-2</v>
      </c>
    </row>
    <row r="34" spans="1:7" x14ac:dyDescent="0.45">
      <c r="A34">
        <v>23</v>
      </c>
      <c r="B34" s="6" t="n">
        <v>3846.669099698</v>
      </c>
      <c r="C34" s="9">
        <f t="shared" si="0"/>
        <v>1.4875656244274444E-2</v>
      </c>
      <c r="E34" s="371">
        <v>23</v>
      </c>
      <c r="F34" s="371" t="n">
        <v>7438.0</v>
      </c>
      <c r="G34" s="9">
        <f t="shared" si="1"/>
        <v>2.2582177289521894E-2</v>
      </c>
    </row>
    <row r="35" spans="1:7" x14ac:dyDescent="0.45">
      <c r="A35">
        <v>24</v>
      </c>
      <c r="B35" s="6" t="n">
        <v>4255.254068256</v>
      </c>
      <c r="C35" s="9">
        <f t="shared" si="0"/>
        <v>1.6455716650126267E-2</v>
      </c>
      <c r="E35" s="371">
        <v>24</v>
      </c>
      <c r="F35" s="371" t="n">
        <v>6657.0</v>
      </c>
      <c r="G35" s="9">
        <f t="shared" si="1"/>
        <v>2.0318408082951413E-2</v>
      </c>
    </row>
    <row r="36" spans="1:7" x14ac:dyDescent="0.45">
      <c r="A36">
        <v>25</v>
      </c>
      <c r="B36" s="6" t="n">
        <v>3808.606157055</v>
      </c>
      <c r="C36" s="9">
        <f t="shared" si="0"/>
        <v>1.472846103831112E-2</v>
      </c>
      <c r="E36" s="371">
        <v>25</v>
      </c>
      <c r="F36" s="371" t="n">
        <v>7331.0</v>
      </c>
      <c r="G36" s="9">
        <f t="shared" si="1"/>
        <v>2.1231317735737328E-2</v>
      </c>
    </row>
    <row r="37" spans="1:7" x14ac:dyDescent="0.45">
      <c r="A37">
        <v>26</v>
      </c>
      <c r="B37" s="6" t="n">
        <v>2095.296886249</v>
      </c>
      <c r="C37" s="9">
        <f t="shared" si="0"/>
        <v>8.1028327110293404E-3</v>
      </c>
      <c r="E37" s="371">
        <v>26</v>
      </c>
      <c r="F37" s="371" t="n">
        <v>6944.0</v>
      </c>
      <c r="G37" s="9">
        <f t="shared" si="1"/>
        <v>2.1172718805322017E-2</v>
      </c>
    </row>
    <row r="38" spans="1:7" x14ac:dyDescent="0.45">
      <c r="A38">
        <v>27</v>
      </c>
      <c r="B38" s="6" t="n">
        <v>4825.790627728</v>
      </c>
      <c r="C38" s="9">
        <f t="shared" si="0"/>
        <v>1.8662068564867993E-2</v>
      </c>
      <c r="E38" s="371">
        <v>27</v>
      </c>
      <c r="F38" s="371" t="n">
        <v>6213.0</v>
      </c>
      <c r="G38" s="9">
        <f t="shared" si="1"/>
        <v>1.9528864599460891E-2</v>
      </c>
    </row>
    <row r="39" spans="1:7" x14ac:dyDescent="0.45">
      <c r="A39">
        <v>28</v>
      </c>
      <c r="B39" s="6" t="n">
        <v>2995.0347346856</v>
      </c>
      <c r="C39" s="9">
        <f t="shared" si="0"/>
        <v>1.158225623211067E-2</v>
      </c>
      <c r="E39" s="371">
        <v>28</v>
      </c>
      <c r="F39" s="371" t="n">
        <v>6384.0</v>
      </c>
      <c r="G39" s="9">
        <f t="shared" si="1"/>
        <v>1.9858869102326069E-2</v>
      </c>
    </row>
    <row r="40" spans="1:7" x14ac:dyDescent="0.45">
      <c r="A40">
        <v>29</v>
      </c>
      <c r="B40" s="6" t="n">
        <v>3491.834928187</v>
      </c>
      <c r="C40" s="9">
        <f t="shared" si="0"/>
        <v>1.3503458370655952E-2</v>
      </c>
      <c r="E40" s="371">
        <v>29</v>
      </c>
      <c r="F40" s="371" t="n">
        <v>6116.0</v>
      </c>
      <c r="G40" s="9">
        <f t="shared" si="1"/>
        <v>1.8523430319703427E-2</v>
      </c>
    </row>
    <row r="41" spans="1:7" x14ac:dyDescent="0.45">
      <c r="A41">
        <v>30</v>
      </c>
      <c r="B41" s="6" t="n">
        <v>2852.4472807375</v>
      </c>
      <c r="C41" s="9">
        <f t="shared" si="0"/>
        <v>1.1030848794999748E-2</v>
      </c>
      <c r="E41" s="371">
        <v>30</v>
      </c>
      <c r="F41" s="371" t="n">
        <v>5969.0</v>
      </c>
      <c r="G41" s="9">
        <f t="shared" si="1"/>
        <v>1.6990605666208157E-2</v>
      </c>
    </row>
    <row r="42" spans="1:7" x14ac:dyDescent="0.45">
      <c r="A42">
        <v>31</v>
      </c>
      <c r="B42" s="6" t="n">
        <v>2201.512738361</v>
      </c>
      <c r="C42" s="9">
        <f t="shared" si="0"/>
        <v>8.5135856151028547E-3</v>
      </c>
      <c r="E42" s="371">
        <v>31</v>
      </c>
      <c r="F42" s="371" t="n">
        <v>5714.0</v>
      </c>
      <c r="G42" s="9">
        <f t="shared" si="1"/>
        <v>1.6506393451723732E-2</v>
      </c>
    </row>
    <row r="43" spans="1:7" x14ac:dyDescent="0.45">
      <c r="A43">
        <v>32</v>
      </c>
      <c r="B43" s="6" t="n">
        <v>2817.595084413</v>
      </c>
      <c r="C43" s="9">
        <f t="shared" si="0"/>
        <v>1.0896070034871426E-2</v>
      </c>
      <c r="E43" s="371">
        <v>32</v>
      </c>
      <c r="F43" s="371" t="n">
        <v>5601.0</v>
      </c>
      <c r="G43" s="9">
        <f t="shared" si="1"/>
        <v>1.6176388948858554E-2</v>
      </c>
    </row>
    <row r="44" spans="1:7" x14ac:dyDescent="0.45">
      <c r="A44">
        <v>33</v>
      </c>
      <c r="B44" s="6" t="n">
        <v>3717.867414498</v>
      </c>
      <c r="C44" s="9">
        <f t="shared" si="0"/>
        <v>1.4377560478025957E-2</v>
      </c>
      <c r="E44" s="371">
        <v>33</v>
      </c>
      <c r="F44" s="371" t="n">
        <v>5364.0</v>
      </c>
      <c r="G44" s="9">
        <f t="shared" si="1"/>
        <v>1.5738439047859907E-2</v>
      </c>
    </row>
    <row r="45" spans="1:7" x14ac:dyDescent="0.45">
      <c r="A45">
        <v>34</v>
      </c>
      <c r="B45" s="6" t="n">
        <v>3554.932193262</v>
      </c>
      <c r="C45" s="9">
        <f t="shared" si="0"/>
        <v>1.3747465120621331E-2</v>
      </c>
      <c r="E45" s="371">
        <v>34</v>
      </c>
      <c r="F45" s="371" t="n">
        <v>4946.0</v>
      </c>
      <c r="G45" s="9">
        <f t="shared" si="1"/>
        <v>1.4403000265237264E-2</v>
      </c>
    </row>
    <row r="46" spans="1:7" x14ac:dyDescent="0.45">
      <c r="A46">
        <v>35</v>
      </c>
      <c r="B46" s="6" t="n">
        <v>3095.2017576632998</v>
      </c>
      <c r="C46" s="9">
        <f t="shared" si="0"/>
        <v>1.1969617391131492E-2</v>
      </c>
      <c r="E46" s="371">
        <v>35</v>
      </c>
      <c r="F46" s="371" t="n">
        <v>4732.0</v>
      </c>
      <c r="G46" s="9">
        <f t="shared" si="1"/>
        <v>1.4421505190631572E-2</v>
      </c>
    </row>
    <row r="47" spans="1:7" x14ac:dyDescent="0.45">
      <c r="A47">
        <v>36</v>
      </c>
      <c r="B47" s="6" t="n">
        <v>5986.9768412436</v>
      </c>
      <c r="C47" s="9">
        <f t="shared" si="0"/>
        <v>2.3152552799450287E-2</v>
      </c>
      <c r="E47" s="371">
        <v>36</v>
      </c>
      <c r="F47" s="371" t="n">
        <v>4092.0</v>
      </c>
      <c r="G47" s="9">
        <f t="shared" si="1"/>
        <v>1.2540171108876813E-2</v>
      </c>
    </row>
    <row r="48" spans="1:7" x14ac:dyDescent="0.45">
      <c r="A48">
        <v>37</v>
      </c>
      <c r="B48" s="6" t="n">
        <v>3704.388260709</v>
      </c>
      <c r="C48" s="9">
        <f t="shared" si="0"/>
        <v>1.4325434533986577E-2</v>
      </c>
      <c r="E48" s="371">
        <v>37</v>
      </c>
      <c r="F48" s="371" t="n">
        <v>3583.0</v>
      </c>
      <c r="G48" s="9">
        <f t="shared" si="1"/>
        <v>1.1633429764555666E-2</v>
      </c>
    </row>
    <row r="49" spans="1:7" x14ac:dyDescent="0.45">
      <c r="A49">
        <v>38</v>
      </c>
      <c r="B49" s="6" t="n">
        <v>3749.018420919</v>
      </c>
      <c r="C49" s="9">
        <f t="shared" si="0"/>
        <v>1.4498026172155553E-2</v>
      </c>
      <c r="E49" s="371">
        <v>38</v>
      </c>
      <c r="F49" s="371" t="n">
        <v>3640.0</v>
      </c>
      <c r="G49" s="9">
        <f t="shared" si="1"/>
        <v>1.0581733171312431E-2</v>
      </c>
    </row>
    <row r="50" spans="1:7" x14ac:dyDescent="0.45">
      <c r="A50">
        <v>39</v>
      </c>
      <c r="B50" s="6" t="n">
        <v>1710.7667163257001</v>
      </c>
      <c r="C50" s="9">
        <f t="shared" si="0"/>
        <v>6.6157958812223432E-3</v>
      </c>
      <c r="E50" s="371">
        <v>39</v>
      </c>
      <c r="F50" s="371" t="n">
        <v>3040.0</v>
      </c>
      <c r="G50" s="9">
        <f t="shared" si="1"/>
        <v>9.338819015661335E-3</v>
      </c>
    </row>
    <row r="51" spans="1:7" x14ac:dyDescent="0.45">
      <c r="A51">
        <v>40</v>
      </c>
      <c r="B51" s="6" t="n">
        <v>3436.540312512</v>
      </c>
      <c r="C51" s="9">
        <f t="shared" si="0"/>
        <v>1.3289625656268029E-2</v>
      </c>
      <c r="E51" s="371">
        <v>40</v>
      </c>
      <c r="F51" s="371" t="n">
        <v>2703.0</v>
      </c>
      <c r="G51" s="9">
        <f t="shared" si="1"/>
        <v>8.4752558305935758E-3</v>
      </c>
    </row>
    <row r="52" spans="1:7" x14ac:dyDescent="0.45">
      <c r="A52">
        <v>41</v>
      </c>
      <c r="B52" s="6" t="n">
        <v>8904.630032956</v>
      </c>
      <c r="C52" s="9">
        <f t="shared" si="0"/>
        <v>3.4435562799798716E-2</v>
      </c>
      <c r="E52" s="371">
        <v>41</v>
      </c>
      <c r="F52" s="371" t="n">
        <v>2487.0</v>
      </c>
      <c r="G52" s="9">
        <f t="shared" si="1"/>
        <v>7.9910436161091548E-3</v>
      </c>
    </row>
    <row r="53" spans="1:7" x14ac:dyDescent="0.45">
      <c r="A53">
        <v>42</v>
      </c>
      <c r="B53" s="6" t="n">
        <v>3207.2395250874</v>
      </c>
      <c r="C53" s="9">
        <f t="shared" si="0"/>
        <v>1.2402884529889991E-2</v>
      </c>
      <c r="E53" s="371">
        <v>42</v>
      </c>
      <c r="F53" s="371" t="n">
        <v>2153.0</v>
      </c>
      <c r="G53" s="9">
        <f t="shared" si="1"/>
        <v>7.090470580252777E-3</v>
      </c>
    </row>
    <row r="54" spans="1:7" x14ac:dyDescent="0.45">
      <c r="A54">
        <v>43</v>
      </c>
      <c r="B54" s="6" t="n">
        <v>1762.550936554</v>
      </c>
      <c r="C54" s="9">
        <f t="shared" si="0"/>
        <v>6.8160533608829848E-3</v>
      </c>
      <c r="E54" s="371">
        <v>43</v>
      </c>
      <c r="F54" s="371" t="n">
        <v>2156.0</v>
      </c>
      <c r="G54" s="9">
        <f t="shared" si="1"/>
        <v>7.0411241125346198E-3</v>
      </c>
    </row>
    <row r="55" spans="1:7" x14ac:dyDescent="0.45">
      <c r="A55">
        <v>44</v>
      </c>
      <c r="B55" s="6" t="n">
        <v>1599.2883041490002</v>
      </c>
      <c r="C55" s="9">
        <f t="shared" si="0"/>
        <v>6.1846918545390185E-3</v>
      </c>
      <c r="E55" s="371">
        <v>44</v>
      </c>
      <c r="F55" s="371" t="n">
        <v>1970.0</v>
      </c>
      <c r="G55" s="9">
        <f t="shared" si="1"/>
        <v>6.5569118980501979E-3</v>
      </c>
    </row>
    <row r="56" spans="1:7" x14ac:dyDescent="0.45">
      <c r="A56">
        <v>45</v>
      </c>
      <c r="B56" s="6" t="n">
        <v>854.814198015</v>
      </c>
      <c r="C56" s="9">
        <f t="shared" si="0"/>
        <v>3.3056969114901528E-3</v>
      </c>
      <c r="E56" s="371">
        <v>45</v>
      </c>
      <c r="F56" s="371" t="n">
        <v>1875.0</v>
      </c>
      <c r="G56" s="9">
        <f t="shared" si="1"/>
        <v>5.9092395092493789E-3</v>
      </c>
    </row>
    <row r="57" spans="1:7" x14ac:dyDescent="0.45">
      <c r="A57">
        <v>46</v>
      </c>
      <c r="B57" s="6" t="n">
        <v>818.910585948</v>
      </c>
      <c r="C57" s="9">
        <f t="shared" si="0"/>
        <v>3.1668521662849029E-3</v>
      </c>
      <c r="E57" s="371">
        <v>46</v>
      </c>
      <c r="F57" s="371" t="n">
        <v>1599.0</v>
      </c>
      <c r="G57" s="9">
        <f t="shared" si="1"/>
        <v>5.4867103794126537E-3</v>
      </c>
    </row>
    <row r="58" spans="1:7" x14ac:dyDescent="0.45">
      <c r="A58">
        <v>47</v>
      </c>
      <c r="B58" s="6" t="n">
        <v>4438.928869637601</v>
      </c>
      <c r="C58" s="9">
        <f t="shared" si="0"/>
        <v>1.7166015127919064E-2</v>
      </c>
      <c r="E58" s="371">
        <v>47</v>
      </c>
      <c r="F58" s="371" t="n">
        <v>1497.0</v>
      </c>
      <c r="G58" s="9">
        <f t="shared" si="1"/>
        <v>4.93773092604815E-3</v>
      </c>
    </row>
    <row r="59" spans="1:7" x14ac:dyDescent="0.45">
      <c r="A59">
        <v>48</v>
      </c>
      <c r="B59" s="6" t="n">
        <v>2472.03308097</v>
      </c>
      <c r="C59" s="9">
        <f t="shared" si="0"/>
        <v>9.5597290497046929E-3</v>
      </c>
      <c r="E59" s="371">
        <v>48</v>
      </c>
      <c r="F59" s="371" t="n">
        <v>1401.0</v>
      </c>
      <c r="G59" s="9">
        <f t="shared" si="1"/>
        <v>4.2777219203177915E-3</v>
      </c>
    </row>
    <row r="60" spans="1:7" x14ac:dyDescent="0.45">
      <c r="A60">
        <v>49</v>
      </c>
      <c r="B60" s="6" t="n">
        <v>727.258431585</v>
      </c>
      <c r="C60" s="9">
        <f t="shared" si="0"/>
        <v>2.8124193031987062E-3</v>
      </c>
      <c r="E60" s="371">
        <v>49</v>
      </c>
      <c r="F60" s="371" t="n">
        <v>1275.0</v>
      </c>
      <c r="G60" s="9">
        <f t="shared" si="1"/>
        <v>4.3733307015217217E-3</v>
      </c>
    </row>
    <row r="61" spans="1:7" x14ac:dyDescent="0.45">
      <c r="A61">
        <v>50</v>
      </c>
      <c r="B61" s="6" t="n">
        <v>712.6549232886</v>
      </c>
      <c r="C61" s="9">
        <f t="shared" si="0"/>
        <v>2.7559453087512213E-3</v>
      </c>
      <c r="E61" s="371">
        <v>50</v>
      </c>
      <c r="F61" s="371" t="n">
        <v>1153.0</v>
      </c>
      <c r="G61" s="9">
        <f t="shared" si="1"/>
        <v>4.3085634626416399E-3</v>
      </c>
    </row>
    <row r="62" spans="1:7" x14ac:dyDescent="0.45">
      <c r="A62">
        <v>51</v>
      </c>
      <c r="B62" s="6" t="n">
        <v>1069.5540486305001</v>
      </c>
      <c r="C62" s="9">
        <f t="shared" si="0"/>
        <v>4.1361286738566677E-3</v>
      </c>
      <c r="E62" s="371">
        <v>51</v>
      </c>
      <c r="F62" s="371" t="n">
        <v>1077.0</v>
      </c>
      <c r="G62" s="9">
        <f t="shared" si="1"/>
        <v>3.7225741584885176E-3</v>
      </c>
    </row>
    <row r="63" spans="1:7" x14ac:dyDescent="0.45">
      <c r="A63">
        <v>52</v>
      </c>
      <c r="B63" s="6" t="n">
        <v>1068.977827955</v>
      </c>
      <c r="C63" s="9">
        <f t="shared" si="0"/>
        <v>4.1339003405980951E-3</v>
      </c>
      <c r="E63" s="371">
        <v>52</v>
      </c>
      <c r="F63" s="371" t="n">
        <v>867.0</v>
      </c>
      <c r="G63" s="9">
        <f t="shared" si="1"/>
        <v>3.4264953521795719E-3</v>
      </c>
    </row>
    <row r="64" spans="1:7" x14ac:dyDescent="0.45">
      <c r="A64">
        <v>53</v>
      </c>
      <c r="B64" s="6" t="n">
        <v>2475.537472466</v>
      </c>
      <c r="C64" s="9">
        <f t="shared" si="0"/>
        <v>9.5732810662386737E-3</v>
      </c>
      <c r="E64" s="371">
        <v>53</v>
      </c>
      <c r="F64" s="371" t="n">
        <v>813.0</v>
      </c>
      <c r="G64" s="9">
        <f t="shared" si="1"/>
        <v>2.8559268191883738E-3</v>
      </c>
    </row>
    <row r="65" spans="1:7" x14ac:dyDescent="0.45">
      <c r="A65">
        <v>54</v>
      </c>
      <c r="B65" s="6" t="n">
        <v>791.15128364</v>
      </c>
      <c r="C65" s="9">
        <f t="shared" si="0"/>
        <v>3.0595027093879941E-3</v>
      </c>
      <c r="E65" s="371">
        <v>54</v>
      </c>
      <c r="F65" s="371" t="n">
        <v>760.0</v>
      </c>
      <c r="G65" s="9">
        <f t="shared" si="1"/>
        <v>2.5105015451612703E-3</v>
      </c>
    </row>
    <row r="66" spans="1:7" x14ac:dyDescent="0.45">
      <c r="A66">
        <v>55</v>
      </c>
      <c r="B66" s="6" t="n">
        <v>1724.4091637810002</v>
      </c>
      <c r="C66" s="9">
        <f t="shared" si="0"/>
        <v>6.6685533067808748E-3</v>
      </c>
      <c r="E66" s="371">
        <v>55</v>
      </c>
      <c r="F66" s="371" t="n">
        <v>669.0</v>
      </c>
      <c r="G66" s="9">
        <f t="shared" si="1"/>
        <v>2.2205910473170943E-3</v>
      </c>
    </row>
    <row r="67" spans="1:7" x14ac:dyDescent="0.45">
      <c r="A67">
        <v>56</v>
      </c>
      <c r="B67" s="6" t="n">
        <v>203.936562876</v>
      </c>
      <c r="C67" s="9">
        <f t="shared" si="0"/>
        <v>7.8865380056226063E-4</v>
      </c>
      <c r="E67" s="371">
        <v>56</v>
      </c>
      <c r="F67" s="371" t="n">
        <v>619.0</v>
      </c>
      <c r="G67" s="9">
        <f t="shared" si="1"/>
        <v>1.952269629099612E-3</v>
      </c>
    </row>
    <row r="68" spans="1:7" x14ac:dyDescent="0.45">
      <c r="A68">
        <v>57</v>
      </c>
      <c r="B68" s="6" t="n">
        <v>859.562027262</v>
      </c>
      <c r="C68" s="9">
        <f t="shared" si="0"/>
        <v>3.3240574915022027E-3</v>
      </c>
      <c r="E68" s="371">
        <v>57</v>
      </c>
      <c r="F68" s="371" t="n">
        <v>526.0</v>
      </c>
      <c r="G68" s="9">
        <f t="shared" si="1"/>
        <v>1.7178739074383631E-3</v>
      </c>
    </row>
    <row r="69" spans="1:7" x14ac:dyDescent="0.45">
      <c r="A69">
        <v>58</v>
      </c>
      <c r="B69" s="6" t="n">
        <v>611.3837387819</v>
      </c>
      <c r="C69" s="9">
        <f t="shared" si="0"/>
        <v>2.3643141886503438E-3</v>
      </c>
      <c r="E69" s="371">
        <v>58</v>
      </c>
      <c r="F69" s="371" t="n">
        <v>588.0</v>
      </c>
      <c r="G69" s="9">
        <f t="shared" si="1"/>
        <v>1.9029231613814544E-3</v>
      </c>
    </row>
    <row r="70" spans="1:7" x14ac:dyDescent="0.45">
      <c r="A70">
        <v>59</v>
      </c>
      <c r="B70" s="6" t="n">
        <v>127.698736111</v>
      </c>
      <c r="C70" s="9">
        <f t="shared" si="0"/>
        <v>4.9383049385887871E-4</v>
      </c>
      <c r="E70" s="371">
        <v>59</v>
      </c>
      <c r="F70" s="371" t="n">
        <v>505.0</v>
      </c>
      <c r="G70" s="9">
        <f t="shared" si="1"/>
        <v>1.5482454246571963E-3</v>
      </c>
    </row>
    <row r="71" spans="1:7" x14ac:dyDescent="0.45">
      <c r="A71">
        <v>60</v>
      </c>
      <c r="B71" s="6" t="n">
        <v>1411.50675439</v>
      </c>
      <c r="C71" s="9">
        <f t="shared" si="0"/>
        <v>5.4585119542581986E-3</v>
      </c>
      <c r="E71" s="371">
        <v>60</v>
      </c>
      <c r="F71" s="371" t="n">
        <v>407.0</v>
      </c>
      <c r="G71" s="9">
        <f t="shared" si="1"/>
        <v>1.6932006735792843E-3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404.0</v>
      </c>
      <c r="G72" s="9">
        <f t="shared" si="1"/>
        <v>1.4310475638265718E-3</v>
      </c>
    </row>
    <row r="73" spans="1:7" x14ac:dyDescent="0.45">
      <c r="A73">
        <v>62</v>
      </c>
      <c r="B73" s="6" t="n">
        <v>422.049332457</v>
      </c>
      <c r="C73" s="9">
        <f t="shared" si="0"/>
        <v>1.6321291551302751E-3</v>
      </c>
      <c r="E73" s="371">
        <v>62</v>
      </c>
      <c r="F73" s="371" t="n">
        <v>346.0</v>
      </c>
      <c r="G73" s="9">
        <f t="shared" si="1"/>
        <v>1.2706715437425596E-3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343.0</v>
      </c>
      <c r="G74" s="9">
        <f t="shared" si="1"/>
        <v>1.134968757517626E-3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246.0</v>
      </c>
      <c r="G75" s="9">
        <f t="shared" si="1"/>
        <v>1.1442212202147806E-3</v>
      </c>
    </row>
    <row r="76" spans="1:7" x14ac:dyDescent="0.45">
      <c r="A76">
        <v>65</v>
      </c>
      <c r="B76" s="6" t="n">
        <v>338.582210178</v>
      </c>
      <c r="C76" s="9">
        <f t="shared" si="0"/>
        <v>1.3093490597956637E-3</v>
      </c>
      <c r="E76" s="371">
        <v>65</v>
      </c>
      <c r="F76" s="371" t="n">
        <v>306.0</v>
      </c>
      <c r="G76" s="9">
        <f t="shared" si="1"/>
        <v>8.3888995120868007E-4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246.0</v>
      </c>
      <c r="G77" s="9">
        <f t="shared" ref="G77:G102" si="3">F77/F$102</f>
        <v>1.0393599763136956E-3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201.0</v>
      </c>
      <c r="G78" s="9">
        <f t="shared" si="3"/>
        <v>8.0496425465244662E-4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185.0</v>
      </c>
      <c r="G79" s="9">
        <f t="shared" si="3"/>
        <v>5.8598930415312204E-4</v>
      </c>
    </row>
    <row r="80" spans="1:7" x14ac:dyDescent="0.45">
      <c r="A80">
        <v>69</v>
      </c>
      <c r="B80" s="6" t="n">
        <v>105.574432957</v>
      </c>
      <c r="C80" s="9">
        <f t="shared" si="2"/>
        <v>4.0827243834823976E-4</v>
      </c>
      <c r="E80" s="371">
        <v>69</v>
      </c>
      <c r="F80" s="371" t="n">
        <v>208.0</v>
      </c>
      <c r="G80" s="9">
        <f t="shared" si="3"/>
        <v>6.1066253801220097E-4</v>
      </c>
    </row>
    <row r="81" spans="1:7" x14ac:dyDescent="0.45">
      <c r="A81">
        <v>70</v>
      </c>
      <c r="B81" s="6" t="n">
        <v>529.467299939</v>
      </c>
      <c r="C81" s="9">
        <f t="shared" si="2"/>
        <v>2.0475308227305201E-3</v>
      </c>
      <c r="E81" s="371">
        <v>70</v>
      </c>
      <c r="F81" s="371" t="n">
        <v>173.0</v>
      </c>
      <c r="G81" s="9">
        <f t="shared" si="3"/>
        <v>5.9832592108266145E-4</v>
      </c>
    </row>
    <row r="82" spans="1:7" x14ac:dyDescent="0.45">
      <c r="A82">
        <v>71</v>
      </c>
      <c r="B82" s="6" t="n">
        <v>258.441807167</v>
      </c>
      <c r="C82" s="9">
        <f t="shared" si="2"/>
        <v>9.9943389538423885E-4</v>
      </c>
      <c r="E82" s="371">
        <v>71</v>
      </c>
      <c r="F82" s="371" t="n">
        <v>157.0</v>
      </c>
      <c r="G82" s="9">
        <f t="shared" si="3"/>
        <v>6.6617731419512825E-4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146.0</v>
      </c>
      <c r="G83" s="9">
        <f t="shared" si="3"/>
        <v>4.8112806025203708E-4</v>
      </c>
    </row>
    <row r="84" spans="1:7" x14ac:dyDescent="0.45">
      <c r="A84">
        <v>73</v>
      </c>
      <c r="B84" s="6" t="n">
        <v>356.0060045</v>
      </c>
      <c r="C84" s="9">
        <f t="shared" si="2"/>
        <v>1.3767295305581115E-3</v>
      </c>
      <c r="E84" s="371">
        <v>73</v>
      </c>
      <c r="F84" s="371" t="n">
        <v>140.0</v>
      </c>
      <c r="G84" s="9">
        <f t="shared" si="3"/>
        <v>4.2561328406910974E-4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152.0</v>
      </c>
      <c r="G85" s="9">
        <f t="shared" si="3"/>
        <v>4.6262313485772796E-4</v>
      </c>
    </row>
    <row r="86" spans="1:7" x14ac:dyDescent="0.45">
      <c r="A86">
        <v>75</v>
      </c>
      <c r="B86" s="6" t="n">
        <v>2492.0420315</v>
      </c>
      <c r="C86" s="9">
        <f t="shared" si="2"/>
        <v>9.6371067139067804E-3</v>
      </c>
      <c r="E86" s="371">
        <v>75</v>
      </c>
      <c r="F86" s="371" t="n">
        <v>106.0</v>
      </c>
      <c r="G86" s="9">
        <f t="shared" si="3"/>
        <v>4.1636082137195516E-4</v>
      </c>
    </row>
    <row r="87" spans="1:7" x14ac:dyDescent="0.45">
      <c r="A87">
        <v>76</v>
      </c>
      <c r="B87" s="6" t="n">
        <v>190.728922024</v>
      </c>
      <c r="C87" s="9">
        <f t="shared" si="2"/>
        <v>7.3757783847141882E-4</v>
      </c>
      <c r="E87" s="371">
        <v>76</v>
      </c>
      <c r="F87" s="371" t="n">
        <v>129.0</v>
      </c>
      <c r="G87" s="9">
        <f t="shared" si="3"/>
        <v>4.3794990099864915E-4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140.0</v>
      </c>
      <c r="G88" s="9">
        <f t="shared" si="3"/>
        <v>3.6084604518902782E-4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99.0</v>
      </c>
      <c r="G89" s="9">
        <f t="shared" si="3"/>
        <v>3.3308865709756412E-4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96.0</v>
      </c>
      <c r="G90" s="9">
        <f t="shared" si="3"/>
        <v>3.1458373170325501E-4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87.0</v>
      </c>
      <c r="G91" s="9">
        <f t="shared" si="3"/>
        <v>2.960788063089459E-4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78.0</v>
      </c>
      <c r="G92" s="9">
        <f t="shared" si="3"/>
        <v>2.6523726398509738E-4</v>
      </c>
    </row>
    <row r="93" spans="1:7" x14ac:dyDescent="0.45">
      <c r="A93">
        <v>82</v>
      </c>
      <c r="B93" s="6" t="n">
        <v>615.8663051890001</v>
      </c>
      <c r="C93" s="9">
        <f t="shared" si="2"/>
        <v>2.381648956792836E-3</v>
      </c>
      <c r="E93" s="371">
        <v>82</v>
      </c>
      <c r="F93" s="371" t="n">
        <v>87.0</v>
      </c>
      <c r="G93" s="9">
        <f t="shared" si="3"/>
        <v>2.9916296054133073E-4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92.0</v>
      </c>
      <c r="G94" s="9">
        <f t="shared" si="3"/>
        <v>2.2514325896409428E-4</v>
      </c>
    </row>
    <row r="95" spans="1:7" x14ac:dyDescent="0.45">
      <c r="A95">
        <v>84</v>
      </c>
      <c r="B95" s="6" t="n">
        <v>85.5353905136</v>
      </c>
      <c r="C95" s="9">
        <f t="shared" si="2"/>
        <v>3.3077840412630815E-4</v>
      </c>
      <c r="E95" s="371">
        <v>84</v>
      </c>
      <c r="F95" s="371" t="n">
        <v>104.0</v>
      </c>
      <c r="G95" s="9">
        <f t="shared" si="3"/>
        <v>3.2075204016802472E-4</v>
      </c>
    </row>
    <row r="96" spans="1:7" x14ac:dyDescent="0.45">
      <c r="A96">
        <v>85</v>
      </c>
      <c r="B96" s="6" t="n">
        <v>126.7069707198</v>
      </c>
      <c r="C96" s="9">
        <f t="shared" si="2"/>
        <v>4.8999518579049878E-4</v>
      </c>
      <c r="E96" s="371">
        <v>85</v>
      </c>
      <c r="F96" s="371" t="n">
        <v>69.0</v>
      </c>
      <c r="G96" s="9">
        <f t="shared" si="3"/>
        <v>2.1280664203455487E-4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81.0</v>
      </c>
      <c r="G97" s="9">
        <f t="shared" si="3"/>
        <v>2.4056403012601854E-4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55.0</v>
      </c>
      <c r="G98" s="9">
        <f t="shared" si="3"/>
        <v>1.6654432854878206E-4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51.0</v>
      </c>
      <c r="G99" s="9">
        <f t="shared" si="3"/>
        <v>1.3878694045731839E-4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65.0</v>
      </c>
      <c r="G100" s="9">
        <f t="shared" si="3"/>
        <v>1.8196509971070632E-4</v>
      </c>
    </row>
    <row r="101" spans="1:7" ht="14.65" thickBot="1" x14ac:dyDescent="0.5">
      <c r="A101" s="1">
        <v>90</v>
      </c>
      <c r="B101" s="7" t="n">
        <v>986.4964652533</v>
      </c>
      <c r="C101" s="9">
        <f t="shared" si="2"/>
        <v>3.8149323279332834E-3</v>
      </c>
      <c r="E101" s="372">
        <v>90</v>
      </c>
      <c r="F101" s="372" t="n">
        <v>1802.0</v>
      </c>
      <c r="G101" s="9">
        <f t="shared" si="3"/>
        <v>5.5576459267575049E-3</v>
      </c>
    </row>
    <row r="102" spans="1:7" x14ac:dyDescent="0.45">
      <c r="B102" s="6">
        <f>SUM(B11:B101)</f>
        <v>258588.19513784887</v>
      </c>
      <c r="C102" s="9">
        <f t="shared" si="2"/>
        <v>1</v>
      </c>
      <c r="F102" s="6">
        <f>SUM(F11:F101)</f>
        <v>324238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21403.563253356</v>
      </c>
      <c r="C11" s="9">
        <f>B11/B$102</f>
        <v>0.20492417465086504</v>
      </c>
      <c r="E11" s="371">
        <v>0</v>
      </c>
      <c r="F11" s="371" t="n">
        <v>11117.0</v>
      </c>
      <c r="G11" s="9">
        <f>F11/F$102</f>
        <v>0.12035901926444834</v>
      </c>
      <c r="K11" s="6" t="n">
        <v>4.531862535888704</v>
      </c>
      <c r="L11" s="6" t="n">
        <v>4.416272579671066</v>
      </c>
    </row>
    <row r="12" spans="1:12" x14ac:dyDescent="0.45">
      <c r="A12">
        <v>1</v>
      </c>
      <c r="B12" s="6" t="n">
        <v>21950.778812362</v>
      </c>
      <c r="C12" s="9">
        <f>B12/B$102</f>
        <v>0.21016338157440542</v>
      </c>
      <c r="E12" s="371">
        <v>1</v>
      </c>
      <c r="F12" s="371" t="n">
        <v>16514.0</v>
      </c>
      <c r="G12" s="9">
        <f>F12/F$102</f>
        <v>0.1785245183887916</v>
      </c>
      <c r="K12" s="6"/>
      <c r="L12" s="371"/>
    </row>
    <row r="13" spans="1:12" x14ac:dyDescent="0.45">
      <c r="A13">
        <v>2</v>
      </c>
      <c r="B13" s="6" t="n">
        <v>9040.471459524</v>
      </c>
      <c r="C13" s="9">
        <f t="shared" ref="C13:C76" si="0">B13/B$102</f>
        <v>8.6556202365378324E-2</v>
      </c>
      <c r="E13" s="371">
        <v>2</v>
      </c>
      <c r="F13" s="371" t="n">
        <v>14492.0</v>
      </c>
      <c r="G13" s="9">
        <f t="shared" ref="G13:G76" si="1">F13/F$102</f>
        <v>0.15677539404553414</v>
      </c>
    </row>
    <row r="14" spans="1:12" x14ac:dyDescent="0.45">
      <c r="A14">
        <v>3</v>
      </c>
      <c r="B14" s="6" t="n">
        <v>9225.7891367387</v>
      </c>
      <c r="C14" s="9">
        <f t="shared" si="0"/>
        <v>8.8330489739957566E-2</v>
      </c>
      <c r="E14" s="371">
        <v>3</v>
      </c>
      <c r="F14" s="371" t="n">
        <v>12357.0</v>
      </c>
      <c r="G14" s="9">
        <f t="shared" si="1"/>
        <v>0.13046190893169876</v>
      </c>
    </row>
    <row r="15" spans="1:12" x14ac:dyDescent="0.45">
      <c r="A15">
        <v>4</v>
      </c>
      <c r="B15" s="6" t="n">
        <v>6009.6396963361</v>
      </c>
      <c r="C15" s="9">
        <f t="shared" si="0"/>
        <v>5.7538104293342503E-2</v>
      </c>
      <c r="E15" s="371">
        <v>4</v>
      </c>
      <c r="F15" s="371" t="n">
        <v>9908.0</v>
      </c>
      <c r="G15" s="9">
        <f t="shared" si="1"/>
        <v>0.10790280210157618</v>
      </c>
    </row>
    <row r="16" spans="1:12" x14ac:dyDescent="0.45">
      <c r="A16">
        <v>5</v>
      </c>
      <c r="B16" s="6" t="n">
        <v>12499.963223363</v>
      </c>
      <c r="C16" s="9">
        <f t="shared" si="0"/>
        <v>0.11967842066260574</v>
      </c>
      <c r="E16" s="371">
        <v>5</v>
      </c>
      <c r="F16" s="371" t="n">
        <v>6879.0</v>
      </c>
      <c r="G16" s="9">
        <f t="shared" si="1"/>
        <v>7.1552101576182137E-2</v>
      </c>
    </row>
    <row r="17" spans="1:7" x14ac:dyDescent="0.45">
      <c r="A17">
        <v>6</v>
      </c>
      <c r="B17" s="6" t="n">
        <v>2343.58</v>
      </c>
      <c r="C17" s="9">
        <f t="shared" si="0"/>
        <v>2.2438142263670604E-2</v>
      </c>
      <c r="E17" s="371">
        <v>6</v>
      </c>
      <c r="F17" s="371" t="n">
        <v>4297.0</v>
      </c>
      <c r="G17" s="9">
        <f t="shared" si="1"/>
        <v>4.7000875656742554E-2</v>
      </c>
    </row>
    <row r="18" spans="1:7" x14ac:dyDescent="0.45">
      <c r="A18">
        <v>7</v>
      </c>
      <c r="B18" s="6" t="n">
        <v>4782.146746086</v>
      </c>
      <c r="C18" s="9">
        <f t="shared" si="0"/>
        <v>4.5785716303444787E-2</v>
      </c>
      <c r="E18" s="371">
        <v>7</v>
      </c>
      <c r="F18" s="371" t="n">
        <v>3566.0</v>
      </c>
      <c r="G18" s="9">
        <f t="shared" si="1"/>
        <v>3.7073117338003503E-2</v>
      </c>
    </row>
    <row r="19" spans="1:7" x14ac:dyDescent="0.45">
      <c r="A19">
        <v>8</v>
      </c>
      <c r="B19" s="6" t="n">
        <v>1958.985546687</v>
      </c>
      <c r="C19" s="9">
        <f t="shared" si="0"/>
        <v>1.8755918888639363E-2</v>
      </c>
      <c r="E19" s="371">
        <v>8</v>
      </c>
      <c r="F19" s="371" t="n">
        <v>2593.0</v>
      </c>
      <c r="G19" s="9">
        <f t="shared" si="1"/>
        <v>2.856830122591944E-2</v>
      </c>
    </row>
    <row r="20" spans="1:7" x14ac:dyDescent="0.45">
      <c r="A20">
        <v>9</v>
      </c>
      <c r="B20" s="6" t="n">
        <v>1904.148995624</v>
      </c>
      <c r="C20" s="9">
        <f t="shared" si="0"/>
        <v>1.8230897197892459E-2</v>
      </c>
      <c r="E20" s="371">
        <v>9</v>
      </c>
      <c r="F20" s="371" t="n">
        <v>1720.0</v>
      </c>
      <c r="G20" s="9">
        <f t="shared" si="1"/>
        <v>2.0326182136602453E-2</v>
      </c>
    </row>
    <row r="21" spans="1:7" x14ac:dyDescent="0.45">
      <c r="A21">
        <v>10</v>
      </c>
      <c r="B21" s="6" t="n">
        <v>677.474</v>
      </c>
      <c r="C21" s="9">
        <f t="shared" si="0"/>
        <v>6.4863405524616096E-3</v>
      </c>
      <c r="E21" s="371">
        <v>10</v>
      </c>
      <c r="F21" s="371" t="n">
        <v>1662.0</v>
      </c>
      <c r="G21" s="9">
        <f t="shared" si="1"/>
        <v>2.0862521891418562E-2</v>
      </c>
    </row>
    <row r="22" spans="1:7" x14ac:dyDescent="0.45">
      <c r="A22">
        <v>11</v>
      </c>
      <c r="B22" s="6" t="n">
        <v>606.1275651240001</v>
      </c>
      <c r="C22" s="9">
        <f t="shared" si="0"/>
        <v>5.803248251045231E-3</v>
      </c>
      <c r="E22" s="371">
        <v>11</v>
      </c>
      <c r="F22" s="371" t="n">
        <v>1291.0</v>
      </c>
      <c r="G22" s="9">
        <f t="shared" si="1"/>
        <v>1.4043345008756567E-2</v>
      </c>
    </row>
    <row r="23" spans="1:7" x14ac:dyDescent="0.45">
      <c r="A23">
        <v>12</v>
      </c>
      <c r="B23" s="6" t="n">
        <v>685.013979171</v>
      </c>
      <c r="C23" s="9">
        <f t="shared" si="0"/>
        <v>6.558530588775288E-3</v>
      </c>
      <c r="E23" s="371">
        <v>12</v>
      </c>
      <c r="F23" s="371" t="n">
        <v>1055.0</v>
      </c>
      <c r="G23" s="9">
        <f t="shared" si="1"/>
        <v>1.2292031523642732E-2</v>
      </c>
    </row>
    <row r="24" spans="1:7" x14ac:dyDescent="0.45">
      <c r="A24">
        <v>13</v>
      </c>
      <c r="B24" s="6" t="n">
        <v>1263.79351132</v>
      </c>
      <c r="C24" s="9">
        <f t="shared" si="0"/>
        <v>1.2099940517883738E-2</v>
      </c>
      <c r="E24" s="371">
        <v>13</v>
      </c>
      <c r="F24" s="371" t="n">
        <v>786.0</v>
      </c>
      <c r="G24" s="9">
        <f t="shared" si="1"/>
        <v>1.1274080560420315E-2</v>
      </c>
    </row>
    <row r="25" spans="1:7" x14ac:dyDescent="0.45">
      <c r="A25">
        <v>14</v>
      </c>
      <c r="B25" s="6" t="n">
        <v>347.467875</v>
      </c>
      <c r="C25" s="9">
        <f t="shared" si="0"/>
        <v>3.3267623086497217E-3</v>
      </c>
      <c r="E25" s="371">
        <v>14</v>
      </c>
      <c r="F25" s="371" t="n">
        <v>796.0</v>
      </c>
      <c r="G25" s="9">
        <f t="shared" si="1"/>
        <v>8.7565674255691769E-3</v>
      </c>
    </row>
    <row r="26" spans="1:7" x14ac:dyDescent="0.45">
      <c r="A26">
        <v>15</v>
      </c>
      <c r="B26" s="6" t="n">
        <v>616.292367567</v>
      </c>
      <c r="C26" s="9">
        <f t="shared" si="0"/>
        <v>5.9005691375940746E-3</v>
      </c>
      <c r="E26" s="371">
        <v>15</v>
      </c>
      <c r="F26" s="371" t="n">
        <v>662.0</v>
      </c>
      <c r="G26" s="9">
        <f t="shared" si="1"/>
        <v>7.5525394045534147E-3</v>
      </c>
    </row>
    <row r="27" spans="1:7" x14ac:dyDescent="0.45">
      <c r="A27">
        <v>16</v>
      </c>
      <c r="B27" s="6" t="n">
        <v>1161.679808646</v>
      </c>
      <c r="C27" s="9">
        <f t="shared" si="0"/>
        <v>1.1122273108335365E-2</v>
      </c>
      <c r="E27" s="371">
        <v>16</v>
      </c>
      <c r="F27" s="371" t="n">
        <v>583.0</v>
      </c>
      <c r="G27" s="9">
        <f t="shared" si="1"/>
        <v>7.3336252189141853E-3</v>
      </c>
    </row>
    <row r="28" spans="1:7" x14ac:dyDescent="0.45">
      <c r="A28">
        <v>17</v>
      </c>
      <c r="B28" s="6" t="n">
        <v>2746.034518018</v>
      </c>
      <c r="C28" s="9">
        <f t="shared" si="0"/>
        <v>2.6291363288745435E-2</v>
      </c>
      <c r="E28" s="371">
        <v>17</v>
      </c>
      <c r="F28" s="371" t="n">
        <v>448.0</v>
      </c>
      <c r="G28" s="9">
        <f t="shared" si="1"/>
        <v>4.8927320490367776E-3</v>
      </c>
    </row>
    <row r="29" spans="1:7" x14ac:dyDescent="0.45">
      <c r="A29">
        <v>18</v>
      </c>
      <c r="B29" s="6" t="n">
        <v>2170.103759646</v>
      </c>
      <c r="C29" s="9">
        <f t="shared" si="0"/>
        <v>2.0777228379600179E-2</v>
      </c>
      <c r="E29" s="371">
        <v>18</v>
      </c>
      <c r="F29" s="371" t="n">
        <v>297.0</v>
      </c>
      <c r="G29" s="9">
        <f t="shared" si="1"/>
        <v>3.5683012259194397E-3</v>
      </c>
    </row>
    <row r="30" spans="1:7" x14ac:dyDescent="0.45">
      <c r="A30">
        <v>19</v>
      </c>
      <c r="B30" s="6" t="n">
        <v>4.59375</v>
      </c>
      <c r="C30" s="9">
        <f t="shared" si="0"/>
        <v>4.398194899416143E-5</v>
      </c>
      <c r="E30" s="371">
        <v>19</v>
      </c>
      <c r="F30" s="371" t="n">
        <v>255.0</v>
      </c>
      <c r="G30" s="9">
        <f t="shared" si="1"/>
        <v>3.2399299474605956E-3</v>
      </c>
    </row>
    <row r="31" spans="1:7" x14ac:dyDescent="0.45">
      <c r="A31">
        <v>20</v>
      </c>
      <c r="B31" s="6" t="n">
        <v>212.3475</v>
      </c>
      <c r="C31" s="9">
        <f t="shared" si="0"/>
        <v>2.0330790561170491E-3</v>
      </c>
      <c r="E31" s="371">
        <v>20</v>
      </c>
      <c r="F31" s="371" t="n">
        <v>163.0</v>
      </c>
      <c r="G31" s="9">
        <f t="shared" si="1"/>
        <v>2.0468476357267951E-3</v>
      </c>
    </row>
    <row r="32" spans="1:7" x14ac:dyDescent="0.45">
      <c r="A32">
        <v>21</v>
      </c>
      <c r="B32" s="6" t="n">
        <v>278.267753556</v>
      </c>
      <c r="C32" s="9">
        <f t="shared" si="0"/>
        <v>2.664219459835619E-3</v>
      </c>
      <c r="E32" s="371">
        <v>21</v>
      </c>
      <c r="F32" s="371" t="n">
        <v>123.0</v>
      </c>
      <c r="G32" s="9">
        <f t="shared" si="1"/>
        <v>1.5761821366024518E-3</v>
      </c>
    </row>
    <row r="33" spans="1:7" x14ac:dyDescent="0.45">
      <c r="A33">
        <v>22</v>
      </c>
      <c r="B33" s="6" t="n">
        <v>0.0</v>
      </c>
      <c r="C33" s="9">
        <f t="shared" si="0"/>
        <v>0</v>
      </c>
      <c r="E33" s="371">
        <v>22</v>
      </c>
      <c r="F33" s="371" t="n">
        <v>123.0</v>
      </c>
      <c r="G33" s="9">
        <f t="shared" si="1"/>
        <v>1.6199649737302978E-3</v>
      </c>
    </row>
    <row r="34" spans="1:7" x14ac:dyDescent="0.45">
      <c r="A34">
        <v>23</v>
      </c>
      <c r="B34" s="6" t="n">
        <v>298.878390047</v>
      </c>
      <c r="C34" s="9">
        <f t="shared" si="0"/>
        <v>2.8615519143410585E-3</v>
      </c>
      <c r="E34" s="371">
        <v>23</v>
      </c>
      <c r="F34" s="371" t="n">
        <v>60.0</v>
      </c>
      <c r="G34" s="9">
        <f t="shared" si="1"/>
        <v>4.3782837127845885E-4</v>
      </c>
    </row>
    <row r="35" spans="1:7" x14ac:dyDescent="0.45">
      <c r="A35">
        <v>24</v>
      </c>
      <c r="B35" s="6" t="n">
        <v>4.59375</v>
      </c>
      <c r="C35" s="9">
        <f t="shared" si="0"/>
        <v>4.398194899416143E-5</v>
      </c>
      <c r="E35" s="371">
        <v>24</v>
      </c>
      <c r="F35" s="371" t="n">
        <v>57.0</v>
      </c>
      <c r="G35" s="9">
        <f t="shared" si="1"/>
        <v>6.3485113835376537E-4</v>
      </c>
    </row>
    <row r="36" spans="1:7" x14ac:dyDescent="0.45">
      <c r="A36">
        <v>25</v>
      </c>
      <c r="B36" s="6" t="n">
        <v>533.972612906</v>
      </c>
      <c r="C36" s="9">
        <f t="shared" si="0"/>
        <v>5.1124149605683367E-3</v>
      </c>
      <c r="E36" s="371">
        <v>25</v>
      </c>
      <c r="F36" s="371" t="n">
        <v>39.0</v>
      </c>
      <c r="G36" s="9">
        <f t="shared" si="1"/>
        <v>3.6120840630472854E-4</v>
      </c>
    </row>
    <row r="37" spans="1:7" x14ac:dyDescent="0.45">
      <c r="A37">
        <v>26</v>
      </c>
      <c r="B37" s="6" t="n">
        <v>0.0</v>
      </c>
      <c r="C37" s="9">
        <f t="shared" si="0"/>
        <v>0</v>
      </c>
      <c r="E37" s="371">
        <v>26</v>
      </c>
      <c r="F37" s="371" t="n">
        <v>20.0</v>
      </c>
      <c r="G37" s="9">
        <f t="shared" si="1"/>
        <v>2.6269702276707533E-4</v>
      </c>
    </row>
    <row r="38" spans="1:7" x14ac:dyDescent="0.45">
      <c r="A38">
        <v>27</v>
      </c>
      <c r="B38" s="6" t="n">
        <v>0.0</v>
      </c>
      <c r="C38" s="9">
        <f t="shared" si="0"/>
        <v>0</v>
      </c>
      <c r="E38" s="371">
        <v>27</v>
      </c>
      <c r="F38" s="371" t="n">
        <v>15.0</v>
      </c>
      <c r="G38" s="9">
        <f t="shared" si="1"/>
        <v>2.1891418563922942E-4</v>
      </c>
    </row>
    <row r="39" spans="1:7" x14ac:dyDescent="0.45">
      <c r="A39">
        <v>28</v>
      </c>
      <c r="B39" s="6" t="n">
        <v>1720.55017111</v>
      </c>
      <c r="C39" s="9">
        <f t="shared" si="0"/>
        <v>1.6473066637857033E-2</v>
      </c>
      <c r="E39" s="371">
        <v>28</v>
      </c>
      <c r="F39" s="371" t="n">
        <v>20.0</v>
      </c>
      <c r="G39" s="9">
        <f t="shared" si="1"/>
        <v>1.4229422066549911E-4</v>
      </c>
    </row>
    <row r="40" spans="1:7" x14ac:dyDescent="0.45">
      <c r="A40">
        <v>29</v>
      </c>
      <c r="B40" s="6" t="n">
        <v>0.0</v>
      </c>
      <c r="C40" s="9">
        <f t="shared" si="0"/>
        <v>0</v>
      </c>
      <c r="E40" s="371">
        <v>29</v>
      </c>
      <c r="F40" s="371" t="n">
        <v>10.0</v>
      </c>
      <c r="G40" s="9">
        <f t="shared" si="1"/>
        <v>7.6619964973730296E-5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12.0</v>
      </c>
      <c r="G41" s="9">
        <f t="shared" si="1"/>
        <v>8.7565674255691772E-5</v>
      </c>
    </row>
    <row r="42" spans="1:7" x14ac:dyDescent="0.4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8.0</v>
      </c>
      <c r="G42" s="9">
        <f t="shared" si="1"/>
        <v>6.5674255691768832E-5</v>
      </c>
    </row>
    <row r="43" spans="1:7" x14ac:dyDescent="0.45">
      <c r="A43">
        <v>32</v>
      </c>
      <c r="B43" s="6" t="n">
        <v>0.0</v>
      </c>
      <c r="C43" s="9">
        <f t="shared" si="0"/>
        <v>0</v>
      </c>
      <c r="E43" s="371">
        <v>32</v>
      </c>
      <c r="F43" s="371" t="n">
        <v>5.0</v>
      </c>
      <c r="G43" s="9">
        <f t="shared" si="1"/>
        <v>1.0945709281961472E-5</v>
      </c>
    </row>
    <row r="44" spans="1:7" x14ac:dyDescent="0.45">
      <c r="A44">
        <v>33</v>
      </c>
      <c r="B44" s="6" t="n">
        <v>0.0</v>
      </c>
      <c r="C44" s="9">
        <f t="shared" si="0"/>
        <v>0</v>
      </c>
      <c r="E44" s="371">
        <v>33</v>
      </c>
      <c r="F44" s="371" t="n">
        <v>4.0</v>
      </c>
      <c r="G44" s="9">
        <f t="shared" si="1"/>
        <v>2.1891418563922943E-5</v>
      </c>
    </row>
    <row r="45" spans="1:7" x14ac:dyDescent="0.45">
      <c r="A45">
        <v>34</v>
      </c>
      <c r="B45" s="6" t="n">
        <v>0.0</v>
      </c>
      <c r="C45" s="9">
        <f t="shared" si="0"/>
        <v>0</v>
      </c>
      <c r="E45" s="371">
        <v>34</v>
      </c>
      <c r="F45" s="371" t="n">
        <v>2.0</v>
      </c>
      <c r="G45" s="9">
        <f t="shared" si="1"/>
        <v>1.0945709281961472E-5</v>
      </c>
    </row>
    <row r="46" spans="1:7" x14ac:dyDescent="0.45">
      <c r="A46">
        <v>35</v>
      </c>
      <c r="B46" s="6" t="n">
        <v>0.0</v>
      </c>
      <c r="C46" s="9">
        <f t="shared" si="0"/>
        <v>0</v>
      </c>
      <c r="E46" s="371">
        <v>35</v>
      </c>
      <c r="F46" s="371" t="n">
        <v>1.0</v>
      </c>
      <c r="G46" s="9">
        <f t="shared" si="1"/>
        <v>1.0945709281961472E-5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2.0</v>
      </c>
      <c r="G47" s="9">
        <f t="shared" si="1"/>
        <v>1.0945709281961472E-5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0.0</v>
      </c>
      <c r="G48" s="9">
        <f t="shared" si="1"/>
        <v>3.2837127845884416E-5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0.0</v>
      </c>
      <c r="G49" s="9">
        <f t="shared" si="1"/>
        <v>0</v>
      </c>
    </row>
    <row r="50" spans="1:7" x14ac:dyDescent="0.45">
      <c r="A50">
        <v>39</v>
      </c>
      <c r="B50" s="6" t="n">
        <v>0.0</v>
      </c>
      <c r="C50" s="9">
        <f t="shared" si="0"/>
        <v>0</v>
      </c>
      <c r="E50" s="371">
        <v>39</v>
      </c>
      <c r="F50" s="371" t="n">
        <v>1.0</v>
      </c>
      <c r="G50" s="9">
        <f t="shared" si="1"/>
        <v>0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0.0</v>
      </c>
      <c r="G51" s="9">
        <f t="shared" si="1"/>
        <v>0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0.0</v>
      </c>
      <c r="G52" s="9">
        <f t="shared" si="1"/>
        <v>0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0.0</v>
      </c>
      <c r="G53" s="9">
        <f t="shared" si="1"/>
        <v>0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0.0</v>
      </c>
      <c r="G54" s="9">
        <f t="shared" si="1"/>
        <v>1.0945709281961472E-5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0.0</v>
      </c>
      <c r="G55" s="9">
        <f t="shared" si="1"/>
        <v>0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0.0</v>
      </c>
      <c r="G56" s="9">
        <f t="shared" si="1"/>
        <v>0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1.0</v>
      </c>
      <c r="G57" s="9">
        <f t="shared" si="1"/>
        <v>0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0.0</v>
      </c>
      <c r="G58" s="9">
        <f t="shared" si="1"/>
        <v>0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0.0</v>
      </c>
      <c r="G59" s="9">
        <f t="shared" si="1"/>
        <v>0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0.0</v>
      </c>
      <c r="G60" s="9">
        <f t="shared" si="1"/>
        <v>0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0.0</v>
      </c>
      <c r="G61" s="9">
        <f t="shared" si="1"/>
        <v>0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0.0</v>
      </c>
      <c r="G62" s="9">
        <f t="shared" si="1"/>
        <v>0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0.0</v>
      </c>
      <c r="G63" s="9">
        <f t="shared" si="1"/>
        <v>0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0.0</v>
      </c>
      <c r="G64" s="9">
        <f t="shared" si="1"/>
        <v>0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0.0</v>
      </c>
      <c r="G65" s="9">
        <f t="shared" si="1"/>
        <v>0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0.0</v>
      </c>
      <c r="G66" s="9">
        <f t="shared" si="1"/>
        <v>0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0.0</v>
      </c>
      <c r="G67" s="9">
        <f t="shared" si="1"/>
        <v>0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0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0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0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0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0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0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0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0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0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104446.25818218781</v>
      </c>
      <c r="C102" s="9">
        <f t="shared" si="2"/>
        <v>1</v>
      </c>
      <c r="F102" s="6">
        <f>SUM(F11:F101)</f>
        <v>91360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96.0</v>
      </c>
      <c r="G11" s="9">
        <f>F11/F$102</f>
        <v>1.0945709281961471E-3</v>
      </c>
      <c r="K11" s="6" t="n">
        <v>11.110031611943503</v>
      </c>
      <c r="L11" s="6" t="n">
        <v>13.102530441752966</v>
      </c>
    </row>
    <row r="12" spans="1:12" x14ac:dyDescent="0.45">
      <c r="A12">
        <v>1</v>
      </c>
      <c r="B12" s="6" t="n">
        <v>6748.333125</v>
      </c>
      <c r="C12" s="9">
        <f>B12/B$102</f>
        <v>6.4610578133194027E-2</v>
      </c>
      <c r="E12" s="371">
        <v>1</v>
      </c>
      <c r="F12" s="371" t="n">
        <v>2885.0</v>
      </c>
      <c r="G12" s="9">
        <f>F12/F$102</f>
        <v>3.3264010507880908E-2</v>
      </c>
      <c r="K12" s="6"/>
      <c r="L12" s="371"/>
    </row>
    <row r="13" spans="1:12" x14ac:dyDescent="0.45">
      <c r="A13">
        <v>2</v>
      </c>
      <c r="B13" s="6" t="n">
        <v>5940.385875</v>
      </c>
      <c r="C13" s="9">
        <f t="shared" ref="C13:C76" si="0">B13/B$102</f>
        <v>5.6875047305553643E-2</v>
      </c>
      <c r="E13" s="371">
        <v>2</v>
      </c>
      <c r="F13" s="371" t="n">
        <v>4743.0</v>
      </c>
      <c r="G13" s="9">
        <f t="shared" ref="G13:G76" si="1">F13/F$102</f>
        <v>5.1641856392294218E-2</v>
      </c>
    </row>
    <row r="14" spans="1:12" x14ac:dyDescent="0.45">
      <c r="A14">
        <v>3</v>
      </c>
      <c r="B14" s="6" t="n">
        <v>12405.263875</v>
      </c>
      <c r="C14" s="9">
        <f t="shared" si="0"/>
        <v>0.1187717405190451</v>
      </c>
      <c r="E14" s="371">
        <v>3</v>
      </c>
      <c r="F14" s="371" t="n">
        <v>6309.0</v>
      </c>
      <c r="G14" s="9">
        <f t="shared" si="1"/>
        <v>6.6309106830122588E-2</v>
      </c>
    </row>
    <row r="15" spans="1:12" x14ac:dyDescent="0.45">
      <c r="A15">
        <v>4</v>
      </c>
      <c r="B15" s="6" t="n">
        <v>6999.085625</v>
      </c>
      <c r="C15" s="9">
        <f t="shared" si="0"/>
        <v>6.7011358250779529E-2</v>
      </c>
      <c r="E15" s="371">
        <v>4</v>
      </c>
      <c r="F15" s="371" t="n">
        <v>6556.0</v>
      </c>
      <c r="G15" s="9">
        <f t="shared" si="1"/>
        <v>7.201182136602452E-2</v>
      </c>
    </row>
    <row r="16" spans="1:12" x14ac:dyDescent="0.45">
      <c r="A16">
        <v>5</v>
      </c>
      <c r="B16" s="6" t="n">
        <v>3888.8675</v>
      </c>
      <c r="C16" s="9">
        <f t="shared" si="0"/>
        <v>3.7233191190215419E-2</v>
      </c>
      <c r="E16" s="371">
        <v>5</v>
      </c>
      <c r="F16" s="371" t="n">
        <v>6409.0</v>
      </c>
      <c r="G16" s="9">
        <f t="shared" si="1"/>
        <v>6.8312171628721538E-2</v>
      </c>
    </row>
    <row r="17" spans="1:7" x14ac:dyDescent="0.45">
      <c r="A17">
        <v>6</v>
      </c>
      <c r="B17" s="6" t="n">
        <v>5063.864211842</v>
      </c>
      <c r="C17" s="9">
        <f t="shared" si="0"/>
        <v>4.848296434908176E-2</v>
      </c>
      <c r="E17" s="371">
        <v>6</v>
      </c>
      <c r="F17" s="371" t="n">
        <v>6674.0</v>
      </c>
      <c r="G17" s="9">
        <f t="shared" si="1"/>
        <v>7.1880472854640984E-2</v>
      </c>
    </row>
    <row r="18" spans="1:7" x14ac:dyDescent="0.45">
      <c r="A18">
        <v>7</v>
      </c>
      <c r="B18" s="6" t="n">
        <v>9752.628732378</v>
      </c>
      <c r="C18" s="9">
        <f t="shared" si="0"/>
        <v>9.3374611040314012E-2</v>
      </c>
      <c r="E18" s="371">
        <v>7</v>
      </c>
      <c r="F18" s="371" t="n">
        <v>6489.0</v>
      </c>
      <c r="G18" s="9">
        <f t="shared" si="1"/>
        <v>6.933012259194396E-2</v>
      </c>
    </row>
    <row r="19" spans="1:7" x14ac:dyDescent="0.45">
      <c r="A19">
        <v>8</v>
      </c>
      <c r="B19" s="6" t="n">
        <v>1764.620653002</v>
      </c>
      <c r="C19" s="9">
        <f t="shared" si="0"/>
        <v>1.6895010732925781E-2</v>
      </c>
      <c r="E19" s="371">
        <v>8</v>
      </c>
      <c r="F19" s="371" t="n">
        <v>5869.0</v>
      </c>
      <c r="G19" s="9">
        <f t="shared" si="1"/>
        <v>6.3933887915936946E-2</v>
      </c>
    </row>
    <row r="20" spans="1:7" x14ac:dyDescent="0.45">
      <c r="A20">
        <v>9</v>
      </c>
      <c r="B20" s="6" t="n">
        <v>6252.187317224</v>
      </c>
      <c r="C20" s="9">
        <f t="shared" si="0"/>
        <v>5.9860328421896924E-2</v>
      </c>
      <c r="E20" s="371">
        <v>9</v>
      </c>
      <c r="F20" s="371" t="n">
        <v>5602.0</v>
      </c>
      <c r="G20" s="9">
        <f t="shared" si="1"/>
        <v>5.7826182136602448E-2</v>
      </c>
    </row>
    <row r="21" spans="1:7" x14ac:dyDescent="0.45">
      <c r="A21">
        <v>10</v>
      </c>
      <c r="B21" s="6" t="n">
        <v>4545.1748721597</v>
      </c>
      <c r="C21" s="9">
        <f t="shared" si="0"/>
        <v>4.351687605918305E-2</v>
      </c>
      <c r="E21" s="371">
        <v>10</v>
      </c>
      <c r="F21" s="371" t="n">
        <v>5087.0</v>
      </c>
      <c r="G21" s="9">
        <f t="shared" si="1"/>
        <v>5.3294658493870405E-2</v>
      </c>
    </row>
    <row r="22" spans="1:7" x14ac:dyDescent="0.45">
      <c r="A22">
        <v>11</v>
      </c>
      <c r="B22" s="6" t="n">
        <v>5995.318267908</v>
      </c>
      <c r="C22" s="9">
        <f t="shared" si="0"/>
        <v>5.740098661505174E-2</v>
      </c>
      <c r="E22" s="371">
        <v>11</v>
      </c>
      <c r="F22" s="371" t="n">
        <v>3787.0</v>
      </c>
      <c r="G22" s="9">
        <f t="shared" si="1"/>
        <v>4.1418563922942207E-2</v>
      </c>
    </row>
    <row r="23" spans="1:7" x14ac:dyDescent="0.45">
      <c r="A23">
        <v>12</v>
      </c>
      <c r="B23" s="6" t="n">
        <v>8014.7099519991</v>
      </c>
      <c r="C23" s="9">
        <f t="shared" si="0"/>
        <v>7.6735252095090592E-2</v>
      </c>
      <c r="E23" s="371">
        <v>12</v>
      </c>
      <c r="F23" s="371" t="n">
        <v>3356.0</v>
      </c>
      <c r="G23" s="9">
        <f t="shared" si="1"/>
        <v>3.6547723292469352E-2</v>
      </c>
    </row>
    <row r="24" spans="1:7" x14ac:dyDescent="0.45">
      <c r="A24">
        <v>13</v>
      </c>
      <c r="B24" s="6" t="n">
        <v>1481.498592661</v>
      </c>
      <c r="C24" s="9">
        <f t="shared" si="0"/>
        <v>1.4184314674794677E-2</v>
      </c>
      <c r="E24" s="371">
        <v>13</v>
      </c>
      <c r="F24" s="371" t="n">
        <v>2509.0</v>
      </c>
      <c r="G24" s="9">
        <f t="shared" si="1"/>
        <v>2.6138353765323991E-2</v>
      </c>
    </row>
    <row r="25" spans="1:7" x14ac:dyDescent="0.45">
      <c r="A25">
        <v>14</v>
      </c>
      <c r="B25" s="6" t="n">
        <v>3414.599957466</v>
      </c>
      <c r="C25" s="9">
        <f t="shared" si="0"/>
        <v>3.2692410593683899E-2</v>
      </c>
      <c r="E25" s="371">
        <v>14</v>
      </c>
      <c r="F25" s="371" t="n">
        <v>2006.0</v>
      </c>
      <c r="G25" s="9">
        <f t="shared" si="1"/>
        <v>2.2176007005253941E-2</v>
      </c>
    </row>
    <row r="26" spans="1:7" x14ac:dyDescent="0.45">
      <c r="A26">
        <v>15</v>
      </c>
      <c r="B26" s="6" t="n">
        <v>1366.916553396</v>
      </c>
      <c r="C26" s="9">
        <f t="shared" si="0"/>
        <v>1.308727164750755E-2</v>
      </c>
      <c r="E26" s="371">
        <v>15</v>
      </c>
      <c r="F26" s="371" t="n">
        <v>1949.0</v>
      </c>
      <c r="G26" s="9">
        <f t="shared" si="1"/>
        <v>2.0753064798598949E-2</v>
      </c>
    </row>
    <row r="27" spans="1:7" x14ac:dyDescent="0.45">
      <c r="A27">
        <v>16</v>
      </c>
      <c r="B27" s="6" t="n">
        <v>1032.539628356</v>
      </c>
      <c r="C27" s="9">
        <f t="shared" si="0"/>
        <v>9.8858460449097133E-3</v>
      </c>
      <c r="E27" s="371">
        <v>16</v>
      </c>
      <c r="F27" s="371" t="n">
        <v>2202.0</v>
      </c>
      <c r="G27" s="9">
        <f t="shared" si="1"/>
        <v>2.396015761821366E-2</v>
      </c>
    </row>
    <row r="28" spans="1:7" x14ac:dyDescent="0.45">
      <c r="A28">
        <v>17</v>
      </c>
      <c r="B28" s="6" t="n">
        <v>2599.835835307</v>
      </c>
      <c r="C28" s="9">
        <f t="shared" si="0"/>
        <v>2.4891612974512228E-2</v>
      </c>
      <c r="E28" s="371">
        <v>17</v>
      </c>
      <c r="F28" s="371" t="n">
        <v>1500.0</v>
      </c>
      <c r="G28" s="9">
        <f t="shared" si="1"/>
        <v>1.5969789842381787E-2</v>
      </c>
    </row>
    <row r="29" spans="1:7" x14ac:dyDescent="0.45">
      <c r="A29">
        <v>18</v>
      </c>
      <c r="B29" s="6" t="n">
        <v>1881.5674999999999</v>
      </c>
      <c r="C29" s="9">
        <f t="shared" si="0"/>
        <v>1.8014695143199311E-2</v>
      </c>
      <c r="E29" s="371">
        <v>18</v>
      </c>
      <c r="F29" s="371" t="n">
        <v>1624.0</v>
      </c>
      <c r="G29" s="9">
        <f t="shared" si="1"/>
        <v>1.6473292469352013E-2</v>
      </c>
    </row>
    <row r="30" spans="1:7" x14ac:dyDescent="0.45">
      <c r="A30">
        <v>19</v>
      </c>
      <c r="B30" s="6" t="n">
        <v>1256.310546378</v>
      </c>
      <c r="C30" s="9">
        <f t="shared" si="0"/>
        <v>1.2028296353006646E-2</v>
      </c>
      <c r="E30" s="371">
        <v>19</v>
      </c>
      <c r="F30" s="371" t="n">
        <v>1271.0</v>
      </c>
      <c r="G30" s="9">
        <f t="shared" si="1"/>
        <v>1.2543782837127846E-2</v>
      </c>
    </row>
    <row r="31" spans="1:7" x14ac:dyDescent="0.45">
      <c r="A31">
        <v>20</v>
      </c>
      <c r="B31" s="6" t="n">
        <v>0.0</v>
      </c>
      <c r="C31" s="9">
        <f t="shared" si="0"/>
        <v>0</v>
      </c>
      <c r="E31" s="371">
        <v>20</v>
      </c>
      <c r="F31" s="371" t="n">
        <v>1252.0</v>
      </c>
      <c r="G31" s="9">
        <f t="shared" si="1"/>
        <v>1.3824430823117339E-2</v>
      </c>
    </row>
    <row r="32" spans="1:7" x14ac:dyDescent="0.45">
      <c r="A32">
        <v>21</v>
      </c>
      <c r="B32" s="6" t="n">
        <v>694.93575</v>
      </c>
      <c r="C32" s="9">
        <f t="shared" si="0"/>
        <v>6.6535246172994443E-3</v>
      </c>
      <c r="E32" s="371">
        <v>21</v>
      </c>
      <c r="F32" s="371" t="n">
        <v>1079.0</v>
      </c>
      <c r="G32" s="9">
        <f t="shared" si="1"/>
        <v>1.1569614711033275E-2</v>
      </c>
    </row>
    <row r="33" spans="1:7" x14ac:dyDescent="0.45">
      <c r="A33">
        <v>22</v>
      </c>
      <c r="B33" s="6" t="n">
        <v>683.0277500000001</v>
      </c>
      <c r="C33" s="9">
        <f t="shared" si="0"/>
        <v>6.5395138312047563E-3</v>
      </c>
      <c r="E33" s="371">
        <v>22</v>
      </c>
      <c r="F33" s="371" t="n">
        <v>1021.0</v>
      </c>
      <c r="G33" s="9">
        <f t="shared" si="1"/>
        <v>1.1690017513134851E-2</v>
      </c>
    </row>
    <row r="34" spans="1:7" x14ac:dyDescent="0.45">
      <c r="A34">
        <v>23</v>
      </c>
      <c r="B34" s="6" t="n">
        <v>235.944081161</v>
      </c>
      <c r="C34" s="9">
        <f t="shared" si="0"/>
        <v>2.2589998461164384E-3</v>
      </c>
      <c r="E34" s="371">
        <v>23</v>
      </c>
      <c r="F34" s="371" t="n">
        <v>969.0</v>
      </c>
      <c r="G34" s="9">
        <f t="shared" si="1"/>
        <v>1.0321803852889668E-2</v>
      </c>
    </row>
    <row r="35" spans="1:7" x14ac:dyDescent="0.45">
      <c r="A35">
        <v>24</v>
      </c>
      <c r="B35" s="6" t="n">
        <v>0.0</v>
      </c>
      <c r="C35" s="9">
        <f t="shared" si="0"/>
        <v>0</v>
      </c>
      <c r="E35" s="371">
        <v>24</v>
      </c>
      <c r="F35" s="371" t="n">
        <v>756.0</v>
      </c>
      <c r="G35" s="9">
        <f t="shared" si="1"/>
        <v>8.5595446584938711E-3</v>
      </c>
    </row>
    <row r="36" spans="1:7" x14ac:dyDescent="0.45">
      <c r="A36">
        <v>25</v>
      </c>
      <c r="B36" s="6" t="n">
        <v>1310.354424496</v>
      </c>
      <c r="C36" s="9">
        <f t="shared" si="0"/>
        <v>1.25457287537321E-2</v>
      </c>
      <c r="E36" s="371">
        <v>25</v>
      </c>
      <c r="F36" s="371" t="n">
        <v>733.0</v>
      </c>
      <c r="G36" s="9">
        <f t="shared" si="1"/>
        <v>8.4281961471103332E-3</v>
      </c>
    </row>
    <row r="37" spans="1:7" x14ac:dyDescent="0.45">
      <c r="A37">
        <v>26</v>
      </c>
      <c r="B37" s="6" t="n">
        <v>1263.24976132</v>
      </c>
      <c r="C37" s="9">
        <f t="shared" si="0"/>
        <v>1.2094734491268104E-2</v>
      </c>
      <c r="E37" s="371">
        <v>26</v>
      </c>
      <c r="F37" s="371" t="n">
        <v>636.0</v>
      </c>
      <c r="G37" s="9">
        <f t="shared" si="1"/>
        <v>7.9903677758318744E-3</v>
      </c>
    </row>
    <row r="38" spans="1:7" x14ac:dyDescent="0.45">
      <c r="A38">
        <v>27</v>
      </c>
      <c r="B38" s="6" t="n">
        <v>5.1375</v>
      </c>
      <c r="C38" s="9">
        <f t="shared" si="0"/>
        <v>4.918797560979687E-5</v>
      </c>
      <c r="E38" s="371">
        <v>27</v>
      </c>
      <c r="F38" s="371" t="n">
        <v>568.0</v>
      </c>
      <c r="G38" s="9">
        <f t="shared" si="1"/>
        <v>6.7753940455341508E-3</v>
      </c>
    </row>
    <row r="39" spans="1:7" x14ac:dyDescent="0.45">
      <c r="A39">
        <v>28</v>
      </c>
      <c r="B39" s="6" t="n">
        <v>5.1375</v>
      </c>
      <c r="C39" s="9">
        <f t="shared" si="0"/>
        <v>4.918797560979687E-5</v>
      </c>
      <c r="E39" s="371">
        <v>28</v>
      </c>
      <c r="F39" s="371" t="n">
        <v>571.0</v>
      </c>
      <c r="G39" s="9">
        <f t="shared" si="1"/>
        <v>7.3336252189141853E-3</v>
      </c>
    </row>
    <row r="40" spans="1:7" x14ac:dyDescent="0.45">
      <c r="A40">
        <v>29</v>
      </c>
      <c r="B40" s="6" t="n">
        <v>25.99125</v>
      </c>
      <c r="C40" s="9">
        <f t="shared" si="0"/>
        <v>2.4884807222737379E-4</v>
      </c>
      <c r="E40" s="371">
        <v>29</v>
      </c>
      <c r="F40" s="371" t="n">
        <v>544.0</v>
      </c>
      <c r="G40" s="9">
        <f t="shared" si="1"/>
        <v>6.1514886164623465E-3</v>
      </c>
    </row>
    <row r="41" spans="1:7" x14ac:dyDescent="0.45">
      <c r="A41">
        <v>30</v>
      </c>
      <c r="B41" s="6" t="n">
        <v>10.69125</v>
      </c>
      <c r="C41" s="9">
        <f t="shared" si="0"/>
        <v>1.0236125435294225E-4</v>
      </c>
      <c r="E41" s="371">
        <v>30</v>
      </c>
      <c r="F41" s="371" t="n">
        <v>512.0</v>
      </c>
      <c r="G41" s="9">
        <f t="shared" si="1"/>
        <v>5.2977232924693524E-3</v>
      </c>
    </row>
    <row r="42" spans="1:7" x14ac:dyDescent="0.45">
      <c r="A42">
        <v>31</v>
      </c>
      <c r="B42" s="6" t="n">
        <v>2944.7940934860003</v>
      </c>
      <c r="C42" s="9">
        <f t="shared" si="0"/>
        <v>2.8194347454260488E-2</v>
      </c>
      <c r="E42" s="371">
        <v>31</v>
      </c>
      <c r="F42" s="371" t="n">
        <v>409.0</v>
      </c>
      <c r="G42" s="9">
        <f t="shared" si="1"/>
        <v>5.9106830122591944E-3</v>
      </c>
    </row>
    <row r="43" spans="1:7" x14ac:dyDescent="0.45">
      <c r="A43">
        <v>32</v>
      </c>
      <c r="B43" s="6" t="n">
        <v>533.2449748060001</v>
      </c>
      <c r="C43" s="9">
        <f t="shared" si="0"/>
        <v>5.1054483337818549E-3</v>
      </c>
      <c r="E43" s="371">
        <v>32</v>
      </c>
      <c r="F43" s="371" t="n">
        <v>400.0</v>
      </c>
      <c r="G43" s="9">
        <f t="shared" si="1"/>
        <v>4.8817863397548162E-3</v>
      </c>
    </row>
    <row r="44" spans="1:7" x14ac:dyDescent="0.45">
      <c r="A44">
        <v>33</v>
      </c>
      <c r="B44" s="6" t="n">
        <v>1469.02375</v>
      </c>
      <c r="C44" s="9">
        <f t="shared" si="0"/>
        <v>1.406487676597807E-2</v>
      </c>
      <c r="E44" s="371">
        <v>33</v>
      </c>
      <c r="F44" s="371" t="n">
        <v>387.0</v>
      </c>
      <c r="G44" s="9">
        <f t="shared" si="1"/>
        <v>4.9146234676007003E-3</v>
      </c>
    </row>
    <row r="45" spans="1:7" x14ac:dyDescent="0.45">
      <c r="A45">
        <v>34</v>
      </c>
      <c r="B45" s="6" t="n">
        <v>865.888189721</v>
      </c>
      <c r="C45" s="9">
        <f t="shared" si="0"/>
        <v>8.2902748723713299E-3</v>
      </c>
      <c r="E45" s="371">
        <v>34</v>
      </c>
      <c r="F45" s="371" t="n">
        <v>259.0</v>
      </c>
      <c r="G45" s="9">
        <f t="shared" si="1"/>
        <v>3.3712784588441329E-3</v>
      </c>
    </row>
    <row r="46" spans="1:7" x14ac:dyDescent="0.45">
      <c r="A46">
        <v>35</v>
      </c>
      <c r="B46" s="6" t="n">
        <v>0.0</v>
      </c>
      <c r="C46" s="9">
        <f t="shared" si="0"/>
        <v>0</v>
      </c>
      <c r="E46" s="371">
        <v>35</v>
      </c>
      <c r="F46" s="371" t="n">
        <v>294.0</v>
      </c>
      <c r="G46" s="9">
        <f t="shared" si="1"/>
        <v>3.3384413309982485E-3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283.0</v>
      </c>
      <c r="G47" s="9">
        <f t="shared" si="1"/>
        <v>2.692644483362522E-3</v>
      </c>
    </row>
    <row r="48" spans="1:7" x14ac:dyDescent="0.45">
      <c r="A48">
        <v>37</v>
      </c>
      <c r="B48" s="6" t="n">
        <v>5.55375</v>
      </c>
      <c r="C48" s="9">
        <f t="shared" si="0"/>
        <v>5.3173278743145374E-5</v>
      </c>
      <c r="E48" s="371">
        <v>37</v>
      </c>
      <c r="F48" s="371" t="n">
        <v>247.0</v>
      </c>
      <c r="G48" s="9">
        <f t="shared" si="1"/>
        <v>2.999124343257443E-3</v>
      </c>
    </row>
    <row r="49" spans="1:7" x14ac:dyDescent="0.45">
      <c r="A49">
        <v>38</v>
      </c>
      <c r="B49" s="6" t="n">
        <v>15.09625</v>
      </c>
      <c r="C49" s="9">
        <f t="shared" si="0"/>
        <v>1.4453605387822793E-4</v>
      </c>
      <c r="E49" s="371">
        <v>38</v>
      </c>
      <c r="F49" s="371" t="n">
        <v>220.0</v>
      </c>
      <c r="G49" s="9">
        <f t="shared" si="1"/>
        <v>2.4956217162872153E-3</v>
      </c>
    </row>
    <row r="50" spans="1:7" x14ac:dyDescent="0.45">
      <c r="A50">
        <v>39</v>
      </c>
      <c r="B50" s="6" t="n">
        <v>765.156650593</v>
      </c>
      <c r="C50" s="9">
        <f t="shared" si="0"/>
        <v>7.3258407137795321E-3</v>
      </c>
      <c r="E50" s="371">
        <v>39</v>
      </c>
      <c r="F50" s="371" t="n">
        <v>202.0</v>
      </c>
      <c r="G50" s="9">
        <f t="shared" si="1"/>
        <v>2.5831873905429073E-3</v>
      </c>
    </row>
    <row r="51" spans="1:7" x14ac:dyDescent="0.45">
      <c r="A51">
        <v>40</v>
      </c>
      <c r="B51" s="6" t="n">
        <v>5.1375</v>
      </c>
      <c r="C51" s="9">
        <f t="shared" si="0"/>
        <v>4.918797560979687E-5</v>
      </c>
      <c r="E51" s="371">
        <v>40</v>
      </c>
      <c r="F51" s="371" t="n">
        <v>203.0</v>
      </c>
      <c r="G51" s="9">
        <f t="shared" si="1"/>
        <v>2.2110332749562174E-3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175.0</v>
      </c>
      <c r="G52" s="9">
        <f t="shared" si="1"/>
        <v>2.0359019264448337E-3</v>
      </c>
    </row>
    <row r="53" spans="1:7" x14ac:dyDescent="0.45">
      <c r="A53">
        <v>42</v>
      </c>
      <c r="B53" s="6" t="n">
        <v>282.532995981</v>
      </c>
      <c r="C53" s="9">
        <f t="shared" si="0"/>
        <v>2.7050561781559639E-3</v>
      </c>
      <c r="E53" s="371">
        <v>42</v>
      </c>
      <c r="F53" s="371" t="n">
        <v>160.0</v>
      </c>
      <c r="G53" s="9">
        <f t="shared" si="1"/>
        <v>2.0577933450087564E-3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175.0</v>
      </c>
      <c r="G54" s="9">
        <f t="shared" si="1"/>
        <v>2.0468476357267951E-3</v>
      </c>
    </row>
    <row r="55" spans="1:7" x14ac:dyDescent="0.45">
      <c r="A55">
        <v>44</v>
      </c>
      <c r="B55" s="6" t="n">
        <v>212.3475</v>
      </c>
      <c r="C55" s="9">
        <f t="shared" si="0"/>
        <v>2.0330790561170491E-3</v>
      </c>
      <c r="E55" s="371">
        <v>44</v>
      </c>
      <c r="F55" s="371" t="n">
        <v>126.0</v>
      </c>
      <c r="G55" s="9">
        <f t="shared" si="1"/>
        <v>1.7403677758318738E-3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104.0</v>
      </c>
      <c r="G56" s="9">
        <f t="shared" si="1"/>
        <v>1.5542907180385289E-3</v>
      </c>
    </row>
    <row r="57" spans="1:7" x14ac:dyDescent="0.45">
      <c r="A57">
        <v>46</v>
      </c>
      <c r="B57" s="6" t="n">
        <v>1823.790175888</v>
      </c>
      <c r="C57" s="9">
        <f t="shared" si="0"/>
        <v>1.7461517603691697E-2</v>
      </c>
      <c r="E57" s="371">
        <v>46</v>
      </c>
      <c r="F57" s="371" t="n">
        <v>122.0</v>
      </c>
      <c r="G57" s="9">
        <f t="shared" si="1"/>
        <v>1.3134851138353765E-3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114.0</v>
      </c>
      <c r="G58" s="9">
        <f t="shared" si="1"/>
        <v>1.0617338003502627E-3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114.0</v>
      </c>
      <c r="G59" s="9">
        <f t="shared" si="1"/>
        <v>1.11646234676007E-3</v>
      </c>
    </row>
    <row r="60" spans="1:7" x14ac:dyDescent="0.45">
      <c r="A60">
        <v>49</v>
      </c>
      <c r="B60" s="6" t="n">
        <v>195.638385269</v>
      </c>
      <c r="C60" s="9">
        <f t="shared" si="0"/>
        <v>1.8731009485063971E-3</v>
      </c>
      <c r="E60" s="371">
        <v>49</v>
      </c>
      <c r="F60" s="371" t="n">
        <v>69.0</v>
      </c>
      <c r="G60" s="9">
        <f t="shared" si="1"/>
        <v>8.6471103327495624E-4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84.0</v>
      </c>
      <c r="G61" s="9">
        <f t="shared" si="1"/>
        <v>9.6322241681260951E-4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66.0</v>
      </c>
      <c r="G62" s="9">
        <f t="shared" si="1"/>
        <v>1.0945709281961471E-3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65.0</v>
      </c>
      <c r="G63" s="9">
        <f t="shared" si="1"/>
        <v>8.4281961471103324E-4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61.0</v>
      </c>
      <c r="G64" s="9">
        <f t="shared" si="1"/>
        <v>1.0288966725043782E-3</v>
      </c>
    </row>
    <row r="65" spans="1:7" x14ac:dyDescent="0.45">
      <c r="A65">
        <v>54</v>
      </c>
      <c r="B65" s="6" t="n">
        <v>533.972612906</v>
      </c>
      <c r="C65" s="9">
        <f t="shared" si="0"/>
        <v>5.1124149605683376E-3</v>
      </c>
      <c r="E65" s="371">
        <v>54</v>
      </c>
      <c r="F65" s="371" t="n">
        <v>50.0</v>
      </c>
      <c r="G65" s="9">
        <f t="shared" si="1"/>
        <v>7.8809106830122588E-4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67.0</v>
      </c>
      <c r="G66" s="9">
        <f t="shared" si="1"/>
        <v>7.2241681260945708E-4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52.0</v>
      </c>
      <c r="G67" s="9">
        <f t="shared" si="1"/>
        <v>6.8957968476357273E-4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52.0</v>
      </c>
      <c r="G68" s="9">
        <f t="shared" si="1"/>
        <v>6.4579684763572682E-4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56.0</v>
      </c>
      <c r="G69" s="9">
        <f t="shared" si="1"/>
        <v>7.3336252189141853E-4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53.0</v>
      </c>
      <c r="G70" s="9">
        <f t="shared" si="1"/>
        <v>5.6917688266199646E-4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55.0</v>
      </c>
      <c r="G71" s="9">
        <f t="shared" si="1"/>
        <v>8.0998248686514889E-4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49.0</v>
      </c>
      <c r="G72" s="9">
        <f t="shared" si="1"/>
        <v>5.4728546409807356E-4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51.0</v>
      </c>
      <c r="G73" s="9">
        <f t="shared" si="1"/>
        <v>7.1147110332749563E-4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58.0</v>
      </c>
      <c r="G74" s="9">
        <f t="shared" si="1"/>
        <v>4.8161120840630475E-4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53.0</v>
      </c>
      <c r="G75" s="9">
        <f t="shared" si="1"/>
        <v>5.4728546409807356E-4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49.0</v>
      </c>
      <c r="G76" s="9">
        <f t="shared" si="1"/>
        <v>5.144483362521891E-4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53.0</v>
      </c>
      <c r="G77" s="9">
        <f t="shared" ref="G77:G102" si="3">F77/F$102</f>
        <v>4.597197898423818E-4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35.0</v>
      </c>
      <c r="G78" s="9">
        <f t="shared" si="3"/>
        <v>5.6917688266199646E-4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35.0</v>
      </c>
      <c r="G79" s="9">
        <f t="shared" si="3"/>
        <v>4.268826619964974E-4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32.0</v>
      </c>
      <c r="G80" s="9">
        <f t="shared" si="3"/>
        <v>5.2539404553415066E-4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77.0</v>
      </c>
      <c r="G81" s="9">
        <f t="shared" si="3"/>
        <v>9.413309982486865E-4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36.0</v>
      </c>
      <c r="G82" s="9">
        <f t="shared" si="3"/>
        <v>4.268826619964974E-4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37.0</v>
      </c>
      <c r="G83" s="9">
        <f t="shared" si="3"/>
        <v>3.5026269702276709E-4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37.0</v>
      </c>
      <c r="G84" s="9">
        <f t="shared" si="3"/>
        <v>4.7066549912434325E-4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36.0</v>
      </c>
      <c r="G85" s="9">
        <f t="shared" si="3"/>
        <v>4.268826619964974E-4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26.0</v>
      </c>
      <c r="G86" s="9">
        <f t="shared" si="3"/>
        <v>2.298598949211909E-4</v>
      </c>
    </row>
    <row r="87" spans="1:7" x14ac:dyDescent="0.45">
      <c r="A87">
        <v>76</v>
      </c>
      <c r="B87" s="6" t="n">
        <v>155.903466484</v>
      </c>
      <c r="C87" s="9">
        <f t="shared" si="2"/>
        <v>1.4926668431917813E-3</v>
      </c>
      <c r="E87" s="371">
        <v>76</v>
      </c>
      <c r="F87" s="371" t="n">
        <v>22.0</v>
      </c>
      <c r="G87" s="9">
        <f t="shared" si="3"/>
        <v>1.9702276707530647E-4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34.0</v>
      </c>
      <c r="G88" s="9">
        <f t="shared" si="3"/>
        <v>3.5026269702276709E-4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24.0</v>
      </c>
      <c r="G89" s="9">
        <f t="shared" si="3"/>
        <v>3.7215411558669004E-4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20.0</v>
      </c>
      <c r="G90" s="9">
        <f t="shared" si="3"/>
        <v>1.7513134851138354E-4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16.0</v>
      </c>
      <c r="G91" s="9">
        <f t="shared" si="3"/>
        <v>1.2040280210157619E-4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14.0</v>
      </c>
      <c r="G92" s="9">
        <f t="shared" si="3"/>
        <v>2.9553415061295973E-4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21.0</v>
      </c>
      <c r="G93" s="9">
        <f t="shared" si="3"/>
        <v>1.2040280210157619E-4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25.0</v>
      </c>
      <c r="G94" s="9">
        <f t="shared" si="3"/>
        <v>2.6269702276707533E-4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46.0</v>
      </c>
      <c r="G95" s="9">
        <f t="shared" si="3"/>
        <v>5.0350262697022765E-4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26.0</v>
      </c>
      <c r="G96" s="9">
        <f t="shared" si="3"/>
        <v>3.8309982486865149E-4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31.0</v>
      </c>
      <c r="G97" s="9">
        <f t="shared" si="3"/>
        <v>3.2837127845884414E-4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20.0</v>
      </c>
      <c r="G98" s="9">
        <f t="shared" si="3"/>
        <v>2.6269702276707533E-4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20.0</v>
      </c>
      <c r="G99" s="9">
        <f t="shared" si="3"/>
        <v>2.5175131348511383E-4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19.0</v>
      </c>
      <c r="G100" s="9">
        <f t="shared" si="3"/>
        <v>3.3931698774080558E-4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654.0</v>
      </c>
      <c r="G101" s="9">
        <f t="shared" si="3"/>
        <v>7.5087565674255693E-3</v>
      </c>
    </row>
    <row r="102" spans="1:7" x14ac:dyDescent="0.45">
      <c r="B102" s="6">
        <f>SUM(B11:B101)</f>
        <v>104446.2581821878</v>
      </c>
      <c r="C102" s="9">
        <f t="shared" si="2"/>
        <v>1</v>
      </c>
      <c r="F102" s="6">
        <f>SUM(F11:F101)</f>
        <v>91360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30570.0032181094</v>
      </c>
      <c r="C11" s="9">
        <f>B11/B$102</f>
        <v>0.16475622835150841</v>
      </c>
      <c r="E11" s="371">
        <v>0</v>
      </c>
      <c r="F11" s="371" t="n">
        <v>22443.0</v>
      </c>
      <c r="G11" s="9">
        <f>F11/F$102</f>
        <v>0.13244543100258971</v>
      </c>
      <c r="K11" s="6" t="n">
        <v>5.257551060764157</v>
      </c>
      <c r="L11" s="6" t="n">
        <v>5.178739560542358</v>
      </c>
    </row>
    <row r="12" spans="1:12" x14ac:dyDescent="0.45">
      <c r="A12">
        <v>1</v>
      </c>
      <c r="B12" s="6" t="n">
        <v>30456.990187676998</v>
      </c>
      <c r="C12" s="9">
        <f>B12/B$102</f>
        <v>0.16414714759624091</v>
      </c>
      <c r="E12" s="371">
        <v>1</v>
      </c>
      <c r="F12" s="371" t="n">
        <v>27979.0</v>
      </c>
      <c r="G12" s="9">
        <f>F12/F$102</f>
        <v>0.16631460861885838</v>
      </c>
      <c r="K12" s="6"/>
      <c r="L12" s="371"/>
    </row>
    <row r="13" spans="1:12" x14ac:dyDescent="0.45">
      <c r="A13">
        <v>2</v>
      </c>
      <c r="B13" s="6" t="n">
        <v>18840.9997808283</v>
      </c>
      <c r="C13" s="9">
        <f t="shared" ref="C13:C76" si="0">B13/B$102</f>
        <v>0.10154307279961239</v>
      </c>
      <c r="E13" s="371">
        <v>2</v>
      </c>
      <c r="F13" s="371" t="n">
        <v>23045.0</v>
      </c>
      <c r="G13" s="9">
        <f t="shared" ref="G13:G76" si="1">F13/F$102</f>
        <v>0.13831704318976526</v>
      </c>
    </row>
    <row r="14" spans="1:12" x14ac:dyDescent="0.45">
      <c r="A14">
        <v>3</v>
      </c>
      <c r="B14" s="6" t="n">
        <v>20913.124810358</v>
      </c>
      <c r="C14" s="9">
        <f t="shared" si="0"/>
        <v>0.11271073614927901</v>
      </c>
      <c r="E14" s="371">
        <v>3</v>
      </c>
      <c r="F14" s="371" t="n">
        <v>19879.0</v>
      </c>
      <c r="G14" s="9">
        <f t="shared" si="1"/>
        <v>0.11711002112348287</v>
      </c>
    </row>
    <row r="15" spans="1:12" x14ac:dyDescent="0.45">
      <c r="A15">
        <v>4</v>
      </c>
      <c r="B15" s="6" t="n">
        <v>16719.3336531863</v>
      </c>
      <c r="C15" s="9">
        <f t="shared" si="0"/>
        <v>9.0108409004602666E-2</v>
      </c>
      <c r="E15" s="371">
        <v>4</v>
      </c>
      <c r="F15" s="371" t="n">
        <v>17510.0</v>
      </c>
      <c r="G15" s="9">
        <f t="shared" si="1"/>
        <v>0.10440012888904801</v>
      </c>
    </row>
    <row r="16" spans="1:12" x14ac:dyDescent="0.45">
      <c r="A16">
        <v>5</v>
      </c>
      <c r="B16" s="6" t="n">
        <v>5276.868504404</v>
      </c>
      <c r="C16" s="9">
        <f t="shared" si="0"/>
        <v>2.8439544022600727E-2</v>
      </c>
      <c r="E16" s="371">
        <v>5</v>
      </c>
      <c r="F16" s="371" t="n">
        <v>12191.0</v>
      </c>
      <c r="G16" s="9">
        <f t="shared" si="1"/>
        <v>7.1670664613989229E-2</v>
      </c>
    </row>
    <row r="17" spans="1:7" x14ac:dyDescent="0.45">
      <c r="A17">
        <v>6</v>
      </c>
      <c r="B17" s="6" t="n">
        <v>4744.506266172</v>
      </c>
      <c r="C17" s="9">
        <f t="shared" si="0"/>
        <v>2.5570391740800742E-2</v>
      </c>
      <c r="E17" s="371">
        <v>6</v>
      </c>
      <c r="F17" s="371" t="n">
        <v>8436.0</v>
      </c>
      <c r="G17" s="9">
        <f t="shared" si="1"/>
        <v>4.8834628190899003E-2</v>
      </c>
    </row>
    <row r="18" spans="1:7" x14ac:dyDescent="0.45">
      <c r="A18">
        <v>7</v>
      </c>
      <c r="B18" s="6" t="n">
        <v>9665.989095287001</v>
      </c>
      <c r="C18" s="9">
        <f t="shared" si="0"/>
        <v>5.2094594013091029E-2</v>
      </c>
      <c r="E18" s="371">
        <v>7</v>
      </c>
      <c r="F18" s="371" t="n">
        <v>6116.0</v>
      </c>
      <c r="G18" s="9">
        <f t="shared" si="1"/>
        <v>3.6512596517608867E-2</v>
      </c>
    </row>
    <row r="19" spans="1:7" x14ac:dyDescent="0.45">
      <c r="A19">
        <v>8</v>
      </c>
      <c r="B19" s="6" t="n">
        <v>5186.7004881897</v>
      </c>
      <c r="C19" s="9">
        <f t="shared" si="0"/>
        <v>2.7953585870636736E-2</v>
      </c>
      <c r="E19" s="371">
        <v>8</v>
      </c>
      <c r="F19" s="371" t="n">
        <v>4952.0</v>
      </c>
      <c r="G19" s="9">
        <f t="shared" si="1"/>
        <v>2.9322258422541263E-2</v>
      </c>
    </row>
    <row r="20" spans="1:7" x14ac:dyDescent="0.45">
      <c r="A20">
        <v>9</v>
      </c>
      <c r="B20" s="6" t="n">
        <v>4562.6388264714</v>
      </c>
      <c r="C20" s="9">
        <f t="shared" si="0"/>
        <v>2.4590221957656394E-2</v>
      </c>
      <c r="E20" s="371">
        <v>9</v>
      </c>
      <c r="F20" s="371" t="n">
        <v>3225.0</v>
      </c>
      <c r="G20" s="9">
        <f t="shared" si="1"/>
        <v>1.918418006277374E-2</v>
      </c>
    </row>
    <row r="21" spans="1:7" x14ac:dyDescent="0.45">
      <c r="A21">
        <v>10</v>
      </c>
      <c r="B21" s="6" t="n">
        <v>5092.505994314</v>
      </c>
      <c r="C21" s="9">
        <f t="shared" si="0"/>
        <v>2.7445927123213178E-2</v>
      </c>
      <c r="E21" s="371">
        <v>10</v>
      </c>
      <c r="F21" s="371" t="n">
        <v>2745.0</v>
      </c>
      <c r="G21" s="9">
        <f t="shared" si="1"/>
        <v>1.6600432016994258E-2</v>
      </c>
    </row>
    <row r="22" spans="1:7" x14ac:dyDescent="0.45">
      <c r="A22">
        <v>11</v>
      </c>
      <c r="B22" s="6" t="n">
        <v>4994.181898075</v>
      </c>
      <c r="C22" s="9">
        <f t="shared" si="0"/>
        <v>2.6916011992461346E-2</v>
      </c>
      <c r="E22" s="371">
        <v>11</v>
      </c>
      <c r="F22" s="371" t="n">
        <v>2536.0</v>
      </c>
      <c r="G22" s="9">
        <f t="shared" si="1"/>
        <v>1.4977384745742485E-2</v>
      </c>
    </row>
    <row r="23" spans="1:7" x14ac:dyDescent="0.45">
      <c r="A23">
        <v>12</v>
      </c>
      <c r="B23" s="6" t="n">
        <v>1977.458968486</v>
      </c>
      <c r="C23" s="9">
        <f t="shared" si="0"/>
        <v>1.0657463103393376E-2</v>
      </c>
      <c r="E23" s="371">
        <v>12</v>
      </c>
      <c r="F23" s="371" t="n">
        <v>2469.0</v>
      </c>
      <c r="G23" s="9">
        <f t="shared" si="1"/>
        <v>1.4601458355709904E-2</v>
      </c>
    </row>
    <row r="24" spans="1:7" x14ac:dyDescent="0.45">
      <c r="A24">
        <v>13</v>
      </c>
      <c r="B24" s="6" t="n">
        <v>8080.630991571</v>
      </c>
      <c r="C24" s="9">
        <f t="shared" si="0"/>
        <v>4.3550348208104765E-2</v>
      </c>
      <c r="E24" s="371">
        <v>13</v>
      </c>
      <c r="F24" s="371" t="n">
        <v>2225.0</v>
      </c>
      <c r="G24" s="9">
        <f t="shared" si="1"/>
        <v>1.3229028677813183E-2</v>
      </c>
    </row>
    <row r="25" spans="1:7" x14ac:dyDescent="0.45">
      <c r="A25">
        <v>14</v>
      </c>
      <c r="B25" s="6" t="n">
        <v>1258.65601132</v>
      </c>
      <c r="C25" s="9">
        <f t="shared" si="0"/>
        <v>6.7834934702980893E-3</v>
      </c>
      <c r="E25" s="371">
        <v>14</v>
      </c>
      <c r="F25" s="371" t="n">
        <v>1889.0</v>
      </c>
      <c r="G25" s="9">
        <f t="shared" si="1"/>
        <v>1.1158449989855955E-2</v>
      </c>
    </row>
    <row r="26" spans="1:7" x14ac:dyDescent="0.45">
      <c r="A26">
        <v>15</v>
      </c>
      <c r="B26" s="6" t="n">
        <v>3968.0726254833</v>
      </c>
      <c r="C26" s="9">
        <f t="shared" si="0"/>
        <v>2.1385823054549492E-2</v>
      </c>
      <c r="E26" s="371">
        <v>15</v>
      </c>
      <c r="F26" s="371" t="n">
        <v>1780.0</v>
      </c>
      <c r="G26" s="9">
        <f t="shared" si="1"/>
        <v>9.7263494563985062E-3</v>
      </c>
    </row>
    <row r="27" spans="1:7" x14ac:dyDescent="0.45">
      <c r="A27">
        <v>16</v>
      </c>
      <c r="B27" s="6" t="n">
        <v>2733.764688891</v>
      </c>
      <c r="C27" s="9">
        <f t="shared" si="0"/>
        <v>1.4733552892640854E-2</v>
      </c>
      <c r="E27" s="371">
        <v>16</v>
      </c>
      <c r="F27" s="371" t="n">
        <v>1438.0</v>
      </c>
      <c r="G27" s="9">
        <f t="shared" si="1"/>
        <v>8.5508336018521834E-3</v>
      </c>
    </row>
    <row r="28" spans="1:7" x14ac:dyDescent="0.45">
      <c r="A28">
        <v>17</v>
      </c>
      <c r="B28" s="6" t="n">
        <v>2084.171004966</v>
      </c>
      <c r="C28" s="9">
        <f t="shared" si="0"/>
        <v>1.1232584817470864E-2</v>
      </c>
      <c r="E28" s="371">
        <v>17</v>
      </c>
      <c r="F28" s="371" t="n">
        <v>1240.0</v>
      </c>
      <c r="G28" s="9">
        <f t="shared" si="1"/>
        <v>7.2082393517358253E-3</v>
      </c>
    </row>
    <row r="29" spans="1:7" x14ac:dyDescent="0.45">
      <c r="A29">
        <v>18</v>
      </c>
      <c r="B29" s="6" t="n">
        <v>4435.863088899</v>
      </c>
      <c r="C29" s="9">
        <f t="shared" si="0"/>
        <v>2.3906967454217682E-2</v>
      </c>
      <c r="E29" s="371">
        <v>18</v>
      </c>
      <c r="F29" s="371" t="n">
        <v>972.0</v>
      </c>
      <c r="G29" s="9">
        <f t="shared" si="1"/>
        <v>6.3609132027735013E-3</v>
      </c>
    </row>
    <row r="30" spans="1:7" x14ac:dyDescent="0.45">
      <c r="A30">
        <v>19</v>
      </c>
      <c r="B30" s="6" t="n">
        <v>205.084459563</v>
      </c>
      <c r="C30" s="9">
        <f t="shared" si="0"/>
        <v>1.1052973010840593E-3</v>
      </c>
      <c r="E30" s="371">
        <v>19</v>
      </c>
      <c r="F30" s="371" t="n">
        <v>997.0</v>
      </c>
      <c r="G30" s="9">
        <f t="shared" si="1"/>
        <v>5.1078252359982338E-3</v>
      </c>
    </row>
    <row r="31" spans="1:7" x14ac:dyDescent="0.45">
      <c r="A31">
        <v>20</v>
      </c>
      <c r="B31" s="6" t="n">
        <v>299.9093066417</v>
      </c>
      <c r="C31" s="9">
        <f t="shared" si="0"/>
        <v>1.6163533205168687E-3</v>
      </c>
      <c r="E31" s="371">
        <v>20</v>
      </c>
      <c r="F31" s="371" t="n">
        <v>747.0</v>
      </c>
      <c r="G31" s="9">
        <f t="shared" si="1"/>
        <v>4.624491305956345E-3</v>
      </c>
    </row>
    <row r="32" spans="1:7" x14ac:dyDescent="0.45">
      <c r="A32">
        <v>21</v>
      </c>
      <c r="B32" s="6" t="n">
        <v>280.724871177</v>
      </c>
      <c r="C32" s="9">
        <f t="shared" si="0"/>
        <v>1.512959310131404E-3</v>
      </c>
      <c r="E32" s="371">
        <v>21</v>
      </c>
      <c r="F32" s="371" t="n">
        <v>591.0</v>
      </c>
      <c r="G32" s="9">
        <f t="shared" si="1"/>
        <v>3.9621448092322748E-3</v>
      </c>
    </row>
    <row r="33" spans="1:7" x14ac:dyDescent="0.45">
      <c r="A33">
        <v>22</v>
      </c>
      <c r="B33" s="6" t="n">
        <v>1465.599088206</v>
      </c>
      <c r="C33" s="9">
        <f t="shared" si="0"/>
        <v>7.8988077405627369E-3</v>
      </c>
      <c r="E33" s="371">
        <v>22</v>
      </c>
      <c r="F33" s="371" t="n">
        <v>521.0</v>
      </c>
      <c r="G33" s="9">
        <f t="shared" si="1"/>
        <v>3.2699628847278413E-3</v>
      </c>
    </row>
    <row r="34" spans="1:7" x14ac:dyDescent="0.45">
      <c r="A34">
        <v>23</v>
      </c>
      <c r="B34" s="6" t="n">
        <v>87.0697128457</v>
      </c>
      <c r="C34" s="9">
        <f t="shared" si="0"/>
        <v>4.6925992744444332E-4</v>
      </c>
      <c r="E34" s="371">
        <v>23</v>
      </c>
      <c r="F34" s="371" t="n">
        <v>512.0</v>
      </c>
      <c r="G34" s="9">
        <f t="shared" si="1"/>
        <v>2.9179048369195517E-3</v>
      </c>
    </row>
    <row r="35" spans="1:7" x14ac:dyDescent="0.45">
      <c r="A35">
        <v>24</v>
      </c>
      <c r="B35" s="6" t="n">
        <v>0.0</v>
      </c>
      <c r="C35" s="9">
        <f t="shared" si="0"/>
        <v>0</v>
      </c>
      <c r="E35" s="371">
        <v>24</v>
      </c>
      <c r="F35" s="371" t="n">
        <v>408.0</v>
      </c>
      <c r="G35" s="9">
        <f t="shared" si="1"/>
        <v>2.3868342224290812E-3</v>
      </c>
    </row>
    <row r="36" spans="1:7" x14ac:dyDescent="0.45">
      <c r="A36">
        <v>25</v>
      </c>
      <c r="B36" s="6" t="n">
        <v>0.0</v>
      </c>
      <c r="C36" s="9">
        <f t="shared" si="0"/>
        <v>0</v>
      </c>
      <c r="E36" s="371">
        <v>25</v>
      </c>
      <c r="F36" s="371" t="n">
        <v>315.0</v>
      </c>
      <c r="G36" s="9">
        <f t="shared" si="1"/>
        <v>1.7364218968171565E-3</v>
      </c>
    </row>
    <row r="37" spans="1:7" x14ac:dyDescent="0.45">
      <c r="A37">
        <v>26</v>
      </c>
      <c r="B37" s="6" t="n">
        <v>0.0</v>
      </c>
      <c r="C37" s="9">
        <f t="shared" si="0"/>
        <v>0</v>
      </c>
      <c r="E37" s="371">
        <v>26</v>
      </c>
      <c r="F37" s="371" t="n">
        <v>280.0</v>
      </c>
      <c r="G37" s="9">
        <f t="shared" si="1"/>
        <v>1.6588497845882115E-3</v>
      </c>
    </row>
    <row r="38" spans="1:7" x14ac:dyDescent="0.45">
      <c r="A38">
        <v>27</v>
      </c>
      <c r="B38" s="6" t="n">
        <v>0.0</v>
      </c>
      <c r="C38" s="9">
        <f t="shared" si="0"/>
        <v>0</v>
      </c>
      <c r="E38" s="371">
        <v>27</v>
      </c>
      <c r="F38" s="371" t="n">
        <v>226.0</v>
      </c>
      <c r="G38" s="9">
        <f t="shared" si="1"/>
        <v>1.3724296778967217E-3</v>
      </c>
    </row>
    <row r="39" spans="1:7" x14ac:dyDescent="0.45">
      <c r="A39">
        <v>28</v>
      </c>
      <c r="B39" s="6" t="n">
        <v>363.531135753</v>
      </c>
      <c r="C39" s="9">
        <f t="shared" si="0"/>
        <v>1.959241495255185E-3</v>
      </c>
      <c r="E39" s="371">
        <v>28</v>
      </c>
      <c r="F39" s="371" t="n">
        <v>165.0</v>
      </c>
      <c r="G39" s="9">
        <f t="shared" si="1"/>
        <v>8.9506283341090546E-4</v>
      </c>
    </row>
    <row r="40" spans="1:7" x14ac:dyDescent="0.45">
      <c r="A40">
        <v>29</v>
      </c>
      <c r="B40" s="6" t="n">
        <v>543.221055857</v>
      </c>
      <c r="C40" s="9">
        <f t="shared" si="0"/>
        <v>2.9276755938025209E-3</v>
      </c>
      <c r="E40" s="371">
        <v>29</v>
      </c>
      <c r="F40" s="371" t="n">
        <v>153.0</v>
      </c>
      <c r="G40" s="9">
        <f t="shared" si="1"/>
        <v>9.4279951785948709E-4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127.0</v>
      </c>
      <c r="G41" s="9">
        <f t="shared" si="1"/>
        <v>7.9958946451374221E-4</v>
      </c>
    </row>
    <row r="42" spans="1:7" x14ac:dyDescent="0.45">
      <c r="A42">
        <v>31</v>
      </c>
      <c r="B42" s="6" t="n">
        <v>368.204446166</v>
      </c>
      <c r="C42" s="9">
        <f t="shared" si="0"/>
        <v>1.9844281788177695E-3</v>
      </c>
      <c r="E42" s="371">
        <v>31</v>
      </c>
      <c r="F42" s="371" t="n">
        <v>81.0</v>
      </c>
      <c r="G42" s="9">
        <f t="shared" si="1"/>
        <v>6.0267564116334301E-4</v>
      </c>
    </row>
    <row r="43" spans="1:7" x14ac:dyDescent="0.45">
      <c r="A43">
        <v>32</v>
      </c>
      <c r="B43" s="6" t="n">
        <v>0.0</v>
      </c>
      <c r="C43" s="9">
        <f t="shared" si="0"/>
        <v>0</v>
      </c>
      <c r="E43" s="371">
        <v>32</v>
      </c>
      <c r="F43" s="371" t="n">
        <v>70.0</v>
      </c>
      <c r="G43" s="9">
        <f t="shared" si="1"/>
        <v>4.2366307448116192E-4</v>
      </c>
    </row>
    <row r="44" spans="1:7" x14ac:dyDescent="0.45">
      <c r="A44">
        <v>33</v>
      </c>
      <c r="B44" s="6" t="n">
        <v>207.401519182</v>
      </c>
      <c r="C44" s="9">
        <f t="shared" si="0"/>
        <v>1.117785032961885E-3</v>
      </c>
      <c r="E44" s="371">
        <v>33</v>
      </c>
      <c r="F44" s="371" t="n">
        <v>73.0</v>
      </c>
      <c r="G44" s="9">
        <f t="shared" si="1"/>
        <v>4.4156433114938003E-4</v>
      </c>
    </row>
    <row r="45" spans="1:7" x14ac:dyDescent="0.45">
      <c r="A45">
        <v>34</v>
      </c>
      <c r="B45" s="6" t="n">
        <v>0.0</v>
      </c>
      <c r="C45" s="9">
        <f t="shared" si="0"/>
        <v>0</v>
      </c>
      <c r="E45" s="371">
        <v>34</v>
      </c>
      <c r="F45" s="371" t="n">
        <v>57.0</v>
      </c>
      <c r="G45" s="9">
        <f t="shared" si="1"/>
        <v>3.1028844891578056E-4</v>
      </c>
    </row>
    <row r="46" spans="1:7" x14ac:dyDescent="0.45">
      <c r="A46">
        <v>35</v>
      </c>
      <c r="B46" s="6" t="n">
        <v>163.668759911</v>
      </c>
      <c r="C46" s="9">
        <f t="shared" si="0"/>
        <v>8.8208847704441293E-4</v>
      </c>
      <c r="E46" s="371">
        <v>35</v>
      </c>
      <c r="F46" s="371" t="n">
        <v>30.0</v>
      </c>
      <c r="G46" s="9">
        <f t="shared" si="1"/>
        <v>2.5658467891112623E-4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30.0</v>
      </c>
      <c r="G47" s="9">
        <f t="shared" si="1"/>
        <v>2.6255176446719894E-4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40.0</v>
      </c>
      <c r="G48" s="9">
        <f t="shared" si="1"/>
        <v>1.7901256668218109E-4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39.0</v>
      </c>
      <c r="G49" s="9">
        <f t="shared" si="1"/>
        <v>1.849796522382538E-4</v>
      </c>
    </row>
    <row r="50" spans="1:7" x14ac:dyDescent="0.45">
      <c r="A50">
        <v>39</v>
      </c>
      <c r="B50" s="6" t="n">
        <v>0.0</v>
      </c>
      <c r="C50" s="9">
        <f t="shared" si="0"/>
        <v>0</v>
      </c>
      <c r="E50" s="371">
        <v>39</v>
      </c>
      <c r="F50" s="371" t="n">
        <v>27.0</v>
      </c>
      <c r="G50" s="9">
        <f t="shared" si="1"/>
        <v>1.909467377943265E-4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25.0</v>
      </c>
      <c r="G51" s="9">
        <f t="shared" si="1"/>
        <v>1.6707839557003569E-4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23.0</v>
      </c>
      <c r="G52" s="9">
        <f t="shared" si="1"/>
        <v>1.4917713890181758E-4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16.0</v>
      </c>
      <c r="G53" s="9">
        <f t="shared" si="1"/>
        <v>8.9506283341090546E-5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9.0</v>
      </c>
      <c r="G54" s="9">
        <f t="shared" si="1"/>
        <v>8.3539197785017843E-5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18.0</v>
      </c>
      <c r="G55" s="9">
        <f t="shared" si="1"/>
        <v>7.1605026672872437E-5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12.0</v>
      </c>
      <c r="G56" s="9">
        <f t="shared" si="1"/>
        <v>7.1605026672872437E-5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9.0</v>
      </c>
      <c r="G57" s="9">
        <f t="shared" si="1"/>
        <v>8.9506283341090546E-5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6.0</v>
      </c>
      <c r="G58" s="9">
        <f t="shared" si="1"/>
        <v>5.9670855560727031E-5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9.0</v>
      </c>
      <c r="G59" s="9">
        <f t="shared" si="1"/>
        <v>1.7901256668218109E-5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4.0</v>
      </c>
      <c r="G60" s="9">
        <f t="shared" si="1"/>
        <v>6.5637941116799734E-5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9.0</v>
      </c>
      <c r="G61" s="9">
        <f t="shared" si="1"/>
        <v>2.3868342224290812E-5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3.0</v>
      </c>
      <c r="G62" s="9">
        <f t="shared" si="1"/>
        <v>1.1934171112145406E-5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3.0</v>
      </c>
      <c r="G63" s="9">
        <f t="shared" si="1"/>
        <v>1.1934171112145406E-5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2.0</v>
      </c>
      <c r="G64" s="9">
        <f t="shared" si="1"/>
        <v>0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3.0</v>
      </c>
      <c r="G65" s="9">
        <f t="shared" si="1"/>
        <v>5.9670855560727031E-6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0.0</v>
      </c>
      <c r="G66" s="9">
        <f t="shared" si="1"/>
        <v>1.1934171112145406E-5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0.0</v>
      </c>
      <c r="G67" s="9">
        <f t="shared" si="1"/>
        <v>1.1934171112145406E-5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2.0</v>
      </c>
      <c r="G68" s="9">
        <f t="shared" si="1"/>
        <v>0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0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1.0</v>
      </c>
      <c r="G70" s="9">
        <f t="shared" si="1"/>
        <v>0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0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0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0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5.9670855560727031E-6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0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0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185546.87445799081</v>
      </c>
      <c r="C102" s="9">
        <f t="shared" si="2"/>
        <v>1</v>
      </c>
      <c r="F102" s="6">
        <f>SUM(F11:F101)</f>
        <v>167586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workbookViewId="0">
      <selection activeCell="D5" sqref="D5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6421.666277464999</v>
      </c>
      <c r="C11" s="9">
        <f>B11/B$102</f>
        <v>3.4609401512278842E-2</v>
      </c>
      <c r="E11" s="371">
        <v>0</v>
      </c>
      <c r="F11" s="371" t="n">
        <v>702.0</v>
      </c>
      <c r="G11" s="9">
        <f>F11/F$102</f>
        <v>4.3022686859284188E-3</v>
      </c>
      <c r="K11" s="6" t="n">
        <v>13.006868914961755</v>
      </c>
      <c r="L11" s="6" t="n">
        <v>13.82726190954084</v>
      </c>
    </row>
    <row r="12" spans="1:12" x14ac:dyDescent="0.45">
      <c r="A12">
        <v>1</v>
      </c>
      <c r="B12" s="6" t="n">
        <v>7648.6649553169</v>
      </c>
      <c r="C12" s="9">
        <f>B12/B$102</f>
        <v>4.1222278616439935E-2</v>
      </c>
      <c r="E12" s="371">
        <v>1</v>
      </c>
      <c r="F12" s="371" t="n">
        <v>4322.0</v>
      </c>
      <c r="G12" s="9">
        <f>F12/F$102</f>
        <v>2.5819579201126586E-2</v>
      </c>
      <c r="K12" s="6"/>
      <c r="L12" s="371"/>
    </row>
    <row r="13" spans="1:12" x14ac:dyDescent="0.45">
      <c r="A13">
        <v>2</v>
      </c>
      <c r="B13" s="6" t="n">
        <v>7659.3953825730005</v>
      </c>
      <c r="C13" s="9">
        <f t="shared" ref="C13:C76" si="0">B13/B$102</f>
        <v>4.1280109971925959E-2</v>
      </c>
      <c r="E13" s="371">
        <v>2</v>
      </c>
      <c r="F13" s="371" t="n">
        <v>8063.0</v>
      </c>
      <c r="G13" s="9">
        <f t="shared" ref="G13:G76" si="1">F13/F$102</f>
        <v>4.827372214862817E-2</v>
      </c>
    </row>
    <row r="14" spans="1:12" x14ac:dyDescent="0.45">
      <c r="A14">
        <v>3</v>
      </c>
      <c r="B14" s="6" t="n">
        <v>11138.1608098898</v>
      </c>
      <c r="C14" s="9">
        <f t="shared" si="0"/>
        <v>6.0028824750758936E-2</v>
      </c>
      <c r="E14" s="371">
        <v>3</v>
      </c>
      <c r="F14" s="371" t="n">
        <v>11623.0</v>
      </c>
      <c r="G14" s="9">
        <f t="shared" si="1"/>
        <v>6.7875598200327E-2</v>
      </c>
    </row>
    <row r="15" spans="1:12" x14ac:dyDescent="0.45">
      <c r="A15">
        <v>4</v>
      </c>
      <c r="B15" s="6" t="n">
        <v>12092.613692835701</v>
      </c>
      <c r="C15" s="9">
        <f t="shared" si="0"/>
        <v>6.5172823461241106E-2</v>
      </c>
      <c r="E15" s="371">
        <v>4</v>
      </c>
      <c r="F15" s="371" t="n">
        <v>11924.0</v>
      </c>
      <c r="G15" s="9">
        <f t="shared" si="1"/>
        <v>7.238074779516189E-2</v>
      </c>
    </row>
    <row r="16" spans="1:12" x14ac:dyDescent="0.45">
      <c r="A16">
        <v>5</v>
      </c>
      <c r="B16" s="6" t="n">
        <v>9955.3547071744</v>
      </c>
      <c r="C16" s="9">
        <f t="shared" si="0"/>
        <v>5.3654122368029251E-2</v>
      </c>
      <c r="E16" s="371">
        <v>5</v>
      </c>
      <c r="F16" s="371" t="n">
        <v>11553.0</v>
      </c>
      <c r="G16" s="9">
        <f t="shared" si="1"/>
        <v>6.9242060792667648E-2</v>
      </c>
    </row>
    <row r="17" spans="1:7" x14ac:dyDescent="0.45">
      <c r="A17">
        <v>6</v>
      </c>
      <c r="B17" s="6" t="n">
        <v>11678.0711846497</v>
      </c>
      <c r="C17" s="9">
        <f t="shared" si="0"/>
        <v>6.2938657515859697E-2</v>
      </c>
      <c r="E17" s="371">
        <v>6</v>
      </c>
      <c r="F17" s="371" t="n">
        <v>11433.0</v>
      </c>
      <c r="G17" s="9">
        <f t="shared" si="1"/>
        <v>6.7613046435859803E-2</v>
      </c>
    </row>
    <row r="18" spans="1:7" x14ac:dyDescent="0.45">
      <c r="A18">
        <v>7</v>
      </c>
      <c r="B18" s="6" t="n">
        <v>15849.1547037983</v>
      </c>
      <c r="C18" s="9">
        <f t="shared" si="0"/>
        <v>8.5418602442622477E-2</v>
      </c>
      <c r="E18" s="371">
        <v>7</v>
      </c>
      <c r="F18" s="371" t="n">
        <v>11099.0</v>
      </c>
      <c r="G18" s="9">
        <f t="shared" si="1"/>
        <v>6.6001933335720173E-2</v>
      </c>
    </row>
    <row r="19" spans="1:7" x14ac:dyDescent="0.45">
      <c r="A19">
        <v>8</v>
      </c>
      <c r="B19" s="6" t="n">
        <v>10534.341986551899</v>
      </c>
      <c r="C19" s="9">
        <f t="shared" si="0"/>
        <v>5.6774559082842173E-2</v>
      </c>
      <c r="E19" s="371">
        <v>8</v>
      </c>
      <c r="F19" s="371" t="n">
        <v>9937.0</v>
      </c>
      <c r="G19" s="9">
        <f t="shared" si="1"/>
        <v>5.9933407325194227E-2</v>
      </c>
    </row>
    <row r="20" spans="1:7" x14ac:dyDescent="0.45">
      <c r="A20">
        <v>9</v>
      </c>
      <c r="B20" s="6" t="n">
        <v>7623.188114451</v>
      </c>
      <c r="C20" s="9">
        <f t="shared" si="0"/>
        <v>4.1084971852635259E-2</v>
      </c>
      <c r="E20" s="371">
        <v>9</v>
      </c>
      <c r="F20" s="371" t="n">
        <v>9285.0</v>
      </c>
      <c r="G20" s="9">
        <f t="shared" si="1"/>
        <v>5.2928048882364874E-2</v>
      </c>
    </row>
    <row r="21" spans="1:7" x14ac:dyDescent="0.45">
      <c r="A21">
        <v>10</v>
      </c>
      <c r="B21" s="6" t="n">
        <v>8607.2317230995</v>
      </c>
      <c r="C21" s="9">
        <f t="shared" si="0"/>
        <v>4.6388449001054127E-2</v>
      </c>
      <c r="E21" s="371">
        <v>10</v>
      </c>
      <c r="F21" s="371" t="n">
        <v>7719.0</v>
      </c>
      <c r="G21" s="9">
        <f t="shared" si="1"/>
        <v>4.5857052498418725E-2</v>
      </c>
    </row>
    <row r="22" spans="1:7" x14ac:dyDescent="0.45">
      <c r="A22">
        <v>11</v>
      </c>
      <c r="B22" s="6" t="n">
        <v>5954.9469560686</v>
      </c>
      <c r="C22" s="9">
        <f t="shared" si="0"/>
        <v>3.209403000435259E-2</v>
      </c>
      <c r="E22" s="371">
        <v>11</v>
      </c>
      <c r="F22" s="371" t="n">
        <v>6376.0</v>
      </c>
      <c r="G22" s="9">
        <f t="shared" si="1"/>
        <v>3.6876588736529305E-2</v>
      </c>
    </row>
    <row r="23" spans="1:7" x14ac:dyDescent="0.45">
      <c r="A23">
        <v>12</v>
      </c>
      <c r="B23" s="6" t="n">
        <v>3333.701942628</v>
      </c>
      <c r="C23" s="9">
        <f t="shared" si="0"/>
        <v>1.7966898943279019E-2</v>
      </c>
      <c r="E23" s="371">
        <v>12</v>
      </c>
      <c r="F23" s="371" t="n">
        <v>5341.0</v>
      </c>
      <c r="G23" s="9">
        <f t="shared" si="1"/>
        <v>3.193584189610111E-2</v>
      </c>
    </row>
    <row r="24" spans="1:7" x14ac:dyDescent="0.45">
      <c r="A24">
        <v>13</v>
      </c>
      <c r="B24" s="6" t="n">
        <v>2313.0008537875</v>
      </c>
      <c r="C24" s="9">
        <f t="shared" si="0"/>
        <v>1.2465857269458779E-2</v>
      </c>
      <c r="E24" s="371">
        <v>13</v>
      </c>
      <c r="F24" s="371" t="n">
        <v>4072.0</v>
      </c>
      <c r="G24" s="9">
        <f t="shared" si="1"/>
        <v>2.4250235699879465E-2</v>
      </c>
    </row>
    <row r="25" spans="1:7" x14ac:dyDescent="0.45">
      <c r="A25">
        <v>14</v>
      </c>
      <c r="B25" s="6" t="n">
        <v>4610.505112596</v>
      </c>
      <c r="C25" s="9">
        <f t="shared" si="0"/>
        <v>2.4848196047839395E-2</v>
      </c>
      <c r="E25" s="371">
        <v>14</v>
      </c>
      <c r="F25" s="371" t="n">
        <v>3411.0</v>
      </c>
      <c r="G25" s="9">
        <f t="shared" si="1"/>
        <v>1.9560106452806321E-2</v>
      </c>
    </row>
    <row r="26" spans="1:7" x14ac:dyDescent="0.45">
      <c r="A26">
        <v>15</v>
      </c>
      <c r="B26" s="6" t="n">
        <v>2316.43582566</v>
      </c>
      <c r="C26" s="9">
        <f t="shared" si="0"/>
        <v>1.2484369960025698E-2</v>
      </c>
      <c r="E26" s="371">
        <v>15</v>
      </c>
      <c r="F26" s="371" t="n">
        <v>3065.0</v>
      </c>
      <c r="G26" s="9">
        <f t="shared" si="1"/>
        <v>1.849796522382538E-2</v>
      </c>
    </row>
    <row r="27" spans="1:7" x14ac:dyDescent="0.45">
      <c r="A27">
        <v>16</v>
      </c>
      <c r="B27" s="6" t="n">
        <v>2333.7383878250002</v>
      </c>
      <c r="C27" s="9">
        <f t="shared" si="0"/>
        <v>1.2577621663755785E-2</v>
      </c>
      <c r="E27" s="371">
        <v>16</v>
      </c>
      <c r="F27" s="371" t="n">
        <v>3540.0</v>
      </c>
      <c r="G27" s="9">
        <f t="shared" si="1"/>
        <v>2.0240354206198609E-2</v>
      </c>
    </row>
    <row r="28" spans="1:7" x14ac:dyDescent="0.45">
      <c r="A28">
        <v>17</v>
      </c>
      <c r="B28" s="6" t="n">
        <v>3229.2653198870003</v>
      </c>
      <c r="C28" s="9">
        <f t="shared" si="0"/>
        <v>1.740404051170439E-2</v>
      </c>
      <c r="E28" s="371">
        <v>17</v>
      </c>
      <c r="F28" s="371" t="n">
        <v>2470.0</v>
      </c>
      <c r="G28" s="9">
        <f t="shared" si="1"/>
        <v>1.5627797071354411E-2</v>
      </c>
    </row>
    <row r="29" spans="1:7" x14ac:dyDescent="0.45">
      <c r="A29">
        <v>18</v>
      </c>
      <c r="B29" s="6" t="n">
        <v>2122.9750474377</v>
      </c>
      <c r="C29" s="9">
        <f t="shared" si="0"/>
        <v>1.1441718183823989E-2</v>
      </c>
      <c r="E29" s="371">
        <v>18</v>
      </c>
      <c r="F29" s="371" t="n">
        <v>3423.0</v>
      </c>
      <c r="G29" s="9">
        <f t="shared" si="1"/>
        <v>1.8784385330516868E-2</v>
      </c>
    </row>
    <row r="30" spans="1:7" x14ac:dyDescent="0.45">
      <c r="A30">
        <v>19</v>
      </c>
      <c r="B30" s="6" t="n">
        <v>4025.071606212</v>
      </c>
      <c r="C30" s="9">
        <f t="shared" si="0"/>
        <v>2.1693017562111002E-2</v>
      </c>
      <c r="E30" s="371">
        <v>19</v>
      </c>
      <c r="F30" s="371" t="n">
        <v>2940.0</v>
      </c>
      <c r="G30" s="9">
        <f t="shared" si="1"/>
        <v>1.6970391321470768E-2</v>
      </c>
    </row>
    <row r="31" spans="1:7" x14ac:dyDescent="0.45">
      <c r="A31">
        <v>20</v>
      </c>
      <c r="B31" s="6" t="n">
        <v>2389.414101482</v>
      </c>
      <c r="C31" s="9">
        <f t="shared" si="0"/>
        <v>1.2877684458236354E-2</v>
      </c>
      <c r="E31" s="371">
        <v>20</v>
      </c>
      <c r="F31" s="371" t="n">
        <v>2681.0</v>
      </c>
      <c r="G31" s="9">
        <f t="shared" si="1"/>
        <v>1.5269771937990046E-2</v>
      </c>
    </row>
    <row r="32" spans="1:7" x14ac:dyDescent="0.45">
      <c r="A32">
        <v>21</v>
      </c>
      <c r="B32" s="6" t="n">
        <v>1815.4745317674</v>
      </c>
      <c r="C32" s="9">
        <f t="shared" si="0"/>
        <v>9.7844522418966268E-3</v>
      </c>
      <c r="E32" s="371">
        <v>21</v>
      </c>
      <c r="F32" s="371" t="n">
        <v>2650.0</v>
      </c>
      <c r="G32" s="9">
        <f t="shared" si="1"/>
        <v>1.5228002339097537E-2</v>
      </c>
    </row>
    <row r="33" spans="1:7" x14ac:dyDescent="0.45">
      <c r="A33">
        <v>22</v>
      </c>
      <c r="B33" s="6" t="n">
        <v>6727.0156542330005</v>
      </c>
      <c r="C33" s="9">
        <f t="shared" si="0"/>
        <v>3.6255073947667318E-2</v>
      </c>
      <c r="E33" s="371">
        <v>22</v>
      </c>
      <c r="F33" s="371" t="n">
        <v>2488.0</v>
      </c>
      <c r="G33" s="9">
        <f t="shared" si="1"/>
        <v>1.5687467926915135E-2</v>
      </c>
    </row>
    <row r="34" spans="1:7" x14ac:dyDescent="0.45">
      <c r="A34">
        <v>23</v>
      </c>
      <c r="B34" s="6" t="n">
        <v>852.522173685</v>
      </c>
      <c r="C34" s="9">
        <f t="shared" si="0"/>
        <v>4.5946458337028867E-3</v>
      </c>
      <c r="E34" s="371">
        <v>23</v>
      </c>
      <c r="F34" s="371" t="n">
        <v>2382.0</v>
      </c>
      <c r="G34" s="9">
        <f t="shared" si="1"/>
        <v>1.3026147768906711E-2</v>
      </c>
    </row>
    <row r="35" spans="1:7" x14ac:dyDescent="0.45">
      <c r="A35">
        <v>24</v>
      </c>
      <c r="B35" s="6" t="n">
        <v>3489.720754053</v>
      </c>
      <c r="C35" s="9">
        <f t="shared" si="0"/>
        <v>1.8807758224152132E-2</v>
      </c>
      <c r="E35" s="371">
        <v>24</v>
      </c>
      <c r="F35" s="371" t="n">
        <v>1785.0</v>
      </c>
      <c r="G35" s="9">
        <f t="shared" si="1"/>
        <v>1.1391166326542791E-2</v>
      </c>
    </row>
    <row r="36" spans="1:7" x14ac:dyDescent="0.45">
      <c r="A36">
        <v>25</v>
      </c>
      <c r="B36" s="6" t="n">
        <v>1306.877377669</v>
      </c>
      <c r="C36" s="9">
        <f t="shared" si="0"/>
        <v>7.0433812560118693E-3</v>
      </c>
      <c r="E36" s="371">
        <v>25</v>
      </c>
      <c r="F36" s="371" t="n">
        <v>1933.0</v>
      </c>
      <c r="G36" s="9">
        <f t="shared" si="1"/>
        <v>1.1486639695439954E-2</v>
      </c>
    </row>
    <row r="37" spans="1:7" x14ac:dyDescent="0.45">
      <c r="A37">
        <v>26</v>
      </c>
      <c r="B37" s="6" t="n">
        <v>8990.676427386</v>
      </c>
      <c r="C37" s="9">
        <f t="shared" si="0"/>
        <v>4.8455014150192849E-2</v>
      </c>
      <c r="E37" s="371">
        <v>26</v>
      </c>
      <c r="F37" s="371" t="n">
        <v>1842.0</v>
      </c>
      <c r="G37" s="9">
        <f t="shared" si="1"/>
        <v>1.0269354242001122E-2</v>
      </c>
    </row>
    <row r="38" spans="1:7" x14ac:dyDescent="0.45">
      <c r="A38">
        <v>27</v>
      </c>
      <c r="B38" s="6" t="n">
        <v>0.0</v>
      </c>
      <c r="C38" s="9">
        <f t="shared" si="0"/>
        <v>0</v>
      </c>
      <c r="E38" s="371">
        <v>27</v>
      </c>
      <c r="F38" s="371" t="n">
        <v>1738.0</v>
      </c>
      <c r="G38" s="9">
        <f t="shared" si="1"/>
        <v>1.0221617557552539E-2</v>
      </c>
    </row>
    <row r="39" spans="1:7" x14ac:dyDescent="0.45">
      <c r="A39">
        <v>28</v>
      </c>
      <c r="B39" s="6" t="n">
        <v>0.0</v>
      </c>
      <c r="C39" s="9">
        <f t="shared" si="0"/>
        <v>0</v>
      </c>
      <c r="E39" s="371">
        <v>28</v>
      </c>
      <c r="F39" s="371" t="n">
        <v>1515.0</v>
      </c>
      <c r="G39" s="9">
        <f t="shared" si="1"/>
        <v>9.0819042163426539E-3</v>
      </c>
    </row>
    <row r="40" spans="1:7" x14ac:dyDescent="0.45">
      <c r="A40">
        <v>29</v>
      </c>
      <c r="B40" s="6" t="n">
        <v>1175.161806947</v>
      </c>
      <c r="C40" s="9">
        <f t="shared" si="0"/>
        <v>6.3335036517312253E-3</v>
      </c>
      <c r="E40" s="371">
        <v>29</v>
      </c>
      <c r="F40" s="371" t="n">
        <v>1411.0</v>
      </c>
      <c r="G40" s="9">
        <f t="shared" si="1"/>
        <v>8.8491878796558184E-3</v>
      </c>
    </row>
    <row r="41" spans="1:7" x14ac:dyDescent="0.45">
      <c r="A41">
        <v>30</v>
      </c>
      <c r="B41" s="6" t="n">
        <v>1090.9683622523</v>
      </c>
      <c r="C41" s="9">
        <f t="shared" si="0"/>
        <v>5.879745295840612E-3</v>
      </c>
      <c r="E41" s="371">
        <v>30</v>
      </c>
      <c r="F41" s="371" t="n">
        <v>1312.0</v>
      </c>
      <c r="G41" s="9">
        <f t="shared" si="1"/>
        <v>8.2644134951606937E-3</v>
      </c>
    </row>
    <row r="42" spans="1:7" x14ac:dyDescent="0.45">
      <c r="A42">
        <v>31</v>
      </c>
      <c r="B42" s="6" t="n">
        <v>2591.576724362</v>
      </c>
      <c r="C42" s="9">
        <f t="shared" si="0"/>
        <v>1.3967234597361822E-2</v>
      </c>
      <c r="E42" s="371">
        <v>31</v>
      </c>
      <c r="F42" s="371" t="n">
        <v>1287.0</v>
      </c>
      <c r="G42" s="9">
        <f t="shared" si="1"/>
        <v>6.6950699939135726E-3</v>
      </c>
    </row>
    <row r="43" spans="1:7" x14ac:dyDescent="0.45">
      <c r="A43">
        <v>32</v>
      </c>
      <c r="B43" s="6" t="n">
        <v>497.46684811800003</v>
      </c>
      <c r="C43" s="9">
        <f t="shared" si="0"/>
        <v>2.6810844945309507E-3</v>
      </c>
      <c r="E43" s="371">
        <v>32</v>
      </c>
      <c r="F43" s="371" t="n">
        <v>1131.0</v>
      </c>
      <c r="G43" s="9">
        <f t="shared" si="1"/>
        <v>6.7726421061425181E-3</v>
      </c>
    </row>
    <row r="44" spans="1:7" x14ac:dyDescent="0.45">
      <c r="A44">
        <v>33</v>
      </c>
      <c r="B44" s="6" t="n">
        <v>3090.989389621</v>
      </c>
      <c r="C44" s="9">
        <f t="shared" si="0"/>
        <v>1.6658806022199112E-2</v>
      </c>
      <c r="E44" s="371">
        <v>33</v>
      </c>
      <c r="F44" s="371" t="n">
        <v>1058.0</v>
      </c>
      <c r="G44" s="9">
        <f t="shared" si="1"/>
        <v>6.4384853150024467E-3</v>
      </c>
    </row>
    <row r="45" spans="1:7" x14ac:dyDescent="0.45">
      <c r="A45">
        <v>34</v>
      </c>
      <c r="B45" s="6" t="n">
        <v>479.565616742</v>
      </c>
      <c r="C45" s="9">
        <f t="shared" si="0"/>
        <v>2.5846062788332075E-3</v>
      </c>
      <c r="E45" s="371">
        <v>34</v>
      </c>
      <c r="F45" s="371" t="n">
        <v>998.0</v>
      </c>
      <c r="G45" s="9">
        <f t="shared" si="1"/>
        <v>5.9193488716241215E-3</v>
      </c>
    </row>
    <row r="46" spans="1:7" x14ac:dyDescent="0.45">
      <c r="A46">
        <v>35</v>
      </c>
      <c r="B46" s="6" t="n">
        <v>262.266729046</v>
      </c>
      <c r="C46" s="9">
        <f t="shared" si="0"/>
        <v>1.4134796385663676E-3</v>
      </c>
      <c r="E46" s="371">
        <v>35</v>
      </c>
      <c r="F46" s="371" t="n">
        <v>861.0</v>
      </c>
      <c r="G46" s="9">
        <f t="shared" si="1"/>
        <v>5.2510352893439787E-3</v>
      </c>
    </row>
    <row r="47" spans="1:7" x14ac:dyDescent="0.45">
      <c r="A47">
        <v>36</v>
      </c>
      <c r="B47" s="6" t="n">
        <v>3215.8599660269997</v>
      </c>
      <c r="C47" s="9">
        <f t="shared" si="0"/>
        <v>1.7331792709637341E-2</v>
      </c>
      <c r="E47" s="371">
        <v>36</v>
      </c>
      <c r="F47" s="371" t="n">
        <v>844.0</v>
      </c>
      <c r="G47" s="9">
        <f t="shared" si="1"/>
        <v>5.0899239793300161E-3</v>
      </c>
    </row>
    <row r="48" spans="1:7" x14ac:dyDescent="0.45">
      <c r="A48">
        <v>37</v>
      </c>
      <c r="B48" s="6" t="n">
        <v>419.47484465</v>
      </c>
      <c r="C48" s="9">
        <f t="shared" si="0"/>
        <v>2.2607486430334467E-3</v>
      </c>
      <c r="E48" s="371">
        <v>37</v>
      </c>
      <c r="F48" s="371" t="n">
        <v>691.0</v>
      </c>
      <c r="G48" s="9">
        <f t="shared" si="1"/>
        <v>4.2246965736994734E-3</v>
      </c>
    </row>
    <row r="49" spans="1:7" x14ac:dyDescent="0.45">
      <c r="A49">
        <v>38</v>
      </c>
      <c r="B49" s="6" t="n">
        <v>1113.06873554</v>
      </c>
      <c r="C49" s="9">
        <f t="shared" si="0"/>
        <v>5.9988546764338357E-3</v>
      </c>
      <c r="E49" s="371">
        <v>38</v>
      </c>
      <c r="F49" s="371" t="n">
        <v>602.0</v>
      </c>
      <c r="G49" s="9">
        <f t="shared" si="1"/>
        <v>3.7592639003258027E-3</v>
      </c>
    </row>
    <row r="50" spans="1:7" x14ac:dyDescent="0.45">
      <c r="A50">
        <v>39</v>
      </c>
      <c r="B50" s="6" t="n">
        <v>290.9780584714</v>
      </c>
      <c r="C50" s="9">
        <f t="shared" si="0"/>
        <v>1.5682185933952749E-3</v>
      </c>
      <c r="E50" s="371">
        <v>39</v>
      </c>
      <c r="F50" s="371" t="n">
        <v>600.0</v>
      </c>
      <c r="G50" s="9">
        <f t="shared" si="1"/>
        <v>3.6339551036482761E-3</v>
      </c>
    </row>
    <row r="51" spans="1:7" x14ac:dyDescent="0.45">
      <c r="A51">
        <v>40</v>
      </c>
      <c r="B51" s="6" t="n">
        <v>828.5122630469999</v>
      </c>
      <c r="C51" s="9">
        <f t="shared" si="0"/>
        <v>4.4652450517811406E-3</v>
      </c>
      <c r="E51" s="371">
        <v>40</v>
      </c>
      <c r="F51" s="371" t="n">
        <v>472.0</v>
      </c>
      <c r="G51" s="9">
        <f t="shared" si="1"/>
        <v>2.8821023235831157E-3</v>
      </c>
    </row>
    <row r="52" spans="1:7" x14ac:dyDescent="0.45">
      <c r="A52">
        <v>41</v>
      </c>
      <c r="B52" s="6" t="n">
        <v>5.1375</v>
      </c>
      <c r="C52" s="9">
        <f t="shared" si="0"/>
        <v>2.7688421133513451E-5</v>
      </c>
      <c r="E52" s="371">
        <v>41</v>
      </c>
      <c r="F52" s="371" t="n">
        <v>474.0</v>
      </c>
      <c r="G52" s="9">
        <f t="shared" si="1"/>
        <v>2.9000035802513335E-3</v>
      </c>
    </row>
    <row r="53" spans="1:7" x14ac:dyDescent="0.45">
      <c r="A53">
        <v>42</v>
      </c>
      <c r="B53" s="6" t="n">
        <v>86.794586259</v>
      </c>
      <c r="C53" s="9">
        <f t="shared" si="0"/>
        <v>4.6777713994126556E-4</v>
      </c>
      <c r="E53" s="371">
        <v>42</v>
      </c>
      <c r="F53" s="371" t="n">
        <v>454.0</v>
      </c>
      <c r="G53" s="9">
        <f t="shared" si="1"/>
        <v>2.5897151313355529E-3</v>
      </c>
    </row>
    <row r="54" spans="1:7" x14ac:dyDescent="0.45">
      <c r="A54">
        <v>43</v>
      </c>
      <c r="B54" s="6" t="n">
        <v>212.839593796</v>
      </c>
      <c r="C54" s="9">
        <f t="shared" si="0"/>
        <v>1.1470933930724254E-3</v>
      </c>
      <c r="E54" s="371">
        <v>43</v>
      </c>
      <c r="F54" s="371" t="n">
        <v>401.0</v>
      </c>
      <c r="G54" s="9">
        <f t="shared" si="1"/>
        <v>2.2973279390879906E-3</v>
      </c>
    </row>
    <row r="55" spans="1:7" x14ac:dyDescent="0.45">
      <c r="A55">
        <v>44</v>
      </c>
      <c r="B55" s="6" t="n">
        <v>1525.131380749</v>
      </c>
      <c r="C55" s="9">
        <f t="shared" si="0"/>
        <v>8.219655465521199E-3</v>
      </c>
      <c r="E55" s="371">
        <v>44</v>
      </c>
      <c r="F55" s="371" t="n">
        <v>337.0</v>
      </c>
      <c r="G55" s="9">
        <f t="shared" si="1"/>
        <v>2.1779862279665365E-3</v>
      </c>
    </row>
    <row r="56" spans="1:7" x14ac:dyDescent="0.45">
      <c r="A56">
        <v>45</v>
      </c>
      <c r="B56" s="6" t="n">
        <v>145.521851989</v>
      </c>
      <c r="C56" s="9">
        <f t="shared" si="0"/>
        <v>7.8428619406330788E-4</v>
      </c>
      <c r="E56" s="371">
        <v>45</v>
      </c>
      <c r="F56" s="371" t="n">
        <v>323.0</v>
      </c>
      <c r="G56" s="9">
        <f t="shared" si="1"/>
        <v>1.8318952657143197E-3</v>
      </c>
    </row>
    <row r="57" spans="1:7" x14ac:dyDescent="0.45">
      <c r="A57">
        <v>46</v>
      </c>
      <c r="B57" s="6" t="n">
        <v>423.619718723</v>
      </c>
      <c r="C57" s="9">
        <f t="shared" si="0"/>
        <v>2.2830873328395012E-3</v>
      </c>
      <c r="E57" s="371">
        <v>46</v>
      </c>
      <c r="F57" s="371" t="n">
        <v>268.0</v>
      </c>
      <c r="G57" s="9">
        <f t="shared" si="1"/>
        <v>1.5991789290274844E-3</v>
      </c>
    </row>
    <row r="58" spans="1:7" x14ac:dyDescent="0.45">
      <c r="A58">
        <v>47</v>
      </c>
      <c r="B58" s="6" t="n">
        <v>514.0966729920001</v>
      </c>
      <c r="C58" s="9">
        <f t="shared" si="0"/>
        <v>2.7707104983242139E-3</v>
      </c>
      <c r="E58" s="371">
        <v>47</v>
      </c>
      <c r="F58" s="371" t="n">
        <v>237.0</v>
      </c>
      <c r="G58" s="9">
        <f t="shared" si="1"/>
        <v>1.605146014583557E-3</v>
      </c>
    </row>
    <row r="59" spans="1:7" x14ac:dyDescent="0.45">
      <c r="A59">
        <v>48</v>
      </c>
      <c r="B59" s="6" t="n">
        <v>250.75810084469998</v>
      </c>
      <c r="C59" s="9">
        <f t="shared" si="0"/>
        <v>1.3514541895529126E-3</v>
      </c>
      <c r="E59" s="371">
        <v>48</v>
      </c>
      <c r="F59" s="371" t="n">
        <v>190.0</v>
      </c>
      <c r="G59" s="9">
        <f t="shared" si="1"/>
        <v>1.3664625923406489E-3</v>
      </c>
    </row>
    <row r="60" spans="1:7" x14ac:dyDescent="0.45">
      <c r="A60">
        <v>49</v>
      </c>
      <c r="B60" s="6" t="n">
        <v>224.25520624400002</v>
      </c>
      <c r="C60" s="9">
        <f t="shared" si="0"/>
        <v>1.2086175361297885E-3</v>
      </c>
      <c r="E60" s="371">
        <v>49</v>
      </c>
      <c r="F60" s="371" t="n">
        <v>228.0</v>
      </c>
      <c r="G60" s="9">
        <f t="shared" si="1"/>
        <v>1.3008246512238493E-3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158.0</v>
      </c>
      <c r="G61" s="9">
        <f t="shared" si="1"/>
        <v>1.1158449989855954E-3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140.0</v>
      </c>
      <c r="G62" s="9">
        <f t="shared" si="1"/>
        <v>9.5473368897163249E-4</v>
      </c>
    </row>
    <row r="63" spans="1:7" x14ac:dyDescent="0.45">
      <c r="A63">
        <v>52</v>
      </c>
      <c r="B63" s="6" t="n">
        <v>363.531135753</v>
      </c>
      <c r="C63" s="9">
        <f t="shared" si="0"/>
        <v>1.959241495255185E-3</v>
      </c>
      <c r="E63" s="371">
        <v>52</v>
      </c>
      <c r="F63" s="371" t="n">
        <v>124.0</v>
      </c>
      <c r="G63" s="9">
        <f t="shared" si="1"/>
        <v>9.0102991896697817E-4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128.0</v>
      </c>
      <c r="G64" s="9">
        <f t="shared" si="1"/>
        <v>7.697540367333787E-4</v>
      </c>
    </row>
    <row r="65" spans="1:7" x14ac:dyDescent="0.45">
      <c r="A65">
        <v>54</v>
      </c>
      <c r="B65" s="6" t="n">
        <v>145.521851989</v>
      </c>
      <c r="C65" s="9">
        <f t="shared" si="0"/>
        <v>7.8428619406330788E-4</v>
      </c>
      <c r="E65" s="371">
        <v>54</v>
      </c>
      <c r="F65" s="371" t="n">
        <v>101.0</v>
      </c>
      <c r="G65" s="9">
        <f t="shared" si="1"/>
        <v>7.2798443784086978E-4</v>
      </c>
    </row>
    <row r="66" spans="1:7" x14ac:dyDescent="0.45">
      <c r="A66">
        <v>55</v>
      </c>
      <c r="B66" s="6" t="n">
        <v>232.100097862</v>
      </c>
      <c r="C66" s="9">
        <f t="shared" si="0"/>
        <v>1.2508973731839886E-3</v>
      </c>
      <c r="E66" s="371">
        <v>55</v>
      </c>
      <c r="F66" s="371" t="n">
        <v>103.0</v>
      </c>
      <c r="G66" s="9">
        <f t="shared" si="1"/>
        <v>7.4588569450908789E-4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100.0</v>
      </c>
      <c r="G67" s="9">
        <f t="shared" si="1"/>
        <v>4.8930101559796165E-4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91.0</v>
      </c>
      <c r="G68" s="9">
        <f t="shared" si="1"/>
        <v>6.2654398338763382E-4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76.0</v>
      </c>
      <c r="G69" s="9">
        <f t="shared" si="1"/>
        <v>4.2366307448116192E-4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66.0</v>
      </c>
      <c r="G70" s="9">
        <f t="shared" si="1"/>
        <v>4.6543267337367084E-4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93.0</v>
      </c>
      <c r="G71" s="9">
        <f t="shared" si="1"/>
        <v>5.3107061449047057E-4</v>
      </c>
    </row>
    <row r="72" spans="1:7" x14ac:dyDescent="0.45">
      <c r="A72">
        <v>61</v>
      </c>
      <c r="B72" s="6" t="n">
        <v>985.236238173</v>
      </c>
      <c r="C72" s="9">
        <f t="shared" si="0"/>
        <v>5.3099047938749552E-3</v>
      </c>
      <c r="E72" s="371">
        <v>61</v>
      </c>
      <c r="F72" s="371" t="n">
        <v>74.0</v>
      </c>
      <c r="G72" s="9">
        <f t="shared" si="1"/>
        <v>4.7736684448581625E-4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66.0</v>
      </c>
      <c r="G73" s="9">
        <f t="shared" si="1"/>
        <v>5.1913644337832517E-4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74.0</v>
      </c>
      <c r="G74" s="9">
        <f t="shared" si="1"/>
        <v>4.7736684448581625E-4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68.0</v>
      </c>
      <c r="G75" s="9">
        <f t="shared" si="1"/>
        <v>3.6399221892043489E-4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64.0</v>
      </c>
      <c r="G76" s="9">
        <f t="shared" si="1"/>
        <v>3.2222262002792597E-4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43.0</v>
      </c>
      <c r="G77" s="9">
        <f t="shared" ref="G77:G102" si="3">F77/F$102</f>
        <v>3.2222262002792597E-4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69.0</v>
      </c>
      <c r="G78" s="9">
        <f t="shared" si="3"/>
        <v>3.938276467007984E-4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60.0</v>
      </c>
      <c r="G79" s="9">
        <f t="shared" si="3"/>
        <v>2.7448593557934434E-4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47.0</v>
      </c>
      <c r="G80" s="9">
        <f t="shared" si="3"/>
        <v>3.0432136335970786E-4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68.0</v>
      </c>
      <c r="G81" s="9">
        <f t="shared" si="3"/>
        <v>3.6399221892043489E-4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34.0</v>
      </c>
      <c r="G82" s="9">
        <f t="shared" si="3"/>
        <v>1.909467377943265E-4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72.0</v>
      </c>
      <c r="G83" s="9">
        <f t="shared" si="3"/>
        <v>3.6399221892043489E-4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35.0</v>
      </c>
      <c r="G84" s="9">
        <f t="shared" si="3"/>
        <v>2.5061759335505353E-4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22.0</v>
      </c>
      <c r="G85" s="9">
        <f t="shared" si="3"/>
        <v>2.028809089064719E-4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32.0</v>
      </c>
      <c r="G86" s="9">
        <f t="shared" si="3"/>
        <v>1.849796522382538E-4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38.0</v>
      </c>
      <c r="G87" s="9">
        <f t="shared" si="3"/>
        <v>2.0884799446254461E-4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33.0</v>
      </c>
      <c r="G88" s="9">
        <f t="shared" si="3"/>
        <v>1.6707839557003569E-4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26.0</v>
      </c>
      <c r="G89" s="9">
        <f t="shared" si="3"/>
        <v>1.6111131001396298E-4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30.0</v>
      </c>
      <c r="G90" s="9">
        <f t="shared" si="3"/>
        <v>1.7901256668218109E-4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23.0</v>
      </c>
      <c r="G91" s="9">
        <f t="shared" si="3"/>
        <v>1.7304548112610839E-4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32.0</v>
      </c>
      <c r="G92" s="9">
        <f t="shared" si="3"/>
        <v>1.969138233503992E-4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37.0</v>
      </c>
      <c r="G93" s="9">
        <f t="shared" si="3"/>
        <v>1.6707839557003569E-4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32.0</v>
      </c>
      <c r="G94" s="9">
        <f t="shared" si="3"/>
        <v>2.028809089064719E-4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61.0</v>
      </c>
      <c r="G95" s="9">
        <f t="shared" si="3"/>
        <v>2.7448593557934434E-4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25.0</v>
      </c>
      <c r="G96" s="9">
        <f t="shared" si="3"/>
        <v>1.3127588223359947E-4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25.0</v>
      </c>
      <c r="G97" s="9">
        <f t="shared" si="3"/>
        <v>1.1337462556538136E-4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13.0</v>
      </c>
      <c r="G98" s="9">
        <f t="shared" si="3"/>
        <v>1.1934171112145406E-4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33.0</v>
      </c>
      <c r="G99" s="9">
        <f t="shared" si="3"/>
        <v>1.2530879667752676E-4</v>
      </c>
    </row>
    <row r="100" spans="1:7" x14ac:dyDescent="0.45">
      <c r="A100">
        <v>89</v>
      </c>
      <c r="B100" s="6" t="n">
        <v>357.255567611</v>
      </c>
      <c r="C100" s="9">
        <f t="shared" si="2"/>
        <v>1.9254194858016071E-3</v>
      </c>
      <c r="E100" s="371">
        <v>89</v>
      </c>
      <c r="F100" s="371" t="n">
        <v>27.0</v>
      </c>
      <c r="G100" s="9">
        <f t="shared" si="3"/>
        <v>1.7304548112610839E-4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779.0</v>
      </c>
      <c r="G101" s="9">
        <f t="shared" si="3"/>
        <v>4.7617342737460173E-3</v>
      </c>
    </row>
    <row r="102" spans="1:7" x14ac:dyDescent="0.45">
      <c r="B102" s="6">
        <f>SUM(B11:B101)</f>
        <v>185546.87445799081</v>
      </c>
      <c r="C102" s="9">
        <f t="shared" si="2"/>
        <v>1</v>
      </c>
      <c r="F102" s="6">
        <f>SUM(F11:F101)</f>
        <v>167586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02"/>
  <sheetViews>
    <sheetView workbookViewId="0">
      <selection activeCell="U14" sqref="U14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34726.2377248585</v>
      </c>
      <c r="C11" s="9">
        <f>B11/B$102</f>
        <v>0.20059219556467947</v>
      </c>
      <c r="E11" s="371">
        <v>0</v>
      </c>
      <c r="F11" s="371" t="n">
        <v>39791.0</v>
      </c>
      <c r="G11" s="9">
        <f>F11/F$102</f>
        <v>0.1745306324110672</v>
      </c>
      <c r="K11" s="6" t="n">
        <v>5.088760181863778</v>
      </c>
      <c r="L11" s="6" t="n">
        <v>5.185969387917889</v>
      </c>
    </row>
    <row r="12" spans="1:12" x14ac:dyDescent="0.45">
      <c r="A12">
        <v>1</v>
      </c>
      <c r="B12" s="6" t="n">
        <v>30827.2042983888</v>
      </c>
      <c r="C12" s="9">
        <f>B12/B$102</f>
        <v>0.17806986873525268</v>
      </c>
      <c r="E12" s="371">
        <v>1</v>
      </c>
      <c r="F12" s="371" t="n">
        <v>36721.0</v>
      </c>
      <c r="G12" s="9">
        <f>F12/F$102</f>
        <v>0.16004817193675888</v>
      </c>
      <c r="K12" s="6"/>
      <c r="L12" s="371"/>
    </row>
    <row r="13" spans="1:12" x14ac:dyDescent="0.45">
      <c r="A13">
        <v>2</v>
      </c>
      <c r="B13" s="6" t="n">
        <v>14851.6721490482</v>
      </c>
      <c r="C13" s="9">
        <f t="shared" ref="C13:C76" si="0">B13/B$102</f>
        <v>8.5789009099934643E-2</v>
      </c>
      <c r="E13" s="371">
        <v>2</v>
      </c>
      <c r="F13" s="371" t="n">
        <v>27351.0</v>
      </c>
      <c r="G13" s="9">
        <f t="shared" ref="G13:G76" si="1">F13/F$102</f>
        <v>0.12009899068322981</v>
      </c>
    </row>
    <row r="14" spans="1:12" x14ac:dyDescent="0.45">
      <c r="A14">
        <v>3</v>
      </c>
      <c r="B14" s="6" t="n">
        <v>14897.6441871475</v>
      </c>
      <c r="C14" s="9">
        <f t="shared" si="0"/>
        <v>8.6054561392987131E-2</v>
      </c>
      <c r="E14" s="371">
        <v>3</v>
      </c>
      <c r="F14" s="371" t="n">
        <v>23180.0</v>
      </c>
      <c r="G14" s="9">
        <f t="shared" si="1"/>
        <v>0.10158455674760022</v>
      </c>
    </row>
    <row r="15" spans="1:12" x14ac:dyDescent="0.45">
      <c r="A15">
        <v>4</v>
      </c>
      <c r="B15" s="6" t="n">
        <v>19825.6999264528</v>
      </c>
      <c r="C15" s="9">
        <f t="shared" si="0"/>
        <v>0.1145209195526198</v>
      </c>
      <c r="E15" s="371">
        <v>4</v>
      </c>
      <c r="F15" s="371" t="n">
        <v>21579.0</v>
      </c>
      <c r="G15" s="9">
        <f t="shared" si="1"/>
        <v>9.4367588932806321E-2</v>
      </c>
    </row>
    <row r="16" spans="1:12" x14ac:dyDescent="0.45">
      <c r="A16">
        <v>5</v>
      </c>
      <c r="B16" s="6" t="n">
        <v>9453.9540652196</v>
      </c>
      <c r="C16" s="9">
        <f t="shared" si="0"/>
        <v>5.4609699378764288E-2</v>
      </c>
      <c r="E16" s="371">
        <v>5</v>
      </c>
      <c r="F16" s="371" t="n">
        <v>14922.0</v>
      </c>
      <c r="G16" s="9">
        <f t="shared" si="1"/>
        <v>6.5437958780350081E-2</v>
      </c>
    </row>
    <row r="17" spans="1:7" x14ac:dyDescent="0.45">
      <c r="A17">
        <v>6</v>
      </c>
      <c r="B17" s="6" t="n">
        <v>7234.9464613845</v>
      </c>
      <c r="C17" s="9">
        <f t="shared" si="0"/>
        <v>4.1791852229449623E-2</v>
      </c>
      <c r="E17" s="371">
        <v>6</v>
      </c>
      <c r="F17" s="371" t="n">
        <v>10485.0</v>
      </c>
      <c r="G17" s="9">
        <f t="shared" si="1"/>
        <v>4.6438276397515528E-2</v>
      </c>
    </row>
    <row r="18" spans="1:7" x14ac:dyDescent="0.45">
      <c r="A18">
        <v>7</v>
      </c>
      <c r="B18" s="6" t="n">
        <v>3886.535549684</v>
      </c>
      <c r="C18" s="9">
        <f t="shared" si="0"/>
        <v>2.245013425376672E-2</v>
      </c>
      <c r="E18" s="371">
        <v>7</v>
      </c>
      <c r="F18" s="371" t="n">
        <v>8054.0</v>
      </c>
      <c r="G18" s="9">
        <f t="shared" si="1"/>
        <v>3.5564299830604176E-2</v>
      </c>
    </row>
    <row r="19" spans="1:7" x14ac:dyDescent="0.45">
      <c r="A19">
        <v>8</v>
      </c>
      <c r="B19" s="6" t="n">
        <v>3557.1853688799997</v>
      </c>
      <c r="C19" s="9">
        <f t="shared" si="0"/>
        <v>2.0547680080627014E-2</v>
      </c>
      <c r="E19" s="371">
        <v>8</v>
      </c>
      <c r="F19" s="371" t="n">
        <v>6936.0</v>
      </c>
      <c r="G19" s="9">
        <f t="shared" si="1"/>
        <v>3.0394198193111236E-2</v>
      </c>
    </row>
    <row r="20" spans="1:7" x14ac:dyDescent="0.45">
      <c r="A20">
        <v>9</v>
      </c>
      <c r="B20" s="6" t="n">
        <v>3587.923743215</v>
      </c>
      <c r="C20" s="9">
        <f t="shared" si="0"/>
        <v>2.0725236833097578E-2</v>
      </c>
      <c r="E20" s="371">
        <v>9</v>
      </c>
      <c r="F20" s="371" t="n">
        <v>4780.0</v>
      </c>
      <c r="G20" s="9">
        <f t="shared" si="1"/>
        <v>2.1086250705815924E-2</v>
      </c>
    </row>
    <row r="21" spans="1:7" x14ac:dyDescent="0.45">
      <c r="A21">
        <v>10</v>
      </c>
      <c r="B21" s="6" t="n">
        <v>1877.9888918949998</v>
      </c>
      <c r="C21" s="9">
        <f t="shared" si="0"/>
        <v>1.0847991022120794E-2</v>
      </c>
      <c r="E21" s="371">
        <v>10</v>
      </c>
      <c r="F21" s="371" t="n">
        <v>4218.0</v>
      </c>
      <c r="G21" s="9">
        <f t="shared" si="1"/>
        <v>1.8739412761151892E-2</v>
      </c>
    </row>
    <row r="22" spans="1:7" x14ac:dyDescent="0.45">
      <c r="A22">
        <v>11</v>
      </c>
      <c r="B22" s="6" t="n">
        <v>3043.479174995</v>
      </c>
      <c r="C22" s="9">
        <f t="shared" si="0"/>
        <v>1.7580314190805819E-2</v>
      </c>
      <c r="E22" s="371">
        <v>11</v>
      </c>
      <c r="F22" s="371" t="n">
        <v>3845.0</v>
      </c>
      <c r="G22" s="9">
        <f t="shared" si="1"/>
        <v>1.70410431959345E-2</v>
      </c>
    </row>
    <row r="23" spans="1:7" x14ac:dyDescent="0.45">
      <c r="A23">
        <v>12</v>
      </c>
      <c r="B23" s="6" t="n">
        <v>1270.227402045</v>
      </c>
      <c r="C23" s="9">
        <f t="shared" si="0"/>
        <v>7.3373253233312528E-3</v>
      </c>
      <c r="E23" s="371">
        <v>12</v>
      </c>
      <c r="F23" s="371" t="n">
        <v>3785.0</v>
      </c>
      <c r="G23" s="9">
        <f t="shared" si="1"/>
        <v>1.6741071428571428E-2</v>
      </c>
    </row>
    <row r="24" spans="1:7" x14ac:dyDescent="0.45">
      <c r="A24">
        <v>13</v>
      </c>
      <c r="B24" s="6" t="n">
        <v>3797.1926619478</v>
      </c>
      <c r="C24" s="9">
        <f t="shared" si="0"/>
        <v>2.193405513943571E-2</v>
      </c>
      <c r="E24" s="371">
        <v>13</v>
      </c>
      <c r="F24" s="371" t="n">
        <v>3447.0</v>
      </c>
      <c r="G24" s="9">
        <f t="shared" si="1"/>
        <v>1.4892715979672502E-2</v>
      </c>
    </row>
    <row r="25" spans="1:7" x14ac:dyDescent="0.45">
      <c r="A25">
        <v>14</v>
      </c>
      <c r="B25" s="6" t="n">
        <v>1747.7218242220001</v>
      </c>
      <c r="C25" s="9">
        <f t="shared" si="0"/>
        <v>1.0095517998082422E-2</v>
      </c>
      <c r="E25" s="371">
        <v>14</v>
      </c>
      <c r="F25" s="371" t="n">
        <v>2924.0</v>
      </c>
      <c r="G25" s="9">
        <f t="shared" si="1"/>
        <v>1.3428147939017504E-2</v>
      </c>
    </row>
    <row r="26" spans="1:7" x14ac:dyDescent="0.45">
      <c r="A26">
        <v>15</v>
      </c>
      <c r="B26" s="6" t="n">
        <v>1290.148767359</v>
      </c>
      <c r="C26" s="9">
        <f t="shared" si="0"/>
        <v>7.4523988432052685E-3</v>
      </c>
      <c r="E26" s="371">
        <v>15</v>
      </c>
      <c r="F26" s="371" t="n">
        <v>2832.0</v>
      </c>
      <c r="G26" s="9">
        <f t="shared" si="1"/>
        <v>1.1826828063241106E-2</v>
      </c>
    </row>
    <row r="27" spans="1:7" x14ac:dyDescent="0.45">
      <c r="A27">
        <v>16</v>
      </c>
      <c r="B27" s="6" t="n">
        <v>4009.3974380442</v>
      </c>
      <c r="C27" s="9">
        <f t="shared" si="0"/>
        <v>2.3159832094709419E-2</v>
      </c>
      <c r="E27" s="371">
        <v>16</v>
      </c>
      <c r="F27" s="371" t="n">
        <v>2375.0</v>
      </c>
      <c r="G27" s="9">
        <f t="shared" si="1"/>
        <v>1.0009352060982496E-2</v>
      </c>
    </row>
    <row r="28" spans="1:7" x14ac:dyDescent="0.45">
      <c r="A28">
        <v>17</v>
      </c>
      <c r="B28" s="6" t="n">
        <v>512.4768816430001</v>
      </c>
      <c r="C28" s="9">
        <f t="shared" si="0"/>
        <v>2.960264906305183E-3</v>
      </c>
      <c r="E28" s="371">
        <v>17</v>
      </c>
      <c r="F28" s="371" t="n">
        <v>1955.0</v>
      </c>
      <c r="G28" s="9">
        <f t="shared" si="1"/>
        <v>8.3198051948051941E-3</v>
      </c>
    </row>
    <row r="29" spans="1:7" x14ac:dyDescent="0.45">
      <c r="A29">
        <v>18</v>
      </c>
      <c r="B29" s="6" t="n">
        <v>2837.359102758</v>
      </c>
      <c r="C29" s="9">
        <f t="shared" si="0"/>
        <v>1.6389684841103105E-2</v>
      </c>
      <c r="E29" s="371">
        <v>18</v>
      </c>
      <c r="F29" s="371" t="n">
        <v>1584.0</v>
      </c>
      <c r="G29" s="9">
        <f t="shared" si="1"/>
        <v>6.806712309429701E-3</v>
      </c>
    </row>
    <row r="30" spans="1:7" x14ac:dyDescent="0.45">
      <c r="A30">
        <v>19</v>
      </c>
      <c r="B30" s="6" t="n">
        <v>6355.543577378</v>
      </c>
      <c r="C30" s="9">
        <f t="shared" si="0"/>
        <v>3.671208065481401E-2</v>
      </c>
      <c r="E30" s="371">
        <v>19</v>
      </c>
      <c r="F30" s="371" t="n">
        <v>1421.0</v>
      </c>
      <c r="G30" s="9">
        <f t="shared" si="1"/>
        <v>5.8759175607001691E-3</v>
      </c>
    </row>
    <row r="31" spans="1:7" x14ac:dyDescent="0.45">
      <c r="A31">
        <v>20</v>
      </c>
      <c r="B31" s="6" t="n">
        <v>0.0</v>
      </c>
      <c r="C31" s="9">
        <f t="shared" si="0"/>
        <v>0</v>
      </c>
      <c r="E31" s="371">
        <v>20</v>
      </c>
      <c r="F31" s="371" t="n">
        <v>1101.0</v>
      </c>
      <c r="G31" s="9">
        <f t="shared" si="1"/>
        <v>4.7289666854884249E-3</v>
      </c>
    </row>
    <row r="32" spans="1:7" x14ac:dyDescent="0.45">
      <c r="A32">
        <v>21</v>
      </c>
      <c r="B32" s="6" t="n">
        <v>487.756336396</v>
      </c>
      <c r="C32" s="9">
        <f t="shared" si="0"/>
        <v>2.8174694648311974E-3</v>
      </c>
      <c r="E32" s="371">
        <v>21</v>
      </c>
      <c r="F32" s="371" t="n">
        <v>1008.0</v>
      </c>
      <c r="G32" s="9">
        <f t="shared" si="1"/>
        <v>4.1907820440429139E-3</v>
      </c>
    </row>
    <row r="33" spans="1:7" x14ac:dyDescent="0.45">
      <c r="A33">
        <v>22</v>
      </c>
      <c r="B33" s="6" t="n">
        <v>1310.847583535</v>
      </c>
      <c r="C33" s="9">
        <f t="shared" si="0"/>
        <v>7.571963220297618E-3</v>
      </c>
      <c r="E33" s="371">
        <v>22</v>
      </c>
      <c r="F33" s="371" t="n">
        <v>841.0</v>
      </c>
      <c r="G33" s="9">
        <f t="shared" si="1"/>
        <v>3.401150479954828E-3</v>
      </c>
    </row>
    <row r="34" spans="1:7" x14ac:dyDescent="0.45">
      <c r="A34">
        <v>23</v>
      </c>
      <c r="B34" s="6" t="n">
        <v>0.0</v>
      </c>
      <c r="C34" s="9">
        <f t="shared" si="0"/>
        <v>0</v>
      </c>
      <c r="E34" s="371">
        <v>23</v>
      </c>
      <c r="F34" s="371" t="n">
        <v>698.0</v>
      </c>
      <c r="G34" s="9">
        <f t="shared" si="1"/>
        <v>3.101178712591756E-3</v>
      </c>
    </row>
    <row r="35" spans="1:7" x14ac:dyDescent="0.45">
      <c r="A35">
        <v>24</v>
      </c>
      <c r="B35" s="6" t="n">
        <v>0.0</v>
      </c>
      <c r="C35" s="9">
        <f t="shared" si="0"/>
        <v>0</v>
      </c>
      <c r="E35" s="371">
        <v>24</v>
      </c>
      <c r="F35" s="371" t="n">
        <v>477.0</v>
      </c>
      <c r="G35" s="9">
        <f t="shared" si="1"/>
        <v>2.31154714850367E-3</v>
      </c>
    </row>
    <row r="36" spans="1:7" x14ac:dyDescent="0.45">
      <c r="A36">
        <v>25</v>
      </c>
      <c r="B36" s="6" t="n">
        <v>0.0</v>
      </c>
      <c r="C36" s="9">
        <f t="shared" si="0"/>
        <v>0</v>
      </c>
      <c r="E36" s="371">
        <v>25</v>
      </c>
      <c r="F36" s="371" t="n">
        <v>382.0</v>
      </c>
      <c r="G36" s="9">
        <f t="shared" si="1"/>
        <v>1.7071922642574817E-3</v>
      </c>
    </row>
    <row r="37" spans="1:7" x14ac:dyDescent="0.45">
      <c r="A37">
        <v>26</v>
      </c>
      <c r="B37" s="6" t="n">
        <v>0.0</v>
      </c>
      <c r="C37" s="9">
        <f t="shared" si="0"/>
        <v>0</v>
      </c>
      <c r="E37" s="371">
        <v>26</v>
      </c>
      <c r="F37" s="371" t="n">
        <v>335.0</v>
      </c>
      <c r="G37" s="9">
        <f t="shared" si="1"/>
        <v>1.5836744776962168E-3</v>
      </c>
    </row>
    <row r="38" spans="1:7" x14ac:dyDescent="0.45">
      <c r="A38">
        <v>27</v>
      </c>
      <c r="B38" s="6" t="n">
        <v>364.251284428</v>
      </c>
      <c r="C38" s="9">
        <f t="shared" si="0"/>
        <v>2.1040564618482519E-3</v>
      </c>
      <c r="E38" s="371">
        <v>27</v>
      </c>
      <c r="F38" s="371" t="n">
        <v>282.0</v>
      </c>
      <c r="G38" s="9">
        <f t="shared" si="1"/>
        <v>1.1204827780914737E-3</v>
      </c>
    </row>
    <row r="39" spans="1:7" x14ac:dyDescent="0.45">
      <c r="A39">
        <v>28</v>
      </c>
      <c r="B39" s="6" t="n">
        <v>0.0</v>
      </c>
      <c r="C39" s="9">
        <f t="shared" si="0"/>
        <v>0</v>
      </c>
      <c r="E39" s="371">
        <v>28</v>
      </c>
      <c r="F39" s="371" t="n">
        <v>186.0</v>
      </c>
      <c r="G39" s="9">
        <f t="shared" si="1"/>
        <v>8.1168831168831174E-4</v>
      </c>
    </row>
    <row r="40" spans="1:7" x14ac:dyDescent="0.45">
      <c r="A40">
        <v>29</v>
      </c>
      <c r="B40" s="6" t="n">
        <v>109.769290789</v>
      </c>
      <c r="C40" s="9">
        <f t="shared" si="0"/>
        <v>6.3406992774173252E-4</v>
      </c>
      <c r="E40" s="371">
        <v>29</v>
      </c>
      <c r="F40" s="371" t="n">
        <v>140.0</v>
      </c>
      <c r="G40" s="9">
        <f t="shared" si="1"/>
        <v>7.0140457368718238E-4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154.0</v>
      </c>
      <c r="G41" s="9">
        <f t="shared" si="1"/>
        <v>7.0581592320722751E-4</v>
      </c>
    </row>
    <row r="42" spans="1:7" x14ac:dyDescent="0.4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102.0</v>
      </c>
      <c r="G42" s="9">
        <f t="shared" si="1"/>
        <v>4.8524844720496894E-4</v>
      </c>
    </row>
    <row r="43" spans="1:7" x14ac:dyDescent="0.45">
      <c r="A43">
        <v>32</v>
      </c>
      <c r="B43" s="6" t="n">
        <v>0.0</v>
      </c>
      <c r="C43" s="9">
        <f t="shared" si="0"/>
        <v>0</v>
      </c>
      <c r="E43" s="371">
        <v>32</v>
      </c>
      <c r="F43" s="371" t="n">
        <v>82.0</v>
      </c>
      <c r="G43" s="9">
        <f t="shared" si="1"/>
        <v>3.3526256352343307E-4</v>
      </c>
    </row>
    <row r="44" spans="1:7" x14ac:dyDescent="0.45">
      <c r="A44">
        <v>33</v>
      </c>
      <c r="B44" s="6" t="n">
        <v>411.941406586</v>
      </c>
      <c r="C44" s="9">
        <f t="shared" si="0"/>
        <v>2.3795330736890172E-3</v>
      </c>
      <c r="E44" s="371">
        <v>33</v>
      </c>
      <c r="F44" s="371" t="n">
        <v>59.0</v>
      </c>
      <c r="G44" s="9">
        <f t="shared" si="1"/>
        <v>3.1761716544325238E-4</v>
      </c>
    </row>
    <row r="45" spans="1:7" x14ac:dyDescent="0.45">
      <c r="A45">
        <v>34</v>
      </c>
      <c r="B45" s="6" t="n">
        <v>0.0</v>
      </c>
      <c r="C45" s="9">
        <f t="shared" si="0"/>
        <v>0</v>
      </c>
      <c r="E45" s="371">
        <v>34</v>
      </c>
      <c r="F45" s="371" t="n">
        <v>51.0</v>
      </c>
      <c r="G45" s="9">
        <f t="shared" si="1"/>
        <v>1.9851072840203275E-4</v>
      </c>
    </row>
    <row r="46" spans="1:7" x14ac:dyDescent="0.45">
      <c r="A46">
        <v>35</v>
      </c>
      <c r="B46" s="6" t="n">
        <v>619.342925768</v>
      </c>
      <c r="C46" s="9">
        <f t="shared" si="0"/>
        <v>3.577564557139529E-3</v>
      </c>
      <c r="E46" s="371">
        <v>35</v>
      </c>
      <c r="F46" s="371" t="n">
        <v>26.0</v>
      </c>
      <c r="G46" s="9">
        <f t="shared" si="1"/>
        <v>1.1910643704121966E-4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31.0</v>
      </c>
      <c r="G47" s="9">
        <f t="shared" si="1"/>
        <v>1.6321993224167137E-4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34.0</v>
      </c>
      <c r="G48" s="9">
        <f t="shared" si="1"/>
        <v>1.4998588368153585E-4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27.0</v>
      </c>
      <c r="G49" s="9">
        <f t="shared" si="1"/>
        <v>1.1028373800112931E-4</v>
      </c>
    </row>
    <row r="50" spans="1:7" x14ac:dyDescent="0.45">
      <c r="A50">
        <v>39</v>
      </c>
      <c r="B50" s="6" t="n">
        <v>0.0</v>
      </c>
      <c r="C50" s="9">
        <f t="shared" si="0"/>
        <v>0</v>
      </c>
      <c r="E50" s="371">
        <v>39</v>
      </c>
      <c r="F50" s="371" t="n">
        <v>30.0</v>
      </c>
      <c r="G50" s="9">
        <f t="shared" si="1"/>
        <v>1.2351778656126481E-4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20.0</v>
      </c>
      <c r="G51" s="9">
        <f t="shared" si="1"/>
        <v>8.3815640880858266E-5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15.0</v>
      </c>
      <c r="G52" s="9">
        <f t="shared" si="1"/>
        <v>6.6170242800677579E-5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10.0</v>
      </c>
      <c r="G53" s="9">
        <f t="shared" si="1"/>
        <v>5.7347543760587242E-5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8.0</v>
      </c>
      <c r="G54" s="9">
        <f t="shared" si="1"/>
        <v>1.7645398080180688E-5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6.0</v>
      </c>
      <c r="G55" s="9">
        <f t="shared" si="1"/>
        <v>2.6468097120271035E-5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9.0</v>
      </c>
      <c r="G56" s="9">
        <f t="shared" si="1"/>
        <v>4.4113495200451719E-5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11.0</v>
      </c>
      <c r="G57" s="9">
        <f t="shared" si="1"/>
        <v>1.7645398080180688E-5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9.0</v>
      </c>
      <c r="G58" s="9">
        <f t="shared" si="1"/>
        <v>2.6468097120271035E-5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5.0</v>
      </c>
      <c r="G59" s="9">
        <f t="shared" si="1"/>
        <v>2.205674760022586E-5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0.0</v>
      </c>
      <c r="G60" s="9">
        <f t="shared" si="1"/>
        <v>8.8226990400903438E-6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0.0</v>
      </c>
      <c r="G61" s="9">
        <f t="shared" si="1"/>
        <v>1.3234048560135517E-5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6.0</v>
      </c>
      <c r="G62" s="9">
        <f t="shared" si="1"/>
        <v>4.4113495200451719E-6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0.0</v>
      </c>
      <c r="G63" s="9">
        <f t="shared" si="1"/>
        <v>0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1.0</v>
      </c>
      <c r="G64" s="9">
        <f t="shared" si="1"/>
        <v>4.4113495200451719E-6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2.0</v>
      </c>
      <c r="G65" s="9">
        <f t="shared" si="1"/>
        <v>4.4113495200451719E-6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0.0</v>
      </c>
      <c r="G66" s="9">
        <f t="shared" si="1"/>
        <v>0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2.0</v>
      </c>
      <c r="G67" s="9">
        <f t="shared" si="1"/>
        <v>4.4113495200451719E-6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0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0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0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0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0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0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0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0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0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45">
      <c r="A84">
        <v>73</v>
      </c>
      <c r="B84" s="6" t="n">
        <v>224.140299381</v>
      </c>
      <c r="C84" s="9">
        <f t="shared" si="2"/>
        <v>1.294721159360564E-3</v>
      </c>
      <c r="E84" s="371">
        <v>73</v>
      </c>
      <c r="F84" s="371" t="n">
        <v>0.0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173118.58832344893</v>
      </c>
      <c r="C102" s="9">
        <f t="shared" si="2"/>
        <v>1</v>
      </c>
      <c r="F102" s="6">
        <f>SUM(F11:F101)</f>
        <v>226688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1333.0</v>
      </c>
      <c r="G11" s="9">
        <f>F11/F$102</f>
        <v>6.039137492941841E-3</v>
      </c>
      <c r="K11" s="6" t="n">
        <v>13.746060644652028</v>
      </c>
      <c r="L11" s="6" t="n">
        <v>14.316982602171846</v>
      </c>
    </row>
    <row r="12" spans="1:12" x14ac:dyDescent="0.45">
      <c r="A12">
        <v>1</v>
      </c>
      <c r="B12" s="6" t="n">
        <v>4979.429121118999</v>
      </c>
      <c r="C12" s="9">
        <f>B12/B$102</f>
        <v>2.8763110705452392E-2</v>
      </c>
      <c r="E12" s="371">
        <v>1</v>
      </c>
      <c r="F12" s="371" t="n">
        <v>6676.0</v>
      </c>
      <c r="G12" s="9">
        <f>F12/F$102</f>
        <v>2.9361942405420668E-2</v>
      </c>
      <c r="K12" s="6"/>
      <c r="L12" s="371"/>
    </row>
    <row r="13" spans="1:12" x14ac:dyDescent="0.45">
      <c r="A13">
        <v>2</v>
      </c>
      <c r="B13" s="6" t="n">
        <v>6241.0700921912</v>
      </c>
      <c r="C13" s="9">
        <f t="shared" ref="C13:C76" si="0">B13/B$102</f>
        <v>3.6050837478703301E-2</v>
      </c>
      <c r="E13" s="371">
        <v>2</v>
      </c>
      <c r="F13" s="371" t="n">
        <v>12399.0</v>
      </c>
      <c r="G13" s="9">
        <f t="shared" ref="G13:G76" si="1">F13/F$102</f>
        <v>5.5362436476566912E-2</v>
      </c>
    </row>
    <row r="14" spans="1:12" x14ac:dyDescent="0.45">
      <c r="A14">
        <v>3</v>
      </c>
      <c r="B14" s="6" t="n">
        <v>13202.451969816</v>
      </c>
      <c r="C14" s="9">
        <f t="shared" si="0"/>
        <v>7.626247474447391E-2</v>
      </c>
      <c r="E14" s="371">
        <v>3</v>
      </c>
      <c r="F14" s="371" t="n">
        <v>16904.0</v>
      </c>
      <c r="G14" s="9">
        <f t="shared" si="1"/>
        <v>7.3753352625635232E-2</v>
      </c>
    </row>
    <row r="15" spans="1:12" x14ac:dyDescent="0.45">
      <c r="A15">
        <v>4</v>
      </c>
      <c r="B15" s="6" t="n">
        <v>12453.8887636233</v>
      </c>
      <c r="C15" s="9">
        <f t="shared" si="0"/>
        <v>7.1938483811772272E-2</v>
      </c>
      <c r="E15" s="371">
        <v>4</v>
      </c>
      <c r="F15" s="371" t="n">
        <v>16362.0</v>
      </c>
      <c r="G15" s="9">
        <f t="shared" si="1"/>
        <v>7.051542207792208E-2</v>
      </c>
    </row>
    <row r="16" spans="1:12" x14ac:dyDescent="0.45">
      <c r="A16">
        <v>5</v>
      </c>
      <c r="B16" s="6" t="n">
        <v>14902.755724695</v>
      </c>
      <c r="C16" s="9">
        <f t="shared" si="0"/>
        <v>8.6084087613117519E-2</v>
      </c>
      <c r="E16" s="371">
        <v>5</v>
      </c>
      <c r="F16" s="371" t="n">
        <v>14671.0</v>
      </c>
      <c r="G16" s="9">
        <f t="shared" si="1"/>
        <v>6.5583533314511569E-2</v>
      </c>
    </row>
    <row r="17" spans="1:7" x14ac:dyDescent="0.45">
      <c r="A17">
        <v>6</v>
      </c>
      <c r="B17" s="6" t="n">
        <v>9694.0775771743</v>
      </c>
      <c r="C17" s="9">
        <f t="shared" si="0"/>
        <v>5.599674576286523E-2</v>
      </c>
      <c r="E17" s="371">
        <v>6</v>
      </c>
      <c r="F17" s="371" t="n">
        <v>13850.0</v>
      </c>
      <c r="G17" s="9">
        <f t="shared" si="1"/>
        <v>6.0845743929983064E-2</v>
      </c>
    </row>
    <row r="18" spans="1:7" x14ac:dyDescent="0.45">
      <c r="A18">
        <v>7</v>
      </c>
      <c r="B18" s="6" t="n">
        <v>9929.5543552646</v>
      </c>
      <c r="C18" s="9">
        <f t="shared" si="0"/>
        <v>5.7356950812887608E-2</v>
      </c>
      <c r="E18" s="371">
        <v>7</v>
      </c>
      <c r="F18" s="371" t="n">
        <v>13439.0</v>
      </c>
      <c r="G18" s="9">
        <f t="shared" si="1"/>
        <v>5.926206945228684E-2</v>
      </c>
    </row>
    <row r="19" spans="1:7" x14ac:dyDescent="0.45">
      <c r="A19">
        <v>8</v>
      </c>
      <c r="B19" s="6" t="n">
        <v>10947.9616569304</v>
      </c>
      <c r="C19" s="9">
        <f t="shared" si="0"/>
        <v>6.3239665728301794E-2</v>
      </c>
      <c r="E19" s="371">
        <v>8</v>
      </c>
      <c r="F19" s="371" t="n">
        <v>11940.0</v>
      </c>
      <c r="G19" s="9">
        <f t="shared" si="1"/>
        <v>5.3139116318464144E-2</v>
      </c>
    </row>
    <row r="20" spans="1:7" x14ac:dyDescent="0.45">
      <c r="A20">
        <v>9</v>
      </c>
      <c r="B20" s="6" t="n">
        <v>6359.2500272529005</v>
      </c>
      <c r="C20" s="9">
        <f t="shared" si="0"/>
        <v>3.6733490544478636E-2</v>
      </c>
      <c r="E20" s="371">
        <v>9</v>
      </c>
      <c r="F20" s="371" t="n">
        <v>11230.0</v>
      </c>
      <c r="G20" s="9">
        <f t="shared" si="1"/>
        <v>4.8467497176736304E-2</v>
      </c>
    </row>
    <row r="21" spans="1:7" x14ac:dyDescent="0.45">
      <c r="A21">
        <v>10</v>
      </c>
      <c r="B21" s="6" t="n">
        <v>8866.4957482014</v>
      </c>
      <c r="C21" s="9">
        <f t="shared" si="0"/>
        <v>5.1216312667912579E-2</v>
      </c>
      <c r="E21" s="371">
        <v>10</v>
      </c>
      <c r="F21" s="371" t="n">
        <v>9842.0</v>
      </c>
      <c r="G21" s="9">
        <f t="shared" si="1"/>
        <v>4.3751764539808016E-2</v>
      </c>
    </row>
    <row r="22" spans="1:7" x14ac:dyDescent="0.45">
      <c r="A22">
        <v>11</v>
      </c>
      <c r="B22" s="6" t="n">
        <v>8900.9570246616</v>
      </c>
      <c r="C22" s="9">
        <f t="shared" si="0"/>
        <v>5.141537434461603E-2</v>
      </c>
      <c r="E22" s="371">
        <v>11</v>
      </c>
      <c r="F22" s="371" t="n">
        <v>8231.0</v>
      </c>
      <c r="G22" s="9">
        <f t="shared" si="1"/>
        <v>3.4554100790513832E-2</v>
      </c>
    </row>
    <row r="23" spans="1:7" x14ac:dyDescent="0.45">
      <c r="A23">
        <v>12</v>
      </c>
      <c r="B23" s="6" t="n">
        <v>3402.2158881685</v>
      </c>
      <c r="C23" s="9">
        <f t="shared" si="0"/>
        <v>1.9652516353771986E-2</v>
      </c>
      <c r="E23" s="371">
        <v>12</v>
      </c>
      <c r="F23" s="371" t="n">
        <v>6718.0</v>
      </c>
      <c r="G23" s="9">
        <f t="shared" si="1"/>
        <v>2.9922183794466404E-2</v>
      </c>
    </row>
    <row r="24" spans="1:7" x14ac:dyDescent="0.45">
      <c r="A24">
        <v>13</v>
      </c>
      <c r="B24" s="6" t="n">
        <v>5237.5095203304</v>
      </c>
      <c r="C24" s="9">
        <f t="shared" si="0"/>
        <v>3.0253883023496089E-2</v>
      </c>
      <c r="E24" s="371">
        <v>13</v>
      </c>
      <c r="F24" s="371" t="n">
        <v>5467.0</v>
      </c>
      <c r="G24" s="9">
        <f t="shared" si="1"/>
        <v>2.3230166572557876E-2</v>
      </c>
    </row>
    <row r="25" spans="1:7" x14ac:dyDescent="0.45">
      <c r="A25">
        <v>14</v>
      </c>
      <c r="B25" s="6" t="n">
        <v>2249.900433663</v>
      </c>
      <c r="C25" s="9">
        <f t="shared" si="0"/>
        <v>1.2996296096519469E-2</v>
      </c>
      <c r="E25" s="371">
        <v>14</v>
      </c>
      <c r="F25" s="371" t="n">
        <v>4380.0</v>
      </c>
      <c r="G25" s="9">
        <f t="shared" si="1"/>
        <v>1.903497317899492E-2</v>
      </c>
    </row>
    <row r="26" spans="1:7" x14ac:dyDescent="0.45">
      <c r="A26">
        <v>15</v>
      </c>
      <c r="B26" s="6" t="n">
        <v>4299.7073869057</v>
      </c>
      <c r="C26" s="9">
        <f t="shared" si="0"/>
        <v>2.4836774771246819E-2</v>
      </c>
      <c r="E26" s="371">
        <v>15</v>
      </c>
      <c r="F26" s="371" t="n">
        <v>3930.0</v>
      </c>
      <c r="G26" s="9">
        <f t="shared" si="1"/>
        <v>1.7054277244494636E-2</v>
      </c>
    </row>
    <row r="27" spans="1:7" x14ac:dyDescent="0.45">
      <c r="A27">
        <v>16</v>
      </c>
      <c r="B27" s="6" t="n">
        <v>2757.441887723</v>
      </c>
      <c r="C27" s="9">
        <f t="shared" si="0"/>
        <v>1.592805206204136E-2</v>
      </c>
      <c r="E27" s="371">
        <v>16</v>
      </c>
      <c r="F27" s="371" t="n">
        <v>4708.0</v>
      </c>
      <c r="G27" s="9">
        <f t="shared" si="1"/>
        <v>2.0715697346132128E-2</v>
      </c>
    </row>
    <row r="28" spans="1:7" x14ac:dyDescent="0.45">
      <c r="A28">
        <v>17</v>
      </c>
      <c r="B28" s="6" t="n">
        <v>2850.893275417</v>
      </c>
      <c r="C28" s="9">
        <f t="shared" si="0"/>
        <v>1.6467863462995017E-2</v>
      </c>
      <c r="E28" s="371">
        <v>17</v>
      </c>
      <c r="F28" s="371" t="n">
        <v>3440.0</v>
      </c>
      <c r="G28" s="9">
        <f t="shared" si="1"/>
        <v>1.5422077922077922E-2</v>
      </c>
    </row>
    <row r="29" spans="1:7" x14ac:dyDescent="0.45">
      <c r="A29">
        <v>18</v>
      </c>
      <c r="B29" s="6" t="n">
        <v>5316.01887555</v>
      </c>
      <c r="C29" s="9">
        <f t="shared" si="0"/>
        <v>3.0707383459121846E-2</v>
      </c>
      <c r="E29" s="371">
        <v>18</v>
      </c>
      <c r="F29" s="371" t="n">
        <v>4507.0</v>
      </c>
      <c r="G29" s="9">
        <f t="shared" si="1"/>
        <v>1.983783879164314E-2</v>
      </c>
    </row>
    <row r="30" spans="1:7" x14ac:dyDescent="0.45">
      <c r="A30">
        <v>19</v>
      </c>
      <c r="B30" s="6" t="n">
        <v>3228.341941584</v>
      </c>
      <c r="C30" s="9">
        <f t="shared" si="0"/>
        <v>1.8648153111971284E-2</v>
      </c>
      <c r="E30" s="371">
        <v>19</v>
      </c>
      <c r="F30" s="371" t="n">
        <v>4172.0</v>
      </c>
      <c r="G30" s="9">
        <f t="shared" si="1"/>
        <v>1.8033596837944664E-2</v>
      </c>
    </row>
    <row r="31" spans="1:7" x14ac:dyDescent="0.45">
      <c r="A31">
        <v>20</v>
      </c>
      <c r="B31" s="6" t="n">
        <v>851.06722683</v>
      </c>
      <c r="C31" s="9">
        <f t="shared" si="0"/>
        <v>4.9160938468369129E-3</v>
      </c>
      <c r="E31" s="371">
        <v>20</v>
      </c>
      <c r="F31" s="371" t="n">
        <v>3761.0</v>
      </c>
      <c r="G31" s="9">
        <f t="shared" si="1"/>
        <v>1.6573440146809712E-2</v>
      </c>
    </row>
    <row r="32" spans="1:7" x14ac:dyDescent="0.45">
      <c r="A32">
        <v>21</v>
      </c>
      <c r="B32" s="6" t="n">
        <v>2095.386748724</v>
      </c>
      <c r="C32" s="9">
        <f t="shared" si="0"/>
        <v>1.2103765222536646E-2</v>
      </c>
      <c r="E32" s="371">
        <v>21</v>
      </c>
      <c r="F32" s="371" t="n">
        <v>3991.0</v>
      </c>
      <c r="G32" s="9">
        <f t="shared" si="1"/>
        <v>1.680283032185206E-2</v>
      </c>
    </row>
    <row r="33" spans="1:7" x14ac:dyDescent="0.45">
      <c r="A33">
        <v>22</v>
      </c>
      <c r="B33" s="6" t="n">
        <v>429.86334112799995</v>
      </c>
      <c r="C33" s="9">
        <f t="shared" si="0"/>
        <v>2.4830571072174974E-3</v>
      </c>
      <c r="E33" s="371">
        <v>22</v>
      </c>
      <c r="F33" s="371" t="n">
        <v>3537.0</v>
      </c>
      <c r="G33" s="9">
        <f t="shared" si="1"/>
        <v>1.7063099943534728E-2</v>
      </c>
    </row>
    <row r="34" spans="1:7" x14ac:dyDescent="0.45">
      <c r="A34">
        <v>23</v>
      </c>
      <c r="B34" s="6" t="n">
        <v>4400.907532473</v>
      </c>
      <c r="C34" s="9">
        <f t="shared" si="0"/>
        <v>2.542134599809983E-2</v>
      </c>
      <c r="E34" s="371">
        <v>23</v>
      </c>
      <c r="F34" s="371" t="n">
        <v>3364.0</v>
      </c>
      <c r="G34" s="9">
        <f t="shared" si="1"/>
        <v>1.4438346979107848E-2</v>
      </c>
    </row>
    <row r="35" spans="1:7" x14ac:dyDescent="0.45">
      <c r="A35">
        <v>24</v>
      </c>
      <c r="B35" s="6" t="n">
        <v>845.500980779</v>
      </c>
      <c r="C35" s="9">
        <f t="shared" si="0"/>
        <v>4.8839410543210669E-3</v>
      </c>
      <c r="E35" s="371">
        <v>24</v>
      </c>
      <c r="F35" s="371" t="n">
        <v>2737.0</v>
      </c>
      <c r="G35" s="9">
        <f t="shared" si="1"/>
        <v>1.2223849520045172E-2</v>
      </c>
    </row>
    <row r="36" spans="1:7" x14ac:dyDescent="0.45">
      <c r="A36">
        <v>25</v>
      </c>
      <c r="B36" s="6" t="n">
        <v>765.203884592</v>
      </c>
      <c r="C36" s="9">
        <f t="shared" si="0"/>
        <v>4.4201139346302827E-3</v>
      </c>
      <c r="E36" s="371">
        <v>25</v>
      </c>
      <c r="F36" s="371" t="n">
        <v>3064.0</v>
      </c>
      <c r="G36" s="9">
        <f t="shared" si="1"/>
        <v>1.307523997741389E-2</v>
      </c>
    </row>
    <row r="37" spans="1:7" x14ac:dyDescent="0.45">
      <c r="A37">
        <v>26</v>
      </c>
      <c r="B37" s="6" t="n">
        <v>2217.9153548738</v>
      </c>
      <c r="C37" s="9">
        <f t="shared" si="0"/>
        <v>1.2811537896380726E-2</v>
      </c>
      <c r="E37" s="371">
        <v>26</v>
      </c>
      <c r="F37" s="371" t="n">
        <v>2631.0</v>
      </c>
      <c r="G37" s="9">
        <f t="shared" si="1"/>
        <v>1.1734189723320158E-2</v>
      </c>
    </row>
    <row r="38" spans="1:7" x14ac:dyDescent="0.45">
      <c r="A38">
        <v>27</v>
      </c>
      <c r="B38" s="6" t="n">
        <v>2141.4525487712</v>
      </c>
      <c r="C38" s="9">
        <f t="shared" si="0"/>
        <v>1.2369859120906082E-2</v>
      </c>
      <c r="E38" s="371">
        <v>27</v>
      </c>
      <c r="F38" s="371" t="n">
        <v>2514.0</v>
      </c>
      <c r="G38" s="9">
        <f t="shared" si="1"/>
        <v>1.0962203557312252E-2</v>
      </c>
    </row>
    <row r="39" spans="1:7" x14ac:dyDescent="0.45">
      <c r="A39">
        <v>28</v>
      </c>
      <c r="B39" s="6" t="n">
        <v>890.282763093</v>
      </c>
      <c r="C39" s="9">
        <f t="shared" si="0"/>
        <v>5.1426179690746187E-3</v>
      </c>
      <c r="E39" s="371">
        <v>28</v>
      </c>
      <c r="F39" s="371" t="n">
        <v>2426.0</v>
      </c>
      <c r="G39" s="9">
        <f t="shared" si="1"/>
        <v>1.0128458498023716E-2</v>
      </c>
    </row>
    <row r="40" spans="1:7" x14ac:dyDescent="0.45">
      <c r="A40">
        <v>29</v>
      </c>
      <c r="B40" s="6" t="n">
        <v>1096.456545153</v>
      </c>
      <c r="C40" s="9">
        <f t="shared" si="0"/>
        <v>6.3335575675121467E-3</v>
      </c>
      <c r="E40" s="371">
        <v>29</v>
      </c>
      <c r="F40" s="371" t="n">
        <v>2218.0</v>
      </c>
      <c r="G40" s="9">
        <f t="shared" si="1"/>
        <v>9.506458215697346E-3</v>
      </c>
    </row>
    <row r="41" spans="1:7" x14ac:dyDescent="0.45">
      <c r="A41">
        <v>30</v>
      </c>
      <c r="B41" s="6" t="n">
        <v>2648.297908525</v>
      </c>
      <c r="C41" s="9">
        <f t="shared" si="0"/>
        <v>1.5297594176178294E-2</v>
      </c>
      <c r="E41" s="371">
        <v>30</v>
      </c>
      <c r="F41" s="371" t="n">
        <v>2060.0</v>
      </c>
      <c r="G41" s="9">
        <f t="shared" si="1"/>
        <v>8.880046583850932E-3</v>
      </c>
    </row>
    <row r="42" spans="1:7" x14ac:dyDescent="0.45">
      <c r="A42">
        <v>31</v>
      </c>
      <c r="B42" s="6" t="n">
        <v>864.943831101</v>
      </c>
      <c r="C42" s="9">
        <f t="shared" si="0"/>
        <v>4.9962504863138562E-3</v>
      </c>
      <c r="E42" s="371">
        <v>31</v>
      </c>
      <c r="F42" s="371" t="n">
        <v>1984.0</v>
      </c>
      <c r="G42" s="9">
        <f t="shared" si="1"/>
        <v>7.786031902879729E-3</v>
      </c>
    </row>
    <row r="43" spans="1:7" x14ac:dyDescent="0.45">
      <c r="A43">
        <v>32</v>
      </c>
      <c r="B43" s="6" t="n">
        <v>2769.4971061310002</v>
      </c>
      <c r="C43" s="9">
        <f t="shared" si="0"/>
        <v>1.5997687671508533E-2</v>
      </c>
      <c r="E43" s="371">
        <v>32</v>
      </c>
      <c r="F43" s="371" t="n">
        <v>1798.0</v>
      </c>
      <c r="G43" s="9">
        <f t="shared" si="1"/>
        <v>7.763975155279503E-3</v>
      </c>
    </row>
    <row r="44" spans="1:7" x14ac:dyDescent="0.45">
      <c r="A44">
        <v>33</v>
      </c>
      <c r="B44" s="6" t="n">
        <v>608.288957806</v>
      </c>
      <c r="C44" s="9">
        <f t="shared" si="0"/>
        <v>3.5137125579460791E-3</v>
      </c>
      <c r="E44" s="371">
        <v>33</v>
      </c>
      <c r="F44" s="371" t="n">
        <v>1669.0</v>
      </c>
      <c r="G44" s="9">
        <f t="shared" si="1"/>
        <v>7.04492518351214E-3</v>
      </c>
    </row>
    <row r="45" spans="1:7" x14ac:dyDescent="0.45">
      <c r="A45">
        <v>34</v>
      </c>
      <c r="B45" s="6" t="n">
        <v>3626.077637285</v>
      </c>
      <c r="C45" s="9">
        <f t="shared" si="0"/>
        <v>2.0945628498946392E-2</v>
      </c>
      <c r="E45" s="371">
        <v>34</v>
      </c>
      <c r="F45" s="371" t="n">
        <v>1482.0</v>
      </c>
      <c r="G45" s="9">
        <f t="shared" si="1"/>
        <v>6.537619988706945E-3</v>
      </c>
    </row>
    <row r="46" spans="1:7" x14ac:dyDescent="0.45">
      <c r="A46">
        <v>35</v>
      </c>
      <c r="B46" s="6" t="n">
        <v>1268.650778689</v>
      </c>
      <c r="C46" s="9">
        <f t="shared" si="0"/>
        <v>7.3282181363372462E-3</v>
      </c>
      <c r="E46" s="371">
        <v>35</v>
      </c>
      <c r="F46" s="371" t="n">
        <v>1392.0</v>
      </c>
      <c r="G46" s="9">
        <f t="shared" si="1"/>
        <v>5.9553218520609821E-3</v>
      </c>
    </row>
    <row r="47" spans="1:7" x14ac:dyDescent="0.45">
      <c r="A47">
        <v>36</v>
      </c>
      <c r="B47" s="6" t="n">
        <v>492.27082919099996</v>
      </c>
      <c r="C47" s="9">
        <f t="shared" si="0"/>
        <v>2.8435469232873929E-3</v>
      </c>
      <c r="E47" s="371">
        <v>36</v>
      </c>
      <c r="F47" s="371" t="n">
        <v>1266.0</v>
      </c>
      <c r="G47" s="9">
        <f t="shared" si="1"/>
        <v>5.196569734613213E-3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1005.0</v>
      </c>
      <c r="G48" s="9">
        <f t="shared" si="1"/>
        <v>4.592214850367024E-3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1054.0</v>
      </c>
      <c r="G49" s="9">
        <f t="shared" si="1"/>
        <v>4.1863706945228681E-3</v>
      </c>
    </row>
    <row r="50" spans="1:7" x14ac:dyDescent="0.45">
      <c r="A50">
        <v>39</v>
      </c>
      <c r="B50" s="6" t="n">
        <v>620.932142854</v>
      </c>
      <c r="C50" s="9">
        <f t="shared" si="0"/>
        <v>3.5867444903944761E-3</v>
      </c>
      <c r="E50" s="371">
        <v>39</v>
      </c>
      <c r="F50" s="371" t="n">
        <v>797.0</v>
      </c>
      <c r="G50" s="9">
        <f t="shared" si="1"/>
        <v>3.6437747035573125E-3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709.0</v>
      </c>
      <c r="G51" s="9">
        <f t="shared" si="1"/>
        <v>3.2952780914737435E-3</v>
      </c>
    </row>
    <row r="52" spans="1:7" x14ac:dyDescent="0.45">
      <c r="A52">
        <v>41</v>
      </c>
      <c r="B52" s="6" t="n">
        <v>109.769290789</v>
      </c>
      <c r="C52" s="9">
        <f t="shared" si="0"/>
        <v>6.3406992774173252E-4</v>
      </c>
      <c r="E52" s="371">
        <v>41</v>
      </c>
      <c r="F52" s="371" t="n">
        <v>673.0</v>
      </c>
      <c r="G52" s="9">
        <f t="shared" si="1"/>
        <v>2.9291360813099945E-3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578.0</v>
      </c>
      <c r="G53" s="9">
        <f t="shared" si="1"/>
        <v>2.562994071146245E-3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555.0</v>
      </c>
      <c r="G54" s="9">
        <f t="shared" si="1"/>
        <v>2.5232919254658385E-3</v>
      </c>
    </row>
    <row r="55" spans="1:7" x14ac:dyDescent="0.45">
      <c r="A55">
        <v>44</v>
      </c>
      <c r="B55" s="6" t="n">
        <v>1892.007169048</v>
      </c>
      <c r="C55" s="9">
        <f t="shared" si="0"/>
        <v>1.0928966019021814E-2</v>
      </c>
      <c r="E55" s="371">
        <v>44</v>
      </c>
      <c r="F55" s="371" t="n">
        <v>449.0</v>
      </c>
      <c r="G55" s="9">
        <f t="shared" si="1"/>
        <v>2.0865683229813665E-3</v>
      </c>
    </row>
    <row r="56" spans="1:7" x14ac:dyDescent="0.45">
      <c r="A56">
        <v>45</v>
      </c>
      <c r="B56" s="6" t="n">
        <v>187.462250712</v>
      </c>
      <c r="C56" s="9">
        <f t="shared" si="0"/>
        <v>1.0828545480150973E-3</v>
      </c>
      <c r="E56" s="371">
        <v>45</v>
      </c>
      <c r="F56" s="371" t="n">
        <v>436.0</v>
      </c>
      <c r="G56" s="9">
        <f t="shared" si="1"/>
        <v>2.0424548277809145E-3</v>
      </c>
    </row>
    <row r="57" spans="1:7" x14ac:dyDescent="0.45">
      <c r="A57">
        <v>46</v>
      </c>
      <c r="B57" s="6" t="n">
        <v>1054.116572201</v>
      </c>
      <c r="C57" s="9">
        <f t="shared" si="0"/>
        <v>6.0889854891349061E-3</v>
      </c>
      <c r="E57" s="371">
        <v>46</v>
      </c>
      <c r="F57" s="371" t="n">
        <v>375.0</v>
      </c>
      <c r="G57" s="9">
        <f t="shared" si="1"/>
        <v>1.539560982495765E-3</v>
      </c>
    </row>
    <row r="58" spans="1:7" x14ac:dyDescent="0.45">
      <c r="A58">
        <v>47</v>
      </c>
      <c r="B58" s="6" t="n">
        <v>2072.770078423</v>
      </c>
      <c r="C58" s="9">
        <f t="shared" si="0"/>
        <v>1.1973122577399409E-2</v>
      </c>
      <c r="E58" s="371">
        <v>47</v>
      </c>
      <c r="F58" s="371" t="n">
        <v>320.0</v>
      </c>
      <c r="G58" s="9">
        <f t="shared" si="1"/>
        <v>1.6586674195369848E-3</v>
      </c>
    </row>
    <row r="59" spans="1:7" x14ac:dyDescent="0.45">
      <c r="A59">
        <v>48</v>
      </c>
      <c r="B59" s="6" t="n">
        <v>529.272159155</v>
      </c>
      <c r="C59" s="9">
        <f t="shared" si="0"/>
        <v>3.0572809325716418E-3</v>
      </c>
      <c r="E59" s="371">
        <v>48</v>
      </c>
      <c r="F59" s="371" t="n">
        <v>284.0</v>
      </c>
      <c r="G59" s="9">
        <f t="shared" si="1"/>
        <v>1.2484119141727837E-3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285.0</v>
      </c>
      <c r="G60" s="9">
        <f t="shared" si="1"/>
        <v>1.230766516092603E-3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222.0</v>
      </c>
      <c r="G61" s="9">
        <f t="shared" si="1"/>
        <v>1.1645962732919255E-3</v>
      </c>
    </row>
    <row r="62" spans="1:7" x14ac:dyDescent="0.45">
      <c r="A62">
        <v>51</v>
      </c>
      <c r="B62" s="6" t="n">
        <v>85.5353905136</v>
      </c>
      <c r="C62" s="9">
        <f t="shared" si="0"/>
        <v>4.9408553605918143E-4</v>
      </c>
      <c r="E62" s="371">
        <v>51</v>
      </c>
      <c r="F62" s="371" t="n">
        <v>193.0</v>
      </c>
      <c r="G62" s="9">
        <f t="shared" si="1"/>
        <v>9.6608554488989275E-4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195.0</v>
      </c>
      <c r="G63" s="9">
        <f t="shared" si="1"/>
        <v>8.4256775832862788E-4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163.0</v>
      </c>
      <c r="G64" s="9">
        <f t="shared" si="1"/>
        <v>7.94042913608131E-4</v>
      </c>
    </row>
    <row r="65" spans="1:7" x14ac:dyDescent="0.45">
      <c r="A65">
        <v>54</v>
      </c>
      <c r="B65" s="6" t="n">
        <v>866.290983305</v>
      </c>
      <c r="C65" s="9">
        <f t="shared" si="0"/>
        <v>5.004032159079597E-3</v>
      </c>
      <c r="E65" s="371">
        <v>54</v>
      </c>
      <c r="F65" s="371" t="n">
        <v>150.0</v>
      </c>
      <c r="G65" s="9">
        <f t="shared" si="1"/>
        <v>5.6024138904573687E-4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143.0</v>
      </c>
      <c r="G66" s="9">
        <f t="shared" si="1"/>
        <v>5.7788678712591751E-4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130.0</v>
      </c>
      <c r="G67" s="9">
        <f t="shared" si="1"/>
        <v>5.1171654432524E-4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109.0</v>
      </c>
      <c r="G68" s="9">
        <f t="shared" si="1"/>
        <v>5.3377329192546587E-4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91.0</v>
      </c>
      <c r="G69" s="9">
        <f t="shared" si="1"/>
        <v>4.2790090344438169E-4</v>
      </c>
    </row>
    <row r="70" spans="1:7" x14ac:dyDescent="0.45">
      <c r="A70">
        <v>59</v>
      </c>
      <c r="B70" s="6" t="n">
        <v>619.342925768</v>
      </c>
      <c r="C70" s="9">
        <f t="shared" si="0"/>
        <v>3.577564557139529E-3</v>
      </c>
      <c r="E70" s="371">
        <v>59</v>
      </c>
      <c r="F70" s="371" t="n">
        <v>112.0</v>
      </c>
      <c r="G70" s="9">
        <f t="shared" si="1"/>
        <v>3.970214568040655E-4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97.0</v>
      </c>
      <c r="G71" s="9">
        <f t="shared" si="1"/>
        <v>5.249505928853755E-4</v>
      </c>
    </row>
    <row r="72" spans="1:7" x14ac:dyDescent="0.45">
      <c r="A72">
        <v>61</v>
      </c>
      <c r="B72" s="6" t="n">
        <v>519.276353903</v>
      </c>
      <c r="C72" s="9">
        <f t="shared" si="0"/>
        <v>2.9995412909259722E-3</v>
      </c>
      <c r="E72" s="371">
        <v>61</v>
      </c>
      <c r="F72" s="371" t="n">
        <v>106.0</v>
      </c>
      <c r="G72" s="9">
        <f t="shared" si="1"/>
        <v>4.6319169960474307E-4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95.0</v>
      </c>
      <c r="G73" s="9">
        <f t="shared" si="1"/>
        <v>4.0584415584415587E-4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86.0</v>
      </c>
      <c r="G74" s="9">
        <f t="shared" si="1"/>
        <v>3.7496470920383963E-4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79.0</v>
      </c>
      <c r="G75" s="9">
        <f t="shared" si="1"/>
        <v>3.7496470920383963E-4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84.0</v>
      </c>
      <c r="G76" s="9">
        <f t="shared" si="1"/>
        <v>4.6760304912478825E-4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64.0</v>
      </c>
      <c r="G77" s="9">
        <f t="shared" ref="G77:G102" si="3">F77/F$102</f>
        <v>3.7055335968379444E-4</v>
      </c>
    </row>
    <row r="78" spans="1:7" x14ac:dyDescent="0.45">
      <c r="A78">
        <v>67</v>
      </c>
      <c r="B78" s="6" t="n">
        <v>240.790838723</v>
      </c>
      <c r="C78" s="9">
        <f t="shared" si="2"/>
        <v>1.3909011219125386E-3</v>
      </c>
      <c r="E78" s="371">
        <v>67</v>
      </c>
      <c r="F78" s="371" t="n">
        <v>78.0</v>
      </c>
      <c r="G78" s="9">
        <f t="shared" si="3"/>
        <v>3.0879446640316206E-4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72.0</v>
      </c>
      <c r="G79" s="9">
        <f t="shared" si="3"/>
        <v>2.9997176736307169E-4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50.0</v>
      </c>
      <c r="G80" s="9">
        <f t="shared" si="3"/>
        <v>3.0438311688311688E-4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96.0</v>
      </c>
      <c r="G81" s="9">
        <f t="shared" si="3"/>
        <v>3.7937605872388481E-4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68.0</v>
      </c>
      <c r="G82" s="9">
        <f t="shared" si="3"/>
        <v>2.4703557312252963E-4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79.0</v>
      </c>
      <c r="G83" s="9">
        <f t="shared" si="3"/>
        <v>3.4408526256352344E-4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44.0</v>
      </c>
      <c r="G84" s="9">
        <f t="shared" si="3"/>
        <v>2.1615612648221344E-4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52.0</v>
      </c>
      <c r="G85" s="9">
        <f t="shared" si="3"/>
        <v>1.8527667984189722E-4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40.0</v>
      </c>
      <c r="G86" s="9">
        <f t="shared" si="3"/>
        <v>1.7645398080180688E-4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49.0</v>
      </c>
      <c r="G87" s="9">
        <f t="shared" si="3"/>
        <v>2.1615612648221344E-4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43.0</v>
      </c>
      <c r="G88" s="9">
        <f t="shared" si="3"/>
        <v>1.7204263128176172E-4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39.0</v>
      </c>
      <c r="G89" s="9">
        <f t="shared" si="3"/>
        <v>1.6763128176171653E-4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49.0</v>
      </c>
      <c r="G90" s="9">
        <f t="shared" si="3"/>
        <v>1.6763128176171653E-4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44.0</v>
      </c>
      <c r="G91" s="9">
        <f t="shared" si="3"/>
        <v>1.7204263128176172E-4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42.0</v>
      </c>
      <c r="G92" s="9">
        <f t="shared" si="3"/>
        <v>2.3821287408243931E-4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41.0</v>
      </c>
      <c r="G93" s="9">
        <f t="shared" si="3"/>
        <v>1.5439723320158103E-4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50.0</v>
      </c>
      <c r="G94" s="9">
        <f t="shared" si="3"/>
        <v>1.8968802936194241E-4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77.0</v>
      </c>
      <c r="G95" s="9">
        <f t="shared" si="3"/>
        <v>3.1761716544325238E-4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38.0</v>
      </c>
      <c r="G96" s="9">
        <f t="shared" si="3"/>
        <v>1.2351778656126481E-4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42.0</v>
      </c>
      <c r="G97" s="9">
        <f t="shared" si="3"/>
        <v>1.8527667984189722E-4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31.0</v>
      </c>
      <c r="G98" s="9">
        <f t="shared" si="3"/>
        <v>1.7204263128176172E-4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30.0</v>
      </c>
      <c r="G99" s="9">
        <f t="shared" si="3"/>
        <v>9.263833992094861E-5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31.0</v>
      </c>
      <c r="G100" s="9">
        <f t="shared" si="3"/>
        <v>1.6321993224167137E-4</v>
      </c>
    </row>
    <row r="101" spans="1:7" ht="14.65" thickBot="1" x14ac:dyDescent="0.5">
      <c r="A101" s="1">
        <v>90</v>
      </c>
      <c r="B101" s="7" t="n">
        <v>489.03692263799996</v>
      </c>
      <c r="C101" s="9">
        <f t="shared" si="2"/>
        <v>2.8248666268251904E-3</v>
      </c>
      <c r="E101" s="372">
        <v>90</v>
      </c>
      <c r="F101" s="372" t="n">
        <v>1418.0</v>
      </c>
      <c r="G101" s="9">
        <f t="shared" si="3"/>
        <v>6.14942123094297E-3</v>
      </c>
    </row>
    <row r="102" spans="1:7" x14ac:dyDescent="0.45">
      <c r="B102" s="6">
        <f>SUM(B11:B101)</f>
        <v>173118.58832344893</v>
      </c>
      <c r="C102" s="9">
        <f t="shared" si="2"/>
        <v>1</v>
      </c>
      <c r="F102" s="6">
        <f>SUM(F11:F101)</f>
        <v>226688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35543.0140405147</v>
      </c>
      <c r="C11" s="9">
        <f>B11/B$102</f>
        <v>0.182936851148471</v>
      </c>
      <c r="E11" s="371">
        <v>0</v>
      </c>
      <c r="F11" s="371" t="n">
        <v>59764.0</v>
      </c>
      <c r="G11" s="9">
        <f>F11/F$102</f>
        <v>0.24827667920632032</v>
      </c>
      <c r="K11" s="6" t="n">
        <v>4.252759439908437</v>
      </c>
      <c r="L11" s="6" t="n">
        <v>4.083144973778223</v>
      </c>
    </row>
    <row r="12" spans="1:12" x14ac:dyDescent="0.45">
      <c r="A12">
        <v>1</v>
      </c>
      <c r="B12" s="6" t="n">
        <v>42615.6035499335</v>
      </c>
      <c r="C12" s="9">
        <f>B12/B$102</f>
        <v>0.21933886401220748</v>
      </c>
      <c r="E12" s="371">
        <v>1</v>
      </c>
      <c r="F12" s="371" t="n">
        <v>39955.0</v>
      </c>
      <c r="G12" s="9">
        <f>F12/F$102</f>
        <v>0.17021627728855732</v>
      </c>
      <c r="K12" s="6"/>
      <c r="L12" s="371"/>
    </row>
    <row r="13" spans="1:12" x14ac:dyDescent="0.45">
      <c r="A13">
        <v>2</v>
      </c>
      <c r="B13" s="6" t="n">
        <v>20164.856846628</v>
      </c>
      <c r="C13" s="9">
        <f t="shared" ref="C13:C76" si="0">B13/B$102</f>
        <v>0.10378679228432686</v>
      </c>
      <c r="E13" s="371">
        <v>2</v>
      </c>
      <c r="F13" s="371" t="n">
        <v>28022.0</v>
      </c>
      <c r="G13" s="9">
        <f t="shared" ref="G13:G76" si="1">F13/F$102</f>
        <v>0.1184468320095465</v>
      </c>
    </row>
    <row r="14" spans="1:12" x14ac:dyDescent="0.45">
      <c r="A14">
        <v>3</v>
      </c>
      <c r="B14" s="6" t="n">
        <v>19998.015379553</v>
      </c>
      <c r="C14" s="9">
        <f t="shared" si="0"/>
        <v>0.10292807353321302</v>
      </c>
      <c r="E14" s="371">
        <v>3</v>
      </c>
      <c r="F14" s="371" t="n">
        <v>22678.0</v>
      </c>
      <c r="G14" s="9">
        <f t="shared" si="1"/>
        <v>9.6789481924702839E-2</v>
      </c>
    </row>
    <row r="15" spans="1:12" x14ac:dyDescent="0.45">
      <c r="A15">
        <v>4</v>
      </c>
      <c r="B15" s="6" t="n">
        <v>14587.5544958769</v>
      </c>
      <c r="C15" s="9">
        <f t="shared" si="0"/>
        <v>7.5080894444983226E-2</v>
      </c>
      <c r="E15" s="371">
        <v>4</v>
      </c>
      <c r="F15" s="371" t="n">
        <v>21900.0</v>
      </c>
      <c r="G15" s="9">
        <f t="shared" si="1"/>
        <v>9.1470355497065378E-2</v>
      </c>
    </row>
    <row r="16" spans="1:12" x14ac:dyDescent="0.45">
      <c r="A16">
        <v>5</v>
      </c>
      <c r="B16" s="6" t="n">
        <v>11915.1580709434</v>
      </c>
      <c r="C16" s="9">
        <f t="shared" si="0"/>
        <v>6.1326298775620396E-2</v>
      </c>
      <c r="E16" s="371">
        <v>5</v>
      </c>
      <c r="F16" s="371" t="n">
        <v>14457.0</v>
      </c>
      <c r="G16" s="9">
        <f t="shared" si="1"/>
        <v>6.1218617365657146E-2</v>
      </c>
    </row>
    <row r="17" spans="1:7" x14ac:dyDescent="0.45">
      <c r="A17">
        <v>6</v>
      </c>
      <c r="B17" s="6" t="n">
        <v>9071.8939691464</v>
      </c>
      <c r="C17" s="9">
        <f t="shared" si="0"/>
        <v>4.6692261797964672E-2</v>
      </c>
      <c r="E17" s="371">
        <v>6</v>
      </c>
      <c r="F17" s="371" t="n">
        <v>9672.0</v>
      </c>
      <c r="G17" s="9">
        <f t="shared" si="1"/>
        <v>4.0856138153412574E-2</v>
      </c>
    </row>
    <row r="18" spans="1:7" x14ac:dyDescent="0.45">
      <c r="A18">
        <v>7</v>
      </c>
      <c r="B18" s="6" t="n">
        <v>5741.9641598794005</v>
      </c>
      <c r="C18" s="9">
        <f t="shared" si="0"/>
        <v>2.9553398077562191E-2</v>
      </c>
      <c r="E18" s="371">
        <v>7</v>
      </c>
      <c r="F18" s="371" t="n">
        <v>7536.0</v>
      </c>
      <c r="G18" s="9">
        <f t="shared" si="1"/>
        <v>3.1593156649754359E-2</v>
      </c>
    </row>
    <row r="19" spans="1:7" x14ac:dyDescent="0.45">
      <c r="A19">
        <v>8</v>
      </c>
      <c r="B19" s="6" t="n">
        <v>5942.5314954059995</v>
      </c>
      <c r="C19" s="9">
        <f t="shared" si="0"/>
        <v>3.0585700987007389E-2</v>
      </c>
      <c r="E19" s="371">
        <v>8</v>
      </c>
      <c r="F19" s="371" t="n">
        <v>6455.0</v>
      </c>
      <c r="G19" s="9">
        <f t="shared" si="1"/>
        <v>2.6714117054634241E-2</v>
      </c>
    </row>
    <row r="20" spans="1:7" x14ac:dyDescent="0.45">
      <c r="A20">
        <v>9</v>
      </c>
      <c r="B20" s="6" t="n">
        <v>3884.065301878</v>
      </c>
      <c r="C20" s="9">
        <f t="shared" si="0"/>
        <v>1.9990951672547219E-2</v>
      </c>
      <c r="E20" s="371">
        <v>9</v>
      </c>
      <c r="F20" s="371" t="n">
        <v>4020.0</v>
      </c>
      <c r="G20" s="9">
        <f t="shared" si="1"/>
        <v>1.6972964281029294E-2</v>
      </c>
    </row>
    <row r="21" spans="1:7" x14ac:dyDescent="0.45">
      <c r="A21">
        <v>10</v>
      </c>
      <c r="B21" s="6" t="n">
        <v>1080.537911616</v>
      </c>
      <c r="C21" s="9">
        <f t="shared" si="0"/>
        <v>5.5614361481065152E-3</v>
      </c>
      <c r="E21" s="371">
        <v>10</v>
      </c>
      <c r="F21" s="371" t="n">
        <v>3445.0</v>
      </c>
      <c r="G21" s="9">
        <f t="shared" si="1"/>
        <v>1.5331101867406915E-2</v>
      </c>
    </row>
    <row r="22" spans="1:7" x14ac:dyDescent="0.45">
      <c r="A22">
        <v>11</v>
      </c>
      <c r="B22" s="6" t="n">
        <v>2300.769853712</v>
      </c>
      <c r="C22" s="9">
        <f t="shared" si="0"/>
        <v>1.1841865514714982E-2</v>
      </c>
      <c r="E22" s="371">
        <v>11</v>
      </c>
      <c r="F22" s="371" t="n">
        <v>3094.0</v>
      </c>
      <c r="G22" s="9">
        <f t="shared" si="1"/>
        <v>1.29825615592615E-2</v>
      </c>
    </row>
    <row r="23" spans="1:7" x14ac:dyDescent="0.45">
      <c r="A23">
        <v>12</v>
      </c>
      <c r="B23" s="6" t="n">
        <v>4296.6739143963005</v>
      </c>
      <c r="C23" s="9">
        <f t="shared" si="0"/>
        <v>2.2114612886106597E-2</v>
      </c>
      <c r="E23" s="371">
        <v>12</v>
      </c>
      <c r="F23" s="371" t="n">
        <v>3052.0</v>
      </c>
      <c r="G23" s="9">
        <f t="shared" si="1"/>
        <v>1.3172983746408426E-2</v>
      </c>
    </row>
    <row r="24" spans="1:7" x14ac:dyDescent="0.45">
      <c r="A24">
        <v>13</v>
      </c>
      <c r="B24" s="6" t="n">
        <v>2495.0364803184</v>
      </c>
      <c r="C24" s="9">
        <f t="shared" si="0"/>
        <v>1.2841739214624085E-2</v>
      </c>
      <c r="E24" s="371">
        <v>13</v>
      </c>
      <c r="F24" s="371" t="n">
        <v>2479.0</v>
      </c>
      <c r="G24" s="9">
        <f t="shared" si="1"/>
        <v>1.0502841522192647E-2</v>
      </c>
    </row>
    <row r="25" spans="1:7" x14ac:dyDescent="0.45">
      <c r="A25">
        <v>14</v>
      </c>
      <c r="B25" s="6" t="n">
        <v>3565.706784913</v>
      </c>
      <c r="C25" s="9">
        <f t="shared" si="0"/>
        <v>1.8352387633957575E-2</v>
      </c>
      <c r="E25" s="371">
        <v>14</v>
      </c>
      <c r="F25" s="371" t="n">
        <v>2039.0</v>
      </c>
      <c r="G25" s="9">
        <f t="shared" si="1"/>
        <v>8.6324724839939564E-3</v>
      </c>
    </row>
    <row r="26" spans="1:7" x14ac:dyDescent="0.45">
      <c r="A26">
        <v>15</v>
      </c>
      <c r="B26" s="6" t="n">
        <v>2432.32351234</v>
      </c>
      <c r="C26" s="9">
        <f t="shared" si="0"/>
        <v>1.2518960936027168E-2</v>
      </c>
      <c r="E26" s="371">
        <v>15</v>
      </c>
      <c r="F26" s="371" t="n">
        <v>1715.0</v>
      </c>
      <c r="G26" s="9">
        <f t="shared" si="1"/>
        <v>7.1133265909773735E-3</v>
      </c>
    </row>
    <row r="27" spans="1:7" x14ac:dyDescent="0.45">
      <c r="A27">
        <v>16</v>
      </c>
      <c r="B27" s="6" t="n">
        <v>1502.299402096</v>
      </c>
      <c r="C27" s="9">
        <f t="shared" si="0"/>
        <v>7.7322064411421291E-3</v>
      </c>
      <c r="E27" s="371">
        <v>16</v>
      </c>
      <c r="F27" s="371" t="n">
        <v>1401.0</v>
      </c>
      <c r="G27" s="9">
        <f t="shared" si="1"/>
        <v>5.6745811769783805E-3</v>
      </c>
    </row>
    <row r="28" spans="1:7" x14ac:dyDescent="0.45">
      <c r="A28">
        <v>17</v>
      </c>
      <c r="B28" s="6" t="n">
        <v>0.0</v>
      </c>
      <c r="C28" s="9">
        <f t="shared" si="0"/>
        <v>0</v>
      </c>
      <c r="E28" s="371">
        <v>17</v>
      </c>
      <c r="F28" s="371" t="n">
        <v>1104.0</v>
      </c>
      <c r="G28" s="9">
        <f t="shared" si="1"/>
        <v>4.6463013663849825E-3</v>
      </c>
    </row>
    <row r="29" spans="1:7" x14ac:dyDescent="0.45">
      <c r="A29">
        <v>18</v>
      </c>
      <c r="B29" s="6" t="n">
        <v>989.749575976</v>
      </c>
      <c r="C29" s="9">
        <f t="shared" si="0"/>
        <v>5.0941563551193366E-3</v>
      </c>
      <c r="E29" s="371">
        <v>18</v>
      </c>
      <c r="F29" s="371" t="n">
        <v>796.0</v>
      </c>
      <c r="G29" s="9">
        <f t="shared" si="1"/>
        <v>3.4783786185505062E-3</v>
      </c>
    </row>
    <row r="30" spans="1:7" x14ac:dyDescent="0.45">
      <c r="A30">
        <v>19</v>
      </c>
      <c r="B30" s="6" t="n">
        <v>2451.593456127</v>
      </c>
      <c r="C30" s="9">
        <f t="shared" si="0"/>
        <v>1.2618141687388984E-2</v>
      </c>
      <c r="E30" s="371">
        <v>19</v>
      </c>
      <c r="F30" s="371" t="n">
        <v>731.0</v>
      </c>
      <c r="G30" s="9">
        <f t="shared" si="1"/>
        <v>3.05944980682727E-3</v>
      </c>
    </row>
    <row r="31" spans="1:7" x14ac:dyDescent="0.45">
      <c r="A31">
        <v>20</v>
      </c>
      <c r="B31" s="6" t="n">
        <v>661.2145745398</v>
      </c>
      <c r="C31" s="9">
        <f t="shared" si="0"/>
        <v>3.4032148219592948E-3</v>
      </c>
      <c r="E31" s="371">
        <v>20</v>
      </c>
      <c r="F31" s="371" t="n">
        <v>517.0</v>
      </c>
      <c r="G31" s="9">
        <f t="shared" si="1"/>
        <v>2.2004341625866948E-3</v>
      </c>
    </row>
    <row r="32" spans="1:7" x14ac:dyDescent="0.45">
      <c r="A32">
        <v>21</v>
      </c>
      <c r="B32" s="6" t="n">
        <v>941.406834074</v>
      </c>
      <c r="C32" s="9">
        <f t="shared" si="0"/>
        <v>4.8453404001934427E-3</v>
      </c>
      <c r="E32" s="371">
        <v>21</v>
      </c>
      <c r="F32" s="371" t="n">
        <v>443.0</v>
      </c>
      <c r="G32" s="9">
        <f t="shared" si="1"/>
        <v>2.0565596211867959E-3</v>
      </c>
    </row>
    <row r="33" spans="1:7" x14ac:dyDescent="0.45">
      <c r="A33">
        <v>22</v>
      </c>
      <c r="B33" s="6" t="n">
        <v>771.128994947</v>
      </c>
      <c r="C33" s="9">
        <f t="shared" si="0"/>
        <v>3.968934936246238E-3</v>
      </c>
      <c r="E33" s="371">
        <v>22</v>
      </c>
      <c r="F33" s="371" t="n">
        <v>413.0</v>
      </c>
      <c r="G33" s="9">
        <f t="shared" si="1"/>
        <v>1.730726100957612E-3</v>
      </c>
    </row>
    <row r="34" spans="1:7" x14ac:dyDescent="0.45">
      <c r="A34">
        <v>23</v>
      </c>
      <c r="B34" s="6" t="n">
        <v>0.0</v>
      </c>
      <c r="C34" s="9">
        <f t="shared" si="0"/>
        <v>0</v>
      </c>
      <c r="E34" s="371">
        <v>23</v>
      </c>
      <c r="F34" s="371" t="n">
        <v>327.0</v>
      </c>
      <c r="G34" s="9">
        <f t="shared" si="1"/>
        <v>1.4048925807284283E-3</v>
      </c>
    </row>
    <row r="35" spans="1:7" x14ac:dyDescent="0.45">
      <c r="A35">
        <v>24</v>
      </c>
      <c r="B35" s="6" t="n">
        <v>701.195841893</v>
      </c>
      <c r="C35" s="9">
        <f t="shared" si="0"/>
        <v>3.6089949830391192E-3</v>
      </c>
      <c r="E35" s="371">
        <v>24</v>
      </c>
      <c r="F35" s="371" t="n">
        <v>231.0</v>
      </c>
      <c r="G35" s="9">
        <f t="shared" si="1"/>
        <v>9.8596376900519228E-4</v>
      </c>
    </row>
    <row r="36" spans="1:7" x14ac:dyDescent="0.45">
      <c r="A36">
        <v>25</v>
      </c>
      <c r="B36" s="6" t="n">
        <v>0.0</v>
      </c>
      <c r="C36" s="9">
        <f t="shared" si="0"/>
        <v>0</v>
      </c>
      <c r="E36" s="371">
        <v>25</v>
      </c>
      <c r="F36" s="371" t="n">
        <v>160.0</v>
      </c>
      <c r="G36" s="9">
        <f t="shared" si="1"/>
        <v>6.93983082046573E-4</v>
      </c>
    </row>
    <row r="37" spans="1:7" x14ac:dyDescent="0.45">
      <c r="A37">
        <v>26</v>
      </c>
      <c r="B37" s="6" t="n">
        <v>0.0</v>
      </c>
      <c r="C37" s="9">
        <f t="shared" si="0"/>
        <v>0</v>
      </c>
      <c r="E37" s="371">
        <v>26</v>
      </c>
      <c r="F37" s="371" t="n">
        <v>143.0</v>
      </c>
      <c r="G37" s="9">
        <f t="shared" si="1"/>
        <v>6.93983082046573E-4</v>
      </c>
    </row>
    <row r="38" spans="1:7" x14ac:dyDescent="0.45">
      <c r="A38">
        <v>27</v>
      </c>
      <c r="B38" s="6" t="n">
        <v>0.0</v>
      </c>
      <c r="C38" s="9">
        <f t="shared" si="0"/>
        <v>0</v>
      </c>
      <c r="E38" s="371">
        <v>27</v>
      </c>
      <c r="F38" s="371" t="n">
        <v>108.0</v>
      </c>
      <c r="G38" s="9">
        <f t="shared" si="1"/>
        <v>4.6124485331144183E-4</v>
      </c>
    </row>
    <row r="39" spans="1:7" x14ac:dyDescent="0.45">
      <c r="A39">
        <v>28</v>
      </c>
      <c r="B39" s="6" t="n">
        <v>0.0</v>
      </c>
      <c r="C39" s="9">
        <f t="shared" si="0"/>
        <v>0</v>
      </c>
      <c r="E39" s="371">
        <v>28</v>
      </c>
      <c r="F39" s="371" t="n">
        <v>83.0</v>
      </c>
      <c r="G39" s="9">
        <f t="shared" si="1"/>
        <v>3.8930758261149218E-4</v>
      </c>
    </row>
    <row r="40" spans="1:7" x14ac:dyDescent="0.45">
      <c r="A40">
        <v>29</v>
      </c>
      <c r="B40" s="6" t="n">
        <v>0.0</v>
      </c>
      <c r="C40" s="9">
        <f t="shared" si="0"/>
        <v>0</v>
      </c>
      <c r="E40" s="371">
        <v>29</v>
      </c>
      <c r="F40" s="371" t="n">
        <v>86.0</v>
      </c>
      <c r="G40" s="9">
        <f t="shared" si="1"/>
        <v>4.1046560340559502E-4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50.0</v>
      </c>
      <c r="G41" s="9">
        <f t="shared" si="1"/>
        <v>2.9621229111743969E-4</v>
      </c>
    </row>
    <row r="42" spans="1:7" x14ac:dyDescent="0.4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56.0</v>
      </c>
      <c r="G42" s="9">
        <f t="shared" si="1"/>
        <v>2.7928587448215742E-4</v>
      </c>
    </row>
    <row r="43" spans="1:7" x14ac:dyDescent="0.45">
      <c r="A43">
        <v>32</v>
      </c>
      <c r="B43" s="6" t="n">
        <v>464.442048857</v>
      </c>
      <c r="C43" s="9">
        <f t="shared" si="0"/>
        <v>2.390443473983264E-3</v>
      </c>
      <c r="E43" s="371">
        <v>32</v>
      </c>
      <c r="F43" s="371" t="n">
        <v>42.0</v>
      </c>
      <c r="G43" s="9">
        <f t="shared" si="1"/>
        <v>2.0311699962338722E-4</v>
      </c>
    </row>
    <row r="44" spans="1:7" x14ac:dyDescent="0.45">
      <c r="A44">
        <v>33</v>
      </c>
      <c r="B44" s="6" t="n">
        <v>0.0</v>
      </c>
      <c r="C44" s="9">
        <f t="shared" si="0"/>
        <v>0</v>
      </c>
      <c r="E44" s="371">
        <v>33</v>
      </c>
      <c r="F44" s="371" t="n">
        <v>26.0</v>
      </c>
      <c r="G44" s="9">
        <f t="shared" si="1"/>
        <v>1.3964293724107871E-4</v>
      </c>
    </row>
    <row r="45" spans="1:7" x14ac:dyDescent="0.45">
      <c r="A45">
        <v>34</v>
      </c>
      <c r="B45" s="6" t="n">
        <v>0.0</v>
      </c>
      <c r="C45" s="9">
        <f t="shared" si="0"/>
        <v>0</v>
      </c>
      <c r="E45" s="371">
        <v>34</v>
      </c>
      <c r="F45" s="371" t="n">
        <v>31.0</v>
      </c>
      <c r="G45" s="9">
        <f t="shared" si="1"/>
        <v>1.1425331228815532E-4</v>
      </c>
    </row>
    <row r="46" spans="1:7" x14ac:dyDescent="0.45">
      <c r="A46">
        <v>35</v>
      </c>
      <c r="B46" s="6" t="n">
        <v>172.429102711</v>
      </c>
      <c r="C46" s="9">
        <f t="shared" si="0"/>
        <v>8.8747783348791759E-4</v>
      </c>
      <c r="E46" s="371">
        <v>35</v>
      </c>
      <c r="F46" s="371" t="n">
        <v>16.0</v>
      </c>
      <c r="G46" s="9">
        <f t="shared" si="1"/>
        <v>1.2694812476461703E-4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23.0</v>
      </c>
      <c r="G47" s="9">
        <f t="shared" si="1"/>
        <v>8.0400479017590773E-5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27.0</v>
      </c>
      <c r="G48" s="9">
        <f t="shared" si="1"/>
        <v>9.3095291494052476E-5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17.0</v>
      </c>
      <c r="G49" s="9">
        <f t="shared" si="1"/>
        <v>1.2271652060579646E-4</v>
      </c>
    </row>
    <row r="50" spans="1:7" x14ac:dyDescent="0.45">
      <c r="A50">
        <v>39</v>
      </c>
      <c r="B50" s="6" t="n">
        <v>0.0</v>
      </c>
      <c r="C50" s="9">
        <f t="shared" si="0"/>
        <v>0</v>
      </c>
      <c r="E50" s="371">
        <v>39</v>
      </c>
      <c r="F50" s="371" t="n">
        <v>11.0</v>
      </c>
      <c r="G50" s="9">
        <f t="shared" si="1"/>
        <v>8.8863687335231909E-5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16.0</v>
      </c>
      <c r="G51" s="9">
        <f t="shared" si="1"/>
        <v>6.3474062382308516E-5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15.0</v>
      </c>
      <c r="G52" s="9">
        <f t="shared" si="1"/>
        <v>2.9621229111743971E-5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7.0</v>
      </c>
      <c r="G53" s="9">
        <f t="shared" si="1"/>
        <v>3.8084437429385103E-5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13.0</v>
      </c>
      <c r="G54" s="9">
        <f t="shared" si="1"/>
        <v>3.8084437429385103E-5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9.0</v>
      </c>
      <c r="G55" s="9">
        <f t="shared" si="1"/>
        <v>2.9621229111743971E-5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6.0</v>
      </c>
      <c r="G56" s="9">
        <f t="shared" si="1"/>
        <v>1.2694812476461701E-5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4.0</v>
      </c>
      <c r="G57" s="9">
        <f t="shared" si="1"/>
        <v>4.2316041588205669E-6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4.0</v>
      </c>
      <c r="G58" s="9">
        <f t="shared" si="1"/>
        <v>8.4632083176411338E-6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2.0</v>
      </c>
      <c r="G59" s="9">
        <f t="shared" si="1"/>
        <v>8.4632083176411338E-6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3.0</v>
      </c>
      <c r="G60" s="9">
        <f t="shared" si="1"/>
        <v>1.6926416635282268E-5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2.0</v>
      </c>
      <c r="G61" s="9">
        <f t="shared" si="1"/>
        <v>4.2316041588205669E-6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2.0</v>
      </c>
      <c r="G62" s="9">
        <f t="shared" si="1"/>
        <v>4.2316041588205669E-6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1.0</v>
      </c>
      <c r="G63" s="9">
        <f t="shared" si="1"/>
        <v>4.2316041588205669E-6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2.0</v>
      </c>
      <c r="G64" s="9">
        <f t="shared" si="1"/>
        <v>4.2316041588205669E-6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1.0</v>
      </c>
      <c r="G65" s="9">
        <f t="shared" si="1"/>
        <v>4.2316041588205669E-6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1.0</v>
      </c>
      <c r="G66" s="9">
        <f t="shared" si="1"/>
        <v>0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3.0</v>
      </c>
      <c r="G67" s="9">
        <f t="shared" si="1"/>
        <v>4.2316041588205669E-6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0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0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0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1.0</v>
      </c>
      <c r="G71" s="9">
        <f t="shared" si="1"/>
        <v>0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4.2316041588205669E-6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0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0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0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0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194291.16559827578</v>
      </c>
      <c r="C102" s="9">
        <f t="shared" si="2"/>
        <v>1</v>
      </c>
      <c r="F102" s="6">
        <f>SUM(F11:F101)</f>
        <v>236317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1928.2538946519999</v>
      </c>
      <c r="C11" s="9">
        <f>B11/B$102</f>
        <v>9.9245577569848711E-3</v>
      </c>
      <c r="E11" s="371">
        <v>0</v>
      </c>
      <c r="F11" s="371" t="n">
        <v>2217.0</v>
      </c>
      <c r="G11" s="9">
        <f>F11/F$102</f>
        <v>9.2968343369287856E-3</v>
      </c>
      <c r="K11" s="6" t="n">
        <v>12.812667947849283</v>
      </c>
      <c r="L11" s="6" t="n">
        <v>12.824930126659446</v>
      </c>
    </row>
    <row r="12" spans="1:12" x14ac:dyDescent="0.45">
      <c r="A12">
        <v>1</v>
      </c>
      <c r="B12" s="6" t="n">
        <v>1838.9710621157</v>
      </c>
      <c r="C12" s="9">
        <f>B12/B$102</f>
        <v>9.4650266596167879E-3</v>
      </c>
      <c r="E12" s="371">
        <v>1</v>
      </c>
      <c r="F12" s="371" t="n">
        <v>8923.0</v>
      </c>
      <c r="G12" s="9">
        <f>F12/F$102</f>
        <v>3.6891125056597703E-2</v>
      </c>
      <c r="K12" s="6"/>
      <c r="L12" s="371"/>
    </row>
    <row r="13" spans="1:12" x14ac:dyDescent="0.45">
      <c r="A13">
        <v>2</v>
      </c>
      <c r="B13" s="6" t="n">
        <v>7102.1596210714</v>
      </c>
      <c r="C13" s="9">
        <f t="shared" ref="C13:C76" si="0">B13/B$102</f>
        <v>3.6554207697513698E-2</v>
      </c>
      <c r="E13" s="371">
        <v>2</v>
      </c>
      <c r="F13" s="371" t="n">
        <v>16391.0</v>
      </c>
      <c r="G13" s="9">
        <f t="shared" ref="G13:G76" si="1">F13/F$102</f>
        <v>6.8645082664387236E-2</v>
      </c>
    </row>
    <row r="14" spans="1:12" x14ac:dyDescent="0.45">
      <c r="A14">
        <v>3</v>
      </c>
      <c r="B14" s="6" t="n">
        <v>14178.5866912737</v>
      </c>
      <c r="C14" s="9">
        <f t="shared" si="0"/>
        <v>7.2975972158147009E-2</v>
      </c>
      <c r="E14" s="371">
        <v>3</v>
      </c>
      <c r="F14" s="371" t="n">
        <v>21230.0</v>
      </c>
      <c r="G14" s="9">
        <f t="shared" si="1"/>
        <v>9.0281274728436806E-2</v>
      </c>
    </row>
    <row r="15" spans="1:12" x14ac:dyDescent="0.45">
      <c r="A15">
        <v>4</v>
      </c>
      <c r="B15" s="6" t="n">
        <v>12627.4939158993</v>
      </c>
      <c r="C15" s="9">
        <f t="shared" si="0"/>
        <v>6.4992630400954085E-2</v>
      </c>
      <c r="E15" s="371">
        <v>4</v>
      </c>
      <c r="F15" s="371" t="n">
        <v>18877.0</v>
      </c>
      <c r="G15" s="9">
        <f t="shared" si="1"/>
        <v>7.9448368081856152E-2</v>
      </c>
    </row>
    <row r="16" spans="1:12" x14ac:dyDescent="0.45">
      <c r="A16">
        <v>5</v>
      </c>
      <c r="B16" s="6" t="n">
        <v>22861.6629622368</v>
      </c>
      <c r="C16" s="9">
        <f t="shared" si="0"/>
        <v>0.11766702254237588</v>
      </c>
      <c r="E16" s="371">
        <v>5</v>
      </c>
      <c r="F16" s="371" t="n">
        <v>16520.0</v>
      </c>
      <c r="G16" s="9">
        <f t="shared" si="1"/>
        <v>6.9190959600875096E-2</v>
      </c>
    </row>
    <row r="17" spans="1:7" x14ac:dyDescent="0.45">
      <c r="A17">
        <v>6</v>
      </c>
      <c r="B17" s="6" t="n">
        <v>11953.318504145</v>
      </c>
      <c r="C17" s="9">
        <f t="shared" si="0"/>
        <v>6.1522707259166705E-2</v>
      </c>
      <c r="E17" s="371">
        <v>6</v>
      </c>
      <c r="F17" s="371" t="n">
        <v>15177.0</v>
      </c>
      <c r="G17" s="9">
        <f t="shared" si="1"/>
        <v>6.3296335007638052E-2</v>
      </c>
    </row>
    <row r="18" spans="1:7" x14ac:dyDescent="0.45">
      <c r="A18">
        <v>7</v>
      </c>
      <c r="B18" s="6" t="n">
        <v>16025.6404698743</v>
      </c>
      <c r="C18" s="9">
        <f t="shared" si="0"/>
        <v>8.2482599867713807E-2</v>
      </c>
      <c r="E18" s="371">
        <v>7</v>
      </c>
      <c r="F18" s="371" t="n">
        <v>14233.0</v>
      </c>
      <c r="G18" s="9">
        <f t="shared" si="1"/>
        <v>5.9792566764134615E-2</v>
      </c>
    </row>
    <row r="19" spans="1:7" x14ac:dyDescent="0.45">
      <c r="A19">
        <v>8</v>
      </c>
      <c r="B19" s="6" t="n">
        <v>10794.3682639019</v>
      </c>
      <c r="C19" s="9">
        <f t="shared" si="0"/>
        <v>5.5557689566908937E-2</v>
      </c>
      <c r="E19" s="371">
        <v>8</v>
      </c>
      <c r="F19" s="371" t="n">
        <v>11751.0</v>
      </c>
      <c r="G19" s="9">
        <f t="shared" si="1"/>
        <v>5.1177020696775939E-2</v>
      </c>
    </row>
    <row r="20" spans="1:7" x14ac:dyDescent="0.45">
      <c r="A20">
        <v>9</v>
      </c>
      <c r="B20" s="6" t="n">
        <v>9236.2523126447</v>
      </c>
      <c r="C20" s="9">
        <f t="shared" si="0"/>
        <v>4.7538200124559171E-2</v>
      </c>
      <c r="E20" s="371">
        <v>9</v>
      </c>
      <c r="F20" s="371" t="n">
        <v>11404.0</v>
      </c>
      <c r="G20" s="9">
        <f t="shared" si="1"/>
        <v>4.7199312787484606E-2</v>
      </c>
    </row>
    <row r="21" spans="1:7" x14ac:dyDescent="0.45">
      <c r="A21">
        <v>10</v>
      </c>
      <c r="B21" s="6" t="n">
        <v>9142.1707526468</v>
      </c>
      <c r="C21" s="9">
        <f t="shared" si="0"/>
        <v>4.7053970387668169E-2</v>
      </c>
      <c r="E21" s="371">
        <v>10</v>
      </c>
      <c r="F21" s="371" t="n">
        <v>10624.0</v>
      </c>
      <c r="G21" s="9">
        <f t="shared" si="1"/>
        <v>4.5675935290309201E-2</v>
      </c>
    </row>
    <row r="22" spans="1:7" x14ac:dyDescent="0.45">
      <c r="A22">
        <v>11</v>
      </c>
      <c r="B22" s="6" t="n">
        <v>5205.8307231851995</v>
      </c>
      <c r="C22" s="9">
        <f t="shared" si="0"/>
        <v>2.6793965166429571E-2</v>
      </c>
      <c r="E22" s="371">
        <v>11</v>
      </c>
      <c r="F22" s="371" t="n">
        <v>8612.0</v>
      </c>
      <c r="G22" s="9">
        <f t="shared" si="1"/>
        <v>3.4910734310269677E-2</v>
      </c>
    </row>
    <row r="23" spans="1:7" x14ac:dyDescent="0.45">
      <c r="A23">
        <v>12</v>
      </c>
      <c r="B23" s="6" t="n">
        <v>6624.150139864</v>
      </c>
      <c r="C23" s="9">
        <f t="shared" si="0"/>
        <v>3.4093933810456209E-2</v>
      </c>
      <c r="E23" s="371">
        <v>12</v>
      </c>
      <c r="F23" s="371" t="n">
        <v>7068.0</v>
      </c>
      <c r="G23" s="9">
        <f t="shared" si="1"/>
        <v>2.991744140286141E-2</v>
      </c>
    </row>
    <row r="24" spans="1:7" x14ac:dyDescent="0.45">
      <c r="A24">
        <v>13</v>
      </c>
      <c r="B24" s="6" t="n">
        <v>4754.5338815035</v>
      </c>
      <c r="C24" s="9">
        <f t="shared" si="0"/>
        <v>2.4471178948682445E-2</v>
      </c>
      <c r="E24" s="371">
        <v>13</v>
      </c>
      <c r="F24" s="371" t="n">
        <v>5730.0</v>
      </c>
      <c r="G24" s="9">
        <f t="shared" si="1"/>
        <v>2.4272481454994773E-2</v>
      </c>
    </row>
    <row r="25" spans="1:7" x14ac:dyDescent="0.45">
      <c r="A25">
        <v>14</v>
      </c>
      <c r="B25" s="6" t="n">
        <v>2064.6482364060003</v>
      </c>
      <c r="C25" s="9">
        <f t="shared" si="0"/>
        <v>1.0626567760033671E-2</v>
      </c>
      <c r="E25" s="371">
        <v>14</v>
      </c>
      <c r="F25" s="371" t="n">
        <v>4279.0</v>
      </c>
      <c r="G25" s="9">
        <f t="shared" si="1"/>
        <v>1.7628862925646482E-2</v>
      </c>
    </row>
    <row r="26" spans="1:7" x14ac:dyDescent="0.45">
      <c r="A26">
        <v>15</v>
      </c>
      <c r="B26" s="6" t="n">
        <v>4817.256148157</v>
      </c>
      <c r="C26" s="9">
        <f t="shared" si="0"/>
        <v>2.4794005086764229E-2</v>
      </c>
      <c r="E26" s="371">
        <v>15</v>
      </c>
      <c r="F26" s="371" t="n">
        <v>3881.0</v>
      </c>
      <c r="G26" s="9">
        <f t="shared" si="1"/>
        <v>1.6257823178188621E-2</v>
      </c>
    </row>
    <row r="27" spans="1:7" x14ac:dyDescent="0.45">
      <c r="A27">
        <v>16</v>
      </c>
      <c r="B27" s="6" t="n">
        <v>4255.6834027212</v>
      </c>
      <c r="C27" s="9">
        <f t="shared" si="0"/>
        <v>2.1903638230882934E-2</v>
      </c>
      <c r="E27" s="371">
        <v>16</v>
      </c>
      <c r="F27" s="371" t="n">
        <v>4554.0</v>
      </c>
      <c r="G27" s="9">
        <f t="shared" si="1"/>
        <v>1.940613667235112E-2</v>
      </c>
    </row>
    <row r="28" spans="1:7" x14ac:dyDescent="0.45">
      <c r="A28">
        <v>17</v>
      </c>
      <c r="B28" s="6" t="n">
        <v>1721.110428598</v>
      </c>
      <c r="C28" s="9">
        <f t="shared" si="0"/>
        <v>8.8584080665645767E-3</v>
      </c>
      <c r="E28" s="371">
        <v>17</v>
      </c>
      <c r="F28" s="371" t="n">
        <v>3349.0</v>
      </c>
      <c r="G28" s="9">
        <f t="shared" si="1"/>
        <v>1.4941794284795423E-2</v>
      </c>
    </row>
    <row r="29" spans="1:7" x14ac:dyDescent="0.45">
      <c r="A29">
        <v>18</v>
      </c>
      <c r="B29" s="6" t="n">
        <v>1623.290730663</v>
      </c>
      <c r="C29" s="9">
        <f t="shared" si="0"/>
        <v>8.3549384536576472E-3</v>
      </c>
      <c r="E29" s="371">
        <v>18</v>
      </c>
      <c r="F29" s="371" t="n">
        <v>4722.0</v>
      </c>
      <c r="G29" s="9">
        <f t="shared" si="1"/>
        <v>1.9617716880292149E-2</v>
      </c>
    </row>
    <row r="30" spans="1:7" x14ac:dyDescent="0.45">
      <c r="A30">
        <v>19</v>
      </c>
      <c r="B30" s="6" t="n">
        <v>3383.02432077</v>
      </c>
      <c r="C30" s="9">
        <f t="shared" si="0"/>
        <v>1.7412136626761904E-2</v>
      </c>
      <c r="E30" s="371">
        <v>19</v>
      </c>
      <c r="F30" s="371" t="n">
        <v>4165.0</v>
      </c>
      <c r="G30" s="9">
        <f t="shared" si="1"/>
        <v>1.7303029405417298E-2</v>
      </c>
    </row>
    <row r="31" spans="1:7" x14ac:dyDescent="0.45">
      <c r="A31">
        <v>20</v>
      </c>
      <c r="B31" s="6" t="n">
        <v>6015.704121338</v>
      </c>
      <c r="C31" s="9">
        <f t="shared" si="0"/>
        <v>3.0962314229851871E-2</v>
      </c>
      <c r="E31" s="371">
        <v>20</v>
      </c>
      <c r="F31" s="371" t="n">
        <v>3411.0</v>
      </c>
      <c r="G31" s="9">
        <f t="shared" si="1"/>
        <v>1.4146252702937156E-2</v>
      </c>
    </row>
    <row r="32" spans="1:7" x14ac:dyDescent="0.45">
      <c r="A32">
        <v>21</v>
      </c>
      <c r="B32" s="6" t="n">
        <v>2875.1614626894</v>
      </c>
      <c r="C32" s="9">
        <f t="shared" si="0"/>
        <v>1.4798209964081434E-2</v>
      </c>
      <c r="E32" s="371">
        <v>21</v>
      </c>
      <c r="F32" s="371" t="n">
        <v>3581.0</v>
      </c>
      <c r="G32" s="9">
        <f t="shared" si="1"/>
        <v>1.3960062119949051E-2</v>
      </c>
    </row>
    <row r="33" spans="1:7" x14ac:dyDescent="0.45">
      <c r="A33">
        <v>22</v>
      </c>
      <c r="B33" s="6" t="n">
        <v>2537.1736604508</v>
      </c>
      <c r="C33" s="9">
        <f t="shared" si="0"/>
        <v>1.3058615674254394E-2</v>
      </c>
      <c r="E33" s="371">
        <v>22</v>
      </c>
      <c r="F33" s="371" t="n">
        <v>3207.0</v>
      </c>
      <c r="G33" s="9">
        <f t="shared" si="1"/>
        <v>1.4091241848872489E-2</v>
      </c>
    </row>
    <row r="34" spans="1:7" x14ac:dyDescent="0.45">
      <c r="A34">
        <v>23</v>
      </c>
      <c r="B34" s="6" t="n">
        <v>1241.483662166</v>
      </c>
      <c r="C34" s="9">
        <f t="shared" si="0"/>
        <v>6.3898101508791279E-3</v>
      </c>
      <c r="E34" s="371">
        <v>23</v>
      </c>
      <c r="F34" s="371" t="n">
        <v>3162.0</v>
      </c>
      <c r="G34" s="9">
        <f t="shared" si="1"/>
        <v>1.2745591726367548E-2</v>
      </c>
    </row>
    <row r="35" spans="1:7" x14ac:dyDescent="0.45">
      <c r="A35">
        <v>24</v>
      </c>
      <c r="B35" s="6" t="n">
        <v>1505.439925838</v>
      </c>
      <c r="C35" s="9">
        <f t="shared" si="0"/>
        <v>7.7483704480455287E-3</v>
      </c>
      <c r="E35" s="371">
        <v>24</v>
      </c>
      <c r="F35" s="371" t="n">
        <v>2465.0</v>
      </c>
      <c r="G35" s="9">
        <f t="shared" si="1"/>
        <v>1.0193934418598746E-2</v>
      </c>
    </row>
    <row r="36" spans="1:7" x14ac:dyDescent="0.45">
      <c r="A36">
        <v>25</v>
      </c>
      <c r="B36" s="6" t="n">
        <v>1328.1275915283</v>
      </c>
      <c r="C36" s="9">
        <f t="shared" si="0"/>
        <v>6.8357590394737249E-3</v>
      </c>
      <c r="E36" s="371">
        <v>25</v>
      </c>
      <c r="F36" s="371" t="n">
        <v>2520.0</v>
      </c>
      <c r="G36" s="9">
        <f t="shared" si="1"/>
        <v>1.0811748625786549E-2</v>
      </c>
    </row>
    <row r="37" spans="1:7" x14ac:dyDescent="0.45">
      <c r="A37">
        <v>26</v>
      </c>
      <c r="B37" s="6" t="n">
        <v>2063.211577473</v>
      </c>
      <c r="C37" s="9">
        <f t="shared" si="0"/>
        <v>1.0619173399468813E-2</v>
      </c>
      <c r="E37" s="371">
        <v>26</v>
      </c>
      <c r="F37" s="371" t="n">
        <v>2221.0</v>
      </c>
      <c r="G37" s="9">
        <f t="shared" si="1"/>
        <v>9.3518451909934529E-3</v>
      </c>
    </row>
    <row r="38" spans="1:7" x14ac:dyDescent="0.45">
      <c r="A38">
        <v>27</v>
      </c>
      <c r="B38" s="6" t="n">
        <v>1367.216298825</v>
      </c>
      <c r="C38" s="9">
        <f t="shared" si="0"/>
        <v>7.0369452703367454E-3</v>
      </c>
      <c r="E38" s="371">
        <v>27</v>
      </c>
      <c r="F38" s="371" t="n">
        <v>1948.0</v>
      </c>
      <c r="G38" s="9">
        <f t="shared" si="1"/>
        <v>8.2304700889060042E-3</v>
      </c>
    </row>
    <row r="39" spans="1:7" x14ac:dyDescent="0.45">
      <c r="A39">
        <v>28</v>
      </c>
      <c r="B39" s="6" t="n">
        <v>1648.067413211</v>
      </c>
      <c r="C39" s="9">
        <f t="shared" si="0"/>
        <v>8.4824619181018794E-3</v>
      </c>
      <c r="E39" s="371">
        <v>28</v>
      </c>
      <c r="F39" s="371" t="n">
        <v>1827.0</v>
      </c>
      <c r="G39" s="9">
        <f t="shared" si="1"/>
        <v>7.5322554027006097E-3</v>
      </c>
    </row>
    <row r="40" spans="1:7" x14ac:dyDescent="0.45">
      <c r="A40">
        <v>29</v>
      </c>
      <c r="B40" s="6" t="n">
        <v>1226.126335686</v>
      </c>
      <c r="C40" s="9">
        <f t="shared" si="0"/>
        <v>6.3107673059164624E-3</v>
      </c>
      <c r="E40" s="371">
        <v>29</v>
      </c>
      <c r="F40" s="371" t="n">
        <v>1658.0</v>
      </c>
      <c r="G40" s="9">
        <f t="shared" si="1"/>
        <v>6.7197874042070607E-3</v>
      </c>
    </row>
    <row r="41" spans="1:7" x14ac:dyDescent="0.45">
      <c r="A41">
        <v>30</v>
      </c>
      <c r="B41" s="6" t="n">
        <v>332.655036121</v>
      </c>
      <c r="C41" s="9">
        <f t="shared" si="0"/>
        <v>1.7121469990499258E-3</v>
      </c>
      <c r="E41" s="371">
        <v>30</v>
      </c>
      <c r="F41" s="371" t="n">
        <v>1378.0</v>
      </c>
      <c r="G41" s="9">
        <f t="shared" si="1"/>
        <v>6.2670057592132599E-3</v>
      </c>
    </row>
    <row r="42" spans="1:7" x14ac:dyDescent="0.45">
      <c r="A42">
        <v>31</v>
      </c>
      <c r="B42" s="6" t="n">
        <v>1947.8568313048</v>
      </c>
      <c r="C42" s="9">
        <f t="shared" si="0"/>
        <v>1.002545239412618E-2</v>
      </c>
      <c r="E42" s="371">
        <v>31</v>
      </c>
      <c r="F42" s="371" t="n">
        <v>1243.0</v>
      </c>
      <c r="G42" s="9">
        <f t="shared" si="1"/>
        <v>5.5010854064667372E-3</v>
      </c>
    </row>
    <row r="43" spans="1:7" x14ac:dyDescent="0.45">
      <c r="A43">
        <v>32</v>
      </c>
      <c r="B43" s="6" t="n">
        <v>1682.20989941</v>
      </c>
      <c r="C43" s="9">
        <f t="shared" si="0"/>
        <v>8.6581903723209168E-3</v>
      </c>
      <c r="E43" s="371">
        <v>32</v>
      </c>
      <c r="F43" s="371" t="n">
        <v>1247.0</v>
      </c>
      <c r="G43" s="9">
        <f t="shared" si="1"/>
        <v>5.2344943444610414E-3</v>
      </c>
    </row>
    <row r="44" spans="1:7" x14ac:dyDescent="0.45">
      <c r="A44">
        <v>33</v>
      </c>
      <c r="B44" s="6" t="n">
        <v>143.261123304</v>
      </c>
      <c r="C44" s="9">
        <f t="shared" si="0"/>
        <v>7.3735273996045948E-4</v>
      </c>
      <c r="E44" s="371">
        <v>33</v>
      </c>
      <c r="F44" s="371" t="n">
        <v>1161.0</v>
      </c>
      <c r="G44" s="9">
        <f t="shared" si="1"/>
        <v>4.895966011755396E-3</v>
      </c>
    </row>
    <row r="45" spans="1:7" x14ac:dyDescent="0.45">
      <c r="A45">
        <v>34</v>
      </c>
      <c r="B45" s="6" t="n">
        <v>2974.423631623</v>
      </c>
      <c r="C45" s="9">
        <f t="shared" si="0"/>
        <v>1.5309103851757409E-2</v>
      </c>
      <c r="E45" s="371">
        <v>34</v>
      </c>
      <c r="F45" s="371" t="n">
        <v>1003.0</v>
      </c>
      <c r="G45" s="9">
        <f t="shared" si="1"/>
        <v>4.4601107833968775E-3</v>
      </c>
    </row>
    <row r="46" spans="1:7" x14ac:dyDescent="0.45">
      <c r="A46">
        <v>35</v>
      </c>
      <c r="B46" s="6" t="n">
        <v>883.658374101</v>
      </c>
      <c r="C46" s="9">
        <f t="shared" si="0"/>
        <v>4.5481140193892695E-3</v>
      </c>
      <c r="E46" s="371">
        <v>35</v>
      </c>
      <c r="F46" s="371" t="n">
        <v>896.0</v>
      </c>
      <c r="G46" s="9">
        <f t="shared" si="1"/>
        <v>3.9311602635443074E-3</v>
      </c>
    </row>
    <row r="47" spans="1:7" x14ac:dyDescent="0.45">
      <c r="A47">
        <v>36</v>
      </c>
      <c r="B47" s="6" t="n">
        <v>2987.63620063</v>
      </c>
      <c r="C47" s="9">
        <f t="shared" si="0"/>
        <v>1.5377107813575822E-2</v>
      </c>
      <c r="E47" s="371">
        <v>36</v>
      </c>
      <c r="F47" s="371" t="n">
        <v>769.0</v>
      </c>
      <c r="G47" s="9">
        <f t="shared" si="1"/>
        <v>3.3598937021035303E-3</v>
      </c>
    </row>
    <row r="48" spans="1:7" x14ac:dyDescent="0.45">
      <c r="A48">
        <v>37</v>
      </c>
      <c r="B48" s="6" t="n">
        <v>2423.547197138</v>
      </c>
      <c r="C48" s="9">
        <f t="shared" si="0"/>
        <v>1.247378999284519E-2</v>
      </c>
      <c r="E48" s="371">
        <v>37</v>
      </c>
      <c r="F48" s="371" t="n">
        <v>697.0</v>
      </c>
      <c r="G48" s="9">
        <f t="shared" si="1"/>
        <v>3.0086705569214232E-3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573.0</v>
      </c>
      <c r="G49" s="9">
        <f t="shared" si="1"/>
        <v>2.6955318491687012E-3</v>
      </c>
    </row>
    <row r="50" spans="1:7" x14ac:dyDescent="0.45">
      <c r="A50">
        <v>39</v>
      </c>
      <c r="B50" s="6" t="n">
        <v>5.1375</v>
      </c>
      <c r="C50" s="9">
        <f t="shared" si="0"/>
        <v>2.6442272782605578E-5</v>
      </c>
      <c r="E50" s="371">
        <v>39</v>
      </c>
      <c r="F50" s="371" t="n">
        <v>525.0</v>
      </c>
      <c r="G50" s="9">
        <f t="shared" si="1"/>
        <v>2.2808346416042856E-3</v>
      </c>
    </row>
    <row r="51" spans="1:7" x14ac:dyDescent="0.45">
      <c r="A51">
        <v>40</v>
      </c>
      <c r="B51" s="6" t="n">
        <v>5.1375</v>
      </c>
      <c r="C51" s="9">
        <f t="shared" si="0"/>
        <v>2.6442272782605578E-5</v>
      </c>
      <c r="E51" s="371">
        <v>40</v>
      </c>
      <c r="F51" s="371" t="n">
        <v>442.0</v>
      </c>
      <c r="G51" s="9">
        <f t="shared" si="1"/>
        <v>1.9126850797868964E-3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451.0</v>
      </c>
      <c r="G52" s="9">
        <f t="shared" si="1"/>
        <v>1.9042218714692553E-3</v>
      </c>
    </row>
    <row r="53" spans="1:7" x14ac:dyDescent="0.45">
      <c r="A53">
        <v>42</v>
      </c>
      <c r="B53" s="6" t="n">
        <v>643.540135043</v>
      </c>
      <c r="C53" s="9">
        <f t="shared" si="0"/>
        <v>3.3122459946203085E-3</v>
      </c>
      <c r="E53" s="371">
        <v>42</v>
      </c>
      <c r="F53" s="371" t="n">
        <v>423.0</v>
      </c>
      <c r="G53" s="9">
        <f t="shared" si="1"/>
        <v>1.8322846007693056E-3</v>
      </c>
    </row>
    <row r="54" spans="1:7" x14ac:dyDescent="0.45">
      <c r="A54">
        <v>43</v>
      </c>
      <c r="B54" s="6" t="n">
        <v>363.531135753</v>
      </c>
      <c r="C54" s="9">
        <f t="shared" si="0"/>
        <v>1.8710636411778581E-3</v>
      </c>
      <c r="E54" s="371">
        <v>43</v>
      </c>
      <c r="F54" s="371" t="n">
        <v>382.0</v>
      </c>
      <c r="G54" s="9">
        <f t="shared" si="1"/>
        <v>1.6926416635282269E-3</v>
      </c>
    </row>
    <row r="55" spans="1:7" x14ac:dyDescent="0.45">
      <c r="A55">
        <v>44</v>
      </c>
      <c r="B55" s="6" t="n">
        <v>200.376050754</v>
      </c>
      <c r="C55" s="9">
        <f t="shared" si="0"/>
        <v>1.0313183830926497E-3</v>
      </c>
      <c r="E55" s="371">
        <v>44</v>
      </c>
      <c r="F55" s="371" t="n">
        <v>333.0</v>
      </c>
      <c r="G55" s="9">
        <f t="shared" si="1"/>
        <v>1.6333992053047389E-3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263.0</v>
      </c>
      <c r="G56" s="9">
        <f t="shared" si="1"/>
        <v>1.4091241848872488E-3</v>
      </c>
    </row>
    <row r="57" spans="1:7" x14ac:dyDescent="0.45">
      <c r="A57">
        <v>46</v>
      </c>
      <c r="B57" s="6" t="n">
        <v>2909.7281693649998</v>
      </c>
      <c r="C57" s="9">
        <f t="shared" si="0"/>
        <v>1.49761218447846E-2</v>
      </c>
      <c r="E57" s="371">
        <v>46</v>
      </c>
      <c r="F57" s="371" t="n">
        <v>240.0</v>
      </c>
      <c r="G57" s="9">
        <f t="shared" si="1"/>
        <v>1.2060071852638616E-3</v>
      </c>
    </row>
    <row r="58" spans="1:7" x14ac:dyDescent="0.45">
      <c r="A58">
        <v>47</v>
      </c>
      <c r="B58" s="6" t="n">
        <v>579.562353225</v>
      </c>
      <c r="C58" s="9">
        <f t="shared" si="0"/>
        <v>2.9829578274460844E-3</v>
      </c>
      <c r="E58" s="371">
        <v>47</v>
      </c>
      <c r="F58" s="371" t="n">
        <v>237.0</v>
      </c>
      <c r="G58" s="9">
        <f t="shared" si="1"/>
        <v>1.1340699145639119E-3</v>
      </c>
    </row>
    <row r="59" spans="1:7" x14ac:dyDescent="0.45">
      <c r="A59">
        <v>48</v>
      </c>
      <c r="B59" s="6" t="n">
        <v>172.429102711</v>
      </c>
      <c r="C59" s="9">
        <f t="shared" si="0"/>
        <v>8.874778334879177E-4</v>
      </c>
      <c r="E59" s="371">
        <v>48</v>
      </c>
      <c r="F59" s="371" t="n">
        <v>195.0</v>
      </c>
      <c r="G59" s="9">
        <f t="shared" si="1"/>
        <v>9.1402649830524252E-4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223.0</v>
      </c>
      <c r="G60" s="9">
        <f t="shared" si="1"/>
        <v>1.1086802896109885E-3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168.0</v>
      </c>
      <c r="G61" s="9">
        <f t="shared" si="1"/>
        <v>8.3362601928765173E-4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165.0</v>
      </c>
      <c r="G62" s="9">
        <f t="shared" si="1"/>
        <v>8.251628109700106E-4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156.0</v>
      </c>
      <c r="G63" s="9">
        <f t="shared" si="1"/>
        <v>5.754981655995971E-4</v>
      </c>
    </row>
    <row r="64" spans="1:7" x14ac:dyDescent="0.45">
      <c r="A64">
        <v>53</v>
      </c>
      <c r="B64" s="6" t="n">
        <v>599.68197008</v>
      </c>
      <c r="C64" s="9">
        <f t="shared" si="0"/>
        <v>3.0865117733655818E-3</v>
      </c>
      <c r="E64" s="371">
        <v>53</v>
      </c>
      <c r="F64" s="371" t="n">
        <v>128.0</v>
      </c>
      <c r="G64" s="9">
        <f t="shared" si="1"/>
        <v>7.3206751947595811E-4</v>
      </c>
    </row>
    <row r="65" spans="1:7" x14ac:dyDescent="0.45">
      <c r="A65">
        <v>54</v>
      </c>
      <c r="B65" s="6" t="n">
        <v>145.521851989</v>
      </c>
      <c r="C65" s="9">
        <f t="shared" si="0"/>
        <v>7.4898851700692785E-4</v>
      </c>
      <c r="E65" s="371">
        <v>54</v>
      </c>
      <c r="F65" s="371" t="n">
        <v>115.0</v>
      </c>
      <c r="G65" s="9">
        <f t="shared" si="1"/>
        <v>5.501085406466737E-4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98.0</v>
      </c>
      <c r="G66" s="9">
        <f t="shared" si="1"/>
        <v>4.9932929074082699E-4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111.0</v>
      </c>
      <c r="G67" s="9">
        <f t="shared" si="1"/>
        <v>4.3162362419969785E-4</v>
      </c>
    </row>
    <row r="68" spans="1:7" x14ac:dyDescent="0.45">
      <c r="A68">
        <v>57</v>
      </c>
      <c r="B68" s="6" t="n">
        <v>191.566641722</v>
      </c>
      <c r="C68" s="9">
        <f t="shared" si="0"/>
        <v>9.8597710880015473E-4</v>
      </c>
      <c r="E68" s="371">
        <v>57</v>
      </c>
      <c r="F68" s="371" t="n">
        <v>104.0</v>
      </c>
      <c r="G68" s="9">
        <f t="shared" si="1"/>
        <v>3.9777079092913331E-4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91.0</v>
      </c>
      <c r="G69" s="9">
        <f t="shared" si="1"/>
        <v>4.4855004083498013E-4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91.0</v>
      </c>
      <c r="G70" s="9">
        <f t="shared" si="1"/>
        <v>2.496646453704135E-4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100.0</v>
      </c>
      <c r="G71" s="9">
        <f t="shared" si="1"/>
        <v>4.9509768658200642E-4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100.0</v>
      </c>
      <c r="G72" s="9">
        <f t="shared" si="1"/>
        <v>3.4275993686446593E-4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76.0</v>
      </c>
      <c r="G73" s="9">
        <f t="shared" si="1"/>
        <v>4.0200239508795388E-4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91.0</v>
      </c>
      <c r="G74" s="9">
        <f t="shared" si="1"/>
        <v>3.596863534997482E-4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90.0</v>
      </c>
      <c r="G75" s="9">
        <f t="shared" si="1"/>
        <v>4.3585522835851842E-4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69.0</v>
      </c>
      <c r="G76" s="9">
        <f t="shared" si="1"/>
        <v>3.6391795765856877E-4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68.0</v>
      </c>
      <c r="G77" s="9">
        <f t="shared" ref="G77:G102" si="3">F77/F$102</f>
        <v>2.8774908279979855E-4</v>
      </c>
    </row>
    <row r="78" spans="1:7" x14ac:dyDescent="0.45">
      <c r="A78">
        <v>67</v>
      </c>
      <c r="B78" s="6" t="n">
        <v>240.790838723</v>
      </c>
      <c r="C78" s="9">
        <f t="shared" si="2"/>
        <v>1.2393298376770709E-3</v>
      </c>
      <c r="E78" s="371">
        <v>67</v>
      </c>
      <c r="F78" s="371" t="n">
        <v>93.0</v>
      </c>
      <c r="G78" s="9">
        <f t="shared" si="3"/>
        <v>3.0467549943508082E-4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70.0</v>
      </c>
      <c r="G79" s="9">
        <f t="shared" si="3"/>
        <v>2.5389624952923406E-4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68.0</v>
      </c>
      <c r="G80" s="9">
        <f t="shared" si="3"/>
        <v>1.8195897882928439E-4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90.0</v>
      </c>
      <c r="G81" s="9">
        <f t="shared" si="3"/>
        <v>3.2583352022918366E-4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57.0</v>
      </c>
      <c r="G82" s="9">
        <f t="shared" si="3"/>
        <v>3.2583352022918366E-4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88.0</v>
      </c>
      <c r="G83" s="9">
        <f t="shared" si="3"/>
        <v>3.6814956181738934E-4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57.0</v>
      </c>
      <c r="G84" s="9">
        <f t="shared" si="3"/>
        <v>2.327382287351312E-4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54.0</v>
      </c>
      <c r="G85" s="9">
        <f t="shared" si="3"/>
        <v>2.4120143705277233E-4</v>
      </c>
    </row>
    <row r="86" spans="1:7" x14ac:dyDescent="0.45">
      <c r="A86">
        <v>75</v>
      </c>
      <c r="B86" s="6" t="n">
        <v>356.0060045</v>
      </c>
      <c r="C86" s="9">
        <f t="shared" si="2"/>
        <v>1.8323324346928484E-3</v>
      </c>
      <c r="E86" s="371">
        <v>75</v>
      </c>
      <c r="F86" s="371" t="n">
        <v>32.0</v>
      </c>
      <c r="G86" s="9">
        <f t="shared" si="3"/>
        <v>1.9888539546456666E-4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50.0</v>
      </c>
      <c r="G87" s="9">
        <f t="shared" si="3"/>
        <v>1.8619058298810495E-4</v>
      </c>
    </row>
    <row r="88" spans="1:7" x14ac:dyDescent="0.45">
      <c r="A88">
        <v>77</v>
      </c>
      <c r="B88" s="6" t="n">
        <v>124.302108198</v>
      </c>
      <c r="C88" s="9">
        <f t="shared" si="2"/>
        <v>6.3977231190743926E-4</v>
      </c>
      <c r="E88" s="371">
        <v>77</v>
      </c>
      <c r="F88" s="371" t="n">
        <v>53.0</v>
      </c>
      <c r="G88" s="9">
        <f t="shared" si="3"/>
        <v>2.2004341625866949E-4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42.0</v>
      </c>
      <c r="G89" s="9">
        <f t="shared" si="3"/>
        <v>1.6926416635282268E-4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49.0</v>
      </c>
      <c r="G90" s="9">
        <f t="shared" si="3"/>
        <v>1.4810614555871984E-4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42.0</v>
      </c>
      <c r="G91" s="9">
        <f t="shared" si="3"/>
        <v>2.3696983289395177E-4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41.0</v>
      </c>
      <c r="G92" s="9">
        <f t="shared" si="3"/>
        <v>1.6503256219400211E-4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54.0</v>
      </c>
      <c r="G93" s="9">
        <f t="shared" si="3"/>
        <v>2.0311699962338722E-4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52.0</v>
      </c>
      <c r="G94" s="9">
        <f t="shared" si="3"/>
        <v>1.5233774971754041E-4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77.0</v>
      </c>
      <c r="G95" s="9">
        <f t="shared" si="3"/>
        <v>3.3006512438800423E-4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42.0</v>
      </c>
      <c r="G96" s="9">
        <f t="shared" si="3"/>
        <v>1.5233774971754041E-4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34.0</v>
      </c>
      <c r="G97" s="9">
        <f t="shared" si="3"/>
        <v>1.8195897882928439E-4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31.0</v>
      </c>
      <c r="G98" s="9">
        <f t="shared" si="3"/>
        <v>1.5656935387636098E-4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35.0</v>
      </c>
      <c r="G99" s="9">
        <f t="shared" si="3"/>
        <v>1.9042218714692552E-4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34.0</v>
      </c>
      <c r="G100" s="9">
        <f t="shared" si="3"/>
        <v>1.9042218714692552E-4</v>
      </c>
    </row>
    <row r="101" spans="1:7" ht="14.65" thickBot="1" x14ac:dyDescent="0.5">
      <c r="A101" s="1">
        <v>90</v>
      </c>
      <c r="B101" s="7" t="n">
        <v>432.487431046</v>
      </c>
      <c r="C101" s="9">
        <f t="shared" si="2"/>
        <v>2.2259757910981317E-3</v>
      </c>
      <c r="E101" s="372">
        <v>90</v>
      </c>
      <c r="F101" s="372" t="n">
        <v>1763.0</v>
      </c>
      <c r="G101" s="9">
        <f t="shared" si="3"/>
        <v>7.3376016113948636E-3</v>
      </c>
    </row>
    <row r="102" spans="1:7" x14ac:dyDescent="0.45">
      <c r="B102" s="6">
        <f>SUM(B11:B101)</f>
        <v>194291.16559827575</v>
      </c>
      <c r="C102" s="9">
        <f t="shared" si="2"/>
        <v>1</v>
      </c>
      <c r="F102" s="6">
        <f>SUM(F11:F101)</f>
        <v>236317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102"/>
  <sheetViews>
    <sheetView workbookViewId="0">
      <selection activeCell="A6" sqref="A6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35854.7707380932</v>
      </c>
      <c r="C11" s="9">
        <f>B11/B$102</f>
        <v>0.38361449555254917</v>
      </c>
      <c r="E11" s="371">
        <v>0</v>
      </c>
      <c r="F11" s="371" t="n">
        <v>28559.0</v>
      </c>
      <c r="G11" s="9">
        <f>F11/F$102</f>
        <v>0.23669925798044522</v>
      </c>
      <c r="K11" s="6" t="n">
        <v>3.3054569253799677</v>
      </c>
      <c r="L11" s="6" t="n">
        <v>4.660716758324613</v>
      </c>
    </row>
    <row r="12" spans="1:12" x14ac:dyDescent="0.45">
      <c r="A12">
        <v>1</v>
      </c>
      <c r="B12" s="6" t="n">
        <v>13470.1099397944</v>
      </c>
      <c r="C12" s="9">
        <f>B12/B$102</f>
        <v>0.14411832297958829</v>
      </c>
      <c r="E12" s="371">
        <v>1</v>
      </c>
      <c r="F12" s="371" t="n">
        <v>18940.0</v>
      </c>
      <c r="G12" s="9">
        <f>F12/F$102</f>
        <v>0.15529290682425589</v>
      </c>
      <c r="K12" s="6"/>
      <c r="L12" s="371"/>
    </row>
    <row r="13" spans="1:12" x14ac:dyDescent="0.45">
      <c r="A13">
        <v>2</v>
      </c>
      <c r="B13" s="6" t="n">
        <v>8984.086040013</v>
      </c>
      <c r="C13" s="9">
        <f t="shared" ref="C13:C76" si="0">B13/B$102</f>
        <v>9.6121814846209547E-2</v>
      </c>
      <c r="E13" s="371">
        <v>2</v>
      </c>
      <c r="F13" s="371" t="n">
        <v>13600.0</v>
      </c>
      <c r="G13" s="9">
        <f t="shared" ref="G13:G76" si="1">F13/F$102</f>
        <v>0.11327833203300078</v>
      </c>
    </row>
    <row r="14" spans="1:12" x14ac:dyDescent="0.45">
      <c r="A14">
        <v>3</v>
      </c>
      <c r="B14" s="6" t="n">
        <v>8881.267790696</v>
      </c>
      <c r="C14" s="9">
        <f t="shared" si="0"/>
        <v>9.5021750056130366E-2</v>
      </c>
      <c r="E14" s="371">
        <v>3</v>
      </c>
      <c r="F14" s="371" t="n">
        <v>10880.0</v>
      </c>
      <c r="G14" s="9">
        <f t="shared" si="1"/>
        <v>9.1266745239952859E-2</v>
      </c>
    </row>
    <row r="15" spans="1:12" x14ac:dyDescent="0.45">
      <c r="A15">
        <v>4</v>
      </c>
      <c r="B15" s="6" t="n">
        <v>5501.3419427591</v>
      </c>
      <c r="C15" s="9">
        <f t="shared" si="0"/>
        <v>5.8859517737522876E-2</v>
      </c>
      <c r="E15" s="371">
        <v>4</v>
      </c>
      <c r="F15" s="371" t="n">
        <v>10659.0</v>
      </c>
      <c r="G15" s="9">
        <f t="shared" si="1"/>
        <v>8.6743247954051222E-2</v>
      </c>
    </row>
    <row r="16" spans="1:12" x14ac:dyDescent="0.45">
      <c r="A16">
        <v>5</v>
      </c>
      <c r="B16" s="6" t="n">
        <v>5037.737681338</v>
      </c>
      <c r="C16" s="9">
        <f t="shared" si="0"/>
        <v>5.3899360101035215E-2</v>
      </c>
      <c r="E16" s="371">
        <v>5</v>
      </c>
      <c r="F16" s="371" t="n">
        <v>7432.0</v>
      </c>
      <c r="G16" s="9">
        <f t="shared" si="1"/>
        <v>6.200926279444232E-2</v>
      </c>
    </row>
    <row r="17" spans="1:7" x14ac:dyDescent="0.45">
      <c r="A17">
        <v>6</v>
      </c>
      <c r="B17" s="6" t="n">
        <v>2832.3064878758</v>
      </c>
      <c r="C17" s="9">
        <f t="shared" si="0"/>
        <v>3.03031870579594E-2</v>
      </c>
      <c r="E17" s="371">
        <v>6</v>
      </c>
      <c r="F17" s="371" t="n">
        <v>5307.0</v>
      </c>
      <c r="G17" s="9">
        <f t="shared" si="1"/>
        <v>4.1831974900815062E-2</v>
      </c>
    </row>
    <row r="18" spans="1:7" x14ac:dyDescent="0.45">
      <c r="A18">
        <v>7</v>
      </c>
      <c r="B18" s="6" t="n">
        <v>615.2976346089999</v>
      </c>
      <c r="C18" s="9">
        <f t="shared" si="0"/>
        <v>6.5831432430394892E-3</v>
      </c>
      <c r="E18" s="371">
        <v>7</v>
      </c>
      <c r="F18" s="371" t="n">
        <v>4014.0</v>
      </c>
      <c r="G18" s="9">
        <f t="shared" si="1"/>
        <v>3.3590079845952095E-2</v>
      </c>
    </row>
    <row r="19" spans="1:7" x14ac:dyDescent="0.45">
      <c r="A19">
        <v>8</v>
      </c>
      <c r="B19" s="6" t="n">
        <v>461.93702145299994</v>
      </c>
      <c r="C19" s="9">
        <f t="shared" si="0"/>
        <v>4.9423196359604914E-3</v>
      </c>
      <c r="E19" s="371">
        <v>8</v>
      </c>
      <c r="F19" s="371" t="n">
        <v>3345.0</v>
      </c>
      <c r="G19" s="9">
        <f t="shared" si="1"/>
        <v>2.7315283610829834E-2</v>
      </c>
    </row>
    <row r="20" spans="1:7" x14ac:dyDescent="0.45">
      <c r="A20">
        <v>9</v>
      </c>
      <c r="B20" s="6" t="n">
        <v>1989.869787977</v>
      </c>
      <c r="C20" s="9">
        <f t="shared" si="0"/>
        <v>2.1289855693291497E-2</v>
      </c>
      <c r="E20" s="371">
        <v>9</v>
      </c>
      <c r="F20" s="371" t="n">
        <v>2285.0</v>
      </c>
      <c r="G20" s="9">
        <f t="shared" si="1"/>
        <v>1.9911688052987167E-2</v>
      </c>
    </row>
    <row r="21" spans="1:7" x14ac:dyDescent="0.45">
      <c r="A21">
        <v>10</v>
      </c>
      <c r="B21" s="6" t="n">
        <v>1005.46624736</v>
      </c>
      <c r="C21" s="9">
        <f t="shared" si="0"/>
        <v>1.0757604060380435E-2</v>
      </c>
      <c r="E21" s="371">
        <v>10</v>
      </c>
      <c r="F21" s="371" t="n">
        <v>2108.0</v>
      </c>
      <c r="G21" s="9">
        <f t="shared" si="1"/>
        <v>1.7537889477266314E-2</v>
      </c>
    </row>
    <row r="22" spans="1:7" x14ac:dyDescent="0.45">
      <c r="A22">
        <v>11</v>
      </c>
      <c r="B22" s="6" t="n">
        <v>352.515861045</v>
      </c>
      <c r="C22" s="9">
        <f t="shared" si="0"/>
        <v>3.7716095076122612E-3</v>
      </c>
      <c r="E22" s="371">
        <v>11</v>
      </c>
      <c r="F22" s="371" t="n">
        <v>1825.0</v>
      </c>
      <c r="G22" s="9">
        <f t="shared" si="1"/>
        <v>1.5977490413505751E-2</v>
      </c>
    </row>
    <row r="23" spans="1:7" x14ac:dyDescent="0.45">
      <c r="A23">
        <v>12</v>
      </c>
      <c r="B23" s="6" t="n">
        <v>716.131230855</v>
      </c>
      <c r="C23" s="9">
        <f t="shared" si="0"/>
        <v>7.6619739917064339E-3</v>
      </c>
      <c r="E23" s="371">
        <v>12</v>
      </c>
      <c r="F23" s="371" t="n">
        <v>1903.0</v>
      </c>
      <c r="G23" s="9">
        <f t="shared" si="1"/>
        <v>1.6043890373665777E-2</v>
      </c>
    </row>
    <row r="24" spans="1:7" x14ac:dyDescent="0.45">
      <c r="A24">
        <v>13</v>
      </c>
      <c r="B24" s="6" t="n">
        <v>1597.681685122</v>
      </c>
      <c r="C24" s="9">
        <f t="shared" si="0"/>
        <v>1.7093788108940987E-2</v>
      </c>
      <c r="E24" s="371">
        <v>13</v>
      </c>
      <c r="F24" s="371" t="n">
        <v>1662.0</v>
      </c>
      <c r="G24" s="9">
        <f t="shared" si="1"/>
        <v>1.4300891419465148E-2</v>
      </c>
    </row>
    <row r="25" spans="1:7" x14ac:dyDescent="0.45">
      <c r="A25">
        <v>14</v>
      </c>
      <c r="B25" s="6" t="n">
        <v>1413.348224221</v>
      </c>
      <c r="C25" s="9">
        <f t="shared" si="0"/>
        <v>1.5121582286359472E-2</v>
      </c>
      <c r="E25" s="371">
        <v>14</v>
      </c>
      <c r="F25" s="371" t="n">
        <v>1452.0</v>
      </c>
      <c r="G25" s="9">
        <f t="shared" si="1"/>
        <v>1.2400192559884464E-2</v>
      </c>
    </row>
    <row r="26" spans="1:7" x14ac:dyDescent="0.45">
      <c r="A26">
        <v>15</v>
      </c>
      <c r="B26" s="6" t="n">
        <v>647.866607633</v>
      </c>
      <c r="C26" s="9">
        <f t="shared" si="0"/>
        <v>6.9316025944750406E-3</v>
      </c>
      <c r="E26" s="371">
        <v>15</v>
      </c>
      <c r="F26" s="371" t="n">
        <v>1408.0</v>
      </c>
      <c r="G26" s="9">
        <f t="shared" si="1"/>
        <v>1.0408193755083747E-2</v>
      </c>
    </row>
    <row r="27" spans="1:7" x14ac:dyDescent="0.45">
      <c r="A27">
        <v>16</v>
      </c>
      <c r="B27" s="6" t="n">
        <v>2270.2232581020003</v>
      </c>
      <c r="C27" s="9">
        <f t="shared" si="0"/>
        <v>2.4289391119246592E-2</v>
      </c>
      <c r="E27" s="371">
        <v>16</v>
      </c>
      <c r="F27" s="371" t="n">
        <v>1115.0</v>
      </c>
      <c r="G27" s="9">
        <f t="shared" si="1"/>
        <v>8.4244949453030332E-3</v>
      </c>
    </row>
    <row r="28" spans="1:7" x14ac:dyDescent="0.45">
      <c r="A28">
        <v>17</v>
      </c>
      <c r="B28" s="6" t="n">
        <v>0.0</v>
      </c>
      <c r="C28" s="9">
        <f t="shared" si="0"/>
        <v>0</v>
      </c>
      <c r="E28" s="371">
        <v>17</v>
      </c>
      <c r="F28" s="371" t="n">
        <v>876.0</v>
      </c>
      <c r="G28" s="9">
        <f t="shared" si="1"/>
        <v>7.2956956225826266E-3</v>
      </c>
    </row>
    <row r="29" spans="1:7" x14ac:dyDescent="0.45">
      <c r="A29">
        <v>18</v>
      </c>
      <c r="B29" s="6" t="n">
        <v>302.9559212</v>
      </c>
      <c r="C29" s="9">
        <f t="shared" si="0"/>
        <v>3.2413617628384941E-3</v>
      </c>
      <c r="E29" s="371">
        <v>18</v>
      </c>
      <c r="F29" s="371" t="n">
        <v>653.0</v>
      </c>
      <c r="G29" s="9">
        <f t="shared" si="1"/>
        <v>5.77679653392208E-3</v>
      </c>
    </row>
    <row r="30" spans="1:7" x14ac:dyDescent="0.45">
      <c r="A30">
        <v>19</v>
      </c>
      <c r="B30" s="6" t="n">
        <v>0.0</v>
      </c>
      <c r="C30" s="9">
        <f t="shared" si="0"/>
        <v>0</v>
      </c>
      <c r="E30" s="371">
        <v>19</v>
      </c>
      <c r="F30" s="371" t="n">
        <v>578.0</v>
      </c>
      <c r="G30" s="9">
        <f t="shared" si="1"/>
        <v>4.4238973456615927E-3</v>
      </c>
    </row>
    <row r="31" spans="1:7" x14ac:dyDescent="0.45">
      <c r="A31">
        <v>20</v>
      </c>
      <c r="B31" s="6" t="n">
        <v>451.645852435</v>
      </c>
      <c r="C31" s="9">
        <f t="shared" si="0"/>
        <v>4.8322131834517392E-3</v>
      </c>
      <c r="E31" s="371">
        <v>20</v>
      </c>
      <c r="F31" s="371" t="n">
        <v>476.0</v>
      </c>
      <c r="G31" s="9">
        <f t="shared" si="1"/>
        <v>3.4361979382812372E-3</v>
      </c>
    </row>
    <row r="32" spans="1:7" x14ac:dyDescent="0.45">
      <c r="A32">
        <v>21</v>
      </c>
      <c r="B32" s="6" t="n">
        <v>0.0</v>
      </c>
      <c r="C32" s="9">
        <f t="shared" si="0"/>
        <v>0</v>
      </c>
      <c r="E32" s="371">
        <v>21</v>
      </c>
      <c r="F32" s="371" t="n">
        <v>385.0</v>
      </c>
      <c r="G32" s="9">
        <f t="shared" si="1"/>
        <v>3.1705980976411414E-3</v>
      </c>
    </row>
    <row r="33" spans="1:7" x14ac:dyDescent="0.45">
      <c r="A33">
        <v>22</v>
      </c>
      <c r="B33" s="6" t="n">
        <v>0.0</v>
      </c>
      <c r="C33" s="9">
        <f t="shared" si="0"/>
        <v>0</v>
      </c>
      <c r="E33" s="371">
        <v>22</v>
      </c>
      <c r="F33" s="371" t="n">
        <v>323.0</v>
      </c>
      <c r="G33" s="9">
        <f t="shared" si="1"/>
        <v>2.5978984412609353E-3</v>
      </c>
    </row>
    <row r="34" spans="1:7" x14ac:dyDescent="0.45">
      <c r="A34">
        <v>23</v>
      </c>
      <c r="B34" s="6" t="n">
        <v>0.0</v>
      </c>
      <c r="C34" s="9">
        <f t="shared" si="0"/>
        <v>0</v>
      </c>
      <c r="E34" s="371">
        <v>23</v>
      </c>
      <c r="F34" s="371" t="n">
        <v>283.0</v>
      </c>
      <c r="G34" s="9">
        <f t="shared" si="1"/>
        <v>2.1662987002207799E-3</v>
      </c>
    </row>
    <row r="35" spans="1:7" x14ac:dyDescent="0.45">
      <c r="A35">
        <v>24</v>
      </c>
      <c r="B35" s="6" t="n">
        <v>736.563073278</v>
      </c>
      <c r="C35" s="9">
        <f t="shared" si="0"/>
        <v>7.8805767260973977E-3</v>
      </c>
      <c r="E35" s="371">
        <v>24</v>
      </c>
      <c r="F35" s="371" t="n">
        <v>200.0</v>
      </c>
      <c r="G35" s="9">
        <f t="shared" si="1"/>
        <v>1.8176989093806543E-3</v>
      </c>
    </row>
    <row r="36" spans="1:7" x14ac:dyDescent="0.45">
      <c r="A36">
        <v>25</v>
      </c>
      <c r="B36" s="6" t="n">
        <v>0.0</v>
      </c>
      <c r="C36" s="9">
        <f t="shared" si="0"/>
        <v>0</v>
      </c>
      <c r="E36" s="371">
        <v>25</v>
      </c>
      <c r="F36" s="371" t="n">
        <v>188.0</v>
      </c>
      <c r="G36" s="9">
        <f t="shared" si="1"/>
        <v>1.2532992480204512E-3</v>
      </c>
    </row>
    <row r="37" spans="1:7" x14ac:dyDescent="0.45">
      <c r="A37">
        <v>26</v>
      </c>
      <c r="B37" s="6" t="n">
        <v>0.0</v>
      </c>
      <c r="C37" s="9">
        <f t="shared" si="0"/>
        <v>0</v>
      </c>
      <c r="E37" s="371">
        <v>26</v>
      </c>
      <c r="F37" s="371" t="n">
        <v>134.0</v>
      </c>
      <c r="G37" s="9">
        <f t="shared" si="1"/>
        <v>1.0457993725203766E-3</v>
      </c>
    </row>
    <row r="38" spans="1:7" x14ac:dyDescent="0.45">
      <c r="A38">
        <v>27</v>
      </c>
      <c r="B38" s="6" t="n">
        <v>0.0</v>
      </c>
      <c r="C38" s="9">
        <f t="shared" si="0"/>
        <v>0</v>
      </c>
      <c r="E38" s="371">
        <v>27</v>
      </c>
      <c r="F38" s="371" t="n">
        <v>92.0</v>
      </c>
      <c r="G38" s="9">
        <f t="shared" si="1"/>
        <v>8.9639946216032269E-4</v>
      </c>
    </row>
    <row r="39" spans="1:7" x14ac:dyDescent="0.45">
      <c r="A39">
        <v>28</v>
      </c>
      <c r="B39" s="6" t="n">
        <v>342.507584498</v>
      </c>
      <c r="C39" s="9">
        <f t="shared" si="0"/>
        <v>3.6645297556045656E-3</v>
      </c>
      <c r="E39" s="371">
        <v>28</v>
      </c>
      <c r="F39" s="371" t="n">
        <v>54.0</v>
      </c>
      <c r="G39" s="9">
        <f t="shared" si="1"/>
        <v>4.2329974602015237E-4</v>
      </c>
    </row>
    <row r="40" spans="1:7" x14ac:dyDescent="0.45">
      <c r="A40">
        <v>29</v>
      </c>
      <c r="B40" s="6" t="n">
        <v>0.0</v>
      </c>
      <c r="C40" s="9">
        <f t="shared" si="0"/>
        <v>0</v>
      </c>
      <c r="E40" s="371">
        <v>29</v>
      </c>
      <c r="F40" s="371" t="n">
        <v>67.0</v>
      </c>
      <c r="G40" s="9">
        <f t="shared" si="1"/>
        <v>5.8099965140020918E-4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42.0</v>
      </c>
      <c r="G41" s="9">
        <f t="shared" si="1"/>
        <v>3.236998057801165E-4</v>
      </c>
    </row>
    <row r="42" spans="1:7" x14ac:dyDescent="0.4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30.0</v>
      </c>
      <c r="G42" s="9">
        <f t="shared" si="1"/>
        <v>4.2329974602015237E-4</v>
      </c>
    </row>
    <row r="43" spans="1:7" x14ac:dyDescent="0.45">
      <c r="A43">
        <v>32</v>
      </c>
      <c r="B43" s="6" t="n">
        <v>0.0</v>
      </c>
      <c r="C43" s="9">
        <f t="shared" si="0"/>
        <v>0</v>
      </c>
      <c r="E43" s="371">
        <v>32</v>
      </c>
      <c r="F43" s="371" t="n">
        <v>26.0</v>
      </c>
      <c r="G43" s="9">
        <f t="shared" si="1"/>
        <v>1.2449992530004481E-4</v>
      </c>
    </row>
    <row r="44" spans="1:7" x14ac:dyDescent="0.45">
      <c r="A44">
        <v>33</v>
      </c>
      <c r="B44" s="6" t="n">
        <v>0.0</v>
      </c>
      <c r="C44" s="9">
        <f t="shared" si="0"/>
        <v>0</v>
      </c>
      <c r="E44" s="371">
        <v>33</v>
      </c>
      <c r="F44" s="371" t="n">
        <v>10.0</v>
      </c>
      <c r="G44" s="9">
        <f t="shared" si="1"/>
        <v>2.5729984562009262E-4</v>
      </c>
    </row>
    <row r="45" spans="1:7" x14ac:dyDescent="0.45">
      <c r="A45">
        <v>34</v>
      </c>
      <c r="B45" s="6" t="n">
        <v>0.0</v>
      </c>
      <c r="C45" s="9">
        <f t="shared" si="0"/>
        <v>0</v>
      </c>
      <c r="E45" s="371">
        <v>34</v>
      </c>
      <c r="F45" s="371" t="n">
        <v>17.0</v>
      </c>
      <c r="G45" s="9">
        <f t="shared" si="1"/>
        <v>1.410999153400508E-4</v>
      </c>
    </row>
    <row r="46" spans="1:7" x14ac:dyDescent="0.45">
      <c r="A46">
        <v>35</v>
      </c>
      <c r="B46" s="6" t="n">
        <v>0.0</v>
      </c>
      <c r="C46" s="9">
        <f t="shared" si="0"/>
        <v>0</v>
      </c>
      <c r="E46" s="371">
        <v>35</v>
      </c>
      <c r="F46" s="371" t="n">
        <v>12.0</v>
      </c>
      <c r="G46" s="9">
        <f t="shared" si="1"/>
        <v>1.0789993526003884E-4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13.0</v>
      </c>
      <c r="G47" s="9">
        <f t="shared" si="1"/>
        <v>1.1619993028004183E-4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7.0</v>
      </c>
      <c r="G48" s="9">
        <f t="shared" si="1"/>
        <v>1.0789993526003884E-4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8.0</v>
      </c>
      <c r="G49" s="9">
        <f t="shared" si="1"/>
        <v>5.8099965140020916E-5</v>
      </c>
    </row>
    <row r="50" spans="1:7" x14ac:dyDescent="0.45">
      <c r="A50">
        <v>39</v>
      </c>
      <c r="B50" s="6" t="n">
        <v>0.0</v>
      </c>
      <c r="C50" s="9">
        <f t="shared" si="0"/>
        <v>0</v>
      </c>
      <c r="E50" s="371">
        <v>39</v>
      </c>
      <c r="F50" s="371" t="n">
        <v>10.0</v>
      </c>
      <c r="G50" s="9">
        <f t="shared" si="1"/>
        <v>8.2999950200029874E-5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11.0</v>
      </c>
      <c r="G51" s="9">
        <f t="shared" si="1"/>
        <v>4.1499975100014937E-5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6.0</v>
      </c>
      <c r="G52" s="9">
        <f t="shared" si="1"/>
        <v>8.2999950200029874E-5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8.0</v>
      </c>
      <c r="G53" s="9">
        <f t="shared" si="1"/>
        <v>0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7.0</v>
      </c>
      <c r="G54" s="9">
        <f t="shared" si="1"/>
        <v>5.8099965140020916E-5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1.0</v>
      </c>
      <c r="G55" s="9">
        <f t="shared" si="1"/>
        <v>5.8099965140020916E-5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4.0</v>
      </c>
      <c r="G56" s="9">
        <f t="shared" si="1"/>
        <v>3.3199980080011951E-5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1.0</v>
      </c>
      <c r="G57" s="9">
        <f t="shared" si="1"/>
        <v>3.3199980080011951E-5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0.0</v>
      </c>
      <c r="G58" s="9">
        <f t="shared" si="1"/>
        <v>0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0.0</v>
      </c>
      <c r="G59" s="9">
        <f t="shared" si="1"/>
        <v>0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4.0</v>
      </c>
      <c r="G60" s="9">
        <f t="shared" si="1"/>
        <v>1.6599990040005976E-5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0.0</v>
      </c>
      <c r="G61" s="9">
        <f t="shared" si="1"/>
        <v>8.2999950200029878E-6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2.0</v>
      </c>
      <c r="G62" s="9">
        <f t="shared" si="1"/>
        <v>8.2999950200029878E-6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0.0</v>
      </c>
      <c r="G63" s="9">
        <f t="shared" si="1"/>
        <v>0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0.0</v>
      </c>
      <c r="G64" s="9">
        <f t="shared" si="1"/>
        <v>0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0.0</v>
      </c>
      <c r="G65" s="9">
        <f t="shared" si="1"/>
        <v>0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0.0</v>
      </c>
      <c r="G66" s="9">
        <f t="shared" si="1"/>
        <v>0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0.0</v>
      </c>
      <c r="G67" s="9">
        <f t="shared" si="1"/>
        <v>0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0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0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0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0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0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1.0</v>
      </c>
      <c r="G73" s="9">
        <f t="shared" si="1"/>
        <v>0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0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0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0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93465.630610357519</v>
      </c>
      <c r="C102" s="9">
        <f t="shared" si="2"/>
        <v>1</v>
      </c>
      <c r="F102" s="6">
        <f>SUM(F11:F101)</f>
        <v>120482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02"/>
  <sheetViews>
    <sheetView workbookViewId="0">
      <selection activeCell="A4" sqref="A4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711.0</v>
      </c>
      <c r="G11" s="9">
        <f>F11/F$102</f>
        <v>5.818296509022095E-3</v>
      </c>
      <c r="K11" s="6" t="n">
        <v>13.261368913337664</v>
      </c>
      <c r="L11" s="6" t="n">
        <v>14.137284996433312</v>
      </c>
    </row>
    <row r="12" spans="1:12" x14ac:dyDescent="0.45">
      <c r="A12">
        <v>1</v>
      </c>
      <c r="B12" s="6" t="n">
        <v>193.998839214</v>
      </c>
      <c r="C12" s="9">
        <f>B12/B$102</f>
        <v>2.0756168652276957E-3</v>
      </c>
      <c r="E12" s="371">
        <v>1</v>
      </c>
      <c r="F12" s="371" t="n">
        <v>3723.0</v>
      </c>
      <c r="G12" s="9">
        <f>F12/F$102</f>
        <v>3.2336780597931644E-2</v>
      </c>
      <c r="K12" s="6"/>
      <c r="L12" s="371"/>
    </row>
    <row r="13" spans="1:12" x14ac:dyDescent="0.45">
      <c r="A13">
        <v>2</v>
      </c>
      <c r="B13" s="6" t="n">
        <v>216.908301085</v>
      </c>
      <c r="C13" s="9">
        <f t="shared" ref="C13:C76" si="0">B13/B$102</f>
        <v>2.3207279474661037E-3</v>
      </c>
      <c r="E13" s="371">
        <v>2</v>
      </c>
      <c r="F13" s="371" t="n">
        <v>7063.0</v>
      </c>
      <c r="G13" s="9">
        <f t="shared" ref="G13:G76" si="1">F13/F$102</f>
        <v>5.822446506532096E-2</v>
      </c>
    </row>
    <row r="14" spans="1:12" x14ac:dyDescent="0.45">
      <c r="A14">
        <v>3</v>
      </c>
      <c r="B14" s="6" t="n">
        <v>5950.31126199</v>
      </c>
      <c r="C14" s="9">
        <f t="shared" si="0"/>
        <v>6.3663094370976295E-2</v>
      </c>
      <c r="E14" s="371">
        <v>3</v>
      </c>
      <c r="F14" s="371" t="n">
        <v>9383.0</v>
      </c>
      <c r="G14" s="9">
        <f t="shared" si="1"/>
        <v>7.6542554074467556E-2</v>
      </c>
    </row>
    <row r="15" spans="1:12" x14ac:dyDescent="0.45">
      <c r="A15">
        <v>4</v>
      </c>
      <c r="B15" s="6" t="n">
        <v>5887.7204785952</v>
      </c>
      <c r="C15" s="9">
        <f t="shared" si="0"/>
        <v>6.299342806705191E-2</v>
      </c>
      <c r="E15" s="371">
        <v>4</v>
      </c>
      <c r="F15" s="371" t="n">
        <v>8577.0</v>
      </c>
      <c r="G15" s="9">
        <f t="shared" si="1"/>
        <v>7.0599757640145422E-2</v>
      </c>
    </row>
    <row r="16" spans="1:12" x14ac:dyDescent="0.45">
      <c r="A16">
        <v>5</v>
      </c>
      <c r="B16" s="6" t="n">
        <v>11921.859491844</v>
      </c>
      <c r="C16" s="9">
        <f t="shared" si="0"/>
        <v>0.127553405610071</v>
      </c>
      <c r="E16" s="371">
        <v>5</v>
      </c>
      <c r="F16" s="371" t="n">
        <v>7719.0</v>
      </c>
      <c r="G16" s="9">
        <f t="shared" si="1"/>
        <v>6.4922561046463378E-2</v>
      </c>
    </row>
    <row r="17" spans="1:7" x14ac:dyDescent="0.45">
      <c r="A17">
        <v>6</v>
      </c>
      <c r="B17" s="6" t="n">
        <v>7491.845520709</v>
      </c>
      <c r="C17" s="9">
        <f t="shared" si="0"/>
        <v>8.015615442580433E-2</v>
      </c>
      <c r="E17" s="371">
        <v>6</v>
      </c>
      <c r="F17" s="371" t="n">
        <v>7599.0</v>
      </c>
      <c r="G17" s="9">
        <f t="shared" si="1"/>
        <v>6.2142062714762372E-2</v>
      </c>
    </row>
    <row r="18" spans="1:7" x14ac:dyDescent="0.45">
      <c r="A18">
        <v>7</v>
      </c>
      <c r="B18" s="6" t="n">
        <v>8687.6154356504</v>
      </c>
      <c r="C18" s="9">
        <f t="shared" si="0"/>
        <v>9.2949840266606742E-2</v>
      </c>
      <c r="E18" s="371">
        <v>7</v>
      </c>
      <c r="F18" s="371" t="n">
        <v>7132.0</v>
      </c>
      <c r="G18" s="9">
        <f t="shared" si="1"/>
        <v>5.8772264736641155E-2</v>
      </c>
    </row>
    <row r="19" spans="1:7" x14ac:dyDescent="0.45">
      <c r="A19">
        <v>8</v>
      </c>
      <c r="B19" s="6" t="n">
        <v>4846.005846715</v>
      </c>
      <c r="C19" s="9">
        <f t="shared" si="0"/>
        <v>5.1847998190021137E-2</v>
      </c>
      <c r="E19" s="371">
        <v>8</v>
      </c>
      <c r="F19" s="371" t="n">
        <v>6185.0</v>
      </c>
      <c r="G19" s="9">
        <f t="shared" si="1"/>
        <v>5.352666788399927E-2</v>
      </c>
    </row>
    <row r="20" spans="1:7" x14ac:dyDescent="0.45">
      <c r="A20">
        <v>9</v>
      </c>
      <c r="B20" s="6" t="n">
        <v>12231.682037822</v>
      </c>
      <c r="C20" s="9">
        <f t="shared" si="0"/>
        <v>0.1308682342155677</v>
      </c>
      <c r="E20" s="371">
        <v>9</v>
      </c>
      <c r="F20" s="371" t="n">
        <v>5821.0</v>
      </c>
      <c r="G20" s="9">
        <f t="shared" si="1"/>
        <v>4.6861771882936873E-2</v>
      </c>
    </row>
    <row r="21" spans="1:7" x14ac:dyDescent="0.45">
      <c r="A21">
        <v>10</v>
      </c>
      <c r="B21" s="6" t="n">
        <v>3947.6150385640003</v>
      </c>
      <c r="C21" s="9">
        <f t="shared" si="0"/>
        <v>4.2236007105338466E-2</v>
      </c>
      <c r="E21" s="371">
        <v>10</v>
      </c>
      <c r="F21" s="371" t="n">
        <v>5129.0</v>
      </c>
      <c r="G21" s="9">
        <f t="shared" si="1"/>
        <v>4.2471074517355288E-2</v>
      </c>
    </row>
    <row r="22" spans="1:7" x14ac:dyDescent="0.45">
      <c r="A22">
        <v>11</v>
      </c>
      <c r="B22" s="6" t="n">
        <v>2400.373818682</v>
      </c>
      <c r="C22" s="9">
        <f t="shared" si="0"/>
        <v>2.5681887588056351E-2</v>
      </c>
      <c r="E22" s="371">
        <v>11</v>
      </c>
      <c r="F22" s="371" t="n">
        <v>4317.0</v>
      </c>
      <c r="G22" s="9">
        <f t="shared" si="1"/>
        <v>3.5183678889792666E-2</v>
      </c>
    </row>
    <row r="23" spans="1:7" x14ac:dyDescent="0.45">
      <c r="A23">
        <v>12</v>
      </c>
      <c r="B23" s="6" t="n">
        <v>2730.215854884</v>
      </c>
      <c r="C23" s="9">
        <f t="shared" si="0"/>
        <v>2.9210907122274823E-2</v>
      </c>
      <c r="E23" s="371">
        <v>12</v>
      </c>
      <c r="F23" s="371" t="n">
        <v>3638.0</v>
      </c>
      <c r="G23" s="9">
        <f t="shared" si="1"/>
        <v>2.9830182101890739E-2</v>
      </c>
    </row>
    <row r="24" spans="1:7" x14ac:dyDescent="0.45">
      <c r="A24">
        <v>13</v>
      </c>
      <c r="B24" s="6" t="n">
        <v>1535.724854239</v>
      </c>
      <c r="C24" s="9">
        <f t="shared" si="0"/>
        <v>1.6430904539029741E-2</v>
      </c>
      <c r="E24" s="371">
        <v>13</v>
      </c>
      <c r="F24" s="371" t="n">
        <v>2884.0</v>
      </c>
      <c r="G24" s="9">
        <f t="shared" si="1"/>
        <v>2.4401985358808786E-2</v>
      </c>
    </row>
    <row r="25" spans="1:7" x14ac:dyDescent="0.45">
      <c r="A25">
        <v>14</v>
      </c>
      <c r="B25" s="6" t="n">
        <v>2226.515847494</v>
      </c>
      <c r="C25" s="9">
        <f t="shared" si="0"/>
        <v>2.3821760287222264E-2</v>
      </c>
      <c r="E25" s="371">
        <v>14</v>
      </c>
      <c r="F25" s="371" t="n">
        <v>2342.0</v>
      </c>
      <c r="G25" s="9">
        <f t="shared" si="1"/>
        <v>1.8874188675486795E-2</v>
      </c>
    </row>
    <row r="26" spans="1:7" x14ac:dyDescent="0.45">
      <c r="A26">
        <v>15</v>
      </c>
      <c r="B26" s="6" t="n">
        <v>2192.040529927</v>
      </c>
      <c r="C26" s="9">
        <f t="shared" si="0"/>
        <v>2.3452904726714449E-2</v>
      </c>
      <c r="E26" s="371">
        <v>15</v>
      </c>
      <c r="F26" s="371" t="n">
        <v>2135.0</v>
      </c>
      <c r="G26" s="9">
        <f t="shared" si="1"/>
        <v>1.7247389651566209E-2</v>
      </c>
    </row>
    <row r="27" spans="1:7" x14ac:dyDescent="0.45">
      <c r="A27">
        <v>16</v>
      </c>
      <c r="B27" s="6" t="n">
        <v>617.046097455</v>
      </c>
      <c r="C27" s="9">
        <f t="shared" si="0"/>
        <v>6.6018502568859928E-3</v>
      </c>
      <c r="E27" s="371">
        <v>16</v>
      </c>
      <c r="F27" s="371" t="n">
        <v>2476.0</v>
      </c>
      <c r="G27" s="9">
        <f t="shared" si="1"/>
        <v>1.8650088809946713E-2</v>
      </c>
    </row>
    <row r="28" spans="1:7" x14ac:dyDescent="0.45">
      <c r="A28">
        <v>17</v>
      </c>
      <c r="B28" s="6" t="n">
        <v>161.271876599</v>
      </c>
      <c r="C28" s="9">
        <f t="shared" si="0"/>
        <v>1.7254671641955246E-3</v>
      </c>
      <c r="E28" s="371">
        <v>17</v>
      </c>
      <c r="F28" s="371" t="n">
        <v>1900.0</v>
      </c>
      <c r="G28" s="9">
        <f t="shared" si="1"/>
        <v>1.5587390647565612E-2</v>
      </c>
    </row>
    <row r="29" spans="1:7" x14ac:dyDescent="0.45">
      <c r="A29">
        <v>18</v>
      </c>
      <c r="B29" s="6" t="n">
        <v>2788.955118633</v>
      </c>
      <c r="C29" s="9">
        <f t="shared" si="0"/>
        <v>2.9839365555234788E-2</v>
      </c>
      <c r="E29" s="371">
        <v>18</v>
      </c>
      <c r="F29" s="371" t="n">
        <v>2673.0</v>
      </c>
      <c r="G29" s="9">
        <f t="shared" si="1"/>
        <v>2.021878786872728E-2</v>
      </c>
    </row>
    <row r="30" spans="1:7" x14ac:dyDescent="0.45">
      <c r="A30">
        <v>19</v>
      </c>
      <c r="B30" s="6" t="n">
        <v>1043.806282151</v>
      </c>
      <c r="C30" s="9">
        <f t="shared" si="0"/>
        <v>1.1167808694325862E-2</v>
      </c>
      <c r="E30" s="371">
        <v>19</v>
      </c>
      <c r="F30" s="371" t="n">
        <v>2281.0</v>
      </c>
      <c r="G30" s="9">
        <f t="shared" si="1"/>
        <v>1.8982088610746833E-2</v>
      </c>
    </row>
    <row r="31" spans="1:7" x14ac:dyDescent="0.45">
      <c r="A31">
        <v>20</v>
      </c>
      <c r="B31" s="6" t="n">
        <v>1430.4455639100001</v>
      </c>
      <c r="C31" s="9">
        <f t="shared" si="0"/>
        <v>1.5304508775779699E-2</v>
      </c>
      <c r="E31" s="371">
        <v>20</v>
      </c>
      <c r="F31" s="371" t="n">
        <v>1987.0</v>
      </c>
      <c r="G31" s="9">
        <f t="shared" si="1"/>
        <v>1.6400790159525905E-2</v>
      </c>
    </row>
    <row r="32" spans="1:7" x14ac:dyDescent="0.45">
      <c r="A32">
        <v>21</v>
      </c>
      <c r="B32" s="6" t="n">
        <v>1989.156785753</v>
      </c>
      <c r="C32" s="9">
        <f t="shared" si="0"/>
        <v>2.128222719691969E-2</v>
      </c>
      <c r="E32" s="371">
        <v>21</v>
      </c>
      <c r="F32" s="371" t="n">
        <v>2056.0</v>
      </c>
      <c r="G32" s="9">
        <f t="shared" si="1"/>
        <v>1.6317790209325875E-2</v>
      </c>
    </row>
    <row r="33" spans="1:7" x14ac:dyDescent="0.45">
      <c r="A33">
        <v>22</v>
      </c>
      <c r="B33" s="6" t="n">
        <v>204.1357361138</v>
      </c>
      <c r="C33" s="9">
        <f t="shared" si="0"/>
        <v>2.1840727418275018E-3</v>
      </c>
      <c r="E33" s="371">
        <v>22</v>
      </c>
      <c r="F33" s="371" t="n">
        <v>1976.0</v>
      </c>
      <c r="G33" s="9">
        <f t="shared" si="1"/>
        <v>1.7097989741206156E-2</v>
      </c>
    </row>
    <row r="34" spans="1:7" x14ac:dyDescent="0.45">
      <c r="A34">
        <v>23</v>
      </c>
      <c r="B34" s="6" t="n">
        <v>137.090653895</v>
      </c>
      <c r="C34" s="9">
        <f t="shared" si="0"/>
        <v>1.466749360163287E-3</v>
      </c>
      <c r="E34" s="371">
        <v>23</v>
      </c>
      <c r="F34" s="371" t="n">
        <v>1775.0</v>
      </c>
      <c r="G34" s="9">
        <f t="shared" si="1"/>
        <v>1.5031290981225411E-2</v>
      </c>
    </row>
    <row r="35" spans="1:7" x14ac:dyDescent="0.45">
      <c r="A35">
        <v>24</v>
      </c>
      <c r="B35" s="6" t="n">
        <v>935.733726562</v>
      </c>
      <c r="C35" s="9">
        <f t="shared" si="0"/>
        <v>1.0011527450800781E-2</v>
      </c>
      <c r="E35" s="371">
        <v>24</v>
      </c>
      <c r="F35" s="371" t="n">
        <v>1406.0</v>
      </c>
      <c r="G35" s="9">
        <f t="shared" si="1"/>
        <v>1.1976892813864312E-2</v>
      </c>
    </row>
    <row r="36" spans="1:7" x14ac:dyDescent="0.45">
      <c r="A36">
        <v>25</v>
      </c>
      <c r="B36" s="6" t="n">
        <v>757.635898422</v>
      </c>
      <c r="C36" s="9">
        <f t="shared" si="0"/>
        <v>8.1060374115535221E-3</v>
      </c>
      <c r="E36" s="371">
        <v>25</v>
      </c>
      <c r="F36" s="371" t="n">
        <v>1570.0</v>
      </c>
      <c r="G36" s="9">
        <f t="shared" si="1"/>
        <v>1.3147192111684733E-2</v>
      </c>
    </row>
    <row r="37" spans="1:7" x14ac:dyDescent="0.45">
      <c r="A37">
        <v>26</v>
      </c>
      <c r="B37" s="6" t="n">
        <v>667.99538554</v>
      </c>
      <c r="C37" s="9">
        <f t="shared" si="0"/>
        <v>7.1469628052343694E-3</v>
      </c>
      <c r="E37" s="371">
        <v>26</v>
      </c>
      <c r="F37" s="371" t="n">
        <v>1364.0</v>
      </c>
      <c r="G37" s="9">
        <f t="shared" si="1"/>
        <v>1.1171793296924021E-2</v>
      </c>
    </row>
    <row r="38" spans="1:7" x14ac:dyDescent="0.45">
      <c r="A38">
        <v>27</v>
      </c>
      <c r="B38" s="6" t="n">
        <v>0.0</v>
      </c>
      <c r="C38" s="9">
        <f t="shared" si="0"/>
        <v>0</v>
      </c>
      <c r="E38" s="371">
        <v>27</v>
      </c>
      <c r="F38" s="371" t="n">
        <v>1298.0</v>
      </c>
      <c r="G38" s="9">
        <f t="shared" si="1"/>
        <v>1.0242193854683687E-2</v>
      </c>
    </row>
    <row r="39" spans="1:7" x14ac:dyDescent="0.45">
      <c r="A39">
        <v>28</v>
      </c>
      <c r="B39" s="6" t="n">
        <v>1123.947174556</v>
      </c>
      <c r="C39" s="9">
        <f t="shared" si="0"/>
        <v>1.2025245720981081E-2</v>
      </c>
      <c r="E39" s="371">
        <v>28</v>
      </c>
      <c r="F39" s="371" t="n">
        <v>1181.0</v>
      </c>
      <c r="G39" s="9">
        <f t="shared" si="1"/>
        <v>9.802294118623529E-3</v>
      </c>
    </row>
    <row r="40" spans="1:7" x14ac:dyDescent="0.45">
      <c r="A40">
        <v>29</v>
      </c>
      <c r="B40" s="6" t="n">
        <v>349.274014887</v>
      </c>
      <c r="C40" s="9">
        <f t="shared" si="0"/>
        <v>3.7369246064691379E-3</v>
      </c>
      <c r="E40" s="371">
        <v>29</v>
      </c>
      <c r="F40" s="371" t="n">
        <v>1061.0</v>
      </c>
      <c r="G40" s="9">
        <f t="shared" si="1"/>
        <v>9.0137945917232454E-3</v>
      </c>
    </row>
    <row r="41" spans="1:7" x14ac:dyDescent="0.45">
      <c r="A41">
        <v>30</v>
      </c>
      <c r="B41" s="6" t="n">
        <v>263.99555716699996</v>
      </c>
      <c r="C41" s="9">
        <f t="shared" si="0"/>
        <v>2.8245201518786412E-3</v>
      </c>
      <c r="E41" s="371">
        <v>30</v>
      </c>
      <c r="F41" s="371" t="n">
        <v>1006.0</v>
      </c>
      <c r="G41" s="9">
        <f t="shared" si="1"/>
        <v>7.8185953088428153E-3</v>
      </c>
    </row>
    <row r="42" spans="1:7" x14ac:dyDescent="0.45">
      <c r="A42">
        <v>31</v>
      </c>
      <c r="B42" s="6" t="n">
        <v>1293.060874131</v>
      </c>
      <c r="C42" s="9">
        <f t="shared" si="0"/>
        <v>1.3834613490402192E-2</v>
      </c>
      <c r="E42" s="371">
        <v>31</v>
      </c>
      <c r="F42" s="371" t="n">
        <v>926.0</v>
      </c>
      <c r="G42" s="9">
        <f t="shared" si="1"/>
        <v>7.7936953237828059E-3</v>
      </c>
    </row>
    <row r="43" spans="1:7" x14ac:dyDescent="0.45">
      <c r="A43">
        <v>32</v>
      </c>
      <c r="B43" s="6" t="n">
        <v>0.0</v>
      </c>
      <c r="C43" s="9">
        <f t="shared" si="0"/>
        <v>0</v>
      </c>
      <c r="E43" s="371">
        <v>32</v>
      </c>
      <c r="F43" s="371" t="n">
        <v>846.0</v>
      </c>
      <c r="G43" s="9">
        <f t="shared" si="1"/>
        <v>6.9221958466824923E-3</v>
      </c>
    </row>
    <row r="44" spans="1:7" x14ac:dyDescent="0.45">
      <c r="A44">
        <v>33</v>
      </c>
      <c r="B44" s="6" t="n">
        <v>795.69322268</v>
      </c>
      <c r="C44" s="9">
        <f t="shared" si="0"/>
        <v>8.5132172915743879E-3</v>
      </c>
      <c r="E44" s="371">
        <v>33</v>
      </c>
      <c r="F44" s="371" t="n">
        <v>826.0</v>
      </c>
      <c r="G44" s="9">
        <f t="shared" si="1"/>
        <v>6.7976959213824472E-3</v>
      </c>
    </row>
    <row r="45" spans="1:7" x14ac:dyDescent="0.45">
      <c r="A45">
        <v>34</v>
      </c>
      <c r="B45" s="6" t="n">
        <v>0.0</v>
      </c>
      <c r="C45" s="9">
        <f t="shared" si="0"/>
        <v>0</v>
      </c>
      <c r="E45" s="371">
        <v>34</v>
      </c>
      <c r="F45" s="371" t="n">
        <v>714.0</v>
      </c>
      <c r="G45" s="9">
        <f t="shared" si="1"/>
        <v>6.0257963845221692E-3</v>
      </c>
    </row>
    <row r="46" spans="1:7" x14ac:dyDescent="0.45">
      <c r="A46">
        <v>35</v>
      </c>
      <c r="B46" s="6" t="n">
        <v>15.3</v>
      </c>
      <c r="C46" s="9">
        <f t="shared" si="0"/>
        <v>1.6369653636407941E-4</v>
      </c>
      <c r="E46" s="371">
        <v>35</v>
      </c>
      <c r="F46" s="371" t="n">
        <v>694.0</v>
      </c>
      <c r="G46" s="9">
        <f t="shared" si="1"/>
        <v>5.6107966335220199E-3</v>
      </c>
    </row>
    <row r="47" spans="1:7" x14ac:dyDescent="0.45">
      <c r="A47">
        <v>36</v>
      </c>
      <c r="B47" s="6" t="n">
        <v>492.408600494</v>
      </c>
      <c r="C47" s="9">
        <f t="shared" si="0"/>
        <v>5.2683387174347392E-3</v>
      </c>
      <c r="E47" s="371">
        <v>36</v>
      </c>
      <c r="F47" s="371" t="n">
        <v>560.0</v>
      </c>
      <c r="G47" s="9">
        <f t="shared" si="1"/>
        <v>4.9467970319217805E-3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475.0</v>
      </c>
      <c r="G48" s="9">
        <f t="shared" si="1"/>
        <v>4.1997974801215119E-3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426.0</v>
      </c>
      <c r="G49" s="9">
        <f t="shared" si="1"/>
        <v>3.4527979283212429E-3</v>
      </c>
    </row>
    <row r="50" spans="1:7" x14ac:dyDescent="0.45">
      <c r="A50">
        <v>39</v>
      </c>
      <c r="B50" s="6" t="n">
        <v>736.563073278</v>
      </c>
      <c r="C50" s="9">
        <f t="shared" si="0"/>
        <v>7.8805767260973995E-3</v>
      </c>
      <c r="E50" s="371">
        <v>39</v>
      </c>
      <c r="F50" s="371" t="n">
        <v>333.0</v>
      </c>
      <c r="G50" s="9">
        <f t="shared" si="1"/>
        <v>2.8219983068010161E-3</v>
      </c>
    </row>
    <row r="51" spans="1:7" x14ac:dyDescent="0.45">
      <c r="A51">
        <v>40</v>
      </c>
      <c r="B51" s="6" t="n">
        <v>682.04390316</v>
      </c>
      <c r="C51" s="9">
        <f t="shared" si="0"/>
        <v>7.2972695814071632E-3</v>
      </c>
      <c r="E51" s="371">
        <v>40</v>
      </c>
      <c r="F51" s="371" t="n">
        <v>351.0</v>
      </c>
      <c r="G51" s="9">
        <f t="shared" si="1"/>
        <v>2.9713982171610696E-3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322.0</v>
      </c>
      <c r="G52" s="9">
        <f t="shared" si="1"/>
        <v>2.5729984562009264E-3</v>
      </c>
    </row>
    <row r="53" spans="1:7" x14ac:dyDescent="0.45">
      <c r="A53">
        <v>42</v>
      </c>
      <c r="B53" s="6" t="n">
        <v>196.909668413</v>
      </c>
      <c r="C53" s="9">
        <f t="shared" si="0"/>
        <v>2.1067601761965665E-3</v>
      </c>
      <c r="E53" s="371">
        <v>42</v>
      </c>
      <c r="F53" s="371" t="n">
        <v>246.0</v>
      </c>
      <c r="G53" s="9">
        <f t="shared" si="1"/>
        <v>2.141398715160771E-3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253.0</v>
      </c>
      <c r="G54" s="9">
        <f t="shared" si="1"/>
        <v>1.9753988147607113E-3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220.0</v>
      </c>
      <c r="G55" s="9">
        <f t="shared" si="1"/>
        <v>1.9006988595806843E-3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203.0</v>
      </c>
      <c r="G56" s="9">
        <f t="shared" si="1"/>
        <v>1.6765989940406036E-3</v>
      </c>
    </row>
    <row r="57" spans="1:7" x14ac:dyDescent="0.45">
      <c r="A57">
        <v>46</v>
      </c>
      <c r="B57" s="6" t="n">
        <v>197.146490079</v>
      </c>
      <c r="C57" s="9">
        <f t="shared" si="0"/>
        <v>2.1092939596253362E-3</v>
      </c>
      <c r="E57" s="371">
        <v>46</v>
      </c>
      <c r="F57" s="371" t="n">
        <v>179.0</v>
      </c>
      <c r="G57" s="9">
        <f t="shared" si="1"/>
        <v>1.4192991484205109E-3</v>
      </c>
    </row>
    <row r="58" spans="1:7" x14ac:dyDescent="0.45">
      <c r="A58">
        <v>47</v>
      </c>
      <c r="B58" s="6" t="n">
        <v>342.507584498</v>
      </c>
      <c r="C58" s="9">
        <f t="shared" si="0"/>
        <v>3.664529755604566E-3</v>
      </c>
      <c r="E58" s="371">
        <v>47</v>
      </c>
      <c r="F58" s="371" t="n">
        <v>128.0</v>
      </c>
      <c r="G58" s="9">
        <f t="shared" si="1"/>
        <v>1.3113992131604721E-3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132.0</v>
      </c>
      <c r="G59" s="9">
        <f t="shared" si="1"/>
        <v>1.1619993028004184E-3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103.0</v>
      </c>
      <c r="G60" s="9">
        <f t="shared" si="1"/>
        <v>1.2366992579804451E-3</v>
      </c>
    </row>
    <row r="61" spans="1:7" x14ac:dyDescent="0.45">
      <c r="A61">
        <v>50</v>
      </c>
      <c r="B61" s="6" t="n">
        <v>125.900003473</v>
      </c>
      <c r="C61" s="9">
        <f t="shared" si="0"/>
        <v>1.3470192481539651E-3</v>
      </c>
      <c r="E61" s="371">
        <v>50</v>
      </c>
      <c r="F61" s="371" t="n">
        <v>100.0</v>
      </c>
      <c r="G61" s="9">
        <f t="shared" si="1"/>
        <v>8.8809946714031975E-4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103.0</v>
      </c>
      <c r="G62" s="9">
        <f t="shared" si="1"/>
        <v>9.9599940240035849E-4</v>
      </c>
    </row>
    <row r="63" spans="1:7" x14ac:dyDescent="0.45">
      <c r="A63">
        <v>52</v>
      </c>
      <c r="B63" s="6" t="n">
        <v>1426.673692591</v>
      </c>
      <c r="C63" s="9">
        <f t="shared" si="0"/>
        <v>1.5264153071823402E-2</v>
      </c>
      <c r="E63" s="371">
        <v>52</v>
      </c>
      <c r="F63" s="371" t="n">
        <v>101.0</v>
      </c>
      <c r="G63" s="9">
        <f t="shared" si="1"/>
        <v>8.4659949204030473E-4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105.0</v>
      </c>
      <c r="G64" s="9">
        <f t="shared" si="1"/>
        <v>8.1339951196029287E-4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85.0</v>
      </c>
      <c r="G65" s="9">
        <f t="shared" si="1"/>
        <v>4.3159974104015536E-4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69.0</v>
      </c>
      <c r="G66" s="9">
        <f t="shared" si="1"/>
        <v>8.2999950200029885E-4</v>
      </c>
    </row>
    <row r="67" spans="1:7" x14ac:dyDescent="0.45">
      <c r="A67">
        <v>56</v>
      </c>
      <c r="B67" s="6" t="n">
        <v>192.74388316</v>
      </c>
      <c r="C67" s="9">
        <f t="shared" si="0"/>
        <v>2.0621899397813602E-3</v>
      </c>
      <c r="E67" s="371">
        <v>56</v>
      </c>
      <c r="F67" s="371" t="n">
        <v>59.0</v>
      </c>
      <c r="G67" s="9">
        <f t="shared" si="1"/>
        <v>6.2249962650022409E-4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59.0</v>
      </c>
      <c r="G68" s="9">
        <f t="shared" si="1"/>
        <v>4.9799970120017925E-4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47.0</v>
      </c>
      <c r="G69" s="9">
        <f t="shared" si="1"/>
        <v>4.4819973108016134E-4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58.0</v>
      </c>
      <c r="G70" s="9">
        <f t="shared" si="1"/>
        <v>4.3989973606015835E-4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66.0</v>
      </c>
      <c r="G71" s="9">
        <f t="shared" si="1"/>
        <v>4.8969970618017631E-4</v>
      </c>
    </row>
    <row r="72" spans="1:7" x14ac:dyDescent="0.45">
      <c r="A72">
        <v>61</v>
      </c>
      <c r="B72" s="6" t="n">
        <v>519.276353903</v>
      </c>
      <c r="C72" s="9">
        <f t="shared" si="0"/>
        <v>5.5558000359273857E-3</v>
      </c>
      <c r="E72" s="371">
        <v>61</v>
      </c>
      <c r="F72" s="371" t="n">
        <v>58.0</v>
      </c>
      <c r="G72" s="9">
        <f t="shared" si="1"/>
        <v>4.3159974104015536E-4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69.0</v>
      </c>
      <c r="G73" s="9">
        <f t="shared" si="1"/>
        <v>5.3119968128019122E-4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46.0</v>
      </c>
      <c r="G74" s="9">
        <f t="shared" si="1"/>
        <v>4.7309971614017032E-4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42.0</v>
      </c>
      <c r="G75" s="9">
        <f t="shared" si="1"/>
        <v>3.8179977092013746E-4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40.0</v>
      </c>
      <c r="G76" s="9">
        <f t="shared" si="1"/>
        <v>3.9839976096014344E-4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48.0</v>
      </c>
      <c r="G77" s="9">
        <f t="shared" ref="G77:G102" si="3">F77/F$102</f>
        <v>3.6519978088013147E-4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38.0</v>
      </c>
      <c r="G78" s="9">
        <f t="shared" si="3"/>
        <v>3.5689978586012848E-4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48.0</v>
      </c>
      <c r="G79" s="9">
        <f t="shared" si="3"/>
        <v>3.6519978088013147E-4</v>
      </c>
    </row>
    <row r="80" spans="1:7" x14ac:dyDescent="0.45">
      <c r="A80">
        <v>69</v>
      </c>
      <c r="B80" s="6" t="n">
        <v>105.574432957</v>
      </c>
      <c r="C80" s="9">
        <f t="shared" si="2"/>
        <v>1.1295535296511512E-3</v>
      </c>
      <c r="E80" s="371">
        <v>69</v>
      </c>
      <c r="F80" s="371" t="n">
        <v>46.0</v>
      </c>
      <c r="G80" s="9">
        <f t="shared" si="3"/>
        <v>3.0709981574011057E-4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41.0</v>
      </c>
      <c r="G81" s="9">
        <f t="shared" si="3"/>
        <v>4.3989973606015835E-4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30.0</v>
      </c>
      <c r="G82" s="9">
        <f t="shared" si="3"/>
        <v>3.0709981574011057E-4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48.0</v>
      </c>
      <c r="G83" s="9">
        <f t="shared" si="3"/>
        <v>4.3159974104015536E-4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33.0</v>
      </c>
      <c r="G84" s="9">
        <f t="shared" si="3"/>
        <v>2.9879982072010758E-4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22.0</v>
      </c>
      <c r="G85" s="9">
        <f t="shared" si="3"/>
        <v>2.738998356600986E-4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29.0</v>
      </c>
      <c r="G86" s="9">
        <f t="shared" si="3"/>
        <v>1.9919988048007172E-4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28.0</v>
      </c>
      <c r="G87" s="9">
        <f t="shared" si="3"/>
        <v>2.4069985558008666E-4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28.0</v>
      </c>
      <c r="G88" s="9">
        <f t="shared" si="3"/>
        <v>2.2409986554008067E-4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19.0</v>
      </c>
      <c r="G89" s="9">
        <f t="shared" si="3"/>
        <v>2.4069985558008666E-4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19.0</v>
      </c>
      <c r="G90" s="9">
        <f t="shared" si="3"/>
        <v>2.9049982570010459E-4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27.0</v>
      </c>
      <c r="G91" s="9">
        <f t="shared" si="3"/>
        <v>2.2409986554008067E-4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25.0</v>
      </c>
      <c r="G92" s="9">
        <f t="shared" si="3"/>
        <v>2.738998356600986E-4</v>
      </c>
    </row>
    <row r="93" spans="1:7" x14ac:dyDescent="0.45">
      <c r="A93">
        <v>82</v>
      </c>
      <c r="B93" s="6" t="n">
        <v>337.860426079</v>
      </c>
      <c r="C93" s="9">
        <f t="shared" si="2"/>
        <v>3.6148092499100901E-3</v>
      </c>
      <c r="E93" s="371">
        <v>82</v>
      </c>
      <c r="F93" s="371" t="n">
        <v>22.0</v>
      </c>
      <c r="G93" s="9">
        <f t="shared" si="3"/>
        <v>1.9919988048007172E-4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19.0</v>
      </c>
      <c r="G94" s="9">
        <f t="shared" si="3"/>
        <v>1.8259989044006573E-4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41.0</v>
      </c>
      <c r="G95" s="9">
        <f t="shared" si="3"/>
        <v>3.9009976594014045E-4</v>
      </c>
    </row>
    <row r="96" spans="1:7" x14ac:dyDescent="0.45">
      <c r="A96">
        <v>85</v>
      </c>
      <c r="B96" s="6" t="n">
        <v>126.7069707198</v>
      </c>
      <c r="C96" s="9">
        <f t="shared" si="2"/>
        <v>1.3556530875827506E-3</v>
      </c>
      <c r="E96" s="371">
        <v>85</v>
      </c>
      <c r="F96" s="371" t="n">
        <v>29.0</v>
      </c>
      <c r="G96" s="9">
        <f t="shared" si="3"/>
        <v>1.6599990040005975E-4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32.0</v>
      </c>
      <c r="G97" s="9">
        <f t="shared" si="3"/>
        <v>2.9049982570010459E-4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17.0</v>
      </c>
      <c r="G98" s="9">
        <f t="shared" si="3"/>
        <v>1.5769990538005678E-4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21.0</v>
      </c>
      <c r="G99" s="9">
        <f t="shared" si="3"/>
        <v>1.5769990538005678E-4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22.0</v>
      </c>
      <c r="G100" s="9">
        <f t="shared" si="3"/>
        <v>1.9919988048007172E-4</v>
      </c>
    </row>
    <row r="101" spans="1:7" ht="14.65" thickBot="1" x14ac:dyDescent="0.5">
      <c r="A101" s="1">
        <v>90</v>
      </c>
      <c r="B101" s="7" t="n">
        <v>948.3384016833</v>
      </c>
      <c r="C101" s="9">
        <f t="shared" si="2"/>
        <v>1.0146386382784527E-2</v>
      </c>
      <c r="E101" s="372">
        <v>90</v>
      </c>
      <c r="F101" s="372" t="n">
        <v>879.0</v>
      </c>
      <c r="G101" s="9">
        <f t="shared" si="3"/>
        <v>7.7438953536627881E-3</v>
      </c>
    </row>
    <row r="102" spans="1:7" x14ac:dyDescent="0.45">
      <c r="B102" s="6">
        <f>SUM(B11:B101)</f>
        <v>93465.630610357504</v>
      </c>
      <c r="C102" s="9">
        <f t="shared" si="2"/>
        <v>1</v>
      </c>
      <c r="F102" s="6">
        <f>SUM(F11:F101)</f>
        <v>120482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102"/>
  <sheetViews>
    <sheetView workbookViewId="0">
      <selection activeCell="H11" sqref="H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12.0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42096.6465675342</v>
      </c>
      <c r="C11" s="9">
        <f>B11/B$102</f>
        <v>0.21184033144131748</v>
      </c>
      <c r="E11" s="371">
        <v>0</v>
      </c>
      <c r="F11" s="371" t="n">
        <v>23375.0</v>
      </c>
      <c r="G11" s="9">
        <f>F11/F$102</f>
        <v>0.10028829688075781</v>
      </c>
      <c r="K11" s="6" t="n">
        <v>5.391754889070411</v>
      </c>
      <c r="L11" s="6" t="n">
        <v>5.694167909588016</v>
      </c>
    </row>
    <row r="12" spans="1:12" x14ac:dyDescent="0.45">
      <c r="A12">
        <v>1</v>
      </c>
      <c r="B12" s="6" t="n">
        <v>35272.1459761351</v>
      </c>
      <c r="C12" s="9">
        <f>B12/B$102</f>
        <v>0.17749782235608291</v>
      </c>
      <c r="E12" s="371">
        <v>1</v>
      </c>
      <c r="F12" s="371" t="n">
        <v>24546.0</v>
      </c>
      <c r="G12" s="9">
        <f>F12/F$102</f>
        <v>0.10514382329352091</v>
      </c>
      <c r="K12" s="6"/>
      <c r="L12" s="371"/>
    </row>
    <row r="13" spans="1:12" x14ac:dyDescent="0.45">
      <c r="A13">
        <v>2</v>
      </c>
      <c r="B13" s="6" t="n">
        <v>25881.9568926223</v>
      </c>
      <c r="C13" s="9">
        <f t="shared" ref="C13:C76" si="0">B13/B$102</f>
        <v>0.13024415894237715</v>
      </c>
      <c r="E13" s="371">
        <v>2</v>
      </c>
      <c r="F13" s="371" t="n">
        <v>24253.0</v>
      </c>
      <c r="G13" s="9">
        <f t="shared" ref="G13:G76" si="1">F13/F$102</f>
        <v>0.10377387119849132</v>
      </c>
    </row>
    <row r="14" spans="1:12" x14ac:dyDescent="0.45">
      <c r="A14">
        <v>3</v>
      </c>
      <c r="B14" s="6" t="n">
        <v>14484.2330517082</v>
      </c>
      <c r="C14" s="9">
        <f t="shared" si="0"/>
        <v>7.288810346032458E-2</v>
      </c>
      <c r="E14" s="371">
        <v>3</v>
      </c>
      <c r="F14" s="371" t="n">
        <v>26256.0</v>
      </c>
      <c r="G14" s="9">
        <f t="shared" si="1"/>
        <v>0.11234040708386621</v>
      </c>
    </row>
    <row r="15" spans="1:12" x14ac:dyDescent="0.45">
      <c r="A15">
        <v>4</v>
      </c>
      <c r="B15" s="6" t="n">
        <v>12378.402977352</v>
      </c>
      <c r="C15" s="9">
        <f t="shared" si="0"/>
        <v>6.2291065993336586E-2</v>
      </c>
      <c r="E15" s="371">
        <v>4</v>
      </c>
      <c r="F15" s="371" t="n">
        <v>26748.0</v>
      </c>
      <c r="G15" s="9">
        <f t="shared" si="1"/>
        <v>0.11607742830511782</v>
      </c>
    </row>
    <row r="16" spans="1:12" x14ac:dyDescent="0.45">
      <c r="A16">
        <v>5</v>
      </c>
      <c r="B16" s="6" t="n">
        <v>8200.0079975136</v>
      </c>
      <c r="C16" s="9">
        <f t="shared" si="0"/>
        <v>4.1264389295902169E-2</v>
      </c>
      <c r="E16" s="371">
        <v>5</v>
      </c>
      <c r="F16" s="371" t="n">
        <v>22714.0</v>
      </c>
      <c r="G16" s="9">
        <f t="shared" si="1"/>
        <v>9.7648104393817881E-2</v>
      </c>
    </row>
    <row r="17" spans="1:7" x14ac:dyDescent="0.45">
      <c r="A17">
        <v>6</v>
      </c>
      <c r="B17" s="6" t="n">
        <v>5803.782043971</v>
      </c>
      <c r="C17" s="9">
        <f t="shared" si="0"/>
        <v>2.9206010740916839E-2</v>
      </c>
      <c r="E17" s="371">
        <v>6</v>
      </c>
      <c r="F17" s="371" t="n">
        <v>17008.0</v>
      </c>
      <c r="G17" s="9">
        <f t="shared" si="1"/>
        <v>7.3001972557605183E-2</v>
      </c>
    </row>
    <row r="18" spans="1:7" x14ac:dyDescent="0.45">
      <c r="A18">
        <v>7</v>
      </c>
      <c r="B18" s="6" t="n">
        <v>10570.667439619</v>
      </c>
      <c r="C18" s="9">
        <f t="shared" si="0"/>
        <v>5.319411108845476E-2</v>
      </c>
      <c r="E18" s="371">
        <v>7</v>
      </c>
      <c r="F18" s="371" t="n">
        <v>14301.0</v>
      </c>
      <c r="G18" s="9">
        <f t="shared" si="1"/>
        <v>6.2298137992326537E-2</v>
      </c>
    </row>
    <row r="19" spans="1:7" x14ac:dyDescent="0.45">
      <c r="A19">
        <v>8</v>
      </c>
      <c r="B19" s="6" t="n">
        <v>3792.12388791</v>
      </c>
      <c r="C19" s="9">
        <f t="shared" si="0"/>
        <v>1.908286875042756E-2</v>
      </c>
      <c r="E19" s="371">
        <v>8</v>
      </c>
      <c r="F19" s="371" t="n">
        <v>10846.0</v>
      </c>
      <c r="G19" s="9">
        <f t="shared" si="1"/>
        <v>4.9686775193462381E-2</v>
      </c>
    </row>
    <row r="20" spans="1:7" x14ac:dyDescent="0.45">
      <c r="A20">
        <v>9</v>
      </c>
      <c r="B20" s="6" t="n">
        <v>3588.750185081</v>
      </c>
      <c r="C20" s="9">
        <f t="shared" si="0"/>
        <v>1.8059443938082301E-2</v>
      </c>
      <c r="E20" s="371">
        <v>9</v>
      </c>
      <c r="F20" s="371" t="n">
        <v>8097.0</v>
      </c>
      <c r="G20" s="9">
        <f t="shared" si="1"/>
        <v>3.41187436325407E-2</v>
      </c>
    </row>
    <row r="21" spans="1:7" x14ac:dyDescent="0.45">
      <c r="A21">
        <v>10</v>
      </c>
      <c r="B21" s="6" t="n">
        <v>3730.183122435</v>
      </c>
      <c r="C21" s="9">
        <f t="shared" si="0"/>
        <v>1.8771168095913369E-2</v>
      </c>
      <c r="E21" s="371">
        <v>10</v>
      </c>
      <c r="F21" s="371" t="n">
        <v>6185.0</v>
      </c>
      <c r="G21" s="9">
        <f t="shared" si="1"/>
        <v>2.5699607656124682E-2</v>
      </c>
    </row>
    <row r="22" spans="1:7" x14ac:dyDescent="0.45">
      <c r="A22">
        <v>11</v>
      </c>
      <c r="B22" s="6" t="n">
        <v>3887.1159454441</v>
      </c>
      <c r="C22" s="9">
        <f t="shared" si="0"/>
        <v>1.9560891362514571E-2</v>
      </c>
      <c r="E22" s="371">
        <v>11</v>
      </c>
      <c r="F22" s="371" t="n">
        <v>5064.0</v>
      </c>
      <c r="G22" s="9">
        <f t="shared" si="1"/>
        <v>2.1693798365595127E-2</v>
      </c>
    </row>
    <row r="23" spans="1:7" x14ac:dyDescent="0.45">
      <c r="A23">
        <v>12</v>
      </c>
      <c r="B23" s="6" t="n">
        <v>599.22026744</v>
      </c>
      <c r="C23" s="9">
        <f t="shared" si="0"/>
        <v>3.0154188138763172E-3</v>
      </c>
      <c r="E23" s="371">
        <v>12</v>
      </c>
      <c r="F23" s="371" t="n">
        <v>4697.0</v>
      </c>
      <c r="G23" s="9">
        <f t="shared" si="1"/>
        <v>2.0003034704007976E-2</v>
      </c>
    </row>
    <row r="24" spans="1:7" x14ac:dyDescent="0.45">
      <c r="A24">
        <v>13</v>
      </c>
      <c r="B24" s="6" t="n">
        <v>4228.3027259294995</v>
      </c>
      <c r="C24" s="9">
        <f t="shared" si="0"/>
        <v>2.1277824338291427E-2</v>
      </c>
      <c r="E24" s="371">
        <v>13</v>
      </c>
      <c r="F24" s="371" t="n">
        <v>3856.0</v>
      </c>
      <c r="G24" s="9">
        <f t="shared" si="1"/>
        <v>1.683827195283203E-2</v>
      </c>
    </row>
    <row r="25" spans="1:7" x14ac:dyDescent="0.45">
      <c r="A25">
        <v>14</v>
      </c>
      <c r="B25" s="6" t="n">
        <v>1608.77438934</v>
      </c>
      <c r="C25" s="9">
        <f t="shared" si="0"/>
        <v>8.095735115274557E-3</v>
      </c>
      <c r="E25" s="371">
        <v>14</v>
      </c>
      <c r="F25" s="371" t="n">
        <v>2792.0</v>
      </c>
      <c r="G25" s="9">
        <f t="shared" si="1"/>
        <v>1.2277545357986691E-2</v>
      </c>
    </row>
    <row r="26" spans="1:7" x14ac:dyDescent="0.45">
      <c r="A26">
        <v>15</v>
      </c>
      <c r="B26" s="6" t="n">
        <v>4556.151660363</v>
      </c>
      <c r="C26" s="9">
        <f t="shared" si="0"/>
        <v>2.2927638102474678E-2</v>
      </c>
      <c r="E26" s="371">
        <v>15</v>
      </c>
      <c r="F26" s="371" t="n">
        <v>2607.0</v>
      </c>
      <c r="G26" s="9">
        <f t="shared" si="1"/>
        <v>1.0825222725597728E-2</v>
      </c>
    </row>
    <row r="27" spans="1:7" x14ac:dyDescent="0.45">
      <c r="A27">
        <v>16</v>
      </c>
      <c r="B27" s="6" t="n">
        <v>1931.3524904800001</v>
      </c>
      <c r="C27" s="9">
        <f t="shared" si="0"/>
        <v>9.7190247935053601E-3</v>
      </c>
      <c r="E27" s="371">
        <v>16</v>
      </c>
      <c r="F27" s="371" t="n">
        <v>2119.0</v>
      </c>
      <c r="G27" s="9">
        <f t="shared" si="1"/>
        <v>8.6792534628140385E-3</v>
      </c>
    </row>
    <row r="28" spans="1:7" x14ac:dyDescent="0.45">
      <c r="A28">
        <v>17</v>
      </c>
      <c r="B28" s="6" t="n">
        <v>1839.759763416</v>
      </c>
      <c r="C28" s="9">
        <f t="shared" si="0"/>
        <v>9.258108420327647E-3</v>
      </c>
      <c r="E28" s="371">
        <v>17</v>
      </c>
      <c r="F28" s="371" t="n">
        <v>1568.0</v>
      </c>
      <c r="G28" s="9">
        <f t="shared" si="1"/>
        <v>6.4422430797910386E-3</v>
      </c>
    </row>
    <row r="29" spans="1:7" x14ac:dyDescent="0.45">
      <c r="A29">
        <v>18</v>
      </c>
      <c r="B29" s="6" t="n">
        <v>1749.508247889</v>
      </c>
      <c r="C29" s="9">
        <f t="shared" si="0"/>
        <v>8.8039413423954636E-3</v>
      </c>
      <c r="E29" s="371">
        <v>18</v>
      </c>
      <c r="F29" s="371" t="n">
        <v>1233.0</v>
      </c>
      <c r="G29" s="9">
        <f t="shared" si="1"/>
        <v>5.4494613400385842E-3</v>
      </c>
    </row>
    <row r="30" spans="1:7" x14ac:dyDescent="0.45">
      <c r="A30">
        <v>19</v>
      </c>
      <c r="B30" s="6" t="n">
        <v>114.49205282</v>
      </c>
      <c r="C30" s="9">
        <f t="shared" si="0"/>
        <v>5.761512233017354E-4</v>
      </c>
      <c r="E30" s="371">
        <v>19</v>
      </c>
      <c r="F30" s="371" t="n">
        <v>1082.0</v>
      </c>
      <c r="G30" s="9">
        <f t="shared" si="1"/>
        <v>4.4350031430862935E-3</v>
      </c>
    </row>
    <row r="31" spans="1:7" x14ac:dyDescent="0.45">
      <c r="A31">
        <v>20</v>
      </c>
      <c r="B31" s="6" t="n">
        <v>300.1269826337</v>
      </c>
      <c r="C31" s="9">
        <f t="shared" si="0"/>
        <v>1.5103103135212432E-3</v>
      </c>
      <c r="E31" s="371">
        <v>20</v>
      </c>
      <c r="F31" s="371" t="n">
        <v>647.0</v>
      </c>
      <c r="G31" s="9">
        <f t="shared" si="1"/>
        <v>2.9566687620575295E-3</v>
      </c>
    </row>
    <row r="32" spans="1:7" x14ac:dyDescent="0.45">
      <c r="A32">
        <v>21</v>
      </c>
      <c r="B32" s="6" t="n">
        <v>920.233152728</v>
      </c>
      <c r="C32" s="9">
        <f t="shared" si="0"/>
        <v>4.6308319539051295E-3</v>
      </c>
      <c r="E32" s="371">
        <v>21</v>
      </c>
      <c r="F32" s="371" t="n">
        <v>523.0</v>
      </c>
      <c r="G32" s="9">
        <f t="shared" si="1"/>
        <v>2.4581102464613183E-3</v>
      </c>
    </row>
    <row r="33" spans="1:7" x14ac:dyDescent="0.45">
      <c r="A33">
        <v>22</v>
      </c>
      <c r="B33" s="6" t="n">
        <v>587.332461473</v>
      </c>
      <c r="C33" s="9">
        <f t="shared" si="0"/>
        <v>2.955596548648627E-3</v>
      </c>
      <c r="E33" s="371">
        <v>22</v>
      </c>
      <c r="F33" s="371" t="n">
        <v>394.0</v>
      </c>
      <c r="G33" s="9">
        <f t="shared" si="1"/>
        <v>1.7687989075065571E-3</v>
      </c>
    </row>
    <row r="34" spans="1:7" x14ac:dyDescent="0.45">
      <c r="A34">
        <v>23</v>
      </c>
      <c r="B34" s="6" t="n">
        <v>6868.907967339001</v>
      </c>
      <c r="C34" s="9">
        <f t="shared" si="0"/>
        <v>3.4565977556112806E-2</v>
      </c>
      <c r="E34" s="371">
        <v>23</v>
      </c>
      <c r="F34" s="371" t="n">
        <v>312.0</v>
      </c>
      <c r="G34" s="9">
        <f t="shared" si="1"/>
        <v>1.3872932607894566E-3</v>
      </c>
    </row>
    <row r="35" spans="1:7" x14ac:dyDescent="0.45">
      <c r="A35">
        <v>24</v>
      </c>
      <c r="B35" s="6" t="n">
        <v>0.0</v>
      </c>
      <c r="C35" s="9">
        <f t="shared" si="0"/>
        <v>0</v>
      </c>
      <c r="E35" s="371">
        <v>24</v>
      </c>
      <c r="F35" s="371" t="n">
        <v>197.0</v>
      </c>
      <c r="G35" s="9">
        <f t="shared" si="1"/>
        <v>1.0578111113519607E-3</v>
      </c>
    </row>
    <row r="36" spans="1:7" x14ac:dyDescent="0.45">
      <c r="A36">
        <v>25</v>
      </c>
      <c r="B36" s="6" t="n">
        <v>985.236238173</v>
      </c>
      <c r="C36" s="9">
        <f t="shared" si="0"/>
        <v>4.9579429303883964E-3</v>
      </c>
      <c r="E36" s="371">
        <v>25</v>
      </c>
      <c r="F36" s="371" t="n">
        <v>149.0</v>
      </c>
      <c r="G36" s="9">
        <f t="shared" si="1"/>
        <v>7.5867600199423411E-4</v>
      </c>
    </row>
    <row r="37" spans="1:7" x14ac:dyDescent="0.45">
      <c r="A37">
        <v>26</v>
      </c>
      <c r="B37" s="6" t="n">
        <v>0.0</v>
      </c>
      <c r="C37" s="9">
        <f t="shared" si="0"/>
        <v>0</v>
      </c>
      <c r="E37" s="371">
        <v>26</v>
      </c>
      <c r="F37" s="371" t="n">
        <v>130.0</v>
      </c>
      <c r="G37" s="9">
        <f t="shared" si="1"/>
        <v>5.5058201287581563E-4</v>
      </c>
    </row>
    <row r="38" spans="1:7" x14ac:dyDescent="0.45">
      <c r="A38">
        <v>27</v>
      </c>
      <c r="B38" s="6" t="n">
        <v>315.18769892</v>
      </c>
      <c r="C38" s="9">
        <f t="shared" si="0"/>
        <v>1.5860994176418075E-3</v>
      </c>
      <c r="E38" s="371">
        <v>27</v>
      </c>
      <c r="F38" s="371" t="n">
        <v>122.0</v>
      </c>
      <c r="G38" s="9">
        <f t="shared" si="1"/>
        <v>4.4653501831660634E-4</v>
      </c>
    </row>
    <row r="39" spans="1:7" x14ac:dyDescent="0.45">
      <c r="A39">
        <v>28</v>
      </c>
      <c r="B39" s="6" t="n">
        <v>0.0</v>
      </c>
      <c r="C39" s="9">
        <f t="shared" si="0"/>
        <v>0</v>
      </c>
      <c r="E39" s="371">
        <v>28</v>
      </c>
      <c r="F39" s="371" t="n">
        <v>70.0</v>
      </c>
      <c r="G39" s="9">
        <f t="shared" si="1"/>
        <v>3.424880237573971E-4</v>
      </c>
    </row>
    <row r="40" spans="1:7" x14ac:dyDescent="0.45">
      <c r="A40">
        <v>29</v>
      </c>
      <c r="B40" s="6" t="n">
        <v>611.974694592</v>
      </c>
      <c r="C40" s="9">
        <f t="shared" si="0"/>
        <v>3.0796021228933252E-3</v>
      </c>
      <c r="E40" s="371">
        <v>29</v>
      </c>
      <c r="F40" s="371" t="n">
        <v>46.0</v>
      </c>
      <c r="G40" s="9">
        <f t="shared" si="1"/>
        <v>1.9508811479851732E-4</v>
      </c>
    </row>
    <row r="41" spans="1:7" x14ac:dyDescent="0.45">
      <c r="A41">
        <v>30</v>
      </c>
      <c r="B41" s="6" t="n">
        <v>5.55375</v>
      </c>
      <c r="C41" s="9">
        <f t="shared" si="0"/>
        <v>2.7947790065766531E-5</v>
      </c>
      <c r="E41" s="371">
        <v>30</v>
      </c>
      <c r="F41" s="371" t="n">
        <v>67.0</v>
      </c>
      <c r="G41" s="9">
        <f t="shared" si="1"/>
        <v>2.2543515487828669E-4</v>
      </c>
    </row>
    <row r="42" spans="1:7" x14ac:dyDescent="0.4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49.0</v>
      </c>
      <c r="G42" s="9">
        <f t="shared" si="1"/>
        <v>1.9942340623848437E-4</v>
      </c>
    </row>
    <row r="43" spans="1:7" x14ac:dyDescent="0.45">
      <c r="A43">
        <v>32</v>
      </c>
      <c r="B43" s="6" t="n">
        <v>0.0</v>
      </c>
      <c r="C43" s="9">
        <f t="shared" si="0"/>
        <v>0</v>
      </c>
      <c r="E43" s="371">
        <v>32</v>
      </c>
      <c r="F43" s="371" t="n">
        <v>22.0</v>
      </c>
      <c r="G43" s="9">
        <f t="shared" si="1"/>
        <v>1.2572345175904451E-4</v>
      </c>
    </row>
    <row r="44" spans="1:7" x14ac:dyDescent="0.45">
      <c r="A44">
        <v>33</v>
      </c>
      <c r="B44" s="6" t="n">
        <v>0.0</v>
      </c>
      <c r="C44" s="9">
        <f t="shared" si="0"/>
        <v>0</v>
      </c>
      <c r="E44" s="371">
        <v>33</v>
      </c>
      <c r="F44" s="371" t="n">
        <v>20.0</v>
      </c>
      <c r="G44" s="9">
        <f t="shared" si="1"/>
        <v>1.6040578327878091E-4</v>
      </c>
    </row>
    <row r="45" spans="1:7" x14ac:dyDescent="0.45">
      <c r="A45">
        <v>34</v>
      </c>
      <c r="B45" s="6" t="n">
        <v>0.0</v>
      </c>
      <c r="C45" s="9">
        <f t="shared" si="0"/>
        <v>0</v>
      </c>
      <c r="E45" s="371">
        <v>34</v>
      </c>
      <c r="F45" s="371" t="n">
        <v>22.0</v>
      </c>
      <c r="G45" s="9">
        <f t="shared" si="1"/>
        <v>5.202349727960462E-5</v>
      </c>
    </row>
    <row r="46" spans="1:7" x14ac:dyDescent="0.45">
      <c r="A46">
        <v>35</v>
      </c>
      <c r="B46" s="6" t="n">
        <v>0.0</v>
      </c>
      <c r="C46" s="9">
        <f t="shared" si="0"/>
        <v>0</v>
      </c>
      <c r="E46" s="371">
        <v>35</v>
      </c>
      <c r="F46" s="371" t="n">
        <v>23.0</v>
      </c>
      <c r="G46" s="9">
        <f t="shared" si="1"/>
        <v>6.0694080159538728E-5</v>
      </c>
    </row>
    <row r="47" spans="1:7" x14ac:dyDescent="0.45">
      <c r="A47">
        <v>36</v>
      </c>
      <c r="B47" s="6" t="n">
        <v>736.563073278</v>
      </c>
      <c r="C47" s="9">
        <f t="shared" si="0"/>
        <v>3.7065604577392495E-3</v>
      </c>
      <c r="E47" s="371">
        <v>36</v>
      </c>
      <c r="F47" s="371" t="n">
        <v>12.0</v>
      </c>
      <c r="G47" s="9">
        <f t="shared" si="1"/>
        <v>9.9711703119242186E-5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14.0</v>
      </c>
      <c r="G48" s="9">
        <f t="shared" si="1"/>
        <v>4.7688205839637573E-5</v>
      </c>
    </row>
    <row r="49" spans="1:7" x14ac:dyDescent="0.45">
      <c r="A49">
        <v>38</v>
      </c>
      <c r="B49" s="6" t="n">
        <v>69.966370625</v>
      </c>
      <c r="C49" s="9">
        <f t="shared" si="0"/>
        <v>3.5208740722774957E-4</v>
      </c>
      <c r="E49" s="371">
        <v>38</v>
      </c>
      <c r="F49" s="371" t="n">
        <v>16.0</v>
      </c>
      <c r="G49" s="9">
        <f t="shared" si="1"/>
        <v>9.5376411679275145E-5</v>
      </c>
    </row>
    <row r="50" spans="1:7" x14ac:dyDescent="0.45">
      <c r="A50">
        <v>39</v>
      </c>
      <c r="B50" s="6" t="n">
        <v>0.0</v>
      </c>
      <c r="C50" s="9">
        <f t="shared" si="0"/>
        <v>0</v>
      </c>
      <c r="E50" s="371">
        <v>39</v>
      </c>
      <c r="F50" s="371" t="n">
        <v>8.0</v>
      </c>
      <c r="G50" s="9">
        <f t="shared" si="1"/>
        <v>5.6358788719571674E-5</v>
      </c>
    </row>
    <row r="51" spans="1:7" x14ac:dyDescent="0.45">
      <c r="A51">
        <v>40</v>
      </c>
      <c r="B51" s="6" t="n">
        <v>336.097862622</v>
      </c>
      <c r="C51" s="9">
        <f t="shared" si="0"/>
        <v>1.6913243315079894E-3</v>
      </c>
      <c r="E51" s="371">
        <v>40</v>
      </c>
      <c r="F51" s="371" t="n">
        <v>11.0</v>
      </c>
      <c r="G51" s="9">
        <f t="shared" si="1"/>
        <v>6.0694080159538728E-5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6.0</v>
      </c>
      <c r="G52" s="9">
        <f t="shared" si="1"/>
        <v>3.0347040079769364E-5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7.0</v>
      </c>
      <c r="G53" s="9">
        <f t="shared" si="1"/>
        <v>2.1676457199835259E-5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7.0</v>
      </c>
      <c r="G54" s="9">
        <f t="shared" si="1"/>
        <v>2.601174863980231E-5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2.0</v>
      </c>
      <c r="G55" s="9">
        <f t="shared" si="1"/>
        <v>1.7341165759868205E-5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6.0</v>
      </c>
      <c r="G56" s="9">
        <f t="shared" si="1"/>
        <v>2.601174863980231E-5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3.0</v>
      </c>
      <c r="G57" s="9">
        <f t="shared" si="1"/>
        <v>4.3352914399670514E-6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4.0</v>
      </c>
      <c r="G58" s="9">
        <f t="shared" si="1"/>
        <v>1.3005874319901155E-5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1.0</v>
      </c>
      <c r="G59" s="9">
        <f t="shared" si="1"/>
        <v>4.3352914399670514E-6</v>
      </c>
    </row>
    <row r="60" spans="1:7" x14ac:dyDescent="0.45">
      <c r="A60">
        <v>49</v>
      </c>
      <c r="B60" s="6" t="n">
        <v>667.99538554</v>
      </c>
      <c r="C60" s="9">
        <f t="shared" si="0"/>
        <v>3.3615115552505419E-3</v>
      </c>
      <c r="E60" s="371">
        <v>49</v>
      </c>
      <c r="F60" s="371" t="n">
        <v>1.0</v>
      </c>
      <c r="G60" s="9">
        <f t="shared" si="1"/>
        <v>8.6705828799341027E-6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0.0</v>
      </c>
      <c r="G61" s="9">
        <f t="shared" si="1"/>
        <v>4.3352914399670514E-6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1.0</v>
      </c>
      <c r="G62" s="9">
        <f t="shared" si="1"/>
        <v>0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2.0</v>
      </c>
      <c r="G63" s="9">
        <f t="shared" si="1"/>
        <v>4.3352914399670514E-6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1.0</v>
      </c>
      <c r="G64" s="9">
        <f t="shared" si="1"/>
        <v>8.6705828799341027E-6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0.0</v>
      </c>
      <c r="G65" s="9">
        <f t="shared" si="1"/>
        <v>0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0.0</v>
      </c>
      <c r="G66" s="9">
        <f t="shared" si="1"/>
        <v>0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1.0</v>
      </c>
      <c r="G67" s="9">
        <f t="shared" si="1"/>
        <v>4.3352914399670514E-6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0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0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0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0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0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0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0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0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0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198718.75332292667</v>
      </c>
      <c r="C102" s="9">
        <f t="shared" si="2"/>
        <v>1</v>
      </c>
      <c r="F102" s="6">
        <f>SUM(F11:F101)</f>
        <v>230665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102"/>
  <sheetViews>
    <sheetView workbookViewId="0">
      <selection activeCell="H24" sqref="H24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368.29925</v>
      </c>
      <c r="C11" s="9">
        <f>B11/B$102</f>
        <v>1.8533693667124485E-3</v>
      </c>
      <c r="E11" s="371">
        <v>0</v>
      </c>
      <c r="F11" s="371" t="n">
        <v>752.0</v>
      </c>
      <c r="G11" s="9">
        <f>F11/F$102</f>
        <v>3.3251685344547286E-3</v>
      </c>
      <c r="K11" s="6" t="n">
        <v>18.335191812547684</v>
      </c>
      <c r="L11" s="6" t="n">
        <v>22.369367095266274</v>
      </c>
    </row>
    <row r="12" spans="1:12" x14ac:dyDescent="0.45">
      <c r="A12">
        <v>1</v>
      </c>
      <c r="B12" s="6" t="n">
        <v>2411.760922769</v>
      </c>
      <c r="C12" s="9">
        <f>B12/B$102</f>
        <v>1.2136554212625229E-2</v>
      </c>
      <c r="E12" s="371">
        <v>1</v>
      </c>
      <c r="F12" s="371" t="n">
        <v>3426.0</v>
      </c>
      <c r="G12" s="9">
        <f>F12/F$102</f>
        <v>1.4666290941408536E-2</v>
      </c>
      <c r="K12" s="6"/>
      <c r="L12" s="371"/>
    </row>
    <row r="13" spans="1:12" x14ac:dyDescent="0.45">
      <c r="A13">
        <v>2</v>
      </c>
      <c r="B13" s="6" t="n">
        <v>3565.0701195009997</v>
      </c>
      <c r="C13" s="9">
        <f t="shared" ref="C13:C76" si="0">B13/B$102</f>
        <v>1.7940280219590567E-2</v>
      </c>
      <c r="E13" s="371">
        <v>2</v>
      </c>
      <c r="F13" s="371" t="n">
        <v>4550.0</v>
      </c>
      <c r="G13" s="9">
        <f t="shared" ref="G13:G76" si="1">F13/F$102</f>
        <v>1.9647540805930678E-2</v>
      </c>
    </row>
    <row r="14" spans="1:12" x14ac:dyDescent="0.45">
      <c r="A14">
        <v>3</v>
      </c>
      <c r="B14" s="6" t="n">
        <v>6524.4683707464</v>
      </c>
      <c r="C14" s="9">
        <f t="shared" si="0"/>
        <v>3.2832675636525616E-2</v>
      </c>
      <c r="E14" s="371">
        <v>3</v>
      </c>
      <c r="F14" s="371" t="n">
        <v>6240.0</v>
      </c>
      <c r="G14" s="9">
        <f t="shared" si="1"/>
        <v>2.687880692779572E-2</v>
      </c>
    </row>
    <row r="15" spans="1:12" x14ac:dyDescent="0.45">
      <c r="A15">
        <v>4</v>
      </c>
      <c r="B15" s="6" t="n">
        <v>13138.2298090838</v>
      </c>
      <c r="C15" s="9">
        <f t="shared" si="0"/>
        <v>6.6114695213156841E-2</v>
      </c>
      <c r="E15" s="371">
        <v>4</v>
      </c>
      <c r="F15" s="371" t="n">
        <v>7526.0</v>
      </c>
      <c r="G15" s="9">
        <f t="shared" si="1"/>
        <v>3.2046474324236449E-2</v>
      </c>
    </row>
    <row r="16" spans="1:12" x14ac:dyDescent="0.45">
      <c r="A16">
        <v>5</v>
      </c>
      <c r="B16" s="6" t="n">
        <v>7252.3299823002</v>
      </c>
      <c r="C16" s="9">
        <f t="shared" si="0"/>
        <v>3.6495448270626195E-2</v>
      </c>
      <c r="E16" s="371">
        <v>5</v>
      </c>
      <c r="F16" s="371" t="n">
        <v>9029.0</v>
      </c>
      <c r="G16" s="9">
        <f t="shared" si="1"/>
        <v>3.9086987622742937E-2</v>
      </c>
    </row>
    <row r="17" spans="1:7" x14ac:dyDescent="0.45">
      <c r="A17">
        <v>6</v>
      </c>
      <c r="B17" s="6" t="n">
        <v>14929.974005296</v>
      </c>
      <c r="C17" s="9">
        <f t="shared" si="0"/>
        <v>7.5131177886538641E-2</v>
      </c>
      <c r="E17" s="371">
        <v>6</v>
      </c>
      <c r="F17" s="371" t="n">
        <v>10162.0</v>
      </c>
      <c r="G17" s="9">
        <f t="shared" si="1"/>
        <v>4.35263260572692E-2</v>
      </c>
    </row>
    <row r="18" spans="1:7" x14ac:dyDescent="0.45">
      <c r="A18">
        <v>7</v>
      </c>
      <c r="B18" s="6" t="n">
        <v>17615.716951318802</v>
      </c>
      <c r="C18" s="9">
        <f t="shared" si="0"/>
        <v>8.864647476271395E-2</v>
      </c>
      <c r="E18" s="371">
        <v>7</v>
      </c>
      <c r="F18" s="371" t="n">
        <v>11344.0</v>
      </c>
      <c r="G18" s="9">
        <f t="shared" si="1"/>
        <v>4.8698328745149892E-2</v>
      </c>
    </row>
    <row r="19" spans="1:7" x14ac:dyDescent="0.45">
      <c r="A19">
        <v>8</v>
      </c>
      <c r="B19" s="6" t="n">
        <v>13205.7269029522</v>
      </c>
      <c r="C19" s="9">
        <f t="shared" si="0"/>
        <v>6.6454356632825243E-2</v>
      </c>
      <c r="E19" s="371">
        <v>8</v>
      </c>
      <c r="F19" s="371" t="n">
        <v>11924.0</v>
      </c>
      <c r="G19" s="9">
        <f t="shared" si="1"/>
        <v>5.2574079292480438E-2</v>
      </c>
    </row>
    <row r="20" spans="1:7" x14ac:dyDescent="0.45">
      <c r="A20">
        <v>9</v>
      </c>
      <c r="B20" s="6" t="n">
        <v>16082.4600236323</v>
      </c>
      <c r="C20" s="9">
        <f t="shared" si="0"/>
        <v>8.0930761464156301E-2</v>
      </c>
      <c r="E20" s="371">
        <v>9</v>
      </c>
      <c r="F20" s="371" t="n">
        <v>11780.0</v>
      </c>
      <c r="G20" s="9">
        <f t="shared" si="1"/>
        <v>5.0050939674419613E-2</v>
      </c>
    </row>
    <row r="21" spans="1:7" x14ac:dyDescent="0.45">
      <c r="A21">
        <v>10</v>
      </c>
      <c r="B21" s="6" t="n">
        <v>7237.817845462</v>
      </c>
      <c r="C21" s="9">
        <f t="shared" si="0"/>
        <v>3.6422419748679817E-2</v>
      </c>
      <c r="E21" s="371">
        <v>10</v>
      </c>
      <c r="F21" s="371" t="n">
        <v>10812.0</v>
      </c>
      <c r="G21" s="9">
        <f t="shared" si="1"/>
        <v>4.6717100557084952E-2</v>
      </c>
    </row>
    <row r="22" spans="1:7" x14ac:dyDescent="0.45">
      <c r="A22">
        <v>11</v>
      </c>
      <c r="B22" s="6" t="n">
        <v>2407.874971086</v>
      </c>
      <c r="C22" s="9">
        <f t="shared" si="0"/>
        <v>1.2116999180108065E-2</v>
      </c>
      <c r="E22" s="371">
        <v>11</v>
      </c>
      <c r="F22" s="371" t="n">
        <v>9602.0</v>
      </c>
      <c r="G22" s="9">
        <f t="shared" si="1"/>
        <v>4.0821104198729759E-2</v>
      </c>
    </row>
    <row r="23" spans="1:7" x14ac:dyDescent="0.45">
      <c r="A23">
        <v>12</v>
      </c>
      <c r="B23" s="6" t="n">
        <v>4731.0028989926</v>
      </c>
      <c r="C23" s="9">
        <f t="shared" si="0"/>
        <v>2.3807531095490077E-2</v>
      </c>
      <c r="E23" s="371">
        <v>12</v>
      </c>
      <c r="F23" s="371" t="n">
        <v>8352.0</v>
      </c>
      <c r="G23" s="9">
        <f t="shared" si="1"/>
        <v>3.5315284069971607E-2</v>
      </c>
    </row>
    <row r="24" spans="1:7" x14ac:dyDescent="0.45">
      <c r="A24">
        <v>13</v>
      </c>
      <c r="B24" s="6" t="n">
        <v>2312.596078701</v>
      </c>
      <c r="C24" s="9">
        <f t="shared" si="0"/>
        <v>1.163753314687381E-2</v>
      </c>
      <c r="E24" s="371">
        <v>13</v>
      </c>
      <c r="F24" s="371" t="n">
        <v>6706.0</v>
      </c>
      <c r="G24" s="9">
        <f t="shared" si="1"/>
        <v>3.0334034205449462E-2</v>
      </c>
    </row>
    <row r="25" spans="1:7" x14ac:dyDescent="0.45">
      <c r="A25">
        <v>14</v>
      </c>
      <c r="B25" s="6" t="n">
        <v>2926.824793461</v>
      </c>
      <c r="C25" s="9">
        <f t="shared" si="0"/>
        <v>1.4728478035008506E-2</v>
      </c>
      <c r="E25" s="371">
        <v>14</v>
      </c>
      <c r="F25" s="371" t="n">
        <v>5449.0</v>
      </c>
      <c r="G25" s="9">
        <f t="shared" si="1"/>
        <v>2.1828192400234106E-2</v>
      </c>
    </row>
    <row r="26" spans="1:7" x14ac:dyDescent="0.45">
      <c r="A26">
        <v>15</v>
      </c>
      <c r="B26" s="6" t="n">
        <v>4787.623131349</v>
      </c>
      <c r="C26" s="9">
        <f t="shared" si="0"/>
        <v>2.409245756271881E-2</v>
      </c>
      <c r="E26" s="371">
        <v>15</v>
      </c>
      <c r="F26" s="371" t="n">
        <v>5820.0</v>
      </c>
      <c r="G26" s="9">
        <f t="shared" si="1"/>
        <v>2.5409143129646889E-2</v>
      </c>
    </row>
    <row r="27" spans="1:7" x14ac:dyDescent="0.45">
      <c r="A27">
        <v>16</v>
      </c>
      <c r="B27" s="6" t="n">
        <v>2791.044729807</v>
      </c>
      <c r="C27" s="9">
        <f t="shared" si="0"/>
        <v>1.4045200481262225E-2</v>
      </c>
      <c r="E27" s="371">
        <v>16</v>
      </c>
      <c r="F27" s="371" t="n">
        <v>6990.0</v>
      </c>
      <c r="G27" s="9">
        <f t="shared" si="1"/>
        <v>3.0216981336570352E-2</v>
      </c>
    </row>
    <row r="28" spans="1:7" x14ac:dyDescent="0.45">
      <c r="A28">
        <v>17</v>
      </c>
      <c r="B28" s="6" t="n">
        <v>2040.3149839865998</v>
      </c>
      <c r="C28" s="9">
        <f t="shared" si="0"/>
        <v>1.0267349960026158E-2</v>
      </c>
      <c r="E28" s="371">
        <v>17</v>
      </c>
      <c r="F28" s="371" t="n">
        <v>5909.0</v>
      </c>
      <c r="G28" s="9">
        <f t="shared" si="1"/>
        <v>2.5448160752606593E-2</v>
      </c>
    </row>
    <row r="29" spans="1:7" x14ac:dyDescent="0.45">
      <c r="A29">
        <v>18</v>
      </c>
      <c r="B29" s="6" t="n">
        <v>7805.3347091348</v>
      </c>
      <c r="C29" s="9">
        <f t="shared" si="0"/>
        <v>3.9278299499246487E-2</v>
      </c>
      <c r="E29" s="371">
        <v>18</v>
      </c>
      <c r="F29" s="371" t="n">
        <v>6861.0</v>
      </c>
      <c r="G29" s="9">
        <f t="shared" si="1"/>
        <v>2.8331129560184683E-2</v>
      </c>
    </row>
    <row r="30" spans="1:7" x14ac:dyDescent="0.45">
      <c r="A30">
        <v>19</v>
      </c>
      <c r="B30" s="6" t="n">
        <v>5380.3779327574</v>
      </c>
      <c r="C30" s="9">
        <f t="shared" si="0"/>
        <v>2.7075340614753401E-2</v>
      </c>
      <c r="E30" s="371">
        <v>19</v>
      </c>
      <c r="F30" s="371" t="n">
        <v>6976.0</v>
      </c>
      <c r="G30" s="9">
        <f t="shared" si="1"/>
        <v>3.0936639715604883E-2</v>
      </c>
    </row>
    <row r="31" spans="1:7" x14ac:dyDescent="0.45">
      <c r="A31">
        <v>20</v>
      </c>
      <c r="B31" s="6" t="n">
        <v>3223.676783582</v>
      </c>
      <c r="C31" s="9">
        <f t="shared" si="0"/>
        <v>1.6222307807775862E-2</v>
      </c>
      <c r="E31" s="371">
        <v>20</v>
      </c>
      <c r="F31" s="371" t="n">
        <v>6279.0</v>
      </c>
      <c r="G31" s="9">
        <f t="shared" si="1"/>
        <v>2.6922159842195391E-2</v>
      </c>
    </row>
    <row r="32" spans="1:7" x14ac:dyDescent="0.45">
      <c r="A32">
        <v>21</v>
      </c>
      <c r="B32" s="6" t="n">
        <v>3416.4324801732</v>
      </c>
      <c r="C32" s="9">
        <f t="shared" si="0"/>
        <v>1.7192300288948303E-2</v>
      </c>
      <c r="E32" s="371">
        <v>21</v>
      </c>
      <c r="F32" s="371" t="n">
        <v>6058.0</v>
      </c>
      <c r="G32" s="9">
        <f t="shared" si="1"/>
        <v>2.4979949277090151E-2</v>
      </c>
    </row>
    <row r="33" spans="1:7" x14ac:dyDescent="0.45">
      <c r="A33">
        <v>22</v>
      </c>
      <c r="B33" s="6" t="n">
        <v>1142.1005758004</v>
      </c>
      <c r="C33" s="9">
        <f t="shared" si="0"/>
        <v>5.7473215622706542E-3</v>
      </c>
      <c r="E33" s="371">
        <v>22</v>
      </c>
      <c r="F33" s="371" t="n">
        <v>5161.0</v>
      </c>
      <c r="G33" s="9">
        <f t="shared" si="1"/>
        <v>2.5400472546766955E-2</v>
      </c>
    </row>
    <row r="34" spans="1:7" x14ac:dyDescent="0.45">
      <c r="A34">
        <v>23</v>
      </c>
      <c r="B34" s="6" t="n">
        <v>1367.242138795</v>
      </c>
      <c r="C34" s="9">
        <f t="shared" si="0"/>
        <v>6.8802874209520195E-3</v>
      </c>
      <c r="E34" s="371">
        <v>23</v>
      </c>
      <c r="F34" s="371" t="n">
        <v>4977.0</v>
      </c>
      <c r="G34" s="9">
        <f t="shared" si="1"/>
        <v>2.1186569267118982E-2</v>
      </c>
    </row>
    <row r="35" spans="1:7" x14ac:dyDescent="0.45">
      <c r="A35">
        <v>24</v>
      </c>
      <c r="B35" s="6" t="n">
        <v>1050.2164423473</v>
      </c>
      <c r="C35" s="9">
        <f t="shared" si="0"/>
        <v>5.2849387628788715E-3</v>
      </c>
      <c r="E35" s="371">
        <v>24</v>
      </c>
      <c r="F35" s="371" t="n">
        <v>3967.0</v>
      </c>
      <c r="G35" s="9">
        <f t="shared" si="1"/>
        <v>1.6439425140355061E-2</v>
      </c>
    </row>
    <row r="36" spans="1:7" x14ac:dyDescent="0.45">
      <c r="A36">
        <v>25</v>
      </c>
      <c r="B36" s="6" t="n">
        <v>1969.1016206259999</v>
      </c>
      <c r="C36" s="9">
        <f t="shared" si="0"/>
        <v>9.9089873889563057E-3</v>
      </c>
      <c r="E36" s="371">
        <v>25</v>
      </c>
      <c r="F36" s="371" t="n">
        <v>4333.0</v>
      </c>
      <c r="G36" s="9">
        <f t="shared" si="1"/>
        <v>1.8533370905859145E-2</v>
      </c>
    </row>
    <row r="37" spans="1:7" x14ac:dyDescent="0.45">
      <c r="A37">
        <v>26</v>
      </c>
      <c r="B37" s="6" t="n">
        <v>3530.24631584</v>
      </c>
      <c r="C37" s="9">
        <f t="shared" si="0"/>
        <v>1.7765038562330322E-2</v>
      </c>
      <c r="E37" s="371">
        <v>26</v>
      </c>
      <c r="F37" s="371" t="n">
        <v>3533.0</v>
      </c>
      <c r="G37" s="9">
        <f t="shared" si="1"/>
        <v>1.5394619903323001E-2</v>
      </c>
    </row>
    <row r="38" spans="1:7" x14ac:dyDescent="0.45">
      <c r="A38">
        <v>27</v>
      </c>
      <c r="B38" s="6" t="n">
        <v>1078.0509626835</v>
      </c>
      <c r="C38" s="9">
        <f t="shared" si="0"/>
        <v>5.425008685172354E-3</v>
      </c>
      <c r="E38" s="371">
        <v>27</v>
      </c>
      <c r="F38" s="371" t="n">
        <v>3136.0</v>
      </c>
      <c r="G38" s="9">
        <f t="shared" si="1"/>
        <v>1.3825244402054928E-2</v>
      </c>
    </row>
    <row r="39" spans="1:7" x14ac:dyDescent="0.45">
      <c r="A39">
        <v>28</v>
      </c>
      <c r="B39" s="6" t="n">
        <v>1260.441340047</v>
      </c>
      <c r="C39" s="9">
        <f t="shared" si="0"/>
        <v>6.3428404162677457E-3</v>
      </c>
      <c r="E39" s="371">
        <v>28</v>
      </c>
      <c r="F39" s="371" t="n">
        <v>3203.0</v>
      </c>
      <c r="G39" s="9">
        <f t="shared" si="1"/>
        <v>1.3265991806299178E-2</v>
      </c>
    </row>
    <row r="40" spans="1:7" x14ac:dyDescent="0.45">
      <c r="A40">
        <v>29</v>
      </c>
      <c r="B40" s="6" t="n">
        <v>4465.172615655</v>
      </c>
      <c r="C40" s="9">
        <f t="shared" si="0"/>
        <v>2.2469809924777949E-2</v>
      </c>
      <c r="E40" s="371">
        <v>29</v>
      </c>
      <c r="F40" s="371" t="n">
        <v>2597.0</v>
      </c>
      <c r="G40" s="9">
        <f t="shared" si="1"/>
        <v>1.1449504692952984E-2</v>
      </c>
    </row>
    <row r="41" spans="1:7" x14ac:dyDescent="0.45">
      <c r="A41">
        <v>30</v>
      </c>
      <c r="B41" s="6" t="n">
        <v>1962.4915236000002</v>
      </c>
      <c r="C41" s="9">
        <f t="shared" si="0"/>
        <v>9.8757238095735483E-3</v>
      </c>
      <c r="E41" s="371">
        <v>30</v>
      </c>
      <c r="F41" s="371" t="n">
        <v>2247.0</v>
      </c>
      <c r="G41" s="9">
        <f t="shared" si="1"/>
        <v>9.4205882990484029E-3</v>
      </c>
    </row>
    <row r="42" spans="1:7" x14ac:dyDescent="0.45">
      <c r="A42">
        <v>31</v>
      </c>
      <c r="B42" s="6" t="n">
        <v>1724.198910251</v>
      </c>
      <c r="C42" s="9">
        <f t="shared" si="0"/>
        <v>8.6765787396476911E-3</v>
      </c>
      <c r="E42" s="371">
        <v>31</v>
      </c>
      <c r="F42" s="371" t="n">
        <v>2024.0</v>
      </c>
      <c r="G42" s="9">
        <f t="shared" si="1"/>
        <v>9.021741486571434E-3</v>
      </c>
    </row>
    <row r="43" spans="1:7" x14ac:dyDescent="0.45">
      <c r="A43">
        <v>32</v>
      </c>
      <c r="B43" s="6" t="n">
        <v>6283.679861881</v>
      </c>
      <c r="C43" s="9">
        <f t="shared" si="0"/>
        <v>3.1620970627114109E-2</v>
      </c>
      <c r="E43" s="371">
        <v>32</v>
      </c>
      <c r="F43" s="371" t="n">
        <v>1947.0</v>
      </c>
      <c r="G43" s="9">
        <f t="shared" si="1"/>
        <v>7.7254893460212866E-3</v>
      </c>
    </row>
    <row r="44" spans="1:7" x14ac:dyDescent="0.45">
      <c r="A44">
        <v>33</v>
      </c>
      <c r="B44" s="6" t="n">
        <v>888.0753137720001</v>
      </c>
      <c r="C44" s="9">
        <f t="shared" si="0"/>
        <v>4.4690060647111576E-3</v>
      </c>
      <c r="E44" s="371">
        <v>33</v>
      </c>
      <c r="F44" s="371" t="n">
        <v>1666.0</v>
      </c>
      <c r="G44" s="9">
        <f t="shared" si="1"/>
        <v>7.1749073331454707E-3</v>
      </c>
    </row>
    <row r="45" spans="1:7" x14ac:dyDescent="0.45">
      <c r="A45">
        <v>34</v>
      </c>
      <c r="B45" s="6" t="n">
        <v>827.9237001710001</v>
      </c>
      <c r="C45" s="9">
        <f t="shared" si="0"/>
        <v>4.166308847688812E-3</v>
      </c>
      <c r="E45" s="371">
        <v>34</v>
      </c>
      <c r="F45" s="371" t="n">
        <v>1427.0</v>
      </c>
      <c r="G45" s="9">
        <f t="shared" si="1"/>
        <v>6.160449136193181E-3</v>
      </c>
    </row>
    <row r="46" spans="1:7" x14ac:dyDescent="0.45">
      <c r="A46">
        <v>35</v>
      </c>
      <c r="B46" s="6" t="n">
        <v>579.566932155</v>
      </c>
      <c r="C46" s="9">
        <f t="shared" si="0"/>
        <v>2.9165185593388772E-3</v>
      </c>
      <c r="E46" s="371">
        <v>35</v>
      </c>
      <c r="F46" s="371" t="n">
        <v>1334.0</v>
      </c>
      <c r="G46" s="9">
        <f t="shared" si="1"/>
        <v>4.9595734073223071E-3</v>
      </c>
    </row>
    <row r="47" spans="1:7" x14ac:dyDescent="0.45">
      <c r="A47">
        <v>36</v>
      </c>
      <c r="B47" s="6" t="n">
        <v>1837.943988124</v>
      </c>
      <c r="C47" s="9">
        <f t="shared" si="0"/>
        <v>9.2489710074683297E-3</v>
      </c>
      <c r="E47" s="371">
        <v>36</v>
      </c>
      <c r="F47" s="371" t="n">
        <v>1043.0</v>
      </c>
      <c r="G47" s="9">
        <f t="shared" si="1"/>
        <v>5.0722909847614505E-3</v>
      </c>
    </row>
    <row r="48" spans="1:7" x14ac:dyDescent="0.45">
      <c r="A48">
        <v>37</v>
      </c>
      <c r="B48" s="6" t="n">
        <v>2634.421708174</v>
      </c>
      <c r="C48" s="9">
        <f t="shared" si="0"/>
        <v>1.3257036208821965E-2</v>
      </c>
      <c r="E48" s="371">
        <v>37</v>
      </c>
      <c r="F48" s="371" t="n">
        <v>874.0</v>
      </c>
      <c r="G48" s="9">
        <f t="shared" si="1"/>
        <v>4.2008974053280735E-3</v>
      </c>
    </row>
    <row r="49" spans="1:7" x14ac:dyDescent="0.45">
      <c r="A49">
        <v>38</v>
      </c>
      <c r="B49" s="6" t="n">
        <v>541.706288837</v>
      </c>
      <c r="C49" s="9">
        <f t="shared" si="0"/>
        <v>2.7259948031009605E-3</v>
      </c>
      <c r="E49" s="371">
        <v>38</v>
      </c>
      <c r="F49" s="371" t="n">
        <v>994.0</v>
      </c>
      <c r="G49" s="9">
        <f t="shared" si="1"/>
        <v>4.404656103006525E-3</v>
      </c>
    </row>
    <row r="50" spans="1:7" x14ac:dyDescent="0.45">
      <c r="A50">
        <v>39</v>
      </c>
      <c r="B50" s="6" t="n">
        <v>1265.3659462537</v>
      </c>
      <c r="C50" s="9">
        <f t="shared" si="0"/>
        <v>6.3676222052250131E-3</v>
      </c>
      <c r="E50" s="371">
        <v>39</v>
      </c>
      <c r="F50" s="371" t="n">
        <v>888.0</v>
      </c>
      <c r="G50" s="9">
        <f t="shared" si="1"/>
        <v>3.437886111893872E-3</v>
      </c>
    </row>
    <row r="51" spans="1:7" x14ac:dyDescent="0.45">
      <c r="A51">
        <v>40</v>
      </c>
      <c r="B51" s="6" t="n">
        <v>121.887169181</v>
      </c>
      <c r="C51" s="9">
        <f t="shared" si="0"/>
        <v>6.1336520656874284E-4</v>
      </c>
      <c r="E51" s="371">
        <v>40</v>
      </c>
      <c r="F51" s="371" t="n">
        <v>688.0</v>
      </c>
      <c r="G51" s="9">
        <f t="shared" si="1"/>
        <v>2.9913510935772659E-3</v>
      </c>
    </row>
    <row r="52" spans="1:7" x14ac:dyDescent="0.45">
      <c r="A52">
        <v>41</v>
      </c>
      <c r="B52" s="6" t="n">
        <v>281.047236581</v>
      </c>
      <c r="C52" s="9">
        <f t="shared" si="0"/>
        <v>1.4142964963366385E-3</v>
      </c>
      <c r="E52" s="371">
        <v>41</v>
      </c>
      <c r="F52" s="371" t="n">
        <v>634.0</v>
      </c>
      <c r="G52" s="9">
        <f t="shared" si="1"/>
        <v>2.8526217674983202E-3</v>
      </c>
    </row>
    <row r="53" spans="1:7" x14ac:dyDescent="0.45">
      <c r="A53">
        <v>42</v>
      </c>
      <c r="B53" s="6" t="n">
        <v>335.783407707</v>
      </c>
      <c r="C53" s="9">
        <f t="shared" si="0"/>
        <v>1.6897419196332073E-3</v>
      </c>
      <c r="E53" s="371">
        <v>42</v>
      </c>
      <c r="F53" s="371" t="n">
        <v>615.0</v>
      </c>
      <c r="G53" s="9">
        <f t="shared" si="1"/>
        <v>2.8179394359785837E-3</v>
      </c>
    </row>
    <row r="54" spans="1:7" x14ac:dyDescent="0.45">
      <c r="A54">
        <v>43</v>
      </c>
      <c r="B54" s="6" t="n">
        <v>315.18769892</v>
      </c>
      <c r="C54" s="9">
        <f t="shared" si="0"/>
        <v>1.5860994176418071E-3</v>
      </c>
      <c r="E54" s="371">
        <v>43</v>
      </c>
      <c r="F54" s="371" t="n">
        <v>612.0</v>
      </c>
      <c r="G54" s="9">
        <f t="shared" si="1"/>
        <v>2.4581102464613183E-3</v>
      </c>
    </row>
    <row r="55" spans="1:7" x14ac:dyDescent="0.45">
      <c r="A55">
        <v>44</v>
      </c>
      <c r="B55" s="6" t="n">
        <v>571.937256006</v>
      </c>
      <c r="C55" s="9">
        <f t="shared" si="0"/>
        <v>2.8781242154663519E-3</v>
      </c>
      <c r="E55" s="371">
        <v>44</v>
      </c>
      <c r="F55" s="371" t="n">
        <v>545.0</v>
      </c>
      <c r="G55" s="9">
        <f t="shared" si="1"/>
        <v>2.4494396635813842E-3</v>
      </c>
    </row>
    <row r="56" spans="1:7" x14ac:dyDescent="0.45">
      <c r="A56">
        <v>45</v>
      </c>
      <c r="B56" s="6" t="n">
        <v>588.153133837</v>
      </c>
      <c r="C56" s="9">
        <f t="shared" si="0"/>
        <v>2.9597263670491395E-3</v>
      </c>
      <c r="E56" s="371">
        <v>45</v>
      </c>
      <c r="F56" s="371" t="n">
        <v>566.0</v>
      </c>
      <c r="G56" s="9">
        <f t="shared" si="1"/>
        <v>2.4320984978215159E-3</v>
      </c>
    </row>
    <row r="57" spans="1:7" x14ac:dyDescent="0.45">
      <c r="A57">
        <v>46</v>
      </c>
      <c r="B57" s="6" t="n">
        <v>1473.974146907</v>
      </c>
      <c r="C57" s="9">
        <f t="shared" si="0"/>
        <v>7.4173882548051566E-3</v>
      </c>
      <c r="E57" s="371">
        <v>46</v>
      </c>
      <c r="F57" s="371" t="n">
        <v>432.0</v>
      </c>
      <c r="G57" s="9">
        <f t="shared" si="1"/>
        <v>1.7731341989465242E-3</v>
      </c>
    </row>
    <row r="58" spans="1:7" x14ac:dyDescent="0.45">
      <c r="A58">
        <v>47</v>
      </c>
      <c r="B58" s="6" t="n">
        <v>363.531135753</v>
      </c>
      <c r="C58" s="9">
        <f t="shared" si="0"/>
        <v>1.829375082492823E-3</v>
      </c>
      <c r="E58" s="371">
        <v>47</v>
      </c>
      <c r="F58" s="371" t="n">
        <v>394.0</v>
      </c>
      <c r="G58" s="9">
        <f t="shared" si="1"/>
        <v>1.7427871588667548E-3</v>
      </c>
    </row>
    <row r="59" spans="1:7" x14ac:dyDescent="0.45">
      <c r="A59">
        <v>48</v>
      </c>
      <c r="B59" s="6" t="n">
        <v>6443.8113651290005</v>
      </c>
      <c r="C59" s="9">
        <f t="shared" si="0"/>
        <v>3.2426790412968844E-2</v>
      </c>
      <c r="E59" s="371">
        <v>48</v>
      </c>
      <c r="F59" s="371" t="n">
        <v>365.0</v>
      </c>
      <c r="G59" s="9">
        <f t="shared" si="1"/>
        <v>1.5520343355082044E-3</v>
      </c>
    </row>
    <row r="60" spans="1:7" x14ac:dyDescent="0.45">
      <c r="A60">
        <v>49</v>
      </c>
      <c r="B60" s="6" t="n">
        <v>1284.35033123</v>
      </c>
      <c r="C60" s="9">
        <f t="shared" si="0"/>
        <v>6.4631561428068847E-3</v>
      </c>
      <c r="E60" s="371">
        <v>49</v>
      </c>
      <c r="F60" s="371" t="n">
        <v>397.0</v>
      </c>
      <c r="G60" s="9">
        <f t="shared" si="1"/>
        <v>1.6604166215073808E-3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321.0</v>
      </c>
      <c r="G61" s="9">
        <f t="shared" si="1"/>
        <v>1.4696637981488306E-3</v>
      </c>
    </row>
    <row r="62" spans="1:7" x14ac:dyDescent="0.45">
      <c r="A62">
        <v>51</v>
      </c>
      <c r="B62" s="6" t="n">
        <v>938.7504983305</v>
      </c>
      <c r="C62" s="9">
        <f t="shared" si="0"/>
        <v>4.724015638347877E-3</v>
      </c>
      <c r="E62" s="371">
        <v>51</v>
      </c>
      <c r="F62" s="371" t="n">
        <v>341.0</v>
      </c>
      <c r="G62" s="9">
        <f t="shared" si="1"/>
        <v>1.2789109747902803E-3</v>
      </c>
    </row>
    <row r="63" spans="1:7" x14ac:dyDescent="0.45">
      <c r="A63">
        <v>52</v>
      </c>
      <c r="B63" s="6" t="n">
        <v>214.090971612</v>
      </c>
      <c r="C63" s="9">
        <f t="shared" si="0"/>
        <v>1.0773566562391459E-3</v>
      </c>
      <c r="E63" s="371">
        <v>52</v>
      </c>
      <c r="F63" s="371" t="n">
        <v>264.0</v>
      </c>
      <c r="G63" s="9">
        <f t="shared" si="1"/>
        <v>1.1488522315912686E-3</v>
      </c>
    </row>
    <row r="64" spans="1:7" x14ac:dyDescent="0.45">
      <c r="A64">
        <v>53</v>
      </c>
      <c r="B64" s="6" t="n">
        <v>566.550207579</v>
      </c>
      <c r="C64" s="9">
        <f t="shared" si="0"/>
        <v>2.8510153073390662E-3</v>
      </c>
      <c r="E64" s="371">
        <v>53</v>
      </c>
      <c r="F64" s="371" t="n">
        <v>211.0</v>
      </c>
      <c r="G64" s="9">
        <f t="shared" si="1"/>
        <v>9.9278173975245491E-4</v>
      </c>
    </row>
    <row r="65" spans="1:7" x14ac:dyDescent="0.45">
      <c r="A65">
        <v>54</v>
      </c>
      <c r="B65" s="6" t="n">
        <v>481.619714611</v>
      </c>
      <c r="C65" s="9">
        <f t="shared" si="0"/>
        <v>2.4236248796727644E-3</v>
      </c>
      <c r="E65" s="371">
        <v>54</v>
      </c>
      <c r="F65" s="371" t="n">
        <v>283.0</v>
      </c>
      <c r="G65" s="9">
        <f t="shared" si="1"/>
        <v>1.1705286887911039E-3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227.0</v>
      </c>
      <c r="G66" s="9">
        <f t="shared" si="1"/>
        <v>1.0708169856718619E-3</v>
      </c>
    </row>
    <row r="67" spans="1:7" x14ac:dyDescent="0.45">
      <c r="A67">
        <v>56</v>
      </c>
      <c r="B67" s="6" t="n">
        <v>248.443558839</v>
      </c>
      <c r="C67" s="9">
        <f t="shared" si="0"/>
        <v>1.2502270404005013E-3</v>
      </c>
      <c r="E67" s="371">
        <v>56</v>
      </c>
      <c r="F67" s="371" t="n">
        <v>198.0</v>
      </c>
      <c r="G67" s="9">
        <f t="shared" si="1"/>
        <v>9.1041120239308089E-4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240.0</v>
      </c>
      <c r="G68" s="9">
        <f t="shared" si="1"/>
        <v>1.0534758199119937E-3</v>
      </c>
    </row>
    <row r="69" spans="1:7" x14ac:dyDescent="0.45">
      <c r="A69">
        <v>58</v>
      </c>
      <c r="B69" s="6" t="n">
        <v>855.3551815000001</v>
      </c>
      <c r="C69" s="9">
        <f t="shared" si="0"/>
        <v>4.3043505819000899E-3</v>
      </c>
      <c r="E69" s="371">
        <v>58</v>
      </c>
      <c r="F69" s="371" t="n">
        <v>224.0</v>
      </c>
      <c r="G69" s="9">
        <f t="shared" si="1"/>
        <v>9.3642295103288321E-4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170.0</v>
      </c>
      <c r="G70" s="9">
        <f t="shared" si="1"/>
        <v>6.2861725879522249E-4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326.0</v>
      </c>
      <c r="G71" s="9">
        <f t="shared" si="1"/>
        <v>1.335269763509852E-3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321.0</v>
      </c>
      <c r="G72" s="9">
        <f t="shared" si="1"/>
        <v>1.2702403919103461E-3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313.0</v>
      </c>
      <c r="G73" s="9">
        <f t="shared" si="1"/>
        <v>1.2182168946307415E-3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270.0</v>
      </c>
      <c r="G74" s="9">
        <f t="shared" si="1"/>
        <v>1.2225521860707086E-3</v>
      </c>
    </row>
    <row r="75" spans="1:7" x14ac:dyDescent="0.45">
      <c r="A75">
        <v>64</v>
      </c>
      <c r="B75" s="6" t="n">
        <v>291.448588849</v>
      </c>
      <c r="C75" s="9">
        <f t="shared" si="0"/>
        <v>1.4666385732371378E-3</v>
      </c>
      <c r="E75" s="371">
        <v>64</v>
      </c>
      <c r="F75" s="371" t="n">
        <v>268.0</v>
      </c>
      <c r="G75" s="9">
        <f t="shared" si="1"/>
        <v>1.2442286432705438E-3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297.0</v>
      </c>
      <c r="G76" s="9">
        <f t="shared" si="1"/>
        <v>1.1618581059111698E-3</v>
      </c>
    </row>
    <row r="77" spans="1:7" x14ac:dyDescent="0.45">
      <c r="A77">
        <v>66</v>
      </c>
      <c r="B77" s="6" t="n">
        <v>1008.17381248</v>
      </c>
      <c r="C77" s="9">
        <f t="shared" ref="C77:C102" si="2">B77/B$102</f>
        <v>5.0733702563123132E-3</v>
      </c>
      <c r="E77" s="371">
        <v>66</v>
      </c>
      <c r="F77" s="371" t="n">
        <v>318.0</v>
      </c>
      <c r="G77" s="9">
        <f t="shared" ref="G77:G102" si="3">F77/F$102</f>
        <v>1.3135933063100167E-3</v>
      </c>
    </row>
    <row r="78" spans="1:7" x14ac:dyDescent="0.45">
      <c r="A78">
        <v>67</v>
      </c>
      <c r="B78" s="6" t="n">
        <v>69.966370625</v>
      </c>
      <c r="C78" s="9">
        <f t="shared" si="2"/>
        <v>3.5208740722774947E-4</v>
      </c>
      <c r="E78" s="371">
        <v>67</v>
      </c>
      <c r="F78" s="371" t="n">
        <v>336.0</v>
      </c>
      <c r="G78" s="9">
        <f t="shared" si="3"/>
        <v>1.339605054949819E-3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276.0</v>
      </c>
      <c r="G79" s="9">
        <f t="shared" si="3"/>
        <v>1.3959638436693907E-3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276.0</v>
      </c>
      <c r="G80" s="9">
        <f t="shared" si="3"/>
        <v>1.1618581059111698E-3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395.0</v>
      </c>
      <c r="G81" s="9">
        <f t="shared" si="3"/>
        <v>1.7341165759868207E-3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210.0</v>
      </c>
      <c r="G82" s="9">
        <f t="shared" si="3"/>
        <v>9.9711703119242196E-4</v>
      </c>
    </row>
    <row r="83" spans="1:7" x14ac:dyDescent="0.45">
      <c r="A83">
        <v>72</v>
      </c>
      <c r="B83" s="6" t="n">
        <v>667.99538554</v>
      </c>
      <c r="C83" s="9">
        <f t="shared" si="2"/>
        <v>3.361511555250541E-3</v>
      </c>
      <c r="E83" s="371">
        <v>72</v>
      </c>
      <c r="F83" s="371" t="n">
        <v>411.0</v>
      </c>
      <c r="G83" s="9">
        <f t="shared" si="3"/>
        <v>1.7731341989465242E-3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258.0</v>
      </c>
      <c r="G84" s="9">
        <f t="shared" si="3"/>
        <v>1.1271757743914334E-3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234.0</v>
      </c>
      <c r="G85" s="9">
        <f t="shared" si="3"/>
        <v>9.4942882535278437E-4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229.0</v>
      </c>
      <c r="G86" s="9">
        <f t="shared" si="3"/>
        <v>8.7572887087334446E-4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234.0</v>
      </c>
      <c r="G87" s="9">
        <f t="shared" si="3"/>
        <v>9.9711703119242196E-4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238.0</v>
      </c>
      <c r="G88" s="9">
        <f t="shared" si="3"/>
        <v>1.0924934428716972E-3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195.0</v>
      </c>
      <c r="G89" s="9">
        <f t="shared" si="3"/>
        <v>8.7572887087334446E-4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181.0</v>
      </c>
      <c r="G90" s="9">
        <f t="shared" si="3"/>
        <v>8.7572887087334446E-4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158.0</v>
      </c>
      <c r="G91" s="9">
        <f t="shared" si="3"/>
        <v>7.3266425335443178E-4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202.0</v>
      </c>
      <c r="G92" s="9">
        <f t="shared" si="3"/>
        <v>8.713935794333774E-4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199.0</v>
      </c>
      <c r="G93" s="9">
        <f t="shared" si="3"/>
        <v>8.713935794333774E-4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204.0</v>
      </c>
      <c r="G94" s="9">
        <f t="shared" si="3"/>
        <v>8.4104653935360802E-4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303.0</v>
      </c>
      <c r="G95" s="9">
        <f t="shared" si="3"/>
        <v>1.2919168491101814E-3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201.0</v>
      </c>
      <c r="G96" s="9">
        <f t="shared" si="3"/>
        <v>8.5838770511347624E-4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169.0</v>
      </c>
      <c r="G97" s="9">
        <f t="shared" si="3"/>
        <v>7.2832896191446473E-4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184.0</v>
      </c>
      <c r="G98" s="9">
        <f t="shared" si="3"/>
        <v>7.500054191143E-4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185.0</v>
      </c>
      <c r="G99" s="9">
        <f t="shared" si="3"/>
        <v>6.936466303947283E-4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176.0</v>
      </c>
      <c r="G100" s="9">
        <f t="shared" si="3"/>
        <v>8.2370537359373981E-4</v>
      </c>
    </row>
    <row r="101" spans="1:7" ht="14.65" thickBot="1" x14ac:dyDescent="0.5">
      <c r="A101" s="1">
        <v>90</v>
      </c>
      <c r="B101" s="7" t="n">
        <v>3033.7922906050003</v>
      </c>
      <c r="C101" s="9">
        <f t="shared" si="2"/>
        <v>1.5266763905643844E-2</v>
      </c>
      <c r="E101" s="372">
        <v>90</v>
      </c>
      <c r="F101" s="372" t="n">
        <v>9051.0</v>
      </c>
      <c r="G101" s="9">
        <f t="shared" si="3"/>
        <v>3.9351440400580931E-2</v>
      </c>
    </row>
    <row r="102" spans="1:7" x14ac:dyDescent="0.45">
      <c r="B102" s="6">
        <f>SUM(B11:B101)</f>
        <v>198718.75332292673</v>
      </c>
      <c r="C102" s="9">
        <f t="shared" si="2"/>
        <v>1</v>
      </c>
      <c r="F102" s="6">
        <f>SUM(F11:F101)</f>
        <v>230665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2022-01-21T23:38:22Z</dcterms:modified>
</cp:coreProperties>
</file>