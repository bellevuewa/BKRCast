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inbkr\output\"/>
    </mc:Choice>
  </mc:AlternateContent>
  <bookViews>
    <workbookView windowHeight="15690" windowWidth="28950" xWindow="0" yWindow="0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0">#REF!</definedName>
    <definedName name="out9">#REF!</definedName>
    <definedName name="TDFD">TDFD_Home!$E$11:$F$102</definedName>
    <definedName name="TLFD">TLFD_Home!$E$11:$F$102</definedName>
    <definedName name="out1">TLFD_SocRec!$B$11:$B$101</definedName>
    <definedName name="out3">TDFD_SocRec!$B$11:$B$101</definedName>
    <definedName name="out5">TLFD_SocRec!$K$11:$K$11</definedName>
    <definedName name="out7">TDFD_SocRec!$K$11:$K$11</definedName>
    <definedName name="out2">TLFD_SocRec!$F$11:$F$101</definedName>
    <definedName name="out4">TDFD_SocRec!$F$11:$F$101</definedName>
    <definedName name="out6">TLFD_SocRec!$L$11:$L$11</definedName>
    <definedName name="out8">TDFD_SocRec!$L$11:$L$11</definedName>
  </definedNames>
  <calcPr calcId="171027"/>
</workbook>
</file>

<file path=xl/calcChain.xml><?xml version="1.0" encoding="utf-8"?>
<calcChain xmlns="http://schemas.openxmlformats.org/spreadsheetml/2006/main">
  <c i="3" l="1" r="Z16"/>
  <c i="3" r="V16"/>
  <c i="3" r="Z17"/>
  <c i="3" r="V17"/>
  <c i="3" r="Z15"/>
  <c i="3" r="V15"/>
  <c i="3" r="Z14"/>
  <c i="3" r="V14"/>
  <c i="3" r="Z13"/>
  <c i="3" r="V13"/>
  <c i="3" r="Z12"/>
  <c i="3" r="V12"/>
  <c i="3" r="Z11"/>
  <c i="3" r="V11"/>
  <c i="3" r="Z10"/>
  <c i="3" r="V10"/>
  <c i="22" l="1" r="F102"/>
  <c i="22" r="G102" s="1"/>
  <c i="22" r="B102"/>
  <c i="22" r="C65" s="1"/>
  <c i="21" r="F102"/>
  <c i="21" r="B102"/>
  <c i="20" r="F102"/>
  <c i="20" r="G102" s="1"/>
  <c i="20" r="B102"/>
  <c i="20" r="C101" s="1"/>
  <c i="19" r="F102"/>
  <c i="19" r="B102"/>
  <c i="18" r="F102"/>
  <c i="18" r="G48" s="1"/>
  <c i="18" r="B102"/>
  <c i="18" r="C93" s="1"/>
  <c i="17" r="F102"/>
  <c i="17" r="B102"/>
  <c i="16" r="F102"/>
  <c i="16" r="G89" s="1"/>
  <c i="16" r="B102"/>
  <c i="16" r="C37" s="1"/>
  <c i="15" r="F102"/>
  <c i="15" r="B102"/>
  <c i="14" r="F102"/>
  <c i="14" r="G65" s="1"/>
  <c i="14" r="B102"/>
  <c i="14" r="C34" s="1"/>
  <c i="13" r="F102"/>
  <c i="13" r="B102"/>
  <c i="12" r="F102"/>
  <c i="12" r="G102" s="1"/>
  <c i="12" r="B102"/>
  <c i="12" r="C34" s="1"/>
  <c i="11" r="F102"/>
  <c i="11" r="B102"/>
  <c i="9" r="F102"/>
  <c i="9" r="G78" s="1"/>
  <c i="9" r="B102"/>
  <c i="9" r="C61" s="1"/>
  <c i="8" r="F102"/>
  <c i="8" r="B102"/>
  <c i="22" l="1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3" r="W11" s="1"/>
  <c i="22" r="C40"/>
  <c i="19" r="C100"/>
  <c i="3" r="U16"/>
  <c i="3" r="W16" s="1"/>
  <c i="8" r="G51"/>
  <c i="3" r="Y11"/>
  <c i="3" r="AA11" s="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B102"/>
  <c i="3" l="1" r="C13"/>
  <c i="3" r="U10"/>
  <c i="3" r="W10" s="1"/>
  <c i="3" r="G102"/>
  <c i="3" r="Y10"/>
  <c i="3" r="AA10" s="1"/>
  <c i="3" r="AA17"/>
  <c i="3" r="W17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3" l="1" r="AA18"/>
  <c i="3" r="AA19" s="1"/>
  <c i="3" r="Y18"/>
  <c i="3" r="Y19" s="1"/>
  <c i="3" r="U18"/>
  <c i="3" r="U19" s="1"/>
  <c i="3" r="W18"/>
  <c i="3" r="W19" s="1"/>
  <c i="3" l="1" r="Z19"/>
  <c i="3" r="Z18"/>
  <c i="3" r="V19"/>
  <c i="3" r="V18"/>
</calcChain>
</file>

<file path=xl/sharedStrings.xml><?xml version="1.0" encoding="utf-8"?>
<sst xmlns="http://schemas.openxmlformats.org/spreadsheetml/2006/main" count="303" uniqueCount="49">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</sst>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</cellStyleXfs>
  <cellXfs count="380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43" xfId="0"/>
    <xf applyBorder="1" applyFont="1" applyNumberFormat="1" borderId="3" fillId="0" fontId="1" numFmtId="165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0.17718106540722242</c:v>
                </c:pt>
                <c:pt idx="1">
                  <c:v>0.17111379858542641</c:v>
                </c:pt>
                <c:pt idx="2">
                  <c:v>0.12598664406880378</c:v>
                </c:pt>
                <c:pt idx="3">
                  <c:v>0.110466886627455</c:v>
                </c:pt>
                <c:pt idx="4">
                  <c:v>8.0759944459159447E-2</c:v>
                </c:pt>
                <c:pt idx="5">
                  <c:v>6.1071990165775046E-2</c:v>
                </c:pt>
                <c:pt idx="6">
                  <c:v>2.5798069565205761E-2</c:v>
                </c:pt>
                <c:pt idx="7">
                  <c:v>3.0877772140653004E-2</c:v>
                </c:pt>
                <c:pt idx="8">
                  <c:v>2.6307891847702901E-2</c:v>
                </c:pt>
                <c:pt idx="9">
                  <c:v>2.6754254520467542E-2</c:v>
                </c:pt>
                <c:pt idx="10">
                  <c:v>1.4834754450003238E-2</c:v>
                </c:pt>
                <c:pt idx="11">
                  <c:v>1.9139302802573366E-2</c:v>
                </c:pt>
                <c:pt idx="12">
                  <c:v>8.7098473581214298E-3</c:v>
                </c:pt>
                <c:pt idx="13">
                  <c:v>5.8072232297503154E-3</c:v>
                </c:pt>
                <c:pt idx="14">
                  <c:v>1.0713864619711595E-2</c:v>
                </c:pt>
                <c:pt idx="15">
                  <c:v>1.8533444649636223E-2</c:v>
                </c:pt>
                <c:pt idx="16">
                  <c:v>1.2412414940727779E-2</c:v>
                </c:pt>
                <c:pt idx="17">
                  <c:v>1.141914372799439E-2</c:v>
                </c:pt>
                <c:pt idx="18">
                  <c:v>1.7432515445267287E-2</c:v>
                </c:pt>
                <c:pt idx="19">
                  <c:v>8.1576438866169405E-3</c:v>
                </c:pt>
                <c:pt idx="20">
                  <c:v>7.758077838972019E-3</c:v>
                </c:pt>
                <c:pt idx="21">
                  <c:v>2.7595433254411061E-3</c:v>
                </c:pt>
                <c:pt idx="22">
                  <c:v>8.7245264289693408E-3</c:v>
                </c:pt>
                <c:pt idx="23">
                  <c:v>3.4946089756137575E-3</c:v>
                </c:pt>
                <c:pt idx="24">
                  <c:v>8.0516299296897918E-4</c:v>
                </c:pt>
                <c:pt idx="25">
                  <c:v>1.1820604245830406E-3</c:v>
                </c:pt>
                <c:pt idx="26">
                  <c:v>4.6390236119323502E-4</c:v>
                </c:pt>
                <c:pt idx="27">
                  <c:v>1.1606196104786636E-3</c:v>
                </c:pt>
                <c:pt idx="28">
                  <c:v>0</c:v>
                </c:pt>
                <c:pt idx="29">
                  <c:v>3.2619835983314048E-3</c:v>
                </c:pt>
                <c:pt idx="30">
                  <c:v>1.1097322806232499E-3</c:v>
                </c:pt>
                <c:pt idx="31">
                  <c:v>4.8788040201711274E-4</c:v>
                </c:pt>
                <c:pt idx="32">
                  <c:v>9.1939570000323966E-4</c:v>
                </c:pt>
                <c:pt idx="33">
                  <c:v>8.9244285885927614E-4</c:v>
                </c:pt>
                <c:pt idx="34">
                  <c:v>3.5799501486274304E-4</c:v>
                </c:pt>
                <c:pt idx="35">
                  <c:v>8.9244285885927614E-4</c:v>
                </c:pt>
                <c:pt idx="36">
                  <c:v>0</c:v>
                </c:pt>
                <c:pt idx="37">
                  <c:v>0</c:v>
                </c:pt>
                <c:pt idx="38">
                  <c:v>6.9418975233161823E-4</c:v>
                </c:pt>
                <c:pt idx="39">
                  <c:v>1.0439758403245534E-3</c:v>
                </c:pt>
                <c:pt idx="40">
                  <c:v>5.1298723729357868E-4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0.10582083665222469</c:v>
                </c:pt>
                <c:pt idx="1">
                  <c:v>0.12680390378361289</c:v>
                </c:pt>
                <c:pt idx="2">
                  <c:v>0.11190764503747086</c:v>
                </c:pt>
                <c:pt idx="3">
                  <c:v>0.10721285258904222</c:v>
                </c:pt>
                <c:pt idx="4">
                  <c:v>8.9966895497511412E-2</c:v>
                </c:pt>
                <c:pt idx="5">
                  <c:v>7.5839545223635729E-2</c:v>
                </c:pt>
                <c:pt idx="6">
                  <c:v>5.8934302065923545E-2</c:v>
                </c:pt>
                <c:pt idx="7">
                  <c:v>4.5258167542240088E-2</c:v>
                </c:pt>
                <c:pt idx="8">
                  <c:v>4.2646027382963997E-2</c:v>
                </c:pt>
                <c:pt idx="9">
                  <c:v>3.0702622729916678E-2</c:v>
                </c:pt>
                <c:pt idx="10">
                  <c:v>2.4801518786076157E-2</c:v>
                </c:pt>
                <c:pt idx="11">
                  <c:v>2.2453355188137018E-2</c:v>
                </c:pt>
                <c:pt idx="12">
                  <c:v>2.2181704889551901E-2</c:v>
                </c:pt>
                <c:pt idx="13">
                  <c:v>1.9999294016173168E-2</c:v>
                </c:pt>
                <c:pt idx="14">
                  <c:v>1.6655079323421935E-2</c:v>
                </c:pt>
                <c:pt idx="15">
                  <c:v>1.5794086004177584E-2</c:v>
                </c:pt>
                <c:pt idx="16">
                  <c:v>1.2630971510483093E-2</c:v>
                </c:pt>
                <c:pt idx="17">
                  <c:v>1.1172961433331338E-2</c:v>
                </c:pt>
                <c:pt idx="18">
                  <c:v>8.9245564196183697E-3</c:v>
                </c:pt>
                <c:pt idx="19">
                  <c:v>7.899345123263242E-3</c:v>
                </c:pt>
                <c:pt idx="20">
                  <c:v>6.4674257527552554E-3</c:v>
                </c:pt>
                <c:pt idx="21">
                  <c:v>5.7169342498845106E-3</c:v>
                </c:pt>
                <c:pt idx="22">
                  <c:v>4.7239526499716841E-3</c:v>
                </c:pt>
                <c:pt idx="23">
                  <c:v>4.3172445758188262E-3</c:v>
                </c:pt>
                <c:pt idx="24">
                  <c:v>3.3411451978519677E-3</c:v>
                </c:pt>
                <c:pt idx="25">
                  <c:v>2.8224005598758697E-3</c:v>
                </c:pt>
                <c:pt idx="26">
                  <c:v>2.4770823837083488E-3</c:v>
                </c:pt>
                <c:pt idx="27">
                  <c:v>1.9506640084840838E-3</c:v>
                </c:pt>
                <c:pt idx="28">
                  <c:v>1.5869288629209619E-3</c:v>
                </c:pt>
                <c:pt idx="29">
                  <c:v>1.4181066434612853E-3</c:v>
                </c:pt>
                <c:pt idx="30">
                  <c:v>1.114226648433867E-3</c:v>
                </c:pt>
                <c:pt idx="31">
                  <c:v>9.5461291367199069E-4</c:v>
                </c:pt>
                <c:pt idx="32">
                  <c:v>7.7044321971597967E-4</c:v>
                </c:pt>
                <c:pt idx="33">
                  <c:v>7.3667877582404427E-4</c:v>
                </c:pt>
                <c:pt idx="34">
                  <c:v>3.6833938791202214E-4</c:v>
                </c:pt>
                <c:pt idx="35">
                  <c:v>4.1131231650175807E-4</c:v>
                </c:pt>
                <c:pt idx="36">
                  <c:v>3.7754787260982267E-4</c:v>
                </c:pt>
                <c:pt idx="37">
                  <c:v>3.1462322717485227E-4</c:v>
                </c:pt>
                <c:pt idx="38">
                  <c:v>2.8392827818218375E-4</c:v>
                </c:pt>
                <c:pt idx="39">
                  <c:v>3.2076221697338597E-4</c:v>
                </c:pt>
                <c:pt idx="40">
                  <c:v>2.2253838019684671E-4</c:v>
                </c:pt>
                <c:pt idx="41">
                  <c:v>1.7803070415747736E-4</c:v>
                </c:pt>
                <c:pt idx="42">
                  <c:v>1.8263494650637766E-4</c:v>
                </c:pt>
                <c:pt idx="43">
                  <c:v>1.3812727046700831E-4</c:v>
                </c:pt>
                <c:pt idx="44">
                  <c:v>2.1946888529757985E-4</c:v>
                </c:pt>
                <c:pt idx="45">
                  <c:v>1.3812727046700831E-4</c:v>
                </c:pt>
                <c:pt idx="46">
                  <c:v>1.5347474496334255E-4</c:v>
                </c:pt>
                <c:pt idx="47">
                  <c:v>1.1664080617214034E-4</c:v>
                </c:pt>
                <c:pt idx="48">
                  <c:v>9.8223836776539238E-5</c:v>
                </c:pt>
                <c:pt idx="49">
                  <c:v>8.9015352078738682E-5</c:v>
                </c:pt>
                <c:pt idx="50">
                  <c:v>9.8223836776539238E-5</c:v>
                </c:pt>
                <c:pt idx="51">
                  <c:v>5.8320403086070168E-5</c:v>
                </c:pt>
                <c:pt idx="52">
                  <c:v>3.3764443891935366E-5</c:v>
                </c:pt>
                <c:pt idx="53">
                  <c:v>3.222969644230194E-5</c:v>
                </c:pt>
                <c:pt idx="54">
                  <c:v>3.5299191341568785E-5</c:v>
                </c:pt>
                <c:pt idx="55">
                  <c:v>2.6090706643768236E-5</c:v>
                </c:pt>
                <c:pt idx="56">
                  <c:v>1.3812727046700831E-5</c:v>
                </c:pt>
                <c:pt idx="57">
                  <c:v>1.8416969395601105E-5</c:v>
                </c:pt>
                <c:pt idx="58">
                  <c:v>2.1486464294867958E-5</c:v>
                </c:pt>
                <c:pt idx="59">
                  <c:v>1.2277979597067405E-5</c:v>
                </c:pt>
                <c:pt idx="60">
                  <c:v>1.3812727046700831E-5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26992"/>
        <c:axId val="124726600"/>
      </c:lineChart>
      <c:catAx>
        <c:axId val="1247269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26600"/>
        <c:crosses val="autoZero"/>
        <c:auto val="1"/>
        <c:lblAlgn val="ctr"/>
        <c:lblOffset val="100"/>
        <c:tickLblSkip val="10"/>
        <c:noMultiLvlLbl val="0"/>
      </c:catAx>
      <c:valAx>
        <c:axId val="1247266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269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9.7667443553309981E-3</c:v>
                </c:pt>
                <c:pt idx="1">
                  <c:v>2.7826725967537751E-2</c:v>
                </c:pt>
                <c:pt idx="2">
                  <c:v>4.0718366462372549E-2</c:v>
                </c:pt>
                <c:pt idx="3">
                  <c:v>6.0300928863323423E-2</c:v>
                </c:pt>
                <c:pt idx="4">
                  <c:v>4.5783821117422359E-2</c:v>
                </c:pt>
                <c:pt idx="5">
                  <c:v>6.2719274397129599E-2</c:v>
                </c:pt>
                <c:pt idx="6">
                  <c:v>6.9505345642036365E-2</c:v>
                </c:pt>
                <c:pt idx="7">
                  <c:v>7.8095737953513322E-2</c:v>
                </c:pt>
                <c:pt idx="8">
                  <c:v>7.1736604897113476E-2</c:v>
                </c:pt>
                <c:pt idx="9">
                  <c:v>4.5554391890384689E-2</c:v>
                </c:pt>
                <c:pt idx="10">
                  <c:v>5.686975770427135E-2</c:v>
                </c:pt>
                <c:pt idx="11">
                  <c:v>4.4713231517041867E-2</c:v>
                </c:pt>
                <c:pt idx="12">
                  <c:v>2.5333464307065602E-2</c:v>
                </c:pt>
                <c:pt idx="13">
                  <c:v>2.3878473092776707E-2</c:v>
                </c:pt>
                <c:pt idx="14">
                  <c:v>2.5995037031112233E-2</c:v>
                </c:pt>
                <c:pt idx="15">
                  <c:v>1.9771054324334614E-2</c:v>
                </c:pt>
                <c:pt idx="16">
                  <c:v>1.5357778902609141E-2</c:v>
                </c:pt>
                <c:pt idx="17">
                  <c:v>2.1950706027244003E-2</c:v>
                </c:pt>
                <c:pt idx="18">
                  <c:v>1.5657558872628655E-2</c:v>
                </c:pt>
                <c:pt idx="19">
                  <c:v>7.9492806514676138E-3</c:v>
                </c:pt>
                <c:pt idx="20">
                  <c:v>1.8727764660805887E-2</c:v>
                </c:pt>
                <c:pt idx="21">
                  <c:v>6.7086382867537027E-3</c:v>
                </c:pt>
                <c:pt idx="22">
                  <c:v>1.8559197946599677E-2</c:v>
                </c:pt>
                <c:pt idx="23">
                  <c:v>1.5948290580664395E-2</c:v>
                </c:pt>
                <c:pt idx="24">
                  <c:v>6.9329628806580673E-3</c:v>
                </c:pt>
                <c:pt idx="25">
                  <c:v>8.8696062882116389E-3</c:v>
                </c:pt>
                <c:pt idx="26">
                  <c:v>5.0504756152140815E-3</c:v>
                </c:pt>
                <c:pt idx="27">
                  <c:v>5.5265303001115519E-3</c:v>
                </c:pt>
                <c:pt idx="28">
                  <c:v>8.9962454935485821E-3</c:v>
                </c:pt>
                <c:pt idx="29">
                  <c:v>4.5888253187580568E-3</c:v>
                </c:pt>
                <c:pt idx="30">
                  <c:v>5.7029120775322585E-3</c:v>
                </c:pt>
                <c:pt idx="31">
                  <c:v>6.891740041636253E-3</c:v>
                </c:pt>
                <c:pt idx="32">
                  <c:v>8.9795851567391755E-3</c:v>
                </c:pt>
                <c:pt idx="33">
                  <c:v>5.9159754500131174E-3</c:v>
                </c:pt>
                <c:pt idx="34">
                  <c:v>4.4193312175591594E-3</c:v>
                </c:pt>
                <c:pt idx="35">
                  <c:v>9.6758051605174891E-3</c:v>
                </c:pt>
                <c:pt idx="36">
                  <c:v>7.1938103887978968E-3</c:v>
                </c:pt>
                <c:pt idx="37">
                  <c:v>5.1933942514696832E-3</c:v>
                </c:pt>
                <c:pt idx="38">
                  <c:v>8.5975027513917578E-3</c:v>
                </c:pt>
                <c:pt idx="39">
                  <c:v>3.4326151322174735E-3</c:v>
                </c:pt>
                <c:pt idx="40">
                  <c:v>5.2414186018355288E-3</c:v>
                </c:pt>
                <c:pt idx="41">
                  <c:v>2.9052475482574331E-3</c:v>
                </c:pt>
                <c:pt idx="42">
                  <c:v>4.0478057417312526E-3</c:v>
                </c:pt>
                <c:pt idx="43">
                  <c:v>2.184505371661928E-3</c:v>
                </c:pt>
                <c:pt idx="44">
                  <c:v>5.4488243699304046E-3</c:v>
                </c:pt>
                <c:pt idx="45">
                  <c:v>6.9936814063927422E-3</c:v>
                </c:pt>
                <c:pt idx="46">
                  <c:v>5.2337032788908854E-3</c:v>
                </c:pt>
                <c:pt idx="47">
                  <c:v>5.0092416314087241E-3</c:v>
                </c:pt>
                <c:pt idx="48">
                  <c:v>5.5391920833065562E-3</c:v>
                </c:pt>
                <c:pt idx="49">
                  <c:v>1.7418103839299717E-3</c:v>
                </c:pt>
                <c:pt idx="50">
                  <c:v>1.1540633045585755E-3</c:v>
                </c:pt>
                <c:pt idx="51">
                  <c:v>3.2051024094959749E-3</c:v>
                </c:pt>
                <c:pt idx="52">
                  <c:v>2.4005067409415201E-3</c:v>
                </c:pt>
                <c:pt idx="53">
                  <c:v>1.9890916360948601E-3</c:v>
                </c:pt>
                <c:pt idx="54">
                  <c:v>2.0764966310839504E-3</c:v>
                </c:pt>
                <c:pt idx="55">
                  <c:v>1.5920452623907001E-4</c:v>
                </c:pt>
                <c:pt idx="56">
                  <c:v>4.6390236119323502E-4</c:v>
                </c:pt>
                <c:pt idx="57">
                  <c:v>1.4307983493585894E-3</c:v>
                </c:pt>
                <c:pt idx="58">
                  <c:v>1.7156821035688695E-3</c:v>
                </c:pt>
                <c:pt idx="59">
                  <c:v>0</c:v>
                </c:pt>
                <c:pt idx="60">
                  <c:v>1.1930782159948583E-3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4.0443838912005495E-3</c:v>
                </c:pt>
                <c:pt idx="1">
                  <c:v>1.8613985344478404E-2</c:v>
                </c:pt>
                <c:pt idx="2">
                  <c:v>2.7399320003436804E-2</c:v>
                </c:pt>
                <c:pt idx="3">
                  <c:v>3.6578966748904519E-2</c:v>
                </c:pt>
                <c:pt idx="4">
                  <c:v>4.5847602214284834E-2</c:v>
                </c:pt>
                <c:pt idx="5">
                  <c:v>5.1852806520111448E-2</c:v>
                </c:pt>
                <c:pt idx="6">
                  <c:v>5.4438082262400121E-2</c:v>
                </c:pt>
                <c:pt idx="7">
                  <c:v>5.7136895336991074E-2</c:v>
                </c:pt>
                <c:pt idx="8">
                  <c:v>5.6019933473260425E-2</c:v>
                </c:pt>
                <c:pt idx="9">
                  <c:v>5.1797572142234662E-2</c:v>
                </c:pt>
                <c:pt idx="10">
                  <c:v>4.6740557989959616E-2</c:v>
                </c:pt>
                <c:pt idx="11">
                  <c:v>4.3615212775097889E-2</c:v>
                </c:pt>
                <c:pt idx="12">
                  <c:v>3.833419253476697E-2</c:v>
                </c:pt>
                <c:pt idx="13">
                  <c:v>3.2039007745087209E-2</c:v>
                </c:pt>
                <c:pt idx="14">
                  <c:v>2.6836236206748413E-2</c:v>
                </c:pt>
                <c:pt idx="15">
                  <c:v>2.5740754378858734E-2</c:v>
                </c:pt>
                <c:pt idx="16">
                  <c:v>2.3522173534140982E-2</c:v>
                </c:pt>
                <c:pt idx="17">
                  <c:v>2.1661081857348014E-2</c:v>
                </c:pt>
                <c:pt idx="18">
                  <c:v>2.007462778166464E-2</c:v>
                </c:pt>
                <c:pt idx="19">
                  <c:v>1.845902222876852E-2</c:v>
                </c:pt>
                <c:pt idx="20">
                  <c:v>1.8095395907746316E-2</c:v>
                </c:pt>
                <c:pt idx="21">
                  <c:v>1.6732947920118816E-2</c:v>
                </c:pt>
                <c:pt idx="22">
                  <c:v>1.7395760454640301E-2</c:v>
                </c:pt>
                <c:pt idx="23">
                  <c:v>1.6295675761927558E-2</c:v>
                </c:pt>
                <c:pt idx="24">
                  <c:v>1.4242798050840177E-2</c:v>
                </c:pt>
                <c:pt idx="25">
                  <c:v>1.3389733770298633E-2</c:v>
                </c:pt>
                <c:pt idx="26">
                  <c:v>1.2513655165641763E-2</c:v>
                </c:pt>
                <c:pt idx="27">
                  <c:v>1.2653275398608093E-2</c:v>
                </c:pt>
                <c:pt idx="28">
                  <c:v>1.2484503688429011E-2</c:v>
                </c:pt>
                <c:pt idx="29">
                  <c:v>1.1011586945047931E-2</c:v>
                </c:pt>
                <c:pt idx="30">
                  <c:v>1.000816241361957E-2</c:v>
                </c:pt>
                <c:pt idx="31">
                  <c:v>9.3791042211339003E-3</c:v>
                </c:pt>
                <c:pt idx="32">
                  <c:v>8.932626333296511E-3</c:v>
                </c:pt>
                <c:pt idx="33">
                  <c:v>8.0764934762062573E-3</c:v>
                </c:pt>
                <c:pt idx="34">
                  <c:v>7.3829951761976657E-3</c:v>
                </c:pt>
                <c:pt idx="35">
                  <c:v>6.9610659007499605E-3</c:v>
                </c:pt>
                <c:pt idx="36">
                  <c:v>6.2154017994132879E-3</c:v>
                </c:pt>
                <c:pt idx="37">
                  <c:v>5.557192129714868E-3</c:v>
                </c:pt>
                <c:pt idx="38">
                  <c:v>5.4942863104663012E-3</c:v>
                </c:pt>
                <c:pt idx="39">
                  <c:v>4.5077389500558481E-3</c:v>
                </c:pt>
                <c:pt idx="40">
                  <c:v>4.5062046617814931E-3</c:v>
                </c:pt>
                <c:pt idx="41">
                  <c:v>4.1671269531489731E-3</c:v>
                </c:pt>
                <c:pt idx="42">
                  <c:v>3.7620748487191763E-3</c:v>
                </c:pt>
                <c:pt idx="43">
                  <c:v>3.530397319291527E-3</c:v>
                </c:pt>
                <c:pt idx="44">
                  <c:v>3.1851824575615862E-3</c:v>
                </c:pt>
                <c:pt idx="45">
                  <c:v>3.1238109265873748E-3</c:v>
                </c:pt>
                <c:pt idx="46">
                  <c:v>2.8016103889727632E-3</c:v>
                </c:pt>
                <c:pt idx="47">
                  <c:v>2.4134354555608744E-3</c:v>
                </c:pt>
                <c:pt idx="48">
                  <c:v>2.2523351867535686E-3</c:v>
                </c:pt>
                <c:pt idx="49">
                  <c:v>1.9684918559978396E-3</c:v>
                </c:pt>
                <c:pt idx="50">
                  <c:v>1.7368143265701905E-3</c:v>
                </c:pt>
                <c:pt idx="51">
                  <c:v>1.6493598949319389E-3</c:v>
                </c:pt>
                <c:pt idx="52">
                  <c:v>1.4560395723631722E-3</c:v>
                </c:pt>
                <c:pt idx="53">
                  <c:v>1.33943366351217E-3</c:v>
                </c:pt>
                <c:pt idx="54">
                  <c:v>1.4161480772299346E-3</c:v>
                </c:pt>
                <c:pt idx="55">
                  <c:v>1.3655165641762099E-3</c:v>
                </c:pt>
                <c:pt idx="56">
                  <c:v>1.014164549348848E-3</c:v>
                </c:pt>
                <c:pt idx="57">
                  <c:v>1.0908789630666126E-3</c:v>
                </c:pt>
                <c:pt idx="58">
                  <c:v>9.527930183746364E-4</c:v>
                </c:pt>
                <c:pt idx="59">
                  <c:v>7.9782990266475187E-4</c:v>
                </c:pt>
                <c:pt idx="60">
                  <c:v>9.8041020731303168E-4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30912"/>
        <c:axId val="124730520"/>
      </c:lineChart>
      <c:catAx>
        <c:axId val="12473091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30520"/>
        <c:crosses val="autoZero"/>
        <c:auto val="1"/>
        <c:lblAlgn val="ctr"/>
        <c:lblOffset val="100"/>
        <c:tickLblSkip val="10"/>
        <c:noMultiLvlLbl val="0"/>
      </c:catAx>
      <c:valAx>
        <c:axId val="12473052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309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8.3158478250500989E-2</c:v>
                </c:pt>
                <c:pt idx="1">
                  <c:v>9.7330644904119051E-2</c:v>
                </c:pt>
                <c:pt idx="2">
                  <c:v>7.6893376167124119E-2</c:v>
                </c:pt>
                <c:pt idx="3">
                  <c:v>8.1784151310776418E-2</c:v>
                </c:pt>
                <c:pt idx="4">
                  <c:v>7.3253902845880653E-2</c:v>
                </c:pt>
                <c:pt idx="5">
                  <c:v>5.748421611979028E-2</c:v>
                </c:pt>
                <c:pt idx="6">
                  <c:v>5.1165750241210992E-2</c:v>
                </c:pt>
                <c:pt idx="7">
                  <c:v>6.0551071757581239E-2</c:v>
                </c:pt>
                <c:pt idx="8">
                  <c:v>2.8986358274095483E-2</c:v>
                </c:pt>
                <c:pt idx="9">
                  <c:v>2.235665053385234E-2</c:v>
                </c:pt>
                <c:pt idx="10">
                  <c:v>3.2995455789998136E-2</c:v>
                </c:pt>
                <c:pt idx="11">
                  <c:v>5.832605086167536E-2</c:v>
                </c:pt>
                <c:pt idx="12">
                  <c:v>2.6880550762301232E-2</c:v>
                </c:pt>
                <c:pt idx="13">
                  <c:v>1.5912337232336937E-2</c:v>
                </c:pt>
                <c:pt idx="14">
                  <c:v>2.7806679102098546E-2</c:v>
                </c:pt>
                <c:pt idx="15">
                  <c:v>2.503970210686458E-2</c:v>
                </c:pt>
                <c:pt idx="16">
                  <c:v>2.471059227577839E-2</c:v>
                </c:pt>
                <c:pt idx="17">
                  <c:v>1.984036919808899E-2</c:v>
                </c:pt>
                <c:pt idx="18">
                  <c:v>4.0709735263209576E-2</c:v>
                </c:pt>
                <c:pt idx="19">
                  <c:v>1.1866240656636525E-2</c:v>
                </c:pt>
                <c:pt idx="20">
                  <c:v>1.356017674256455E-2</c:v>
                </c:pt>
                <c:pt idx="21">
                  <c:v>2.0876753834902499E-2</c:v>
                </c:pt>
                <c:pt idx="22">
                  <c:v>1.2745592195892917E-2</c:v>
                </c:pt>
                <c:pt idx="23">
                  <c:v>9.5367322031749101E-3</c:v>
                </c:pt>
                <c:pt idx="24">
                  <c:v>2.9987841247096428E-3</c:v>
                </c:pt>
                <c:pt idx="25">
                  <c:v>6.3817624104583817E-3</c:v>
                </c:pt>
                <c:pt idx="26">
                  <c:v>2.4243869234896872E-3</c:v>
                </c:pt>
                <c:pt idx="27">
                  <c:v>1.8959340373200248E-3</c:v>
                </c:pt>
                <c:pt idx="28">
                  <c:v>4.2726515737155759E-4</c:v>
                </c:pt>
                <c:pt idx="29">
                  <c:v>0</c:v>
                </c:pt>
                <c:pt idx="30">
                  <c:v>1.1270761555593593E-3</c:v>
                </c:pt>
                <c:pt idx="31">
                  <c:v>0</c:v>
                </c:pt>
                <c:pt idx="32">
                  <c:v>1.9807090711274028E-3</c:v>
                </c:pt>
                <c:pt idx="33">
                  <c:v>0</c:v>
                </c:pt>
                <c:pt idx="34">
                  <c:v>0</c:v>
                </c:pt>
                <c:pt idx="35">
                  <c:v>9.6076914379853709E-4</c:v>
                </c:pt>
                <c:pt idx="36">
                  <c:v>2.5832400631587362E-3</c:v>
                </c:pt>
                <c:pt idx="37">
                  <c:v>9.9943389538423928E-4</c:v>
                </c:pt>
                <c:pt idx="38">
                  <c:v>0</c:v>
                </c:pt>
                <c:pt idx="39">
                  <c:v>2.3181014517868943E-3</c:v>
                </c:pt>
                <c:pt idx="40">
                  <c:v>7.5423940482290401E-4</c:v>
                </c:pt>
                <c:pt idx="41">
                  <c:v>1.3767295305581121E-3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0.10985755768999467</c:v>
                </c:pt>
                <c:pt idx="1">
                  <c:v>8.64722761559477E-2</c:v>
                </c:pt>
                <c:pt idx="2">
                  <c:v>7.1516692726679154E-2</c:v>
                </c:pt>
                <c:pt idx="3">
                  <c:v>6.9042423409336931E-2</c:v>
                </c:pt>
                <c:pt idx="4">
                  <c:v>7.5217787247203557E-2</c:v>
                </c:pt>
                <c:pt idx="5">
                  <c:v>6.2131651746593582E-2</c:v>
                </c:pt>
                <c:pt idx="6">
                  <c:v>5.1585078781422364E-2</c:v>
                </c:pt>
                <c:pt idx="7">
                  <c:v>4.5629649993986152E-2</c:v>
                </c:pt>
                <c:pt idx="8">
                  <c:v>4.1588343442327189E-2</c:v>
                </c:pt>
                <c:pt idx="9">
                  <c:v>3.2268595680338151E-2</c:v>
                </c:pt>
                <c:pt idx="10">
                  <c:v>3.128919740889019E-2</c:v>
                </c:pt>
                <c:pt idx="11">
                  <c:v>3.0849327308029348E-2</c:v>
                </c:pt>
                <c:pt idx="12">
                  <c:v>3.2447292908812868E-2</c:v>
                </c:pt>
                <c:pt idx="13">
                  <c:v>3.153662434062441E-2</c:v>
                </c:pt>
                <c:pt idx="14">
                  <c:v>2.7907696008522484E-2</c:v>
                </c:pt>
                <c:pt idx="15">
                  <c:v>2.7158542242993865E-2</c:v>
                </c:pt>
                <c:pt idx="16">
                  <c:v>2.4089760992456914E-2</c:v>
                </c:pt>
                <c:pt idx="17">
                  <c:v>2.1632674100929568E-2</c:v>
                </c:pt>
                <c:pt idx="18">
                  <c:v>1.7797556659049123E-2</c:v>
                </c:pt>
                <c:pt idx="19">
                  <c:v>1.5261430608773347E-2</c:v>
                </c:pt>
                <c:pt idx="20">
                  <c:v>1.3718448770597432E-2</c:v>
                </c:pt>
                <c:pt idx="21">
                  <c:v>1.135414697847042E-2</c:v>
                </c:pt>
                <c:pt idx="22">
                  <c:v>9.7493084073609505E-3</c:v>
                </c:pt>
                <c:pt idx="23">
                  <c:v>8.9417343940617535E-3</c:v>
                </c:pt>
                <c:pt idx="24">
                  <c:v>7.2544201790408769E-3</c:v>
                </c:pt>
                <c:pt idx="25">
                  <c:v>5.9107544803175312E-3</c:v>
                </c:pt>
                <c:pt idx="26">
                  <c:v>5.4262100723380131E-3</c:v>
                </c:pt>
                <c:pt idx="27">
                  <c:v>4.7595319507208024E-3</c:v>
                </c:pt>
                <c:pt idx="28">
                  <c:v>3.6048729359610988E-3</c:v>
                </c:pt>
                <c:pt idx="29">
                  <c:v>3.347136548737951E-3</c:v>
                </c:pt>
                <c:pt idx="30">
                  <c:v>3.0825271911888519E-3</c:v>
                </c:pt>
                <c:pt idx="31">
                  <c:v>2.4673963470162718E-3</c:v>
                </c:pt>
                <c:pt idx="32">
                  <c:v>2.103128919740889E-3</c:v>
                </c:pt>
                <c:pt idx="33">
                  <c:v>1.8797573841474939E-3</c:v>
                </c:pt>
                <c:pt idx="34">
                  <c:v>1.0721833708482963E-3</c:v>
                </c:pt>
                <c:pt idx="35">
                  <c:v>1.0240725785666421E-3</c:v>
                </c:pt>
                <c:pt idx="36">
                  <c:v>1.1134211928040001E-3</c:v>
                </c:pt>
                <c:pt idx="37">
                  <c:v>7.6977267650646917E-4</c:v>
                </c:pt>
                <c:pt idx="38">
                  <c:v>8.8661317204762969E-4</c:v>
                </c:pt>
                <c:pt idx="39">
                  <c:v>7.3197133971374074E-4</c:v>
                </c:pt>
                <c:pt idx="40">
                  <c:v>6.5293218096530866E-4</c:v>
                </c:pt>
                <c:pt idx="41">
                  <c:v>5.3952817058712348E-4</c:v>
                </c:pt>
                <c:pt idx="42">
                  <c:v>4.6048901183869139E-4</c:v>
                </c:pt>
                <c:pt idx="43">
                  <c:v>4.2612416020893829E-4</c:v>
                </c:pt>
                <c:pt idx="44">
                  <c:v>3.9519579374216053E-4</c:v>
                </c:pt>
                <c:pt idx="45">
                  <c:v>3.2990257564562966E-4</c:v>
                </c:pt>
                <c:pt idx="46">
                  <c:v>2.6117287238612346E-4</c:v>
                </c:pt>
                <c:pt idx="47">
                  <c:v>3.3677554597158027E-4</c:v>
                </c:pt>
                <c:pt idx="48">
                  <c:v>3.1959312015670372E-4</c:v>
                </c:pt>
                <c:pt idx="49">
                  <c:v>3.1615663499372839E-4</c:v>
                </c:pt>
                <c:pt idx="50">
                  <c:v>1.993161394525679E-4</c:v>
                </c:pt>
                <c:pt idx="51">
                  <c:v>1.5120534717091359E-4</c:v>
                </c:pt>
                <c:pt idx="52">
                  <c:v>1.6838777298579013E-4</c:v>
                </c:pt>
                <c:pt idx="53">
                  <c:v>1.3745940651901237E-4</c:v>
                </c:pt>
                <c:pt idx="54">
                  <c:v>1.3745940651901237E-4</c:v>
                </c:pt>
                <c:pt idx="55">
                  <c:v>6.8729703259506184E-5</c:v>
                </c:pt>
                <c:pt idx="56">
                  <c:v>8.9348614237358024E-5</c:v>
                </c:pt>
                <c:pt idx="57">
                  <c:v>4.4674307118679012E-5</c:v>
                </c:pt>
                <c:pt idx="58">
                  <c:v>9.9658069726283951E-5</c:v>
                </c:pt>
                <c:pt idx="59">
                  <c:v>7.5602673585456793E-5</c:v>
                </c:pt>
                <c:pt idx="60">
                  <c:v>5.4983762607604939E-5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28952"/>
        <c:axId val="124729344"/>
      </c:lineChart>
      <c:catAx>
        <c:axId val="12472895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29344"/>
        <c:crosses val="autoZero"/>
        <c:auto val="1"/>
        <c:lblAlgn val="ctr"/>
        <c:lblOffset val="100"/>
        <c:tickLblSkip val="10"/>
        <c:noMultiLvlLbl val="0"/>
      </c:catAx>
      <c:valAx>
        <c:axId val="12472934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289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4.4698956554603342E-3</c:v>
                </c:pt>
                <c:pt idx="1">
                  <c:v>1.7851703069814008E-3</c:v>
                </c:pt>
                <c:pt idx="2">
                  <c:v>1.7843725997369147E-2</c:v>
                </c:pt>
                <c:pt idx="3">
                  <c:v>8.7445705020392402E-3</c:v>
                </c:pt>
                <c:pt idx="4">
                  <c:v>1.9602379777461747E-2</c:v>
                </c:pt>
                <c:pt idx="5">
                  <c:v>4.2381018088582599E-2</c:v>
                </c:pt>
                <c:pt idx="6">
                  <c:v>5.6763785739116106E-2</c:v>
                </c:pt>
                <c:pt idx="7">
                  <c:v>5.5594312991840124E-2</c:v>
                </c:pt>
                <c:pt idx="8">
                  <c:v>3.3011576582905468E-2</c:v>
                </c:pt>
                <c:pt idx="9">
                  <c:v>2.6554536781981431E-2</c:v>
                </c:pt>
                <c:pt idx="10">
                  <c:v>3.2414333989553235E-2</c:v>
                </c:pt>
                <c:pt idx="11">
                  <c:v>2.9567968334262857E-2</c:v>
                </c:pt>
                <c:pt idx="12">
                  <c:v>1.9594802409577044E-2</c:v>
                </c:pt>
                <c:pt idx="13">
                  <c:v>2.7464750486752173E-2</c:v>
                </c:pt>
                <c:pt idx="14">
                  <c:v>1.9836965295240167E-2</c:v>
                </c:pt>
                <c:pt idx="15">
                  <c:v>3.663390073261371E-2</c:v>
                </c:pt>
                <c:pt idx="16">
                  <c:v>1.8671839689468842E-2</c:v>
                </c:pt>
                <c:pt idx="17">
                  <c:v>1.4272778010316805E-2</c:v>
                </c:pt>
                <c:pt idx="18">
                  <c:v>2.6603954610950338E-2</c:v>
                </c:pt>
                <c:pt idx="19">
                  <c:v>3.0668778432063164E-2</c:v>
                </c:pt>
                <c:pt idx="20">
                  <c:v>2.9521227509345629E-2</c:v>
                </c:pt>
                <c:pt idx="21">
                  <c:v>2.6775830274118978E-2</c:v>
                </c:pt>
                <c:pt idx="22">
                  <c:v>1.7122796745665986E-2</c:v>
                </c:pt>
                <c:pt idx="23">
                  <c:v>1.4875656244274444E-2</c:v>
                </c:pt>
                <c:pt idx="24">
                  <c:v>1.6455716650126267E-2</c:v>
                </c:pt>
                <c:pt idx="25">
                  <c:v>1.472846103831112E-2</c:v>
                </c:pt>
                <c:pt idx="26">
                  <c:v>8.1028327110293404E-3</c:v>
                </c:pt>
                <c:pt idx="27">
                  <c:v>1.8662068564867993E-2</c:v>
                </c:pt>
                <c:pt idx="28">
                  <c:v>1.158225623211067E-2</c:v>
                </c:pt>
                <c:pt idx="29">
                  <c:v>1.3503458370655952E-2</c:v>
                </c:pt>
                <c:pt idx="30">
                  <c:v>1.1030848794999748E-2</c:v>
                </c:pt>
                <c:pt idx="31">
                  <c:v>8.5135856151028547E-3</c:v>
                </c:pt>
                <c:pt idx="32">
                  <c:v>1.0896070034871426E-2</c:v>
                </c:pt>
                <c:pt idx="33">
                  <c:v>1.4377560478025957E-2</c:v>
                </c:pt>
                <c:pt idx="34">
                  <c:v>1.3747465120621331E-2</c:v>
                </c:pt>
                <c:pt idx="35">
                  <c:v>1.1969617391131492E-2</c:v>
                </c:pt>
                <c:pt idx="36">
                  <c:v>2.3152552799450287E-2</c:v>
                </c:pt>
                <c:pt idx="37">
                  <c:v>1.4325434533986577E-2</c:v>
                </c:pt>
                <c:pt idx="38">
                  <c:v>1.4498026172155553E-2</c:v>
                </c:pt>
                <c:pt idx="39">
                  <c:v>6.6157958812223432E-3</c:v>
                </c:pt>
                <c:pt idx="40">
                  <c:v>1.3289625656268029E-2</c:v>
                </c:pt>
                <c:pt idx="41">
                  <c:v>3.4435562799798716E-2</c:v>
                </c:pt>
                <c:pt idx="42">
                  <c:v>1.2402884529889991E-2</c:v>
                </c:pt>
                <c:pt idx="43">
                  <c:v>6.8160533608829848E-3</c:v>
                </c:pt>
                <c:pt idx="44">
                  <c:v>6.1846918545390185E-3</c:v>
                </c:pt>
                <c:pt idx="45">
                  <c:v>3.3056969114901528E-3</c:v>
                </c:pt>
                <c:pt idx="46">
                  <c:v>3.1668521662849029E-3</c:v>
                </c:pt>
                <c:pt idx="47">
                  <c:v>1.7166015127919064E-2</c:v>
                </c:pt>
                <c:pt idx="48">
                  <c:v>9.5597290497046929E-3</c:v>
                </c:pt>
                <c:pt idx="49">
                  <c:v>2.8124193031987062E-3</c:v>
                </c:pt>
                <c:pt idx="50">
                  <c:v>2.7559453087512213E-3</c:v>
                </c:pt>
                <c:pt idx="51">
                  <c:v>4.1361286738566677E-3</c:v>
                </c:pt>
                <c:pt idx="52">
                  <c:v>4.1339003405980951E-3</c:v>
                </c:pt>
                <c:pt idx="53">
                  <c:v>9.5732810662386737E-3</c:v>
                </c:pt>
                <c:pt idx="54">
                  <c:v>3.0595027093879941E-3</c:v>
                </c:pt>
                <c:pt idx="55">
                  <c:v>6.6685533067808748E-3</c:v>
                </c:pt>
                <c:pt idx="56">
                  <c:v>7.8865380056226063E-4</c:v>
                </c:pt>
                <c:pt idx="57">
                  <c:v>3.3240574915022027E-3</c:v>
                </c:pt>
                <c:pt idx="58">
                  <c:v>2.3643141886503438E-3</c:v>
                </c:pt>
                <c:pt idx="59">
                  <c:v>4.9383049385887871E-4</c:v>
                </c:pt>
                <c:pt idx="60">
                  <c:v>5.4585119542581986E-3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1.2783724806268149E-3</c:v>
                </c:pt>
                <c:pt idx="1">
                  <c:v>1.1072355195106446E-2</c:v>
                </c:pt>
                <c:pt idx="2">
                  <c:v>1.6508874722933383E-2</c:v>
                </c:pt>
                <c:pt idx="3">
                  <c:v>2.259145346139968E-2</c:v>
                </c:pt>
                <c:pt idx="4">
                  <c:v>3.0540043643361568E-2</c:v>
                </c:pt>
                <c:pt idx="5">
                  <c:v>3.5399233663808656E-2</c:v>
                </c:pt>
                <c:pt idx="6">
                  <c:v>3.7114039760133333E-2</c:v>
                </c:pt>
                <c:pt idx="7">
                  <c:v>3.8715441846079827E-2</c:v>
                </c:pt>
                <c:pt idx="8">
                  <c:v>3.9382119967697041E-2</c:v>
                </c:pt>
                <c:pt idx="9">
                  <c:v>3.652640079726456E-2</c:v>
                </c:pt>
                <c:pt idx="10">
                  <c:v>3.4440454303338544E-2</c:v>
                </c:pt>
                <c:pt idx="11">
                  <c:v>3.2100207907352359E-2</c:v>
                </c:pt>
                <c:pt idx="12">
                  <c:v>3.0608773346621074E-2</c:v>
                </c:pt>
                <c:pt idx="13">
                  <c:v>2.797642571178199E-2</c:v>
                </c:pt>
                <c:pt idx="14">
                  <c:v>2.3268441038505817E-2</c:v>
                </c:pt>
                <c:pt idx="15">
                  <c:v>2.2484922421347447E-2</c:v>
                </c:pt>
                <c:pt idx="16">
                  <c:v>2.0388666471932507E-2</c:v>
                </c:pt>
                <c:pt idx="17">
                  <c:v>1.9990034193027372E-2</c:v>
                </c:pt>
                <c:pt idx="18">
                  <c:v>2.5337205106616953E-2</c:v>
                </c:pt>
                <c:pt idx="19">
                  <c:v>2.2684238560800013E-2</c:v>
                </c:pt>
                <c:pt idx="20">
                  <c:v>2.3268441038505817E-2</c:v>
                </c:pt>
                <c:pt idx="21">
                  <c:v>2.207941717211636E-2</c:v>
                </c:pt>
                <c:pt idx="22">
                  <c:v>2.1409302565336175E-2</c:v>
                </c:pt>
                <c:pt idx="23">
                  <c:v>2.0732314988230038E-2</c:v>
                </c:pt>
                <c:pt idx="24">
                  <c:v>1.9264935823639581E-2</c:v>
                </c:pt>
                <c:pt idx="25">
                  <c:v>2.0897266276052852E-2</c:v>
                </c:pt>
                <c:pt idx="26">
                  <c:v>1.94573789927662E-2</c:v>
                </c:pt>
                <c:pt idx="27">
                  <c:v>1.8295847007680544E-2</c:v>
                </c:pt>
                <c:pt idx="28">
                  <c:v>1.9484870874070002E-2</c:v>
                </c:pt>
                <c:pt idx="29">
                  <c:v>1.8935033247993952E-2</c:v>
                </c:pt>
                <c:pt idx="30">
                  <c:v>1.734737710269936E-2</c:v>
                </c:pt>
                <c:pt idx="31">
                  <c:v>1.7553566212477879E-2</c:v>
                </c:pt>
                <c:pt idx="32">
                  <c:v>1.6718500317874876E-2</c:v>
                </c:pt>
                <c:pt idx="33">
                  <c:v>1.5165209024210037E-2</c:v>
                </c:pt>
                <c:pt idx="34">
                  <c:v>1.4594752487156137E-2</c:v>
                </c:pt>
                <c:pt idx="35">
                  <c:v>1.4642863279437791E-2</c:v>
                </c:pt>
                <c:pt idx="36">
                  <c:v>1.2264815546658878E-2</c:v>
                </c:pt>
                <c:pt idx="37">
                  <c:v>1.1374765889448272E-2</c:v>
                </c:pt>
                <c:pt idx="38">
                  <c:v>1.1783707623842335E-2</c:v>
                </c:pt>
                <c:pt idx="39">
                  <c:v>9.6943246447533469E-3</c:v>
                </c:pt>
                <c:pt idx="40">
                  <c:v>9.3300572174779637E-3</c:v>
                </c:pt>
                <c:pt idx="41">
                  <c:v>8.2888022130964446E-3</c:v>
                </c:pt>
                <c:pt idx="42">
                  <c:v>8.1238509252736305E-3</c:v>
                </c:pt>
                <c:pt idx="43">
                  <c:v>7.3678241894190623E-3</c:v>
                </c:pt>
                <c:pt idx="44">
                  <c:v>7.2475472087149264E-3</c:v>
                </c:pt>
                <c:pt idx="45">
                  <c:v>6.1719273527036543E-3</c:v>
                </c:pt>
                <c:pt idx="46">
                  <c:v>5.6667640337462839E-3</c:v>
                </c:pt>
                <c:pt idx="47">
                  <c:v>5.759549133146618E-3</c:v>
                </c:pt>
                <c:pt idx="48">
                  <c:v>4.7182941287650989E-3</c:v>
                </c:pt>
                <c:pt idx="49">
                  <c:v>4.4468118008900498E-3</c:v>
                </c:pt>
                <c:pt idx="50">
                  <c:v>3.7079674908503581E-3</c:v>
                </c:pt>
                <c:pt idx="51">
                  <c:v>3.3643189745528276E-3</c:v>
                </c:pt>
                <c:pt idx="52">
                  <c:v>2.7698070413580988E-3</c:v>
                </c:pt>
                <c:pt idx="53">
                  <c:v>2.8832110517362842E-3</c:v>
                </c:pt>
                <c:pt idx="54">
                  <c:v>2.5258165947868519E-3</c:v>
                </c:pt>
                <c:pt idx="55">
                  <c:v>2.5292530799498271E-3</c:v>
                </c:pt>
                <c:pt idx="56">
                  <c:v>2.2199694152820497E-3</c:v>
                </c:pt>
                <c:pt idx="57">
                  <c:v>2.3333734256602346E-3</c:v>
                </c:pt>
                <c:pt idx="58">
                  <c:v>1.436450798123679E-3</c:v>
                </c:pt>
                <c:pt idx="59">
                  <c:v>1.7113696111617038E-3</c:v>
                </c:pt>
                <c:pt idx="60">
                  <c:v>1.6735682743689755E-3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32872"/>
        <c:axId val="124732088"/>
      </c:lineChart>
      <c:catAx>
        <c:axId val="124732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32088"/>
        <c:crosses val="autoZero"/>
        <c:auto val="1"/>
        <c:lblAlgn val="ctr"/>
        <c:lblOffset val="100"/>
        <c:tickLblSkip val="10"/>
        <c:noMultiLvlLbl val="0"/>
      </c:catAx>
      <c:valAx>
        <c:axId val="12473208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32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0.20492417465086504</c:v>
                </c:pt>
                <c:pt idx="1">
                  <c:v>0.21016338157440542</c:v>
                </c:pt>
                <c:pt idx="2">
                  <c:v>8.6556202365378324E-2</c:v>
                </c:pt>
                <c:pt idx="3">
                  <c:v>8.8330489739957566E-2</c:v>
                </c:pt>
                <c:pt idx="4">
                  <c:v>5.7538104293342503E-2</c:v>
                </c:pt>
                <c:pt idx="5">
                  <c:v>0.11967842066260574</c:v>
                </c:pt>
                <c:pt idx="6">
                  <c:v>2.2438142263670604E-2</c:v>
                </c:pt>
                <c:pt idx="7">
                  <c:v>4.5785716303444787E-2</c:v>
                </c:pt>
                <c:pt idx="8">
                  <c:v>1.8755918888639363E-2</c:v>
                </c:pt>
                <c:pt idx="9">
                  <c:v>1.8230897197892459E-2</c:v>
                </c:pt>
                <c:pt idx="10">
                  <c:v>6.4863405524616096E-3</c:v>
                </c:pt>
                <c:pt idx="11">
                  <c:v>5.803248251045231E-3</c:v>
                </c:pt>
                <c:pt idx="12">
                  <c:v>6.558530588775288E-3</c:v>
                </c:pt>
                <c:pt idx="13">
                  <c:v>1.2099940517883738E-2</c:v>
                </c:pt>
                <c:pt idx="14">
                  <c:v>3.3267623086497217E-3</c:v>
                </c:pt>
                <c:pt idx="15">
                  <c:v>5.9005691375940746E-3</c:v>
                </c:pt>
                <c:pt idx="16">
                  <c:v>1.1122273108335365E-2</c:v>
                </c:pt>
                <c:pt idx="17">
                  <c:v>2.6291363288745435E-2</c:v>
                </c:pt>
                <c:pt idx="18">
                  <c:v>2.0777228379600179E-2</c:v>
                </c:pt>
                <c:pt idx="19">
                  <c:v>4.398194899416143E-5</c:v>
                </c:pt>
                <c:pt idx="20">
                  <c:v>2.0330790561170491E-3</c:v>
                </c:pt>
                <c:pt idx="21">
                  <c:v>2.664219459835619E-3</c:v>
                </c:pt>
                <c:pt idx="22">
                  <c:v>0</c:v>
                </c:pt>
                <c:pt idx="23">
                  <c:v>2.8615519143410585E-3</c:v>
                </c:pt>
                <c:pt idx="24">
                  <c:v>4.398194899416143E-5</c:v>
                </c:pt>
                <c:pt idx="25">
                  <c:v>5.1124149605683367E-3</c:v>
                </c:pt>
                <c:pt idx="26">
                  <c:v>0</c:v>
                </c:pt>
                <c:pt idx="27">
                  <c:v>0</c:v>
                </c:pt>
                <c:pt idx="28">
                  <c:v>1.6473066637857033E-2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0.13590190103032943</c:v>
                </c:pt>
                <c:pt idx="1">
                  <c:v>0.17752969712046768</c:v>
                </c:pt>
                <c:pt idx="2">
                  <c:v>0.15197877148247196</c:v>
                </c:pt>
                <c:pt idx="3">
                  <c:v>0.13090573626054688</c:v>
                </c:pt>
                <c:pt idx="4">
                  <c:v>0.10535481062255116</c:v>
                </c:pt>
                <c:pt idx="5">
                  <c:v>7.4942471546737985E-2</c:v>
                </c:pt>
                <c:pt idx="6">
                  <c:v>4.7691606028567285E-2</c:v>
                </c:pt>
                <c:pt idx="7">
                  <c:v>4.1358293426208101E-2</c:v>
                </c:pt>
                <c:pt idx="8">
                  <c:v>3.2247030287953234E-2</c:v>
                </c:pt>
                <c:pt idx="9">
                  <c:v>2.2399817567427493E-2</c:v>
                </c:pt>
                <c:pt idx="10">
                  <c:v>1.7870099715985653E-2</c:v>
                </c:pt>
                <c:pt idx="11">
                  <c:v>1.2459315463233617E-2</c:v>
                </c:pt>
                <c:pt idx="12">
                  <c:v>1.070754814768746E-2</c:v>
                </c:pt>
                <c:pt idx="13">
                  <c:v>8.6966436552853611E-3</c:v>
                </c:pt>
                <c:pt idx="14">
                  <c:v>6.6961046499575015E-3</c:v>
                </c:pt>
                <c:pt idx="15">
                  <c:v>5.5040736364201752E-3</c:v>
                </c:pt>
                <c:pt idx="16">
                  <c:v>4.1461948296950477E-3</c:v>
                </c:pt>
                <c:pt idx="17">
                  <c:v>3.2858594025333252E-3</c:v>
                </c:pt>
                <c:pt idx="18">
                  <c:v>2.8919708937122954E-3</c:v>
                </c:pt>
                <c:pt idx="19">
                  <c:v>1.8865186475112464E-3</c:v>
                </c:pt>
                <c:pt idx="20">
                  <c:v>1.409706242096316E-3</c:v>
                </c:pt>
                <c:pt idx="21">
                  <c:v>1.1609345523146133E-3</c:v>
                </c:pt>
                <c:pt idx="22">
                  <c:v>8.2923896593900949E-4</c:v>
                </c:pt>
                <c:pt idx="23">
                  <c:v>6.0119825030578191E-4</c:v>
                </c:pt>
                <c:pt idx="24">
                  <c:v>4.1461948296950474E-4</c:v>
                </c:pt>
                <c:pt idx="25">
                  <c:v>2.7986815100441569E-4</c:v>
                </c:pt>
                <c:pt idx="26">
                  <c:v>1.9694425441051474E-4</c:v>
                </c:pt>
                <c:pt idx="27">
                  <c:v>2.2804071563322761E-4</c:v>
                </c:pt>
                <c:pt idx="28">
                  <c:v>1.5548230611356427E-4</c:v>
                </c:pt>
                <c:pt idx="29">
                  <c:v>9.3289383668138567E-5</c:v>
                </c:pt>
                <c:pt idx="30">
                  <c:v>4.1461948296950474E-5</c:v>
                </c:pt>
                <c:pt idx="31">
                  <c:v>2.0730974148475237E-5</c:v>
                </c:pt>
                <c:pt idx="32">
                  <c:v>2.0730974148475237E-5</c:v>
                </c:pt>
                <c:pt idx="33">
                  <c:v>1.0365487074237619E-5</c:v>
                </c:pt>
                <c:pt idx="34">
                  <c:v>1.0365487074237619E-5</c:v>
                </c:pt>
                <c:pt idx="35">
                  <c:v>2.0730974148475237E-5</c:v>
                </c:pt>
                <c:pt idx="36">
                  <c:v>1.0365487074237619E-5</c:v>
                </c:pt>
                <c:pt idx="37">
                  <c:v>0</c:v>
                </c:pt>
                <c:pt idx="38">
                  <c:v>1.0365487074237619E-5</c:v>
                </c:pt>
                <c:pt idx="39">
                  <c:v>0</c:v>
                </c:pt>
                <c:pt idx="40">
                  <c:v>1.0365487074237619E-5</c:v>
                </c:pt>
                <c:pt idx="41">
                  <c:v>0</c:v>
                </c:pt>
                <c:pt idx="42">
                  <c:v>0</c:v>
                </c:pt>
                <c:pt idx="43">
                  <c:v>1.0365487074237619E-5</c:v>
                </c:pt>
                <c:pt idx="44">
                  <c:v>0</c:v>
                </c:pt>
                <c:pt idx="45">
                  <c:v>1.0365487074237619E-5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33264"/>
        <c:axId val="124732480"/>
      </c:lineChart>
      <c:catAx>
        <c:axId val="1247332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32480"/>
        <c:crosses val="autoZero"/>
        <c:auto val="1"/>
        <c:lblAlgn val="ctr"/>
        <c:lblOffset val="100"/>
        <c:tickLblSkip val="10"/>
        <c:noMultiLvlLbl val="0"/>
      </c:catAx>
      <c:valAx>
        <c:axId val="12473248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332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6.4610578133194027E-2</c:v>
                </c:pt>
                <c:pt idx="2">
                  <c:v>5.6875047305553643E-2</c:v>
                </c:pt>
                <c:pt idx="3">
                  <c:v>0.1187717405190451</c:v>
                </c:pt>
                <c:pt idx="4">
                  <c:v>6.7011358250779529E-2</c:v>
                </c:pt>
                <c:pt idx="5">
                  <c:v>3.7233191190215419E-2</c:v>
                </c:pt>
                <c:pt idx="6">
                  <c:v>4.848296434908176E-2</c:v>
                </c:pt>
                <c:pt idx="7">
                  <c:v>9.3374611040314012E-2</c:v>
                </c:pt>
                <c:pt idx="8">
                  <c:v>1.6895010732925781E-2</c:v>
                </c:pt>
                <c:pt idx="9">
                  <c:v>5.9860328421896924E-2</c:v>
                </c:pt>
                <c:pt idx="10">
                  <c:v>4.351687605918305E-2</c:v>
                </c:pt>
                <c:pt idx="11">
                  <c:v>5.740098661505174E-2</c:v>
                </c:pt>
                <c:pt idx="12">
                  <c:v>7.6735252095090592E-2</c:v>
                </c:pt>
                <c:pt idx="13">
                  <c:v>1.4184314674794677E-2</c:v>
                </c:pt>
                <c:pt idx="14">
                  <c:v>3.2692410593683899E-2</c:v>
                </c:pt>
                <c:pt idx="15">
                  <c:v>1.308727164750755E-2</c:v>
                </c:pt>
                <c:pt idx="16">
                  <c:v>9.8858460449097133E-3</c:v>
                </c:pt>
                <c:pt idx="17">
                  <c:v>2.4891612974512228E-2</c:v>
                </c:pt>
                <c:pt idx="18">
                  <c:v>1.8014695143199311E-2</c:v>
                </c:pt>
                <c:pt idx="19">
                  <c:v>1.2028296353006646E-2</c:v>
                </c:pt>
                <c:pt idx="20">
                  <c:v>0</c:v>
                </c:pt>
                <c:pt idx="21">
                  <c:v>6.6535246172994443E-3</c:v>
                </c:pt>
                <c:pt idx="22">
                  <c:v>6.5395138312047563E-3</c:v>
                </c:pt>
                <c:pt idx="23">
                  <c:v>2.2589998461164384E-3</c:v>
                </c:pt>
                <c:pt idx="24">
                  <c:v>0</c:v>
                </c:pt>
                <c:pt idx="25">
                  <c:v>1.25457287537321E-2</c:v>
                </c:pt>
                <c:pt idx="26">
                  <c:v>1.2094734491268104E-2</c:v>
                </c:pt>
                <c:pt idx="27">
                  <c:v>4.918797560979687E-5</c:v>
                </c:pt>
                <c:pt idx="28">
                  <c:v>4.918797560979687E-5</c:v>
                </c:pt>
                <c:pt idx="29">
                  <c:v>2.4884807222737379E-4</c:v>
                </c:pt>
                <c:pt idx="30">
                  <c:v>1.0236125435294225E-4</c:v>
                </c:pt>
                <c:pt idx="31">
                  <c:v>2.8194347454260488E-2</c:v>
                </c:pt>
                <c:pt idx="32">
                  <c:v>5.1054483337818549E-3</c:v>
                </c:pt>
                <c:pt idx="33">
                  <c:v>1.406487676597807E-2</c:v>
                </c:pt>
                <c:pt idx="34">
                  <c:v>8.2902748723713299E-3</c:v>
                </c:pt>
                <c:pt idx="35">
                  <c:v>0</c:v>
                </c:pt>
                <c:pt idx="36">
                  <c:v>0</c:v>
                </c:pt>
                <c:pt idx="37">
                  <c:v>5.3173278743145374E-5</c:v>
                </c:pt>
                <c:pt idx="38">
                  <c:v>1.4453605387822793E-4</c:v>
                </c:pt>
                <c:pt idx="39">
                  <c:v>7.3258407137795321E-3</c:v>
                </c:pt>
                <c:pt idx="40">
                  <c:v>4.918797560979687E-5</c:v>
                </c:pt>
                <c:pt idx="41">
                  <c:v>0</c:v>
                </c:pt>
                <c:pt idx="42">
                  <c:v>2.7050561781559639E-3</c:v>
                </c:pt>
                <c:pt idx="43">
                  <c:v>0</c:v>
                </c:pt>
                <c:pt idx="44">
                  <c:v>2.0330790561170491E-3</c:v>
                </c:pt>
                <c:pt idx="45">
                  <c:v>0</c:v>
                </c:pt>
                <c:pt idx="46">
                  <c:v>1.7461517603691697E-2</c:v>
                </c:pt>
                <c:pt idx="47">
                  <c:v>0</c:v>
                </c:pt>
                <c:pt idx="48">
                  <c:v>0</c:v>
                </c:pt>
                <c:pt idx="49">
                  <c:v>1.8731009485063971E-3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5.1124149605683376E-3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1.1194726040176628E-3</c:v>
                </c:pt>
                <c:pt idx="1">
                  <c:v>3.4123183448390243E-2</c:v>
                </c:pt>
                <c:pt idx="2">
                  <c:v>4.484109708315194E-2</c:v>
                </c:pt>
                <c:pt idx="3">
                  <c:v>5.4460269088044445E-2</c:v>
                </c:pt>
                <c:pt idx="4">
                  <c:v>6.0845409125774817E-2</c:v>
                </c:pt>
                <c:pt idx="5">
                  <c:v>6.5447685386736329E-2</c:v>
                </c:pt>
                <c:pt idx="6">
                  <c:v>6.784211290088521E-2</c:v>
                </c:pt>
                <c:pt idx="7">
                  <c:v>6.7634803159400458E-2</c:v>
                </c:pt>
                <c:pt idx="8">
                  <c:v>6.2224018906648422E-2</c:v>
                </c:pt>
                <c:pt idx="9">
                  <c:v>5.6471173580446545E-2</c:v>
                </c:pt>
                <c:pt idx="10">
                  <c:v>5.1236602607956545E-2</c:v>
                </c:pt>
                <c:pt idx="11">
                  <c:v>4.161743060306404E-2</c:v>
                </c:pt>
                <c:pt idx="12">
                  <c:v>3.825901279101105E-2</c:v>
                </c:pt>
                <c:pt idx="13">
                  <c:v>2.9375790368389412E-2</c:v>
                </c:pt>
                <c:pt idx="14">
                  <c:v>2.3602214068039057E-2</c:v>
                </c:pt>
                <c:pt idx="15">
                  <c:v>2.3633310529261771E-2</c:v>
                </c:pt>
                <c:pt idx="16">
                  <c:v>2.1446192756597631E-2</c:v>
                </c:pt>
                <c:pt idx="17">
                  <c:v>1.8668242220701951E-2</c:v>
                </c:pt>
                <c:pt idx="18">
                  <c:v>1.624271824533035E-2</c:v>
                </c:pt>
                <c:pt idx="19">
                  <c:v>1.4273275701225201E-2</c:v>
                </c:pt>
                <c:pt idx="20">
                  <c:v>1.4200717291705538E-2</c:v>
                </c:pt>
                <c:pt idx="21">
                  <c:v>1.2117254389783776E-2</c:v>
                </c:pt>
                <c:pt idx="22">
                  <c:v>1.1899579161224786E-2</c:v>
                </c:pt>
                <c:pt idx="23">
                  <c:v>1.048987291912847E-2</c:v>
                </c:pt>
                <c:pt idx="24">
                  <c:v>8.821029500176214E-3</c:v>
                </c:pt>
                <c:pt idx="25">
                  <c:v>7.9192321247175401E-3</c:v>
                </c:pt>
                <c:pt idx="26">
                  <c:v>7.5564400771192235E-3</c:v>
                </c:pt>
                <c:pt idx="27">
                  <c:v>6.5302568567696994E-3</c:v>
                </c:pt>
                <c:pt idx="28">
                  <c:v>7.1625515682981946E-3</c:v>
                </c:pt>
                <c:pt idx="29">
                  <c:v>6.5302568567696994E-3</c:v>
                </c:pt>
                <c:pt idx="30">
                  <c:v>5.296763894935423E-3</c:v>
                </c:pt>
                <c:pt idx="31">
                  <c:v>4.5919107738872653E-3</c:v>
                </c:pt>
                <c:pt idx="32">
                  <c:v>4.5297178514418389E-3</c:v>
                </c:pt>
                <c:pt idx="33">
                  <c:v>3.8455957045421566E-3</c:v>
                </c:pt>
                <c:pt idx="34">
                  <c:v>4.0736364201753843E-3</c:v>
                </c:pt>
                <c:pt idx="35">
                  <c:v>3.8352302174679189E-3</c:v>
                </c:pt>
                <c:pt idx="36">
                  <c:v>2.7675850488214442E-3</c:v>
                </c:pt>
                <c:pt idx="37">
                  <c:v>2.9334328420092459E-3</c:v>
                </c:pt>
                <c:pt idx="38">
                  <c:v>3.120011609345523E-3</c:v>
                </c:pt>
                <c:pt idx="39">
                  <c:v>2.6017372556336421E-3</c:v>
                </c:pt>
                <c:pt idx="40">
                  <c:v>2.4047930012231276E-3</c:v>
                </c:pt>
                <c:pt idx="41">
                  <c:v>2.3736965400004148E-3</c:v>
                </c:pt>
                <c:pt idx="42">
                  <c:v>2.0523664406990483E-3</c:v>
                </c:pt>
                <c:pt idx="43">
                  <c:v>2.1041938760702366E-3</c:v>
                </c:pt>
                <c:pt idx="44">
                  <c:v>1.9176151087339595E-3</c:v>
                </c:pt>
                <c:pt idx="45">
                  <c:v>1.5962850094325932E-3</c:v>
                </c:pt>
                <c:pt idx="46">
                  <c:v>1.4511681903932665E-3</c:v>
                </c:pt>
                <c:pt idx="47">
                  <c:v>1.5133611128386923E-3</c:v>
                </c:pt>
                <c:pt idx="48">
                  <c:v>1.2956858842797024E-3</c:v>
                </c:pt>
                <c:pt idx="49">
                  <c:v>1.5133611128386923E-3</c:v>
                </c:pt>
                <c:pt idx="50">
                  <c:v>1.1298380910919005E-3</c:v>
                </c:pt>
                <c:pt idx="51">
                  <c:v>1.2749549101312271E-3</c:v>
                </c:pt>
                <c:pt idx="52">
                  <c:v>1.0780106557207122E-3</c:v>
                </c:pt>
                <c:pt idx="53">
                  <c:v>1.0469141944979994E-3</c:v>
                </c:pt>
                <c:pt idx="54">
                  <c:v>1.3164168584281774E-3</c:v>
                </c:pt>
                <c:pt idx="55">
                  <c:v>9.6399029790409849E-4</c:v>
                </c:pt>
                <c:pt idx="56">
                  <c:v>7.8777701764205896E-4</c:v>
                </c:pt>
                <c:pt idx="57">
                  <c:v>7.1521860812239564E-4</c:v>
                </c:pt>
                <c:pt idx="58">
                  <c:v>6.5302568567696996E-4</c:v>
                </c:pt>
                <c:pt idx="59">
                  <c:v>7.7741153056782144E-4</c:v>
                </c:pt>
                <c:pt idx="60">
                  <c:v>1.0469141944979994E-3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7456"/>
        <c:axId val="340245496"/>
      </c:lineChart>
      <c:catAx>
        <c:axId val="340247456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45496"/>
        <c:crosses val="autoZero"/>
        <c:auto val="1"/>
        <c:lblAlgn val="ctr"/>
        <c:lblOffset val="100"/>
        <c:tickLblSkip val="10"/>
        <c:noMultiLvlLbl val="0"/>
      </c:catAx>
      <c:valAx>
        <c:axId val="34024549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745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0.16475622835150841</c:v>
                </c:pt>
                <c:pt idx="1">
                  <c:v>0.16414714759624091</c:v>
                </c:pt>
                <c:pt idx="2">
                  <c:v>0.10154307279961239</c:v>
                </c:pt>
                <c:pt idx="3">
                  <c:v>0.11271073614927901</c:v>
                </c:pt>
                <c:pt idx="4">
                  <c:v>9.0108409004602666E-2</c:v>
                </c:pt>
                <c:pt idx="5">
                  <c:v>2.8439544022600727E-2</c:v>
                </c:pt>
                <c:pt idx="6">
                  <c:v>2.5570391740800742E-2</c:v>
                </c:pt>
                <c:pt idx="7">
                  <c:v>5.2094594013091029E-2</c:v>
                </c:pt>
                <c:pt idx="8">
                  <c:v>2.7953585870636736E-2</c:v>
                </c:pt>
                <c:pt idx="9">
                  <c:v>2.4590221957656394E-2</c:v>
                </c:pt>
                <c:pt idx="10">
                  <c:v>2.7445927123213178E-2</c:v>
                </c:pt>
                <c:pt idx="11">
                  <c:v>2.6916011992461346E-2</c:v>
                </c:pt>
                <c:pt idx="12">
                  <c:v>1.0657463103393376E-2</c:v>
                </c:pt>
                <c:pt idx="13">
                  <c:v>4.3550348208104765E-2</c:v>
                </c:pt>
                <c:pt idx="14">
                  <c:v>6.7834934702980893E-3</c:v>
                </c:pt>
                <c:pt idx="15">
                  <c:v>2.1385823054549492E-2</c:v>
                </c:pt>
                <c:pt idx="16">
                  <c:v>1.4733552892640854E-2</c:v>
                </c:pt>
                <c:pt idx="17">
                  <c:v>1.1232584817470864E-2</c:v>
                </c:pt>
                <c:pt idx="18">
                  <c:v>2.3906967454217682E-2</c:v>
                </c:pt>
                <c:pt idx="19">
                  <c:v>1.1052973010840593E-3</c:v>
                </c:pt>
                <c:pt idx="20">
                  <c:v>1.6163533205168687E-3</c:v>
                </c:pt>
                <c:pt idx="21">
                  <c:v>1.512959310131404E-3</c:v>
                </c:pt>
                <c:pt idx="22">
                  <c:v>7.8988077405627369E-3</c:v>
                </c:pt>
                <c:pt idx="23">
                  <c:v>4.6925992744444332E-4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1.959241495255185E-3</c:v>
                </c:pt>
                <c:pt idx="29">
                  <c:v>2.9276755938025209E-3</c:v>
                </c:pt>
                <c:pt idx="30">
                  <c:v>0</c:v>
                </c:pt>
                <c:pt idx="31">
                  <c:v>1.9844281788177695E-3</c:v>
                </c:pt>
                <c:pt idx="32">
                  <c:v>0</c:v>
                </c:pt>
                <c:pt idx="33">
                  <c:v>1.117785032961885E-3</c:v>
                </c:pt>
                <c:pt idx="34">
                  <c:v>0</c:v>
                </c:pt>
                <c:pt idx="35">
                  <c:v>8.8208847704441293E-4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0.12643976978126331</c:v>
                </c:pt>
                <c:pt idx="1">
                  <c:v>0.16040930984928906</c:v>
                </c:pt>
                <c:pt idx="2">
                  <c:v>0.13524267567899362</c:v>
                </c:pt>
                <c:pt idx="3">
                  <c:v>0.12046765888920181</c:v>
                </c:pt>
                <c:pt idx="4">
                  <c:v>0.10269575452963307</c:v>
                </c:pt>
                <c:pt idx="5">
                  <c:v>7.3528455989081226E-2</c:v>
                </c:pt>
                <c:pt idx="6">
                  <c:v>5.1568130447655569E-2</c:v>
                </c:pt>
                <c:pt idx="7">
                  <c:v>3.7587469399250416E-2</c:v>
                </c:pt>
                <c:pt idx="8">
                  <c:v>2.8380164214995993E-2</c:v>
                </c:pt>
                <c:pt idx="9">
                  <c:v>1.9570036901434894E-2</c:v>
                </c:pt>
                <c:pt idx="10">
                  <c:v>1.6602034994981116E-2</c:v>
                </c:pt>
                <c:pt idx="11">
                  <c:v>1.597377181770258E-2</c:v>
                </c:pt>
                <c:pt idx="12">
                  <c:v>1.5619922441993978E-2</c:v>
                </c:pt>
                <c:pt idx="13">
                  <c:v>1.3691804415173639E-2</c:v>
                </c:pt>
                <c:pt idx="14">
                  <c:v>1.1713136477537786E-2</c:v>
                </c:pt>
                <c:pt idx="15">
                  <c:v>1.0644366934581194E-2</c:v>
                </c:pt>
                <c:pt idx="16">
                  <c:v>9.055655451807882E-3</c:v>
                </c:pt>
                <c:pt idx="17">
                  <c:v>8.0229929880052276E-3</c:v>
                </c:pt>
                <c:pt idx="18">
                  <c:v>6.5931526535092473E-3</c:v>
                </c:pt>
                <c:pt idx="19">
                  <c:v>5.9071181495844076E-3</c:v>
                </c:pt>
                <c:pt idx="20">
                  <c:v>4.8888985174433295E-3</c:v>
                </c:pt>
                <c:pt idx="21">
                  <c:v>4.527827725903941E-3</c:v>
                </c:pt>
                <c:pt idx="22">
                  <c:v>3.1774229655466249E-3</c:v>
                </c:pt>
                <c:pt idx="23">
                  <c:v>3.1413158863926862E-3</c:v>
                </c:pt>
                <c:pt idx="24">
                  <c:v>2.3614029766676056E-3</c:v>
                </c:pt>
                <c:pt idx="25">
                  <c:v>2.0942105909284576E-3</c:v>
                </c:pt>
                <c:pt idx="26">
                  <c:v>1.7186969677274926E-3</c:v>
                </c:pt>
                <c:pt idx="27">
                  <c:v>1.4298403344959812E-3</c:v>
                </c:pt>
                <c:pt idx="28">
                  <c:v>9.893339688179265E-4</c:v>
                </c:pt>
                <c:pt idx="29">
                  <c:v>1.0615481271258043E-3</c:v>
                </c:pt>
                <c:pt idx="30">
                  <c:v>8.0879857304823181E-4</c:v>
                </c:pt>
                <c:pt idx="31">
                  <c:v>5.5604901897065944E-4</c:v>
                </c:pt>
                <c:pt idx="32">
                  <c:v>5.9215609812459833E-4</c:v>
                </c:pt>
                <c:pt idx="33">
                  <c:v>3.5384937570860143E-4</c:v>
                </c:pt>
                <c:pt idx="34">
                  <c:v>2.5274955407757243E-4</c:v>
                </c:pt>
                <c:pt idx="35">
                  <c:v>2.6719238573914801E-4</c:v>
                </c:pt>
                <c:pt idx="36">
                  <c:v>2.5274955407757243E-4</c:v>
                </c:pt>
                <c:pt idx="37">
                  <c:v>2.5274955407757243E-4</c:v>
                </c:pt>
                <c:pt idx="38">
                  <c:v>1.877568116004824E-4</c:v>
                </c:pt>
                <c:pt idx="39">
                  <c:v>2.6719238573914801E-4</c:v>
                </c:pt>
                <c:pt idx="40">
                  <c:v>1.5164973244654348E-4</c:v>
                </c:pt>
                <c:pt idx="41">
                  <c:v>1.0832123746181677E-4</c:v>
                </c:pt>
                <c:pt idx="42">
                  <c:v>1.2998548495418011E-4</c:v>
                </c:pt>
                <c:pt idx="43">
                  <c:v>1.2276406912339235E-4</c:v>
                </c:pt>
                <c:pt idx="44">
                  <c:v>1.0832123746181677E-4</c:v>
                </c:pt>
                <c:pt idx="45">
                  <c:v>7.943557413866562E-5</c:v>
                </c:pt>
                <c:pt idx="46">
                  <c:v>6.4992742477090054E-5</c:v>
                </c:pt>
                <c:pt idx="47">
                  <c:v>5.0549910815514488E-5</c:v>
                </c:pt>
                <c:pt idx="48">
                  <c:v>7.943557413866562E-5</c:v>
                </c:pt>
                <c:pt idx="49">
                  <c:v>5.0549910815514488E-5</c:v>
                </c:pt>
                <c:pt idx="50">
                  <c:v>7.943557413866562E-5</c:v>
                </c:pt>
                <c:pt idx="51">
                  <c:v>3.6107079153938922E-5</c:v>
                </c:pt>
                <c:pt idx="52">
                  <c:v>2.1664247492363353E-5</c:v>
                </c:pt>
                <c:pt idx="53">
                  <c:v>7.2214158307877839E-6</c:v>
                </c:pt>
                <c:pt idx="54">
                  <c:v>7.2214158307877839E-6</c:v>
                </c:pt>
                <c:pt idx="55">
                  <c:v>0</c:v>
                </c:pt>
                <c:pt idx="56">
                  <c:v>0</c:v>
                </c:pt>
                <c:pt idx="57">
                  <c:v>7.2214158307877839E-6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9024"/>
        <c:axId val="340248632"/>
      </c:lineChart>
      <c:catAx>
        <c:axId val="340249024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48632"/>
        <c:crosses val="autoZero"/>
        <c:auto val="1"/>
        <c:lblAlgn val="ctr"/>
        <c:lblOffset val="100"/>
        <c:tickLblSkip val="10"/>
        <c:noMultiLvlLbl val="0"/>
      </c:catAx>
      <c:valAx>
        <c:axId val="34024863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902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3.4609401512278842E-2</c:v>
                </c:pt>
                <c:pt idx="1">
                  <c:v>4.1222278616439935E-2</c:v>
                </c:pt>
                <c:pt idx="2">
                  <c:v>4.1280109971925959E-2</c:v>
                </c:pt>
                <c:pt idx="3">
                  <c:v>6.0028824750758936E-2</c:v>
                </c:pt>
                <c:pt idx="4">
                  <c:v>6.5172823461241106E-2</c:v>
                </c:pt>
                <c:pt idx="5">
                  <c:v>5.3654122368029251E-2</c:v>
                </c:pt>
                <c:pt idx="6">
                  <c:v>6.2938657515859697E-2</c:v>
                </c:pt>
                <c:pt idx="7">
                  <c:v>8.5418602442622477E-2</c:v>
                </c:pt>
                <c:pt idx="8">
                  <c:v>5.6774559082842173E-2</c:v>
                </c:pt>
                <c:pt idx="9">
                  <c:v>4.1084971852635259E-2</c:v>
                </c:pt>
                <c:pt idx="10">
                  <c:v>4.6388449001054127E-2</c:v>
                </c:pt>
                <c:pt idx="11">
                  <c:v>3.209403000435259E-2</c:v>
                </c:pt>
                <c:pt idx="12">
                  <c:v>1.7966898943279019E-2</c:v>
                </c:pt>
                <c:pt idx="13">
                  <c:v>1.2465857269458779E-2</c:v>
                </c:pt>
                <c:pt idx="14">
                  <c:v>2.4848196047839395E-2</c:v>
                </c:pt>
                <c:pt idx="15">
                  <c:v>1.2484369960025698E-2</c:v>
                </c:pt>
                <c:pt idx="16">
                  <c:v>1.2577621663755785E-2</c:v>
                </c:pt>
                <c:pt idx="17">
                  <c:v>1.740404051170439E-2</c:v>
                </c:pt>
                <c:pt idx="18">
                  <c:v>1.1441718183823989E-2</c:v>
                </c:pt>
                <c:pt idx="19">
                  <c:v>2.1693017562111002E-2</c:v>
                </c:pt>
                <c:pt idx="20">
                  <c:v>1.2877684458236354E-2</c:v>
                </c:pt>
                <c:pt idx="21">
                  <c:v>9.7844522418966268E-3</c:v>
                </c:pt>
                <c:pt idx="22">
                  <c:v>3.6255073947667318E-2</c:v>
                </c:pt>
                <c:pt idx="23">
                  <c:v>4.5946458337028867E-3</c:v>
                </c:pt>
                <c:pt idx="24">
                  <c:v>1.8807758224152132E-2</c:v>
                </c:pt>
                <c:pt idx="25">
                  <c:v>7.0433812560118693E-3</c:v>
                </c:pt>
                <c:pt idx="26">
                  <c:v>4.8455014150192849E-2</c:v>
                </c:pt>
                <c:pt idx="27">
                  <c:v>0</c:v>
                </c:pt>
                <c:pt idx="28">
                  <c:v>0</c:v>
                </c:pt>
                <c:pt idx="29">
                  <c:v>6.3335036517312253E-3</c:v>
                </c:pt>
                <c:pt idx="30">
                  <c:v>5.879745295840612E-3</c:v>
                </c:pt>
                <c:pt idx="31">
                  <c:v>1.3967234597361822E-2</c:v>
                </c:pt>
                <c:pt idx="32">
                  <c:v>2.6810844945309507E-3</c:v>
                </c:pt>
                <c:pt idx="33">
                  <c:v>1.6658806022199112E-2</c:v>
                </c:pt>
                <c:pt idx="34">
                  <c:v>2.5846062788332075E-3</c:v>
                </c:pt>
                <c:pt idx="35">
                  <c:v>1.4134796385663676E-3</c:v>
                </c:pt>
                <c:pt idx="36">
                  <c:v>1.7331792709637341E-2</c:v>
                </c:pt>
                <c:pt idx="37">
                  <c:v>2.2607486430334467E-3</c:v>
                </c:pt>
                <c:pt idx="38">
                  <c:v>5.9988546764338357E-3</c:v>
                </c:pt>
                <c:pt idx="39">
                  <c:v>1.5682185933952749E-3</c:v>
                </c:pt>
                <c:pt idx="40">
                  <c:v>4.4652450517811406E-3</c:v>
                </c:pt>
                <c:pt idx="41">
                  <c:v>2.7688421133513451E-5</c:v>
                </c:pt>
                <c:pt idx="42">
                  <c:v>4.6777713994126556E-4</c:v>
                </c:pt>
                <c:pt idx="43">
                  <c:v>1.1470933930724254E-3</c:v>
                </c:pt>
                <c:pt idx="44">
                  <c:v>8.219655465521199E-3</c:v>
                </c:pt>
                <c:pt idx="45">
                  <c:v>7.8428619406330788E-4</c:v>
                </c:pt>
                <c:pt idx="46">
                  <c:v>2.2830873328395012E-3</c:v>
                </c:pt>
                <c:pt idx="47">
                  <c:v>2.7707104983242139E-3</c:v>
                </c:pt>
                <c:pt idx="48">
                  <c:v>1.3514541895529126E-3</c:v>
                </c:pt>
                <c:pt idx="49">
                  <c:v>1.2086175361297885E-3</c:v>
                </c:pt>
                <c:pt idx="50">
                  <c:v>0</c:v>
                </c:pt>
                <c:pt idx="51">
                  <c:v>0</c:v>
                </c:pt>
                <c:pt idx="52">
                  <c:v>1.959241495255185E-3</c:v>
                </c:pt>
                <c:pt idx="53">
                  <c:v>0</c:v>
                </c:pt>
                <c:pt idx="54">
                  <c:v>7.8428619406330788E-4</c:v>
                </c:pt>
                <c:pt idx="55">
                  <c:v>1.2508973731839886E-3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7.0986517616643922E-3</c:v>
                </c:pt>
                <c:pt idx="1">
                  <c:v>2.8206850235057087E-2</c:v>
                </c:pt>
                <c:pt idx="2">
                  <c:v>4.0331607414949774E-2</c:v>
                </c:pt>
                <c:pt idx="3">
                  <c:v>5.1719780180102114E-2</c:v>
                </c:pt>
                <c:pt idx="4">
                  <c:v>6.3172945687731533E-2</c:v>
                </c:pt>
                <c:pt idx="5">
                  <c:v>6.8365143670067949E-2</c:v>
                </c:pt>
                <c:pt idx="6">
                  <c:v>6.8812871451576801E-2</c:v>
                </c:pt>
                <c:pt idx="7">
                  <c:v>6.9123392332300665E-2</c:v>
                </c:pt>
                <c:pt idx="8">
                  <c:v>6.5361034684460237E-2</c:v>
                </c:pt>
                <c:pt idx="9">
                  <c:v>5.7496912844732337E-2</c:v>
                </c:pt>
                <c:pt idx="10">
                  <c:v>4.8845656679448575E-2</c:v>
                </c:pt>
                <c:pt idx="11">
                  <c:v>4.0541028474042617E-2</c:v>
                </c:pt>
                <c:pt idx="12">
                  <c:v>3.5254952085905962E-2</c:v>
                </c:pt>
                <c:pt idx="13">
                  <c:v>2.7044202286300251E-2</c:v>
                </c:pt>
                <c:pt idx="14">
                  <c:v>2.1570369086563113E-2</c:v>
                </c:pt>
                <c:pt idx="15">
                  <c:v>1.9663915307235137E-2</c:v>
                </c:pt>
                <c:pt idx="16">
                  <c:v>1.7829675686215039E-2</c:v>
                </c:pt>
                <c:pt idx="17">
                  <c:v>1.5114423333838832E-2</c:v>
                </c:pt>
                <c:pt idx="18">
                  <c:v>1.7901889844522918E-2</c:v>
                </c:pt>
                <c:pt idx="19">
                  <c:v>1.5020544928038591E-2</c:v>
                </c:pt>
                <c:pt idx="20">
                  <c:v>1.4717245463145505E-2</c:v>
                </c:pt>
                <c:pt idx="21">
                  <c:v>1.4262296265805875E-2</c:v>
                </c:pt>
                <c:pt idx="22">
                  <c:v>1.3691804415173639E-2</c:v>
                </c:pt>
                <c:pt idx="23">
                  <c:v>1.2731356109678864E-2</c:v>
                </c:pt>
                <c:pt idx="24">
                  <c:v>1.1135423211074764E-2</c:v>
                </c:pt>
                <c:pt idx="25">
                  <c:v>1.1207637369382642E-2</c:v>
                </c:pt>
                <c:pt idx="26">
                  <c:v>1.0420503043826773E-2</c:v>
                </c:pt>
                <c:pt idx="27">
                  <c:v>9.7344685399019335E-3</c:v>
                </c:pt>
                <c:pt idx="28">
                  <c:v>8.8462343927150355E-3</c:v>
                </c:pt>
                <c:pt idx="29">
                  <c:v>8.7018060760992808E-3</c:v>
                </c:pt>
                <c:pt idx="30">
                  <c:v>8.2757425420828014E-3</c:v>
                </c:pt>
                <c:pt idx="31">
                  <c:v>7.4452797215422053E-3</c:v>
                </c:pt>
                <c:pt idx="32">
                  <c:v>6.7086953068018519E-3</c:v>
                </c:pt>
                <c:pt idx="33">
                  <c:v>6.1887533669851315E-3</c:v>
                </c:pt>
                <c:pt idx="34">
                  <c:v>6.0732107136925268E-3</c:v>
                </c:pt>
                <c:pt idx="35">
                  <c:v>5.9865537237230732E-3</c:v>
                </c:pt>
                <c:pt idx="36">
                  <c:v>4.8527914382893913E-3</c:v>
                </c:pt>
                <c:pt idx="37">
                  <c:v>4.3978422409497609E-3</c:v>
                </c:pt>
                <c:pt idx="38">
                  <c:v>4.1956425976877026E-3</c:v>
                </c:pt>
                <c:pt idx="39">
                  <c:v>3.3001870346700173E-3</c:v>
                </c:pt>
                <c:pt idx="40">
                  <c:v>3.3435155296547441E-3</c:v>
                </c:pt>
                <c:pt idx="41">
                  <c:v>3.0691017280848084E-3</c:v>
                </c:pt>
                <c:pt idx="42">
                  <c:v>3.0185518172692939E-3</c:v>
                </c:pt>
                <c:pt idx="43">
                  <c:v>2.5202741249449366E-3</c:v>
                </c:pt>
                <c:pt idx="44">
                  <c:v>2.3614029766676056E-3</c:v>
                </c:pt>
                <c:pt idx="45">
                  <c:v>1.8342396210200972E-3</c:v>
                </c:pt>
                <c:pt idx="46">
                  <c:v>1.6970327202351294E-3</c:v>
                </c:pt>
                <c:pt idx="47">
                  <c:v>1.7042541360659171E-3</c:v>
                </c:pt>
                <c:pt idx="48">
                  <c:v>1.4298403344959812E-3</c:v>
                </c:pt>
                <c:pt idx="49">
                  <c:v>1.3937332553420423E-3</c:v>
                </c:pt>
                <c:pt idx="50">
                  <c:v>9.532268896639875E-4</c:v>
                </c:pt>
                <c:pt idx="51">
                  <c:v>9.3156264217162418E-4</c:v>
                </c:pt>
                <c:pt idx="52">
                  <c:v>9.3878405800241192E-4</c:v>
                </c:pt>
                <c:pt idx="53">
                  <c:v>7.7269149389429291E-4</c:v>
                </c:pt>
                <c:pt idx="54">
                  <c:v>8.6656989969453413E-4</c:v>
                </c:pt>
                <c:pt idx="55">
                  <c:v>7.8713432555586849E-4</c:v>
                </c:pt>
                <c:pt idx="56">
                  <c:v>6.2826317727853723E-4</c:v>
                </c:pt>
                <c:pt idx="57">
                  <c:v>6.2826317727853723E-4</c:v>
                </c:pt>
                <c:pt idx="58">
                  <c:v>4.8383486066278154E-4</c:v>
                </c:pt>
                <c:pt idx="59">
                  <c:v>4.6217061317041817E-4</c:v>
                </c:pt>
                <c:pt idx="60">
                  <c:v>5.8493468229381049E-4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7848"/>
        <c:axId val="340248240"/>
      </c:lineChart>
      <c:catAx>
        <c:axId val="340247848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48240"/>
        <c:crosses val="autoZero"/>
        <c:auto val="1"/>
        <c:lblAlgn val="ctr"/>
        <c:lblOffset val="100"/>
        <c:tickLblSkip val="10"/>
        <c:noMultiLvlLbl val="0"/>
      </c:catAx>
      <c:valAx>
        <c:axId val="34024824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78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0.20059219556467947</c:v>
                </c:pt>
                <c:pt idx="1">
                  <c:v>0.17806986873525268</c:v>
                </c:pt>
                <c:pt idx="2">
                  <c:v>8.5789009099934643E-2</c:v>
                </c:pt>
                <c:pt idx="3">
                  <c:v>8.6054561392987131E-2</c:v>
                </c:pt>
                <c:pt idx="4">
                  <c:v>0.1145209195526198</c:v>
                </c:pt>
                <c:pt idx="5">
                  <c:v>5.4609699378764288E-2</c:v>
                </c:pt>
                <c:pt idx="6">
                  <c:v>4.1791852229449623E-2</c:v>
                </c:pt>
                <c:pt idx="7">
                  <c:v>2.245013425376672E-2</c:v>
                </c:pt>
                <c:pt idx="8">
                  <c:v>2.0547680080627014E-2</c:v>
                </c:pt>
                <c:pt idx="9">
                  <c:v>2.0725236833097578E-2</c:v>
                </c:pt>
                <c:pt idx="10">
                  <c:v>1.0847991022120794E-2</c:v>
                </c:pt>
                <c:pt idx="11">
                  <c:v>1.7580314190805819E-2</c:v>
                </c:pt>
                <c:pt idx="12">
                  <c:v>7.3373253233312528E-3</c:v>
                </c:pt>
                <c:pt idx="13">
                  <c:v>2.193405513943571E-2</c:v>
                </c:pt>
                <c:pt idx="14">
                  <c:v>1.0095517998082422E-2</c:v>
                </c:pt>
                <c:pt idx="15">
                  <c:v>7.4523988432052685E-3</c:v>
                </c:pt>
                <c:pt idx="16">
                  <c:v>2.3159832094709419E-2</c:v>
                </c:pt>
                <c:pt idx="17">
                  <c:v>2.960264906305183E-3</c:v>
                </c:pt>
                <c:pt idx="18">
                  <c:v>1.6389684841103105E-2</c:v>
                </c:pt>
                <c:pt idx="19">
                  <c:v>3.671208065481401E-2</c:v>
                </c:pt>
                <c:pt idx="20">
                  <c:v>0</c:v>
                </c:pt>
                <c:pt idx="21">
                  <c:v>2.8174694648311974E-3</c:v>
                </c:pt>
                <c:pt idx="22">
                  <c:v>7.571963220297618E-3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2.1040564618482519E-3</c:v>
                </c:pt>
                <c:pt idx="28">
                  <c:v>0</c:v>
                </c:pt>
                <c:pt idx="29">
                  <c:v>6.3406992774173252E-4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2.3795330736890172E-3</c:v>
                </c:pt>
                <c:pt idx="34">
                  <c:v>0</c:v>
                </c:pt>
                <c:pt idx="35">
                  <c:v>3.577564557139529E-3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0.15728612258501065</c:v>
                </c:pt>
                <c:pt idx="1">
                  <c:v>0.15610955694476705</c:v>
                </c:pt>
                <c:pt idx="2">
                  <c:v>0.12297383277618995</c:v>
                </c:pt>
                <c:pt idx="3">
                  <c:v>0.10689578557217448</c:v>
                </c:pt>
                <c:pt idx="4">
                  <c:v>9.2989082682771645E-2</c:v>
                </c:pt>
                <c:pt idx="5">
                  <c:v>6.7887332478261314E-2</c:v>
                </c:pt>
                <c:pt idx="6">
                  <c:v>4.9168324631123951E-2</c:v>
                </c:pt>
                <c:pt idx="7">
                  <c:v>3.6781562761949965E-2</c:v>
                </c:pt>
                <c:pt idx="8">
                  <c:v>3.16612298898169E-2</c:v>
                </c:pt>
                <c:pt idx="9">
                  <c:v>2.201137178464304E-2</c:v>
                </c:pt>
                <c:pt idx="10">
                  <c:v>1.940575860710787E-2</c:v>
                </c:pt>
                <c:pt idx="11">
                  <c:v>1.7729278810709272E-2</c:v>
                </c:pt>
                <c:pt idx="12">
                  <c:v>1.7274811396022906E-2</c:v>
                </c:pt>
                <c:pt idx="13">
                  <c:v>1.6285082359594819E-2</c:v>
                </c:pt>
                <c:pt idx="14">
                  <c:v>1.34976822161851E-2</c:v>
                </c:pt>
                <c:pt idx="15">
                  <c:v>1.183635133360938E-2</c:v>
                </c:pt>
                <c:pt idx="16">
                  <c:v>1.0200268640738459E-2</c:v>
                </c:pt>
                <c:pt idx="17">
                  <c:v>8.7156750860963271E-3</c:v>
                </c:pt>
                <c:pt idx="18">
                  <c:v>7.1149398588121228E-3</c:v>
                </c:pt>
                <c:pt idx="19">
                  <c:v>6.0191684256238826E-3</c:v>
                </c:pt>
                <c:pt idx="20">
                  <c:v>4.9789430097861983E-3</c:v>
                </c:pt>
                <c:pt idx="21">
                  <c:v>4.393185008634881E-3</c:v>
                </c:pt>
                <c:pt idx="22">
                  <c:v>3.6306896795499761E-3</c:v>
                </c:pt>
                <c:pt idx="23">
                  <c:v>3.0348324025167395E-3</c:v>
                </c:pt>
                <c:pt idx="24">
                  <c:v>2.3430320046052698E-3</c:v>
                </c:pt>
                <c:pt idx="25">
                  <c:v>1.8128200208045082E-3</c:v>
                </c:pt>
                <c:pt idx="26">
                  <c:v>1.6966783481624367E-3</c:v>
                </c:pt>
                <c:pt idx="27">
                  <c:v>1.1412181746568771E-3</c:v>
                </c:pt>
                <c:pt idx="28">
                  <c:v>7.4229677732106606E-4</c:v>
                </c:pt>
                <c:pt idx="29">
                  <c:v>8.2309098437642017E-4</c:v>
                </c:pt>
                <c:pt idx="30">
                  <c:v>6.9180039791146973E-4</c:v>
                </c:pt>
                <c:pt idx="31">
                  <c:v>4.9991415615500371E-4</c:v>
                </c:pt>
                <c:pt idx="32">
                  <c:v>3.4842501792621468E-4</c:v>
                </c:pt>
                <c:pt idx="33">
                  <c:v>3.1307755233949726E-4</c:v>
                </c:pt>
                <c:pt idx="34">
                  <c:v>2.575315349889413E-4</c:v>
                </c:pt>
                <c:pt idx="35">
                  <c:v>2.3733298322510277E-4</c:v>
                </c:pt>
                <c:pt idx="36">
                  <c:v>1.9188624175646605E-4</c:v>
                </c:pt>
                <c:pt idx="37">
                  <c:v>1.8683660381550642E-4</c:v>
                </c:pt>
                <c:pt idx="38">
                  <c:v>1.211913105830312E-4</c:v>
                </c:pt>
                <c:pt idx="39">
                  <c:v>1.51489138228789E-4</c:v>
                </c:pt>
                <c:pt idx="40">
                  <c:v>6.5645293232475234E-5</c:v>
                </c:pt>
                <c:pt idx="41">
                  <c:v>1.0604239676015229E-4</c:v>
                </c:pt>
                <c:pt idx="42">
                  <c:v>7.5744569114394498E-5</c:v>
                </c:pt>
                <c:pt idx="43">
                  <c:v>3.0297827645757801E-5</c:v>
                </c:pt>
                <c:pt idx="44">
                  <c:v>6.0595655291515601E-5</c:v>
                </c:pt>
                <c:pt idx="45">
                  <c:v>2.5248189704798165E-5</c:v>
                </c:pt>
                <c:pt idx="46">
                  <c:v>4.5446741468636698E-5</c:v>
                </c:pt>
                <c:pt idx="47">
                  <c:v>3.0297827645757801E-5</c:v>
                </c:pt>
                <c:pt idx="48">
                  <c:v>3.0297827645757801E-5</c:v>
                </c:pt>
                <c:pt idx="49">
                  <c:v>2.5248189704798165E-5</c:v>
                </c:pt>
                <c:pt idx="50">
                  <c:v>2.0198551763838533E-5</c:v>
                </c:pt>
                <c:pt idx="51">
                  <c:v>5.0496379409596332E-6</c:v>
                </c:pt>
                <c:pt idx="52">
                  <c:v>5.0496379409596332E-6</c:v>
                </c:pt>
                <c:pt idx="53">
                  <c:v>1.0099275881919266E-5</c:v>
                </c:pt>
                <c:pt idx="54">
                  <c:v>1.0099275881919266E-5</c:v>
                </c:pt>
                <c:pt idx="55">
                  <c:v>5.0496379409596332E-6</c:v>
                </c:pt>
                <c:pt idx="56">
                  <c:v>0</c:v>
                </c:pt>
                <c:pt idx="57">
                  <c:v>0</c:v>
                </c:pt>
                <c:pt idx="58">
                  <c:v>5.0496379409596332E-6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5888"/>
        <c:axId val="340246280"/>
      </c:lineChart>
      <c:catAx>
        <c:axId val="340245888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46280"/>
        <c:crosses val="autoZero"/>
        <c:auto val="1"/>
        <c:lblAlgn val="ctr"/>
        <c:lblOffset val="100"/>
        <c:tickLblSkip val="10"/>
        <c:noMultiLvlLbl val="0"/>
      </c:catAx>
      <c:valAx>
        <c:axId val="34024628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588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2.8763110705452392E-2</c:v>
                </c:pt>
                <c:pt idx="2">
                  <c:v>3.6050837478703301E-2</c:v>
                </c:pt>
                <c:pt idx="3">
                  <c:v>7.626247474447391E-2</c:v>
                </c:pt>
                <c:pt idx="4">
                  <c:v>7.1938483811772272E-2</c:v>
                </c:pt>
                <c:pt idx="5">
                  <c:v>8.6084087613117519E-2</c:v>
                </c:pt>
                <c:pt idx="6">
                  <c:v>5.599674576286523E-2</c:v>
                </c:pt>
                <c:pt idx="7">
                  <c:v>5.7356950812887608E-2</c:v>
                </c:pt>
                <c:pt idx="8">
                  <c:v>6.3239665728301794E-2</c:v>
                </c:pt>
                <c:pt idx="9">
                  <c:v>3.6733490544478636E-2</c:v>
                </c:pt>
                <c:pt idx="10">
                  <c:v>5.1216312667912579E-2</c:v>
                </c:pt>
                <c:pt idx="11">
                  <c:v>5.141537434461603E-2</c:v>
                </c:pt>
                <c:pt idx="12">
                  <c:v>1.9652516353771986E-2</c:v>
                </c:pt>
                <c:pt idx="13">
                  <c:v>3.0253883023496089E-2</c:v>
                </c:pt>
                <c:pt idx="14">
                  <c:v>1.2996296096519469E-2</c:v>
                </c:pt>
                <c:pt idx="15">
                  <c:v>2.4836774771246819E-2</c:v>
                </c:pt>
                <c:pt idx="16">
                  <c:v>1.592805206204136E-2</c:v>
                </c:pt>
                <c:pt idx="17">
                  <c:v>1.6467863462995017E-2</c:v>
                </c:pt>
                <c:pt idx="18">
                  <c:v>3.0707383459121846E-2</c:v>
                </c:pt>
                <c:pt idx="19">
                  <c:v>1.8648153111971284E-2</c:v>
                </c:pt>
                <c:pt idx="20">
                  <c:v>4.9160938468369129E-3</c:v>
                </c:pt>
                <c:pt idx="21">
                  <c:v>1.2103765222536646E-2</c:v>
                </c:pt>
                <c:pt idx="22">
                  <c:v>2.4830571072174974E-3</c:v>
                </c:pt>
                <c:pt idx="23">
                  <c:v>2.542134599809983E-2</c:v>
                </c:pt>
                <c:pt idx="24">
                  <c:v>4.8839410543210669E-3</c:v>
                </c:pt>
                <c:pt idx="25">
                  <c:v>4.4201139346302827E-3</c:v>
                </c:pt>
                <c:pt idx="26">
                  <c:v>1.2811537896380726E-2</c:v>
                </c:pt>
                <c:pt idx="27">
                  <c:v>1.2369859120906082E-2</c:v>
                </c:pt>
                <c:pt idx="28">
                  <c:v>5.1426179690746187E-3</c:v>
                </c:pt>
                <c:pt idx="29">
                  <c:v>6.3335575675121467E-3</c:v>
                </c:pt>
                <c:pt idx="30">
                  <c:v>1.5297594176178294E-2</c:v>
                </c:pt>
                <c:pt idx="31">
                  <c:v>4.9962504863138562E-3</c:v>
                </c:pt>
                <c:pt idx="32">
                  <c:v>1.5997687671508533E-2</c:v>
                </c:pt>
                <c:pt idx="33">
                  <c:v>3.5137125579460791E-3</c:v>
                </c:pt>
                <c:pt idx="34">
                  <c:v>2.0945628498946392E-2</c:v>
                </c:pt>
                <c:pt idx="35">
                  <c:v>7.3282181363372462E-3</c:v>
                </c:pt>
                <c:pt idx="36">
                  <c:v>2.8435469232873929E-3</c:v>
                </c:pt>
                <c:pt idx="37">
                  <c:v>0</c:v>
                </c:pt>
                <c:pt idx="38">
                  <c:v>0</c:v>
                </c:pt>
                <c:pt idx="39">
                  <c:v>3.5867444903944761E-3</c:v>
                </c:pt>
                <c:pt idx="40">
                  <c:v>0</c:v>
                </c:pt>
                <c:pt idx="41">
                  <c:v>6.3406992774173252E-4</c:v>
                </c:pt>
                <c:pt idx="42">
                  <c:v>0</c:v>
                </c:pt>
                <c:pt idx="43">
                  <c:v>0</c:v>
                </c:pt>
                <c:pt idx="44">
                  <c:v>1.0928966019021814E-2</c:v>
                </c:pt>
                <c:pt idx="45">
                  <c:v>1.0828545480150973E-3</c:v>
                </c:pt>
                <c:pt idx="46">
                  <c:v>6.0889854891349061E-3</c:v>
                </c:pt>
                <c:pt idx="47">
                  <c:v>1.1973122577399409E-2</c:v>
                </c:pt>
                <c:pt idx="48">
                  <c:v>3.0572809325716418E-3</c:v>
                </c:pt>
                <c:pt idx="49">
                  <c:v>0</c:v>
                </c:pt>
                <c:pt idx="50">
                  <c:v>0</c:v>
                </c:pt>
                <c:pt idx="51">
                  <c:v>4.9408553605918143E-4</c:v>
                </c:pt>
                <c:pt idx="52">
                  <c:v>0</c:v>
                </c:pt>
                <c:pt idx="53">
                  <c:v>0</c:v>
                </c:pt>
                <c:pt idx="54">
                  <c:v>5.004032159079597E-3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3.577564557139529E-3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7.5946554632032887E-3</c:v>
                </c:pt>
                <c:pt idx="1">
                  <c:v>2.7409434743528888E-2</c:v>
                </c:pt>
                <c:pt idx="2">
                  <c:v>3.8458042558348567E-2</c:v>
                </c:pt>
                <c:pt idx="3">
                  <c:v>4.969853661492471E-2</c:v>
                </c:pt>
                <c:pt idx="4">
                  <c:v>6.1509639758829289E-2</c:v>
                </c:pt>
                <c:pt idx="5">
                  <c:v>6.5337265318076695E-2</c:v>
                </c:pt>
                <c:pt idx="6">
                  <c:v>6.4751507316925375E-2</c:v>
                </c:pt>
                <c:pt idx="7">
                  <c:v>6.3282062676106129E-2</c:v>
                </c:pt>
                <c:pt idx="8">
                  <c:v>6.0136138238888269E-2</c:v>
                </c:pt>
                <c:pt idx="9">
                  <c:v>5.0991243927810376E-2</c:v>
                </c:pt>
                <c:pt idx="10">
                  <c:v>4.5305351606289831E-2</c:v>
                </c:pt>
                <c:pt idx="11">
                  <c:v>3.7432966056333762E-2</c:v>
                </c:pt>
                <c:pt idx="12">
                  <c:v>3.3357908237979336E-2</c:v>
                </c:pt>
                <c:pt idx="13">
                  <c:v>2.6015734671824029E-2</c:v>
                </c:pt>
                <c:pt idx="14">
                  <c:v>2.2132563095226071E-2</c:v>
                </c:pt>
                <c:pt idx="15">
                  <c:v>2.0087459729137423E-2</c:v>
                </c:pt>
                <c:pt idx="16">
                  <c:v>1.8320086449801549E-2</c:v>
                </c:pt>
                <c:pt idx="17">
                  <c:v>1.6668854843107751E-2</c:v>
                </c:pt>
                <c:pt idx="18">
                  <c:v>1.9814779280325601E-2</c:v>
                </c:pt>
                <c:pt idx="19">
                  <c:v>1.7360655241019218E-2</c:v>
                </c:pt>
                <c:pt idx="20">
                  <c:v>1.6749649050163105E-2</c:v>
                </c:pt>
                <c:pt idx="21">
                  <c:v>1.5472090651100317E-2</c:v>
                </c:pt>
                <c:pt idx="22">
                  <c:v>1.6345678014886334E-2</c:v>
                </c:pt>
                <c:pt idx="23">
                  <c:v>1.417433370027369E-2</c:v>
                </c:pt>
                <c:pt idx="24">
                  <c:v>1.2613995576517163E-2</c:v>
                </c:pt>
                <c:pt idx="25">
                  <c:v>1.2745286162982114E-2</c:v>
                </c:pt>
                <c:pt idx="26">
                  <c:v>1.1543472333033721E-2</c:v>
                </c:pt>
                <c:pt idx="27">
                  <c:v>1.0624438227779068E-2</c:v>
                </c:pt>
                <c:pt idx="28">
                  <c:v>1.0366906692790128E-2</c:v>
                </c:pt>
                <c:pt idx="29">
                  <c:v>1.0245715382207097E-2</c:v>
                </c:pt>
                <c:pt idx="30">
                  <c:v>8.6904268963915281E-3</c:v>
                </c:pt>
                <c:pt idx="31">
                  <c:v>8.3672500681701116E-3</c:v>
                </c:pt>
                <c:pt idx="32">
                  <c:v>8.0087257743619786E-3</c:v>
                </c:pt>
                <c:pt idx="33">
                  <c:v>7.372471393801064E-3</c:v>
                </c:pt>
                <c:pt idx="34">
                  <c:v>7.0593938414615668E-3</c:v>
                </c:pt>
                <c:pt idx="35">
                  <c:v>6.4837351161921688E-3</c:v>
                </c:pt>
                <c:pt idx="36">
                  <c:v>5.6404455800519102E-3</c:v>
                </c:pt>
                <c:pt idx="37">
                  <c:v>5.1506306997788258E-3</c:v>
                </c:pt>
                <c:pt idx="38">
                  <c:v>4.8577516992031671E-3</c:v>
                </c:pt>
                <c:pt idx="39">
                  <c:v>3.9488168698304333E-3</c:v>
                </c:pt>
                <c:pt idx="40">
                  <c:v>3.9892139733581104E-3</c:v>
                </c:pt>
                <c:pt idx="41">
                  <c:v>3.2923639375056807E-3</c:v>
                </c:pt>
                <c:pt idx="42">
                  <c:v>3.1055273336901743E-3</c:v>
                </c:pt>
                <c:pt idx="43">
                  <c:v>2.7722512295868386E-3</c:v>
                </c:pt>
                <c:pt idx="44">
                  <c:v>2.4339254875425432E-3</c:v>
                </c:pt>
                <c:pt idx="45">
                  <c:v>2.3531312804871891E-3</c:v>
                </c:pt>
                <c:pt idx="46">
                  <c:v>1.9037135037417818E-3</c:v>
                </c:pt>
                <c:pt idx="47">
                  <c:v>1.7572740034539523E-3</c:v>
                </c:pt>
                <c:pt idx="48">
                  <c:v>1.5603381237565266E-3</c:v>
                </c:pt>
                <c:pt idx="49">
                  <c:v>1.403799347586778E-3</c:v>
                </c:pt>
                <c:pt idx="50">
                  <c:v>1.2422109334760698E-3</c:v>
                </c:pt>
                <c:pt idx="51">
                  <c:v>1.1210196228930386E-3</c:v>
                </c:pt>
                <c:pt idx="52">
                  <c:v>1.0503246917196037E-3</c:v>
                </c:pt>
                <c:pt idx="53">
                  <c:v>1.0503246917196037E-3</c:v>
                </c:pt>
                <c:pt idx="54">
                  <c:v>8.9883555349081466E-4</c:v>
                </c:pt>
                <c:pt idx="55">
                  <c:v>8.432895361402587E-4</c:v>
                </c:pt>
                <c:pt idx="56">
                  <c:v>7.170485876162679E-4</c:v>
                </c:pt>
                <c:pt idx="57">
                  <c:v>6.1100619085611562E-4</c:v>
                </c:pt>
                <c:pt idx="58">
                  <c:v>5.6555944938747893E-4</c:v>
                </c:pt>
                <c:pt idx="59">
                  <c:v>5.0496379409596334E-4</c:v>
                </c:pt>
                <c:pt idx="60">
                  <c:v>7.2209822555722753E-4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7064"/>
        <c:axId val="340250200"/>
      </c:lineChart>
      <c:catAx>
        <c:axId val="340247064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50200"/>
        <c:crosses val="autoZero"/>
        <c:auto val="1"/>
        <c:lblAlgn val="ctr"/>
        <c:lblOffset val="100"/>
        <c:tickLblSkip val="10"/>
        <c:noMultiLvlLbl val="0"/>
      </c:catAx>
      <c:valAx>
        <c:axId val="34025020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70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0.182936851148471</c:v>
                </c:pt>
                <c:pt idx="1">
                  <c:v>0.21933886401220748</c:v>
                </c:pt>
                <c:pt idx="2">
                  <c:v>0.10378679228432686</c:v>
                </c:pt>
                <c:pt idx="3">
                  <c:v>0.10292807353321302</c:v>
                </c:pt>
                <c:pt idx="4">
                  <c:v>7.5080894444983226E-2</c:v>
                </c:pt>
                <c:pt idx="5">
                  <c:v>6.1326298775620396E-2</c:v>
                </c:pt>
                <c:pt idx="6">
                  <c:v>4.6692261797964672E-2</c:v>
                </c:pt>
                <c:pt idx="7">
                  <c:v>2.9553398077562191E-2</c:v>
                </c:pt>
                <c:pt idx="8">
                  <c:v>3.0585700987007389E-2</c:v>
                </c:pt>
                <c:pt idx="9">
                  <c:v>1.9990951672547219E-2</c:v>
                </c:pt>
                <c:pt idx="10">
                  <c:v>5.5614361481065152E-3</c:v>
                </c:pt>
                <c:pt idx="11">
                  <c:v>1.1841865514714982E-2</c:v>
                </c:pt>
                <c:pt idx="12">
                  <c:v>2.2114612886106597E-2</c:v>
                </c:pt>
                <c:pt idx="13">
                  <c:v>1.2841739214624085E-2</c:v>
                </c:pt>
                <c:pt idx="14">
                  <c:v>1.8352387633957575E-2</c:v>
                </c:pt>
                <c:pt idx="15">
                  <c:v>1.2518960936027168E-2</c:v>
                </c:pt>
                <c:pt idx="16">
                  <c:v>7.7322064411421291E-3</c:v>
                </c:pt>
                <c:pt idx="17">
                  <c:v>0</c:v>
                </c:pt>
                <c:pt idx="18">
                  <c:v>5.0941563551193366E-3</c:v>
                </c:pt>
                <c:pt idx="19">
                  <c:v>1.2618141687388984E-2</c:v>
                </c:pt>
                <c:pt idx="20">
                  <c:v>3.4032148219592948E-3</c:v>
                </c:pt>
                <c:pt idx="21">
                  <c:v>4.8453404001934427E-3</c:v>
                </c:pt>
                <c:pt idx="22">
                  <c:v>3.968934936246238E-3</c:v>
                </c:pt>
                <c:pt idx="23">
                  <c:v>0</c:v>
                </c:pt>
                <c:pt idx="24">
                  <c:v>3.6089949830391192E-3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2.390443473983264E-3</c:v>
                </c:pt>
                <c:pt idx="33">
                  <c:v>0</c:v>
                </c:pt>
                <c:pt idx="34">
                  <c:v>0</c:v>
                </c:pt>
                <c:pt idx="35">
                  <c:v>8.8747783348791759E-4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0.19720182176475268</c:v>
                </c:pt>
                <c:pt idx="1">
                  <c:v>0.16246565467915502</c:v>
                </c:pt>
                <c:pt idx="2">
                  <c:v>0.12032915338491568</c:v>
                </c:pt>
                <c:pt idx="3">
                  <c:v>0.10292128309905962</c:v>
                </c:pt>
                <c:pt idx="4">
                  <c:v>9.2197585646815419E-2</c:v>
                </c:pt>
                <c:pt idx="5">
                  <c:v>6.6780878023207368E-2</c:v>
                </c:pt>
                <c:pt idx="6">
                  <c:v>4.6264960985587834E-2</c:v>
                </c:pt>
                <c:pt idx="7">
                  <c:v>3.6435295053805716E-2</c:v>
                </c:pt>
                <c:pt idx="8">
                  <c:v>2.9484317002045506E-2</c:v>
                </c:pt>
                <c:pt idx="9">
                  <c:v>1.9523588857839627E-2</c:v>
                </c:pt>
                <c:pt idx="10">
                  <c:v>1.7309573626538226E-2</c:v>
                </c:pt>
                <c:pt idx="11">
                  <c:v>1.6017674675504006E-2</c:v>
                </c:pt>
                <c:pt idx="12">
                  <c:v>1.5666615177940359E-2</c:v>
                </c:pt>
                <c:pt idx="13">
                  <c:v>1.3621108505469506E-2</c:v>
                </c:pt>
                <c:pt idx="14">
                  <c:v>1.0971779497189183E-2</c:v>
                </c:pt>
                <c:pt idx="15">
                  <c:v>9.4598832610150764E-3</c:v>
                </c:pt>
                <c:pt idx="16">
                  <c:v>7.9011790918324838E-3</c:v>
                </c:pt>
                <c:pt idx="17">
                  <c:v>6.7497039398237216E-3</c:v>
                </c:pt>
                <c:pt idx="18">
                  <c:v>5.2986580165606464E-3</c:v>
                </c:pt>
                <c:pt idx="19">
                  <c:v>4.2735642836747969E-3</c:v>
                </c:pt>
                <c:pt idx="20">
                  <c:v>3.4310214895220442E-3</c:v>
                </c:pt>
                <c:pt idx="21">
                  <c:v>3.0659196120558512E-3</c:v>
                </c:pt>
                <c:pt idx="22">
                  <c:v>2.2889079241149792E-3</c:v>
                </c:pt>
                <c:pt idx="23">
                  <c:v>1.9472100131530292E-3</c:v>
                </c:pt>
                <c:pt idx="24">
                  <c:v>1.4791306830681664E-3</c:v>
                </c:pt>
                <c:pt idx="25">
                  <c:v>1.334026090741859E-3</c:v>
                </c:pt>
                <c:pt idx="26">
                  <c:v>8.612659673561475E-4</c:v>
                </c:pt>
                <c:pt idx="27">
                  <c:v>7.3488454823323452E-4</c:v>
                </c:pt>
                <c:pt idx="28">
                  <c:v>6.9743820182644552E-4</c:v>
                </c:pt>
                <c:pt idx="29">
                  <c:v>5.8977995590692709E-4</c:v>
                </c:pt>
                <c:pt idx="30">
                  <c:v>4.0254822387298197E-4</c:v>
                </c:pt>
                <c:pt idx="31">
                  <c:v>2.8552839135176632E-4</c:v>
                </c:pt>
                <c:pt idx="32">
                  <c:v>3.0425156455516082E-4</c:v>
                </c:pt>
                <c:pt idx="33">
                  <c:v>3.0425156455516082E-4</c:v>
                </c:pt>
                <c:pt idx="34">
                  <c:v>1.4510459232630745E-4</c:v>
                </c:pt>
                <c:pt idx="35">
                  <c:v>1.3106221242376159E-4</c:v>
                </c:pt>
                <c:pt idx="36">
                  <c:v>1.170198325212157E-4</c:v>
                </c:pt>
                <c:pt idx="37">
                  <c:v>1.4510459232630745E-4</c:v>
                </c:pt>
                <c:pt idx="38">
                  <c:v>1.7318935213139923E-4</c:v>
                </c:pt>
                <c:pt idx="39">
                  <c:v>1.2638141912291295E-4</c:v>
                </c:pt>
                <c:pt idx="40">
                  <c:v>8.8935072716123922E-5</c:v>
                </c:pt>
                <c:pt idx="41">
                  <c:v>8.4254279415275297E-5</c:v>
                </c:pt>
                <c:pt idx="42">
                  <c:v>7.0211899512729421E-5</c:v>
                </c:pt>
                <c:pt idx="43">
                  <c:v>5.1488726309334906E-5</c:v>
                </c:pt>
                <c:pt idx="44">
                  <c:v>3.7446346406789023E-5</c:v>
                </c:pt>
                <c:pt idx="45">
                  <c:v>4.2127139707637648E-5</c:v>
                </c:pt>
                <c:pt idx="46">
                  <c:v>3.7446346406789023E-5</c:v>
                </c:pt>
                <c:pt idx="47">
                  <c:v>2.340396650424314E-5</c:v>
                </c:pt>
                <c:pt idx="48">
                  <c:v>2.8084759805091766E-5</c:v>
                </c:pt>
                <c:pt idx="49">
                  <c:v>3.2765553105940398E-5</c:v>
                </c:pt>
                <c:pt idx="50">
                  <c:v>1.8723173203394512E-5</c:v>
                </c:pt>
                <c:pt idx="51">
                  <c:v>9.3615866016972558E-6</c:v>
                </c:pt>
                <c:pt idx="52">
                  <c:v>4.6807933008486279E-6</c:v>
                </c:pt>
                <c:pt idx="53">
                  <c:v>4.6807933008486279E-6</c:v>
                </c:pt>
                <c:pt idx="54">
                  <c:v>9.3615866016972558E-6</c:v>
                </c:pt>
                <c:pt idx="55">
                  <c:v>9.3615866016972558E-6</c:v>
                </c:pt>
                <c:pt idx="56">
                  <c:v>0</c:v>
                </c:pt>
                <c:pt idx="57">
                  <c:v>4.6807933008486279E-6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50984"/>
        <c:axId val="340251376"/>
      </c:lineChart>
      <c:catAx>
        <c:axId val="340250984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51376"/>
        <c:crosses val="autoZero"/>
        <c:auto val="1"/>
        <c:lblAlgn val="ctr"/>
        <c:lblOffset val="100"/>
        <c:tickLblSkip val="10"/>
        <c:noMultiLvlLbl val="0"/>
      </c:catAx>
      <c:valAx>
        <c:axId val="340251376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509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9.9245577569848711E-3</c:v>
                </c:pt>
                <c:pt idx="1">
                  <c:v>9.4650266596167879E-3</c:v>
                </c:pt>
                <c:pt idx="2">
                  <c:v>3.6554207697513698E-2</c:v>
                </c:pt>
                <c:pt idx="3">
                  <c:v>7.2975972158147009E-2</c:v>
                </c:pt>
                <c:pt idx="4">
                  <c:v>6.4992630400954085E-2</c:v>
                </c:pt>
                <c:pt idx="5">
                  <c:v>0.11766702254237588</c:v>
                </c:pt>
                <c:pt idx="6">
                  <c:v>6.1522707259166705E-2</c:v>
                </c:pt>
                <c:pt idx="7">
                  <c:v>8.2482599867713807E-2</c:v>
                </c:pt>
                <c:pt idx="8">
                  <c:v>5.5557689566908937E-2</c:v>
                </c:pt>
                <c:pt idx="9">
                  <c:v>4.7538200124559171E-2</c:v>
                </c:pt>
                <c:pt idx="10">
                  <c:v>4.7053970387668169E-2</c:v>
                </c:pt>
                <c:pt idx="11">
                  <c:v>2.6793965166429571E-2</c:v>
                </c:pt>
                <c:pt idx="12">
                  <c:v>3.4093933810456209E-2</c:v>
                </c:pt>
                <c:pt idx="13">
                  <c:v>2.4471178948682445E-2</c:v>
                </c:pt>
                <c:pt idx="14">
                  <c:v>1.0626567760033671E-2</c:v>
                </c:pt>
                <c:pt idx="15">
                  <c:v>2.4794005086764229E-2</c:v>
                </c:pt>
                <c:pt idx="16">
                  <c:v>2.1903638230882934E-2</c:v>
                </c:pt>
                <c:pt idx="17">
                  <c:v>8.8584080665645767E-3</c:v>
                </c:pt>
                <c:pt idx="18">
                  <c:v>8.3549384536576472E-3</c:v>
                </c:pt>
                <c:pt idx="19">
                  <c:v>1.7412136626761904E-2</c:v>
                </c:pt>
                <c:pt idx="20">
                  <c:v>3.0962314229851871E-2</c:v>
                </c:pt>
                <c:pt idx="21">
                  <c:v>1.4798209964081434E-2</c:v>
                </c:pt>
                <c:pt idx="22">
                  <c:v>1.3058615674254394E-2</c:v>
                </c:pt>
                <c:pt idx="23">
                  <c:v>6.3898101508791279E-3</c:v>
                </c:pt>
                <c:pt idx="24">
                  <c:v>7.7483704480455287E-3</c:v>
                </c:pt>
                <c:pt idx="25">
                  <c:v>6.8357590394737249E-3</c:v>
                </c:pt>
                <c:pt idx="26">
                  <c:v>1.0619173399468813E-2</c:v>
                </c:pt>
                <c:pt idx="27">
                  <c:v>7.0369452703367454E-3</c:v>
                </c:pt>
                <c:pt idx="28">
                  <c:v>8.4824619181018794E-3</c:v>
                </c:pt>
                <c:pt idx="29">
                  <c:v>6.3107673059164624E-3</c:v>
                </c:pt>
                <c:pt idx="30">
                  <c:v>1.7121469990499258E-3</c:v>
                </c:pt>
                <c:pt idx="31">
                  <c:v>1.002545239412618E-2</c:v>
                </c:pt>
                <c:pt idx="32">
                  <c:v>8.6581903723209168E-3</c:v>
                </c:pt>
                <c:pt idx="33">
                  <c:v>7.3735273996045948E-4</c:v>
                </c:pt>
                <c:pt idx="34">
                  <c:v>1.5309103851757409E-2</c:v>
                </c:pt>
                <c:pt idx="35">
                  <c:v>4.5481140193892695E-3</c:v>
                </c:pt>
                <c:pt idx="36">
                  <c:v>1.5377107813575822E-2</c:v>
                </c:pt>
                <c:pt idx="37">
                  <c:v>1.247378999284519E-2</c:v>
                </c:pt>
                <c:pt idx="38">
                  <c:v>0</c:v>
                </c:pt>
                <c:pt idx="39">
                  <c:v>2.6442272782605578E-5</c:v>
                </c:pt>
                <c:pt idx="40">
                  <c:v>2.6442272782605578E-5</c:v>
                </c:pt>
                <c:pt idx="41">
                  <c:v>0</c:v>
                </c:pt>
                <c:pt idx="42">
                  <c:v>3.3122459946203085E-3</c:v>
                </c:pt>
                <c:pt idx="43">
                  <c:v>1.8710636411778581E-3</c:v>
                </c:pt>
                <c:pt idx="44">
                  <c:v>1.0313183830926497E-3</c:v>
                </c:pt>
                <c:pt idx="45">
                  <c:v>0</c:v>
                </c:pt>
                <c:pt idx="46">
                  <c:v>1.49761218447846E-2</c:v>
                </c:pt>
                <c:pt idx="47">
                  <c:v>2.9829578274460844E-3</c:v>
                </c:pt>
                <c:pt idx="48">
                  <c:v>8.874778334879177E-4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3.0865117733655818E-3</c:v>
                </c:pt>
                <c:pt idx="54">
                  <c:v>7.4898851700692785E-4</c:v>
                </c:pt>
                <c:pt idx="55">
                  <c:v>0</c:v>
                </c:pt>
                <c:pt idx="56">
                  <c:v>0</c:v>
                </c:pt>
                <c:pt idx="57">
                  <c:v>9.8597710880015473E-4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9.2398859758751912E-3</c:v>
                </c:pt>
                <c:pt idx="1">
                  <c:v>2.5730320774764906E-2</c:v>
                </c:pt>
                <c:pt idx="2">
                  <c:v>3.6959543903500765E-2</c:v>
                </c:pt>
                <c:pt idx="3">
                  <c:v>4.9714705648313276E-2</c:v>
                </c:pt>
                <c:pt idx="4">
                  <c:v>6.5610679697995222E-2</c:v>
                </c:pt>
                <c:pt idx="5">
                  <c:v>7.2407191570827423E-2</c:v>
                </c:pt>
                <c:pt idx="6">
                  <c:v>6.9987221434288677E-2</c:v>
                </c:pt>
                <c:pt idx="7">
                  <c:v>6.6097482201283475E-2</c:v>
                </c:pt>
                <c:pt idx="8">
                  <c:v>5.9048207490205437E-2</c:v>
                </c:pt>
                <c:pt idx="9">
                  <c:v>5.1938082466216375E-2</c:v>
                </c:pt>
                <c:pt idx="10">
                  <c:v>4.4963700447951921E-2</c:v>
                </c:pt>
                <c:pt idx="11">
                  <c:v>4.0493542845641481E-2</c:v>
                </c:pt>
                <c:pt idx="12">
                  <c:v>3.3898305084745763E-2</c:v>
                </c:pt>
                <c:pt idx="13">
                  <c:v>2.8187737257710437E-2</c:v>
                </c:pt>
                <c:pt idx="14">
                  <c:v>2.1817177575255454E-2</c:v>
                </c:pt>
                <c:pt idx="15">
                  <c:v>1.9635927897059993E-2</c:v>
                </c:pt>
                <c:pt idx="16">
                  <c:v>1.7763610576720542E-2</c:v>
                </c:pt>
                <c:pt idx="17">
                  <c:v>1.6551285111800748E-2</c:v>
                </c:pt>
                <c:pt idx="18">
                  <c:v>2.0665702423246692E-2</c:v>
                </c:pt>
                <c:pt idx="19">
                  <c:v>1.8049138968072309E-2</c:v>
                </c:pt>
                <c:pt idx="20">
                  <c:v>1.6307883860156618E-2</c:v>
                </c:pt>
                <c:pt idx="21">
                  <c:v>1.4992580942618156E-2</c:v>
                </c:pt>
                <c:pt idx="22">
                  <c:v>1.6130013714724372E-2</c:v>
                </c:pt>
                <c:pt idx="23">
                  <c:v>1.3887913723617879E-2</c:v>
                </c:pt>
                <c:pt idx="24">
                  <c:v>1.2343251934337832E-2</c:v>
                </c:pt>
                <c:pt idx="25">
                  <c:v>1.2118573855897097E-2</c:v>
                </c:pt>
                <c:pt idx="26">
                  <c:v>1.1379008514363013E-2</c:v>
                </c:pt>
                <c:pt idx="27">
                  <c:v>9.4786064342184707E-3</c:v>
                </c:pt>
                <c:pt idx="28">
                  <c:v>9.1883972495658568E-3</c:v>
                </c:pt>
                <c:pt idx="29">
                  <c:v>9.1790356629641596E-3</c:v>
                </c:pt>
                <c:pt idx="30">
                  <c:v>7.8450095722223008E-3</c:v>
                </c:pt>
                <c:pt idx="31">
                  <c:v>7.3254415158281027E-3</c:v>
                </c:pt>
                <c:pt idx="32">
                  <c:v>6.8526813924423913E-3</c:v>
                </c:pt>
                <c:pt idx="33">
                  <c:v>6.1412008107133995E-3</c:v>
                </c:pt>
                <c:pt idx="34">
                  <c:v>5.3548275361708303E-3</c:v>
                </c:pt>
                <c:pt idx="35">
                  <c:v>5.6684406873276881E-3</c:v>
                </c:pt>
                <c:pt idx="36">
                  <c:v>4.460796015708742E-3</c:v>
                </c:pt>
                <c:pt idx="37">
                  <c:v>3.9646319258187877E-3</c:v>
                </c:pt>
                <c:pt idx="38">
                  <c:v>3.6884651210687186E-3</c:v>
                </c:pt>
                <c:pt idx="39">
                  <c:v>3.2297473775855534E-3</c:v>
                </c:pt>
                <c:pt idx="40">
                  <c:v>2.9020918465261494E-3</c:v>
                </c:pt>
                <c:pt idx="41">
                  <c:v>2.8318799470134198E-3</c:v>
                </c:pt>
                <c:pt idx="42">
                  <c:v>2.6774137680854152E-3</c:v>
                </c:pt>
                <c:pt idx="43">
                  <c:v>2.2280576112039467E-3</c:v>
                </c:pt>
                <c:pt idx="44">
                  <c:v>1.9846563595598181E-3</c:v>
                </c:pt>
                <c:pt idx="45">
                  <c:v>1.9331676332504833E-3</c:v>
                </c:pt>
                <c:pt idx="46">
                  <c:v>1.4510459232630747E-3</c:v>
                </c:pt>
                <c:pt idx="47">
                  <c:v>1.558704169182593E-3</c:v>
                </c:pt>
                <c:pt idx="48">
                  <c:v>1.1655175319113084E-3</c:v>
                </c:pt>
                <c:pt idx="49">
                  <c:v>1.2216870515214919E-3</c:v>
                </c:pt>
                <c:pt idx="50">
                  <c:v>9.6892421327566592E-4</c:v>
                </c:pt>
                <c:pt idx="51">
                  <c:v>8.3318120755105577E-4</c:v>
                </c:pt>
                <c:pt idx="52">
                  <c:v>9.0339310706378519E-4</c:v>
                </c:pt>
                <c:pt idx="53">
                  <c:v>8.8466993386039064E-4</c:v>
                </c:pt>
                <c:pt idx="54">
                  <c:v>8.7998914055954205E-4</c:v>
                </c:pt>
                <c:pt idx="55">
                  <c:v>7.6765010133917494E-4</c:v>
                </c:pt>
                <c:pt idx="56">
                  <c:v>7.2552296163153735E-4</c:v>
                </c:pt>
                <c:pt idx="57">
                  <c:v>5.9914154250862437E-4</c:v>
                </c:pt>
                <c:pt idx="58">
                  <c:v>6.5531106211880793E-4</c:v>
                </c:pt>
                <c:pt idx="59">
                  <c:v>5.1488726309334909E-4</c:v>
                </c:pt>
                <c:pt idx="60">
                  <c:v>6.1318392241117023E-4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51768"/>
        <c:axId val="340252160"/>
      </c:lineChart>
      <c:catAx>
        <c:axId val="340251768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52160"/>
        <c:crosses val="autoZero"/>
        <c:auto val="1"/>
        <c:lblAlgn val="ctr"/>
        <c:lblOffset val="100"/>
        <c:tickLblSkip val="10"/>
        <c:noMultiLvlLbl val="0"/>
      </c:catAx>
      <c:valAx>
        <c:axId val="3402521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5176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0.38361449555254917</c:v>
                </c:pt>
                <c:pt idx="1">
                  <c:v>0.14411832297958829</c:v>
                </c:pt>
                <c:pt idx="2">
                  <c:v>9.6121814846209547E-2</c:v>
                </c:pt>
                <c:pt idx="3">
                  <c:v>9.5021750056130366E-2</c:v>
                </c:pt>
                <c:pt idx="4">
                  <c:v>5.8859517737522876E-2</c:v>
                </c:pt>
                <c:pt idx="5">
                  <c:v>5.3899360101035215E-2</c:v>
                </c:pt>
                <c:pt idx="6">
                  <c:v>3.03031870579594E-2</c:v>
                </c:pt>
                <c:pt idx="7">
                  <c:v>6.5831432430394892E-3</c:v>
                </c:pt>
                <c:pt idx="8">
                  <c:v>4.9423196359604914E-3</c:v>
                </c:pt>
                <c:pt idx="9">
                  <c:v>2.1289855693291497E-2</c:v>
                </c:pt>
                <c:pt idx="10">
                  <c:v>1.0757604060380435E-2</c:v>
                </c:pt>
                <c:pt idx="11">
                  <c:v>3.7716095076122612E-3</c:v>
                </c:pt>
                <c:pt idx="12">
                  <c:v>7.6619739917064339E-3</c:v>
                </c:pt>
                <c:pt idx="13">
                  <c:v>1.7093788108940987E-2</c:v>
                </c:pt>
                <c:pt idx="14">
                  <c:v>1.5121582286359472E-2</c:v>
                </c:pt>
                <c:pt idx="15">
                  <c:v>6.9316025944750406E-3</c:v>
                </c:pt>
                <c:pt idx="16">
                  <c:v>2.4289391119246592E-2</c:v>
                </c:pt>
                <c:pt idx="17">
                  <c:v>0</c:v>
                </c:pt>
                <c:pt idx="18">
                  <c:v>3.2413617628384941E-3</c:v>
                </c:pt>
                <c:pt idx="19">
                  <c:v>0</c:v>
                </c:pt>
                <c:pt idx="20">
                  <c:v>4.8322131834517392E-3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7.8805767260973977E-3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3.6645297556045656E-3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0.22148176471659292</c:v>
                </c:pt>
                <c:pt idx="1">
                  <c:v>0.16393547094918154</c:v>
                </c:pt>
                <c:pt idx="2">
                  <c:v>0.12204803262868484</c:v>
                </c:pt>
                <c:pt idx="3">
                  <c:v>9.6802680213397427E-2</c:v>
                </c:pt>
                <c:pt idx="4">
                  <c:v>8.7744214417071795E-2</c:v>
                </c:pt>
                <c:pt idx="5">
                  <c:v>6.2963165273756852E-2</c:v>
                </c:pt>
                <c:pt idx="6">
                  <c:v>4.4746089838131137E-2</c:v>
                </c:pt>
                <c:pt idx="7">
                  <c:v>3.20187177946505E-2</c:v>
                </c:pt>
                <c:pt idx="8">
                  <c:v>2.6201270916407202E-2</c:v>
                </c:pt>
                <c:pt idx="9">
                  <c:v>1.9691921123067679E-2</c:v>
                </c:pt>
                <c:pt idx="10">
                  <c:v>1.54312558037909E-2</c:v>
                </c:pt>
                <c:pt idx="11">
                  <c:v>1.496695253181843E-2</c:v>
                </c:pt>
                <c:pt idx="12">
                  <c:v>1.4092969902223194E-2</c:v>
                </c:pt>
                <c:pt idx="13">
                  <c:v>1.3255403215527758E-2</c:v>
                </c:pt>
                <c:pt idx="14">
                  <c:v>1.1589373827861838E-2</c:v>
                </c:pt>
                <c:pt idx="15">
                  <c:v>1.0214671983394329E-2</c:v>
                </c:pt>
                <c:pt idx="16">
                  <c:v>7.7474918519327765E-3</c:v>
                </c:pt>
                <c:pt idx="17">
                  <c:v>6.4456218932648713E-3</c:v>
                </c:pt>
                <c:pt idx="18">
                  <c:v>5.089128020247264E-3</c:v>
                </c:pt>
                <c:pt idx="19">
                  <c:v>3.9966497332532182E-3</c:v>
                </c:pt>
                <c:pt idx="20">
                  <c:v>3.4595145754811457E-3</c:v>
                </c:pt>
                <c:pt idx="21">
                  <c:v>2.9405873891589739E-3</c:v>
                </c:pt>
                <c:pt idx="22">
                  <c:v>2.4671801314615537E-3</c:v>
                </c:pt>
                <c:pt idx="23">
                  <c:v>2.3124123741373975E-3</c:v>
                </c:pt>
                <c:pt idx="24">
                  <c:v>1.4839496731669124E-3</c:v>
                </c:pt>
                <c:pt idx="25">
                  <c:v>1.402013801642359E-3</c:v>
                </c:pt>
                <c:pt idx="26">
                  <c:v>9.468145153948399E-4</c:v>
                </c:pt>
                <c:pt idx="27">
                  <c:v>9.2860654394493912E-4</c:v>
                </c:pt>
                <c:pt idx="28">
                  <c:v>6.6459095792137802E-4</c:v>
                </c:pt>
                <c:pt idx="29">
                  <c:v>5.4623914349702298E-4</c:v>
                </c:pt>
                <c:pt idx="30">
                  <c:v>4.7340725769741995E-4</c:v>
                </c:pt>
                <c:pt idx="31">
                  <c:v>2.4580761457366037E-4</c:v>
                </c:pt>
                <c:pt idx="32">
                  <c:v>2.2759964312375958E-4</c:v>
                </c:pt>
                <c:pt idx="33">
                  <c:v>2.2759964312375958E-4</c:v>
                </c:pt>
                <c:pt idx="34">
                  <c:v>1.4566377159920614E-4</c:v>
                </c:pt>
                <c:pt idx="35">
                  <c:v>1.6387174304910689E-4</c:v>
                </c:pt>
                <c:pt idx="36">
                  <c:v>9.1039857249503839E-5</c:v>
                </c:pt>
                <c:pt idx="37">
                  <c:v>9.1039857249503839E-5</c:v>
                </c:pt>
                <c:pt idx="38">
                  <c:v>1.092478286994046E-4</c:v>
                </c:pt>
                <c:pt idx="39">
                  <c:v>9.1039857249503839E-5</c:v>
                </c:pt>
                <c:pt idx="40">
                  <c:v>1.092478286994046E-4</c:v>
                </c:pt>
                <c:pt idx="41">
                  <c:v>4.5519928624751919E-5</c:v>
                </c:pt>
                <c:pt idx="42">
                  <c:v>5.4623914349702298E-5</c:v>
                </c:pt>
                <c:pt idx="43">
                  <c:v>3.6415942899801534E-5</c:v>
                </c:pt>
                <c:pt idx="44">
                  <c:v>3.6415942899801534E-5</c:v>
                </c:pt>
                <c:pt idx="45">
                  <c:v>6.3727900074652676E-5</c:v>
                </c:pt>
                <c:pt idx="46">
                  <c:v>3.6415942899801534E-5</c:v>
                </c:pt>
                <c:pt idx="47">
                  <c:v>9.1039857249503835E-6</c:v>
                </c:pt>
                <c:pt idx="48">
                  <c:v>4.5519928624751919E-5</c:v>
                </c:pt>
                <c:pt idx="49">
                  <c:v>9.1039857249503835E-6</c:v>
                </c:pt>
                <c:pt idx="50">
                  <c:v>1.8207971449900767E-5</c:v>
                </c:pt>
                <c:pt idx="51">
                  <c:v>9.1039857249503835E-6</c:v>
                </c:pt>
                <c:pt idx="52">
                  <c:v>9.1039857249503835E-6</c:v>
                </c:pt>
                <c:pt idx="53">
                  <c:v>0</c:v>
                </c:pt>
                <c:pt idx="54">
                  <c:v>9.1039857249503835E-6</c:v>
                </c:pt>
                <c:pt idx="55">
                  <c:v>0</c:v>
                </c:pt>
                <c:pt idx="56">
                  <c:v>0</c:v>
                </c:pt>
                <c:pt idx="57">
                  <c:v>9.1039857249503835E-6</c:v>
                </c:pt>
                <c:pt idx="58">
                  <c:v>0</c:v>
                </c:pt>
                <c:pt idx="59">
                  <c:v>0</c:v>
                </c:pt>
                <c:pt idx="60">
                  <c:v>1.8207971449900767E-5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48344"/>
        <c:axId val="131346384"/>
      </c:lineChart>
      <c:catAx>
        <c:axId val="13134834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346384"/>
        <c:crosses val="autoZero"/>
        <c:auto val="1"/>
        <c:lblAlgn val="ctr"/>
        <c:lblOffset val="100"/>
        <c:tickLblSkip val="10"/>
        <c:noMultiLvlLbl val="0"/>
      </c:catAx>
      <c:valAx>
        <c:axId val="13134638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134834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2.0756168652276957E-3</c:v>
                </c:pt>
                <c:pt idx="2">
                  <c:v>2.3207279474661037E-3</c:v>
                </c:pt>
                <c:pt idx="3">
                  <c:v>6.3663094370976295E-2</c:v>
                </c:pt>
                <c:pt idx="4">
                  <c:v>6.299342806705191E-2</c:v>
                </c:pt>
                <c:pt idx="5">
                  <c:v>0.127553405610071</c:v>
                </c:pt>
                <c:pt idx="6">
                  <c:v>8.015615442580433E-2</c:v>
                </c:pt>
                <c:pt idx="7">
                  <c:v>9.2949840266606742E-2</c:v>
                </c:pt>
                <c:pt idx="8">
                  <c:v>5.1847998190021137E-2</c:v>
                </c:pt>
                <c:pt idx="9">
                  <c:v>0.1308682342155677</c:v>
                </c:pt>
                <c:pt idx="10">
                  <c:v>4.2236007105338466E-2</c:v>
                </c:pt>
                <c:pt idx="11">
                  <c:v>2.5681887588056351E-2</c:v>
                </c:pt>
                <c:pt idx="12">
                  <c:v>2.9210907122274823E-2</c:v>
                </c:pt>
                <c:pt idx="13">
                  <c:v>1.6430904539029741E-2</c:v>
                </c:pt>
                <c:pt idx="14">
                  <c:v>2.3821760287222264E-2</c:v>
                </c:pt>
                <c:pt idx="15">
                  <c:v>2.3452904726714449E-2</c:v>
                </c:pt>
                <c:pt idx="16">
                  <c:v>6.6018502568859928E-3</c:v>
                </c:pt>
                <c:pt idx="17">
                  <c:v>1.7254671641955246E-3</c:v>
                </c:pt>
                <c:pt idx="18">
                  <c:v>2.9839365555234788E-2</c:v>
                </c:pt>
                <c:pt idx="19">
                  <c:v>1.1167808694325862E-2</c:v>
                </c:pt>
                <c:pt idx="20">
                  <c:v>1.5304508775779699E-2</c:v>
                </c:pt>
                <c:pt idx="21">
                  <c:v>2.128222719691969E-2</c:v>
                </c:pt>
                <c:pt idx="22">
                  <c:v>2.1840727418275018E-3</c:v>
                </c:pt>
                <c:pt idx="23">
                  <c:v>1.466749360163287E-3</c:v>
                </c:pt>
                <c:pt idx="24">
                  <c:v>1.0011527450800781E-2</c:v>
                </c:pt>
                <c:pt idx="25">
                  <c:v>8.1060374115535221E-3</c:v>
                </c:pt>
                <c:pt idx="26">
                  <c:v>7.1469628052343694E-3</c:v>
                </c:pt>
                <c:pt idx="27">
                  <c:v>0</c:v>
                </c:pt>
                <c:pt idx="28">
                  <c:v>1.2025245720981081E-2</c:v>
                </c:pt>
                <c:pt idx="29">
                  <c:v>3.7369246064691379E-3</c:v>
                </c:pt>
                <c:pt idx="30">
                  <c:v>2.8245201518786412E-3</c:v>
                </c:pt>
                <c:pt idx="31">
                  <c:v>1.3834613490402192E-2</c:v>
                </c:pt>
                <c:pt idx="32">
                  <c:v>0</c:v>
                </c:pt>
                <c:pt idx="33">
                  <c:v>8.5132172915743879E-3</c:v>
                </c:pt>
                <c:pt idx="34">
                  <c:v>0</c:v>
                </c:pt>
                <c:pt idx="35">
                  <c:v>1.6369653636407941E-4</c:v>
                </c:pt>
                <c:pt idx="36">
                  <c:v>5.2683387174347392E-3</c:v>
                </c:pt>
                <c:pt idx="37">
                  <c:v>0</c:v>
                </c:pt>
                <c:pt idx="38">
                  <c:v>0</c:v>
                </c:pt>
                <c:pt idx="39">
                  <c:v>7.8805767260973995E-3</c:v>
                </c:pt>
                <c:pt idx="40">
                  <c:v>7.2972695814071632E-3</c:v>
                </c:pt>
                <c:pt idx="41">
                  <c:v>0</c:v>
                </c:pt>
                <c:pt idx="42">
                  <c:v>2.1067601761965665E-3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2.1092939596253362E-3</c:v>
                </c:pt>
                <c:pt idx="47">
                  <c:v>3.664529755604566E-3</c:v>
                </c:pt>
                <c:pt idx="48">
                  <c:v>0</c:v>
                </c:pt>
                <c:pt idx="49">
                  <c:v>0</c:v>
                </c:pt>
                <c:pt idx="50">
                  <c:v>1.3470192481539651E-3</c:v>
                </c:pt>
                <c:pt idx="51">
                  <c:v>0</c:v>
                </c:pt>
                <c:pt idx="52">
                  <c:v>1.5264153071823402E-2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2.0621899397813602E-3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7.1739407512609018E-3</c:v>
                </c:pt>
                <c:pt idx="1">
                  <c:v>2.8868738733817664E-2</c:v>
                </c:pt>
                <c:pt idx="2">
                  <c:v>3.8464339687915371E-2</c:v>
                </c:pt>
                <c:pt idx="3">
                  <c:v>5.1646911017643522E-2</c:v>
                </c:pt>
                <c:pt idx="4">
                  <c:v>6.4146683418000394E-2</c:v>
                </c:pt>
                <c:pt idx="5">
                  <c:v>7.1220480326286847E-2</c:v>
                </c:pt>
                <c:pt idx="6">
                  <c:v>7.0628721254165069E-2</c:v>
                </c:pt>
                <c:pt idx="7">
                  <c:v>6.5530489248192852E-2</c:v>
                </c:pt>
                <c:pt idx="8">
                  <c:v>5.8957411554778683E-2</c:v>
                </c:pt>
                <c:pt idx="9">
                  <c:v>5.0162961344476613E-2</c:v>
                </c:pt>
                <c:pt idx="10">
                  <c:v>4.3580779665337487E-2</c:v>
                </c:pt>
                <c:pt idx="11">
                  <c:v>3.829136395914131E-2</c:v>
                </c:pt>
                <c:pt idx="12">
                  <c:v>3.3821306968190676E-2</c:v>
                </c:pt>
                <c:pt idx="13">
                  <c:v>2.8003860089947378E-2</c:v>
                </c:pt>
                <c:pt idx="14">
                  <c:v>2.1767629868356366E-2</c:v>
                </c:pt>
                <c:pt idx="15">
                  <c:v>1.9701025108792628E-2</c:v>
                </c:pt>
                <c:pt idx="16">
                  <c:v>1.7306676863130678E-2</c:v>
                </c:pt>
                <c:pt idx="17">
                  <c:v>1.6004806904462775E-2</c:v>
                </c:pt>
                <c:pt idx="18">
                  <c:v>2.0993791081735585E-2</c:v>
                </c:pt>
                <c:pt idx="19">
                  <c:v>1.7306676863130678E-2</c:v>
                </c:pt>
                <c:pt idx="20">
                  <c:v>1.5695271389814462E-2</c:v>
                </c:pt>
                <c:pt idx="21">
                  <c:v>1.472114491724477E-2</c:v>
                </c:pt>
                <c:pt idx="22">
                  <c:v>1.6032118861637624E-2</c:v>
                </c:pt>
                <c:pt idx="23">
                  <c:v>1.3828954316199632E-2</c:v>
                </c:pt>
                <c:pt idx="24">
                  <c:v>1.2044573114109357E-2</c:v>
                </c:pt>
                <c:pt idx="25">
                  <c:v>1.1780557528085796E-2</c:v>
                </c:pt>
                <c:pt idx="26">
                  <c:v>1.0770015112616304E-2</c:v>
                </c:pt>
                <c:pt idx="27">
                  <c:v>9.5864969683727534E-3</c:v>
                </c:pt>
                <c:pt idx="28">
                  <c:v>9.5409770397480009E-3</c:v>
                </c:pt>
                <c:pt idx="29">
                  <c:v>9.3588973252489941E-3</c:v>
                </c:pt>
                <c:pt idx="30">
                  <c:v>8.3392509240545511E-3</c:v>
                </c:pt>
                <c:pt idx="31">
                  <c:v>7.4379563372844633E-3</c:v>
                </c:pt>
                <c:pt idx="32">
                  <c:v>6.8097813222628865E-3</c:v>
                </c:pt>
                <c:pt idx="33">
                  <c:v>6.1542943500664587E-3</c:v>
                </c:pt>
                <c:pt idx="34">
                  <c:v>5.7537189781686421E-3</c:v>
                </c:pt>
                <c:pt idx="35">
                  <c:v>5.3986635348955772E-3</c:v>
                </c:pt>
                <c:pt idx="36">
                  <c:v>4.897944320023306E-3</c:v>
                </c:pt>
                <c:pt idx="37">
                  <c:v>3.9602337903534169E-3</c:v>
                </c:pt>
                <c:pt idx="38">
                  <c:v>3.850985961654012E-3</c:v>
                </c:pt>
                <c:pt idx="39">
                  <c:v>3.3684747182316419E-3</c:v>
                </c:pt>
                <c:pt idx="40">
                  <c:v>2.9952113035086759E-3</c:v>
                </c:pt>
                <c:pt idx="41">
                  <c:v>3.0498352178583783E-3</c:v>
                </c:pt>
                <c:pt idx="42">
                  <c:v>3.1044591322080808E-3</c:v>
                </c:pt>
                <c:pt idx="43">
                  <c:v>2.6674678174104624E-3</c:v>
                </c:pt>
                <c:pt idx="44">
                  <c:v>2.1303326596383899E-3</c:v>
                </c:pt>
                <c:pt idx="45">
                  <c:v>1.8936290307896798E-3</c:v>
                </c:pt>
                <c:pt idx="46">
                  <c:v>1.7843812020902751E-3</c:v>
                </c:pt>
                <c:pt idx="47">
                  <c:v>1.6023014875912675E-3</c:v>
                </c:pt>
                <c:pt idx="48">
                  <c:v>1.3564938730176071E-3</c:v>
                </c:pt>
                <c:pt idx="49">
                  <c:v>1.210830101418401E-3</c:v>
                </c:pt>
                <c:pt idx="50">
                  <c:v>1.1562061870686988E-3</c:v>
                </c:pt>
                <c:pt idx="51">
                  <c:v>9.7412647256969102E-4</c:v>
                </c:pt>
                <c:pt idx="52">
                  <c:v>1.0287503869193934E-3</c:v>
                </c:pt>
                <c:pt idx="53">
                  <c:v>9.7412647256969102E-4</c:v>
                </c:pt>
                <c:pt idx="54">
                  <c:v>8.4667067242038564E-4</c:v>
                </c:pt>
                <c:pt idx="55">
                  <c:v>9.1039857249503833E-4</c:v>
                </c:pt>
                <c:pt idx="56">
                  <c:v>7.1921487227108026E-4</c:v>
                </c:pt>
                <c:pt idx="57">
                  <c:v>6.4638298647147724E-4</c:v>
                </c:pt>
                <c:pt idx="58">
                  <c:v>5.8265508639682455E-4</c:v>
                </c:pt>
                <c:pt idx="59">
                  <c:v>5.735511006718741E-4</c:v>
                </c:pt>
                <c:pt idx="60">
                  <c:v>7.5563081517088183E-4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43248"/>
        <c:axId val="131342856"/>
      </c:lineChart>
      <c:catAx>
        <c:axId val="1313432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342856"/>
        <c:crosses val="autoZero"/>
        <c:auto val="1"/>
        <c:lblAlgn val="ctr"/>
        <c:lblOffset val="100"/>
        <c:tickLblSkip val="10"/>
        <c:noMultiLvlLbl val="0"/>
      </c:catAx>
      <c:valAx>
        <c:axId val="1313428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13432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0.21184033144131748</c:v>
                </c:pt>
                <c:pt idx="1">
                  <c:v>0.17749782235608291</c:v>
                </c:pt>
                <c:pt idx="2">
                  <c:v>0.13024415894237715</c:v>
                </c:pt>
                <c:pt idx="3">
                  <c:v>7.288810346032458E-2</c:v>
                </c:pt>
                <c:pt idx="4">
                  <c:v>6.2291065993336586E-2</c:v>
                </c:pt>
                <c:pt idx="5">
                  <c:v>4.1264389295902169E-2</c:v>
                </c:pt>
                <c:pt idx="6">
                  <c:v>2.9206010740916839E-2</c:v>
                </c:pt>
                <c:pt idx="7">
                  <c:v>5.319411108845476E-2</c:v>
                </c:pt>
                <c:pt idx="8">
                  <c:v>1.908286875042756E-2</c:v>
                </c:pt>
                <c:pt idx="9">
                  <c:v>1.8059443938082301E-2</c:v>
                </c:pt>
                <c:pt idx="10">
                  <c:v>1.8771168095913369E-2</c:v>
                </c:pt>
                <c:pt idx="11">
                  <c:v>1.9560891362514571E-2</c:v>
                </c:pt>
                <c:pt idx="12">
                  <c:v>3.0154188138763172E-3</c:v>
                </c:pt>
                <c:pt idx="13">
                  <c:v>2.1277824338291427E-2</c:v>
                </c:pt>
                <c:pt idx="14">
                  <c:v>8.095735115274557E-3</c:v>
                </c:pt>
                <c:pt idx="15">
                  <c:v>2.2927638102474678E-2</c:v>
                </c:pt>
                <c:pt idx="16">
                  <c:v>9.7190247935053601E-3</c:v>
                </c:pt>
                <c:pt idx="17">
                  <c:v>9.258108420327647E-3</c:v>
                </c:pt>
                <c:pt idx="18">
                  <c:v>8.8039413423954636E-3</c:v>
                </c:pt>
                <c:pt idx="19">
                  <c:v>5.761512233017354E-4</c:v>
                </c:pt>
                <c:pt idx="20">
                  <c:v>1.5103103135212432E-3</c:v>
                </c:pt>
                <c:pt idx="21">
                  <c:v>4.6308319539051295E-3</c:v>
                </c:pt>
                <c:pt idx="22">
                  <c:v>2.955596548648627E-3</c:v>
                </c:pt>
                <c:pt idx="23">
                  <c:v>3.4565977556112806E-2</c:v>
                </c:pt>
                <c:pt idx="24">
                  <c:v>0</c:v>
                </c:pt>
                <c:pt idx="25">
                  <c:v>4.9579429303883964E-3</c:v>
                </c:pt>
                <c:pt idx="26">
                  <c:v>0</c:v>
                </c:pt>
                <c:pt idx="27">
                  <c:v>1.5860994176418075E-3</c:v>
                </c:pt>
                <c:pt idx="28">
                  <c:v>0</c:v>
                </c:pt>
                <c:pt idx="29">
                  <c:v>3.0796021228933252E-3</c:v>
                </c:pt>
                <c:pt idx="30">
                  <c:v>2.7947790065766531E-5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3.7065604577392495E-3</c:v>
                </c:pt>
                <c:pt idx="37">
                  <c:v>0</c:v>
                </c:pt>
                <c:pt idx="38">
                  <c:v>3.5208740722774957E-4</c:v>
                </c:pt>
                <c:pt idx="39">
                  <c:v>0</c:v>
                </c:pt>
                <c:pt idx="40">
                  <c:v>1.6913243315079894E-3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3.3615115552505419E-3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9.2522719598314568E-2</c:v>
                </c:pt>
                <c:pt idx="1">
                  <c:v>0.10013262274945067</c:v>
                </c:pt>
                <c:pt idx="2">
                  <c:v>9.8478508752612076E-2</c:v>
                </c:pt>
                <c:pt idx="3">
                  <c:v>0.10351915199741606</c:v>
                </c:pt>
                <c:pt idx="4">
                  <c:v>0.10529561170407999</c:v>
                </c:pt>
                <c:pt idx="5">
                  <c:v>9.0858817944689946E-2</c:v>
                </c:pt>
                <c:pt idx="6">
                  <c:v>7.2991450481797407E-2</c:v>
                </c:pt>
                <c:pt idx="7">
                  <c:v>5.5858157277856896E-2</c:v>
                </c:pt>
                <c:pt idx="8">
                  <c:v>5.5887520248214979E-2</c:v>
                </c:pt>
                <c:pt idx="9">
                  <c:v>3.6199648623121382E-2</c:v>
                </c:pt>
                <c:pt idx="10">
                  <c:v>3.0654941053837006E-2</c:v>
                </c:pt>
                <c:pt idx="11">
                  <c:v>2.6597957316028757E-2</c:v>
                </c:pt>
                <c:pt idx="12">
                  <c:v>2.3372924405032813E-2</c:v>
                </c:pt>
                <c:pt idx="13">
                  <c:v>2.1356667107111222E-2</c:v>
                </c:pt>
                <c:pt idx="14">
                  <c:v>1.5797278052647804E-2</c:v>
                </c:pt>
                <c:pt idx="15">
                  <c:v>1.4916388941905364E-2</c:v>
                </c:pt>
                <c:pt idx="16">
                  <c:v>1.0903449659634235E-2</c:v>
                </c:pt>
                <c:pt idx="17">
                  <c:v>8.696333054385115E-3</c:v>
                </c:pt>
                <c:pt idx="18">
                  <c:v>7.6294784647081568E-3</c:v>
                </c:pt>
                <c:pt idx="19">
                  <c:v>6.4353843368128456E-3</c:v>
                </c:pt>
                <c:pt idx="20">
                  <c:v>5.0063864460528828E-3</c:v>
                </c:pt>
                <c:pt idx="21">
                  <c:v>3.5529194133278523E-3</c:v>
                </c:pt>
                <c:pt idx="22">
                  <c:v>2.7258624149085588E-3</c:v>
                </c:pt>
                <c:pt idx="23">
                  <c:v>2.5007463088299346E-3</c:v>
                </c:pt>
                <c:pt idx="24">
                  <c:v>1.6051757129084512E-3</c:v>
                </c:pt>
                <c:pt idx="25">
                  <c:v>1.1647311575372298E-3</c:v>
                </c:pt>
                <c:pt idx="26">
                  <c:v>1.0179163057468226E-3</c:v>
                </c:pt>
                <c:pt idx="27">
                  <c:v>8.2216317002627983E-4</c:v>
                </c:pt>
                <c:pt idx="28">
                  <c:v>5.0406432448039777E-4</c:v>
                </c:pt>
                <c:pt idx="29">
                  <c:v>5.823655787686149E-4</c:v>
                </c:pt>
                <c:pt idx="30">
                  <c:v>3.7193095786903135E-4</c:v>
                </c:pt>
                <c:pt idx="31">
                  <c:v>4.4533838376423495E-4</c:v>
                </c:pt>
                <c:pt idx="32">
                  <c:v>3.523556442969771E-4</c:v>
                </c:pt>
                <c:pt idx="33">
                  <c:v>2.2511610607862424E-4</c:v>
                </c:pt>
                <c:pt idx="34">
                  <c:v>1.7617782214848855E-4</c:v>
                </c:pt>
                <c:pt idx="35">
                  <c:v>1.2234570982533926E-4</c:v>
                </c:pt>
                <c:pt idx="36">
                  <c:v>1.0766422464629856E-4</c:v>
                </c:pt>
                <c:pt idx="37">
                  <c:v>9.7876567860271415E-5</c:v>
                </c:pt>
                <c:pt idx="38">
                  <c:v>1.0766422464629856E-4</c:v>
                </c:pt>
                <c:pt idx="39">
                  <c:v>3.9150627144108566E-5</c:v>
                </c:pt>
                <c:pt idx="40">
                  <c:v>5.3832112323149278E-5</c:v>
                </c:pt>
                <c:pt idx="41">
                  <c:v>5.8725940716162849E-5</c:v>
                </c:pt>
                <c:pt idx="42">
                  <c:v>4.4044455537122137E-5</c:v>
                </c:pt>
                <c:pt idx="43">
                  <c:v>5.3832112323149278E-5</c:v>
                </c:pt>
                <c:pt idx="44">
                  <c:v>2.4469141965067854E-5</c:v>
                </c:pt>
                <c:pt idx="45">
                  <c:v>2.4469141965067854E-5</c:v>
                </c:pt>
                <c:pt idx="46">
                  <c:v>2.9362970358081425E-5</c:v>
                </c:pt>
                <c:pt idx="47">
                  <c:v>4.8938283930135708E-6</c:v>
                </c:pt>
                <c:pt idx="48">
                  <c:v>2.4469141965067854E-5</c:v>
                </c:pt>
                <c:pt idx="49">
                  <c:v>9.7876567860271415E-6</c:v>
                </c:pt>
                <c:pt idx="50">
                  <c:v>4.8938283930135708E-6</c:v>
                </c:pt>
                <c:pt idx="51">
                  <c:v>4.8938283930135708E-6</c:v>
                </c:pt>
                <c:pt idx="52">
                  <c:v>0</c:v>
                </c:pt>
                <c:pt idx="53">
                  <c:v>4.8938283930135708E-6</c:v>
                </c:pt>
                <c:pt idx="54">
                  <c:v>9.7876567860271415E-6</c:v>
                </c:pt>
                <c:pt idx="55">
                  <c:v>4.8938283930135708E-6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4.8938283930135708E-6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45208"/>
        <c:axId val="131343640"/>
      </c:lineChart>
      <c:catAx>
        <c:axId val="131345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343640"/>
        <c:crosses val="autoZero"/>
        <c:auto val="1"/>
        <c:lblAlgn val="ctr"/>
        <c:lblOffset val="100"/>
        <c:tickLblSkip val="10"/>
        <c:noMultiLvlLbl val="0"/>
      </c:catAx>
      <c:valAx>
        <c:axId val="1313436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1345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1.8533693667124485E-3</c:v>
                </c:pt>
                <c:pt idx="1">
                  <c:v>1.2136554212625229E-2</c:v>
                </c:pt>
                <c:pt idx="2">
                  <c:v>1.7940280219590567E-2</c:v>
                </c:pt>
                <c:pt idx="3">
                  <c:v>3.2832675636525616E-2</c:v>
                </c:pt>
                <c:pt idx="4">
                  <c:v>6.6114695213156841E-2</c:v>
                </c:pt>
                <c:pt idx="5">
                  <c:v>3.6495448270626195E-2</c:v>
                </c:pt>
                <c:pt idx="6">
                  <c:v>7.5131177886538641E-2</c:v>
                </c:pt>
                <c:pt idx="7">
                  <c:v>8.864647476271395E-2</c:v>
                </c:pt>
                <c:pt idx="8">
                  <c:v>6.6454356632825243E-2</c:v>
                </c:pt>
                <c:pt idx="9">
                  <c:v>8.0930761464156301E-2</c:v>
                </c:pt>
                <c:pt idx="10">
                  <c:v>3.6422419748679817E-2</c:v>
                </c:pt>
                <c:pt idx="11">
                  <c:v>1.2116999180108065E-2</c:v>
                </c:pt>
                <c:pt idx="12">
                  <c:v>2.3807531095490077E-2</c:v>
                </c:pt>
                <c:pt idx="13">
                  <c:v>1.163753314687381E-2</c:v>
                </c:pt>
                <c:pt idx="14">
                  <c:v>1.4728478035008506E-2</c:v>
                </c:pt>
                <c:pt idx="15">
                  <c:v>2.409245756271881E-2</c:v>
                </c:pt>
                <c:pt idx="16">
                  <c:v>1.4045200481262225E-2</c:v>
                </c:pt>
                <c:pt idx="17">
                  <c:v>1.0267349960026158E-2</c:v>
                </c:pt>
                <c:pt idx="18">
                  <c:v>3.9278299499246487E-2</c:v>
                </c:pt>
                <c:pt idx="19">
                  <c:v>2.7075340614753401E-2</c:v>
                </c:pt>
                <c:pt idx="20">
                  <c:v>1.6222307807775862E-2</c:v>
                </c:pt>
                <c:pt idx="21">
                  <c:v>1.7192300288948303E-2</c:v>
                </c:pt>
                <c:pt idx="22">
                  <c:v>5.7473215622706542E-3</c:v>
                </c:pt>
                <c:pt idx="23">
                  <c:v>6.8802874209520195E-3</c:v>
                </c:pt>
                <c:pt idx="24">
                  <c:v>5.2849387628788715E-3</c:v>
                </c:pt>
                <c:pt idx="25">
                  <c:v>9.9089873889563057E-3</c:v>
                </c:pt>
                <c:pt idx="26">
                  <c:v>1.7765038562330322E-2</c:v>
                </c:pt>
                <c:pt idx="27">
                  <c:v>5.425008685172354E-3</c:v>
                </c:pt>
                <c:pt idx="28">
                  <c:v>6.3428404162677457E-3</c:v>
                </c:pt>
                <c:pt idx="29">
                  <c:v>2.2469809924777949E-2</c:v>
                </c:pt>
                <c:pt idx="30">
                  <c:v>9.8757238095735483E-3</c:v>
                </c:pt>
                <c:pt idx="31">
                  <c:v>8.6765787396476911E-3</c:v>
                </c:pt>
                <c:pt idx="32">
                  <c:v>3.1620970627114109E-2</c:v>
                </c:pt>
                <c:pt idx="33">
                  <c:v>4.4690060647111576E-3</c:v>
                </c:pt>
                <c:pt idx="34">
                  <c:v>4.166308847688812E-3</c:v>
                </c:pt>
                <c:pt idx="35">
                  <c:v>2.9165185593388772E-3</c:v>
                </c:pt>
                <c:pt idx="36">
                  <c:v>9.2489710074683297E-3</c:v>
                </c:pt>
                <c:pt idx="37">
                  <c:v>1.3257036208821965E-2</c:v>
                </c:pt>
                <c:pt idx="38">
                  <c:v>2.7259948031009605E-3</c:v>
                </c:pt>
                <c:pt idx="39">
                  <c:v>6.3676222052250131E-3</c:v>
                </c:pt>
                <c:pt idx="40">
                  <c:v>6.1336520656874284E-4</c:v>
                </c:pt>
                <c:pt idx="41">
                  <c:v>1.4142964963366385E-3</c:v>
                </c:pt>
                <c:pt idx="42">
                  <c:v>1.6897419196332073E-3</c:v>
                </c:pt>
                <c:pt idx="43">
                  <c:v>1.5860994176418071E-3</c:v>
                </c:pt>
                <c:pt idx="44">
                  <c:v>2.8781242154663519E-3</c:v>
                </c:pt>
                <c:pt idx="45">
                  <c:v>2.9597263670491395E-3</c:v>
                </c:pt>
                <c:pt idx="46">
                  <c:v>7.4173882548051566E-3</c:v>
                </c:pt>
                <c:pt idx="47">
                  <c:v>1.829375082492823E-3</c:v>
                </c:pt>
                <c:pt idx="48">
                  <c:v>3.2426790412968844E-2</c:v>
                </c:pt>
                <c:pt idx="49">
                  <c:v>6.4631561428068847E-3</c:v>
                </c:pt>
                <c:pt idx="50">
                  <c:v>0</c:v>
                </c:pt>
                <c:pt idx="51">
                  <c:v>4.724015638347877E-3</c:v>
                </c:pt>
                <c:pt idx="52">
                  <c:v>1.0773566562391459E-3</c:v>
                </c:pt>
                <c:pt idx="53">
                  <c:v>2.8510153073390662E-3</c:v>
                </c:pt>
                <c:pt idx="54">
                  <c:v>2.4236248796727644E-3</c:v>
                </c:pt>
                <c:pt idx="55">
                  <c:v>0</c:v>
                </c:pt>
                <c:pt idx="56">
                  <c:v>1.2502270404005013E-3</c:v>
                </c:pt>
                <c:pt idx="57">
                  <c:v>0</c:v>
                </c:pt>
                <c:pt idx="58">
                  <c:v>4.3043505819000899E-3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4.3848702401401594E-3</c:v>
                </c:pt>
                <c:pt idx="1">
                  <c:v>1.7431816735914339E-2</c:v>
                </c:pt>
                <c:pt idx="2">
                  <c:v>2.0260449547076183E-2</c:v>
                </c:pt>
                <c:pt idx="3">
                  <c:v>2.7449483456413116E-2</c:v>
                </c:pt>
                <c:pt idx="4">
                  <c:v>3.2289479737103541E-2</c:v>
                </c:pt>
                <c:pt idx="5">
                  <c:v>3.9351274108222124E-2</c:v>
                </c:pt>
                <c:pt idx="6">
                  <c:v>4.3300593621384074E-2</c:v>
                </c:pt>
                <c:pt idx="7">
                  <c:v>4.9882792809987322E-2</c:v>
                </c:pt>
                <c:pt idx="8">
                  <c:v>5.0920284429306205E-2</c:v>
                </c:pt>
                <c:pt idx="9">
                  <c:v>4.8527202345122568E-2</c:v>
                </c:pt>
                <c:pt idx="10">
                  <c:v>4.6290722769515368E-2</c:v>
                </c:pt>
                <c:pt idx="11">
                  <c:v>4.520429286626635E-2</c:v>
                </c:pt>
                <c:pt idx="12">
                  <c:v>3.7217564928868206E-2</c:v>
                </c:pt>
                <c:pt idx="13">
                  <c:v>3.1932230264413546E-2</c:v>
                </c:pt>
                <c:pt idx="14">
                  <c:v>2.6226026358159724E-2</c:v>
                </c:pt>
                <c:pt idx="15">
                  <c:v>2.5487058270814676E-2</c:v>
                </c:pt>
                <c:pt idx="16">
                  <c:v>2.4180406089880053E-2</c:v>
                </c:pt>
                <c:pt idx="17">
                  <c:v>2.6015591737260143E-2</c:v>
                </c:pt>
                <c:pt idx="18">
                  <c:v>2.6000910252081101E-2</c:v>
                </c:pt>
                <c:pt idx="19">
                  <c:v>2.9778945771487576E-2</c:v>
                </c:pt>
                <c:pt idx="20">
                  <c:v>2.545280147206358E-2</c:v>
                </c:pt>
                <c:pt idx="21">
                  <c:v>2.4831285266150856E-2</c:v>
                </c:pt>
                <c:pt idx="22">
                  <c:v>2.4155936947914985E-2</c:v>
                </c:pt>
                <c:pt idx="23">
                  <c:v>2.3818262788797048E-2</c:v>
                </c:pt>
                <c:pt idx="24">
                  <c:v>1.8821663999530194E-2</c:v>
                </c:pt>
                <c:pt idx="25">
                  <c:v>1.761288838645584E-2</c:v>
                </c:pt>
                <c:pt idx="26">
                  <c:v>1.8366537958979929E-2</c:v>
                </c:pt>
                <c:pt idx="27">
                  <c:v>1.4382961647066884E-2</c:v>
                </c:pt>
                <c:pt idx="28">
                  <c:v>1.4838087687617145E-2</c:v>
                </c:pt>
                <c:pt idx="29">
                  <c:v>1.3291637915424858E-2</c:v>
                </c:pt>
                <c:pt idx="30">
                  <c:v>1.093770645838533E-2</c:v>
                </c:pt>
                <c:pt idx="31">
                  <c:v>1.00617111760359E-2</c:v>
                </c:pt>
                <c:pt idx="32">
                  <c:v>9.097626982612227E-3</c:v>
                </c:pt>
                <c:pt idx="33">
                  <c:v>8.5348367174156673E-3</c:v>
                </c:pt>
                <c:pt idx="34">
                  <c:v>7.0471128859395417E-3</c:v>
                </c:pt>
                <c:pt idx="35">
                  <c:v>6.4353843368128456E-3</c:v>
                </c:pt>
                <c:pt idx="36">
                  <c:v>4.9378728485506927E-3</c:v>
                </c:pt>
                <c:pt idx="37">
                  <c:v>4.7519073696161767E-3</c:v>
                </c:pt>
                <c:pt idx="38">
                  <c:v>5.0308555880179502E-3</c:v>
                </c:pt>
                <c:pt idx="39">
                  <c:v>3.9003812292318159E-3</c:v>
                </c:pt>
                <c:pt idx="40">
                  <c:v>3.5676008985068928E-3</c:v>
                </c:pt>
                <c:pt idx="41">
                  <c:v>3.1467316567077258E-3</c:v>
                </c:pt>
                <c:pt idx="42">
                  <c:v>2.965660006166224E-3</c:v>
                </c:pt>
                <c:pt idx="43">
                  <c:v>2.5154277940089751E-3</c:v>
                </c:pt>
                <c:pt idx="44">
                  <c:v>2.4322327113277444E-3</c:v>
                </c:pt>
                <c:pt idx="45">
                  <c:v>2.4420203681137717E-3</c:v>
                </c:pt>
                <c:pt idx="46">
                  <c:v>1.913486901668306E-3</c:v>
                </c:pt>
                <c:pt idx="47">
                  <c:v>1.7568843930918718E-3</c:v>
                </c:pt>
                <c:pt idx="48">
                  <c:v>1.5317682870132476E-3</c:v>
                </c:pt>
                <c:pt idx="49">
                  <c:v>1.3653781216507862E-3</c:v>
                </c:pt>
                <c:pt idx="50">
                  <c:v>1.2381385834324334E-3</c:v>
                </c:pt>
                <c:pt idx="51">
                  <c:v>1.2577138970044875E-3</c:v>
                </c:pt>
                <c:pt idx="52">
                  <c:v>1.0423854477118906E-3</c:v>
                </c:pt>
                <c:pt idx="53">
                  <c:v>9.5429653663764631E-4</c:v>
                </c:pt>
                <c:pt idx="54">
                  <c:v>9.3472122306559194E-4</c:v>
                </c:pt>
                <c:pt idx="55">
                  <c:v>8.4173848359833409E-4</c:v>
                </c:pt>
                <c:pt idx="56">
                  <c:v>7.5364957252408988E-4</c:v>
                </c:pt>
                <c:pt idx="57">
                  <c:v>8.1237551324025276E-4</c:v>
                </c:pt>
                <c:pt idx="58">
                  <c:v>6.9002980341491347E-4</c:v>
                </c:pt>
                <c:pt idx="59">
                  <c:v>5.2853346644546567E-4</c:v>
                </c:pt>
                <c:pt idx="60">
                  <c:v>9.2982739467257841E-4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45992"/>
        <c:axId val="131348736"/>
      </c:lineChart>
      <c:catAx>
        <c:axId val="1313459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348736"/>
        <c:crosses val="autoZero"/>
        <c:auto val="1"/>
        <c:lblAlgn val="ctr"/>
        <c:lblOffset val="100"/>
        <c:tickLblSkip val="10"/>
        <c:noMultiLvlLbl val="0"/>
      </c:catAx>
      <c:valAx>
        <c:axId val="1313487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13459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0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11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<Relationship Id="rId1" Target="../charts/chart12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B102"/>
  <sheetViews>
    <sheetView tabSelected="1" topLeftCell="O1" workbookViewId="0">
      <selection activeCell="T21" sqref="T2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20" max="20" bestFit="true" customWidth="true" width="15.28515625" collapsed="true"/>
    <col min="21" max="21" bestFit="true" customWidth="true" width="14.28515625" collapsed="true"/>
    <col min="23" max="23" bestFit="true" customWidth="true" width="12.28515625" collapsed="true"/>
    <col min="25" max="25" bestFit="true" customWidth="true" width="14.28515625" collapsed="true"/>
    <col min="27" max="27" bestFit="true" customWidth="true" width="12.28515625" collapsed="true"/>
  </cols>
  <sheetData>
    <row r="1" spans="1:27" x14ac:dyDescent="0.25">
      <c r="A1" t="s">
        <v>1</v>
      </c>
    </row>
    <row r="2" spans="1:27" x14ac:dyDescent="0.25">
      <c r="A2" t="s">
        <v>19</v>
      </c>
    </row>
    <row r="3" spans="1:27" x14ac:dyDescent="0.25">
      <c r="A3" t="s">
        <v>20</v>
      </c>
    </row>
    <row r="4" spans="1:27" x14ac:dyDescent="0.25">
      <c r="A4" t="s">
        <v>4</v>
      </c>
    </row>
    <row r="5" spans="1:27" x14ac:dyDescent="0.25">
      <c r="A5" t="s">
        <v>6</v>
      </c>
    </row>
    <row r="7" spans="1:27" x14ac:dyDescent="0.25">
      <c r="A7" t="s">
        <v>9</v>
      </c>
      <c r="T7" t="s">
        <v>23</v>
      </c>
    </row>
    <row r="8" spans="1:27" x14ac:dyDescent="0.25">
      <c r="U8" t="s">
        <v>17</v>
      </c>
      <c r="Y8" t="s">
        <v>13</v>
      </c>
    </row>
    <row ht="15.75" r="9" spans="1:27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27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693986.08506952086</v>
      </c>
      <c r="V10" s="6">
        <f>K11</f>
        <v>5.0060949982708234</v>
      </c>
      <c r="W10" s="373">
        <f>U10*V10</f>
        <v>3474160.2693360783</v>
      </c>
      <c r="Y10" s="373">
        <f>F102</f>
        <v>651768</v>
      </c>
      <c r="Z10" s="6">
        <f>L11</f>
        <v>6.4695927941431064</v>
      </c>
      <c r="AA10" s="373">
        <f>Y10*Z10</f>
        <v>4216673.5562530644</v>
      </c>
    </row>
    <row r="11" spans="1:27" x14ac:dyDescent="0.25">
      <c r="A11">
        <v>0</v>
      </c>
      <c r="B11" s="6" t="n">
        <v>122961.193930405</v>
      </c>
      <c r="C11" s="9">
        <f>B11/B$102</f>
        <v>0.17718106540722242</v>
      </c>
      <c r="E11" s="10">
        <v>0</v>
      </c>
      <c r="F11" s="100" t="n">
        <v>71318.0</v>
      </c>
      <c r="G11" s="9">
        <f>F11/F$102</f>
        <v>0.1058060536878153</v>
      </c>
      <c r="K11" s="6" t="n">
        <v>5.006094998270823</v>
      </c>
      <c r="L11" s="6" t="n">
        <v>6.1758044339509635</v>
      </c>
      <c r="S11" t="s">
        <v>42</v>
      </c>
      <c r="T11" t="s">
        <v>27</v>
      </c>
      <c r="U11" s="373">
        <f>TLFD_Work!B102</f>
        <v>258588.19513784876</v>
      </c>
      <c r="V11" s="6">
        <f>TLFD_Work!K11</f>
        <v>8.2414167710902948</v>
      </c>
      <c r="W11" s="373">
        <f ref="W11:W16" si="0" t="shared">U11*V11</f>
        <v>2131133.0882150368</v>
      </c>
      <c r="Y11" s="373">
        <f>TLFD_Work!F102</f>
        <v>290995</v>
      </c>
      <c r="Z11" s="6">
        <f>TLFD_Work!L11</f>
        <v>8.8843427170246301</v>
      </c>
      <c r="AA11" s="373">
        <f ref="AA11:AA16" si="1" t="shared">Y11*Z11</f>
        <v>2585299.3089405824</v>
      </c>
    </row>
    <row r="12" spans="1:27" x14ac:dyDescent="0.25">
      <c r="A12">
        <v>1</v>
      </c>
      <c r="B12" s="6" t="n">
        <v>118750.5951816746</v>
      </c>
      <c r="C12" s="9">
        <f>B12/B$102</f>
        <v>0.17111379858542641</v>
      </c>
      <c r="E12" s="11">
        <v>1</v>
      </c>
      <c r="F12" s="101" t="n">
        <v>83945.0</v>
      </c>
      <c r="G12" s="9">
        <f>F12/F$102</f>
        <v>0.12691786034294411</v>
      </c>
      <c r="K12" s="6"/>
      <c r="L12" s="370"/>
      <c r="S12" t="s">
        <v>43</v>
      </c>
      <c r="T12" t="s">
        <v>28</v>
      </c>
      <c r="U12" s="373">
        <f>TLFD_School!B102</f>
        <v>104446.25818218781</v>
      </c>
      <c r="V12" s="6">
        <f>TLFD_School!K11</f>
        <v>4.5318625358887044</v>
      </c>
      <c r="W12" s="373">
        <f si="0" t="shared"/>
        <v>473336.08446961601</v>
      </c>
      <c r="Y12" s="373">
        <f>TLFD_School!F102</f>
        <v>96474</v>
      </c>
      <c r="Z12" s="6">
        <f>TLFD_School!L11</f>
        <v>4.2720068804949118</v>
      </c>
      <c r="AA12" s="373">
        <f si="1" t="shared"/>
        <v>412137.59178886615</v>
      </c>
    </row>
    <row r="13" spans="1:27" x14ac:dyDescent="0.25">
      <c r="A13">
        <v>2</v>
      </c>
      <c r="B13" s="6" t="n">
        <v>87432.9778883563</v>
      </c>
      <c r="C13" s="9">
        <f ref="C13:C76" si="2" t="shared">B13/B$102</f>
        <v>0.12598664406880378</v>
      </c>
      <c r="E13" s="12">
        <v>2</v>
      </c>
      <c r="F13" s="102" t="n">
        <v>74253.0</v>
      </c>
      <c r="G13" s="9">
        <f ref="G13:G76" si="3" t="shared">F13/F$102</f>
        <v>0.11145530311399149</v>
      </c>
      <c r="S13" t="s">
        <v>44</v>
      </c>
      <c r="T13" t="s">
        <v>29</v>
      </c>
      <c r="U13" s="373">
        <f>TLFD_Escort!B102</f>
        <v>185546.87445799081</v>
      </c>
      <c r="V13" s="6">
        <f>TLFD_Escort!K11</f>
        <v>5.2575510607641567</v>
      </c>
      <c r="W13" s="373">
        <f si="0" t="shared"/>
        <v>975522.16662808333</v>
      </c>
      <c r="Y13" s="373">
        <f>TLFD_Escort!F102</f>
        <v>138477</v>
      </c>
      <c r="Z13" s="6">
        <f>TLFD_Escort!L11</f>
        <v>5.3400532418619751</v>
      </c>
      <c r="AA13" s="373">
        <f si="1" t="shared"/>
        <v>739474.5527733207</v>
      </c>
    </row>
    <row r="14" spans="1:27" x14ac:dyDescent="0.25">
      <c r="A14">
        <v>3</v>
      </c>
      <c r="B14" s="6" t="n">
        <v>76662.4821804061</v>
      </c>
      <c r="C14" s="9">
        <f si="2" t="shared"/>
        <v>0.110466886627455</v>
      </c>
      <c r="E14" s="13">
        <v>3</v>
      </c>
      <c r="F14" s="103" t="n">
        <v>71369.0</v>
      </c>
      <c r="G14" s="9">
        <f si="3" t="shared"/>
        <v>0.10722373605331958</v>
      </c>
      <c r="S14" t="s">
        <v>45</v>
      </c>
      <c r="T14" t="s">
        <v>30</v>
      </c>
      <c r="U14" s="373">
        <f>TLFD_PerBus!B102</f>
        <v>173118.58832344893</v>
      </c>
      <c r="V14" s="6">
        <f>TLFD_PerBus!K11</f>
        <v>5.088760181863778</v>
      </c>
      <c r="W14" s="373">
        <f si="0" t="shared"/>
        <v>880958.97900083452</v>
      </c>
      <c r="Y14" s="373">
        <f>TLFD_PerBus!F102</f>
        <v>198034</v>
      </c>
      <c r="Z14" s="6">
        <f>TLFD_PerBus!L11</f>
        <v>5.3396574135173571</v>
      </c>
      <c r="AA14" s="373">
        <f si="1" t="shared"/>
        <v>1057433.7162284963</v>
      </c>
    </row>
    <row r="15" spans="1:27" x14ac:dyDescent="0.25">
      <c r="A15">
        <v>4</v>
      </c>
      <c r="B15" s="6" t="n">
        <v>56046.277685644</v>
      </c>
      <c r="C15" s="9">
        <f si="2" t="shared"/>
        <v>8.0759944459159447E-2</v>
      </c>
      <c r="E15" s="14">
        <v>4</v>
      </c>
      <c r="F15" s="104" t="n">
        <v>59633.0</v>
      </c>
      <c r="G15" s="9">
        <f si="3" t="shared"/>
        <v>8.9866332805538171E-2</v>
      </c>
      <c r="S15" t="s">
        <v>46</v>
      </c>
      <c r="T15" t="s">
        <v>31</v>
      </c>
      <c r="U15" s="373">
        <f>TLFD_Shop!B102</f>
        <v>194291.16559827578</v>
      </c>
      <c r="V15" s="6">
        <f>TLFD_Shop!K11</f>
        <v>4.252759439908437</v>
      </c>
      <c r="W15" s="373">
        <f si="0" t="shared"/>
        <v>826273.58858888072</v>
      </c>
      <c r="Y15" s="373">
        <f>TLFD_Shop!F102</f>
        <v>213639</v>
      </c>
      <c r="Z15" s="6">
        <f>TLFD_Shop!L11</f>
        <v>4.7422941342930116</v>
      </c>
      <c r="AA15" s="373">
        <f si="1" t="shared"/>
        <v>1013138.9765562247</v>
      </c>
    </row>
    <row r="16" spans="1:27" x14ac:dyDescent="0.25">
      <c r="A16">
        <v>5</v>
      </c>
      <c r="B16" s="6" t="n">
        <v>42383.1113625505</v>
      </c>
      <c r="C16" s="9">
        <f si="2" t="shared"/>
        <v>6.1071990165775046E-2</v>
      </c>
      <c r="E16" s="15">
        <v>5</v>
      </c>
      <c r="F16" s="105" t="n">
        <v>49705.0</v>
      </c>
      <c r="G16" s="9">
        <f si="3" t="shared"/>
        <v>7.6340047378821912E-2</v>
      </c>
      <c r="S16" t="s">
        <v>34</v>
      </c>
      <c r="T16" t="s">
        <v>48</v>
      </c>
      <c r="U16" s="6">
        <f>TLFD_Meal!B102</f>
        <v>93465.630610357519</v>
      </c>
      <c r="V16" s="6">
        <f>TLFD_Meal!K11</f>
        <v>3.3054569253799677</v>
      </c>
      <c r="W16" s="373">
        <f si="0" t="shared"/>
        <v>308946.61598601216</v>
      </c>
      <c r="Y16" s="6">
        <f>TLFD_Meal!F102</f>
        <v>109842</v>
      </c>
      <c r="Z16" s="6">
        <f>TLFD_Meal!L11</f>
        <v>4.578454601554685</v>
      </c>
      <c r="AA16" s="373">
        <f si="1" t="shared"/>
        <v>502906.61034396972</v>
      </c>
    </row>
    <row r="17" spans="1:28" x14ac:dyDescent="0.25">
      <c r="A17">
        <v>6</v>
      </c>
      <c r="B17" s="6" t="n">
        <v>17903.5012999083</v>
      </c>
      <c r="C17" s="9">
        <f si="2" t="shared"/>
        <v>2.5798069565205761E-2</v>
      </c>
      <c r="E17" s="16">
        <v>6</v>
      </c>
      <c r="F17" s="106" t="n">
        <v>39223.0</v>
      </c>
      <c r="G17" s="9">
        <f si="3" t="shared"/>
        <v>5.9235801696309119E-2</v>
      </c>
      <c r="S17" t="s">
        <v>47</v>
      </c>
      <c r="T17" t="s">
        <v>32</v>
      </c>
      <c r="U17" s="373">
        <f>TLFD_SocRec!B102</f>
        <v>198718.75332292667</v>
      </c>
      <c r="V17" s="6">
        <f>TLFD_SocRec!K11</f>
        <v>5.3917548890704108</v>
      </c>
      <c r="W17" s="373">
        <f>U17*V17</f>
        <v>1071442.8097788668</v>
      </c>
      <c r="Y17" s="373">
        <f>TLFD_SocRec!F102</f>
        <v>204339</v>
      </c>
      <c r="Z17" s="6">
        <f>TLFD_SocRec!L11</f>
        <v>6.2806706720509728</v>
      </c>
      <c r="AA17" s="373">
        <f>Y17*Z17</f>
        <v>1283385.9644562236</v>
      </c>
    </row>
    <row r="18" spans="1:28" x14ac:dyDescent="0.25">
      <c r="A18">
        <v>7</v>
      </c>
      <c r="B18" s="6" t="n">
        <v>21428.744203560498</v>
      </c>
      <c r="C18" s="9">
        <f si="2" t="shared"/>
        <v>3.0877772140653004E-2</v>
      </c>
      <c r="E18" s="17">
        <v>7</v>
      </c>
      <c r="F18" s="107" t="n">
        <v>30056.0</v>
      </c>
      <c r="G18" s="9">
        <f si="3" t="shared"/>
        <v>4.5025223699230399E-2</v>
      </c>
      <c r="T18" s="375" t="s">
        <v>35</v>
      </c>
      <c r="U18" s="376">
        <f>SUM(U10:U15)+U17</f>
        <v>1808695.9200921997</v>
      </c>
      <c r="V18" s="377">
        <f>W18/U18</f>
        <v>5.4364179610225252</v>
      </c>
      <c r="W18" s="376">
        <f>SUM(W10:W15)+W17</f>
        <v>9832826.9860173967</v>
      </c>
      <c r="X18" s="375"/>
      <c r="Y18" s="376">
        <f>SUM(Y10:Y15)+Y17</f>
        <v>1793726</v>
      </c>
      <c r="Z18" s="377">
        <f>AA18/Y18</f>
        <v>6.3039414420021673</v>
      </c>
      <c r="AA18" s="376">
        <f>SUM(AA10:AA15)+AA17</f>
        <v>11307543.666996779</v>
      </c>
      <c r="AB18" t="s">
        <v>38</v>
      </c>
    </row>
    <row r="19" spans="1:28" x14ac:dyDescent="0.25">
      <c r="A19">
        <v>8</v>
      </c>
      <c r="B19" s="6" t="n">
        <v>18257.3108698197</v>
      </c>
      <c r="C19" s="9">
        <f si="2" t="shared"/>
        <v>2.6307891847702901E-2</v>
      </c>
      <c r="E19" s="18">
        <v>8</v>
      </c>
      <c r="F19" s="108" t="n">
        <v>27667.0</v>
      </c>
      <c r="G19" s="9">
        <f si="3" t="shared"/>
        <v>4.2576499613359353E-2</v>
      </c>
      <c r="S19" s="375" t="s">
        <v>36</v>
      </c>
      <c r="U19" s="378">
        <f>U18+U16</f>
        <v>1902161.5507025572</v>
      </c>
      <c r="V19" s="377">
        <f>W19/U19</f>
        <v>5.3317099161517474</v>
      </c>
      <c r="W19" s="379">
        <f>W18+W16</f>
        <v>10141773.602003409</v>
      </c>
      <c r="X19" s="375"/>
      <c r="Y19" s="378">
        <f>Y18+Y16</f>
        <v>1903568</v>
      </c>
      <c r="Z19" s="377">
        <f>AA19/Y19</f>
        <v>6.2043752980407056</v>
      </c>
      <c r="AA19" s="379">
        <f>AA18+AA16</f>
        <v>11810450.277340749</v>
      </c>
      <c r="AB19" t="s">
        <v>37</v>
      </c>
    </row>
    <row r="20" spans="1:28" x14ac:dyDescent="0.25">
      <c r="A20">
        <v>9</v>
      </c>
      <c r="B20" s="6" t="n">
        <v>18567.0803536128</v>
      </c>
      <c r="C20" s="9">
        <f si="2" t="shared"/>
        <v>2.6754254520467542E-2</v>
      </c>
      <c r="E20" s="19">
        <v>9</v>
      </c>
      <c r="F20" s="109" t="n">
        <v>20536.0</v>
      </c>
      <c r="G20" s="9">
        <f si="3" t="shared"/>
        <v>3.0638202550600829E-2</v>
      </c>
    </row>
    <row r="21" spans="1:28" x14ac:dyDescent="0.25">
      <c r="A21">
        <v>10</v>
      </c>
      <c r="B21" s="6" t="n">
        <v>10295.1131637254</v>
      </c>
      <c r="C21" s="9">
        <f si="2" t="shared"/>
        <v>1.4834754450003238E-2</v>
      </c>
      <c r="E21" s="20">
        <v>10</v>
      </c>
      <c r="F21" s="110" t="n">
        <v>16144.0</v>
      </c>
      <c r="G21" s="9">
        <f si="3" t="shared"/>
        <v>2.4694369775748425E-2</v>
      </c>
    </row>
    <row r="22" spans="1:28" x14ac:dyDescent="0.25">
      <c r="A22">
        <v>11</v>
      </c>
      <c r="B22" s="6" t="n">
        <v>13282.409822918</v>
      </c>
      <c r="C22" s="9">
        <f si="2" t="shared"/>
        <v>1.9139302802573366E-2</v>
      </c>
      <c r="E22" s="21">
        <v>11</v>
      </c>
      <c r="F22" s="111" t="n">
        <v>15115.0</v>
      </c>
      <c r="G22" s="9">
        <f si="3" t="shared"/>
        <v>2.2443568877269213E-2</v>
      </c>
    </row>
    <row r="23" spans="1:28" x14ac:dyDescent="0.25">
      <c r="A23">
        <v>12</v>
      </c>
      <c r="B23" s="6" t="n">
        <v>6044.5128696158</v>
      </c>
      <c r="C23" s="9">
        <f si="2" t="shared"/>
        <v>8.7098473581214298E-3</v>
      </c>
      <c r="E23" s="22">
        <v>12</v>
      </c>
      <c r="F23" s="112" t="n">
        <v>13781.0</v>
      </c>
      <c r="G23" s="9">
        <f si="3" t="shared"/>
        <v>2.2205754194744142E-2</v>
      </c>
    </row>
    <row r="24" spans="1:28" x14ac:dyDescent="0.25">
      <c r="A24">
        <v>13</v>
      </c>
      <c r="B24" s="6" t="n">
        <v>4030.1321143392</v>
      </c>
      <c r="C24" s="9">
        <f si="2" t="shared"/>
        <v>5.8072232297503154E-3</v>
      </c>
      <c r="E24" s="23">
        <v>13</v>
      </c>
      <c r="F24" s="113" t="n">
        <v>12593.0</v>
      </c>
      <c r="G24" s="9">
        <f si="3" t="shared"/>
        <v>1.9979501908654614E-2</v>
      </c>
    </row>
    <row r="25" spans="1:28" x14ac:dyDescent="0.25">
      <c r="A25">
        <v>14</v>
      </c>
      <c r="B25" s="6" t="n">
        <v>7435.2729633985</v>
      </c>
      <c r="C25" s="9">
        <f si="2" t="shared"/>
        <v>1.0713864619711595E-2</v>
      </c>
      <c r="E25" s="24">
        <v>14</v>
      </c>
      <c r="F25" s="114" t="n">
        <v>10163.0</v>
      </c>
      <c r="G25" s="9">
        <f si="3" t="shared"/>
        <v>1.6795853739367383E-2</v>
      </c>
    </row>
    <row r="26" spans="1:28" x14ac:dyDescent="0.25">
      <c r="A26">
        <v>15</v>
      </c>
      <c r="B26" s="6" t="n">
        <v>12861.9526952537</v>
      </c>
      <c r="C26" s="9">
        <f si="2" t="shared"/>
        <v>1.8533444649636223E-2</v>
      </c>
      <c r="E26" s="25">
        <v>15</v>
      </c>
      <c r="F26" s="115" t="n">
        <v>9525.0</v>
      </c>
      <c r="G26" s="9">
        <f si="3" t="shared"/>
        <v>1.571111192939819E-2</v>
      </c>
    </row>
    <row r="27" spans="1:28" x14ac:dyDescent="0.25">
      <c r="A27">
        <v>16</v>
      </c>
      <c r="B27" s="6" t="n">
        <v>8614.0432509741</v>
      </c>
      <c r="C27" s="9">
        <f si="2" t="shared"/>
        <v>1.2412414940727779E-2</v>
      </c>
      <c r="E27" s="26">
        <v>16</v>
      </c>
      <c r="F27" s="116" t="n">
        <v>7723.0</v>
      </c>
      <c r="G27" s="9">
        <f si="3" t="shared"/>
        <v>1.2746866983343767E-2</v>
      </c>
    </row>
    <row r="28" spans="1:28" x14ac:dyDescent="0.25">
      <c r="A28">
        <v>17</v>
      </c>
      <c r="B28" s="6" t="n">
        <v>7924.726850637</v>
      </c>
      <c r="C28" s="9">
        <f si="2" t="shared"/>
        <v>1.141914372799439E-2</v>
      </c>
      <c r="E28" s="27">
        <v>17</v>
      </c>
      <c r="F28" s="117" t="n">
        <v>6665.0</v>
      </c>
      <c r="G28" s="9">
        <f si="3" t="shared"/>
        <v>1.1258607357219133E-2</v>
      </c>
    </row>
    <row r="29" spans="1:28" x14ac:dyDescent="0.25">
      <c r="A29">
        <v>18</v>
      </c>
      <c r="B29" s="6" t="n">
        <v>12097.923146775</v>
      </c>
      <c r="C29" s="9">
        <f si="2" t="shared"/>
        <v>1.7432515445267287E-2</v>
      </c>
      <c r="E29" s="28">
        <v>18</v>
      </c>
      <c r="F29" s="118" t="n">
        <v>5551.0</v>
      </c>
      <c r="G29" s="9">
        <f si="3" t="shared"/>
        <v>8.935694909845221E-3</v>
      </c>
    </row>
    <row r="30" spans="1:28" x14ac:dyDescent="0.25">
      <c r="A30">
        <v>19</v>
      </c>
      <c r="B30" s="6" t="n">
        <v>5661.2913442646</v>
      </c>
      <c r="C30" s="9">
        <f si="2" t="shared"/>
        <v>8.1576438866169405E-3</v>
      </c>
      <c r="E30" s="29">
        <v>19</v>
      </c>
      <c r="F30" s="119" t="n">
        <v>4485.0</v>
      </c>
      <c r="G30" s="9">
        <f si="3" t="shared"/>
        <v>7.8202673343889233E-3</v>
      </c>
    </row>
    <row r="31" spans="1:28" x14ac:dyDescent="0.25">
      <c r="A31">
        <v>20</v>
      </c>
      <c r="B31" s="6" t="n">
        <v>5383.9980671328</v>
      </c>
      <c r="C31" s="9">
        <f si="2" t="shared"/>
        <v>7.758077838972019E-3</v>
      </c>
      <c r="E31" s="30">
        <v>20</v>
      </c>
      <c r="F31" s="120" t="n">
        <v>3927.0</v>
      </c>
      <c r="G31" s="9">
        <f si="3" t="shared"/>
        <v>6.5207251660099911E-3</v>
      </c>
    </row>
    <row r="32" spans="1:28" x14ac:dyDescent="0.25">
      <c r="A32">
        <v>21</v>
      </c>
      <c r="B32" s="6" t="n">
        <v>1915.0846690025999</v>
      </c>
      <c r="C32" s="9">
        <f si="2" t="shared"/>
        <v>2.7595433254411061E-3</v>
      </c>
      <c r="E32" s="31">
        <v>21</v>
      </c>
      <c r="F32" s="121" t="n">
        <v>3149.0</v>
      </c>
      <c r="G32" s="9">
        <f si="3" t="shared"/>
        <v>5.7888696591425169E-3</v>
      </c>
    </row>
    <row r="33" spans="1:7" x14ac:dyDescent="0.25">
      <c r="A33">
        <v>22</v>
      </c>
      <c r="B33" s="6" t="n">
        <v>6054.699940526</v>
      </c>
      <c r="C33" s="9">
        <f si="2" t="shared"/>
        <v>8.7245264289693408E-3</v>
      </c>
      <c r="E33" s="32">
        <v>22</v>
      </c>
      <c r="F33" s="122" t="n">
        <v>2713.0</v>
      </c>
      <c r="G33" s="9">
        <f si="3" t="shared"/>
        <v>4.7256078850142994E-3</v>
      </c>
    </row>
    <row r="34" spans="1:7" x14ac:dyDescent="0.25">
      <c r="A34">
        <v>23</v>
      </c>
      <c r="B34" s="6" t="n">
        <v>2425.210001835</v>
      </c>
      <c r="C34" s="9">
        <f si="2" t="shared"/>
        <v>3.4946089756137575E-3</v>
      </c>
      <c r="E34" s="33">
        <v>23</v>
      </c>
      <c r="F34" s="123" t="n">
        <v>2335.0</v>
      </c>
      <c r="G34" s="9">
        <f si="3" t="shared"/>
        <v>4.3328300867793452E-3</v>
      </c>
    </row>
    <row r="35" spans="1:7" x14ac:dyDescent="0.25">
      <c r="A35">
        <v>24</v>
      </c>
      <c r="B35" s="6" t="n">
        <v>558.7719133334</v>
      </c>
      <c r="C35" s="9">
        <f si="2" t="shared"/>
        <v>8.0516299296897918E-4</v>
      </c>
      <c r="E35" s="34">
        <v>24</v>
      </c>
      <c r="F35" s="124" t="n">
        <v>1737.0</v>
      </c>
      <c r="G35" s="9">
        <f si="3" t="shared"/>
        <v>3.246553988535798E-3</v>
      </c>
    </row>
    <row r="36" spans="1:7" x14ac:dyDescent="0.25">
      <c r="A36">
        <v>25</v>
      </c>
      <c r="B36" s="6" t="n">
        <v>820.3334863719999</v>
      </c>
      <c r="C36" s="9">
        <f si="2" t="shared"/>
        <v>1.1820604245830406E-3</v>
      </c>
      <c r="E36" s="35">
        <v>25</v>
      </c>
      <c r="F36" s="125" t="n">
        <v>1333.0</v>
      </c>
      <c r="G36" s="9">
        <f si="3" t="shared"/>
        <v>2.7509788759190385E-3</v>
      </c>
    </row>
    <row r="37" spans="1:7" x14ac:dyDescent="0.25">
      <c r="A37">
        <v>26</v>
      </c>
      <c r="B37" s="6" t="n">
        <v>321.941783499</v>
      </c>
      <c r="C37" s="9">
        <f si="2" t="shared"/>
        <v>4.6390236119323502E-4</v>
      </c>
      <c r="E37" s="36">
        <v>26</v>
      </c>
      <c r="F37" s="126" t="n">
        <v>1302.0</v>
      </c>
      <c r="G37" s="9">
        <f si="3" t="shared"/>
        <v>2.468669833437665E-3</v>
      </c>
    </row>
    <row r="38" spans="1:7" x14ac:dyDescent="0.25">
      <c r="A38">
        <v>27</v>
      </c>
      <c r="B38" s="6" t="n">
        <v>805.453859731</v>
      </c>
      <c r="C38" s="9">
        <f si="2" t="shared"/>
        <v>1.1606196104786636E-3</v>
      </c>
      <c r="E38" s="37">
        <v>27</v>
      </c>
      <c r="F38" s="127" t="n">
        <v>1009.0</v>
      </c>
      <c r="G38" s="9">
        <f si="3" t="shared"/>
        <v>1.9347375139620233E-3</v>
      </c>
    </row>
    <row r="39" spans="1:7" x14ac:dyDescent="0.25">
      <c r="A39">
        <v>28</v>
      </c>
      <c r="B39" s="6" t="n">
        <v>0.0</v>
      </c>
      <c r="C39" s="9">
        <f si="2" t="shared"/>
        <v>0</v>
      </c>
      <c r="E39" s="38">
        <v>28</v>
      </c>
      <c r="F39" s="128" t="n">
        <v>791.0</v>
      </c>
      <c r="G39" s="9">
        <f si="3" t="shared"/>
        <v>1.5588368867449768E-3</v>
      </c>
    </row>
    <row r="40" spans="1:7" x14ac:dyDescent="0.25">
      <c r="A40">
        <v>29</v>
      </c>
      <c r="B40" s="6" t="n">
        <v>2263.771226967</v>
      </c>
      <c r="C40" s="9">
        <f si="2" t="shared"/>
        <v>3.2619835983314048E-3</v>
      </c>
      <c r="E40" s="39">
        <v>29</v>
      </c>
      <c r="F40" s="129" t="n">
        <v>676.0</v>
      </c>
      <c r="G40" s="9">
        <f si="3" t="shared"/>
        <v>1.4652453020093039E-3</v>
      </c>
    </row>
    <row r="41" spans="1:7" x14ac:dyDescent="0.25">
      <c r="A41">
        <v>30</v>
      </c>
      <c r="B41" s="6" t="n">
        <v>770.138760905</v>
      </c>
      <c r="C41" s="9">
        <f si="2" t="shared"/>
        <v>1.1097322806232499E-3</v>
      </c>
      <c r="E41" s="40">
        <v>30</v>
      </c>
      <c r="F41" s="130" t="n">
        <v>586.0</v>
      </c>
      <c r="G41" s="9">
        <f si="3" t="shared"/>
        <v>1.0601931975795069E-3</v>
      </c>
    </row>
    <row r="42" spans="1:7" x14ac:dyDescent="0.25">
      <c r="A42">
        <v>31</v>
      </c>
      <c r="B42" s="6" t="n">
        <v>338.582210178</v>
      </c>
      <c r="C42" s="9">
        <f si="2" t="shared"/>
        <v>4.8788040201711274E-4</v>
      </c>
      <c r="E42" s="41">
        <v>31</v>
      </c>
      <c r="F42" s="131" t="n">
        <v>492.0</v>
      </c>
      <c r="G42" s="9">
        <f si="3" t="shared"/>
        <v>9.2977869425930697E-4</v>
      </c>
    </row>
    <row r="43" spans="1:7" x14ac:dyDescent="0.25">
      <c r="A43">
        <v>32</v>
      </c>
      <c r="B43" s="6" t="n">
        <v>638.047822475</v>
      </c>
      <c r="C43" s="9">
        <f si="2" t="shared"/>
        <v>9.1939570000323966E-4</v>
      </c>
      <c r="E43" s="42">
        <v>32</v>
      </c>
      <c r="F43" s="132" t="n">
        <v>347.0</v>
      </c>
      <c r="G43" s="9">
        <f si="3" t="shared"/>
        <v>8.2698137987750246E-4</v>
      </c>
    </row>
    <row r="44" spans="1:7" x14ac:dyDescent="0.25">
      <c r="A44">
        <v>33</v>
      </c>
      <c r="B44" s="6" t="n">
        <v>619.342925768</v>
      </c>
      <c r="C44" s="9">
        <f si="2" t="shared"/>
        <v>8.9244285885927614E-4</v>
      </c>
      <c r="E44" s="43">
        <v>33</v>
      </c>
      <c r="F44" s="133" t="n">
        <v>340.0</v>
      </c>
      <c r="G44" s="9">
        <f si="3" t="shared"/>
        <v>6.9963545310601321E-4</v>
      </c>
    </row>
    <row r="45" spans="1:7" x14ac:dyDescent="0.25">
      <c r="A45">
        <v>34</v>
      </c>
      <c r="B45" s="6" t="n">
        <v>248.443558839</v>
      </c>
      <c r="C45" s="9">
        <f si="2" t="shared"/>
        <v>3.5799501486274304E-4</v>
      </c>
      <c r="E45" s="44">
        <v>34</v>
      </c>
      <c r="F45" s="134" t="n">
        <v>193.0</v>
      </c>
      <c r="G45" s="9">
        <f si="3" t="shared"/>
        <v>4.0351781615544183E-4</v>
      </c>
    </row>
    <row r="46" spans="1:7" x14ac:dyDescent="0.25">
      <c r="A46">
        <v>35</v>
      </c>
      <c r="B46" s="6" t="n">
        <v>619.342925768</v>
      </c>
      <c r="C46" s="9">
        <f si="2" t="shared"/>
        <v>8.9244285885927614E-4</v>
      </c>
      <c r="E46" s="45">
        <v>35</v>
      </c>
      <c r="F46" s="135" t="n">
        <v>176.0</v>
      </c>
      <c r="G46" s="9">
        <f si="3" t="shared"/>
        <v>4.1886069889899473E-4</v>
      </c>
    </row>
    <row r="47" spans="1:7" x14ac:dyDescent="0.25">
      <c r="A47">
        <v>36</v>
      </c>
      <c r="B47" s="6" t="n">
        <v>0.0</v>
      </c>
      <c r="C47" s="9">
        <f si="2" t="shared"/>
        <v>0</v>
      </c>
      <c r="E47" s="46">
        <v>36</v>
      </c>
      <c r="F47" s="136" t="n">
        <v>176.0</v>
      </c>
      <c r="G47" s="9">
        <f si="3" t="shared"/>
        <v>3.6822918584527008E-4</v>
      </c>
    </row>
    <row r="48" spans="1:7" x14ac:dyDescent="0.25">
      <c r="A48">
        <v>37</v>
      </c>
      <c r="B48" s="6" t="n">
        <v>0.0</v>
      </c>
      <c r="C48" s="9">
        <f si="2" t="shared"/>
        <v>0</v>
      </c>
      <c r="E48" s="47">
        <v>37</v>
      </c>
      <c r="F48" s="137" t="n">
        <v>117.0</v>
      </c>
      <c r="G48" s="9">
        <f si="3" t="shared"/>
        <v>2.8384333075572905E-4</v>
      </c>
    </row>
    <row r="49" spans="1:7" x14ac:dyDescent="0.25">
      <c r="A49">
        <v>38</v>
      </c>
      <c r="B49" s="6" t="n">
        <v>481.758028516</v>
      </c>
      <c r="C49" s="9">
        <f si="2" t="shared"/>
        <v>6.9418975233161823E-4</v>
      </c>
      <c r="E49" s="48">
        <v>38</v>
      </c>
      <c r="F49" s="138" t="n">
        <v>121.0</v>
      </c>
      <c r="G49" s="9">
        <f si="3" t="shared"/>
        <v>2.685004480121761E-4</v>
      </c>
    </row>
    <row r="50" spans="1:7" x14ac:dyDescent="0.25">
      <c r="A50">
        <v>39</v>
      </c>
      <c r="B50" s="6" t="n">
        <v>724.504706334</v>
      </c>
      <c r="C50" s="9">
        <f si="2" t="shared"/>
        <v>1.0439758403245534E-3</v>
      </c>
      <c r="E50" s="49">
        <v>39</v>
      </c>
      <c r="F50" s="139" t="n">
        <v>131.0</v>
      </c>
      <c r="G50" s="9">
        <f si="3" t="shared"/>
        <v>3.1759767279154543E-4</v>
      </c>
    </row>
    <row r="51" spans="1:7" x14ac:dyDescent="0.25">
      <c r="A51">
        <v>40</v>
      </c>
      <c r="B51" s="6" t="n">
        <v>356.0060045</v>
      </c>
      <c r="C51" s="9">
        <f si="2" t="shared"/>
        <v>5.1298723729357868E-4</v>
      </c>
      <c r="E51" s="50">
        <v>40</v>
      </c>
      <c r="F51" s="140" t="n">
        <v>92.0</v>
      </c>
      <c r="G51" s="9">
        <f si="3" t="shared"/>
        <v>2.3781468252507027E-4</v>
      </c>
    </row>
    <row r="52" spans="1:7" x14ac:dyDescent="0.25">
      <c r="A52">
        <v>41</v>
      </c>
      <c r="B52" s="6" t="n">
        <v>0.0</v>
      </c>
      <c r="C52" s="9">
        <f si="2" t="shared"/>
        <v>0</v>
      </c>
      <c r="E52" s="51">
        <v>41</v>
      </c>
      <c r="F52" s="141" t="n">
        <v>61.0</v>
      </c>
      <c r="G52" s="9">
        <f si="3" t="shared"/>
        <v>2.132660701353856E-4</v>
      </c>
    </row>
    <row r="53" spans="1:7" x14ac:dyDescent="0.25">
      <c r="A53">
        <v>42</v>
      </c>
      <c r="B53" s="6" t="n">
        <v>0.0</v>
      </c>
      <c r="C53" s="9">
        <f si="2" t="shared"/>
        <v>0</v>
      </c>
      <c r="E53" s="52">
        <v>42</v>
      </c>
      <c r="F53" s="142" t="n">
        <v>79.0</v>
      </c>
      <c r="G53" s="9">
        <f si="3" t="shared"/>
        <v>1.4882596261246332E-4</v>
      </c>
    </row>
    <row r="54" spans="1:7" x14ac:dyDescent="0.25">
      <c r="A54">
        <v>43</v>
      </c>
      <c r="B54" s="6" t="n">
        <v>0.0</v>
      </c>
      <c r="C54" s="9">
        <f si="2" t="shared"/>
        <v>0</v>
      </c>
      <c r="E54" s="53">
        <v>43</v>
      </c>
      <c r="F54" s="143" t="n">
        <v>46.0</v>
      </c>
      <c r="G54" s="9">
        <f si="3" t="shared"/>
        <v>1.3808594469197629E-4</v>
      </c>
    </row>
    <row r="55" spans="1:7" x14ac:dyDescent="0.25">
      <c r="A55">
        <v>44</v>
      </c>
      <c r="B55" s="6" t="n">
        <v>0.0</v>
      </c>
      <c r="C55" s="9">
        <f si="2" t="shared"/>
        <v>0</v>
      </c>
      <c r="E55" s="54">
        <v>44</v>
      </c>
      <c r="F55" s="144" t="n">
        <v>59.0</v>
      </c>
      <c r="G55" s="9">
        <f si="3" t="shared"/>
        <v>2.0406034048925384E-4</v>
      </c>
    </row>
    <row r="56" spans="1:7" x14ac:dyDescent="0.25">
      <c r="A56">
        <v>45</v>
      </c>
      <c r="B56" s="6" t="n">
        <v>0.0</v>
      </c>
      <c r="C56" s="9">
        <f si="2" t="shared"/>
        <v>0</v>
      </c>
      <c r="E56" s="55">
        <v>45</v>
      </c>
      <c r="F56" s="145" t="n">
        <v>65.0</v>
      </c>
      <c r="G56" s="9">
        <f si="3" t="shared"/>
        <v>1.1814019712535749E-4</v>
      </c>
    </row>
    <row r="57" spans="1:7" x14ac:dyDescent="0.25">
      <c r="A57">
        <v>46</v>
      </c>
      <c r="B57" s="6" t="n">
        <v>0.0</v>
      </c>
      <c r="C57" s="9">
        <f si="2" t="shared"/>
        <v>0</v>
      </c>
      <c r="E57" s="56">
        <v>46</v>
      </c>
      <c r="F57" s="146" t="n">
        <v>51.0</v>
      </c>
      <c r="G57" s="9">
        <f si="3" t="shared"/>
        <v>1.549631157098845E-4</v>
      </c>
    </row>
    <row r="58" spans="1:7" x14ac:dyDescent="0.25">
      <c r="A58">
        <v>47</v>
      </c>
      <c r="B58" s="6" t="n">
        <v>0.0</v>
      </c>
      <c r="C58" s="9">
        <f si="2" t="shared"/>
        <v>0</v>
      </c>
      <c r="E58" s="57">
        <v>47</v>
      </c>
      <c r="F58" s="147" t="n">
        <v>27.0</v>
      </c>
      <c r="G58" s="9">
        <f si="3" t="shared"/>
        <v>1.0740017920487045E-4</v>
      </c>
    </row>
    <row r="59" spans="1:7" x14ac:dyDescent="0.25">
      <c r="A59">
        <v>48</v>
      </c>
      <c r="B59" s="6" t="n">
        <v>0.0</v>
      </c>
      <c r="C59" s="9">
        <f si="2" t="shared"/>
        <v>0</v>
      </c>
      <c r="E59" s="58">
        <v>48</v>
      </c>
      <c r="F59" s="148" t="n">
        <v>33.0</v>
      </c>
      <c r="G59" s="9">
        <f si="3" t="shared"/>
        <v>1.0126302610744927E-4</v>
      </c>
    </row>
    <row r="60" spans="1:7" x14ac:dyDescent="0.25">
      <c r="A60">
        <v>49</v>
      </c>
      <c r="B60" s="6" t="n">
        <v>0.0</v>
      </c>
      <c r="C60" s="9">
        <f si="2" t="shared"/>
        <v>0</v>
      </c>
      <c r="E60" s="59">
        <v>49</v>
      </c>
      <c r="F60" s="149" t="n">
        <v>29.0</v>
      </c>
      <c r="G60" s="9">
        <f si="3" t="shared"/>
        <v>1.1814019712535749E-4</v>
      </c>
    </row>
    <row r="61" spans="1:7" x14ac:dyDescent="0.25">
      <c r="A61">
        <v>50</v>
      </c>
      <c r="B61" s="6" t="n">
        <v>0.0</v>
      </c>
      <c r="C61" s="9">
        <f si="2" t="shared"/>
        <v>0</v>
      </c>
      <c r="E61" s="60">
        <v>50</v>
      </c>
      <c r="F61" s="150" t="n">
        <v>30.0</v>
      </c>
      <c r="G61" s="9">
        <f si="3" t="shared"/>
        <v>8.7454431638251651E-5</v>
      </c>
    </row>
    <row r="62" spans="1:7" x14ac:dyDescent="0.25">
      <c r="A62">
        <v>51</v>
      </c>
      <c r="B62" s="6" t="n">
        <v>0.0</v>
      </c>
      <c r="C62" s="9">
        <f si="2" t="shared"/>
        <v>0</v>
      </c>
      <c r="E62" s="61">
        <v>51</v>
      </c>
      <c r="F62" s="151" t="n">
        <v>19.0</v>
      </c>
      <c r="G62" s="9">
        <f si="3" t="shared"/>
        <v>6.7508684071632854E-5</v>
      </c>
    </row>
    <row r="63" spans="1:7" x14ac:dyDescent="0.25">
      <c r="A63">
        <v>52</v>
      </c>
      <c r="B63" s="6" t="n">
        <v>0.0</v>
      </c>
      <c r="C63" s="9">
        <f si="2" t="shared"/>
        <v>0</v>
      </c>
      <c r="E63" s="62">
        <v>52</v>
      </c>
      <c r="F63" s="152" t="n">
        <v>10.0</v>
      </c>
      <c r="G63" s="9">
        <f si="3" t="shared"/>
        <v>3.3754342035816427E-5</v>
      </c>
    </row>
    <row r="64" spans="1:7" x14ac:dyDescent="0.25">
      <c r="A64">
        <v>53</v>
      </c>
      <c r="B64" s="6" t="n">
        <v>0.0</v>
      </c>
      <c r="C64" s="9">
        <f si="2" t="shared"/>
        <v>0</v>
      </c>
      <c r="E64" s="63">
        <v>53</v>
      </c>
      <c r="F64" s="153" t="n">
        <v>4.0</v>
      </c>
      <c r="G64" s="9">
        <f si="3" t="shared"/>
        <v>3.3754342035816427E-5</v>
      </c>
    </row>
    <row r="65" spans="1:7" x14ac:dyDescent="0.25">
      <c r="A65">
        <v>54</v>
      </c>
      <c r="B65" s="6" t="n">
        <v>0.0</v>
      </c>
      <c r="C65" s="9">
        <f si="2" t="shared"/>
        <v>0</v>
      </c>
      <c r="E65" s="64">
        <v>54</v>
      </c>
      <c r="F65" s="154" t="n">
        <v>5.0</v>
      </c>
      <c r="G65" s="9">
        <f si="3" t="shared"/>
        <v>3.3754342035816427E-5</v>
      </c>
    </row>
    <row r="66" spans="1:7" x14ac:dyDescent="0.25">
      <c r="A66">
        <v>55</v>
      </c>
      <c r="B66" s="6" t="n">
        <v>0.0</v>
      </c>
      <c r="C66" s="9">
        <f si="2" t="shared"/>
        <v>0</v>
      </c>
      <c r="E66" s="65">
        <v>55</v>
      </c>
      <c r="F66" s="155" t="n">
        <v>1.0</v>
      </c>
      <c r="G66" s="9">
        <f si="3" t="shared"/>
        <v>2.7617188938395257E-5</v>
      </c>
    </row>
    <row r="67" spans="1:7" x14ac:dyDescent="0.25">
      <c r="A67">
        <v>56</v>
      </c>
      <c r="B67" s="6" t="n">
        <v>0.0</v>
      </c>
      <c r="C67" s="9">
        <f si="2" t="shared"/>
        <v>0</v>
      </c>
      <c r="E67" s="66">
        <v>56</v>
      </c>
      <c r="F67" s="156" t="n">
        <v>6.0</v>
      </c>
      <c r="G67" s="9">
        <f si="3" t="shared"/>
        <v>1.534288274355292E-5</v>
      </c>
    </row>
    <row r="68" spans="1:7" x14ac:dyDescent="0.25">
      <c r="A68">
        <v>57</v>
      </c>
      <c r="B68" s="6" t="n">
        <v>0.0</v>
      </c>
      <c r="C68" s="9">
        <f si="2" t="shared"/>
        <v>0</v>
      </c>
      <c r="E68" s="67">
        <v>57</v>
      </c>
      <c r="F68" s="157" t="n">
        <v>4.0</v>
      </c>
      <c r="G68" s="9">
        <f si="3" t="shared"/>
        <v>1.8411459292263503E-5</v>
      </c>
    </row>
    <row r="69" spans="1:7" x14ac:dyDescent="0.25">
      <c r="A69">
        <v>58</v>
      </c>
      <c r="B69" s="6" t="n">
        <v>0.0</v>
      </c>
      <c r="C69" s="9">
        <f si="2" t="shared"/>
        <v>0</v>
      </c>
      <c r="E69" s="68">
        <v>58</v>
      </c>
      <c r="F69" s="158" t="n">
        <v>0.0</v>
      </c>
      <c r="G69" s="9">
        <f si="3" t="shared"/>
        <v>2.915147721275055E-5</v>
      </c>
    </row>
    <row r="70" spans="1:7" x14ac:dyDescent="0.25">
      <c r="A70">
        <v>59</v>
      </c>
      <c r="B70" s="6" t="n">
        <v>0.0</v>
      </c>
      <c r="C70" s="9">
        <f si="2" t="shared"/>
        <v>0</v>
      </c>
      <c r="E70" s="69">
        <v>59</v>
      </c>
      <c r="F70" s="159" t="n">
        <v>5.0</v>
      </c>
      <c r="G70" s="9">
        <f si="3" t="shared"/>
        <v>1.8411459292263503E-5</v>
      </c>
    </row>
    <row r="71" spans="1:7" x14ac:dyDescent="0.25">
      <c r="A71">
        <v>60</v>
      </c>
      <c r="B71" s="6" t="n">
        <v>0.0</v>
      </c>
      <c r="C71" s="9">
        <f si="2" t="shared"/>
        <v>0</v>
      </c>
      <c r="E71" s="70">
        <v>60</v>
      </c>
      <c r="F71" s="160" t="n">
        <v>2.0</v>
      </c>
      <c r="G71" s="9">
        <f si="3" t="shared"/>
        <v>2.148003584097409E-5</v>
      </c>
    </row>
    <row r="72" spans="1:7" x14ac:dyDescent="0.25">
      <c r="A72">
        <v>61</v>
      </c>
      <c r="B72" s="6" t="n">
        <v>0.0</v>
      </c>
      <c r="C72" s="9">
        <f si="2" t="shared"/>
        <v>0</v>
      </c>
      <c r="E72" s="71">
        <v>61</v>
      </c>
      <c r="F72" s="161" t="n">
        <v>1.0</v>
      </c>
      <c r="G72" s="9">
        <f si="3" t="shared"/>
        <v>6.1371530974211684E-6</v>
      </c>
    </row>
    <row r="73" spans="1:7" x14ac:dyDescent="0.25">
      <c r="A73">
        <v>62</v>
      </c>
      <c r="B73" s="6" t="n">
        <v>0.0</v>
      </c>
      <c r="C73" s="9">
        <f si="2" t="shared"/>
        <v>0</v>
      </c>
      <c r="E73" s="72">
        <v>62</v>
      </c>
      <c r="F73" s="162" t="n">
        <v>2.0</v>
      </c>
      <c r="G73" s="9">
        <f si="3" t="shared"/>
        <v>9.2057296461317517E-6</v>
      </c>
    </row>
    <row r="74" spans="1:7" x14ac:dyDescent="0.25">
      <c r="A74">
        <v>63</v>
      </c>
      <c r="B74" s="6" t="n">
        <v>0.0</v>
      </c>
      <c r="C74" s="9">
        <f si="2" t="shared"/>
        <v>0</v>
      </c>
      <c r="E74" s="73">
        <v>63</v>
      </c>
      <c r="F74" s="163" t="n">
        <v>0.0</v>
      </c>
      <c r="G74" s="9">
        <f si="3" t="shared"/>
        <v>4.6028648230658759E-6</v>
      </c>
    </row>
    <row r="75" spans="1:7" x14ac:dyDescent="0.25">
      <c r="A75">
        <v>64</v>
      </c>
      <c r="B75" s="6" t="n">
        <v>0.0</v>
      </c>
      <c r="C75" s="9">
        <f si="2" t="shared"/>
        <v>0</v>
      </c>
      <c r="E75" s="74">
        <v>64</v>
      </c>
      <c r="F75" s="164" t="n">
        <v>1.0</v>
      </c>
      <c r="G75" s="9">
        <f si="3" t="shared"/>
        <v>1.5342882743552921E-6</v>
      </c>
    </row>
    <row r="76" spans="1:7" x14ac:dyDescent="0.25">
      <c r="A76">
        <v>65</v>
      </c>
      <c r="B76" s="6" t="n">
        <v>0.0</v>
      </c>
      <c r="C76" s="9">
        <f si="2" t="shared"/>
        <v>0</v>
      </c>
      <c r="E76" s="75">
        <v>65</v>
      </c>
      <c r="F76" s="165" t="n">
        <v>0.0</v>
      </c>
      <c r="G76" s="9">
        <f si="3" t="shared"/>
        <v>1.5342882743552921E-6</v>
      </c>
    </row>
    <row r="77" spans="1:7" x14ac:dyDescent="0.25">
      <c r="A77">
        <v>66</v>
      </c>
      <c r="B77" s="6" t="n">
        <v>0.0</v>
      </c>
      <c r="C77" s="9">
        <f ref="C77:C102" si="4" t="shared">B77/B$102</f>
        <v>0</v>
      </c>
      <c r="E77" s="76">
        <v>66</v>
      </c>
      <c r="F77" s="166" t="n">
        <v>0.0</v>
      </c>
      <c r="G77" s="9">
        <f ref="G77:G102" si="5" t="shared">F77/F$102</f>
        <v>0</v>
      </c>
    </row>
    <row r="78" spans="1:7" x14ac:dyDescent="0.25">
      <c r="A78">
        <v>67</v>
      </c>
      <c r="B78" s="6" t="n">
        <v>0.0</v>
      </c>
      <c r="C78" s="9">
        <f si="4" t="shared"/>
        <v>0</v>
      </c>
      <c r="E78" s="77">
        <v>67</v>
      </c>
      <c r="F78" s="167" t="n">
        <v>0.0</v>
      </c>
      <c r="G78" s="9">
        <f si="5" t="shared"/>
        <v>1.5342882743552921E-6</v>
      </c>
    </row>
    <row r="79" spans="1:7" x14ac:dyDescent="0.25">
      <c r="A79">
        <v>68</v>
      </c>
      <c r="B79" s="6" t="n">
        <v>0.0</v>
      </c>
      <c r="C79" s="9">
        <f si="4" t="shared"/>
        <v>0</v>
      </c>
      <c r="E79" s="78">
        <v>68</v>
      </c>
      <c r="F79" s="168" t="n">
        <v>1.0</v>
      </c>
      <c r="G79" s="9">
        <f si="5" t="shared"/>
        <v>0</v>
      </c>
    </row>
    <row r="80" spans="1:7" x14ac:dyDescent="0.25">
      <c r="A80">
        <v>69</v>
      </c>
      <c r="B80" s="6" t="n">
        <v>0.0</v>
      </c>
      <c r="C80" s="9">
        <f si="4" t="shared"/>
        <v>0</v>
      </c>
      <c r="E80" s="79">
        <v>69</v>
      </c>
      <c r="F80" s="169" t="n">
        <v>0.0</v>
      </c>
      <c r="G80" s="9">
        <f si="5" t="shared"/>
        <v>0</v>
      </c>
    </row>
    <row r="81" spans="1:7" x14ac:dyDescent="0.25">
      <c r="A81">
        <v>70</v>
      </c>
      <c r="B81" s="6" t="n">
        <v>0.0</v>
      </c>
      <c r="C81" s="9">
        <f si="4" t="shared"/>
        <v>0</v>
      </c>
      <c r="E81" s="80">
        <v>70</v>
      </c>
      <c r="F81" s="170" t="n">
        <v>0.0</v>
      </c>
      <c r="G81" s="9">
        <f si="5" t="shared"/>
        <v>0</v>
      </c>
    </row>
    <row r="82" spans="1:7" x14ac:dyDescent="0.25">
      <c r="A82">
        <v>71</v>
      </c>
      <c r="B82" s="6" t="n">
        <v>0.0</v>
      </c>
      <c r="C82" s="9">
        <f si="4" t="shared"/>
        <v>0</v>
      </c>
      <c r="E82" s="81">
        <v>71</v>
      </c>
      <c r="F82" s="171" t="n">
        <v>0.0</v>
      </c>
      <c r="G82" s="9">
        <f si="5" t="shared"/>
        <v>0</v>
      </c>
    </row>
    <row r="83" spans="1:7" x14ac:dyDescent="0.25">
      <c r="A83">
        <v>72</v>
      </c>
      <c r="B83" s="6" t="n">
        <v>0.0</v>
      </c>
      <c r="C83" s="9">
        <f si="4" t="shared"/>
        <v>0</v>
      </c>
      <c r="E83" s="82">
        <v>72</v>
      </c>
      <c r="F83" s="172" t="n">
        <v>0.0</v>
      </c>
      <c r="G83" s="9">
        <f si="5" t="shared"/>
        <v>0</v>
      </c>
    </row>
    <row r="84" spans="1:7" x14ac:dyDescent="0.25">
      <c r="A84">
        <v>73</v>
      </c>
      <c r="B84" s="6" t="n">
        <v>0.0</v>
      </c>
      <c r="C84" s="9">
        <f si="4" t="shared"/>
        <v>0</v>
      </c>
      <c r="E84" s="83">
        <v>73</v>
      </c>
      <c r="F84" s="173" t="n">
        <v>0.0</v>
      </c>
      <c r="G84" s="9">
        <f si="5" t="shared"/>
        <v>0</v>
      </c>
    </row>
    <row r="85" spans="1:7" x14ac:dyDescent="0.25">
      <c r="A85">
        <v>74</v>
      </c>
      <c r="B85" s="6" t="n">
        <v>0.0</v>
      </c>
      <c r="C85" s="9">
        <f si="4" t="shared"/>
        <v>0</v>
      </c>
      <c r="E85" s="84">
        <v>74</v>
      </c>
      <c r="F85" s="174" t="n">
        <v>0.0</v>
      </c>
      <c r="G85" s="9">
        <f si="5" t="shared"/>
        <v>0</v>
      </c>
    </row>
    <row r="86" spans="1:7" x14ac:dyDescent="0.25">
      <c r="A86">
        <v>75</v>
      </c>
      <c r="B86" s="6" t="n">
        <v>0.0</v>
      </c>
      <c r="C86" s="9">
        <f si="4" t="shared"/>
        <v>0</v>
      </c>
      <c r="E86" s="85">
        <v>75</v>
      </c>
      <c r="F86" s="175" t="n">
        <v>0.0</v>
      </c>
      <c r="G86" s="9">
        <f si="5" t="shared"/>
        <v>0</v>
      </c>
    </row>
    <row r="87" spans="1:7" x14ac:dyDescent="0.25">
      <c r="A87">
        <v>76</v>
      </c>
      <c r="B87" s="6" t="n">
        <v>0.0</v>
      </c>
      <c r="C87" s="9">
        <f si="4" t="shared"/>
        <v>0</v>
      </c>
      <c r="E87" s="86">
        <v>76</v>
      </c>
      <c r="F87" s="176" t="n">
        <v>0.0</v>
      </c>
      <c r="G87" s="9">
        <f si="5" t="shared"/>
        <v>0</v>
      </c>
    </row>
    <row r="88" spans="1:7" x14ac:dyDescent="0.25">
      <c r="A88">
        <v>77</v>
      </c>
      <c r="B88" s="6" t="n">
        <v>0.0</v>
      </c>
      <c r="C88" s="9">
        <f si="4" t="shared"/>
        <v>0</v>
      </c>
      <c r="E88" s="87">
        <v>77</v>
      </c>
      <c r="F88" s="177" t="n">
        <v>0.0</v>
      </c>
      <c r="G88" s="9">
        <f si="5" t="shared"/>
        <v>0</v>
      </c>
    </row>
    <row r="89" spans="1:7" x14ac:dyDescent="0.25">
      <c r="A89">
        <v>78</v>
      </c>
      <c r="B89" s="6" t="n">
        <v>0.0</v>
      </c>
      <c r="C89" s="9">
        <f si="4" t="shared"/>
        <v>0</v>
      </c>
      <c r="E89" s="88">
        <v>78</v>
      </c>
      <c r="F89" s="178" t="n">
        <v>0.0</v>
      </c>
      <c r="G89" s="9">
        <f si="5" t="shared"/>
        <v>0</v>
      </c>
    </row>
    <row r="90" spans="1:7" x14ac:dyDescent="0.25">
      <c r="A90">
        <v>79</v>
      </c>
      <c r="B90" s="6" t="n">
        <v>0.0</v>
      </c>
      <c r="C90" s="9">
        <f si="4" t="shared"/>
        <v>0</v>
      </c>
      <c r="E90" s="89">
        <v>79</v>
      </c>
      <c r="F90" s="179" t="n">
        <v>0.0</v>
      </c>
      <c r="G90" s="9">
        <f si="5" t="shared"/>
        <v>0</v>
      </c>
    </row>
    <row r="91" spans="1:7" x14ac:dyDescent="0.25">
      <c r="A91">
        <v>80</v>
      </c>
      <c r="B91" s="6" t="n">
        <v>0.0</v>
      </c>
      <c r="C91" s="9">
        <f si="4" t="shared"/>
        <v>0</v>
      </c>
      <c r="E91" s="90">
        <v>80</v>
      </c>
      <c r="F91" s="180" t="n">
        <v>0.0</v>
      </c>
      <c r="G91" s="9">
        <f si="5" t="shared"/>
        <v>0</v>
      </c>
    </row>
    <row r="92" spans="1:7" x14ac:dyDescent="0.25">
      <c r="A92">
        <v>81</v>
      </c>
      <c r="B92" s="6" t="n">
        <v>0.0</v>
      </c>
      <c r="C92" s="9">
        <f si="4" t="shared"/>
        <v>0</v>
      </c>
      <c r="E92" s="91">
        <v>81</v>
      </c>
      <c r="F92" s="181" t="n">
        <v>0.0</v>
      </c>
      <c r="G92" s="9">
        <f si="5" t="shared"/>
        <v>0</v>
      </c>
    </row>
    <row r="93" spans="1:7" x14ac:dyDescent="0.25">
      <c r="A93">
        <v>82</v>
      </c>
      <c r="B93" s="6" t="n">
        <v>0.0</v>
      </c>
      <c r="C93" s="9">
        <f si="4" t="shared"/>
        <v>0</v>
      </c>
      <c r="E93" s="92">
        <v>82</v>
      </c>
      <c r="F93" s="182" t="n">
        <v>0.0</v>
      </c>
      <c r="G93" s="9">
        <f si="5" t="shared"/>
        <v>0</v>
      </c>
    </row>
    <row r="94" spans="1:7" x14ac:dyDescent="0.25">
      <c r="A94">
        <v>83</v>
      </c>
      <c r="B94" s="6" t="n">
        <v>0.0</v>
      </c>
      <c r="C94" s="9">
        <f si="4" t="shared"/>
        <v>0</v>
      </c>
      <c r="E94" s="93">
        <v>83</v>
      </c>
      <c r="F94" s="183" t="n">
        <v>0.0</v>
      </c>
      <c r="G94" s="9">
        <f si="5" t="shared"/>
        <v>0</v>
      </c>
    </row>
    <row r="95" spans="1:7" x14ac:dyDescent="0.25">
      <c r="A95">
        <v>84</v>
      </c>
      <c r="B95" s="6" t="n">
        <v>0.0</v>
      </c>
      <c r="C95" s="9">
        <f si="4" t="shared"/>
        <v>0</v>
      </c>
      <c r="E95" s="94">
        <v>84</v>
      </c>
      <c r="F95" s="184" t="n">
        <v>0.0</v>
      </c>
      <c r="G95" s="9">
        <f si="5" t="shared"/>
        <v>0</v>
      </c>
    </row>
    <row r="96" spans="1:7" x14ac:dyDescent="0.25">
      <c r="A96">
        <v>85</v>
      </c>
      <c r="B96" s="6" t="n">
        <v>0.0</v>
      </c>
      <c r="C96" s="9">
        <f si="4" t="shared"/>
        <v>0</v>
      </c>
      <c r="E96" s="95">
        <v>85</v>
      </c>
      <c r="F96" s="185" t="n">
        <v>0.0</v>
      </c>
      <c r="G96" s="9">
        <f si="5" t="shared"/>
        <v>0</v>
      </c>
    </row>
    <row r="97" spans="1:7" x14ac:dyDescent="0.25">
      <c r="A97">
        <v>86</v>
      </c>
      <c r="B97" s="6" t="n">
        <v>0.0</v>
      </c>
      <c r="C97" s="9">
        <f si="4" t="shared"/>
        <v>0</v>
      </c>
      <c r="E97" s="96">
        <v>86</v>
      </c>
      <c r="F97" s="186" t="n">
        <v>0.0</v>
      </c>
      <c r="G97" s="9">
        <f si="5" t="shared"/>
        <v>0</v>
      </c>
    </row>
    <row r="98" spans="1:7" x14ac:dyDescent="0.25">
      <c r="A98">
        <v>87</v>
      </c>
      <c r="B98" s="6" t="n">
        <v>0.0</v>
      </c>
      <c r="C98" s="9">
        <f si="4" t="shared"/>
        <v>0</v>
      </c>
      <c r="E98" s="97">
        <v>87</v>
      </c>
      <c r="F98" s="187" t="n">
        <v>0.0</v>
      </c>
      <c r="G98" s="9">
        <f si="5" t="shared"/>
        <v>0</v>
      </c>
    </row>
    <row r="99" spans="1:7" x14ac:dyDescent="0.25">
      <c r="A99">
        <v>88</v>
      </c>
      <c r="B99" s="6" t="n">
        <v>0.0</v>
      </c>
      <c r="C99" s="9">
        <f si="4" t="shared"/>
        <v>0</v>
      </c>
      <c r="E99" s="98">
        <v>88</v>
      </c>
      <c r="F99" s="188" t="n">
        <v>0.0</v>
      </c>
      <c r="G99" s="9">
        <f si="5" t="shared"/>
        <v>0</v>
      </c>
    </row>
    <row r="100" spans="1:7" x14ac:dyDescent="0.25">
      <c r="A100">
        <v>89</v>
      </c>
      <c r="B100" s="6" t="n">
        <v>0.0</v>
      </c>
      <c r="C100" s="9">
        <f si="4" t="shared"/>
        <v>0</v>
      </c>
      <c r="E100" s="99">
        <v>89</v>
      </c>
      <c r="F100" s="189" t="n">
        <v>0.0</v>
      </c>
      <c r="G100" s="9">
        <f si="5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4" t="shared"/>
        <v>0</v>
      </c>
      <c r="E101" s="372">
        <v>90</v>
      </c>
      <c r="F101" s="372" t="n">
        <v>0.0</v>
      </c>
      <c r="G101" s="9">
        <f si="5" t="shared"/>
        <v>0</v>
      </c>
    </row>
    <row r="102" spans="1:7" x14ac:dyDescent="0.25">
      <c r="B102" s="6">
        <f>SUM(B11:B101)</f>
        <v>693986.08506952086</v>
      </c>
      <c r="C102" s="9">
        <f si="4" t="shared"/>
        <v>1</v>
      </c>
      <c r="F102" s="6">
        <f>SUM(F11:F101)</f>
        <v>651768</v>
      </c>
      <c r="G102" s="9">
        <f si="5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A3" sqref="A3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6777.984679031</v>
      </c>
      <c r="C11" s="9">
        <f>B11/B$102</f>
        <v>9.7667443553309981E-3</v>
      </c>
      <c r="E11" s="190">
        <v>0</v>
      </c>
      <c r="F11" s="280" t="n">
        <v>2606.0</v>
      </c>
      <c r="G11" s="9">
        <f>F11/F$102</f>
        <v>4.0443838912005495E-3</v>
      </c>
      <c r="K11" s="6" t="n">
        <v>13.883643127877768</v>
      </c>
      <c r="L11" s="6" t="n">
        <v>18.019761680446244</v>
      </c>
    </row>
    <row r="12" spans="1:12" x14ac:dyDescent="0.25">
      <c r="A12">
        <v>1</v>
      </c>
      <c r="B12" s="6" t="n">
        <v>19311.3606145139</v>
      </c>
      <c r="C12" s="9">
        <f>B12/B$102</f>
        <v>2.7826725967537751E-2</v>
      </c>
      <c r="E12" s="191">
        <v>1</v>
      </c>
      <c r="F12" s="281" t="n">
        <v>12484.0</v>
      </c>
      <c r="G12" s="9">
        <f>F12/F$102</f>
        <v>1.8613985344478404E-2</v>
      </c>
      <c r="K12" s="6"/>
      <c r="L12" s="371"/>
    </row>
    <row r="13" spans="1:12" x14ac:dyDescent="0.25">
      <c r="A13">
        <v>2</v>
      </c>
      <c r="B13" s="6" t="n">
        <v>28257.979731648</v>
      </c>
      <c r="C13" s="9">
        <f ref="C13:C76" si="0" t="shared">B13/B$102</f>
        <v>4.0718366462372549E-2</v>
      </c>
      <c r="E13" s="192">
        <v>2</v>
      </c>
      <c r="F13" s="282" t="n">
        <v>17753.0</v>
      </c>
      <c r="G13" s="9">
        <f ref="G13:G76" si="1" t="shared">F13/F$102</f>
        <v>2.7399320003436804E-2</v>
      </c>
    </row>
    <row r="14" spans="1:12" x14ac:dyDescent="0.25">
      <c r="A14">
        <v>3</v>
      </c>
      <c r="B14" s="6" t="n">
        <v>41848.0055479135</v>
      </c>
      <c r="C14" s="9">
        <f si="0" t="shared"/>
        <v>6.0300928863323423E-2</v>
      </c>
      <c r="E14" s="193">
        <v>3</v>
      </c>
      <c r="F14" s="283" t="n">
        <v>24473.0</v>
      </c>
      <c r="G14" s="9">
        <f si="1" t="shared"/>
        <v>3.6578966748904519E-2</v>
      </c>
    </row>
    <row r="15" spans="1:12" x14ac:dyDescent="0.25">
      <c r="A15">
        <v>4</v>
      </c>
      <c r="B15" s="6" t="n">
        <v>31773.3347768032</v>
      </c>
      <c r="C15" s="9">
        <f si="0" t="shared"/>
        <v>4.5783821117422359E-2</v>
      </c>
      <c r="E15" s="194">
        <v>4</v>
      </c>
      <c r="F15" s="284" t="n">
        <v>30317.0</v>
      </c>
      <c r="G15" s="9">
        <f si="1" t="shared"/>
        <v>4.5847602214284834E-2</v>
      </c>
    </row>
    <row r="16" spans="1:12" x14ac:dyDescent="0.25">
      <c r="A16">
        <v>5</v>
      </c>
      <c r="B16" s="6" t="n">
        <v>43526.303697265</v>
      </c>
      <c r="C16" s="9">
        <f si="0" t="shared"/>
        <v>6.2719274397129599E-2</v>
      </c>
      <c r="E16" s="195">
        <v>5</v>
      </c>
      <c r="F16" s="285" t="n">
        <v>34446.0</v>
      </c>
      <c r="G16" s="9">
        <f si="1" t="shared"/>
        <v>5.1852806520111448E-2</v>
      </c>
    </row>
    <row r="17" spans="1:7" x14ac:dyDescent="0.25">
      <c r="A17">
        <v>6</v>
      </c>
      <c r="B17" s="6" t="n">
        <v>48235.7427135207</v>
      </c>
      <c r="C17" s="9">
        <f si="0" t="shared"/>
        <v>6.9505345642036365E-2</v>
      </c>
      <c r="E17" s="196">
        <v>6</v>
      </c>
      <c r="F17" s="286" t="n">
        <v>36304.0</v>
      </c>
      <c r="G17" s="9">
        <f si="1" t="shared"/>
        <v>5.4438082262400121E-2</v>
      </c>
    </row>
    <row r="18" spans="1:7" x14ac:dyDescent="0.25">
      <c r="A18">
        <v>7</v>
      </c>
      <c r="B18" s="6" t="n">
        <v>54197.3554429739</v>
      </c>
      <c r="C18" s="9">
        <f si="0" t="shared"/>
        <v>7.8095737953513322E-2</v>
      </c>
      <c r="E18" s="197">
        <v>7</v>
      </c>
      <c r="F18" s="287" t="n">
        <v>38407.0</v>
      </c>
      <c r="G18" s="9">
        <f si="1" t="shared"/>
        <v>5.7136895336991074E-2</v>
      </c>
    </row>
    <row r="19" spans="1:7" x14ac:dyDescent="0.25">
      <c r="A19">
        <v>8</v>
      </c>
      <c r="B19" s="6" t="n">
        <v>49784.2055887268</v>
      </c>
      <c r="C19" s="9">
        <f si="0" t="shared"/>
        <v>7.1736604897113476E-2</v>
      </c>
      <c r="E19" s="198">
        <v>8</v>
      </c>
      <c r="F19" s="288" t="n">
        <v>37846.0</v>
      </c>
      <c r="G19" s="9">
        <f si="1" t="shared"/>
        <v>5.6019933473260425E-2</v>
      </c>
    </row>
    <row r="20" spans="1:7" x14ac:dyDescent="0.25">
      <c r="A20">
        <v>9</v>
      </c>
      <c r="B20" s="6" t="n">
        <v>31614.114085730802</v>
      </c>
      <c r="C20" s="9">
        <f si="0" t="shared"/>
        <v>4.5554391890384689E-2</v>
      </c>
      <c r="E20" s="199">
        <v>9</v>
      </c>
      <c r="F20" s="289" t="n">
        <v>34067.0</v>
      </c>
      <c r="G20" s="9">
        <f si="1" t="shared"/>
        <v>5.1797572142234662E-2</v>
      </c>
    </row>
    <row r="21" spans="1:7" x14ac:dyDescent="0.25">
      <c r="A21">
        <v>10</v>
      </c>
      <c r="B21" s="6" t="n">
        <v>39466.8205080395</v>
      </c>
      <c r="C21" s="9">
        <f si="0" t="shared"/>
        <v>5.686975770427135E-2</v>
      </c>
      <c r="E21" s="200">
        <v>10</v>
      </c>
      <c r="F21" s="290" t="n">
        <v>31161.0</v>
      </c>
      <c r="G21" s="9">
        <f si="1" t="shared"/>
        <v>4.6740557989959616E-2</v>
      </c>
    </row>
    <row r="22" spans="1:7" x14ac:dyDescent="0.25">
      <c r="A22">
        <v>11</v>
      </c>
      <c r="B22" s="6" t="n">
        <v>31030.360491319</v>
      </c>
      <c r="C22" s="9">
        <f si="0" t="shared"/>
        <v>4.4713231517041867E-2</v>
      </c>
      <c r="E22" s="201">
        <v>11</v>
      </c>
      <c r="F22" s="291" t="n">
        <v>28871.0</v>
      </c>
      <c r="G22" s="9">
        <f si="1" t="shared"/>
        <v>4.3615212775097889E-2</v>
      </c>
    </row>
    <row r="23" spans="1:7" x14ac:dyDescent="0.25">
      <c r="A23">
        <v>12</v>
      </c>
      <c r="B23" s="6" t="n">
        <v>17581.0717157089</v>
      </c>
      <c r="C23" s="9">
        <f si="0" t="shared"/>
        <v>2.5333464307065602E-2</v>
      </c>
      <c r="E23" s="202">
        <v>12</v>
      </c>
      <c r="F23" s="292" t="n">
        <v>26063.0</v>
      </c>
      <c r="G23" s="9">
        <f si="1" t="shared"/>
        <v>3.833419253476697E-2</v>
      </c>
    </row>
    <row r="24" spans="1:7" x14ac:dyDescent="0.25">
      <c r="A24">
        <v>13</v>
      </c>
      <c r="B24" s="6" t="n">
        <v>16571.328059094</v>
      </c>
      <c r="C24" s="9">
        <f si="0" t="shared"/>
        <v>2.3878473092776707E-2</v>
      </c>
      <c r="E24" s="203">
        <v>13</v>
      </c>
      <c r="F24" s="293" t="n">
        <v>21352.0</v>
      </c>
      <c r="G24" s="9">
        <f si="1" t="shared"/>
        <v>3.2039007745087209E-2</v>
      </c>
    </row>
    <row r="25" spans="1:7" x14ac:dyDescent="0.25">
      <c r="A25">
        <v>14</v>
      </c>
      <c r="B25" s="6" t="n">
        <v>18040.1939804588</v>
      </c>
      <c r="C25" s="9">
        <f si="0" t="shared"/>
        <v>2.5995037031112233E-2</v>
      </c>
      <c r="E25" s="204">
        <v>14</v>
      </c>
      <c r="F25" s="294" t="n">
        <v>18294.0</v>
      </c>
      <c r="G25" s="9">
        <f si="1" t="shared"/>
        <v>2.6836236206748413E-2</v>
      </c>
    </row>
    <row r="26" spans="1:7" x14ac:dyDescent="0.25">
      <c r="A26">
        <v>15</v>
      </c>
      <c r="B26" s="6" t="n">
        <v>13720.8365882418</v>
      </c>
      <c r="C26" s="9">
        <f si="0" t="shared"/>
        <v>1.9771054324334614E-2</v>
      </c>
      <c r="E26" s="205">
        <v>15</v>
      </c>
      <c r="F26" s="295" t="n">
        <v>17223.0</v>
      </c>
      <c r="G26" s="9">
        <f si="1" t="shared"/>
        <v>2.5740754378858734E-2</v>
      </c>
    </row>
    <row r="27" spans="1:7" x14ac:dyDescent="0.25">
      <c r="A27">
        <v>16</v>
      </c>
      <c r="B27" s="6" t="n">
        <v>10658.084855985</v>
      </c>
      <c r="C27" s="9">
        <f si="0" t="shared"/>
        <v>1.5357778902609141E-2</v>
      </c>
      <c r="E27" s="206">
        <v>16</v>
      </c>
      <c r="F27" s="296" t="n">
        <v>16122.0</v>
      </c>
      <c r="G27" s="9">
        <f si="1" t="shared"/>
        <v>2.3522173534140982E-2</v>
      </c>
    </row>
    <row r="28" spans="1:7" x14ac:dyDescent="0.25">
      <c r="A28">
        <v>17</v>
      </c>
      <c r="B28" s="6" t="n">
        <v>15233.484540359</v>
      </c>
      <c r="C28" s="9">
        <f si="0" t="shared"/>
        <v>2.1950706027244003E-2</v>
      </c>
      <c r="E28" s="207">
        <v>17</v>
      </c>
      <c r="F28" s="297" t="n">
        <v>14214.0</v>
      </c>
      <c r="G28" s="9">
        <f si="1" t="shared"/>
        <v>2.1661081857348014E-2</v>
      </c>
    </row>
    <row r="29" spans="1:7" x14ac:dyDescent="0.25">
      <c r="A29">
        <v>18</v>
      </c>
      <c r="B29" s="6" t="n">
        <v>10866.1279837611</v>
      </c>
      <c r="C29" s="9">
        <f si="0" t="shared"/>
        <v>1.5657558872628655E-2</v>
      </c>
      <c r="E29" s="208">
        <v>18</v>
      </c>
      <c r="F29" s="298" t="n">
        <v>13400.0</v>
      </c>
      <c r="G29" s="9">
        <f si="1" t="shared"/>
        <v>2.007462778166464E-2</v>
      </c>
    </row>
    <row r="30" spans="1:7" x14ac:dyDescent="0.25">
      <c r="A30">
        <v>19</v>
      </c>
      <c r="B30" s="6" t="n">
        <v>5516.6901584309</v>
      </c>
      <c r="C30" s="9">
        <f si="0" t="shared"/>
        <v>7.9492806514676138E-3</v>
      </c>
      <c r="E30" s="209">
        <v>19</v>
      </c>
      <c r="F30" s="299" t="n">
        <v>12313.0</v>
      </c>
      <c r="G30" s="9">
        <f si="1" t="shared"/>
        <v>1.845902222876852E-2</v>
      </c>
    </row>
    <row r="31" spans="1:7" x14ac:dyDescent="0.25">
      <c r="A31">
        <v>20</v>
      </c>
      <c r="B31" s="6" t="n">
        <v>12996.808079056</v>
      </c>
      <c r="C31" s="9">
        <f si="0" t="shared"/>
        <v>1.8727764660805887E-2</v>
      </c>
      <c r="E31" s="210">
        <v>20</v>
      </c>
      <c r="F31" s="300" t="n">
        <v>11818.0</v>
      </c>
      <c r="G31" s="9">
        <f si="1" t="shared"/>
        <v>1.8095395907746316E-2</v>
      </c>
    </row>
    <row r="32" spans="1:7" x14ac:dyDescent="0.25">
      <c r="A32">
        <v>21</v>
      </c>
      <c r="B32" s="6" t="n">
        <v>4655.7016207717</v>
      </c>
      <c r="C32" s="9">
        <f si="0" t="shared"/>
        <v>6.7086382867537027E-3</v>
      </c>
      <c r="E32" s="211">
        <v>21</v>
      </c>
      <c r="F32" s="301" t="n">
        <v>10946.0</v>
      </c>
      <c r="G32" s="9">
        <f si="1" t="shared"/>
        <v>1.6732947920118816E-2</v>
      </c>
    </row>
    <row r="33" spans="1:7" x14ac:dyDescent="0.25">
      <c r="A33">
        <v>22</v>
      </c>
      <c r="B33" s="6" t="n">
        <v>12879.825124991</v>
      </c>
      <c r="C33" s="9">
        <f si="0" t="shared"/>
        <v>1.8559197946599677E-2</v>
      </c>
      <c r="E33" s="212">
        <v>22</v>
      </c>
      <c r="F33" s="302" t="n">
        <v>11181.0</v>
      </c>
      <c r="G33" s="9">
        <f si="1" t="shared"/>
        <v>1.7395760454640301E-2</v>
      </c>
    </row>
    <row r="34" spans="1:7" x14ac:dyDescent="0.25">
      <c r="A34">
        <v>23</v>
      </c>
      <c r="B34" s="6" t="n">
        <v>11067.8917436264</v>
      </c>
      <c r="C34" s="9">
        <f si="0" t="shared"/>
        <v>1.5948290580664395E-2</v>
      </c>
      <c r="E34" s="213">
        <v>23</v>
      </c>
      <c r="F34" s="303" t="n">
        <v>10718.0</v>
      </c>
      <c r="G34" s="9">
        <f si="1" t="shared"/>
        <v>1.6295675761927558E-2</v>
      </c>
    </row>
    <row r="35" spans="1:7" x14ac:dyDescent="0.25">
      <c r="A35">
        <v>24</v>
      </c>
      <c r="B35" s="6" t="n">
        <v>4811.3797674802</v>
      </c>
      <c r="C35" s="9">
        <f si="0" t="shared"/>
        <v>6.9329628806580673E-3</v>
      </c>
      <c r="E35" s="214">
        <v>24</v>
      </c>
      <c r="F35" s="304" t="n">
        <v>9131.0</v>
      </c>
      <c r="G35" s="9">
        <f si="1" t="shared"/>
        <v>1.4242798050840177E-2</v>
      </c>
    </row>
    <row r="36" spans="1:7" x14ac:dyDescent="0.25">
      <c r="A36">
        <v>25</v>
      </c>
      <c r="B36" s="6" t="n">
        <v>6155.383344064</v>
      </c>
      <c r="C36" s="9">
        <f si="0" t="shared"/>
        <v>8.8696062882116389E-3</v>
      </c>
      <c r="E36" s="215">
        <v>25</v>
      </c>
      <c r="F36" s="305" t="n">
        <v>8928.0</v>
      </c>
      <c r="G36" s="9">
        <f si="1" t="shared"/>
        <v>1.3389733770298633E-2</v>
      </c>
    </row>
    <row r="37" spans="1:7" x14ac:dyDescent="0.25">
      <c r="A37">
        <v>26</v>
      </c>
      <c r="B37" s="6" t="n">
        <v>3504.9597999415</v>
      </c>
      <c r="C37" s="9">
        <f si="0" t="shared"/>
        <v>5.0504756152140815E-3</v>
      </c>
      <c r="E37" s="216">
        <v>26</v>
      </c>
      <c r="F37" s="306" t="n">
        <v>8017.0</v>
      </c>
      <c r="G37" s="9">
        <f si="1" t="shared"/>
        <v>1.2513655165641763E-2</v>
      </c>
    </row>
    <row r="38" spans="1:7" x14ac:dyDescent="0.25">
      <c r="A38">
        <v>27</v>
      </c>
      <c r="B38" s="6" t="n">
        <v>3835.3351269925</v>
      </c>
      <c r="C38" s="9">
        <f si="0" t="shared"/>
        <v>5.5265303001115519E-3</v>
      </c>
      <c r="E38" s="217">
        <v>27</v>
      </c>
      <c r="F38" s="307" t="n">
        <v>8053.0</v>
      </c>
      <c r="G38" s="9">
        <f si="1" t="shared"/>
        <v>1.2653275398608093E-2</v>
      </c>
    </row>
    <row r="39" spans="1:7" x14ac:dyDescent="0.25">
      <c r="A39">
        <v>28</v>
      </c>
      <c r="B39" s="6" t="n">
        <v>6243.2691903920995</v>
      </c>
      <c r="C39" s="9">
        <f si="0" t="shared"/>
        <v>8.9962454935485821E-3</v>
      </c>
      <c r="E39" s="218">
        <v>28</v>
      </c>
      <c r="F39" s="308" t="n">
        <v>7649.0</v>
      </c>
      <c r="G39" s="9">
        <f si="1" t="shared"/>
        <v>1.2484503688429011E-2</v>
      </c>
    </row>
    <row r="40" spans="1:7" x14ac:dyDescent="0.25">
      <c r="A40">
        <v>29</v>
      </c>
      <c r="B40" s="6" t="n">
        <v>3184.5809180328</v>
      </c>
      <c r="C40" s="9">
        <f si="0" t="shared"/>
        <v>4.5888253187580568E-3</v>
      </c>
      <c r="E40" s="219">
        <v>29</v>
      </c>
      <c r="F40" s="309" t="n">
        <v>6926.0</v>
      </c>
      <c r="G40" s="9">
        <f si="1" t="shared"/>
        <v>1.1011586945047931E-2</v>
      </c>
    </row>
    <row r="41" spans="1:7" x14ac:dyDescent="0.25">
      <c r="A41">
        <v>30</v>
      </c>
      <c r="B41" s="6" t="n">
        <v>3957.7416261823</v>
      </c>
      <c r="C41" s="9">
        <f si="0" t="shared"/>
        <v>5.7029120775322585E-3</v>
      </c>
      <c r="E41" s="220">
        <v>30</v>
      </c>
      <c r="F41" s="310" t="n">
        <v>6025.0</v>
      </c>
      <c r="G41" s="9">
        <f si="1" t="shared"/>
        <v>1.000816241361957E-2</v>
      </c>
    </row>
    <row r="42" spans="1:7" x14ac:dyDescent="0.25">
      <c r="A42">
        <v>31</v>
      </c>
      <c r="B42" s="6" t="n">
        <v>4782.771690812</v>
      </c>
      <c r="C42" s="9">
        <f si="0" t="shared"/>
        <v>6.891740041636253E-3</v>
      </c>
      <c r="E42" s="221">
        <v>31</v>
      </c>
      <c r="F42" s="311" t="n">
        <v>6106.0</v>
      </c>
      <c r="G42" s="9">
        <f si="1" t="shared"/>
        <v>9.3791042211339003E-3</v>
      </c>
    </row>
    <row r="43" spans="1:7" x14ac:dyDescent="0.25">
      <c r="A43">
        <v>32</v>
      </c>
      <c r="B43" s="6" t="n">
        <v>6231.7071484738</v>
      </c>
      <c r="C43" s="9">
        <f si="0" t="shared"/>
        <v>8.9795851567391755E-3</v>
      </c>
      <c r="E43" s="222">
        <v>32</v>
      </c>
      <c r="F43" s="312" t="n">
        <v>5365.0</v>
      </c>
      <c r="G43" s="9">
        <f si="1" t="shared"/>
        <v>8.932626333296511E-3</v>
      </c>
    </row>
    <row r="44" spans="1:7" x14ac:dyDescent="0.25">
      <c r="A44">
        <v>33</v>
      </c>
      <c r="B44" s="6" t="n">
        <v>4105.604641922</v>
      </c>
      <c r="C44" s="9">
        <f si="0" t="shared"/>
        <v>5.9159754500131174E-3</v>
      </c>
      <c r="E44" s="223">
        <v>33</v>
      </c>
      <c r="F44" s="313" t="n">
        <v>4900.0</v>
      </c>
      <c r="G44" s="9">
        <f si="1" t="shared"/>
        <v>8.0764934762062573E-3</v>
      </c>
    </row>
    <row r="45" spans="1:7" x14ac:dyDescent="0.25">
      <c r="A45">
        <v>34</v>
      </c>
      <c r="B45" s="6" t="n">
        <v>3066.9543702994</v>
      </c>
      <c r="C45" s="9">
        <f si="0" t="shared"/>
        <v>4.4193312175591594E-3</v>
      </c>
      <c r="E45" s="224">
        <v>34</v>
      </c>
      <c r="F45" s="314" t="n">
        <v>4407.0</v>
      </c>
      <c r="G45" s="9">
        <f si="1" t="shared"/>
        <v>7.3829951761976657E-3</v>
      </c>
    </row>
    <row r="46" spans="1:7" x14ac:dyDescent="0.25">
      <c r="A46">
        <v>35</v>
      </c>
      <c r="B46" s="6" t="n">
        <v>6714.874143243</v>
      </c>
      <c r="C46" s="9">
        <f si="0" t="shared"/>
        <v>9.6758051605174891E-3</v>
      </c>
      <c r="E46" s="225">
        <v>35</v>
      </c>
      <c r="F46" s="315" t="n">
        <v>3940.0</v>
      </c>
      <c r="G46" s="9">
        <f si="1" t="shared"/>
        <v>6.9610659007499605E-3</v>
      </c>
    </row>
    <row r="47" spans="1:7" x14ac:dyDescent="0.25">
      <c r="A47">
        <v>36</v>
      </c>
      <c r="B47" s="6" t="n">
        <v>4992.4043084543</v>
      </c>
      <c r="C47" s="9">
        <f si="0" t="shared"/>
        <v>7.1938103887978968E-3</v>
      </c>
      <c r="E47" s="226">
        <v>36</v>
      </c>
      <c r="F47" s="316" t="n">
        <v>3547.0</v>
      </c>
      <c r="G47" s="9">
        <f si="1" t="shared"/>
        <v>6.2154017994132879E-3</v>
      </c>
    </row>
    <row r="48" spans="1:7" x14ac:dyDescent="0.25">
      <c r="A48">
        <v>37</v>
      </c>
      <c r="B48" s="6" t="n">
        <v>3604.1433448000002</v>
      </c>
      <c r="C48" s="9">
        <f si="0" t="shared"/>
        <v>5.1933942514696832E-3</v>
      </c>
      <c r="E48" s="227">
        <v>37</v>
      </c>
      <c r="F48" s="317" t="n">
        <v>3438.0</v>
      </c>
      <c r="G48" s="9">
        <f si="1" t="shared"/>
        <v>5.557192129714868E-3</v>
      </c>
    </row>
    <row r="49" spans="1:7" x14ac:dyDescent="0.25">
      <c r="A49">
        <v>38</v>
      </c>
      <c r="B49" s="6" t="n">
        <v>5966.5472758128</v>
      </c>
      <c r="C49" s="9">
        <f si="0" t="shared"/>
        <v>8.5975027513917578E-3</v>
      </c>
      <c r="E49" s="228">
        <v>38</v>
      </c>
      <c r="F49" s="318" t="n">
        <v>2904.0</v>
      </c>
      <c r="G49" s="9">
        <f si="1" t="shared"/>
        <v>5.4942863104663012E-3</v>
      </c>
    </row>
    <row r="50" spans="1:7" x14ac:dyDescent="0.25">
      <c r="A50">
        <v>39</v>
      </c>
      <c r="B50" s="6" t="n">
        <v>2382.187137158</v>
      </c>
      <c r="C50" s="9">
        <f si="0" t="shared"/>
        <v>3.4326151322174735E-3</v>
      </c>
      <c r="E50" s="229">
        <v>39</v>
      </c>
      <c r="F50" s="319" t="n">
        <v>2609.0</v>
      </c>
      <c r="G50" s="9">
        <f si="1" t="shared"/>
        <v>4.5077389500558481E-3</v>
      </c>
    </row>
    <row r="51" spans="1:7" x14ac:dyDescent="0.25">
      <c r="A51">
        <v>40</v>
      </c>
      <c r="B51" s="6" t="n">
        <v>3637.4715756984</v>
      </c>
      <c r="C51" s="9">
        <f si="0" t="shared"/>
        <v>5.2414186018355288E-3</v>
      </c>
      <c r="E51" s="230">
        <v>40</v>
      </c>
      <c r="F51" s="320" t="n">
        <v>2635.0</v>
      </c>
      <c r="G51" s="9">
        <f si="1" t="shared"/>
        <v>4.5062046617814931E-3</v>
      </c>
    </row>
    <row r="52" spans="1:7" x14ac:dyDescent="0.25">
      <c r="A52">
        <v>41</v>
      </c>
      <c r="B52" s="6" t="n">
        <v>2016.201372173</v>
      </c>
      <c r="C52" s="9">
        <f si="0" t="shared"/>
        <v>2.9052475482574331E-3</v>
      </c>
      <c r="E52" s="231">
        <v>41</v>
      </c>
      <c r="F52" s="321" t="n">
        <v>2402.0</v>
      </c>
      <c r="G52" s="9">
        <f si="1" t="shared"/>
        <v>4.1671269531489731E-3</v>
      </c>
    </row>
    <row r="53" spans="1:7" x14ac:dyDescent="0.25">
      <c r="A53">
        <v>42</v>
      </c>
      <c r="B53" s="6" t="n">
        <v>2809.120859826</v>
      </c>
      <c r="C53" s="9">
        <f si="0" t="shared"/>
        <v>4.0478057417312526E-3</v>
      </c>
      <c r="E53" s="232">
        <v>42</v>
      </c>
      <c r="F53" s="322" t="n">
        <v>2045.0</v>
      </c>
      <c r="G53" s="9">
        <f si="1" t="shared"/>
        <v>3.7620748487191763E-3</v>
      </c>
    </row>
    <row r="54" spans="1:7" x14ac:dyDescent="0.25">
      <c r="A54">
        <v>43</v>
      </c>
      <c r="B54" s="6" t="n">
        <v>1516.016330693</v>
      </c>
      <c r="C54" s="9">
        <f si="0" t="shared"/>
        <v>2.184505371661928E-3</v>
      </c>
      <c r="E54" s="233">
        <v>43</v>
      </c>
      <c r="F54" s="323" t="n">
        <v>1975.0</v>
      </c>
      <c r="G54" s="9">
        <f si="1" t="shared"/>
        <v>3.530397319291527E-3</v>
      </c>
    </row>
    <row r="55" spans="1:7" x14ac:dyDescent="0.25">
      <c r="A55">
        <v>44</v>
      </c>
      <c r="B55" s="6" t="n">
        <v>3781.4082927194</v>
      </c>
      <c r="C55" s="9">
        <f si="0" t="shared"/>
        <v>5.4488243699304046E-3</v>
      </c>
      <c r="E55" s="234">
        <v>44</v>
      </c>
      <c r="F55" s="324" t="n">
        <v>1810.0</v>
      </c>
      <c r="G55" s="9">
        <f si="1" t="shared"/>
        <v>3.1851824575615862E-3</v>
      </c>
    </row>
    <row r="56" spans="1:7" x14ac:dyDescent="0.25">
      <c r="A56">
        <v>45</v>
      </c>
      <c r="B56" s="6" t="n">
        <v>4853.517579446</v>
      </c>
      <c r="C56" s="9">
        <f si="0" t="shared"/>
        <v>6.9936814063927422E-3</v>
      </c>
      <c r="E56" s="235">
        <v>45</v>
      </c>
      <c r="F56" s="325" t="n">
        <v>1584.0</v>
      </c>
      <c r="G56" s="9">
        <f si="1" t="shared"/>
        <v>3.1238109265873748E-3</v>
      </c>
    </row>
    <row r="57" spans="1:7" x14ac:dyDescent="0.25">
      <c r="A57">
        <v>46</v>
      </c>
      <c r="B57" s="6" t="n">
        <v>3632.117248933</v>
      </c>
      <c r="C57" s="9">
        <f si="0" t="shared"/>
        <v>5.2337032788908854E-3</v>
      </c>
      <c r="E57" s="236">
        <v>46</v>
      </c>
      <c r="F57" s="326" t="n">
        <v>1305.0</v>
      </c>
      <c r="G57" s="9">
        <f si="1" t="shared"/>
        <v>2.8016103889727632E-3</v>
      </c>
    </row>
    <row r="58" spans="1:7" x14ac:dyDescent="0.25">
      <c r="A58">
        <v>47</v>
      </c>
      <c r="B58" s="6" t="n">
        <v>3476.3439889486003</v>
      </c>
      <c r="C58" s="9">
        <f si="0" t="shared"/>
        <v>5.0092416314087241E-3</v>
      </c>
      <c r="E58" s="237">
        <v>47</v>
      </c>
      <c r="F58" s="327" t="n">
        <v>1221.0</v>
      </c>
      <c r="G58" s="9">
        <f si="1" t="shared"/>
        <v>2.4134354555608744E-3</v>
      </c>
    </row>
    <row r="59" spans="1:7" x14ac:dyDescent="0.25">
      <c r="A59">
        <v>48</v>
      </c>
      <c r="B59" s="6" t="n">
        <v>3844.122228342</v>
      </c>
      <c r="C59" s="9">
        <f si="0" t="shared"/>
        <v>5.5391920833065562E-3</v>
      </c>
      <c r="E59" s="238">
        <v>48</v>
      </c>
      <c r="F59" s="328" t="n">
        <v>1095.0</v>
      </c>
      <c r="G59" s="9">
        <f si="1" t="shared"/>
        <v>2.2523351867535686E-3</v>
      </c>
    </row>
    <row r="60" spans="1:7" x14ac:dyDescent="0.25">
      <c r="A60">
        <v>49</v>
      </c>
      <c r="B60" s="6" t="n">
        <v>1208.792169277</v>
      </c>
      <c r="C60" s="9">
        <f si="0" t="shared"/>
        <v>1.7418103839299717E-3</v>
      </c>
      <c r="E60" s="239">
        <v>49</v>
      </c>
      <c r="F60" s="329" t="n">
        <v>976.0</v>
      </c>
      <c r="G60" s="9">
        <f si="1" t="shared"/>
        <v>1.9684918559978396E-3</v>
      </c>
    </row>
    <row r="61" spans="1:7" x14ac:dyDescent="0.25">
      <c r="A61">
        <v>50</v>
      </c>
      <c r="B61" s="6" t="n">
        <v>800.903874653</v>
      </c>
      <c r="C61" s="9">
        <f si="0" t="shared"/>
        <v>1.1540633045585755E-3</v>
      </c>
      <c r="E61" s="240">
        <v>50</v>
      </c>
      <c r="F61" s="330" t="n">
        <v>937.0</v>
      </c>
      <c r="G61" s="9">
        <f si="1" t="shared"/>
        <v>1.7368143265701905E-3</v>
      </c>
    </row>
    <row r="62" spans="1:7" x14ac:dyDescent="0.25">
      <c r="A62">
        <v>51</v>
      </c>
      <c r="B62" s="6" t="n">
        <v>2224.296473413</v>
      </c>
      <c r="C62" s="9">
        <f si="0" t="shared"/>
        <v>3.2051024094959749E-3</v>
      </c>
      <c r="E62" s="241">
        <v>51</v>
      </c>
      <c r="F62" s="331" t="n">
        <v>915.0</v>
      </c>
      <c r="G62" s="9">
        <f si="1" t="shared"/>
        <v>1.6493598949319389E-3</v>
      </c>
    </row>
    <row r="63" spans="1:7" x14ac:dyDescent="0.25">
      <c r="A63">
        <v>52</v>
      </c>
      <c r="B63" s="6" t="n">
        <v>1665.918275329</v>
      </c>
      <c r="C63" s="9">
        <f si="0" t="shared"/>
        <v>2.4005067409415201E-3</v>
      </c>
      <c r="E63" s="242">
        <v>52</v>
      </c>
      <c r="F63" s="332" t="n">
        <v>825.0</v>
      </c>
      <c r="G63" s="9">
        <f si="1" t="shared"/>
        <v>1.4560395723631722E-3</v>
      </c>
    </row>
    <row r="64" spans="1:7" x14ac:dyDescent="0.25">
      <c r="A64">
        <v>53</v>
      </c>
      <c r="B64" s="6" t="n">
        <v>1380.401917378</v>
      </c>
      <c r="C64" s="9">
        <f si="0" t="shared"/>
        <v>1.9890916360948601E-3</v>
      </c>
      <c r="E64" s="243">
        <v>53</v>
      </c>
      <c r="F64" s="333" t="n">
        <v>726.0</v>
      </c>
      <c r="G64" s="9">
        <f si="1" t="shared"/>
        <v>1.33943366351217E-3</v>
      </c>
    </row>
    <row r="65" spans="1:7" x14ac:dyDescent="0.25">
      <c r="A65">
        <v>54</v>
      </c>
      <c r="B65" s="6" t="n">
        <v>1441.059767666</v>
      </c>
      <c r="C65" s="9">
        <f si="0" t="shared"/>
        <v>2.0764966310839504E-3</v>
      </c>
      <c r="E65" s="244">
        <v>54</v>
      </c>
      <c r="F65" s="334" t="n">
        <v>701.0</v>
      </c>
      <c r="G65" s="9">
        <f si="1" t="shared"/>
        <v>1.4161480772299346E-3</v>
      </c>
    </row>
    <row r="66" spans="1:7" x14ac:dyDescent="0.25">
      <c r="A66">
        <v>55</v>
      </c>
      <c r="B66" s="6" t="n">
        <v>110.48572589</v>
      </c>
      <c r="C66" s="9">
        <f si="0" t="shared"/>
        <v>1.5920452623907001E-4</v>
      </c>
      <c r="E66" s="245">
        <v>55</v>
      </c>
      <c r="F66" s="335" t="n">
        <v>632.0</v>
      </c>
      <c r="G66" s="9">
        <f si="1" t="shared"/>
        <v>1.3655165641762099E-3</v>
      </c>
    </row>
    <row r="67" spans="1:7" x14ac:dyDescent="0.25">
      <c r="A67">
        <v>56</v>
      </c>
      <c r="B67" s="6" t="n">
        <v>321.941783499</v>
      </c>
      <c r="C67" s="9">
        <f si="0" t="shared"/>
        <v>4.6390236119323502E-4</v>
      </c>
      <c r="E67" s="246">
        <v>56</v>
      </c>
      <c r="F67" s="336" t="n">
        <v>598.0</v>
      </c>
      <c r="G67" s="9">
        <f si="1" t="shared"/>
        <v>1.014164549348848E-3</v>
      </c>
    </row>
    <row r="68" spans="1:7" x14ac:dyDescent="0.25">
      <c r="A68">
        <v>57</v>
      </c>
      <c r="B68" s="6" t="n">
        <v>992.9541449953001</v>
      </c>
      <c r="C68" s="9">
        <f si="0" t="shared"/>
        <v>1.4307983493585894E-3</v>
      </c>
      <c r="E68" s="247">
        <v>57</v>
      </c>
      <c r="F68" s="337" t="n">
        <v>491.0</v>
      </c>
      <c r="G68" s="9">
        <f si="1" t="shared"/>
        <v>1.0908789630666126E-3</v>
      </c>
    </row>
    <row r="69" spans="1:7" x14ac:dyDescent="0.25">
      <c r="A69">
        <v>58</v>
      </c>
      <c r="B69" s="6" t="n">
        <v>1190.6595062796</v>
      </c>
      <c r="C69" s="9">
        <f si="0" t="shared"/>
        <v>1.7156821035688695E-3</v>
      </c>
      <c r="E69" s="248">
        <v>58</v>
      </c>
      <c r="F69" s="338" t="n">
        <v>467.0</v>
      </c>
      <c r="G69" s="9">
        <f si="1" t="shared"/>
        <v>9.527930183746364E-4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249">
        <v>59</v>
      </c>
      <c r="F70" s="339" t="n">
        <v>424.0</v>
      </c>
      <c r="G70" s="9">
        <f si="1" t="shared"/>
        <v>7.9782990266475187E-4</v>
      </c>
    </row>
    <row r="71" spans="1:7" x14ac:dyDescent="0.25">
      <c r="A71">
        <v>60</v>
      </c>
      <c r="B71" s="6" t="n">
        <v>827.9796802999999</v>
      </c>
      <c r="C71" s="9">
        <f si="0" t="shared"/>
        <v>1.1930782159948583E-3</v>
      </c>
      <c r="E71" s="250">
        <v>60</v>
      </c>
      <c r="F71" s="340" t="n">
        <v>599.0</v>
      </c>
      <c r="G71" s="9">
        <f si="1" t="shared"/>
        <v>9.8041020731303168E-4</v>
      </c>
    </row>
    <row r="72" spans="1:7" x14ac:dyDescent="0.25">
      <c r="A72">
        <v>61</v>
      </c>
      <c r="B72" s="6" t="n">
        <v>481.758028516</v>
      </c>
      <c r="C72" s="9">
        <f si="0" t="shared"/>
        <v>6.9418975233161823E-4</v>
      </c>
      <c r="E72" s="251">
        <v>61</v>
      </c>
      <c r="F72" s="341" t="n">
        <v>571.0</v>
      </c>
      <c r="G72" s="9">
        <f si="1" t="shared"/>
        <v>9.527930183746364E-4</v>
      </c>
    </row>
    <row r="73" spans="1:7" x14ac:dyDescent="0.25">
      <c r="A73">
        <v>62</v>
      </c>
      <c r="B73" s="6" t="n">
        <v>155.903466484</v>
      </c>
      <c r="C73" s="9">
        <f si="0" t="shared"/>
        <v>2.2464926867861074E-4</v>
      </c>
      <c r="E73" s="252">
        <v>62</v>
      </c>
      <c r="F73" s="342" t="n">
        <v>513.0</v>
      </c>
      <c r="G73" s="9">
        <f si="1" t="shared"/>
        <v>9.0676437014397765E-4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253">
        <v>63</v>
      </c>
      <c r="F74" s="343" t="n">
        <v>486.0</v>
      </c>
      <c r="G74" s="9">
        <f si="1" t="shared"/>
        <v>8.6687287501074006E-4</v>
      </c>
    </row>
    <row r="75" spans="1:7" x14ac:dyDescent="0.25">
      <c r="A75">
        <v>64</v>
      </c>
      <c r="B75" s="6" t="n">
        <v>630.0307990270001</v>
      </c>
      <c r="C75" s="9">
        <f si="0" t="shared"/>
        <v>9.0784356139343345E-4</v>
      </c>
      <c r="E75" s="254">
        <v>64</v>
      </c>
      <c r="F75" s="344" t="n">
        <v>521.0</v>
      </c>
      <c r="G75" s="9">
        <f si="1" t="shared"/>
        <v>9.021615053209117E-4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255">
        <v>65</v>
      </c>
      <c r="F76" s="345" t="n">
        <v>448.0</v>
      </c>
      <c r="G76" s="9">
        <f si="1" t="shared"/>
        <v>8.0089847921346251E-4</v>
      </c>
    </row>
    <row r="77" spans="1:7" x14ac:dyDescent="0.25">
      <c r="A77">
        <v>66</v>
      </c>
      <c r="B77" s="6" t="n">
        <v>529.467299939</v>
      </c>
      <c r="C77" s="9">
        <f ref="C77:C102" si="2" t="shared">B77/B$102</f>
        <v>7.629364785980687E-4</v>
      </c>
      <c r="E77" s="256">
        <v>66</v>
      </c>
      <c r="F77" s="346" t="n">
        <v>522.0</v>
      </c>
      <c r="G77" s="9">
        <f ref="G77:G102" si="3" t="shared">F77/F$102</f>
        <v>8.1930993850572599E-4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257">
        <v>67</v>
      </c>
      <c r="F78" s="347" t="n">
        <v>430.0</v>
      </c>
      <c r="G78" s="9">
        <f si="3" t="shared"/>
        <v>7.2111548894698732E-4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258">
        <v>68</v>
      </c>
      <c r="F79" s="348" t="n">
        <v>425.0</v>
      </c>
      <c r="G79" s="9">
        <f si="3" t="shared"/>
        <v>8.0856992058523887E-4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259">
        <v>69</v>
      </c>
      <c r="F80" s="349" t="n">
        <v>391.0</v>
      </c>
      <c r="G80" s="9">
        <f si="3" t="shared"/>
        <v>6.183181745651827E-4</v>
      </c>
    </row>
    <row r="81" spans="1:7" x14ac:dyDescent="0.25">
      <c r="A81">
        <v>70</v>
      </c>
      <c r="B81" s="6" t="n">
        <v>356.0060045</v>
      </c>
      <c r="C81" s="9">
        <f si="2" t="shared"/>
        <v>5.1298723729357868E-4</v>
      </c>
      <c r="E81" s="260">
        <v>70</v>
      </c>
      <c r="F81" s="350" t="n">
        <v>491.0</v>
      </c>
      <c r="G81" s="9">
        <f si="3" t="shared"/>
        <v>7.8555559646990955E-4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261">
        <v>71</v>
      </c>
      <c r="F82" s="351" t="n">
        <v>394.0</v>
      </c>
      <c r="G82" s="9">
        <f si="3" t="shared"/>
        <v>6.2598961593695918E-4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262">
        <v>72</v>
      </c>
      <c r="F83" s="352" t="n">
        <v>582.0</v>
      </c>
      <c r="G83" s="9">
        <f si="3" t="shared"/>
        <v>8.0396705576217303E-4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263">
        <v>73</v>
      </c>
      <c r="F84" s="353" t="n">
        <v>360.0</v>
      </c>
      <c r="G84" s="9">
        <f si="3" t="shared"/>
        <v>6.5514109314970966E-4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264">
        <v>74</v>
      </c>
      <c r="F85" s="354" t="n">
        <v>341.0</v>
      </c>
      <c r="G85" s="9">
        <f si="3" t="shared"/>
        <v>5.6308379668839215E-4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265">
        <v>75</v>
      </c>
      <c r="F86" s="355" t="n">
        <v>358.0</v>
      </c>
      <c r="G86" s="9">
        <f si="3" t="shared"/>
        <v>5.5387806704226047E-4</v>
      </c>
    </row>
    <row r="87" spans="1:7" x14ac:dyDescent="0.25">
      <c r="A87">
        <v>76</v>
      </c>
      <c r="B87" s="6" t="n">
        <v>190.728922024</v>
      </c>
      <c r="C87" s="9">
        <f si="2" t="shared"/>
        <v>2.7483104651139154E-4</v>
      </c>
      <c r="E87" s="266">
        <v>76</v>
      </c>
      <c r="F87" s="356" t="n">
        <v>327.0</v>
      </c>
      <c r="G87" s="9">
        <f si="3" t="shared"/>
        <v>4.8790367124498286E-4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267">
        <v>77</v>
      </c>
      <c r="F88" s="357" t="n">
        <v>332.0</v>
      </c>
      <c r="G88" s="9">
        <f si="3" t="shared"/>
        <v>5.6154950841403694E-4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268">
        <v>78</v>
      </c>
      <c r="F89" s="358" t="n">
        <v>297.0</v>
      </c>
      <c r="G89" s="9">
        <f si="3" t="shared"/>
        <v>4.6949221195271938E-4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269">
        <v>79</v>
      </c>
      <c r="F90" s="359" t="n">
        <v>300.0</v>
      </c>
      <c r="G90" s="9">
        <f si="3" t="shared"/>
        <v>4.6795792367836407E-4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270">
        <v>80</v>
      </c>
      <c r="F91" s="360" t="n">
        <v>293.0</v>
      </c>
      <c r="G91" s="9">
        <f si="3" t="shared"/>
        <v>4.4954646438610059E-4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271">
        <v>81</v>
      </c>
      <c r="F92" s="361" t="n">
        <v>298.0</v>
      </c>
      <c r="G92" s="9">
        <f si="3" t="shared"/>
        <v>4.7102650022707465E-4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272">
        <v>82</v>
      </c>
      <c r="F93" s="362" t="n">
        <v>286.0</v>
      </c>
      <c r="G93" s="9">
        <f si="3" t="shared"/>
        <v>4.817665181475617E-4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273">
        <v>83</v>
      </c>
      <c r="F94" s="363" t="n">
        <v>302.0</v>
      </c>
      <c r="G94" s="9">
        <f si="3" t="shared"/>
        <v>4.6182077058094291E-4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274">
        <v>84</v>
      </c>
      <c r="F95" s="364" t="n">
        <v>297.0</v>
      </c>
      <c r="G95" s="9">
        <f si="3" t="shared"/>
        <v>4.8330080642191702E-4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275">
        <v>85</v>
      </c>
      <c r="F96" s="365" t="n">
        <v>400.0</v>
      </c>
      <c r="G96" s="9">
        <f si="3" t="shared"/>
        <v>7.0270402965472373E-4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276">
        <v>86</v>
      </c>
      <c r="F97" s="366" t="n">
        <v>290.0</v>
      </c>
      <c r="G97" s="9">
        <f si="3" t="shared"/>
        <v>4.1272354580157357E-4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277">
        <v>87</v>
      </c>
      <c r="F98" s="367" t="n">
        <v>237.0</v>
      </c>
      <c r="G98" s="9">
        <f si="3" t="shared"/>
        <v>4.1272354580157357E-4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278">
        <v>88</v>
      </c>
      <c r="F99" s="368" t="n">
        <v>260.0</v>
      </c>
      <c r="G99" s="9">
        <f si="3" t="shared"/>
        <v>3.4214628518123013E-4</v>
      </c>
    </row>
    <row r="100" spans="1:7" x14ac:dyDescent="0.25">
      <c r="A100">
        <v>89</v>
      </c>
      <c r="B100" s="6" t="n">
        <v>129.043199895</v>
      </c>
      <c r="C100" s="9">
        <f si="2" t="shared"/>
        <v>1.8594493848111225E-4</v>
      </c>
      <c r="E100" s="279">
        <v>89</v>
      </c>
      <c r="F100" s="369" t="n">
        <v>232.0</v>
      </c>
      <c r="G100" s="9">
        <f si="3" t="shared"/>
        <v>3.8817493341188888E-4</v>
      </c>
    </row>
    <row ht="15.75" r="101" spans="1:7" thickBot="1" x14ac:dyDescent="0.3">
      <c r="A101" s="1">
        <v>90</v>
      </c>
      <c r="B101" s="7" t="n">
        <v>629.978391646</v>
      </c>
      <c r="C101" s="9">
        <f si="2" t="shared"/>
        <v>9.0776804492108973E-4</v>
      </c>
      <c r="E101" s="372">
        <v>90</v>
      </c>
      <c r="F101" s="372" t="n">
        <v>12063.0</v>
      </c>
      <c r="G101" s="9">
        <f si="3" t="shared"/>
        <v>1.842987075155577E-2</v>
      </c>
    </row>
    <row r="102" spans="1:7" x14ac:dyDescent="0.25">
      <c r="B102" s="6">
        <f>SUM(B11:B101)</f>
        <v>693986.08506952086</v>
      </c>
      <c r="C102" s="9">
        <f si="2" t="shared"/>
        <v>1</v>
      </c>
      <c r="F102" s="6">
        <f>SUM(F11:F101)</f>
        <v>651768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21503.8008012071</v>
      </c>
      <c r="C11" s="9">
        <f>B11/B$102</f>
        <v>8.3158478250500989E-2</v>
      </c>
      <c r="E11" s="371">
        <v>0</v>
      </c>
      <c r="F11" s="371" t="n">
        <v>33140.0</v>
      </c>
      <c r="G11" s="9">
        <f>F11/F$102</f>
        <v>0.10985755768999467</v>
      </c>
      <c r="K11" s="6" t="n">
        <v>8.241416771090295</v>
      </c>
      <c r="L11" s="6" t="n">
        <v>8.03601073978864</v>
      </c>
    </row>
    <row r="12" spans="1:12" x14ac:dyDescent="0.25">
      <c r="A12">
        <v>1</v>
      </c>
      <c r="B12" s="6" t="n">
        <v>25168.555797359</v>
      </c>
      <c r="C12" s="9">
        <f>B12/B$102</f>
        <v>9.7330644904119051E-2</v>
      </c>
      <c r="E12" s="371">
        <v>1</v>
      </c>
      <c r="F12" s="371" t="n">
        <v>26606.0</v>
      </c>
      <c r="G12" s="9">
        <f>F12/F$102</f>
        <v>8.64722761559477E-2</v>
      </c>
      <c r="K12" s="6"/>
      <c r="L12" s="371"/>
    </row>
    <row r="13" spans="1:12" x14ac:dyDescent="0.25">
      <c r="A13">
        <v>2</v>
      </c>
      <c r="B13" s="6" t="n">
        <v>19883.7193611123</v>
      </c>
      <c r="C13" s="9">
        <f ref="C13:C76" si="0" t="shared">B13/B$102</f>
        <v>7.6893376167124119E-2</v>
      </c>
      <c r="E13" s="371">
        <v>2</v>
      </c>
      <c r="F13" s="371" t="n">
        <v>22447.0</v>
      </c>
      <c r="G13" s="9">
        <f ref="G13:G76" si="1" t="shared">F13/F$102</f>
        <v>7.1516692726679154E-2</v>
      </c>
    </row>
    <row r="14" spans="1:12" x14ac:dyDescent="0.25">
      <c r="A14">
        <v>3</v>
      </c>
      <c r="B14" s="6" t="n">
        <v>21148.4160783344</v>
      </c>
      <c r="C14" s="9">
        <f si="0" t="shared"/>
        <v>8.1784151310776418E-2</v>
      </c>
      <c r="E14" s="371">
        <v>3</v>
      </c>
      <c r="F14" s="371" t="n">
        <v>21891.0</v>
      </c>
      <c r="G14" s="9">
        <f si="1" t="shared"/>
        <v>6.9042423409336931E-2</v>
      </c>
    </row>
    <row r="15" spans="1:12" x14ac:dyDescent="0.25">
      <c r="A15">
        <v>4</v>
      </c>
      <c r="B15" s="6" t="n">
        <v>18942.5945237196</v>
      </c>
      <c r="C15" s="9">
        <f si="0" t="shared"/>
        <v>7.3253902845880653E-2</v>
      </c>
      <c r="E15" s="371">
        <v>4</v>
      </c>
      <c r="F15" s="371" t="n">
        <v>22955.0</v>
      </c>
      <c r="G15" s="9">
        <f si="1" t="shared"/>
        <v>7.5217787247203557E-2</v>
      </c>
    </row>
    <row r="16" spans="1:12" x14ac:dyDescent="0.25">
      <c r="A16">
        <v>5</v>
      </c>
      <c r="B16" s="6" t="n">
        <v>14864.7396953306</v>
      </c>
      <c r="C16" s="9">
        <f si="0" t="shared"/>
        <v>5.748421611979028E-2</v>
      </c>
      <c r="E16" s="371">
        <v>5</v>
      </c>
      <c r="F16" s="371" t="n">
        <v>19623.0</v>
      </c>
      <c r="G16" s="9">
        <f si="1" t="shared"/>
        <v>6.2131651746593582E-2</v>
      </c>
    </row>
    <row r="17" spans="1:7" x14ac:dyDescent="0.25">
      <c r="A17">
        <v>6</v>
      </c>
      <c r="B17" s="6" t="n">
        <v>13230.8590077487</v>
      </c>
      <c r="C17" s="9">
        <f si="0" t="shared"/>
        <v>5.1165750241210992E-2</v>
      </c>
      <c r="E17" s="371">
        <v>6</v>
      </c>
      <c r="F17" s="371" t="n">
        <v>15643.0</v>
      </c>
      <c r="G17" s="9">
        <f si="1" t="shared"/>
        <v>5.1585078781422364E-2</v>
      </c>
    </row>
    <row r="18" spans="1:7" x14ac:dyDescent="0.25">
      <c r="A18">
        <v>7</v>
      </c>
      <c r="B18" s="6" t="n">
        <v>15657.7923594553</v>
      </c>
      <c r="C18" s="9">
        <f si="0" t="shared"/>
        <v>6.0551071757581239E-2</v>
      </c>
      <c r="E18" s="371">
        <v>7</v>
      </c>
      <c r="F18" s="371" t="n">
        <v>14294.0</v>
      </c>
      <c r="G18" s="9">
        <f si="1" t="shared"/>
        <v>4.5629649993986152E-2</v>
      </c>
    </row>
    <row r="19" spans="1:7" x14ac:dyDescent="0.25">
      <c r="A19">
        <v>8</v>
      </c>
      <c r="B19" s="6" t="n">
        <v>7495.5300697174</v>
      </c>
      <c r="C19" s="9">
        <f si="0" t="shared"/>
        <v>2.8986358274095483E-2</v>
      </c>
      <c r="E19" s="371">
        <v>8</v>
      </c>
      <c r="F19" s="371" t="n">
        <v>13157.0</v>
      </c>
      <c r="G19" s="9">
        <f si="1" t="shared"/>
        <v>4.1588343442327189E-2</v>
      </c>
    </row>
    <row r="20" spans="1:7" x14ac:dyDescent="0.25">
      <c r="A20">
        <v>9</v>
      </c>
      <c r="B20" s="6" t="n">
        <v>5781.1659108765</v>
      </c>
      <c r="C20" s="9">
        <f si="0" t="shared"/>
        <v>2.235665053385234E-2</v>
      </c>
      <c r="E20" s="371">
        <v>9</v>
      </c>
      <c r="F20" s="371" t="n">
        <v>10274.0</v>
      </c>
      <c r="G20" s="9">
        <f si="1" t="shared"/>
        <v>3.2268595680338151E-2</v>
      </c>
    </row>
    <row r="21" spans="1:7" x14ac:dyDescent="0.25">
      <c r="A21">
        <v>10</v>
      </c>
      <c r="B21" s="6" t="n">
        <v>8532.2353604863</v>
      </c>
      <c r="C21" s="9">
        <f si="0" t="shared"/>
        <v>3.2995455789998136E-2</v>
      </c>
      <c r="E21" s="371">
        <v>10</v>
      </c>
      <c r="F21" s="371" t="n">
        <v>9976.0</v>
      </c>
      <c r="G21" s="9">
        <f si="1" t="shared"/>
        <v>3.128919740889019E-2</v>
      </c>
    </row>
    <row r="22" spans="1:7" x14ac:dyDescent="0.25">
      <c r="A22">
        <v>11</v>
      </c>
      <c r="B22" s="6" t="n">
        <v>15082.428221839</v>
      </c>
      <c r="C22" s="9">
        <f si="0" t="shared"/>
        <v>5.832605086167536E-2</v>
      </c>
      <c r="E22" s="371">
        <v>11</v>
      </c>
      <c r="F22" s="371" t="n">
        <v>9660.0</v>
      </c>
      <c r="G22" s="9">
        <f si="1" t="shared"/>
        <v>3.0849327308029348E-2</v>
      </c>
    </row>
    <row r="23" spans="1:7" x14ac:dyDescent="0.25">
      <c r="A23">
        <v>12</v>
      </c>
      <c r="B23" s="6" t="n">
        <v>6950.9931059348</v>
      </c>
      <c r="C23" s="9">
        <f si="0" t="shared"/>
        <v>2.6880550762301232E-2</v>
      </c>
      <c r="E23" s="371">
        <v>12</v>
      </c>
      <c r="F23" s="371" t="n">
        <v>9436.0</v>
      </c>
      <c r="G23" s="9">
        <f si="1" t="shared"/>
        <v>3.2447292908812868E-2</v>
      </c>
    </row>
    <row r="24" spans="1:7" x14ac:dyDescent="0.25">
      <c r="A24">
        <v>13</v>
      </c>
      <c r="B24" s="6" t="n">
        <v>4114.7425653348</v>
      </c>
      <c r="C24" s="9">
        <f si="0" t="shared"/>
        <v>1.5912337232336937E-2</v>
      </c>
      <c r="E24" s="371">
        <v>13</v>
      </c>
      <c r="F24" s="371" t="n">
        <v>8733.0</v>
      </c>
      <c r="G24" s="9">
        <f si="1" t="shared"/>
        <v>3.153662434062441E-2</v>
      </c>
    </row>
    <row r="25" spans="1:7" x14ac:dyDescent="0.25">
      <c r="A25">
        <v>14</v>
      </c>
      <c r="B25" s="6" t="n">
        <v>7190.478961789</v>
      </c>
      <c r="C25" s="9">
        <f si="0" t="shared"/>
        <v>2.7806679102098546E-2</v>
      </c>
      <c r="E25" s="371">
        <v>14</v>
      </c>
      <c r="F25" s="371" t="n">
        <v>7970.0</v>
      </c>
      <c r="G25" s="9">
        <f si="1" t="shared"/>
        <v>2.7907696008522484E-2</v>
      </c>
    </row>
    <row r="26" spans="1:7" x14ac:dyDescent="0.25">
      <c r="A26">
        <v>15</v>
      </c>
      <c r="B26" s="6" t="n">
        <v>6474.9713746035</v>
      </c>
      <c r="C26" s="9">
        <f si="0" t="shared"/>
        <v>2.503970210686458E-2</v>
      </c>
      <c r="E26" s="371">
        <v>15</v>
      </c>
      <c r="F26" s="371" t="n">
        <v>7223.0</v>
      </c>
      <c r="G26" s="9">
        <f si="1" t="shared"/>
        <v>2.7158542242993865E-2</v>
      </c>
    </row>
    <row r="27" spans="1:7" x14ac:dyDescent="0.25">
      <c r="A27">
        <v>16</v>
      </c>
      <c r="B27" s="6" t="n">
        <v>6389.8674573808</v>
      </c>
      <c r="C27" s="9">
        <f si="0" t="shared"/>
        <v>2.471059227577839E-2</v>
      </c>
      <c r="E27" s="371">
        <v>16</v>
      </c>
      <c r="F27" s="371" t="n">
        <v>6196.0</v>
      </c>
      <c r="G27" s="9">
        <f si="1" t="shared"/>
        <v>2.4089760992456914E-2</v>
      </c>
    </row>
    <row r="28" spans="1:7" x14ac:dyDescent="0.25">
      <c r="A28">
        <v>17</v>
      </c>
      <c r="B28" s="6" t="n">
        <v>5130.4852618024</v>
      </c>
      <c r="C28" s="9">
        <f si="0" t="shared"/>
        <v>1.984036919808899E-2</v>
      </c>
      <c r="E28" s="371">
        <v>17</v>
      </c>
      <c r="F28" s="371" t="n">
        <v>5387.0</v>
      </c>
      <c r="G28" s="9">
        <f si="1" t="shared"/>
        <v>2.1632674100929568E-2</v>
      </c>
    </row>
    <row r="29" spans="1:7" x14ac:dyDescent="0.25">
      <c r="A29">
        <v>18</v>
      </c>
      <c r="B29" s="6" t="n">
        <v>10527.056966253</v>
      </c>
      <c r="C29" s="9">
        <f si="0" t="shared"/>
        <v>4.0709735263209576E-2</v>
      </c>
      <c r="E29" s="371">
        <v>18</v>
      </c>
      <c r="F29" s="371" t="n">
        <v>4307.0</v>
      </c>
      <c r="G29" s="9">
        <f si="1" t="shared"/>
        <v>1.7797556659049123E-2</v>
      </c>
    </row>
    <row r="30" spans="1:7" x14ac:dyDescent="0.25">
      <c r="A30">
        <v>19</v>
      </c>
      <c r="B30" s="6" t="n">
        <v>3068.469754471</v>
      </c>
      <c r="C30" s="9">
        <f si="0" t="shared"/>
        <v>1.1866240656636525E-2</v>
      </c>
      <c r="E30" s="371">
        <v>19</v>
      </c>
      <c r="F30" s="371" t="n">
        <v>3621.0</v>
      </c>
      <c r="G30" s="9">
        <f si="1" t="shared"/>
        <v>1.5261430608773347E-2</v>
      </c>
    </row>
    <row r="31" spans="1:7" x14ac:dyDescent="0.25">
      <c r="A31">
        <v>20</v>
      </c>
      <c r="B31" s="6" t="n">
        <v>3506.5016296100002</v>
      </c>
      <c r="C31" s="9">
        <f si="0" t="shared"/>
        <v>1.356017674256455E-2</v>
      </c>
      <c r="E31" s="371">
        <v>20</v>
      </c>
      <c r="F31" s="371" t="n">
        <v>3349.0</v>
      </c>
      <c r="G31" s="9">
        <f si="1" t="shared"/>
        <v>1.3718448770597432E-2</v>
      </c>
    </row>
    <row r="32" spans="1:7" x14ac:dyDescent="0.25">
      <c r="A32">
        <v>21</v>
      </c>
      <c r="B32" s="6" t="n">
        <v>5398.482094504599</v>
      </c>
      <c r="C32" s="9">
        <f si="0" t="shared"/>
        <v>2.0876753834902499E-2</v>
      </c>
      <c r="E32" s="371">
        <v>21</v>
      </c>
      <c r="F32" s="371" t="n">
        <v>2719.0</v>
      </c>
      <c r="G32" s="9">
        <f si="1" t="shared"/>
        <v>1.135414697847042E-2</v>
      </c>
    </row>
    <row r="33" spans="1:7" x14ac:dyDescent="0.25">
      <c r="A33">
        <v>22</v>
      </c>
      <c r="B33" s="6" t="n">
        <v>3295.859681899</v>
      </c>
      <c r="C33" s="9">
        <f si="0" t="shared"/>
        <v>1.2745592195892917E-2</v>
      </c>
      <c r="E33" s="371">
        <v>22</v>
      </c>
      <c r="F33" s="371" t="n">
        <v>2277.0</v>
      </c>
      <c r="G33" s="9">
        <f si="1" t="shared"/>
        <v>9.7493084073609505E-3</v>
      </c>
    </row>
    <row r="34" spans="1:7" x14ac:dyDescent="0.25">
      <c r="A34">
        <v>23</v>
      </c>
      <c r="B34" s="6" t="n">
        <v>2466.086367932</v>
      </c>
      <c r="C34" s="9">
        <f si="0" t="shared"/>
        <v>9.5367322031749101E-3</v>
      </c>
      <c r="E34" s="371">
        <v>23</v>
      </c>
      <c r="F34" s="371" t="n">
        <v>1921.0</v>
      </c>
      <c r="G34" s="9">
        <f si="1" t="shared"/>
        <v>8.9417343940617535E-3</v>
      </c>
    </row>
    <row r="35" spans="1:7" x14ac:dyDescent="0.25">
      <c r="A35">
        <v>24</v>
      </c>
      <c r="B35" s="6" t="n">
        <v>775.4501744167001</v>
      </c>
      <c r="C35" s="9">
        <f si="0" t="shared"/>
        <v>2.9987841247096428E-3</v>
      </c>
      <c r="E35" s="371">
        <v>24</v>
      </c>
      <c r="F35" s="371" t="n">
        <v>1550.0</v>
      </c>
      <c r="G35" s="9">
        <f si="1" t="shared"/>
        <v>7.2544201790408769E-3</v>
      </c>
    </row>
    <row r="36" spans="1:7" x14ac:dyDescent="0.25">
      <c r="A36">
        <v>25</v>
      </c>
      <c r="B36" s="6" t="n">
        <v>1650.248423519</v>
      </c>
      <c r="C36" s="9">
        <f si="0" t="shared"/>
        <v>6.3817624104583817E-3</v>
      </c>
      <c r="E36" s="371">
        <v>25</v>
      </c>
      <c r="F36" s="371" t="n">
        <v>1200.0</v>
      </c>
      <c r="G36" s="9">
        <f si="1" t="shared"/>
        <v>5.9107544803175312E-3</v>
      </c>
    </row>
    <row r="37" spans="1:7" x14ac:dyDescent="0.25">
      <c r="A37">
        <v>26</v>
      </c>
      <c r="B37" s="6" t="n">
        <v>626.9178388610001</v>
      </c>
      <c r="C37" s="9">
        <f si="0" t="shared"/>
        <v>2.4243869234896872E-3</v>
      </c>
      <c r="E37" s="371">
        <v>26</v>
      </c>
      <c r="F37" s="371" t="n">
        <v>1080.0</v>
      </c>
      <c r="G37" s="9">
        <f si="1" t="shared"/>
        <v>5.4262100723380131E-3</v>
      </c>
    </row>
    <row r="38" spans="1:7" x14ac:dyDescent="0.25">
      <c r="A38">
        <v>27</v>
      </c>
      <c r="B38" s="6" t="n">
        <v>490.266160811</v>
      </c>
      <c r="C38" s="9">
        <f si="0" t="shared"/>
        <v>1.8959340373200248E-3</v>
      </c>
      <c r="E38" s="371">
        <v>27</v>
      </c>
      <c r="F38" s="371" t="n">
        <v>907.0</v>
      </c>
      <c r="G38" s="9">
        <f si="1" t="shared"/>
        <v>4.7595319507208024E-3</v>
      </c>
    </row>
    <row r="39" spans="1:7" x14ac:dyDescent="0.25">
      <c r="A39">
        <v>28</v>
      </c>
      <c r="B39" s="6" t="n">
        <v>110.48572589</v>
      </c>
      <c r="C39" s="9">
        <f si="0" t="shared"/>
        <v>4.2726515737155759E-4</v>
      </c>
      <c r="E39" s="371">
        <v>28</v>
      </c>
      <c r="F39" s="371" t="n">
        <v>692.0</v>
      </c>
      <c r="G39" s="9">
        <f si="1" t="shared"/>
        <v>3.6048729359610988E-3</v>
      </c>
    </row>
    <row r="40" spans="1:7" x14ac:dyDescent="0.25">
      <c r="A40">
        <v>29</v>
      </c>
      <c r="B40" s="6" t="n">
        <v>0.0</v>
      </c>
      <c r="C40" s="9">
        <f si="0" t="shared"/>
        <v>0</v>
      </c>
      <c r="E40" s="371">
        <v>29</v>
      </c>
      <c r="F40" s="371" t="n">
        <v>656.0</v>
      </c>
      <c r="G40" s="9">
        <f si="1" t="shared"/>
        <v>3.347136548737951E-3</v>
      </c>
    </row>
    <row r="41" spans="1:7" x14ac:dyDescent="0.25">
      <c r="A41">
        <v>30</v>
      </c>
      <c r="B41" s="6" t="n">
        <v>291.448588849</v>
      </c>
      <c r="C41" s="9">
        <f si="0" t="shared"/>
        <v>1.1270761555593593E-3</v>
      </c>
      <c r="E41" s="371">
        <v>30</v>
      </c>
      <c r="F41" s="371" t="n">
        <v>589.0</v>
      </c>
      <c r="G41" s="9">
        <f si="1" t="shared"/>
        <v>3.0825271911888519E-3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454.0</v>
      </c>
      <c r="G42" s="9">
        <f si="1" t="shared"/>
        <v>2.4673963470162718E-3</v>
      </c>
    </row>
    <row r="43" spans="1:7" x14ac:dyDescent="0.25">
      <c r="A43">
        <v>32</v>
      </c>
      <c r="B43" s="6" t="n">
        <v>512.187983796</v>
      </c>
      <c r="C43" s="9">
        <f si="0" t="shared"/>
        <v>1.9807090711274028E-3</v>
      </c>
      <c r="E43" s="371">
        <v>32</v>
      </c>
      <c r="F43" s="371" t="n">
        <v>370.0</v>
      </c>
      <c r="G43" s="9">
        <f si="1" t="shared"/>
        <v>2.103128919740889E-3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358.0</v>
      </c>
      <c r="G44" s="9">
        <f si="1" t="shared"/>
        <v>1.8797573841474939E-3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161.0</v>
      </c>
      <c r="G45" s="9">
        <f si="1" t="shared"/>
        <v>1.0721833708482963E-3</v>
      </c>
    </row>
    <row r="46" spans="1:7" x14ac:dyDescent="0.25">
      <c r="A46">
        <v>35</v>
      </c>
      <c r="B46" s="6" t="n">
        <v>248.443558839</v>
      </c>
      <c r="C46" s="9">
        <f si="0" t="shared"/>
        <v>9.6076914379853709E-4</v>
      </c>
      <c r="E46" s="371">
        <v>35</v>
      </c>
      <c r="F46" s="371" t="n">
        <v>174.0</v>
      </c>
      <c r="G46" s="9">
        <f si="1" t="shared"/>
        <v>1.0240725785666421E-3</v>
      </c>
    </row>
    <row r="47" spans="1:7" x14ac:dyDescent="0.25">
      <c r="A47">
        <v>36</v>
      </c>
      <c r="B47" s="6" t="n">
        <v>667.99538554</v>
      </c>
      <c r="C47" s="9">
        <f si="0" t="shared"/>
        <v>2.5832400631587362E-3</v>
      </c>
      <c r="E47" s="371">
        <v>36</v>
      </c>
      <c r="F47" s="371" t="n">
        <v>173.0</v>
      </c>
      <c r="G47" s="9">
        <f si="1" t="shared"/>
        <v>1.1134211928040001E-3</v>
      </c>
    </row>
    <row r="48" spans="1:7" x14ac:dyDescent="0.25">
      <c r="A48">
        <v>37</v>
      </c>
      <c r="B48" s="6" t="n">
        <v>258.441807167</v>
      </c>
      <c r="C48" s="9">
        <f si="0" t="shared"/>
        <v>9.9943389538423928E-4</v>
      </c>
      <c r="E48" s="371">
        <v>37</v>
      </c>
      <c r="F48" s="371" t="n">
        <v>124.0</v>
      </c>
      <c r="G48" s="9">
        <f si="1" t="shared"/>
        <v>7.6977267650646917E-4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151.0</v>
      </c>
      <c r="G49" s="9">
        <f si="1" t="shared"/>
        <v>8.8661317204762969E-4</v>
      </c>
    </row>
    <row r="50" spans="1:7" x14ac:dyDescent="0.25">
      <c r="A50">
        <v>39</v>
      </c>
      <c r="B50" s="6" t="n">
        <v>599.433670564</v>
      </c>
      <c r="C50" s="9">
        <f si="0" t="shared"/>
        <v>2.3181014517868943E-3</v>
      </c>
      <c r="E50" s="371">
        <v>39</v>
      </c>
      <c r="F50" s="371" t="n">
        <v>121.0</v>
      </c>
      <c r="G50" s="9">
        <f si="1" t="shared"/>
        <v>7.3197133971374074E-4</v>
      </c>
    </row>
    <row r="51" spans="1:7" x14ac:dyDescent="0.25">
      <c r="A51">
        <v>40</v>
      </c>
      <c r="B51" s="6" t="n">
        <v>195.037406395</v>
      </c>
      <c r="C51" s="9">
        <f si="0" t="shared"/>
        <v>7.5423940482290401E-4</v>
      </c>
      <c r="E51" s="371">
        <v>40</v>
      </c>
      <c r="F51" s="371" t="n">
        <v>100.0</v>
      </c>
      <c r="G51" s="9">
        <f si="1" t="shared"/>
        <v>6.5293218096530866E-4</v>
      </c>
    </row>
    <row r="52" spans="1:7" x14ac:dyDescent="0.25">
      <c r="A52">
        <v>41</v>
      </c>
      <c r="B52" s="6" t="n">
        <v>356.0060045</v>
      </c>
      <c r="C52" s="9">
        <f si="0" t="shared"/>
        <v>1.3767295305581121E-3</v>
      </c>
      <c r="E52" s="371">
        <v>41</v>
      </c>
      <c r="F52" s="371" t="n">
        <v>80.0</v>
      </c>
      <c r="G52" s="9">
        <f si="1" t="shared"/>
        <v>5.3952817058712348E-4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75.0</v>
      </c>
      <c r="G53" s="9">
        <f si="1" t="shared"/>
        <v>4.6048901183869139E-4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57.0</v>
      </c>
      <c r="G54" s="9">
        <f si="1" t="shared"/>
        <v>4.2612416020893829E-4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51.0</v>
      </c>
      <c r="G55" s="9">
        <f si="1" t="shared"/>
        <v>3.9519579374216053E-4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54.0</v>
      </c>
      <c r="G56" s="9">
        <f si="1" t="shared"/>
        <v>3.2990257564562966E-4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40.0</v>
      </c>
      <c r="G57" s="9">
        <f si="1" t="shared"/>
        <v>2.6117287238612346E-4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36.0</v>
      </c>
      <c r="G58" s="9">
        <f si="1" t="shared"/>
        <v>3.3677554597158027E-4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35.0</v>
      </c>
      <c r="G59" s="9">
        <f si="1" t="shared"/>
        <v>3.1959312015670372E-4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37.0</v>
      </c>
      <c r="G60" s="9">
        <f si="1" t="shared"/>
        <v>3.1615663499372839E-4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24.0</v>
      </c>
      <c r="G61" s="9">
        <f si="1" t="shared"/>
        <v>1.993161394525679E-4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19.0</v>
      </c>
      <c r="G62" s="9">
        <f si="1" t="shared"/>
        <v>1.5120534717091359E-4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22.0</v>
      </c>
      <c r="G63" s="9">
        <f si="1" t="shared"/>
        <v>1.6838777298579013E-4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14.0</v>
      </c>
      <c r="G64" s="9">
        <f si="1" t="shared"/>
        <v>1.3745940651901237E-4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12.0</v>
      </c>
      <c r="G65" s="9">
        <f si="1" t="shared"/>
        <v>1.3745940651901237E-4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6.0</v>
      </c>
      <c r="G66" s="9">
        <f si="1" t="shared"/>
        <v>6.8729703259506184E-5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5.0</v>
      </c>
      <c r="G67" s="9">
        <f si="1" t="shared"/>
        <v>8.9348614237358024E-5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5.0</v>
      </c>
      <c r="G68" s="9">
        <f si="1" t="shared"/>
        <v>4.4674307118679012E-5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4.0</v>
      </c>
      <c r="G69" s="9">
        <f si="1" t="shared"/>
        <v>9.9658069726283951E-5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6.0</v>
      </c>
      <c r="G70" s="9">
        <f si="1" t="shared"/>
        <v>7.5602673585456793E-5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6.0</v>
      </c>
      <c r="G71" s="9">
        <f si="1" t="shared"/>
        <v>5.4983762607604939E-5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7.0</v>
      </c>
      <c r="G72" s="9">
        <f si="1" t="shared"/>
        <v>6.8729703259506184E-5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2.0</v>
      </c>
      <c r="G73" s="9">
        <f si="1" t="shared"/>
        <v>4.8110792281654323E-5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3.0</v>
      </c>
      <c r="G74" s="9">
        <f si="1" t="shared"/>
        <v>3.7801336792728396E-5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4.4674307118679012E-5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1.7182425814876546E-5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1.7182425814876546E-5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6.8729703259506174E-6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3.4364851629753087E-6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6.8729703259506174E-6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2.0</v>
      </c>
      <c r="G87" s="9">
        <f si="3" t="shared"/>
        <v>6.8729703259506174E-6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258588.19513784876</v>
      </c>
      <c r="C102" s="9">
        <f si="2" t="shared"/>
        <v>1</v>
      </c>
      <c r="F102" s="6">
        <f>SUM(F11:F101)</f>
        <v>290995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1155.86225</v>
      </c>
      <c r="C11" s="9">
        <f>B11/B$102</f>
        <v>4.4698956554603342E-3</v>
      </c>
      <c r="E11" s="371">
        <v>0</v>
      </c>
      <c r="F11" s="371" t="n">
        <v>440.0</v>
      </c>
      <c r="G11" s="9">
        <f>F11/F$102</f>
        <v>1.2783724806268149E-3</v>
      </c>
      <c r="K11" s="6" t="n">
        <v>22.798187666124246</v>
      </c>
      <c r="L11" s="6" t="n">
        <v>21.266477305375265</v>
      </c>
    </row>
    <row r="12" spans="1:12" x14ac:dyDescent="0.25">
      <c r="A12">
        <v>1</v>
      </c>
      <c r="B12" s="6" t="n">
        <v>461.623967696</v>
      </c>
      <c r="C12" s="9">
        <f>B12/B$102</f>
        <v>1.7851703069814008E-3</v>
      </c>
      <c r="E12" s="371">
        <v>1</v>
      </c>
      <c r="F12" s="371" t="n">
        <v>3195.0</v>
      </c>
      <c r="G12" s="9">
        <f>F12/F$102</f>
        <v>1.1072355195106446E-2</v>
      </c>
      <c r="K12" s="6"/>
      <c r="L12" s="371"/>
    </row>
    <row r="13" spans="1:12" x14ac:dyDescent="0.25">
      <c r="A13">
        <v>2</v>
      </c>
      <c r="B13" s="6" t="n">
        <v>4614.176900194</v>
      </c>
      <c r="C13" s="9">
        <f ref="C13:C76" si="0" t="shared">B13/B$102</f>
        <v>1.7843725997369147E-2</v>
      </c>
      <c r="E13" s="371">
        <v>2</v>
      </c>
      <c r="F13" s="371" t="n">
        <v>4795.0</v>
      </c>
      <c r="G13" s="9">
        <f ref="G13:G76" si="1" t="shared">F13/F$102</f>
        <v>1.6508874722933383E-2</v>
      </c>
    </row>
    <row r="14" spans="1:12" x14ac:dyDescent="0.25">
      <c r="A14">
        <v>3</v>
      </c>
      <c r="B14" s="6" t="n">
        <v>2261.242703378</v>
      </c>
      <c r="C14" s="9">
        <f si="0" t="shared"/>
        <v>8.7445705020392402E-3</v>
      </c>
      <c r="E14" s="371">
        <v>3</v>
      </c>
      <c r="F14" s="371" t="n">
        <v>7101.0</v>
      </c>
      <c r="G14" s="9">
        <f si="1" t="shared"/>
        <v>2.259145346139968E-2</v>
      </c>
    </row>
    <row r="15" spans="1:12" x14ac:dyDescent="0.25">
      <c r="A15">
        <v>4</v>
      </c>
      <c r="B15" s="6" t="n">
        <v>5068.944007060501</v>
      </c>
      <c r="C15" s="9">
        <f si="0" t="shared"/>
        <v>1.9602379777461747E-2</v>
      </c>
      <c r="E15" s="371">
        <v>4</v>
      </c>
      <c r="F15" s="371" t="n">
        <v>9414.0</v>
      </c>
      <c r="G15" s="9">
        <f si="1" t="shared"/>
        <v>3.0540043643361568E-2</v>
      </c>
    </row>
    <row r="16" spans="1:12" x14ac:dyDescent="0.25">
      <c r="A16">
        <v>5</v>
      </c>
      <c r="B16" s="6" t="n">
        <v>10959.2309756311</v>
      </c>
      <c r="C16" s="9">
        <f si="0" t="shared"/>
        <v>4.2381018088582599E-2</v>
      </c>
      <c r="E16" s="371">
        <v>5</v>
      </c>
      <c r="F16" s="371" t="n">
        <v>10921.0</v>
      </c>
      <c r="G16" s="9">
        <f si="1" t="shared"/>
        <v>3.5399233663808656E-2</v>
      </c>
    </row>
    <row r="17" spans="1:7" x14ac:dyDescent="0.25">
      <c r="A17">
        <v>6</v>
      </c>
      <c r="B17" s="6" t="n">
        <v>14678.444903469599</v>
      </c>
      <c r="C17" s="9">
        <f si="0" t="shared"/>
        <v>5.6763785739116106E-2</v>
      </c>
      <c r="E17" s="371">
        <v>6</v>
      </c>
      <c r="F17" s="371" t="n">
        <v>11557.0</v>
      </c>
      <c r="G17" s="9">
        <f si="1" t="shared"/>
        <v>3.7114039760133333E-2</v>
      </c>
    </row>
    <row r="18" spans="1:7" x14ac:dyDescent="0.25">
      <c r="A18">
        <v>7</v>
      </c>
      <c r="B18" s="6" t="n">
        <v>14376.0330564886</v>
      </c>
      <c r="C18" s="9">
        <f si="0" t="shared"/>
        <v>5.5594312991840124E-2</v>
      </c>
      <c r="E18" s="371">
        <v>7</v>
      </c>
      <c r="F18" s="371" t="n">
        <v>12363.0</v>
      </c>
      <c r="G18" s="9">
        <f si="1" t="shared"/>
        <v>3.8715441846079827E-2</v>
      </c>
    </row>
    <row r="19" spans="1:7" x14ac:dyDescent="0.25">
      <c r="A19">
        <v>8</v>
      </c>
      <c r="B19" s="6" t="n">
        <v>8536.4040072284</v>
      </c>
      <c r="C19" s="9">
        <f si="0" t="shared"/>
        <v>3.3011576582905468E-2</v>
      </c>
      <c r="E19" s="371">
        <v>8</v>
      </c>
      <c r="F19" s="371" t="n">
        <v>12448.0</v>
      </c>
      <c r="G19" s="9">
        <f si="1" t="shared"/>
        <v>3.9382119967697041E-2</v>
      </c>
    </row>
    <row r="20" spans="1:7" x14ac:dyDescent="0.25">
      <c r="A20">
        <v>9</v>
      </c>
      <c r="B20" s="6" t="n">
        <v>6866.6897391741995</v>
      </c>
      <c r="C20" s="9">
        <f si="0" t="shared"/>
        <v>2.6554536781981431E-2</v>
      </c>
      <c r="E20" s="371">
        <v>9</v>
      </c>
      <c r="F20" s="371" t="n">
        <v>11636.0</v>
      </c>
      <c r="G20" s="9">
        <f si="1" t="shared"/>
        <v>3.652640079726456E-2</v>
      </c>
    </row>
    <row r="21" spans="1:7" x14ac:dyDescent="0.25">
      <c r="A21">
        <v>10</v>
      </c>
      <c r="B21" s="6" t="n">
        <v>8381.964122954</v>
      </c>
      <c r="C21" s="9">
        <f si="0" t="shared"/>
        <v>3.2414333989553235E-2</v>
      </c>
      <c r="E21" s="371">
        <v>10</v>
      </c>
      <c r="F21" s="371" t="n">
        <v>11184.0</v>
      </c>
      <c r="G21" s="9">
        <f si="1" t="shared"/>
        <v>3.4440454303338544E-2</v>
      </c>
    </row>
    <row r="22" spans="1:7" x14ac:dyDescent="0.25">
      <c r="A22">
        <v>11</v>
      </c>
      <c r="B22" s="6" t="n">
        <v>7645.9275654501</v>
      </c>
      <c r="C22" s="9">
        <f si="0" t="shared"/>
        <v>2.9567968334262857E-2</v>
      </c>
      <c r="E22" s="371">
        <v>11</v>
      </c>
      <c r="F22" s="371" t="n">
        <v>10385.0</v>
      </c>
      <c r="G22" s="9">
        <f si="1" t="shared"/>
        <v>3.2100207907352359E-2</v>
      </c>
    </row>
    <row r="23" spans="1:7" x14ac:dyDescent="0.25">
      <c r="A23">
        <v>12</v>
      </c>
      <c r="B23" s="6" t="n">
        <v>5066.9845891753</v>
      </c>
      <c r="C23" s="9">
        <f si="0" t="shared"/>
        <v>1.9594802409577044E-2</v>
      </c>
      <c r="E23" s="371">
        <v>12</v>
      </c>
      <c r="F23" s="371" t="n">
        <v>10122.0</v>
      </c>
      <c r="G23" s="9">
        <f si="1" t="shared"/>
        <v>3.0608773346621074E-2</v>
      </c>
    </row>
    <row r="24" spans="1:7" x14ac:dyDescent="0.25">
      <c r="A24">
        <v>13</v>
      </c>
      <c r="B24" s="6" t="n">
        <v>7102.0602582806005</v>
      </c>
      <c r="C24" s="9">
        <f si="0" t="shared"/>
        <v>2.7464750486752173E-2</v>
      </c>
      <c r="E24" s="371">
        <v>13</v>
      </c>
      <c r="F24" s="371" t="n">
        <v>9036.0</v>
      </c>
      <c r="G24" s="9">
        <f si="1" t="shared"/>
        <v>2.797642571178199E-2</v>
      </c>
    </row>
    <row r="25" spans="1:7" x14ac:dyDescent="0.25">
      <c r="A25">
        <v>14</v>
      </c>
      <c r="B25" s="6" t="n">
        <v>5129.6050527083</v>
      </c>
      <c r="C25" s="9">
        <f si="0" t="shared"/>
        <v>1.9836965295240167E-2</v>
      </c>
      <c r="E25" s="371">
        <v>14</v>
      </c>
      <c r="F25" s="371" t="n">
        <v>7709.0</v>
      </c>
      <c r="G25" s="9">
        <f si="1" t="shared"/>
        <v>2.3268441038505817E-2</v>
      </c>
    </row>
    <row r="26" spans="1:7" x14ac:dyDescent="0.25">
      <c r="A26">
        <v>15</v>
      </c>
      <c r="B26" s="6" t="n">
        <v>9473.0942713057</v>
      </c>
      <c r="C26" s="9">
        <f si="0" t="shared"/>
        <v>3.663390073261371E-2</v>
      </c>
      <c r="E26" s="371">
        <v>15</v>
      </c>
      <c r="F26" s="371" t="n">
        <v>7082.0</v>
      </c>
      <c r="G26" s="9">
        <f si="1" t="shared"/>
        <v>2.2484922421347447E-2</v>
      </c>
    </row>
    <row r="27" spans="1:7" x14ac:dyDescent="0.25">
      <c r="A27">
        <v>16</v>
      </c>
      <c r="B27" s="6" t="n">
        <v>4828.317325203</v>
      </c>
      <c r="C27" s="9">
        <f si="0" t="shared"/>
        <v>1.8671839689468842E-2</v>
      </c>
      <c r="E27" s="371">
        <v>16</v>
      </c>
      <c r="F27" s="371" t="n">
        <v>6917.0</v>
      </c>
      <c r="G27" s="9">
        <f si="1" t="shared"/>
        <v>2.0388666471932507E-2</v>
      </c>
    </row>
    <row r="28" spans="1:7" x14ac:dyDescent="0.25">
      <c r="A28">
        <v>17</v>
      </c>
      <c r="B28" s="6" t="n">
        <v>3690.771905291</v>
      </c>
      <c r="C28" s="9">
        <f si="0" t="shared"/>
        <v>1.4272778010316805E-2</v>
      </c>
      <c r="E28" s="371">
        <v>17</v>
      </c>
      <c r="F28" s="371" t="n">
        <v>6263.0</v>
      </c>
      <c r="G28" s="9">
        <f si="1" t="shared"/>
        <v>1.9990034193027372E-2</v>
      </c>
    </row>
    <row r="29" spans="1:7" x14ac:dyDescent="0.25">
      <c r="A29">
        <v>18</v>
      </c>
      <c r="B29" s="6" t="n">
        <v>6879.4686063749</v>
      </c>
      <c r="C29" s="9">
        <f si="0" t="shared"/>
        <v>2.6603954610950338E-2</v>
      </c>
      <c r="E29" s="371">
        <v>18</v>
      </c>
      <c r="F29" s="371" t="n">
        <v>7726.0</v>
      </c>
      <c r="G29" s="9">
        <f si="1" t="shared"/>
        <v>2.5337205106616953E-2</v>
      </c>
    </row>
    <row r="30" spans="1:7" x14ac:dyDescent="0.25">
      <c r="A30">
        <v>19</v>
      </c>
      <c r="B30" s="6" t="n">
        <v>7930.5840618298</v>
      </c>
      <c r="C30" s="9">
        <f si="0" t="shared"/>
        <v>3.0668778432063164E-2</v>
      </c>
      <c r="E30" s="371">
        <v>19</v>
      </c>
      <c r="F30" s="371" t="n">
        <v>7097.0</v>
      </c>
      <c r="G30" s="9">
        <f si="1" t="shared"/>
        <v>2.2684238560800013E-2</v>
      </c>
    </row>
    <row r="31" spans="1:7" x14ac:dyDescent="0.25">
      <c r="A31">
        <v>20</v>
      </c>
      <c r="B31" s="6" t="n">
        <v>7633.8409398955</v>
      </c>
      <c r="C31" s="9">
        <f si="0" t="shared"/>
        <v>2.9521227509345629E-2</v>
      </c>
      <c r="E31" s="371">
        <v>20</v>
      </c>
      <c r="F31" s="371" t="n">
        <v>7144.0</v>
      </c>
      <c r="G31" s="9">
        <f si="1" t="shared"/>
        <v>2.3268441038505817E-2</v>
      </c>
    </row>
    <row r="32" spans="1:7" x14ac:dyDescent="0.25">
      <c r="A32">
        <v>21</v>
      </c>
      <c r="B32" s="6" t="n">
        <v>6923.9136239018</v>
      </c>
      <c r="C32" s="9">
        <f si="0" t="shared"/>
        <v>2.6775830274118978E-2</v>
      </c>
      <c r="E32" s="371">
        <v>21</v>
      </c>
      <c r="F32" s="371" t="n">
        <v>6752.0</v>
      </c>
      <c r="G32" s="9">
        <f si="1" t="shared"/>
        <v>2.207941717211636E-2</v>
      </c>
    </row>
    <row r="33" spans="1:7" x14ac:dyDescent="0.25">
      <c r="A33">
        <v>22</v>
      </c>
      <c r="B33" s="6" t="n">
        <v>4427.753106174</v>
      </c>
      <c r="C33" s="9">
        <f si="0" t="shared"/>
        <v>1.7122796745665986E-2</v>
      </c>
      <c r="E33" s="371">
        <v>22</v>
      </c>
      <c r="F33" s="371" t="n">
        <v>6702.0</v>
      </c>
      <c r="G33" s="9">
        <f si="1" t="shared"/>
        <v>2.1409302565336175E-2</v>
      </c>
    </row>
    <row r="34" spans="1:7" x14ac:dyDescent="0.25">
      <c r="A34">
        <v>23</v>
      </c>
      <c r="B34" s="6" t="n">
        <v>3846.669099698</v>
      </c>
      <c r="C34" s="9">
        <f si="0" t="shared"/>
        <v>1.4875656244274444E-2</v>
      </c>
      <c r="E34" s="371">
        <v>23</v>
      </c>
      <c r="F34" s="371" t="n">
        <v>6151.0</v>
      </c>
      <c r="G34" s="9">
        <f si="1" t="shared"/>
        <v>2.0732314988230038E-2</v>
      </c>
    </row>
    <row r="35" spans="1:7" x14ac:dyDescent="0.25">
      <c r="A35">
        <v>24</v>
      </c>
      <c r="B35" s="6" t="n">
        <v>4255.254068256</v>
      </c>
      <c r="C35" s="9">
        <f si="0" t="shared"/>
        <v>1.6455716650126267E-2</v>
      </c>
      <c r="E35" s="371">
        <v>24</v>
      </c>
      <c r="F35" s="371" t="n">
        <v>5945.0</v>
      </c>
      <c r="G35" s="9">
        <f si="1" t="shared"/>
        <v>1.9264935823639581E-2</v>
      </c>
    </row>
    <row r="36" spans="1:7" x14ac:dyDescent="0.25">
      <c r="A36">
        <v>25</v>
      </c>
      <c r="B36" s="6" t="n">
        <v>3808.606157055</v>
      </c>
      <c r="C36" s="9">
        <f si="0" t="shared"/>
        <v>1.472846103831112E-2</v>
      </c>
      <c r="E36" s="371">
        <v>25</v>
      </c>
      <c r="F36" s="371" t="n">
        <v>5911.0</v>
      </c>
      <c r="G36" s="9">
        <f si="1" t="shared"/>
        <v>2.0897266276052852E-2</v>
      </c>
    </row>
    <row r="37" spans="1:7" x14ac:dyDescent="0.25">
      <c r="A37">
        <v>26</v>
      </c>
      <c r="B37" s="6" t="n">
        <v>2095.296886249</v>
      </c>
      <c r="C37" s="9">
        <f si="0" t="shared"/>
        <v>8.1028327110293404E-3</v>
      </c>
      <c r="E37" s="371">
        <v>26</v>
      </c>
      <c r="F37" s="371" t="n">
        <v>5933.0</v>
      </c>
      <c r="G37" s="9">
        <f si="1" t="shared"/>
        <v>1.94573789927662E-2</v>
      </c>
    </row>
    <row r="38" spans="1:7" x14ac:dyDescent="0.25">
      <c r="A38">
        <v>27</v>
      </c>
      <c r="B38" s="6" t="n">
        <v>4825.790627728</v>
      </c>
      <c r="C38" s="9">
        <f si="0" t="shared"/>
        <v>1.8662068564867993E-2</v>
      </c>
      <c r="E38" s="371">
        <v>27</v>
      </c>
      <c r="F38" s="371" t="n">
        <v>5352.0</v>
      </c>
      <c r="G38" s="9">
        <f si="1" t="shared"/>
        <v>1.8295847007680544E-2</v>
      </c>
    </row>
    <row r="39" spans="1:7" x14ac:dyDescent="0.25">
      <c r="A39">
        <v>28</v>
      </c>
      <c r="B39" s="6" t="n">
        <v>2995.0347346856</v>
      </c>
      <c r="C39" s="9">
        <f si="0" t="shared"/>
        <v>1.158225623211067E-2</v>
      </c>
      <c r="E39" s="371">
        <v>28</v>
      </c>
      <c r="F39" s="371" t="n">
        <v>5485.0</v>
      </c>
      <c r="G39" s="9">
        <f si="1" t="shared"/>
        <v>1.9484870874070002E-2</v>
      </c>
    </row>
    <row r="40" spans="1:7" x14ac:dyDescent="0.25">
      <c r="A40">
        <v>29</v>
      </c>
      <c r="B40" s="6" t="n">
        <v>3491.834928187</v>
      </c>
      <c r="C40" s="9">
        <f si="0" t="shared"/>
        <v>1.3503458370655952E-2</v>
      </c>
      <c r="E40" s="371">
        <v>29</v>
      </c>
      <c r="F40" s="371" t="n">
        <v>5387.0</v>
      </c>
      <c r="G40" s="9">
        <f si="1" t="shared"/>
        <v>1.8935033247993952E-2</v>
      </c>
    </row>
    <row r="41" spans="1:7" x14ac:dyDescent="0.25">
      <c r="A41">
        <v>30</v>
      </c>
      <c r="B41" s="6" t="n">
        <v>2852.4472807375</v>
      </c>
      <c r="C41" s="9">
        <f si="0" t="shared"/>
        <v>1.1030848794999748E-2</v>
      </c>
      <c r="E41" s="371">
        <v>30</v>
      </c>
      <c r="F41" s="371" t="n">
        <v>5023.0</v>
      </c>
      <c r="G41" s="9">
        <f si="1" t="shared"/>
        <v>1.734737710269936E-2</v>
      </c>
    </row>
    <row r="42" spans="1:7" x14ac:dyDescent="0.25">
      <c r="A42">
        <v>31</v>
      </c>
      <c r="B42" s="6" t="n">
        <v>2201.512738361</v>
      </c>
      <c r="C42" s="9">
        <f si="0" t="shared"/>
        <v>8.5135856151028547E-3</v>
      </c>
      <c r="E42" s="371">
        <v>31</v>
      </c>
      <c r="F42" s="371" t="n">
        <v>4740.0</v>
      </c>
      <c r="G42" s="9">
        <f si="1" t="shared"/>
        <v>1.7553566212477879E-2</v>
      </c>
    </row>
    <row r="43" spans="1:7" x14ac:dyDescent="0.25">
      <c r="A43">
        <v>32</v>
      </c>
      <c r="B43" s="6" t="n">
        <v>2817.595084413</v>
      </c>
      <c r="C43" s="9">
        <f si="0" t="shared"/>
        <v>1.0896070034871426E-2</v>
      </c>
      <c r="E43" s="371">
        <v>32</v>
      </c>
      <c r="F43" s="371" t="n">
        <v>4561.0</v>
      </c>
      <c r="G43" s="9">
        <f si="1" t="shared"/>
        <v>1.6718500317874876E-2</v>
      </c>
    </row>
    <row r="44" spans="1:7" x14ac:dyDescent="0.25">
      <c r="A44">
        <v>33</v>
      </c>
      <c r="B44" s="6" t="n">
        <v>3717.867414498</v>
      </c>
      <c r="C44" s="9">
        <f si="0" t="shared"/>
        <v>1.4377560478025957E-2</v>
      </c>
      <c r="E44" s="371">
        <v>33</v>
      </c>
      <c r="F44" s="371" t="n">
        <v>3923.0</v>
      </c>
      <c r="G44" s="9">
        <f si="1" t="shared"/>
        <v>1.5165209024210037E-2</v>
      </c>
    </row>
    <row r="45" spans="1:7" x14ac:dyDescent="0.25">
      <c r="A45">
        <v>34</v>
      </c>
      <c r="B45" s="6" t="n">
        <v>3554.932193262</v>
      </c>
      <c r="C45" s="9">
        <f si="0" t="shared"/>
        <v>1.3747465120621331E-2</v>
      </c>
      <c r="E45" s="371">
        <v>34</v>
      </c>
      <c r="F45" s="371" t="n">
        <v>3846.0</v>
      </c>
      <c r="G45" s="9">
        <f si="1" t="shared"/>
        <v>1.4594752487156137E-2</v>
      </c>
    </row>
    <row r="46" spans="1:7" x14ac:dyDescent="0.25">
      <c r="A46">
        <v>35</v>
      </c>
      <c r="B46" s="6" t="n">
        <v>3095.2017576632998</v>
      </c>
      <c r="C46" s="9">
        <f si="0" t="shared"/>
        <v>1.1969617391131492E-2</v>
      </c>
      <c r="E46" s="371">
        <v>35</v>
      </c>
      <c r="F46" s="371" t="n">
        <v>3327.0</v>
      </c>
      <c r="G46" s="9">
        <f si="1" t="shared"/>
        <v>1.4642863279437791E-2</v>
      </c>
    </row>
    <row r="47" spans="1:7" x14ac:dyDescent="0.25">
      <c r="A47">
        <v>36</v>
      </c>
      <c r="B47" s="6" t="n">
        <v>5986.9768412436</v>
      </c>
      <c r="C47" s="9">
        <f si="0" t="shared"/>
        <v>2.3152552799450287E-2</v>
      </c>
      <c r="E47" s="371">
        <v>36</v>
      </c>
      <c r="F47" s="371" t="n">
        <v>3184.0</v>
      </c>
      <c r="G47" s="9">
        <f si="1" t="shared"/>
        <v>1.2264815546658878E-2</v>
      </c>
    </row>
    <row r="48" spans="1:7" x14ac:dyDescent="0.25">
      <c r="A48">
        <v>37</v>
      </c>
      <c r="B48" s="6" t="n">
        <v>3704.388260709</v>
      </c>
      <c r="C48" s="9">
        <f si="0" t="shared"/>
        <v>1.4325434533986577E-2</v>
      </c>
      <c r="E48" s="371">
        <v>37</v>
      </c>
      <c r="F48" s="371" t="n">
        <v>2825.0</v>
      </c>
      <c r="G48" s="9">
        <f si="1" t="shared"/>
        <v>1.1374765889448272E-2</v>
      </c>
    </row>
    <row r="49" spans="1:7" x14ac:dyDescent="0.25">
      <c r="A49">
        <v>38</v>
      </c>
      <c r="B49" s="6" t="n">
        <v>3749.018420919</v>
      </c>
      <c r="C49" s="9">
        <f si="0" t="shared"/>
        <v>1.4498026172155553E-2</v>
      </c>
      <c r="E49" s="371">
        <v>38</v>
      </c>
      <c r="F49" s="371" t="n">
        <v>2637.0</v>
      </c>
      <c r="G49" s="9">
        <f si="1" t="shared"/>
        <v>1.1783707623842335E-2</v>
      </c>
    </row>
    <row r="50" spans="1:7" x14ac:dyDescent="0.25">
      <c r="A50">
        <v>39</v>
      </c>
      <c r="B50" s="6" t="n">
        <v>1710.7667163257001</v>
      </c>
      <c r="C50" s="9">
        <f si="0" t="shared"/>
        <v>6.6157958812223432E-3</v>
      </c>
      <c r="E50" s="371">
        <v>39</v>
      </c>
      <c r="F50" s="371" t="n">
        <v>2304.0</v>
      </c>
      <c r="G50" s="9">
        <f si="1" t="shared"/>
        <v>9.6943246447533469E-3</v>
      </c>
    </row>
    <row r="51" spans="1:7" x14ac:dyDescent="0.25">
      <c r="A51">
        <v>40</v>
      </c>
      <c r="B51" s="6" t="n">
        <v>3436.540312512</v>
      </c>
      <c r="C51" s="9">
        <f si="0" t="shared"/>
        <v>1.3289625656268029E-2</v>
      </c>
      <c r="E51" s="371">
        <v>40</v>
      </c>
      <c r="F51" s="371" t="n">
        <v>2119.0</v>
      </c>
      <c r="G51" s="9">
        <f si="1" t="shared"/>
        <v>9.3300572174779637E-3</v>
      </c>
    </row>
    <row r="52" spans="1:7" x14ac:dyDescent="0.25">
      <c r="A52">
        <v>41</v>
      </c>
      <c r="B52" s="6" t="n">
        <v>8904.630032956</v>
      </c>
      <c r="C52" s="9">
        <f si="0" t="shared"/>
        <v>3.4435562799798716E-2</v>
      </c>
      <c r="E52" s="371">
        <v>41</v>
      </c>
      <c r="F52" s="371" t="n">
        <v>2091.0</v>
      </c>
      <c r="G52" s="9">
        <f si="1" t="shared"/>
        <v>8.2888022130964446E-3</v>
      </c>
    </row>
    <row r="53" spans="1:7" x14ac:dyDescent="0.25">
      <c r="A53">
        <v>42</v>
      </c>
      <c r="B53" s="6" t="n">
        <v>3207.2395250874</v>
      </c>
      <c r="C53" s="9">
        <f si="0" t="shared"/>
        <v>1.2402884529889991E-2</v>
      </c>
      <c r="E53" s="371">
        <v>42</v>
      </c>
      <c r="F53" s="371" t="n">
        <v>1765.0</v>
      </c>
      <c r="G53" s="9">
        <f si="1" t="shared"/>
        <v>8.1238509252736305E-3</v>
      </c>
    </row>
    <row r="54" spans="1:7" x14ac:dyDescent="0.25">
      <c r="A54">
        <v>43</v>
      </c>
      <c r="B54" s="6" t="n">
        <v>1762.550936554</v>
      </c>
      <c r="C54" s="9">
        <f si="0" t="shared"/>
        <v>6.8160533608829848E-3</v>
      </c>
      <c r="E54" s="371">
        <v>43</v>
      </c>
      <c r="F54" s="371" t="n">
        <v>1668.0</v>
      </c>
      <c r="G54" s="9">
        <f si="1" t="shared"/>
        <v>7.3678241894190623E-3</v>
      </c>
    </row>
    <row r="55" spans="1:7" x14ac:dyDescent="0.25">
      <c r="A55">
        <v>44</v>
      </c>
      <c r="B55" s="6" t="n">
        <v>1599.2883041490002</v>
      </c>
      <c r="C55" s="9">
        <f si="0" t="shared"/>
        <v>6.1846918545390185E-3</v>
      </c>
      <c r="E55" s="371">
        <v>44</v>
      </c>
      <c r="F55" s="371" t="n">
        <v>1511.0</v>
      </c>
      <c r="G55" s="9">
        <f si="1" t="shared"/>
        <v>7.2475472087149264E-3</v>
      </c>
    </row>
    <row r="56" spans="1:7" x14ac:dyDescent="0.25">
      <c r="A56">
        <v>45</v>
      </c>
      <c r="B56" s="6" t="n">
        <v>854.814198015</v>
      </c>
      <c r="C56" s="9">
        <f si="0" t="shared"/>
        <v>3.3056969114901528E-3</v>
      </c>
      <c r="E56" s="371">
        <v>45</v>
      </c>
      <c r="F56" s="371" t="n">
        <v>1324.0</v>
      </c>
      <c r="G56" s="9">
        <f si="1" t="shared"/>
        <v>6.1719273527036543E-3</v>
      </c>
    </row>
    <row r="57" spans="1:7" x14ac:dyDescent="0.25">
      <c r="A57">
        <v>46</v>
      </c>
      <c r="B57" s="6" t="n">
        <v>818.910585948</v>
      </c>
      <c r="C57" s="9">
        <f si="0" t="shared"/>
        <v>3.1668521662849029E-3</v>
      </c>
      <c r="E57" s="371">
        <v>46</v>
      </c>
      <c r="F57" s="371" t="n">
        <v>1213.0</v>
      </c>
      <c r="G57" s="9">
        <f si="1" t="shared"/>
        <v>5.6667640337462839E-3</v>
      </c>
    </row>
    <row r="58" spans="1:7" x14ac:dyDescent="0.25">
      <c r="A58">
        <v>47</v>
      </c>
      <c r="B58" s="6" t="n">
        <v>4438.928869637601</v>
      </c>
      <c r="C58" s="9">
        <f si="0" t="shared"/>
        <v>1.7166015127919064E-2</v>
      </c>
      <c r="E58" s="371">
        <v>47</v>
      </c>
      <c r="F58" s="371" t="n">
        <v>985.0</v>
      </c>
      <c r="G58" s="9">
        <f si="1" t="shared"/>
        <v>5.759549133146618E-3</v>
      </c>
    </row>
    <row r="59" spans="1:7" x14ac:dyDescent="0.25">
      <c r="A59">
        <v>48</v>
      </c>
      <c r="B59" s="6" t="n">
        <v>2472.03308097</v>
      </c>
      <c r="C59" s="9">
        <f si="0" t="shared"/>
        <v>9.5597290497046929E-3</v>
      </c>
      <c r="E59" s="371">
        <v>48</v>
      </c>
      <c r="F59" s="371" t="n">
        <v>952.0</v>
      </c>
      <c r="G59" s="9">
        <f si="1" t="shared"/>
        <v>4.7182941287650989E-3</v>
      </c>
    </row>
    <row r="60" spans="1:7" x14ac:dyDescent="0.25">
      <c r="A60">
        <v>49</v>
      </c>
      <c r="B60" s="6" t="n">
        <v>727.258431585</v>
      </c>
      <c r="C60" s="9">
        <f si="0" t="shared"/>
        <v>2.8124193031987062E-3</v>
      </c>
      <c r="E60" s="371">
        <v>49</v>
      </c>
      <c r="F60" s="371" t="n">
        <v>742.0</v>
      </c>
      <c r="G60" s="9">
        <f si="1" t="shared"/>
        <v>4.4468118008900498E-3</v>
      </c>
    </row>
    <row r="61" spans="1:7" x14ac:dyDescent="0.25">
      <c r="A61">
        <v>50</v>
      </c>
      <c r="B61" s="6" t="n">
        <v>712.6549232886</v>
      </c>
      <c r="C61" s="9">
        <f si="0" t="shared"/>
        <v>2.7559453087512213E-3</v>
      </c>
      <c r="E61" s="371">
        <v>50</v>
      </c>
      <c r="F61" s="371" t="n">
        <v>719.0</v>
      </c>
      <c r="G61" s="9">
        <f si="1" t="shared"/>
        <v>3.7079674908503581E-3</v>
      </c>
    </row>
    <row r="62" spans="1:7" x14ac:dyDescent="0.25">
      <c r="A62">
        <v>51</v>
      </c>
      <c r="B62" s="6" t="n">
        <v>1069.5540486305001</v>
      </c>
      <c r="C62" s="9">
        <f si="0" t="shared"/>
        <v>4.1361286738566677E-3</v>
      </c>
      <c r="E62" s="371">
        <v>51</v>
      </c>
      <c r="F62" s="371" t="n">
        <v>663.0</v>
      </c>
      <c r="G62" s="9">
        <f si="1" t="shared"/>
        <v>3.3643189745528276E-3</v>
      </c>
    </row>
    <row r="63" spans="1:7" x14ac:dyDescent="0.25">
      <c r="A63">
        <v>52</v>
      </c>
      <c r="B63" s="6" t="n">
        <v>1068.977827955</v>
      </c>
      <c r="C63" s="9">
        <f si="0" t="shared"/>
        <v>4.1339003405980951E-3</v>
      </c>
      <c r="E63" s="371">
        <v>52</v>
      </c>
      <c r="F63" s="371" t="n">
        <v>649.0</v>
      </c>
      <c r="G63" s="9">
        <f si="1" t="shared"/>
        <v>2.7698070413580988E-3</v>
      </c>
    </row>
    <row r="64" spans="1:7" x14ac:dyDescent="0.25">
      <c r="A64">
        <v>53</v>
      </c>
      <c r="B64" s="6" t="n">
        <v>2475.537472466</v>
      </c>
      <c r="C64" s="9">
        <f si="0" t="shared"/>
        <v>9.5732810662386737E-3</v>
      </c>
      <c r="E64" s="371">
        <v>53</v>
      </c>
      <c r="F64" s="371" t="n">
        <v>557.0</v>
      </c>
      <c r="G64" s="9">
        <f si="1" t="shared"/>
        <v>2.8832110517362842E-3</v>
      </c>
    </row>
    <row r="65" spans="1:7" x14ac:dyDescent="0.25">
      <c r="A65">
        <v>54</v>
      </c>
      <c r="B65" s="6" t="n">
        <v>791.15128364</v>
      </c>
      <c r="C65" s="9">
        <f si="0" t="shared"/>
        <v>3.0595027093879941E-3</v>
      </c>
      <c r="E65" s="371">
        <v>54</v>
      </c>
      <c r="F65" s="371" t="n">
        <v>464.0</v>
      </c>
      <c r="G65" s="9">
        <f si="1" t="shared"/>
        <v>2.5258165947868519E-3</v>
      </c>
    </row>
    <row r="66" spans="1:7" x14ac:dyDescent="0.25">
      <c r="A66">
        <v>55</v>
      </c>
      <c r="B66" s="6" t="n">
        <v>1724.4091637810002</v>
      </c>
      <c r="C66" s="9">
        <f si="0" t="shared"/>
        <v>6.6685533067808748E-3</v>
      </c>
      <c r="E66" s="371">
        <v>55</v>
      </c>
      <c r="F66" s="371" t="n">
        <v>430.0</v>
      </c>
      <c r="G66" s="9">
        <f si="1" t="shared"/>
        <v>2.5292530799498271E-3</v>
      </c>
    </row>
    <row r="67" spans="1:7" x14ac:dyDescent="0.25">
      <c r="A67">
        <v>56</v>
      </c>
      <c r="B67" s="6" t="n">
        <v>203.936562876</v>
      </c>
      <c r="C67" s="9">
        <f si="0" t="shared"/>
        <v>7.8865380056226063E-4</v>
      </c>
      <c r="E67" s="371">
        <v>56</v>
      </c>
      <c r="F67" s="371" t="n">
        <v>375.0</v>
      </c>
      <c r="G67" s="9">
        <f si="1" t="shared"/>
        <v>2.2199694152820497E-3</v>
      </c>
    </row>
    <row r="68" spans="1:7" x14ac:dyDescent="0.25">
      <c r="A68">
        <v>57</v>
      </c>
      <c r="B68" s="6" t="n">
        <v>859.562027262</v>
      </c>
      <c r="C68" s="9">
        <f si="0" t="shared"/>
        <v>3.3240574915022027E-3</v>
      </c>
      <c r="E68" s="371">
        <v>57</v>
      </c>
      <c r="F68" s="371" t="n">
        <v>380.0</v>
      </c>
      <c r="G68" s="9">
        <f si="1" t="shared"/>
        <v>2.3333734256602346E-3</v>
      </c>
    </row>
    <row r="69" spans="1:7" x14ac:dyDescent="0.25">
      <c r="A69">
        <v>58</v>
      </c>
      <c r="B69" s="6" t="n">
        <v>611.3837387819</v>
      </c>
      <c r="C69" s="9">
        <f si="0" t="shared"/>
        <v>2.3643141886503438E-3</v>
      </c>
      <c r="E69" s="371">
        <v>58</v>
      </c>
      <c r="F69" s="371" t="n">
        <v>315.0</v>
      </c>
      <c r="G69" s="9">
        <f si="1" t="shared"/>
        <v>1.436450798123679E-3</v>
      </c>
    </row>
    <row r="70" spans="1:7" x14ac:dyDescent="0.25">
      <c r="A70">
        <v>59</v>
      </c>
      <c r="B70" s="6" t="n">
        <v>127.698736111</v>
      </c>
      <c r="C70" s="9">
        <f si="0" t="shared"/>
        <v>4.9383049385887871E-4</v>
      </c>
      <c r="E70" s="371">
        <v>59</v>
      </c>
      <c r="F70" s="371" t="n">
        <v>334.0</v>
      </c>
      <c r="G70" s="9">
        <f si="1" t="shared"/>
        <v>1.7113696111617038E-3</v>
      </c>
    </row>
    <row r="71" spans="1:7" x14ac:dyDescent="0.25">
      <c r="A71">
        <v>60</v>
      </c>
      <c r="B71" s="6" t="n">
        <v>1411.50675439</v>
      </c>
      <c r="C71" s="9">
        <f si="0" t="shared"/>
        <v>5.4585119542581986E-3</v>
      </c>
      <c r="E71" s="371">
        <v>60</v>
      </c>
      <c r="F71" s="371" t="n">
        <v>332.0</v>
      </c>
      <c r="G71" s="9">
        <f si="1" t="shared"/>
        <v>1.6735682743689755E-3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323.0</v>
      </c>
      <c r="G72" s="9">
        <f si="1" t="shared"/>
        <v>1.5326723826869877E-3</v>
      </c>
    </row>
    <row r="73" spans="1:7" x14ac:dyDescent="0.25">
      <c r="A73">
        <v>62</v>
      </c>
      <c r="B73" s="6" t="n">
        <v>422.049332457</v>
      </c>
      <c r="C73" s="9">
        <f si="0" t="shared"/>
        <v>1.6321291551302751E-3</v>
      </c>
      <c r="E73" s="371">
        <v>62</v>
      </c>
      <c r="F73" s="371" t="n">
        <v>283.0</v>
      </c>
      <c r="G73" s="9">
        <f si="1" t="shared"/>
        <v>1.2405711438340866E-3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266.0</v>
      </c>
      <c r="G74" s="9">
        <f si="1" t="shared"/>
        <v>1.2955549064416914E-3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235.0</v>
      </c>
      <c r="G75" s="9">
        <f si="1" t="shared"/>
        <v>1.22338871801921E-3</v>
      </c>
    </row>
    <row r="76" spans="1:7" x14ac:dyDescent="0.25">
      <c r="A76">
        <v>65</v>
      </c>
      <c r="B76" s="6" t="n">
        <v>338.582210178</v>
      </c>
      <c r="C76" s="9">
        <f si="0" t="shared"/>
        <v>1.3093490597956637E-3</v>
      </c>
      <c r="E76" s="371">
        <v>65</v>
      </c>
      <c r="F76" s="371" t="n">
        <v>228.0</v>
      </c>
      <c r="G76" s="9">
        <f si="1" t="shared"/>
        <v>1.0171996082406914E-3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222.0</v>
      </c>
      <c r="G77" s="9">
        <f ref="G77:G102" si="3" t="shared">F77/F$102</f>
        <v>9.0379559786250624E-4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209.0</v>
      </c>
      <c r="G78" s="9">
        <f si="3" t="shared"/>
        <v>9.8283475661093832E-4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185.0</v>
      </c>
      <c r="G79" s="9">
        <f si="3" t="shared"/>
        <v>8.1101049846217293E-4</v>
      </c>
    </row>
    <row r="80" spans="1:7" x14ac:dyDescent="0.25">
      <c r="A80">
        <v>69</v>
      </c>
      <c r="B80" s="6" t="n">
        <v>105.574432957</v>
      </c>
      <c r="C80" s="9">
        <f si="2" t="shared"/>
        <v>4.0827243834823976E-4</v>
      </c>
      <c r="E80" s="371">
        <v>69</v>
      </c>
      <c r="F80" s="371" t="n">
        <v>158.0</v>
      </c>
      <c r="G80" s="9">
        <f si="3" t="shared"/>
        <v>7.4915376552861729E-4</v>
      </c>
    </row>
    <row r="81" spans="1:7" x14ac:dyDescent="0.25">
      <c r="A81">
        <v>70</v>
      </c>
      <c r="B81" s="6" t="n">
        <v>529.467299939</v>
      </c>
      <c r="C81" s="9">
        <f si="2" t="shared"/>
        <v>2.0475308227305201E-3</v>
      </c>
      <c r="E81" s="371">
        <v>70</v>
      </c>
      <c r="F81" s="371" t="n">
        <v>149.0</v>
      </c>
      <c r="G81" s="9">
        <f si="3" t="shared"/>
        <v>7.4571728036564207E-4</v>
      </c>
    </row>
    <row r="82" spans="1:7" x14ac:dyDescent="0.25">
      <c r="A82">
        <v>71</v>
      </c>
      <c r="B82" s="6" t="n">
        <v>258.441807167</v>
      </c>
      <c r="C82" s="9">
        <f si="2" t="shared"/>
        <v>9.9943389538423885E-4</v>
      </c>
      <c r="E82" s="371">
        <v>71</v>
      </c>
      <c r="F82" s="371" t="n">
        <v>155.0</v>
      </c>
      <c r="G82" s="9">
        <f si="3" t="shared"/>
        <v>6.1513084417258034E-4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140.0</v>
      </c>
      <c r="G83" s="9">
        <f si="3" t="shared"/>
        <v>6.8729703259506176E-4</v>
      </c>
    </row>
    <row r="84" spans="1:7" x14ac:dyDescent="0.25">
      <c r="A84">
        <v>73</v>
      </c>
      <c r="B84" s="6" t="n">
        <v>356.0060045</v>
      </c>
      <c r="C84" s="9">
        <f si="2" t="shared"/>
        <v>1.3767295305581115E-3</v>
      </c>
      <c r="E84" s="371">
        <v>73</v>
      </c>
      <c r="F84" s="371" t="n">
        <v>128.0</v>
      </c>
      <c r="G84" s="9">
        <f si="3" t="shared"/>
        <v>5.6702005189092591E-4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131.0</v>
      </c>
      <c r="G85" s="9">
        <f si="3" t="shared"/>
        <v>5.5671059640200003E-4</v>
      </c>
    </row>
    <row r="86" spans="1:7" x14ac:dyDescent="0.25">
      <c r="A86">
        <v>75</v>
      </c>
      <c r="B86" s="6" t="n">
        <v>2492.0420315</v>
      </c>
      <c r="C86" s="9">
        <f si="2" t="shared"/>
        <v>9.6371067139067804E-3</v>
      </c>
      <c r="E86" s="371">
        <v>75</v>
      </c>
      <c r="F86" s="371" t="n">
        <v>143.0</v>
      </c>
      <c r="G86" s="9">
        <f si="3" t="shared"/>
        <v>5.2921871509819759E-4</v>
      </c>
    </row>
    <row r="87" spans="1:7" x14ac:dyDescent="0.25">
      <c r="A87">
        <v>76</v>
      </c>
      <c r="B87" s="6" t="n">
        <v>190.728922024</v>
      </c>
      <c r="C87" s="9">
        <f si="2" t="shared"/>
        <v>7.3757783847141882E-4</v>
      </c>
      <c r="E87" s="371">
        <v>76</v>
      </c>
      <c r="F87" s="371" t="n">
        <v>145.0</v>
      </c>
      <c r="G87" s="9">
        <f si="3" t="shared"/>
        <v>6.2200381449853089E-4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120.0</v>
      </c>
      <c r="G88" s="9">
        <f si="3" t="shared"/>
        <v>5.0859980412034571E-4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87.0</v>
      </c>
      <c r="G89" s="9">
        <f si="3" t="shared"/>
        <v>4.8110792281654322E-4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104.0</v>
      </c>
      <c r="G90" s="9">
        <f si="3" t="shared"/>
        <v>4.8110792281654322E-4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107.0</v>
      </c>
      <c r="G91" s="9">
        <f si="3" t="shared"/>
        <v>4.329971305348889E-4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105.0</v>
      </c>
      <c r="G92" s="9">
        <f si="3" t="shared"/>
        <v>4.5017955634976545E-4</v>
      </c>
    </row>
    <row r="93" spans="1:7" x14ac:dyDescent="0.25">
      <c r="A93">
        <v>82</v>
      </c>
      <c r="B93" s="6" t="n">
        <v>615.8663051890001</v>
      </c>
      <c r="C93" s="9">
        <f si="2" t="shared"/>
        <v>2.381648956792836E-3</v>
      </c>
      <c r="E93" s="371">
        <v>82</v>
      </c>
      <c r="F93" s="371" t="n">
        <v>101.0</v>
      </c>
      <c r="G93" s="9">
        <f si="3" t="shared"/>
        <v>4.4330658602381484E-4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112.0</v>
      </c>
      <c r="G94" s="9">
        <f si="3" t="shared"/>
        <v>4.7079846732761733E-4</v>
      </c>
    </row>
    <row r="95" spans="1:7" x14ac:dyDescent="0.25">
      <c r="A95">
        <v>84</v>
      </c>
      <c r="B95" s="6" t="n">
        <v>85.5353905136</v>
      </c>
      <c r="C95" s="9">
        <f si="2" t="shared"/>
        <v>3.3077840412630815E-4</v>
      </c>
      <c r="E95" s="371">
        <v>84</v>
      </c>
      <c r="F95" s="371" t="n">
        <v>91.0</v>
      </c>
      <c r="G95" s="9">
        <f si="3" t="shared"/>
        <v>3.8144985309025931E-4</v>
      </c>
    </row>
    <row r="96" spans="1:7" x14ac:dyDescent="0.25">
      <c r="A96">
        <v>85</v>
      </c>
      <c r="B96" s="6" t="n">
        <v>126.7069707198</v>
      </c>
      <c r="C96" s="9">
        <f si="2" t="shared"/>
        <v>4.8999518579049878E-4</v>
      </c>
      <c r="E96" s="371">
        <v>85</v>
      </c>
      <c r="F96" s="371" t="n">
        <v>125.0</v>
      </c>
      <c r="G96" s="9">
        <f si="3" t="shared"/>
        <v>5.6014708156497536E-4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91.0</v>
      </c>
      <c r="G97" s="9">
        <f si="3" t="shared"/>
        <v>3.2646609048265433E-4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84.0</v>
      </c>
      <c r="G98" s="9">
        <f si="3" t="shared"/>
        <v>3.058471795048025E-4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70.0</v>
      </c>
      <c r="G99" s="9">
        <f si="3" t="shared"/>
        <v>2.9553772401587656E-4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67.0</v>
      </c>
      <c r="G100" s="9">
        <f si="3" t="shared"/>
        <v>3.0928366466777778E-4</v>
      </c>
    </row>
    <row ht="15.75" r="101" spans="1:7" thickBot="1" x14ac:dyDescent="0.3">
      <c r="A101" s="1">
        <v>90</v>
      </c>
      <c r="B101" s="7" t="n">
        <v>986.4964652533</v>
      </c>
      <c r="C101" s="9">
        <f si="2" t="shared"/>
        <v>3.8149323279332834E-3</v>
      </c>
      <c r="E101" s="372">
        <v>90</v>
      </c>
      <c r="F101" s="372" t="n">
        <v>3800.0</v>
      </c>
      <c r="G101" s="9">
        <f si="3" t="shared"/>
        <v>1.2824962628223852E-2</v>
      </c>
    </row>
    <row r="102" spans="1:7" x14ac:dyDescent="0.25">
      <c r="B102" s="6">
        <f>SUM(B11:B101)</f>
        <v>258588.19513784887</v>
      </c>
      <c r="C102" s="9">
        <f si="2" t="shared"/>
        <v>1</v>
      </c>
      <c r="F102" s="6">
        <f>SUM(F11:F101)</f>
        <v>290995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21403.563253356</v>
      </c>
      <c r="C11" s="9">
        <f>B11/B$102</f>
        <v>0.20492417465086504</v>
      </c>
      <c r="E11" s="371">
        <v>0</v>
      </c>
      <c r="F11" s="371" t="n">
        <v>13653.0</v>
      </c>
      <c r="G11" s="9">
        <f>F11/F$102</f>
        <v>0.13590190103032943</v>
      </c>
      <c r="K11" s="6" t="n">
        <v>4.531862535888704</v>
      </c>
      <c r="L11" s="6" t="n">
        <v>4.180807846068758</v>
      </c>
    </row>
    <row r="12" spans="1:12" x14ac:dyDescent="0.25">
      <c r="A12">
        <v>1</v>
      </c>
      <c r="B12" s="6" t="n">
        <v>21950.778812362</v>
      </c>
      <c r="C12" s="9">
        <f>B12/B$102</f>
        <v>0.21016338157440542</v>
      </c>
      <c r="E12" s="371">
        <v>1</v>
      </c>
      <c r="F12" s="371" t="n">
        <v>17605.0</v>
      </c>
      <c r="G12" s="9">
        <f>F12/F$102</f>
        <v>0.17752969712046768</v>
      </c>
      <c r="K12" s="6"/>
      <c r="L12" s="371"/>
    </row>
    <row r="13" spans="1:12" x14ac:dyDescent="0.25">
      <c r="A13">
        <v>2</v>
      </c>
      <c r="B13" s="6" t="n">
        <v>9040.471459524</v>
      </c>
      <c r="C13" s="9">
        <f ref="C13:C76" si="0" t="shared">B13/B$102</f>
        <v>8.6556202365378324E-2</v>
      </c>
      <c r="E13" s="371">
        <v>2</v>
      </c>
      <c r="F13" s="371" t="n">
        <v>14660.0</v>
      </c>
      <c r="G13" s="9">
        <f ref="G13:G76" si="1" t="shared">F13/F$102</f>
        <v>0.15197877148247196</v>
      </c>
    </row>
    <row r="14" spans="1:12" x14ac:dyDescent="0.25">
      <c r="A14">
        <v>3</v>
      </c>
      <c r="B14" s="6" t="n">
        <v>9225.7891367387</v>
      </c>
      <c r="C14" s="9">
        <f si="0" t="shared"/>
        <v>8.8330489739957566E-2</v>
      </c>
      <c r="E14" s="371">
        <v>3</v>
      </c>
      <c r="F14" s="371" t="n">
        <v>12759.0</v>
      </c>
      <c r="G14" s="9">
        <f si="1" t="shared"/>
        <v>0.13090573626054688</v>
      </c>
    </row>
    <row r="15" spans="1:12" x14ac:dyDescent="0.25">
      <c r="A15">
        <v>4</v>
      </c>
      <c r="B15" s="6" t="n">
        <v>6009.6396963361</v>
      </c>
      <c r="C15" s="9">
        <f si="0" t="shared"/>
        <v>5.7538104293342503E-2</v>
      </c>
      <c r="E15" s="371">
        <v>4</v>
      </c>
      <c r="F15" s="371" t="n">
        <v>10109.0</v>
      </c>
      <c r="G15" s="9">
        <f si="1" t="shared"/>
        <v>0.10535481062255116</v>
      </c>
    </row>
    <row r="16" spans="1:12" x14ac:dyDescent="0.25">
      <c r="A16">
        <v>5</v>
      </c>
      <c r="B16" s="6" t="n">
        <v>12499.963223363</v>
      </c>
      <c r="C16" s="9">
        <f si="0" t="shared"/>
        <v>0.11967842066260574</v>
      </c>
      <c r="E16" s="371">
        <v>5</v>
      </c>
      <c r="F16" s="371" t="n">
        <v>6925.0</v>
      </c>
      <c r="G16" s="9">
        <f si="1" t="shared"/>
        <v>7.4942471546737985E-2</v>
      </c>
    </row>
    <row r="17" spans="1:7" x14ac:dyDescent="0.25">
      <c r="A17">
        <v>6</v>
      </c>
      <c r="B17" s="6" t="n">
        <v>2343.58</v>
      </c>
      <c r="C17" s="9">
        <f si="0" t="shared"/>
        <v>2.2438142263670604E-2</v>
      </c>
      <c r="E17" s="371">
        <v>6</v>
      </c>
      <c r="F17" s="371" t="n">
        <v>4767.0</v>
      </c>
      <c r="G17" s="9">
        <f si="1" t="shared"/>
        <v>4.7691606028567285E-2</v>
      </c>
    </row>
    <row r="18" spans="1:7" x14ac:dyDescent="0.25">
      <c r="A18">
        <v>7</v>
      </c>
      <c r="B18" s="6" t="n">
        <v>4782.146746086</v>
      </c>
      <c r="C18" s="9">
        <f si="0" t="shared"/>
        <v>4.5785716303444787E-2</v>
      </c>
      <c r="E18" s="371">
        <v>7</v>
      </c>
      <c r="F18" s="371" t="n">
        <v>3779.0</v>
      </c>
      <c r="G18" s="9">
        <f si="1" t="shared"/>
        <v>4.1358293426208101E-2</v>
      </c>
    </row>
    <row r="19" spans="1:7" x14ac:dyDescent="0.25">
      <c r="A19">
        <v>8</v>
      </c>
      <c r="B19" s="6" t="n">
        <v>1958.985546687</v>
      </c>
      <c r="C19" s="9">
        <f si="0" t="shared"/>
        <v>1.8755918888639363E-2</v>
      </c>
      <c r="E19" s="371">
        <v>8</v>
      </c>
      <c r="F19" s="371" t="n">
        <v>2954.0</v>
      </c>
      <c r="G19" s="9">
        <f si="1" t="shared"/>
        <v>3.2247030287953234E-2</v>
      </c>
    </row>
    <row r="20" spans="1:7" x14ac:dyDescent="0.25">
      <c r="A20">
        <v>9</v>
      </c>
      <c r="B20" s="6" t="n">
        <v>1904.148995624</v>
      </c>
      <c r="C20" s="9">
        <f si="0" t="shared"/>
        <v>1.8230897197892459E-2</v>
      </c>
      <c r="E20" s="371">
        <v>9</v>
      </c>
      <c r="F20" s="371" t="n">
        <v>2035.0</v>
      </c>
      <c r="G20" s="9">
        <f si="1" t="shared"/>
        <v>2.2399817567427493E-2</v>
      </c>
    </row>
    <row r="21" spans="1:7" x14ac:dyDescent="0.25">
      <c r="A21">
        <v>10</v>
      </c>
      <c r="B21" s="6" t="n">
        <v>677.474</v>
      </c>
      <c r="C21" s="9">
        <f si="0" t="shared"/>
        <v>6.4863405524616096E-3</v>
      </c>
      <c r="E21" s="371">
        <v>10</v>
      </c>
      <c r="F21" s="371" t="n">
        <v>1665.0</v>
      </c>
      <c r="G21" s="9">
        <f si="1" t="shared"/>
        <v>1.7870099715985653E-2</v>
      </c>
    </row>
    <row r="22" spans="1:7" x14ac:dyDescent="0.25">
      <c r="A22">
        <v>11</v>
      </c>
      <c r="B22" s="6" t="n">
        <v>606.1275651240001</v>
      </c>
      <c r="C22" s="9">
        <f si="0" t="shared"/>
        <v>5.803248251045231E-3</v>
      </c>
      <c r="E22" s="371">
        <v>11</v>
      </c>
      <c r="F22" s="371" t="n">
        <v>1156.0</v>
      </c>
      <c r="G22" s="9">
        <f si="1" t="shared"/>
        <v>1.2459315463233617E-2</v>
      </c>
    </row>
    <row r="23" spans="1:7" x14ac:dyDescent="0.25">
      <c r="A23">
        <v>12</v>
      </c>
      <c r="B23" s="6" t="n">
        <v>685.013979171</v>
      </c>
      <c r="C23" s="9">
        <f si="0" t="shared"/>
        <v>6.558530588775288E-3</v>
      </c>
      <c r="E23" s="371">
        <v>12</v>
      </c>
      <c r="F23" s="371" t="n">
        <v>1009.0</v>
      </c>
      <c r="G23" s="9">
        <f si="1" t="shared"/>
        <v>1.070754814768746E-2</v>
      </c>
    </row>
    <row r="24" spans="1:7" x14ac:dyDescent="0.25">
      <c r="A24">
        <v>13</v>
      </c>
      <c r="B24" s="6" t="n">
        <v>1263.79351132</v>
      </c>
      <c r="C24" s="9">
        <f si="0" t="shared"/>
        <v>1.2099940517883738E-2</v>
      </c>
      <c r="E24" s="371">
        <v>13</v>
      </c>
      <c r="F24" s="371" t="n">
        <v>740.0</v>
      </c>
      <c r="G24" s="9">
        <f si="1" t="shared"/>
        <v>8.6966436552853611E-3</v>
      </c>
    </row>
    <row r="25" spans="1:7" x14ac:dyDescent="0.25">
      <c r="A25">
        <v>14</v>
      </c>
      <c r="B25" s="6" t="n">
        <v>347.467875</v>
      </c>
      <c r="C25" s="9">
        <f si="0" t="shared"/>
        <v>3.3267623086497217E-3</v>
      </c>
      <c r="E25" s="371">
        <v>14</v>
      </c>
      <c r="F25" s="371" t="n">
        <v>637.0</v>
      </c>
      <c r="G25" s="9">
        <f si="1" t="shared"/>
        <v>6.6961046499575015E-3</v>
      </c>
    </row>
    <row r="26" spans="1:7" x14ac:dyDescent="0.25">
      <c r="A26">
        <v>15</v>
      </c>
      <c r="B26" s="6" t="n">
        <v>616.292367567</v>
      </c>
      <c r="C26" s="9">
        <f si="0" t="shared"/>
        <v>5.9005691375940746E-3</v>
      </c>
      <c r="E26" s="371">
        <v>15</v>
      </c>
      <c r="F26" s="371" t="n">
        <v>494.0</v>
      </c>
      <c r="G26" s="9">
        <f si="1" t="shared"/>
        <v>5.5040736364201752E-3</v>
      </c>
    </row>
    <row r="27" spans="1:7" x14ac:dyDescent="0.25">
      <c r="A27">
        <v>16</v>
      </c>
      <c r="B27" s="6" t="n">
        <v>1161.679808646</v>
      </c>
      <c r="C27" s="9">
        <f si="0" t="shared"/>
        <v>1.1122273108335365E-2</v>
      </c>
      <c r="E27" s="371">
        <v>16</v>
      </c>
      <c r="F27" s="371" t="n">
        <v>367.0</v>
      </c>
      <c r="G27" s="9">
        <f si="1" t="shared"/>
        <v>4.1461948296950477E-3</v>
      </c>
    </row>
    <row r="28" spans="1:7" x14ac:dyDescent="0.25">
      <c r="A28">
        <v>17</v>
      </c>
      <c r="B28" s="6" t="n">
        <v>2746.034518018</v>
      </c>
      <c r="C28" s="9">
        <f si="0" t="shared"/>
        <v>2.6291363288745435E-2</v>
      </c>
      <c r="E28" s="371">
        <v>17</v>
      </c>
      <c r="F28" s="371" t="n">
        <v>269.0</v>
      </c>
      <c r="G28" s="9">
        <f si="1" t="shared"/>
        <v>3.2858594025333252E-3</v>
      </c>
    </row>
    <row r="29" spans="1:7" x14ac:dyDescent="0.25">
      <c r="A29">
        <v>18</v>
      </c>
      <c r="B29" s="6" t="n">
        <v>2170.103759646</v>
      </c>
      <c r="C29" s="9">
        <f si="0" t="shared"/>
        <v>2.0777228379600179E-2</v>
      </c>
      <c r="E29" s="371">
        <v>18</v>
      </c>
      <c r="F29" s="371" t="n">
        <v>258.0</v>
      </c>
      <c r="G29" s="9">
        <f si="1" t="shared"/>
        <v>2.8919708937122954E-3</v>
      </c>
    </row>
    <row r="30" spans="1:7" x14ac:dyDescent="0.25">
      <c r="A30">
        <v>19</v>
      </c>
      <c r="B30" s="6" t="n">
        <v>4.59375</v>
      </c>
      <c r="C30" s="9">
        <f si="0" t="shared"/>
        <v>4.398194899416143E-5</v>
      </c>
      <c r="E30" s="371">
        <v>19</v>
      </c>
      <c r="F30" s="371" t="n">
        <v>170.0</v>
      </c>
      <c r="G30" s="9">
        <f si="1" t="shared"/>
        <v>1.8865186475112464E-3</v>
      </c>
    </row>
    <row r="31" spans="1:7" x14ac:dyDescent="0.25">
      <c r="A31">
        <v>20</v>
      </c>
      <c r="B31" s="6" t="n">
        <v>212.3475</v>
      </c>
      <c r="C31" s="9">
        <f si="0" t="shared"/>
        <v>2.0330790561170491E-3</v>
      </c>
      <c r="E31" s="371">
        <v>20</v>
      </c>
      <c r="F31" s="371" t="n">
        <v>167.0</v>
      </c>
      <c r="G31" s="9">
        <f si="1" t="shared"/>
        <v>1.409706242096316E-3</v>
      </c>
    </row>
    <row r="32" spans="1:7" x14ac:dyDescent="0.25">
      <c r="A32">
        <v>21</v>
      </c>
      <c r="B32" s="6" t="n">
        <v>278.267753556</v>
      </c>
      <c r="C32" s="9">
        <f si="0" t="shared"/>
        <v>2.664219459835619E-3</v>
      </c>
      <c r="E32" s="371">
        <v>21</v>
      </c>
      <c r="F32" s="371" t="n">
        <v>111.0</v>
      </c>
      <c r="G32" s="9">
        <f si="1" t="shared"/>
        <v>1.1609345523146133E-3</v>
      </c>
    </row>
    <row r="33" spans="1:7" x14ac:dyDescent="0.25">
      <c r="A33">
        <v>22</v>
      </c>
      <c r="B33" s="6" t="n">
        <v>0.0</v>
      </c>
      <c r="C33" s="9">
        <f si="0" t="shared"/>
        <v>0</v>
      </c>
      <c r="E33" s="371">
        <v>22</v>
      </c>
      <c r="F33" s="371" t="n">
        <v>102.0</v>
      </c>
      <c r="G33" s="9">
        <f si="1" t="shared"/>
        <v>8.2923896593900949E-4</v>
      </c>
    </row>
    <row r="34" spans="1:7" x14ac:dyDescent="0.25">
      <c r="A34">
        <v>23</v>
      </c>
      <c r="B34" s="6" t="n">
        <v>298.878390047</v>
      </c>
      <c r="C34" s="9">
        <f si="0" t="shared"/>
        <v>2.8615519143410585E-3</v>
      </c>
      <c r="E34" s="371">
        <v>23</v>
      </c>
      <c r="F34" s="371" t="n">
        <v>50.0</v>
      </c>
      <c r="G34" s="9">
        <f si="1" t="shared"/>
        <v>6.0119825030578191E-4</v>
      </c>
    </row>
    <row r="35" spans="1:7" x14ac:dyDescent="0.25">
      <c r="A35">
        <v>24</v>
      </c>
      <c r="B35" s="6" t="n">
        <v>4.59375</v>
      </c>
      <c r="C35" s="9">
        <f si="0" t="shared"/>
        <v>4.398194899416143E-5</v>
      </c>
      <c r="E35" s="371">
        <v>24</v>
      </c>
      <c r="F35" s="371" t="n">
        <v>33.0</v>
      </c>
      <c r="G35" s="9">
        <f si="1" t="shared"/>
        <v>4.1461948296950474E-4</v>
      </c>
    </row>
    <row r="36" spans="1:7" x14ac:dyDescent="0.25">
      <c r="A36">
        <v>25</v>
      </c>
      <c r="B36" s="6" t="n">
        <v>533.972612906</v>
      </c>
      <c r="C36" s="9">
        <f si="0" t="shared"/>
        <v>5.1124149605683367E-3</v>
      </c>
      <c r="E36" s="371">
        <v>25</v>
      </c>
      <c r="F36" s="371" t="n">
        <v>31.0</v>
      </c>
      <c r="G36" s="9">
        <f si="1" t="shared"/>
        <v>2.7986815100441569E-4</v>
      </c>
    </row>
    <row r="37" spans="1:7" x14ac:dyDescent="0.25">
      <c r="A37">
        <v>26</v>
      </c>
      <c r="B37" s="6" t="n">
        <v>0.0</v>
      </c>
      <c r="C37" s="9">
        <f si="0" t="shared"/>
        <v>0</v>
      </c>
      <c r="E37" s="371">
        <v>26</v>
      </c>
      <c r="F37" s="371" t="n">
        <v>19.0</v>
      </c>
      <c r="G37" s="9">
        <f si="1" t="shared"/>
        <v>1.9694425441051474E-4</v>
      </c>
    </row>
    <row r="38" spans="1:7" x14ac:dyDescent="0.25">
      <c r="A38">
        <v>27</v>
      </c>
      <c r="B38" s="6" t="n">
        <v>0.0</v>
      </c>
      <c r="C38" s="9">
        <f si="0" t="shared"/>
        <v>0</v>
      </c>
      <c r="E38" s="371">
        <v>27</v>
      </c>
      <c r="F38" s="371" t="n">
        <v>17.0</v>
      </c>
      <c r="G38" s="9">
        <f si="1" t="shared"/>
        <v>2.2804071563322761E-4</v>
      </c>
    </row>
    <row r="39" spans="1:7" x14ac:dyDescent="0.25">
      <c r="A39">
        <v>28</v>
      </c>
      <c r="B39" s="6" t="n">
        <v>1720.55017111</v>
      </c>
      <c r="C39" s="9">
        <f si="0" t="shared"/>
        <v>1.6473066637857033E-2</v>
      </c>
      <c r="E39" s="371">
        <v>28</v>
      </c>
      <c r="F39" s="371" t="n">
        <v>12.0</v>
      </c>
      <c r="G39" s="9">
        <f si="1" t="shared"/>
        <v>1.5548230611356427E-4</v>
      </c>
    </row>
    <row r="40" spans="1:7" x14ac:dyDescent="0.25">
      <c r="A40">
        <v>29</v>
      </c>
      <c r="B40" s="6" t="n">
        <v>0.0</v>
      </c>
      <c r="C40" s="9">
        <f si="0" t="shared"/>
        <v>0</v>
      </c>
      <c r="E40" s="371">
        <v>29</v>
      </c>
      <c r="F40" s="371" t="n">
        <v>6.0</v>
      </c>
      <c r="G40" s="9">
        <f si="1" t="shared"/>
        <v>9.3289383668138567E-5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5.0</v>
      </c>
      <c r="G41" s="9">
        <f si="1" t="shared"/>
        <v>4.1461948296950474E-5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4.0</v>
      </c>
      <c r="G42" s="9">
        <f si="1" t="shared"/>
        <v>2.0730974148475237E-5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2.0</v>
      </c>
      <c r="G43" s="9">
        <f si="1" t="shared"/>
        <v>2.0730974148475237E-5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6.0</v>
      </c>
      <c r="G44" s="9">
        <f si="1" t="shared"/>
        <v>1.0365487074237619E-5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1.0</v>
      </c>
      <c r="G45" s="9">
        <f si="1" t="shared"/>
        <v>1.0365487074237619E-5</v>
      </c>
    </row>
    <row r="46" spans="1:7" x14ac:dyDescent="0.2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2.0</v>
      </c>
      <c r="G46" s="9">
        <f si="1" t="shared"/>
        <v>2.0730974148475237E-5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1.0</v>
      </c>
      <c r="G47" s="9">
        <f si="1" t="shared"/>
        <v>1.0365487074237619E-5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0.0</v>
      </c>
      <c r="G48" s="9">
        <f si="1" t="shared"/>
        <v>0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0.0</v>
      </c>
      <c r="G49" s="9">
        <f si="1" t="shared"/>
        <v>1.0365487074237619E-5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1.0</v>
      </c>
      <c r="G50" s="9">
        <f si="1" t="shared"/>
        <v>0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0.0</v>
      </c>
      <c r="G51" s="9">
        <f si="1" t="shared"/>
        <v>1.0365487074237619E-5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0.0</v>
      </c>
      <c r="G52" s="9">
        <f si="1" t="shared"/>
        <v>0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0.0</v>
      </c>
      <c r="G53" s="9">
        <f si="1" t="shared"/>
        <v>0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0.0</v>
      </c>
      <c r="G54" s="9">
        <f si="1" t="shared"/>
        <v>1.0365487074237619E-5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0.0</v>
      </c>
      <c r="G55" s="9">
        <f si="1" t="shared"/>
        <v>0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0.0</v>
      </c>
      <c r="G56" s="9">
        <f si="1" t="shared"/>
        <v>1.0365487074237619E-5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0.0</v>
      </c>
      <c r="G57" s="9">
        <f si="1" t="shared"/>
        <v>0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0.0</v>
      </c>
      <c r="G58" s="9">
        <f si="1" t="shared"/>
        <v>0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0.0</v>
      </c>
      <c r="G59" s="9">
        <f si="1" t="shared"/>
        <v>0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0.0</v>
      </c>
      <c r="G60" s="9">
        <f si="1" t="shared"/>
        <v>0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0.0</v>
      </c>
      <c r="G61" s="9">
        <f si="1" t="shared"/>
        <v>0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0.0</v>
      </c>
      <c r="G62" s="9">
        <f si="1" t="shared"/>
        <v>0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0.0</v>
      </c>
      <c r="G63" s="9">
        <f si="1" t="shared"/>
        <v>0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0.0</v>
      </c>
      <c r="G64" s="9">
        <f si="1" t="shared"/>
        <v>0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0.0</v>
      </c>
      <c r="G65" s="9">
        <f si="1" t="shared"/>
        <v>0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0.0</v>
      </c>
      <c r="G66" s="9">
        <f si="1" t="shared"/>
        <v>0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0.0</v>
      </c>
      <c r="G67" s="9">
        <f si="1" t="shared"/>
        <v>0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0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0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0.0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104446.25818218781</v>
      </c>
      <c r="C102" s="9">
        <f si="2" t="shared"/>
        <v>1</v>
      </c>
      <c r="F102" s="6">
        <f>SUM(F11:F101)</f>
        <v>96474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98.0</v>
      </c>
      <c r="G11" s="9">
        <f>F11/F$102</f>
        <v>1.1194726040176628E-3</v>
      </c>
      <c r="K11" s="6" t="n">
        <v>11.110031611943503</v>
      </c>
      <c r="L11" s="6" t="n">
        <v>16.420744739710315</v>
      </c>
    </row>
    <row r="12" spans="1:12" x14ac:dyDescent="0.25">
      <c r="A12">
        <v>1</v>
      </c>
      <c r="B12" s="6" t="n">
        <v>6748.333125</v>
      </c>
      <c r="C12" s="9">
        <f>B12/B$102</f>
        <v>6.4610578133194027E-2</v>
      </c>
      <c r="E12" s="371">
        <v>1</v>
      </c>
      <c r="F12" s="371" t="n">
        <v>3119.0</v>
      </c>
      <c r="G12" s="9">
        <f>F12/F$102</f>
        <v>3.4123183448390243E-2</v>
      </c>
      <c r="K12" s="6"/>
      <c r="L12" s="371"/>
    </row>
    <row r="13" spans="1:12" x14ac:dyDescent="0.25">
      <c r="A13">
        <v>2</v>
      </c>
      <c r="B13" s="6" t="n">
        <v>5940.385875</v>
      </c>
      <c r="C13" s="9">
        <f ref="C13:C76" si="0" t="shared">B13/B$102</f>
        <v>5.6875047305553643E-2</v>
      </c>
      <c r="E13" s="371">
        <v>2</v>
      </c>
      <c r="F13" s="371" t="n">
        <v>4242.0</v>
      </c>
      <c r="G13" s="9">
        <f ref="G13:G76" si="1" t="shared">F13/F$102</f>
        <v>4.484109708315194E-2</v>
      </c>
    </row>
    <row r="14" spans="1:12" x14ac:dyDescent="0.25">
      <c r="A14">
        <v>3</v>
      </c>
      <c r="B14" s="6" t="n">
        <v>12405.263875</v>
      </c>
      <c r="C14" s="9">
        <f si="0" t="shared"/>
        <v>0.1187717405190451</v>
      </c>
      <c r="E14" s="371">
        <v>3</v>
      </c>
      <c r="F14" s="371" t="n">
        <v>5179.0</v>
      </c>
      <c r="G14" s="9">
        <f si="1" t="shared"/>
        <v>5.4460269088044445E-2</v>
      </c>
    </row>
    <row r="15" spans="1:12" x14ac:dyDescent="0.25">
      <c r="A15">
        <v>4</v>
      </c>
      <c r="B15" s="6" t="n">
        <v>6999.085625</v>
      </c>
      <c r="C15" s="9">
        <f si="0" t="shared"/>
        <v>6.7011358250779529E-2</v>
      </c>
      <c r="E15" s="371">
        <v>4</v>
      </c>
      <c r="F15" s="371" t="n">
        <v>6143.0</v>
      </c>
      <c r="G15" s="9">
        <f si="1" t="shared"/>
        <v>6.0845409125774817E-2</v>
      </c>
    </row>
    <row r="16" spans="1:12" x14ac:dyDescent="0.25">
      <c r="A16">
        <v>5</v>
      </c>
      <c r="B16" s="6" t="n">
        <v>3888.8675</v>
      </c>
      <c r="C16" s="9">
        <f si="0" t="shared"/>
        <v>3.7233191190215419E-2</v>
      </c>
      <c r="E16" s="371">
        <v>5</v>
      </c>
      <c r="F16" s="371" t="n">
        <v>6376.0</v>
      </c>
      <c r="G16" s="9">
        <f si="1" t="shared"/>
        <v>6.5447685386736329E-2</v>
      </c>
    </row>
    <row r="17" spans="1:7" x14ac:dyDescent="0.25">
      <c r="A17">
        <v>6</v>
      </c>
      <c r="B17" s="6" t="n">
        <v>5063.864211842</v>
      </c>
      <c r="C17" s="9">
        <f si="0" t="shared"/>
        <v>4.848296434908176E-2</v>
      </c>
      <c r="E17" s="371">
        <v>6</v>
      </c>
      <c r="F17" s="371" t="n">
        <v>6676.0</v>
      </c>
      <c r="G17" s="9">
        <f si="1" t="shared"/>
        <v>6.784211290088521E-2</v>
      </c>
    </row>
    <row r="18" spans="1:7" x14ac:dyDescent="0.25">
      <c r="A18">
        <v>7</v>
      </c>
      <c r="B18" s="6" t="n">
        <v>9752.628732378</v>
      </c>
      <c r="C18" s="9">
        <f si="0" t="shared"/>
        <v>9.3374611040314012E-2</v>
      </c>
      <c r="E18" s="371">
        <v>7</v>
      </c>
      <c r="F18" s="371" t="n">
        <v>6862.0</v>
      </c>
      <c r="G18" s="9">
        <f si="1" t="shared"/>
        <v>6.7634803159400458E-2</v>
      </c>
    </row>
    <row r="19" spans="1:7" x14ac:dyDescent="0.25">
      <c r="A19">
        <v>8</v>
      </c>
      <c r="B19" s="6" t="n">
        <v>1764.620653002</v>
      </c>
      <c r="C19" s="9">
        <f si="0" t="shared"/>
        <v>1.6895010732925781E-2</v>
      </c>
      <c r="E19" s="371">
        <v>8</v>
      </c>
      <c r="F19" s="371" t="n">
        <v>6275.0</v>
      </c>
      <c r="G19" s="9">
        <f si="1" t="shared"/>
        <v>6.2224018906648422E-2</v>
      </c>
    </row>
    <row r="20" spans="1:7" x14ac:dyDescent="0.25">
      <c r="A20">
        <v>9</v>
      </c>
      <c r="B20" s="6" t="n">
        <v>6252.187317224</v>
      </c>
      <c r="C20" s="9">
        <f si="0" t="shared"/>
        <v>5.9860328421896924E-2</v>
      </c>
      <c r="E20" s="371">
        <v>9</v>
      </c>
      <c r="F20" s="371" t="n">
        <v>5600.0</v>
      </c>
      <c r="G20" s="9">
        <f si="1" t="shared"/>
        <v>5.6471173580446545E-2</v>
      </c>
    </row>
    <row r="21" spans="1:7" x14ac:dyDescent="0.25">
      <c r="A21">
        <v>10</v>
      </c>
      <c r="B21" s="6" t="n">
        <v>4545.1748721597</v>
      </c>
      <c r="C21" s="9">
        <f si="0" t="shared"/>
        <v>4.351687605918305E-2</v>
      </c>
      <c r="E21" s="371">
        <v>10</v>
      </c>
      <c r="F21" s="371" t="n">
        <v>4923.0</v>
      </c>
      <c r="G21" s="9">
        <f si="1" t="shared"/>
        <v>5.1236602607956545E-2</v>
      </c>
    </row>
    <row r="22" spans="1:7" x14ac:dyDescent="0.25">
      <c r="A22">
        <v>11</v>
      </c>
      <c r="B22" s="6" t="n">
        <v>5995.318267908</v>
      </c>
      <c r="C22" s="9">
        <f si="0" t="shared"/>
        <v>5.740098661505174E-2</v>
      </c>
      <c r="E22" s="371">
        <v>11</v>
      </c>
      <c r="F22" s="371" t="n">
        <v>4093.0</v>
      </c>
      <c r="G22" s="9">
        <f si="1" t="shared"/>
        <v>4.161743060306404E-2</v>
      </c>
    </row>
    <row r="23" spans="1:7" x14ac:dyDescent="0.25">
      <c r="A23">
        <v>12</v>
      </c>
      <c r="B23" s="6" t="n">
        <v>8014.7099519991</v>
      </c>
      <c r="C23" s="9">
        <f si="0" t="shared"/>
        <v>7.6735252095090592E-2</v>
      </c>
      <c r="E23" s="371">
        <v>12</v>
      </c>
      <c r="F23" s="371" t="n">
        <v>3764.0</v>
      </c>
      <c r="G23" s="9">
        <f si="1" t="shared"/>
        <v>3.825901279101105E-2</v>
      </c>
    </row>
    <row r="24" spans="1:7" x14ac:dyDescent="0.25">
      <c r="A24">
        <v>13</v>
      </c>
      <c r="B24" s="6" t="n">
        <v>1481.498592661</v>
      </c>
      <c r="C24" s="9">
        <f si="0" t="shared"/>
        <v>1.4184314674794677E-2</v>
      </c>
      <c r="E24" s="371">
        <v>13</v>
      </c>
      <c r="F24" s="371" t="n">
        <v>2813.0</v>
      </c>
      <c r="G24" s="9">
        <f si="1" t="shared"/>
        <v>2.9375790368389412E-2</v>
      </c>
    </row>
    <row r="25" spans="1:7" x14ac:dyDescent="0.25">
      <c r="A25">
        <v>14</v>
      </c>
      <c r="B25" s="6" t="n">
        <v>3414.599957466</v>
      </c>
      <c r="C25" s="9">
        <f si="0" t="shared"/>
        <v>3.2692410593683899E-2</v>
      </c>
      <c r="E25" s="371">
        <v>14</v>
      </c>
      <c r="F25" s="371" t="n">
        <v>2396.0</v>
      </c>
      <c r="G25" s="9">
        <f si="1" t="shared"/>
        <v>2.3602214068039057E-2</v>
      </c>
    </row>
    <row r="26" spans="1:7" x14ac:dyDescent="0.25">
      <c r="A26">
        <v>15</v>
      </c>
      <c r="B26" s="6" t="n">
        <v>1366.916553396</v>
      </c>
      <c r="C26" s="9">
        <f si="0" t="shared"/>
        <v>1.308727164750755E-2</v>
      </c>
      <c r="E26" s="371">
        <v>15</v>
      </c>
      <c r="F26" s="371" t="n">
        <v>2081.0</v>
      </c>
      <c r="G26" s="9">
        <f si="1" t="shared"/>
        <v>2.3633310529261771E-2</v>
      </c>
    </row>
    <row r="27" spans="1:7" x14ac:dyDescent="0.25">
      <c r="A27">
        <v>16</v>
      </c>
      <c r="B27" s="6" t="n">
        <v>1032.539628356</v>
      </c>
      <c r="C27" s="9">
        <f si="0" t="shared"/>
        <v>9.8858460449097133E-3</v>
      </c>
      <c r="E27" s="371">
        <v>16</v>
      </c>
      <c r="F27" s="371" t="n">
        <v>2134.0</v>
      </c>
      <c r="G27" s="9">
        <f si="1" t="shared"/>
        <v>2.1446192756597631E-2</v>
      </c>
    </row>
    <row r="28" spans="1:7" x14ac:dyDescent="0.25">
      <c r="A28">
        <v>17</v>
      </c>
      <c r="B28" s="6" t="n">
        <v>2599.835835307</v>
      </c>
      <c r="C28" s="9">
        <f si="0" t="shared"/>
        <v>2.4891612974512228E-2</v>
      </c>
      <c r="E28" s="371">
        <v>17</v>
      </c>
      <c r="F28" s="371" t="n">
        <v>1667.0</v>
      </c>
      <c r="G28" s="9">
        <f si="1" t="shared"/>
        <v>1.8668242220701951E-2</v>
      </c>
    </row>
    <row r="29" spans="1:7" x14ac:dyDescent="0.25">
      <c r="A29">
        <v>18</v>
      </c>
      <c r="B29" s="6" t="n">
        <v>1881.5674999999999</v>
      </c>
      <c r="C29" s="9">
        <f si="0" t="shared"/>
        <v>1.8014695143199311E-2</v>
      </c>
      <c r="E29" s="371">
        <v>18</v>
      </c>
      <c r="F29" s="371" t="n">
        <v>1590.0</v>
      </c>
      <c r="G29" s="9">
        <f si="1" t="shared"/>
        <v>1.624271824533035E-2</v>
      </c>
    </row>
    <row r="30" spans="1:7" x14ac:dyDescent="0.25">
      <c r="A30">
        <v>19</v>
      </c>
      <c r="B30" s="6" t="n">
        <v>1256.310546378</v>
      </c>
      <c r="C30" s="9">
        <f si="0" t="shared"/>
        <v>1.2028296353006646E-2</v>
      </c>
      <c r="E30" s="371">
        <v>19</v>
      </c>
      <c r="F30" s="371" t="n">
        <v>1380.0</v>
      </c>
      <c r="G30" s="9">
        <f si="1" t="shared"/>
        <v>1.4273275701225201E-2</v>
      </c>
    </row>
    <row r="31" spans="1:7" x14ac:dyDescent="0.25">
      <c r="A31">
        <v>20</v>
      </c>
      <c r="B31" s="6" t="n">
        <v>0.0</v>
      </c>
      <c r="C31" s="9">
        <f si="0" t="shared"/>
        <v>0</v>
      </c>
      <c r="E31" s="371">
        <v>20</v>
      </c>
      <c r="F31" s="371" t="n">
        <v>1284.0</v>
      </c>
      <c r="G31" s="9">
        <f si="1" t="shared"/>
        <v>1.4200717291705538E-2</v>
      </c>
    </row>
    <row r="32" spans="1:7" x14ac:dyDescent="0.25">
      <c r="A32">
        <v>21</v>
      </c>
      <c r="B32" s="6" t="n">
        <v>694.93575</v>
      </c>
      <c r="C32" s="9">
        <f si="0" t="shared"/>
        <v>6.6535246172994443E-3</v>
      </c>
      <c r="E32" s="371">
        <v>21</v>
      </c>
      <c r="F32" s="371" t="n">
        <v>1173.0</v>
      </c>
      <c r="G32" s="9">
        <f si="1" t="shared"/>
        <v>1.2117254389783776E-2</v>
      </c>
    </row>
    <row r="33" spans="1:7" x14ac:dyDescent="0.25">
      <c r="A33">
        <v>22</v>
      </c>
      <c r="B33" s="6" t="n">
        <v>683.0277500000001</v>
      </c>
      <c r="C33" s="9">
        <f si="0" t="shared"/>
        <v>6.5395138312047563E-3</v>
      </c>
      <c r="E33" s="371">
        <v>22</v>
      </c>
      <c r="F33" s="371" t="n">
        <v>1170.0</v>
      </c>
      <c r="G33" s="9">
        <f si="1" t="shared"/>
        <v>1.1899579161224786E-2</v>
      </c>
    </row>
    <row r="34" spans="1:7" x14ac:dyDescent="0.25">
      <c r="A34">
        <v>23</v>
      </c>
      <c r="B34" s="6" t="n">
        <v>235.944081161</v>
      </c>
      <c r="C34" s="9">
        <f si="0" t="shared"/>
        <v>2.2589998461164384E-3</v>
      </c>
      <c r="E34" s="371">
        <v>23</v>
      </c>
      <c r="F34" s="371" t="n">
        <v>939.0</v>
      </c>
      <c r="G34" s="9">
        <f si="1" t="shared"/>
        <v>1.048987291912847E-2</v>
      </c>
    </row>
    <row r="35" spans="1:7" x14ac:dyDescent="0.25">
      <c r="A35">
        <v>24</v>
      </c>
      <c r="B35" s="6" t="n">
        <v>0.0</v>
      </c>
      <c r="C35" s="9">
        <f si="0" t="shared"/>
        <v>0</v>
      </c>
      <c r="E35" s="371">
        <v>24</v>
      </c>
      <c r="F35" s="371" t="n">
        <v>836.0</v>
      </c>
      <c r="G35" s="9">
        <f si="1" t="shared"/>
        <v>8.821029500176214E-3</v>
      </c>
    </row>
    <row r="36" spans="1:7" x14ac:dyDescent="0.25">
      <c r="A36">
        <v>25</v>
      </c>
      <c r="B36" s="6" t="n">
        <v>1310.354424496</v>
      </c>
      <c r="C36" s="9">
        <f si="0" t="shared"/>
        <v>1.25457287537321E-2</v>
      </c>
      <c r="E36" s="371">
        <v>25</v>
      </c>
      <c r="F36" s="371" t="n">
        <v>668.0</v>
      </c>
      <c r="G36" s="9">
        <f si="1" t="shared"/>
        <v>7.9192321247175401E-3</v>
      </c>
    </row>
    <row r="37" spans="1:7" x14ac:dyDescent="0.25">
      <c r="A37">
        <v>26</v>
      </c>
      <c r="B37" s="6" t="n">
        <v>1263.24976132</v>
      </c>
      <c r="C37" s="9">
        <f si="0" t="shared"/>
        <v>1.2094734491268104E-2</v>
      </c>
      <c r="E37" s="371">
        <v>26</v>
      </c>
      <c r="F37" s="371" t="n">
        <v>751.0</v>
      </c>
      <c r="G37" s="9">
        <f si="1" t="shared"/>
        <v>7.5564400771192235E-3</v>
      </c>
    </row>
    <row r="38" spans="1:7" x14ac:dyDescent="0.25">
      <c r="A38">
        <v>27</v>
      </c>
      <c r="B38" s="6" t="n">
        <v>5.1375</v>
      </c>
      <c r="C38" s="9">
        <f si="0" t="shared"/>
        <v>4.918797560979687E-5</v>
      </c>
      <c r="E38" s="371">
        <v>27</v>
      </c>
      <c r="F38" s="371" t="n">
        <v>576.0</v>
      </c>
      <c r="G38" s="9">
        <f si="1" t="shared"/>
        <v>6.5302568567696994E-3</v>
      </c>
    </row>
    <row r="39" spans="1:7" x14ac:dyDescent="0.25">
      <c r="A39">
        <v>28</v>
      </c>
      <c r="B39" s="6" t="n">
        <v>5.1375</v>
      </c>
      <c r="C39" s="9">
        <f si="0" t="shared"/>
        <v>4.918797560979687E-5</v>
      </c>
      <c r="E39" s="371">
        <v>28</v>
      </c>
      <c r="F39" s="371" t="n">
        <v>658.0</v>
      </c>
      <c r="G39" s="9">
        <f si="1" t="shared"/>
        <v>7.1625515682981946E-3</v>
      </c>
    </row>
    <row r="40" spans="1:7" x14ac:dyDescent="0.25">
      <c r="A40">
        <v>29</v>
      </c>
      <c r="B40" s="6" t="n">
        <v>25.99125</v>
      </c>
      <c r="C40" s="9">
        <f si="0" t="shared"/>
        <v>2.4884807222737379E-4</v>
      </c>
      <c r="E40" s="371">
        <v>29</v>
      </c>
      <c r="F40" s="371" t="n">
        <v>515.0</v>
      </c>
      <c r="G40" s="9">
        <f si="1" t="shared"/>
        <v>6.5302568567696994E-3</v>
      </c>
    </row>
    <row r="41" spans="1:7" x14ac:dyDescent="0.25">
      <c r="A41">
        <v>30</v>
      </c>
      <c r="B41" s="6" t="n">
        <v>10.69125</v>
      </c>
      <c r="C41" s="9">
        <f si="0" t="shared"/>
        <v>1.0236125435294225E-4</v>
      </c>
      <c r="E41" s="371">
        <v>30</v>
      </c>
      <c r="F41" s="371" t="n">
        <v>453.0</v>
      </c>
      <c r="G41" s="9">
        <f si="1" t="shared"/>
        <v>5.296763894935423E-3</v>
      </c>
    </row>
    <row r="42" spans="1:7" x14ac:dyDescent="0.25">
      <c r="A42">
        <v>31</v>
      </c>
      <c r="B42" s="6" t="n">
        <v>2944.7940934860003</v>
      </c>
      <c r="C42" s="9">
        <f si="0" t="shared"/>
        <v>2.8194347454260488E-2</v>
      </c>
      <c r="E42" s="371">
        <v>31</v>
      </c>
      <c r="F42" s="371" t="n">
        <v>450.0</v>
      </c>
      <c r="G42" s="9">
        <f si="1" t="shared"/>
        <v>4.5919107738872653E-3</v>
      </c>
    </row>
    <row r="43" spans="1:7" x14ac:dyDescent="0.25">
      <c r="A43">
        <v>32</v>
      </c>
      <c r="B43" s="6" t="n">
        <v>533.2449748060001</v>
      </c>
      <c r="C43" s="9">
        <f si="0" t="shared"/>
        <v>5.1054483337818549E-3</v>
      </c>
      <c r="E43" s="371">
        <v>32</v>
      </c>
      <c r="F43" s="371" t="n">
        <v>410.0</v>
      </c>
      <c r="G43" s="9">
        <f si="1" t="shared"/>
        <v>4.5297178514418389E-3</v>
      </c>
    </row>
    <row r="44" spans="1:7" x14ac:dyDescent="0.25">
      <c r="A44">
        <v>33</v>
      </c>
      <c r="B44" s="6" t="n">
        <v>1469.02375</v>
      </c>
      <c r="C44" s="9">
        <f si="0" t="shared"/>
        <v>1.406487676597807E-2</v>
      </c>
      <c r="E44" s="371">
        <v>33</v>
      </c>
      <c r="F44" s="371" t="n">
        <v>407.0</v>
      </c>
      <c r="G44" s="9">
        <f si="1" t="shared"/>
        <v>3.8455957045421566E-3</v>
      </c>
    </row>
    <row r="45" spans="1:7" x14ac:dyDescent="0.25">
      <c r="A45">
        <v>34</v>
      </c>
      <c r="B45" s="6" t="n">
        <v>865.888189721</v>
      </c>
      <c r="C45" s="9">
        <f si="0" t="shared"/>
        <v>8.2902748723713299E-3</v>
      </c>
      <c r="E45" s="371">
        <v>34</v>
      </c>
      <c r="F45" s="371" t="n">
        <v>359.0</v>
      </c>
      <c r="G45" s="9">
        <f si="1" t="shared"/>
        <v>4.0736364201753843E-3</v>
      </c>
    </row>
    <row r="46" spans="1:7" x14ac:dyDescent="0.2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308.0</v>
      </c>
      <c r="G46" s="9">
        <f si="1" t="shared"/>
        <v>3.8352302174679189E-3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273.0</v>
      </c>
      <c r="G47" s="9">
        <f si="1" t="shared"/>
        <v>2.7675850488214442E-3</v>
      </c>
    </row>
    <row r="48" spans="1:7" x14ac:dyDescent="0.25">
      <c r="A48">
        <v>37</v>
      </c>
      <c r="B48" s="6" t="n">
        <v>5.55375</v>
      </c>
      <c r="C48" s="9">
        <f si="0" t="shared"/>
        <v>5.3173278743145374E-5</v>
      </c>
      <c r="E48" s="371">
        <v>37</v>
      </c>
      <c r="F48" s="371" t="n">
        <v>248.0</v>
      </c>
      <c r="G48" s="9">
        <f si="1" t="shared"/>
        <v>2.9334328420092459E-3</v>
      </c>
    </row>
    <row r="49" spans="1:7" x14ac:dyDescent="0.25">
      <c r="A49">
        <v>38</v>
      </c>
      <c r="B49" s="6" t="n">
        <v>15.09625</v>
      </c>
      <c r="C49" s="9">
        <f si="0" t="shared"/>
        <v>1.4453605387822793E-4</v>
      </c>
      <c r="E49" s="371">
        <v>38</v>
      </c>
      <c r="F49" s="371" t="n">
        <v>255.0</v>
      </c>
      <c r="G49" s="9">
        <f si="1" t="shared"/>
        <v>3.120011609345523E-3</v>
      </c>
    </row>
    <row r="50" spans="1:7" x14ac:dyDescent="0.25">
      <c r="A50">
        <v>39</v>
      </c>
      <c r="B50" s="6" t="n">
        <v>765.156650593</v>
      </c>
      <c r="C50" s="9">
        <f si="0" t="shared"/>
        <v>7.3258407137795321E-3</v>
      </c>
      <c r="E50" s="371">
        <v>39</v>
      </c>
      <c r="F50" s="371" t="n">
        <v>225.0</v>
      </c>
      <c r="G50" s="9">
        <f si="1" t="shared"/>
        <v>2.6017372556336421E-3</v>
      </c>
    </row>
    <row r="51" spans="1:7" x14ac:dyDescent="0.25">
      <c r="A51">
        <v>40</v>
      </c>
      <c r="B51" s="6" t="n">
        <v>5.1375</v>
      </c>
      <c r="C51" s="9">
        <f si="0" t="shared"/>
        <v>4.918797560979687E-5</v>
      </c>
      <c r="E51" s="371">
        <v>40</v>
      </c>
      <c r="F51" s="371" t="n">
        <v>212.0</v>
      </c>
      <c r="G51" s="9">
        <f si="1" t="shared"/>
        <v>2.4047930012231276E-3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197.0</v>
      </c>
      <c r="G52" s="9">
        <f si="1" t="shared"/>
        <v>2.3736965400004148E-3</v>
      </c>
    </row>
    <row r="53" spans="1:7" x14ac:dyDescent="0.25">
      <c r="A53">
        <v>42</v>
      </c>
      <c r="B53" s="6" t="n">
        <v>282.532995981</v>
      </c>
      <c r="C53" s="9">
        <f si="0" t="shared"/>
        <v>2.7050561781559639E-3</v>
      </c>
      <c r="E53" s="371">
        <v>42</v>
      </c>
      <c r="F53" s="371" t="n">
        <v>178.0</v>
      </c>
      <c r="G53" s="9">
        <f si="1" t="shared"/>
        <v>2.0523664406990483E-3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219.0</v>
      </c>
      <c r="G54" s="9">
        <f si="1" t="shared"/>
        <v>2.1041938760702366E-3</v>
      </c>
    </row>
    <row r="55" spans="1:7" x14ac:dyDescent="0.25">
      <c r="A55">
        <v>44</v>
      </c>
      <c r="B55" s="6" t="n">
        <v>212.3475</v>
      </c>
      <c r="C55" s="9">
        <f si="0" t="shared"/>
        <v>2.0330790561170491E-3</v>
      </c>
      <c r="E55" s="371">
        <v>44</v>
      </c>
      <c r="F55" s="371" t="n">
        <v>151.0</v>
      </c>
      <c r="G55" s="9">
        <f si="1" t="shared"/>
        <v>1.9176151087339595E-3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139.0</v>
      </c>
      <c r="G56" s="9">
        <f si="1" t="shared"/>
        <v>1.5962850094325932E-3</v>
      </c>
    </row>
    <row r="57" spans="1:7" x14ac:dyDescent="0.25">
      <c r="A57">
        <v>46</v>
      </c>
      <c r="B57" s="6" t="n">
        <v>1823.790175888</v>
      </c>
      <c r="C57" s="9">
        <f si="0" t="shared"/>
        <v>1.7461517603691697E-2</v>
      </c>
      <c r="E57" s="371">
        <v>46</v>
      </c>
      <c r="F57" s="371" t="n">
        <v>135.0</v>
      </c>
      <c r="G57" s="9">
        <f si="1" t="shared"/>
        <v>1.4511681903932665E-3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127.0</v>
      </c>
      <c r="G58" s="9">
        <f si="1" t="shared"/>
        <v>1.5133611128386923E-3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149.0</v>
      </c>
      <c r="G59" s="9">
        <f si="1" t="shared"/>
        <v>1.2956858842797024E-3</v>
      </c>
    </row>
    <row r="60" spans="1:7" x14ac:dyDescent="0.25">
      <c r="A60">
        <v>49</v>
      </c>
      <c r="B60" s="6" t="n">
        <v>195.638385269</v>
      </c>
      <c r="C60" s="9">
        <f si="0" t="shared"/>
        <v>1.8731009485063971E-3</v>
      </c>
      <c r="E60" s="371">
        <v>49</v>
      </c>
      <c r="F60" s="371" t="n">
        <v>124.0</v>
      </c>
      <c r="G60" s="9">
        <f si="1" t="shared"/>
        <v>1.5133611128386923E-3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106.0</v>
      </c>
      <c r="G61" s="9">
        <f si="1" t="shared"/>
        <v>1.1298380910919005E-3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116.0</v>
      </c>
      <c r="G62" s="9">
        <f si="1" t="shared"/>
        <v>1.2749549101312271E-3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106.0</v>
      </c>
      <c r="G63" s="9">
        <f si="1" t="shared"/>
        <v>1.0780106557207122E-3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108.0</v>
      </c>
      <c r="G64" s="9">
        <f si="1" t="shared"/>
        <v>1.0469141944979994E-3</v>
      </c>
    </row>
    <row r="65" spans="1:7" x14ac:dyDescent="0.25">
      <c r="A65">
        <v>54</v>
      </c>
      <c r="B65" s="6" t="n">
        <v>533.972612906</v>
      </c>
      <c r="C65" s="9">
        <f si="0" t="shared"/>
        <v>5.1124149605683376E-3</v>
      </c>
      <c r="E65" s="371">
        <v>54</v>
      </c>
      <c r="F65" s="371" t="n">
        <v>91.0</v>
      </c>
      <c r="G65" s="9">
        <f si="1" t="shared"/>
        <v>1.3164168584281774E-3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84.0</v>
      </c>
      <c r="G66" s="9">
        <f si="1" t="shared"/>
        <v>9.6399029790409849E-4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106.0</v>
      </c>
      <c r="G67" s="9">
        <f si="1" t="shared"/>
        <v>7.8777701764205896E-4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68.0</v>
      </c>
      <c r="G68" s="9">
        <f si="1" t="shared"/>
        <v>7.1521860812239564E-4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71.0</v>
      </c>
      <c r="G69" s="9">
        <f si="1" t="shared"/>
        <v>6.5302568567696996E-4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57.0</v>
      </c>
      <c r="G70" s="9">
        <f si="1" t="shared"/>
        <v>7.7741153056782144E-4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81.0</v>
      </c>
      <c r="G71" s="9">
        <f si="1" t="shared"/>
        <v>1.0469141944979994E-3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95.0</v>
      </c>
      <c r="G72" s="9">
        <f si="1" t="shared"/>
        <v>9.7435578497833612E-4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78.0</v>
      </c>
      <c r="G73" s="9">
        <f si="1" t="shared"/>
        <v>7.1521860812239564E-4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89.0</v>
      </c>
      <c r="G74" s="9">
        <f si="1" t="shared"/>
        <v>8.8106640131019754E-4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94.0</v>
      </c>
      <c r="G75" s="9">
        <f si="1" t="shared"/>
        <v>1.140203578166138E-3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93.0</v>
      </c>
      <c r="G76" s="9">
        <f si="1" t="shared"/>
        <v>9.5362481082986086E-4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105.0</v>
      </c>
      <c r="G77" s="9">
        <f ref="G77:G102" si="3" t="shared">F77/F$102</f>
        <v>7.670460434935838E-4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78.0</v>
      </c>
      <c r="G78" s="9">
        <f si="3" t="shared"/>
        <v>7.670460434935838E-4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84.0</v>
      </c>
      <c r="G79" s="9">
        <f si="3" t="shared"/>
        <v>1.0469141944979994E-3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89.0</v>
      </c>
      <c r="G80" s="9">
        <f si="3" t="shared"/>
        <v>7.8777701764205896E-4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151.0</v>
      </c>
      <c r="G81" s="9">
        <f si="3" t="shared"/>
        <v>1.710305367249207E-3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72.0</v>
      </c>
      <c r="G82" s="9">
        <f si="3" t="shared"/>
        <v>1.08837614279495E-3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107.0</v>
      </c>
      <c r="G83" s="9">
        <f si="3" t="shared"/>
        <v>9.2252834960714807E-4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76.0</v>
      </c>
      <c r="G84" s="9">
        <f si="3" t="shared"/>
        <v>1.0780106557207122E-3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108.0</v>
      </c>
      <c r="G85" s="9">
        <f si="3" t="shared"/>
        <v>6.9448763397392049E-4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48.0</v>
      </c>
      <c r="G86" s="9">
        <f si="3" t="shared"/>
        <v>4.8717789248916806E-4</v>
      </c>
    </row>
    <row r="87" spans="1:7" x14ac:dyDescent="0.25">
      <c r="A87">
        <v>76</v>
      </c>
      <c r="B87" s="6" t="n">
        <v>155.903466484</v>
      </c>
      <c r="C87" s="9">
        <f si="2" t="shared"/>
        <v>1.4926668431917813E-3</v>
      </c>
      <c r="E87" s="371">
        <v>76</v>
      </c>
      <c r="F87" s="371" t="n">
        <v>62.0</v>
      </c>
      <c r="G87" s="9">
        <f si="3" t="shared"/>
        <v>8.3960445301324712E-4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73.0</v>
      </c>
      <c r="G88" s="9">
        <f si="3" t="shared"/>
        <v>5.7010178908306901E-4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44.0</v>
      </c>
      <c r="G89" s="9">
        <f si="3" t="shared"/>
        <v>4.2498497004374238E-4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57.0</v>
      </c>
      <c r="G90" s="9">
        <f si="3" t="shared"/>
        <v>6.2192922445425706E-4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39.0</v>
      </c>
      <c r="G91" s="9">
        <f si="3" t="shared"/>
        <v>4.3535045711797995E-4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82.0</v>
      </c>
      <c r="G92" s="9">
        <f si="3" t="shared"/>
        <v>8.4996994008748475E-4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47.0</v>
      </c>
      <c r="G93" s="9">
        <f si="3" t="shared"/>
        <v>4.1461948296950474E-4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64.0</v>
      </c>
      <c r="G94" s="9">
        <f si="3" t="shared"/>
        <v>6.4266019860273233E-4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80.0</v>
      </c>
      <c r="G95" s="9">
        <f si="3" t="shared"/>
        <v>6.2192922445425706E-4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113.0</v>
      </c>
      <c r="G96" s="9">
        <f si="3" t="shared"/>
        <v>1.2853203972054647E-3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82.0</v>
      </c>
      <c r="G97" s="9">
        <f si="3" t="shared"/>
        <v>7.9814250471629659E-4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55.0</v>
      </c>
      <c r="G98" s="9">
        <f si="3" t="shared"/>
        <v>6.3229471152849469E-4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46.0</v>
      </c>
      <c r="G99" s="9">
        <f si="3" t="shared"/>
        <v>3.6279204759831664E-4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38.0</v>
      </c>
      <c r="G100" s="9">
        <f si="3" t="shared"/>
        <v>3.4206107344984143E-4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2338.0</v>
      </c>
      <c r="G101" s="9">
        <f si="3" t="shared"/>
        <v>2.3944275141488898E-2</v>
      </c>
    </row>
    <row r="102" spans="1:7" x14ac:dyDescent="0.25">
      <c r="B102" s="6">
        <f>SUM(B11:B101)</f>
        <v>104446.2581821878</v>
      </c>
      <c r="C102" s="9">
        <f si="2" t="shared"/>
        <v>1</v>
      </c>
      <c r="F102" s="6">
        <f>SUM(F11:F101)</f>
        <v>96474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30570.0032181094</v>
      </c>
      <c r="C11" s="9">
        <f>B11/B$102</f>
        <v>0.16475622835150841</v>
      </c>
      <c r="E11" s="371">
        <v>0</v>
      </c>
      <c r="F11" s="371" t="n">
        <v>18113.0</v>
      </c>
      <c r="G11" s="9">
        <f>F11/F$102</f>
        <v>0.12643976978126331</v>
      </c>
      <c r="K11" s="6" t="n">
        <v>5.257551060764157</v>
      </c>
      <c r="L11" s="6" t="n">
        <v>5.1146304452730025</v>
      </c>
    </row>
    <row r="12" spans="1:12" x14ac:dyDescent="0.25">
      <c r="A12">
        <v>1</v>
      </c>
      <c r="B12" s="6" t="n">
        <v>30456.990187676998</v>
      </c>
      <c r="C12" s="9">
        <f>B12/B$102</f>
        <v>0.16414714759624091</v>
      </c>
      <c r="E12" s="371">
        <v>1</v>
      </c>
      <c r="F12" s="371" t="n">
        <v>22433.0</v>
      </c>
      <c r="G12" s="9">
        <f>F12/F$102</f>
        <v>0.16040930984928906</v>
      </c>
      <c r="K12" s="6"/>
      <c r="L12" s="371"/>
    </row>
    <row r="13" spans="1:12" x14ac:dyDescent="0.25">
      <c r="A13">
        <v>2</v>
      </c>
      <c r="B13" s="6" t="n">
        <v>18840.9997808283</v>
      </c>
      <c r="C13" s="9">
        <f ref="C13:C76" si="0" t="shared">B13/B$102</f>
        <v>0.10154307279961239</v>
      </c>
      <c r="E13" s="371">
        <v>2</v>
      </c>
      <c r="F13" s="371" t="n">
        <v>19446.0</v>
      </c>
      <c r="G13" s="9">
        <f ref="G13:G76" si="1" t="shared">F13/F$102</f>
        <v>0.13524267567899362</v>
      </c>
    </row>
    <row r="14" spans="1:12" x14ac:dyDescent="0.25">
      <c r="A14">
        <v>3</v>
      </c>
      <c r="B14" s="6" t="n">
        <v>20913.124810358</v>
      </c>
      <c r="C14" s="9">
        <f si="0" t="shared"/>
        <v>0.11271073614927901</v>
      </c>
      <c r="E14" s="371">
        <v>3</v>
      </c>
      <c r="F14" s="371" t="n">
        <v>16908.0</v>
      </c>
      <c r="G14" s="9">
        <f si="1" t="shared"/>
        <v>0.12046765888920181</v>
      </c>
    </row>
    <row r="15" spans="1:12" x14ac:dyDescent="0.25">
      <c r="A15">
        <v>4</v>
      </c>
      <c r="B15" s="6" t="n">
        <v>16719.3336531863</v>
      </c>
      <c r="C15" s="9">
        <f si="0" t="shared"/>
        <v>9.0108409004602666E-2</v>
      </c>
      <c r="E15" s="371">
        <v>4</v>
      </c>
      <c r="F15" s="371" t="n">
        <v>14379.0</v>
      </c>
      <c r="G15" s="9">
        <f si="1" t="shared"/>
        <v>0.10269575452963307</v>
      </c>
    </row>
    <row r="16" spans="1:12" x14ac:dyDescent="0.25">
      <c r="A16">
        <v>5</v>
      </c>
      <c r="B16" s="6" t="n">
        <v>5276.868504404</v>
      </c>
      <c r="C16" s="9">
        <f si="0" t="shared"/>
        <v>2.8439544022600727E-2</v>
      </c>
      <c r="E16" s="371">
        <v>5</v>
      </c>
      <c r="F16" s="371" t="n">
        <v>10304.0</v>
      </c>
      <c r="G16" s="9">
        <f si="1" t="shared"/>
        <v>7.3528455989081226E-2</v>
      </c>
    </row>
    <row r="17" spans="1:7" x14ac:dyDescent="0.25">
      <c r="A17">
        <v>6</v>
      </c>
      <c r="B17" s="6" t="n">
        <v>4744.506266172</v>
      </c>
      <c r="C17" s="9">
        <f si="0" t="shared"/>
        <v>2.5570391740800742E-2</v>
      </c>
      <c r="E17" s="371">
        <v>6</v>
      </c>
      <c r="F17" s="371" t="n">
        <v>7143.0</v>
      </c>
      <c r="G17" s="9">
        <f si="1" t="shared"/>
        <v>5.1568130447655569E-2</v>
      </c>
    </row>
    <row r="18" spans="1:7" x14ac:dyDescent="0.25">
      <c r="A18">
        <v>7</v>
      </c>
      <c r="B18" s="6" t="n">
        <v>9665.989095287001</v>
      </c>
      <c r="C18" s="9">
        <f si="0" t="shared"/>
        <v>5.2094594013091029E-2</v>
      </c>
      <c r="E18" s="371">
        <v>7</v>
      </c>
      <c r="F18" s="371" t="n">
        <v>5113.0</v>
      </c>
      <c r="G18" s="9">
        <f si="1" t="shared"/>
        <v>3.7587469399250416E-2</v>
      </c>
    </row>
    <row r="19" spans="1:7" x14ac:dyDescent="0.25">
      <c r="A19">
        <v>8</v>
      </c>
      <c r="B19" s="6" t="n">
        <v>5186.7004881897</v>
      </c>
      <c r="C19" s="9">
        <f si="0" t="shared"/>
        <v>2.7953585870636736E-2</v>
      </c>
      <c r="E19" s="371">
        <v>8</v>
      </c>
      <c r="F19" s="371" t="n">
        <v>3972.0</v>
      </c>
      <c r="G19" s="9">
        <f si="1" t="shared"/>
        <v>2.8380164214995993E-2</v>
      </c>
    </row>
    <row r="20" spans="1:7" x14ac:dyDescent="0.25">
      <c r="A20">
        <v>9</v>
      </c>
      <c r="B20" s="6" t="n">
        <v>4562.6388264714</v>
      </c>
      <c r="C20" s="9">
        <f si="0" t="shared"/>
        <v>2.4590221957656394E-2</v>
      </c>
      <c r="E20" s="371">
        <v>9</v>
      </c>
      <c r="F20" s="371" t="n">
        <v>2867.0</v>
      </c>
      <c r="G20" s="9">
        <f si="1" t="shared"/>
        <v>1.9570036901434894E-2</v>
      </c>
    </row>
    <row r="21" spans="1:7" x14ac:dyDescent="0.25">
      <c r="A21">
        <v>10</v>
      </c>
      <c r="B21" s="6" t="n">
        <v>5092.505994314</v>
      </c>
      <c r="C21" s="9">
        <f si="0" t="shared"/>
        <v>2.7445927123213178E-2</v>
      </c>
      <c r="E21" s="371">
        <v>10</v>
      </c>
      <c r="F21" s="371" t="n">
        <v>2258.0</v>
      </c>
      <c r="G21" s="9">
        <f si="1" t="shared"/>
        <v>1.6602034994981116E-2</v>
      </c>
    </row>
    <row r="22" spans="1:7" x14ac:dyDescent="0.25">
      <c r="A22">
        <v>11</v>
      </c>
      <c r="B22" s="6" t="n">
        <v>4994.181898075</v>
      </c>
      <c r="C22" s="9">
        <f si="0" t="shared"/>
        <v>2.6916011992461346E-2</v>
      </c>
      <c r="E22" s="371">
        <v>11</v>
      </c>
      <c r="F22" s="371" t="n">
        <v>2102.0</v>
      </c>
      <c r="G22" s="9">
        <f si="1" t="shared"/>
        <v>1.597377181770258E-2</v>
      </c>
    </row>
    <row r="23" spans="1:7" x14ac:dyDescent="0.25">
      <c r="A23">
        <v>12</v>
      </c>
      <c r="B23" s="6" t="n">
        <v>1977.458968486</v>
      </c>
      <c r="C23" s="9">
        <f si="0" t="shared"/>
        <v>1.0657463103393376E-2</v>
      </c>
      <c r="E23" s="371">
        <v>12</v>
      </c>
      <c r="F23" s="371" t="n">
        <v>1906.0</v>
      </c>
      <c r="G23" s="9">
        <f si="1" t="shared"/>
        <v>1.5619922441993978E-2</v>
      </c>
    </row>
    <row r="24" spans="1:7" x14ac:dyDescent="0.25">
      <c r="A24">
        <v>13</v>
      </c>
      <c r="B24" s="6" t="n">
        <v>8080.630991571</v>
      </c>
      <c r="C24" s="9">
        <f si="0" t="shared"/>
        <v>4.3550348208104765E-2</v>
      </c>
      <c r="E24" s="371">
        <v>13</v>
      </c>
      <c r="F24" s="371" t="n">
        <v>1774.0</v>
      </c>
      <c r="G24" s="9">
        <f si="1" t="shared"/>
        <v>1.3691804415173639E-2</v>
      </c>
    </row>
    <row r="25" spans="1:7" x14ac:dyDescent="0.25">
      <c r="A25">
        <v>14</v>
      </c>
      <c r="B25" s="6" t="n">
        <v>1258.65601132</v>
      </c>
      <c r="C25" s="9">
        <f si="0" t="shared"/>
        <v>6.7834934702980893E-3</v>
      </c>
      <c r="E25" s="371">
        <v>14</v>
      </c>
      <c r="F25" s="371" t="n">
        <v>1518.0</v>
      </c>
      <c r="G25" s="9">
        <f si="1" t="shared"/>
        <v>1.1713136477537786E-2</v>
      </c>
    </row>
    <row r="26" spans="1:7" x14ac:dyDescent="0.25">
      <c r="A26">
        <v>15</v>
      </c>
      <c r="B26" s="6" t="n">
        <v>3968.0726254833</v>
      </c>
      <c r="C26" s="9">
        <f si="0" t="shared"/>
        <v>2.1385823054549492E-2</v>
      </c>
      <c r="E26" s="371">
        <v>15</v>
      </c>
      <c r="F26" s="371" t="n">
        <v>1373.0</v>
      </c>
      <c r="G26" s="9">
        <f si="1" t="shared"/>
        <v>1.0644366934581194E-2</v>
      </c>
    </row>
    <row r="27" spans="1:7" x14ac:dyDescent="0.25">
      <c r="A27">
        <v>16</v>
      </c>
      <c r="B27" s="6" t="n">
        <v>2733.764688891</v>
      </c>
      <c r="C27" s="9">
        <f si="0" t="shared"/>
        <v>1.4733552892640854E-2</v>
      </c>
      <c r="E27" s="371">
        <v>16</v>
      </c>
      <c r="F27" s="371" t="n">
        <v>1110.0</v>
      </c>
      <c r="G27" s="9">
        <f si="1" t="shared"/>
        <v>9.055655451807882E-3</v>
      </c>
    </row>
    <row r="28" spans="1:7" x14ac:dyDescent="0.25">
      <c r="A28">
        <v>17</v>
      </c>
      <c r="B28" s="6" t="n">
        <v>2084.171004966</v>
      </c>
      <c r="C28" s="9">
        <f si="0" t="shared"/>
        <v>1.1232584817470864E-2</v>
      </c>
      <c r="E28" s="371">
        <v>17</v>
      </c>
      <c r="F28" s="371" t="n">
        <v>989.0</v>
      </c>
      <c r="G28" s="9">
        <f si="1" t="shared"/>
        <v>8.0229929880052276E-3</v>
      </c>
    </row>
    <row r="29" spans="1:7" x14ac:dyDescent="0.25">
      <c r="A29">
        <v>18</v>
      </c>
      <c r="B29" s="6" t="n">
        <v>4435.863088899</v>
      </c>
      <c r="C29" s="9">
        <f si="0" t="shared"/>
        <v>2.3906967454217682E-2</v>
      </c>
      <c r="E29" s="371">
        <v>18</v>
      </c>
      <c r="F29" s="371" t="n">
        <v>786.0</v>
      </c>
      <c r="G29" s="9">
        <f si="1" t="shared"/>
        <v>6.5931526535092473E-3</v>
      </c>
    </row>
    <row r="30" spans="1:7" x14ac:dyDescent="0.25">
      <c r="A30">
        <v>19</v>
      </c>
      <c r="B30" s="6" t="n">
        <v>205.084459563</v>
      </c>
      <c r="C30" s="9">
        <f si="0" t="shared"/>
        <v>1.1052973010840593E-3</v>
      </c>
      <c r="E30" s="371">
        <v>19</v>
      </c>
      <c r="F30" s="371" t="n">
        <v>723.0</v>
      </c>
      <c r="G30" s="9">
        <f si="1" t="shared"/>
        <v>5.9071181495844076E-3</v>
      </c>
    </row>
    <row r="31" spans="1:7" x14ac:dyDescent="0.25">
      <c r="A31">
        <v>20</v>
      </c>
      <c r="B31" s="6" t="n">
        <v>299.9093066417</v>
      </c>
      <c r="C31" s="9">
        <f si="0" t="shared"/>
        <v>1.6163533205168687E-3</v>
      </c>
      <c r="E31" s="371">
        <v>20</v>
      </c>
      <c r="F31" s="371" t="n">
        <v>576.0</v>
      </c>
      <c r="G31" s="9">
        <f si="1" t="shared"/>
        <v>4.8888985174433295E-3</v>
      </c>
    </row>
    <row r="32" spans="1:7" x14ac:dyDescent="0.25">
      <c r="A32">
        <v>21</v>
      </c>
      <c r="B32" s="6" t="n">
        <v>280.724871177</v>
      </c>
      <c r="C32" s="9">
        <f si="0" t="shared"/>
        <v>1.512959310131404E-3</v>
      </c>
      <c r="E32" s="371">
        <v>21</v>
      </c>
      <c r="F32" s="371" t="n">
        <v>557.0</v>
      </c>
      <c r="G32" s="9">
        <f si="1" t="shared"/>
        <v>4.527827725903941E-3</v>
      </c>
    </row>
    <row r="33" spans="1:7" x14ac:dyDescent="0.25">
      <c r="A33">
        <v>22</v>
      </c>
      <c r="B33" s="6" t="n">
        <v>1465.599088206</v>
      </c>
      <c r="C33" s="9">
        <f si="0" t="shared"/>
        <v>7.8988077405627369E-3</v>
      </c>
      <c r="E33" s="371">
        <v>22</v>
      </c>
      <c r="F33" s="371" t="n">
        <v>386.0</v>
      </c>
      <c r="G33" s="9">
        <f si="1" t="shared"/>
        <v>3.1774229655466249E-3</v>
      </c>
    </row>
    <row r="34" spans="1:7" x14ac:dyDescent="0.25">
      <c r="A34">
        <v>23</v>
      </c>
      <c r="B34" s="6" t="n">
        <v>87.0697128457</v>
      </c>
      <c r="C34" s="9">
        <f si="0" t="shared"/>
        <v>4.6925992744444332E-4</v>
      </c>
      <c r="E34" s="371">
        <v>23</v>
      </c>
      <c r="F34" s="371" t="n">
        <v>328.0</v>
      </c>
      <c r="G34" s="9">
        <f si="1" t="shared"/>
        <v>3.1413158863926862E-3</v>
      </c>
    </row>
    <row r="35" spans="1:7" x14ac:dyDescent="0.25">
      <c r="A35">
        <v>24</v>
      </c>
      <c r="B35" s="6" t="n">
        <v>0.0</v>
      </c>
      <c r="C35" s="9">
        <f si="0" t="shared"/>
        <v>0</v>
      </c>
      <c r="E35" s="371">
        <v>24</v>
      </c>
      <c r="F35" s="371" t="n">
        <v>326.0</v>
      </c>
      <c r="G35" s="9">
        <f si="1" t="shared"/>
        <v>2.3614029766676056E-3</v>
      </c>
    </row>
    <row r="36" spans="1:7" x14ac:dyDescent="0.25">
      <c r="A36">
        <v>25</v>
      </c>
      <c r="B36" s="6" t="n">
        <v>0.0</v>
      </c>
      <c r="C36" s="9">
        <f si="0" t="shared"/>
        <v>0</v>
      </c>
      <c r="E36" s="371">
        <v>25</v>
      </c>
      <c r="F36" s="371" t="n">
        <v>221.0</v>
      </c>
      <c r="G36" s="9">
        <f si="1" t="shared"/>
        <v>2.0942105909284576E-3</v>
      </c>
    </row>
    <row r="37" spans="1:7" x14ac:dyDescent="0.25">
      <c r="A37">
        <v>26</v>
      </c>
      <c r="B37" s="6" t="n">
        <v>0.0</v>
      </c>
      <c r="C37" s="9">
        <f si="0" t="shared"/>
        <v>0</v>
      </c>
      <c r="E37" s="371">
        <v>26</v>
      </c>
      <c r="F37" s="371" t="n">
        <v>213.0</v>
      </c>
      <c r="G37" s="9">
        <f si="1" t="shared"/>
        <v>1.7186969677274926E-3</v>
      </c>
    </row>
    <row r="38" spans="1:7" x14ac:dyDescent="0.25">
      <c r="A38">
        <v>27</v>
      </c>
      <c r="B38" s="6" t="n">
        <v>0.0</v>
      </c>
      <c r="C38" s="9">
        <f si="0" t="shared"/>
        <v>0</v>
      </c>
      <c r="E38" s="371">
        <v>27</v>
      </c>
      <c r="F38" s="371" t="n">
        <v>166.0</v>
      </c>
      <c r="G38" s="9">
        <f si="1" t="shared"/>
        <v>1.4298403344959812E-3</v>
      </c>
    </row>
    <row r="39" spans="1:7" x14ac:dyDescent="0.25">
      <c r="A39">
        <v>28</v>
      </c>
      <c r="B39" s="6" t="n">
        <v>363.531135753</v>
      </c>
      <c r="C39" s="9">
        <f si="0" t="shared"/>
        <v>1.959241495255185E-3</v>
      </c>
      <c r="E39" s="371">
        <v>28</v>
      </c>
      <c r="F39" s="371" t="n">
        <v>153.0</v>
      </c>
      <c r="G39" s="9">
        <f si="1" t="shared"/>
        <v>9.893339688179265E-4</v>
      </c>
    </row>
    <row r="40" spans="1:7" x14ac:dyDescent="0.25">
      <c r="A40">
        <v>29</v>
      </c>
      <c r="B40" s="6" t="n">
        <v>543.221055857</v>
      </c>
      <c r="C40" s="9">
        <f si="0" t="shared"/>
        <v>2.9276755938025209E-3</v>
      </c>
      <c r="E40" s="371">
        <v>29</v>
      </c>
      <c r="F40" s="371" t="n">
        <v>131.0</v>
      </c>
      <c r="G40" s="9">
        <f si="1" t="shared"/>
        <v>1.0615481271258043E-3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90.0</v>
      </c>
      <c r="G41" s="9">
        <f si="1" t="shared"/>
        <v>8.0879857304823181E-4</v>
      </c>
    </row>
    <row r="42" spans="1:7" x14ac:dyDescent="0.25">
      <c r="A42">
        <v>31</v>
      </c>
      <c r="B42" s="6" t="n">
        <v>368.204446166</v>
      </c>
      <c r="C42" s="9">
        <f si="0" t="shared"/>
        <v>1.9844281788177695E-3</v>
      </c>
      <c r="E42" s="371">
        <v>31</v>
      </c>
      <c r="F42" s="371" t="n">
        <v>74.0</v>
      </c>
      <c r="G42" s="9">
        <f si="1" t="shared"/>
        <v>5.5604901897065944E-4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67.0</v>
      </c>
      <c r="G43" s="9">
        <f si="1" t="shared"/>
        <v>5.9215609812459833E-4</v>
      </c>
    </row>
    <row r="44" spans="1:7" x14ac:dyDescent="0.25">
      <c r="A44">
        <v>33</v>
      </c>
      <c r="B44" s="6" t="n">
        <v>207.401519182</v>
      </c>
      <c r="C44" s="9">
        <f si="0" t="shared"/>
        <v>1.117785032961885E-3</v>
      </c>
      <c r="E44" s="371">
        <v>33</v>
      </c>
      <c r="F44" s="371" t="n">
        <v>40.0</v>
      </c>
      <c r="G44" s="9">
        <f si="1" t="shared"/>
        <v>3.5384937570860143E-4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27.0</v>
      </c>
      <c r="G45" s="9">
        <f si="1" t="shared"/>
        <v>2.5274955407757243E-4</v>
      </c>
    </row>
    <row r="46" spans="1:7" x14ac:dyDescent="0.25">
      <c r="A46">
        <v>35</v>
      </c>
      <c r="B46" s="6" t="n">
        <v>163.668759911</v>
      </c>
      <c r="C46" s="9">
        <f si="0" t="shared"/>
        <v>8.8208847704441293E-4</v>
      </c>
      <c r="E46" s="371">
        <v>35</v>
      </c>
      <c r="F46" s="371" t="n">
        <v>32.0</v>
      </c>
      <c r="G46" s="9">
        <f si="1" t="shared"/>
        <v>2.6719238573914801E-4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26.0</v>
      </c>
      <c r="G47" s="9">
        <f si="1" t="shared"/>
        <v>2.5274955407757243E-4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11.0</v>
      </c>
      <c r="G48" s="9">
        <f si="1" t="shared"/>
        <v>2.5274955407757243E-4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17.0</v>
      </c>
      <c r="G49" s="9">
        <f si="1" t="shared"/>
        <v>1.877568116004824E-4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16.0</v>
      </c>
      <c r="G50" s="9">
        <f si="1" t="shared"/>
        <v>2.6719238573914801E-4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16.0</v>
      </c>
      <c r="G51" s="9">
        <f si="1" t="shared"/>
        <v>1.5164973244654348E-4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15.0</v>
      </c>
      <c r="G52" s="9">
        <f si="1" t="shared"/>
        <v>1.0832123746181677E-4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11.0</v>
      </c>
      <c r="G53" s="9">
        <f si="1" t="shared"/>
        <v>1.2998548495418011E-4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10.0</v>
      </c>
      <c r="G54" s="9">
        <f si="1" t="shared"/>
        <v>1.2276406912339235E-4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8.0</v>
      </c>
      <c r="G55" s="9">
        <f si="1" t="shared"/>
        <v>1.0832123746181677E-4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4.0</v>
      </c>
      <c r="G56" s="9">
        <f si="1" t="shared"/>
        <v>7.943557413866562E-5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5.0</v>
      </c>
      <c r="G57" s="9">
        <f si="1" t="shared"/>
        <v>6.4992742477090054E-5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6.0</v>
      </c>
      <c r="G58" s="9">
        <f si="1" t="shared"/>
        <v>5.0549910815514488E-5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3.0</v>
      </c>
      <c r="G59" s="9">
        <f si="1" t="shared"/>
        <v>7.943557413866562E-5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6.0</v>
      </c>
      <c r="G60" s="9">
        <f si="1" t="shared"/>
        <v>5.0549910815514488E-5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6.0</v>
      </c>
      <c r="G61" s="9">
        <f si="1" t="shared"/>
        <v>7.943557413866562E-5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2.0</v>
      </c>
      <c r="G62" s="9">
        <f si="1" t="shared"/>
        <v>3.6107079153938922E-5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2.0</v>
      </c>
      <c r="G63" s="9">
        <f si="1" t="shared"/>
        <v>2.1664247492363353E-5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1.0</v>
      </c>
      <c r="G64" s="9">
        <f si="1" t="shared"/>
        <v>7.2214158307877839E-6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0.0</v>
      </c>
      <c r="G65" s="9">
        <f si="1" t="shared"/>
        <v>7.2214158307877839E-6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0.0</v>
      </c>
      <c r="G66" s="9">
        <f si="1" t="shared"/>
        <v>0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0.0</v>
      </c>
      <c r="G67" s="9">
        <f si="1" t="shared"/>
        <v>0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1.0</v>
      </c>
      <c r="G68" s="9">
        <f si="1" t="shared"/>
        <v>7.2214158307877839E-6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1.0</v>
      </c>
      <c r="G69" s="9">
        <f si="1" t="shared"/>
        <v>0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0.0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185546.87445799081</v>
      </c>
      <c r="C102" s="9">
        <f si="2" t="shared"/>
        <v>1</v>
      </c>
      <c r="F102" s="6">
        <f>SUM(F11:F101)</f>
        <v>138477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L102"/>
  <sheetViews>
    <sheetView workbookViewId="0">
      <selection activeCell="D5" sqref="D5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6421.666277464999</v>
      </c>
      <c r="C11" s="9">
        <f>B11/B$102</f>
        <v>3.4609401512278842E-2</v>
      </c>
      <c r="E11" s="371">
        <v>0</v>
      </c>
      <c r="F11" s="371" t="n">
        <v>922.0</v>
      </c>
      <c r="G11" s="9">
        <f>F11/F$102</f>
        <v>7.0986517616643922E-3</v>
      </c>
      <c r="K11" s="6" t="n">
        <v>13.006868914961755</v>
      </c>
      <c r="L11" s="6" t="n">
        <v>14.114441008926862</v>
      </c>
    </row>
    <row r="12" spans="1:12" x14ac:dyDescent="0.25">
      <c r="A12">
        <v>1</v>
      </c>
      <c r="B12" s="6" t="n">
        <v>7648.6649553169</v>
      </c>
      <c r="C12" s="9">
        <f>B12/B$102</f>
        <v>4.1222278616439935E-2</v>
      </c>
      <c r="E12" s="371">
        <v>1</v>
      </c>
      <c r="F12" s="371" t="n">
        <v>3847.0</v>
      </c>
      <c r="G12" s="9">
        <f>F12/F$102</f>
        <v>2.8206850235057087E-2</v>
      </c>
      <c r="K12" s="6"/>
      <c r="L12" s="371"/>
    </row>
    <row r="13" spans="1:12" x14ac:dyDescent="0.25">
      <c r="A13">
        <v>2</v>
      </c>
      <c r="B13" s="6" t="n">
        <v>7659.3953825730005</v>
      </c>
      <c r="C13" s="9">
        <f ref="C13:C76" si="0" t="shared">B13/B$102</f>
        <v>4.1280109971925959E-2</v>
      </c>
      <c r="E13" s="371">
        <v>2</v>
      </c>
      <c r="F13" s="371" t="n">
        <v>5622.0</v>
      </c>
      <c r="G13" s="9">
        <f ref="G13:G76" si="1" t="shared">F13/F$102</f>
        <v>4.0331607414949774E-2</v>
      </c>
    </row>
    <row r="14" spans="1:12" x14ac:dyDescent="0.25">
      <c r="A14">
        <v>3</v>
      </c>
      <c r="B14" s="6" t="n">
        <v>11138.1608098898</v>
      </c>
      <c r="C14" s="9">
        <f si="0" t="shared"/>
        <v>6.0028824750758936E-2</v>
      </c>
      <c r="E14" s="371">
        <v>3</v>
      </c>
      <c r="F14" s="371" t="n">
        <v>7450.0</v>
      </c>
      <c r="G14" s="9">
        <f si="1" t="shared"/>
        <v>5.1719780180102114E-2</v>
      </c>
    </row>
    <row r="15" spans="1:12" x14ac:dyDescent="0.25">
      <c r="A15">
        <v>4</v>
      </c>
      <c r="B15" s="6" t="n">
        <v>12092.613692835701</v>
      </c>
      <c r="C15" s="9">
        <f si="0" t="shared"/>
        <v>6.5172823461241106E-2</v>
      </c>
      <c r="E15" s="371">
        <v>4</v>
      </c>
      <c r="F15" s="371" t="n">
        <v>9007.0</v>
      </c>
      <c r="G15" s="9">
        <f si="1" t="shared"/>
        <v>6.3172945687731533E-2</v>
      </c>
    </row>
    <row r="16" spans="1:12" x14ac:dyDescent="0.25">
      <c r="A16">
        <v>5</v>
      </c>
      <c r="B16" s="6" t="n">
        <v>9955.3547071744</v>
      </c>
      <c r="C16" s="9">
        <f si="0" t="shared"/>
        <v>5.3654122368029251E-2</v>
      </c>
      <c r="E16" s="371">
        <v>5</v>
      </c>
      <c r="F16" s="371" t="n">
        <v>9744.0</v>
      </c>
      <c r="G16" s="9">
        <f si="1" t="shared"/>
        <v>6.8365143670067949E-2</v>
      </c>
    </row>
    <row r="17" spans="1:7" x14ac:dyDescent="0.25">
      <c r="A17">
        <v>6</v>
      </c>
      <c r="B17" s="6" t="n">
        <v>11678.0711846497</v>
      </c>
      <c r="C17" s="9">
        <f si="0" t="shared"/>
        <v>6.2938657515859697E-2</v>
      </c>
      <c r="E17" s="371">
        <v>6</v>
      </c>
      <c r="F17" s="371" t="n">
        <v>9855.0</v>
      </c>
      <c r="G17" s="9">
        <f si="1" t="shared"/>
        <v>6.8812871451576801E-2</v>
      </c>
    </row>
    <row r="18" spans="1:7" x14ac:dyDescent="0.25">
      <c r="A18">
        <v>7</v>
      </c>
      <c r="B18" s="6" t="n">
        <v>15849.1547037983</v>
      </c>
      <c r="C18" s="9">
        <f si="0" t="shared"/>
        <v>8.5418602442622477E-2</v>
      </c>
      <c r="E18" s="371">
        <v>7</v>
      </c>
      <c r="F18" s="371" t="n">
        <v>9906.0</v>
      </c>
      <c r="G18" s="9">
        <f si="1" t="shared"/>
        <v>6.9123392332300665E-2</v>
      </c>
    </row>
    <row r="19" spans="1:7" x14ac:dyDescent="0.25">
      <c r="A19">
        <v>8</v>
      </c>
      <c r="B19" s="6" t="n">
        <v>10534.341986551899</v>
      </c>
      <c r="C19" s="9">
        <f si="0" t="shared"/>
        <v>5.6774559082842173E-2</v>
      </c>
      <c r="E19" s="371">
        <v>8</v>
      </c>
      <c r="F19" s="371" t="n">
        <v>9451.0</v>
      </c>
      <c r="G19" s="9">
        <f si="1" t="shared"/>
        <v>6.5361034684460237E-2</v>
      </c>
    </row>
    <row r="20" spans="1:7" x14ac:dyDescent="0.25">
      <c r="A20">
        <v>9</v>
      </c>
      <c r="B20" s="6" t="n">
        <v>7623.188114451</v>
      </c>
      <c r="C20" s="9">
        <f si="0" t="shared"/>
        <v>4.1084971852635259E-2</v>
      </c>
      <c r="E20" s="371">
        <v>9</v>
      </c>
      <c r="F20" s="371" t="n">
        <v>8175.0</v>
      </c>
      <c r="G20" s="9">
        <f si="1" t="shared"/>
        <v>5.7496912844732337E-2</v>
      </c>
    </row>
    <row r="21" spans="1:7" x14ac:dyDescent="0.25">
      <c r="A21">
        <v>10</v>
      </c>
      <c r="B21" s="6" t="n">
        <v>8607.2317230995</v>
      </c>
      <c r="C21" s="9">
        <f si="0" t="shared"/>
        <v>4.6388449001054127E-2</v>
      </c>
      <c r="E21" s="371">
        <v>10</v>
      </c>
      <c r="F21" s="371" t="n">
        <v>7022.0</v>
      </c>
      <c r="G21" s="9">
        <f si="1" t="shared"/>
        <v>4.8845656679448575E-2</v>
      </c>
    </row>
    <row r="22" spans="1:7" x14ac:dyDescent="0.25">
      <c r="A22">
        <v>11</v>
      </c>
      <c r="B22" s="6" t="n">
        <v>5954.9469560686</v>
      </c>
      <c r="C22" s="9">
        <f si="0" t="shared"/>
        <v>3.209403000435259E-2</v>
      </c>
      <c r="E22" s="371">
        <v>11</v>
      </c>
      <c r="F22" s="371" t="n">
        <v>5805.0</v>
      </c>
      <c r="G22" s="9">
        <f si="1" t="shared"/>
        <v>4.0541028474042617E-2</v>
      </c>
    </row>
    <row r="23" spans="1:7" x14ac:dyDescent="0.25">
      <c r="A23">
        <v>12</v>
      </c>
      <c r="B23" s="6" t="n">
        <v>3333.701942628</v>
      </c>
      <c r="C23" s="9">
        <f si="0" t="shared"/>
        <v>1.7966898943279019E-2</v>
      </c>
      <c r="E23" s="371">
        <v>12</v>
      </c>
      <c r="F23" s="371" t="n">
        <v>5154.0</v>
      </c>
      <c r="G23" s="9">
        <f si="1" t="shared"/>
        <v>3.5254952085905962E-2</v>
      </c>
    </row>
    <row r="24" spans="1:7" x14ac:dyDescent="0.25">
      <c r="A24">
        <v>13</v>
      </c>
      <c r="B24" s="6" t="n">
        <v>2313.0008537875</v>
      </c>
      <c r="C24" s="9">
        <f si="0" t="shared"/>
        <v>1.2465857269458779E-2</v>
      </c>
      <c r="E24" s="371">
        <v>13</v>
      </c>
      <c r="F24" s="371" t="n">
        <v>3838.0</v>
      </c>
      <c r="G24" s="9">
        <f si="1" t="shared"/>
        <v>2.7044202286300251E-2</v>
      </c>
    </row>
    <row r="25" spans="1:7" x14ac:dyDescent="0.25">
      <c r="A25">
        <v>14</v>
      </c>
      <c r="B25" s="6" t="n">
        <v>4610.505112596</v>
      </c>
      <c r="C25" s="9">
        <f si="0" t="shared"/>
        <v>2.4848196047839395E-2</v>
      </c>
      <c r="E25" s="371">
        <v>14</v>
      </c>
      <c r="F25" s="371" t="n">
        <v>3061.0</v>
      </c>
      <c r="G25" s="9">
        <f si="1" t="shared"/>
        <v>2.1570369086563113E-2</v>
      </c>
    </row>
    <row r="26" spans="1:7" x14ac:dyDescent="0.25">
      <c r="A26">
        <v>15</v>
      </c>
      <c r="B26" s="6" t="n">
        <v>2316.43582566</v>
      </c>
      <c r="C26" s="9">
        <f si="0" t="shared"/>
        <v>1.2484369960025698E-2</v>
      </c>
      <c r="E26" s="371">
        <v>15</v>
      </c>
      <c r="F26" s="371" t="n">
        <v>2725.0</v>
      </c>
      <c r="G26" s="9">
        <f si="1" t="shared"/>
        <v>1.9663915307235137E-2</v>
      </c>
    </row>
    <row r="27" spans="1:7" x14ac:dyDescent="0.25">
      <c r="A27">
        <v>16</v>
      </c>
      <c r="B27" s="6" t="n">
        <v>2333.7383878250002</v>
      </c>
      <c r="C27" s="9">
        <f si="0" t="shared"/>
        <v>1.2577621663755785E-2</v>
      </c>
      <c r="E27" s="371">
        <v>16</v>
      </c>
      <c r="F27" s="371" t="n">
        <v>2483.0</v>
      </c>
      <c r="G27" s="9">
        <f si="1" t="shared"/>
        <v>1.7829675686215039E-2</v>
      </c>
    </row>
    <row r="28" spans="1:7" x14ac:dyDescent="0.25">
      <c r="A28">
        <v>17</v>
      </c>
      <c r="B28" s="6" t="n">
        <v>3229.2653198870003</v>
      </c>
      <c r="C28" s="9">
        <f si="0" t="shared"/>
        <v>1.740404051170439E-2</v>
      </c>
      <c r="E28" s="371">
        <v>17</v>
      </c>
      <c r="F28" s="371" t="n">
        <v>2097.0</v>
      </c>
      <c r="G28" s="9">
        <f si="1" t="shared"/>
        <v>1.5114423333838832E-2</v>
      </c>
    </row>
    <row r="29" spans="1:7" x14ac:dyDescent="0.25">
      <c r="A29">
        <v>18</v>
      </c>
      <c r="B29" s="6" t="n">
        <v>2122.9750474377</v>
      </c>
      <c r="C29" s="9">
        <f si="0" t="shared"/>
        <v>1.1441718183823989E-2</v>
      </c>
      <c r="E29" s="371">
        <v>18</v>
      </c>
      <c r="F29" s="371" t="n">
        <v>2493.0</v>
      </c>
      <c r="G29" s="9">
        <f si="1" t="shared"/>
        <v>1.7901889844522918E-2</v>
      </c>
    </row>
    <row r="30" spans="1:7" x14ac:dyDescent="0.25">
      <c r="A30">
        <v>19</v>
      </c>
      <c r="B30" s="6" t="n">
        <v>4025.071606212</v>
      </c>
      <c r="C30" s="9">
        <f si="0" t="shared"/>
        <v>2.1693017562111002E-2</v>
      </c>
      <c r="E30" s="371">
        <v>19</v>
      </c>
      <c r="F30" s="371" t="n">
        <v>2102.0</v>
      </c>
      <c r="G30" s="9">
        <f si="1" t="shared"/>
        <v>1.5020544928038591E-2</v>
      </c>
    </row>
    <row r="31" spans="1:7" x14ac:dyDescent="0.25">
      <c r="A31">
        <v>20</v>
      </c>
      <c r="B31" s="6" t="n">
        <v>2389.414101482</v>
      </c>
      <c r="C31" s="9">
        <f si="0" t="shared"/>
        <v>1.2877684458236354E-2</v>
      </c>
      <c r="E31" s="371">
        <v>20</v>
      </c>
      <c r="F31" s="371" t="n">
        <v>1987.0</v>
      </c>
      <c r="G31" s="9">
        <f si="1" t="shared"/>
        <v>1.4717245463145505E-2</v>
      </c>
    </row>
    <row r="32" spans="1:7" x14ac:dyDescent="0.25">
      <c r="A32">
        <v>21</v>
      </c>
      <c r="B32" s="6" t="n">
        <v>1815.4745317674</v>
      </c>
      <c r="C32" s="9">
        <f si="0" t="shared"/>
        <v>9.7844522418966268E-3</v>
      </c>
      <c r="E32" s="371">
        <v>21</v>
      </c>
      <c r="F32" s="371" t="n">
        <v>1878.0</v>
      </c>
      <c r="G32" s="9">
        <f si="1" t="shared"/>
        <v>1.4262296265805875E-2</v>
      </c>
    </row>
    <row r="33" spans="1:7" x14ac:dyDescent="0.25">
      <c r="A33">
        <v>22</v>
      </c>
      <c r="B33" s="6" t="n">
        <v>6727.0156542330005</v>
      </c>
      <c r="C33" s="9">
        <f si="0" t="shared"/>
        <v>3.6255073947667318E-2</v>
      </c>
      <c r="E33" s="371">
        <v>22</v>
      </c>
      <c r="F33" s="371" t="n">
        <v>1778.0</v>
      </c>
      <c r="G33" s="9">
        <f si="1" t="shared"/>
        <v>1.3691804415173639E-2</v>
      </c>
    </row>
    <row r="34" spans="1:7" x14ac:dyDescent="0.25">
      <c r="A34">
        <v>23</v>
      </c>
      <c r="B34" s="6" t="n">
        <v>852.522173685</v>
      </c>
      <c r="C34" s="9">
        <f si="0" t="shared"/>
        <v>4.5946458337028867E-3</v>
      </c>
      <c r="E34" s="371">
        <v>23</v>
      </c>
      <c r="F34" s="371" t="n">
        <v>1700.0</v>
      </c>
      <c r="G34" s="9">
        <f si="1" t="shared"/>
        <v>1.2731356109678864E-2</v>
      </c>
    </row>
    <row r="35" spans="1:7" x14ac:dyDescent="0.25">
      <c r="A35">
        <v>24</v>
      </c>
      <c r="B35" s="6" t="n">
        <v>3489.720754053</v>
      </c>
      <c r="C35" s="9">
        <f si="0" t="shared"/>
        <v>1.8807758224152132E-2</v>
      </c>
      <c r="E35" s="371">
        <v>24</v>
      </c>
      <c r="F35" s="371" t="n">
        <v>1535.0</v>
      </c>
      <c r="G35" s="9">
        <f si="1" t="shared"/>
        <v>1.1135423211074764E-2</v>
      </c>
    </row>
    <row r="36" spans="1:7" x14ac:dyDescent="0.25">
      <c r="A36">
        <v>25</v>
      </c>
      <c r="B36" s="6" t="n">
        <v>1306.877377669</v>
      </c>
      <c r="C36" s="9">
        <f si="0" t="shared"/>
        <v>7.0433812560118693E-3</v>
      </c>
      <c r="E36" s="371">
        <v>25</v>
      </c>
      <c r="F36" s="371" t="n">
        <v>1388.0</v>
      </c>
      <c r="G36" s="9">
        <f si="1" t="shared"/>
        <v>1.1207637369382642E-2</v>
      </c>
    </row>
    <row r="37" spans="1:7" x14ac:dyDescent="0.25">
      <c r="A37">
        <v>26</v>
      </c>
      <c r="B37" s="6" t="n">
        <v>8990.676427386</v>
      </c>
      <c r="C37" s="9">
        <f si="0" t="shared"/>
        <v>4.8455014150192849E-2</v>
      </c>
      <c r="E37" s="371">
        <v>26</v>
      </c>
      <c r="F37" s="371" t="n">
        <v>1364.0</v>
      </c>
      <c r="G37" s="9">
        <f si="1" t="shared"/>
        <v>1.0420503043826773E-2</v>
      </c>
    </row>
    <row r="38" spans="1:7" x14ac:dyDescent="0.25">
      <c r="A38">
        <v>27</v>
      </c>
      <c r="B38" s="6" t="n">
        <v>0.0</v>
      </c>
      <c r="C38" s="9">
        <f si="0" t="shared"/>
        <v>0</v>
      </c>
      <c r="E38" s="371">
        <v>27</v>
      </c>
      <c r="F38" s="371" t="n">
        <v>1208.0</v>
      </c>
      <c r="G38" s="9">
        <f si="1" t="shared"/>
        <v>9.7344685399019335E-3</v>
      </c>
    </row>
    <row r="39" spans="1:7" x14ac:dyDescent="0.25">
      <c r="A39">
        <v>28</v>
      </c>
      <c r="B39" s="6" t="n">
        <v>0.0</v>
      </c>
      <c r="C39" s="9">
        <f si="0" t="shared"/>
        <v>0</v>
      </c>
      <c r="E39" s="371">
        <v>28</v>
      </c>
      <c r="F39" s="371" t="n">
        <v>1176.0</v>
      </c>
      <c r="G39" s="9">
        <f si="1" t="shared"/>
        <v>8.8462343927150355E-3</v>
      </c>
    </row>
    <row r="40" spans="1:7" x14ac:dyDescent="0.25">
      <c r="A40">
        <v>29</v>
      </c>
      <c r="B40" s="6" t="n">
        <v>1175.161806947</v>
      </c>
      <c r="C40" s="9">
        <f si="0" t="shared"/>
        <v>6.3335036517312253E-3</v>
      </c>
      <c r="E40" s="371">
        <v>29</v>
      </c>
      <c r="F40" s="371" t="n">
        <v>1107.0</v>
      </c>
      <c r="G40" s="9">
        <f si="1" t="shared"/>
        <v>8.7018060760992808E-3</v>
      </c>
    </row>
    <row r="41" spans="1:7" x14ac:dyDescent="0.25">
      <c r="A41">
        <v>30</v>
      </c>
      <c r="B41" s="6" t="n">
        <v>1090.9683622523</v>
      </c>
      <c r="C41" s="9">
        <f si="0" t="shared"/>
        <v>5.879745295840612E-3</v>
      </c>
      <c r="E41" s="371">
        <v>30</v>
      </c>
      <c r="F41" s="371" t="n">
        <v>1029.0</v>
      </c>
      <c r="G41" s="9">
        <f si="1" t="shared"/>
        <v>8.2757425420828014E-3</v>
      </c>
    </row>
    <row r="42" spans="1:7" x14ac:dyDescent="0.25">
      <c r="A42">
        <v>31</v>
      </c>
      <c r="B42" s="6" t="n">
        <v>2591.576724362</v>
      </c>
      <c r="C42" s="9">
        <f si="0" t="shared"/>
        <v>1.3967234597361822E-2</v>
      </c>
      <c r="E42" s="371">
        <v>31</v>
      </c>
      <c r="F42" s="371" t="n">
        <v>907.0</v>
      </c>
      <c r="G42" s="9">
        <f si="1" t="shared"/>
        <v>7.4452797215422053E-3</v>
      </c>
    </row>
    <row r="43" spans="1:7" x14ac:dyDescent="0.25">
      <c r="A43">
        <v>32</v>
      </c>
      <c r="B43" s="6" t="n">
        <v>497.46684811800003</v>
      </c>
      <c r="C43" s="9">
        <f si="0" t="shared"/>
        <v>2.6810844945309507E-3</v>
      </c>
      <c r="E43" s="371">
        <v>32</v>
      </c>
      <c r="F43" s="371" t="n">
        <v>896.0</v>
      </c>
      <c r="G43" s="9">
        <f si="1" t="shared"/>
        <v>6.7086953068018519E-3</v>
      </c>
    </row>
    <row r="44" spans="1:7" x14ac:dyDescent="0.25">
      <c r="A44">
        <v>33</v>
      </c>
      <c r="B44" s="6" t="n">
        <v>3090.989389621</v>
      </c>
      <c r="C44" s="9">
        <f si="0" t="shared"/>
        <v>1.6658806022199112E-2</v>
      </c>
      <c r="E44" s="371">
        <v>33</v>
      </c>
      <c r="F44" s="371" t="n">
        <v>760.0</v>
      </c>
      <c r="G44" s="9">
        <f si="1" t="shared"/>
        <v>6.1887533669851315E-3</v>
      </c>
    </row>
    <row r="45" spans="1:7" x14ac:dyDescent="0.25">
      <c r="A45">
        <v>34</v>
      </c>
      <c r="B45" s="6" t="n">
        <v>479.565616742</v>
      </c>
      <c r="C45" s="9">
        <f si="0" t="shared"/>
        <v>2.5846062788332075E-3</v>
      </c>
      <c r="E45" s="371">
        <v>34</v>
      </c>
      <c r="F45" s="371" t="n">
        <v>771.0</v>
      </c>
      <c r="G45" s="9">
        <f si="1" t="shared"/>
        <v>6.0732107136925268E-3</v>
      </c>
    </row>
    <row r="46" spans="1:7" x14ac:dyDescent="0.25">
      <c r="A46">
        <v>35</v>
      </c>
      <c r="B46" s="6" t="n">
        <v>262.266729046</v>
      </c>
      <c r="C46" s="9">
        <f si="0" t="shared"/>
        <v>1.4134796385663676E-3</v>
      </c>
      <c r="E46" s="371">
        <v>35</v>
      </c>
      <c r="F46" s="371" t="n">
        <v>640.0</v>
      </c>
      <c r="G46" s="9">
        <f si="1" t="shared"/>
        <v>5.9865537237230732E-3</v>
      </c>
    </row>
    <row r="47" spans="1:7" x14ac:dyDescent="0.25">
      <c r="A47">
        <v>36</v>
      </c>
      <c r="B47" s="6" t="n">
        <v>3215.8599660269997</v>
      </c>
      <c r="C47" s="9">
        <f si="0" t="shared"/>
        <v>1.7331792709637341E-2</v>
      </c>
      <c r="E47" s="371">
        <v>36</v>
      </c>
      <c r="F47" s="371" t="n">
        <v>598.0</v>
      </c>
      <c r="G47" s="9">
        <f si="1" t="shared"/>
        <v>4.8527914382893913E-3</v>
      </c>
    </row>
    <row r="48" spans="1:7" x14ac:dyDescent="0.25">
      <c r="A48">
        <v>37</v>
      </c>
      <c r="B48" s="6" t="n">
        <v>419.47484465</v>
      </c>
      <c r="C48" s="9">
        <f si="0" t="shared"/>
        <v>2.2607486430334467E-3</v>
      </c>
      <c r="E48" s="371">
        <v>37</v>
      </c>
      <c r="F48" s="371" t="n">
        <v>539.0</v>
      </c>
      <c r="G48" s="9">
        <f si="1" t="shared"/>
        <v>4.3978422409497609E-3</v>
      </c>
    </row>
    <row r="49" spans="1:7" x14ac:dyDescent="0.25">
      <c r="A49">
        <v>38</v>
      </c>
      <c r="B49" s="6" t="n">
        <v>1113.06873554</v>
      </c>
      <c r="C49" s="9">
        <f si="0" t="shared"/>
        <v>5.9988546764338357E-3</v>
      </c>
      <c r="E49" s="371">
        <v>38</v>
      </c>
      <c r="F49" s="371" t="n">
        <v>474.0</v>
      </c>
      <c r="G49" s="9">
        <f si="1" t="shared"/>
        <v>4.1956425976877026E-3</v>
      </c>
    </row>
    <row r="50" spans="1:7" x14ac:dyDescent="0.25">
      <c r="A50">
        <v>39</v>
      </c>
      <c r="B50" s="6" t="n">
        <v>290.9780584714</v>
      </c>
      <c r="C50" s="9">
        <f si="0" t="shared"/>
        <v>1.5682185933952749E-3</v>
      </c>
      <c r="E50" s="371">
        <v>39</v>
      </c>
      <c r="F50" s="371" t="n">
        <v>441.0</v>
      </c>
      <c r="G50" s="9">
        <f si="1" t="shared"/>
        <v>3.3001870346700173E-3</v>
      </c>
    </row>
    <row r="51" spans="1:7" x14ac:dyDescent="0.25">
      <c r="A51">
        <v>40</v>
      </c>
      <c r="B51" s="6" t="n">
        <v>828.5122630469999</v>
      </c>
      <c r="C51" s="9">
        <f si="0" t="shared"/>
        <v>4.4652450517811406E-3</v>
      </c>
      <c r="E51" s="371">
        <v>40</v>
      </c>
      <c r="F51" s="371" t="n">
        <v>372.0</v>
      </c>
      <c r="G51" s="9">
        <f si="1" t="shared"/>
        <v>3.3435155296547441E-3</v>
      </c>
    </row>
    <row r="52" spans="1:7" x14ac:dyDescent="0.25">
      <c r="A52">
        <v>41</v>
      </c>
      <c r="B52" s="6" t="n">
        <v>5.1375</v>
      </c>
      <c r="C52" s="9">
        <f si="0" t="shared"/>
        <v>2.7688421133513451E-5</v>
      </c>
      <c r="E52" s="371">
        <v>41</v>
      </c>
      <c r="F52" s="371" t="n">
        <v>400.0</v>
      </c>
      <c r="G52" s="9">
        <f si="1" t="shared"/>
        <v>3.0691017280848084E-3</v>
      </c>
    </row>
    <row r="53" spans="1:7" x14ac:dyDescent="0.25">
      <c r="A53">
        <v>42</v>
      </c>
      <c r="B53" s="6" t="n">
        <v>86.794586259</v>
      </c>
      <c r="C53" s="9">
        <f si="0" t="shared"/>
        <v>4.6777713994126556E-4</v>
      </c>
      <c r="E53" s="371">
        <v>42</v>
      </c>
      <c r="F53" s="371" t="n">
        <v>295.0</v>
      </c>
      <c r="G53" s="9">
        <f si="1" t="shared"/>
        <v>3.0185518172692939E-3</v>
      </c>
    </row>
    <row r="54" spans="1:7" x14ac:dyDescent="0.25">
      <c r="A54">
        <v>43</v>
      </c>
      <c r="B54" s="6" t="n">
        <v>212.839593796</v>
      </c>
      <c r="C54" s="9">
        <f si="0" t="shared"/>
        <v>1.1470933930724254E-3</v>
      </c>
      <c r="E54" s="371">
        <v>43</v>
      </c>
      <c r="F54" s="371" t="n">
        <v>261.0</v>
      </c>
      <c r="G54" s="9">
        <f si="1" t="shared"/>
        <v>2.5202741249449366E-3</v>
      </c>
    </row>
    <row r="55" spans="1:7" x14ac:dyDescent="0.25">
      <c r="A55">
        <v>44</v>
      </c>
      <c r="B55" s="6" t="n">
        <v>1525.131380749</v>
      </c>
      <c r="C55" s="9">
        <f si="0" t="shared"/>
        <v>8.219655465521199E-3</v>
      </c>
      <c r="E55" s="371">
        <v>44</v>
      </c>
      <c r="F55" s="371" t="n">
        <v>278.0</v>
      </c>
      <c r="G55" s="9">
        <f si="1" t="shared"/>
        <v>2.3614029766676056E-3</v>
      </c>
    </row>
    <row r="56" spans="1:7" x14ac:dyDescent="0.25">
      <c r="A56">
        <v>45</v>
      </c>
      <c r="B56" s="6" t="n">
        <v>145.521851989</v>
      </c>
      <c r="C56" s="9">
        <f si="0" t="shared"/>
        <v>7.8428619406330788E-4</v>
      </c>
      <c r="E56" s="371">
        <v>45</v>
      </c>
      <c r="F56" s="371" t="n">
        <v>234.0</v>
      </c>
      <c r="G56" s="9">
        <f si="1" t="shared"/>
        <v>1.8342396210200972E-3</v>
      </c>
    </row>
    <row r="57" spans="1:7" x14ac:dyDescent="0.25">
      <c r="A57">
        <v>46</v>
      </c>
      <c r="B57" s="6" t="n">
        <v>423.619718723</v>
      </c>
      <c r="C57" s="9">
        <f si="0" t="shared"/>
        <v>2.2830873328395012E-3</v>
      </c>
      <c r="E57" s="371">
        <v>46</v>
      </c>
      <c r="F57" s="371" t="n">
        <v>209.0</v>
      </c>
      <c r="G57" s="9">
        <f si="1" t="shared"/>
        <v>1.6970327202351294E-3</v>
      </c>
    </row>
    <row r="58" spans="1:7" x14ac:dyDescent="0.25">
      <c r="A58">
        <v>47</v>
      </c>
      <c r="B58" s="6" t="n">
        <v>514.0966729920001</v>
      </c>
      <c r="C58" s="9">
        <f si="0" t="shared"/>
        <v>2.7707104983242139E-3</v>
      </c>
      <c r="E58" s="371">
        <v>47</v>
      </c>
      <c r="F58" s="371" t="n">
        <v>146.0</v>
      </c>
      <c r="G58" s="9">
        <f si="1" t="shared"/>
        <v>1.7042541360659171E-3</v>
      </c>
    </row>
    <row r="59" spans="1:7" x14ac:dyDescent="0.25">
      <c r="A59">
        <v>48</v>
      </c>
      <c r="B59" s="6" t="n">
        <v>250.75810084469998</v>
      </c>
      <c r="C59" s="9">
        <f si="0" t="shared"/>
        <v>1.3514541895529126E-3</v>
      </c>
      <c r="E59" s="371">
        <v>48</v>
      </c>
      <c r="F59" s="371" t="n">
        <v>138.0</v>
      </c>
      <c r="G59" s="9">
        <f si="1" t="shared"/>
        <v>1.4298403344959812E-3</v>
      </c>
    </row>
    <row r="60" spans="1:7" x14ac:dyDescent="0.25">
      <c r="A60">
        <v>49</v>
      </c>
      <c r="B60" s="6" t="n">
        <v>224.25520624400002</v>
      </c>
      <c r="C60" s="9">
        <f si="0" t="shared"/>
        <v>1.2086175361297885E-3</v>
      </c>
      <c r="E60" s="371">
        <v>49</v>
      </c>
      <c r="F60" s="371" t="n">
        <v>144.0</v>
      </c>
      <c r="G60" s="9">
        <f si="1" t="shared"/>
        <v>1.3937332553420423E-3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152.0</v>
      </c>
      <c r="G61" s="9">
        <f si="1" t="shared"/>
        <v>9.532268896639875E-4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109.0</v>
      </c>
      <c r="G62" s="9">
        <f si="1" t="shared"/>
        <v>9.3156264217162418E-4</v>
      </c>
    </row>
    <row r="63" spans="1:7" x14ac:dyDescent="0.25">
      <c r="A63">
        <v>52</v>
      </c>
      <c r="B63" s="6" t="n">
        <v>363.531135753</v>
      </c>
      <c r="C63" s="9">
        <f si="0" t="shared"/>
        <v>1.959241495255185E-3</v>
      </c>
      <c r="E63" s="371">
        <v>52</v>
      </c>
      <c r="F63" s="371" t="n">
        <v>104.0</v>
      </c>
      <c r="G63" s="9">
        <f si="1" t="shared"/>
        <v>9.3878405800241192E-4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92.0</v>
      </c>
      <c r="G64" s="9">
        <f si="1" t="shared"/>
        <v>7.7269149389429291E-4</v>
      </c>
    </row>
    <row r="65" spans="1:7" x14ac:dyDescent="0.25">
      <c r="A65">
        <v>54</v>
      </c>
      <c r="B65" s="6" t="n">
        <v>145.521851989</v>
      </c>
      <c r="C65" s="9">
        <f si="0" t="shared"/>
        <v>7.8428619406330788E-4</v>
      </c>
      <c r="E65" s="371">
        <v>54</v>
      </c>
      <c r="F65" s="371" t="n">
        <v>86.0</v>
      </c>
      <c r="G65" s="9">
        <f si="1" t="shared"/>
        <v>8.6656989969453413E-4</v>
      </c>
    </row>
    <row r="66" spans="1:7" x14ac:dyDescent="0.25">
      <c r="A66">
        <v>55</v>
      </c>
      <c r="B66" s="6" t="n">
        <v>232.100097862</v>
      </c>
      <c r="C66" s="9">
        <f si="0" t="shared"/>
        <v>1.2508973731839886E-3</v>
      </c>
      <c r="E66" s="371">
        <v>55</v>
      </c>
      <c r="F66" s="371" t="n">
        <v>87.0</v>
      </c>
      <c r="G66" s="9">
        <f si="1" t="shared"/>
        <v>7.8713432555586849E-4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63.0</v>
      </c>
      <c r="G67" s="9">
        <f si="1" t="shared"/>
        <v>6.2826317727853723E-4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60.0</v>
      </c>
      <c r="G68" s="9">
        <f si="1" t="shared"/>
        <v>6.2826317727853723E-4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59.0</v>
      </c>
      <c r="G69" s="9">
        <f si="1" t="shared"/>
        <v>4.8383486066278154E-4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58.0</v>
      </c>
      <c r="G70" s="9">
        <f si="1" t="shared"/>
        <v>4.6217061317041817E-4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62.0</v>
      </c>
      <c r="G71" s="9">
        <f si="1" t="shared"/>
        <v>5.8493468229381049E-4</v>
      </c>
    </row>
    <row r="72" spans="1:7" x14ac:dyDescent="0.25">
      <c r="A72">
        <v>61</v>
      </c>
      <c r="B72" s="6" t="n">
        <v>985.236238173</v>
      </c>
      <c r="C72" s="9">
        <f si="0" t="shared"/>
        <v>5.3099047938749552E-3</v>
      </c>
      <c r="E72" s="371">
        <v>61</v>
      </c>
      <c r="F72" s="371" t="n">
        <v>79.0</v>
      </c>
      <c r="G72" s="9">
        <f si="1" t="shared"/>
        <v>6.3548459310932496E-4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52.0</v>
      </c>
      <c r="G73" s="9">
        <f si="1" t="shared"/>
        <v>4.5494919733963043E-4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54.0</v>
      </c>
      <c r="G74" s="9">
        <f si="1" t="shared"/>
        <v>4.7661344483199375E-4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69.0</v>
      </c>
      <c r="G75" s="9">
        <f si="1" t="shared"/>
        <v>3.9717787069332811E-4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74.0</v>
      </c>
      <c r="G76" s="9">
        <f si="1" t="shared"/>
        <v>4.6939202900120596E-4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60.0</v>
      </c>
      <c r="G77" s="9">
        <f ref="G77:G102" si="3" t="shared">F77/F$102</f>
        <v>3.8273503903175259E-4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54.0</v>
      </c>
      <c r="G78" s="9">
        <f si="3" t="shared"/>
        <v>4.2606353401647927E-4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41.0</v>
      </c>
      <c r="G79" s="9">
        <f si="3" t="shared"/>
        <v>3.6107079153938922E-4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38.0</v>
      </c>
      <c r="G80" s="9">
        <f si="3" t="shared"/>
        <v>4.1162070235490369E-4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58.0</v>
      </c>
      <c r="G81" s="9">
        <f si="3" t="shared"/>
        <v>4.1884211818569148E-4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41.0</v>
      </c>
      <c r="G82" s="9">
        <f si="3" t="shared"/>
        <v>3.6829220737017701E-4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55.0</v>
      </c>
      <c r="G83" s="9">
        <f si="3" t="shared"/>
        <v>4.5494919733963043E-4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32.0</v>
      </c>
      <c r="G84" s="9">
        <f si="3" t="shared"/>
        <v>3.6107079153938922E-4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37.0</v>
      </c>
      <c r="G85" s="9">
        <f si="3" t="shared"/>
        <v>3.5384937570860143E-4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42.0</v>
      </c>
      <c r="G86" s="9">
        <f si="3" t="shared"/>
        <v>3.755136232009648E-4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37.0</v>
      </c>
      <c r="G87" s="9">
        <f si="3" t="shared"/>
        <v>4.1884211818569148E-4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40.0</v>
      </c>
      <c r="G88" s="9">
        <f si="3" t="shared"/>
        <v>3.1774229655466248E-4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36.0</v>
      </c>
      <c r="G89" s="9">
        <f si="3" t="shared"/>
        <v>2.0942105909284574E-4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42.0</v>
      </c>
      <c r="G90" s="9">
        <f si="3" t="shared"/>
        <v>1.877568116004824E-4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24.0</v>
      </c>
      <c r="G91" s="9">
        <f si="3" t="shared"/>
        <v>1.1554265329260454E-4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41.0</v>
      </c>
      <c r="G92" s="9">
        <f si="3" t="shared"/>
        <v>2.6719238573914801E-4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34.0</v>
      </c>
      <c r="G93" s="9">
        <f si="3" t="shared"/>
        <v>2.4552813824678469E-4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36.0</v>
      </c>
      <c r="G94" s="9">
        <f si="3" t="shared"/>
        <v>2.5274955407757243E-4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31.0</v>
      </c>
      <c r="G95" s="9">
        <f si="3" t="shared"/>
        <v>2.0219964326205795E-4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60.0</v>
      </c>
      <c r="G96" s="9">
        <f si="3" t="shared"/>
        <v>2.8885663323151138E-4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36.0</v>
      </c>
      <c r="G97" s="9">
        <f si="3" t="shared"/>
        <v>2.744138015699358E-4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22.0</v>
      </c>
      <c r="G98" s="9">
        <f si="3" t="shared"/>
        <v>1.877568116004824E-4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24.0</v>
      </c>
      <c r="G99" s="9">
        <f si="3" t="shared"/>
        <v>1.8053539576969461E-4</v>
      </c>
    </row>
    <row r="100" spans="1:7" x14ac:dyDescent="0.25">
      <c r="A100">
        <v>89</v>
      </c>
      <c r="B100" s="6" t="n">
        <v>357.255567611</v>
      </c>
      <c r="C100" s="9">
        <f si="2" t="shared"/>
        <v>1.9254194858016071E-3</v>
      </c>
      <c r="E100" s="371">
        <v>89</v>
      </c>
      <c r="F100" s="371" t="n">
        <v>26.0</v>
      </c>
      <c r="G100" s="9">
        <f si="3" t="shared"/>
        <v>1.7331397993890682E-4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1152.0</v>
      </c>
      <c r="G101" s="9">
        <f si="3" t="shared"/>
        <v>8.5718205911451007E-3</v>
      </c>
    </row>
    <row r="102" spans="1:7" x14ac:dyDescent="0.25">
      <c r="B102" s="6">
        <f>SUM(B11:B101)</f>
        <v>185546.87445799081</v>
      </c>
      <c r="C102" s="9">
        <f si="2" t="shared"/>
        <v>1</v>
      </c>
      <c r="F102" s="6">
        <f>SUM(F11:F101)</f>
        <v>138477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L102"/>
  <sheetViews>
    <sheetView workbookViewId="0">
      <selection activeCell="U14" sqref="U14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34726.2377248585</v>
      </c>
      <c r="C11" s="9">
        <f>B11/B$102</f>
        <v>0.20059219556467947</v>
      </c>
      <c r="E11" s="371">
        <v>0</v>
      </c>
      <c r="F11" s="371" t="n">
        <v>32067.0</v>
      </c>
      <c r="G11" s="9">
        <f>F11/F$102</f>
        <v>0.15728612258501065</v>
      </c>
      <c r="K11" s="6" t="n">
        <v>5.088760181863778</v>
      </c>
      <c r="L11" s="6" t="n">
        <v>5.149315805944724</v>
      </c>
    </row>
    <row r="12" spans="1:12" x14ac:dyDescent="0.25">
      <c r="A12">
        <v>1</v>
      </c>
      <c r="B12" s="6" t="n">
        <v>30827.2042983888</v>
      </c>
      <c r="C12" s="9">
        <f>B12/B$102</f>
        <v>0.17806986873525268</v>
      </c>
      <c r="E12" s="371">
        <v>1</v>
      </c>
      <c r="F12" s="371" t="n">
        <v>31898.0</v>
      </c>
      <c r="G12" s="9">
        <f>F12/F$102</f>
        <v>0.15610955694476705</v>
      </c>
      <c r="K12" s="6"/>
      <c r="L12" s="371"/>
    </row>
    <row r="13" spans="1:12" x14ac:dyDescent="0.25">
      <c r="A13">
        <v>2</v>
      </c>
      <c r="B13" s="6" t="n">
        <v>14851.6721490482</v>
      </c>
      <c r="C13" s="9">
        <f ref="C13:C76" si="0" t="shared">B13/B$102</f>
        <v>8.5789009099934643E-2</v>
      </c>
      <c r="E13" s="371">
        <v>2</v>
      </c>
      <c r="F13" s="371" t="n">
        <v>25174.0</v>
      </c>
      <c r="G13" s="9">
        <f ref="G13:G76" si="1" t="shared">F13/F$102</f>
        <v>0.12297383277618995</v>
      </c>
    </row>
    <row r="14" spans="1:12" x14ac:dyDescent="0.25">
      <c r="A14">
        <v>3</v>
      </c>
      <c r="B14" s="6" t="n">
        <v>14897.6441871475</v>
      </c>
      <c r="C14" s="9">
        <f si="0" t="shared"/>
        <v>8.6054561392987131E-2</v>
      </c>
      <c r="E14" s="371">
        <v>3</v>
      </c>
      <c r="F14" s="371" t="n">
        <v>21376.0</v>
      </c>
      <c r="G14" s="9">
        <f si="1" t="shared"/>
        <v>0.10689578557217448</v>
      </c>
    </row>
    <row r="15" spans="1:12" x14ac:dyDescent="0.25">
      <c r="A15">
        <v>4</v>
      </c>
      <c r="B15" s="6" t="n">
        <v>19825.6999264528</v>
      </c>
      <c r="C15" s="9">
        <f si="0" t="shared"/>
        <v>0.1145209195526198</v>
      </c>
      <c r="E15" s="371">
        <v>4</v>
      </c>
      <c r="F15" s="371" t="n">
        <v>18443.0</v>
      </c>
      <c r="G15" s="9">
        <f si="1" t="shared"/>
        <v>9.2989082682771645E-2</v>
      </c>
    </row>
    <row r="16" spans="1:12" x14ac:dyDescent="0.25">
      <c r="A16">
        <v>5</v>
      </c>
      <c r="B16" s="6" t="n">
        <v>9453.9540652196</v>
      </c>
      <c r="C16" s="9">
        <f si="0" t="shared"/>
        <v>5.4609699378764288E-2</v>
      </c>
      <c r="E16" s="371">
        <v>5</v>
      </c>
      <c r="F16" s="371" t="n">
        <v>13461.0</v>
      </c>
      <c r="G16" s="9">
        <f si="1" t="shared"/>
        <v>6.7887332478261314E-2</v>
      </c>
    </row>
    <row r="17" spans="1:7" x14ac:dyDescent="0.25">
      <c r="A17">
        <v>6</v>
      </c>
      <c r="B17" s="6" t="n">
        <v>7234.9464613845</v>
      </c>
      <c r="C17" s="9">
        <f si="0" t="shared"/>
        <v>4.1791852229449623E-2</v>
      </c>
      <c r="E17" s="371">
        <v>6</v>
      </c>
      <c r="F17" s="371" t="n">
        <v>9461.0</v>
      </c>
      <c r="G17" s="9">
        <f si="1" t="shared"/>
        <v>4.9168324631123951E-2</v>
      </c>
    </row>
    <row r="18" spans="1:7" x14ac:dyDescent="0.25">
      <c r="A18">
        <v>7</v>
      </c>
      <c r="B18" s="6" t="n">
        <v>3886.535549684</v>
      </c>
      <c r="C18" s="9">
        <f si="0" t="shared"/>
        <v>2.245013425376672E-2</v>
      </c>
      <c r="E18" s="371">
        <v>7</v>
      </c>
      <c r="F18" s="371" t="n">
        <v>7096.0</v>
      </c>
      <c r="G18" s="9">
        <f si="1" t="shared"/>
        <v>3.6781562761949965E-2</v>
      </c>
    </row>
    <row r="19" spans="1:7" x14ac:dyDescent="0.25">
      <c r="A19">
        <v>8</v>
      </c>
      <c r="B19" s="6" t="n">
        <v>3557.1853688799997</v>
      </c>
      <c r="C19" s="9">
        <f si="0" t="shared"/>
        <v>2.0547680080627014E-2</v>
      </c>
      <c r="E19" s="371">
        <v>8</v>
      </c>
      <c r="F19" s="371" t="n">
        <v>5971.0</v>
      </c>
      <c r="G19" s="9">
        <f si="1" t="shared"/>
        <v>3.16612298898169E-2</v>
      </c>
    </row>
    <row r="20" spans="1:7" x14ac:dyDescent="0.25">
      <c r="A20">
        <v>9</v>
      </c>
      <c r="B20" s="6" t="n">
        <v>3587.923743215</v>
      </c>
      <c r="C20" s="9">
        <f si="0" t="shared"/>
        <v>2.0725236833097578E-2</v>
      </c>
      <c r="E20" s="371">
        <v>9</v>
      </c>
      <c r="F20" s="371" t="n">
        <v>4295.0</v>
      </c>
      <c r="G20" s="9">
        <f si="1" t="shared"/>
        <v>2.201137178464304E-2</v>
      </c>
    </row>
    <row r="21" spans="1:7" x14ac:dyDescent="0.25">
      <c r="A21">
        <v>10</v>
      </c>
      <c r="B21" s="6" t="n">
        <v>1877.9888918949998</v>
      </c>
      <c r="C21" s="9">
        <f si="0" t="shared"/>
        <v>1.0847991022120794E-2</v>
      </c>
      <c r="E21" s="371">
        <v>10</v>
      </c>
      <c r="F21" s="371" t="n">
        <v>3596.0</v>
      </c>
      <c r="G21" s="9">
        <f si="1" t="shared"/>
        <v>1.940575860710787E-2</v>
      </c>
    </row>
    <row r="22" spans="1:7" x14ac:dyDescent="0.25">
      <c r="A22">
        <v>11</v>
      </c>
      <c r="B22" s="6" t="n">
        <v>3043.479174995</v>
      </c>
      <c r="C22" s="9">
        <f si="0" t="shared"/>
        <v>1.7580314190805819E-2</v>
      </c>
      <c r="E22" s="371">
        <v>11</v>
      </c>
      <c r="F22" s="371" t="n">
        <v>3478.0</v>
      </c>
      <c r="G22" s="9">
        <f si="1" t="shared"/>
        <v>1.7729278810709272E-2</v>
      </c>
    </row>
    <row r="23" spans="1:7" x14ac:dyDescent="0.25">
      <c r="A23">
        <v>12</v>
      </c>
      <c r="B23" s="6" t="n">
        <v>1270.227402045</v>
      </c>
      <c r="C23" s="9">
        <f si="0" t="shared"/>
        <v>7.3373253233312528E-3</v>
      </c>
      <c r="E23" s="371">
        <v>12</v>
      </c>
      <c r="F23" s="371" t="n">
        <v>3239.0</v>
      </c>
      <c r="G23" s="9">
        <f si="1" t="shared"/>
        <v>1.7274811396022906E-2</v>
      </c>
    </row>
    <row r="24" spans="1:7" x14ac:dyDescent="0.25">
      <c r="A24">
        <v>13</v>
      </c>
      <c r="B24" s="6" t="n">
        <v>3797.1926619478</v>
      </c>
      <c r="C24" s="9">
        <f si="0" t="shared"/>
        <v>2.193405513943571E-2</v>
      </c>
      <c r="E24" s="371">
        <v>13</v>
      </c>
      <c r="F24" s="371" t="n">
        <v>2902.0</v>
      </c>
      <c r="G24" s="9">
        <f si="1" t="shared"/>
        <v>1.6285082359594819E-2</v>
      </c>
    </row>
    <row r="25" spans="1:7" x14ac:dyDescent="0.25">
      <c r="A25">
        <v>14</v>
      </c>
      <c r="B25" s="6" t="n">
        <v>1747.7218242220001</v>
      </c>
      <c r="C25" s="9">
        <f si="0" t="shared"/>
        <v>1.0095517998082422E-2</v>
      </c>
      <c r="E25" s="371">
        <v>14</v>
      </c>
      <c r="F25" s="371" t="n">
        <v>2628.0</v>
      </c>
      <c r="G25" s="9">
        <f si="1" t="shared"/>
        <v>1.34976822161851E-2</v>
      </c>
    </row>
    <row r="26" spans="1:7" x14ac:dyDescent="0.25">
      <c r="A26">
        <v>15</v>
      </c>
      <c r="B26" s="6" t="n">
        <v>1290.148767359</v>
      </c>
      <c r="C26" s="9">
        <f si="0" t="shared"/>
        <v>7.4523988432052685E-3</v>
      </c>
      <c r="E26" s="371">
        <v>15</v>
      </c>
      <c r="F26" s="371" t="n">
        <v>2274.0</v>
      </c>
      <c r="G26" s="9">
        <f si="1" t="shared"/>
        <v>1.183635133360938E-2</v>
      </c>
    </row>
    <row r="27" spans="1:7" x14ac:dyDescent="0.25">
      <c r="A27">
        <v>16</v>
      </c>
      <c r="B27" s="6" t="n">
        <v>4009.3974380442</v>
      </c>
      <c r="C27" s="9">
        <f si="0" t="shared"/>
        <v>2.3159832094709419E-2</v>
      </c>
      <c r="E27" s="371">
        <v>16</v>
      </c>
      <c r="F27" s="371" t="n">
        <v>1921.0</v>
      </c>
      <c r="G27" s="9">
        <f si="1" t="shared"/>
        <v>1.0200268640738459E-2</v>
      </c>
    </row>
    <row r="28" spans="1:7" x14ac:dyDescent="0.25">
      <c r="A28">
        <v>17</v>
      </c>
      <c r="B28" s="6" t="n">
        <v>512.4768816430001</v>
      </c>
      <c r="C28" s="9">
        <f si="0" t="shared"/>
        <v>2.960264906305183E-3</v>
      </c>
      <c r="E28" s="371">
        <v>17</v>
      </c>
      <c r="F28" s="371" t="n">
        <v>1567.0</v>
      </c>
      <c r="G28" s="9">
        <f si="1" t="shared"/>
        <v>8.7156750860963271E-3</v>
      </c>
    </row>
    <row r="29" spans="1:7" x14ac:dyDescent="0.25">
      <c r="A29">
        <v>18</v>
      </c>
      <c r="B29" s="6" t="n">
        <v>2837.359102758</v>
      </c>
      <c r="C29" s="9">
        <f si="0" t="shared"/>
        <v>1.6389684841103105E-2</v>
      </c>
      <c r="E29" s="371">
        <v>18</v>
      </c>
      <c r="F29" s="371" t="n">
        <v>1289.0</v>
      </c>
      <c r="G29" s="9">
        <f si="1" t="shared"/>
        <v>7.1149398588121228E-3</v>
      </c>
    </row>
    <row r="30" spans="1:7" x14ac:dyDescent="0.25">
      <c r="A30">
        <v>19</v>
      </c>
      <c r="B30" s="6" t="n">
        <v>6355.543577378</v>
      </c>
      <c r="C30" s="9">
        <f si="0" t="shared"/>
        <v>3.671208065481401E-2</v>
      </c>
      <c r="E30" s="371">
        <v>19</v>
      </c>
      <c r="F30" s="371" t="n">
        <v>1122.0</v>
      </c>
      <c r="G30" s="9">
        <f si="1" t="shared"/>
        <v>6.0191684256238826E-3</v>
      </c>
    </row>
    <row r="31" spans="1:7" x14ac:dyDescent="0.25">
      <c r="A31">
        <v>20</v>
      </c>
      <c r="B31" s="6" t="n">
        <v>0.0</v>
      </c>
      <c r="C31" s="9">
        <f si="0" t="shared"/>
        <v>0</v>
      </c>
      <c r="E31" s="371">
        <v>20</v>
      </c>
      <c r="F31" s="371" t="n">
        <v>901.0</v>
      </c>
      <c r="G31" s="9">
        <f si="1" t="shared"/>
        <v>4.9789430097861983E-3</v>
      </c>
    </row>
    <row r="32" spans="1:7" x14ac:dyDescent="0.25">
      <c r="A32">
        <v>21</v>
      </c>
      <c r="B32" s="6" t="n">
        <v>487.756336396</v>
      </c>
      <c r="C32" s="9">
        <f si="0" t="shared"/>
        <v>2.8174694648311974E-3</v>
      </c>
      <c r="E32" s="371">
        <v>21</v>
      </c>
      <c r="F32" s="371" t="n">
        <v>835.0</v>
      </c>
      <c r="G32" s="9">
        <f si="1" t="shared"/>
        <v>4.393185008634881E-3</v>
      </c>
    </row>
    <row r="33" spans="1:7" x14ac:dyDescent="0.25">
      <c r="A33">
        <v>22</v>
      </c>
      <c r="B33" s="6" t="n">
        <v>1310.847583535</v>
      </c>
      <c r="C33" s="9">
        <f si="0" t="shared"/>
        <v>7.571963220297618E-3</v>
      </c>
      <c r="E33" s="371">
        <v>22</v>
      </c>
      <c r="F33" s="371" t="n">
        <v>629.0</v>
      </c>
      <c r="G33" s="9">
        <f si="1" t="shared"/>
        <v>3.6306896795499761E-3</v>
      </c>
    </row>
    <row r="34" spans="1:7" x14ac:dyDescent="0.25">
      <c r="A34">
        <v>23</v>
      </c>
      <c r="B34" s="6" t="n">
        <v>0.0</v>
      </c>
      <c r="C34" s="9">
        <f si="0" t="shared"/>
        <v>0</v>
      </c>
      <c r="E34" s="371">
        <v>23</v>
      </c>
      <c r="F34" s="371" t="n">
        <v>523.0</v>
      </c>
      <c r="G34" s="9">
        <f si="1" t="shared"/>
        <v>3.0348324025167395E-3</v>
      </c>
    </row>
    <row r="35" spans="1:7" x14ac:dyDescent="0.25">
      <c r="A35">
        <v>24</v>
      </c>
      <c r="B35" s="6" t="n">
        <v>0.0</v>
      </c>
      <c r="C35" s="9">
        <f si="0" t="shared"/>
        <v>0</v>
      </c>
      <c r="E35" s="371">
        <v>24</v>
      </c>
      <c r="F35" s="371" t="n">
        <v>388.0</v>
      </c>
      <c r="G35" s="9">
        <f si="1" t="shared"/>
        <v>2.3430320046052698E-3</v>
      </c>
    </row>
    <row r="36" spans="1:7" x14ac:dyDescent="0.25">
      <c r="A36">
        <v>25</v>
      </c>
      <c r="B36" s="6" t="n">
        <v>0.0</v>
      </c>
      <c r="C36" s="9">
        <f si="0" t="shared"/>
        <v>0</v>
      </c>
      <c r="E36" s="371">
        <v>25</v>
      </c>
      <c r="F36" s="371" t="n">
        <v>274.0</v>
      </c>
      <c r="G36" s="9">
        <f si="1" t="shared"/>
        <v>1.8128200208045082E-3</v>
      </c>
    </row>
    <row r="37" spans="1:7" x14ac:dyDescent="0.25">
      <c r="A37">
        <v>26</v>
      </c>
      <c r="B37" s="6" t="n">
        <v>0.0</v>
      </c>
      <c r="C37" s="9">
        <f si="0" t="shared"/>
        <v>0</v>
      </c>
      <c r="E37" s="371">
        <v>26</v>
      </c>
      <c r="F37" s="371" t="n">
        <v>251.0</v>
      </c>
      <c r="G37" s="9">
        <f si="1" t="shared"/>
        <v>1.6966783481624367E-3</v>
      </c>
    </row>
    <row r="38" spans="1:7" x14ac:dyDescent="0.25">
      <c r="A38">
        <v>27</v>
      </c>
      <c r="B38" s="6" t="n">
        <v>364.251284428</v>
      </c>
      <c r="C38" s="9">
        <f si="0" t="shared"/>
        <v>2.1040564618482519E-3</v>
      </c>
      <c r="E38" s="371">
        <v>27</v>
      </c>
      <c r="F38" s="371" t="n">
        <v>238.0</v>
      </c>
      <c r="G38" s="9">
        <f si="1" t="shared"/>
        <v>1.1412181746568771E-3</v>
      </c>
    </row>
    <row r="39" spans="1:7" x14ac:dyDescent="0.25">
      <c r="A39">
        <v>28</v>
      </c>
      <c r="B39" s="6" t="n">
        <v>0.0</v>
      </c>
      <c r="C39" s="9">
        <f si="0" t="shared"/>
        <v>0</v>
      </c>
      <c r="E39" s="371">
        <v>28</v>
      </c>
      <c r="F39" s="371" t="n">
        <v>162.0</v>
      </c>
      <c r="G39" s="9">
        <f si="1" t="shared"/>
        <v>7.4229677732106606E-4</v>
      </c>
    </row>
    <row r="40" spans="1:7" x14ac:dyDescent="0.25">
      <c r="A40">
        <v>29</v>
      </c>
      <c r="B40" s="6" t="n">
        <v>109.769290789</v>
      </c>
      <c r="C40" s="9">
        <f si="0" t="shared"/>
        <v>6.3406992774173252E-4</v>
      </c>
      <c r="E40" s="371">
        <v>29</v>
      </c>
      <c r="F40" s="371" t="n">
        <v>148.0</v>
      </c>
      <c r="G40" s="9">
        <f si="1" t="shared"/>
        <v>8.2309098437642017E-4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112.0</v>
      </c>
      <c r="G41" s="9">
        <f si="1" t="shared"/>
        <v>6.9180039791146973E-4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66.0</v>
      </c>
      <c r="G42" s="9">
        <f si="1" t="shared"/>
        <v>4.9991415615500371E-4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63.0</v>
      </c>
      <c r="G43" s="9">
        <f si="1" t="shared"/>
        <v>3.4842501792621468E-4</v>
      </c>
    </row>
    <row r="44" spans="1:7" x14ac:dyDescent="0.25">
      <c r="A44">
        <v>33</v>
      </c>
      <c r="B44" s="6" t="n">
        <v>411.941406586</v>
      </c>
      <c r="C44" s="9">
        <f si="0" t="shared"/>
        <v>2.3795330736890172E-3</v>
      </c>
      <c r="E44" s="371">
        <v>33</v>
      </c>
      <c r="F44" s="371" t="n">
        <v>59.0</v>
      </c>
      <c r="G44" s="9">
        <f si="1" t="shared"/>
        <v>3.1307755233949726E-4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36.0</v>
      </c>
      <c r="G45" s="9">
        <f si="1" t="shared"/>
        <v>2.575315349889413E-4</v>
      </c>
    </row>
    <row r="46" spans="1:7" x14ac:dyDescent="0.25">
      <c r="A46">
        <v>35</v>
      </c>
      <c r="B46" s="6" t="n">
        <v>619.342925768</v>
      </c>
      <c r="C46" s="9">
        <f si="0" t="shared"/>
        <v>3.577564557139529E-3</v>
      </c>
      <c r="E46" s="371">
        <v>35</v>
      </c>
      <c r="F46" s="371" t="n">
        <v>37.0</v>
      </c>
      <c r="G46" s="9">
        <f si="1" t="shared"/>
        <v>2.3733298322510277E-4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37.0</v>
      </c>
      <c r="G47" s="9">
        <f si="1" t="shared"/>
        <v>1.9188624175646605E-4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19.0</v>
      </c>
      <c r="G48" s="9">
        <f si="1" t="shared"/>
        <v>1.8683660381550642E-4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31.0</v>
      </c>
      <c r="G49" s="9">
        <f si="1" t="shared"/>
        <v>1.211913105830312E-4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26.0</v>
      </c>
      <c r="G50" s="9">
        <f si="1" t="shared"/>
        <v>1.51489138228789E-4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16.0</v>
      </c>
      <c r="G51" s="9">
        <f si="1" t="shared"/>
        <v>6.5645293232475234E-5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13.0</v>
      </c>
      <c r="G52" s="9">
        <f si="1" t="shared"/>
        <v>1.0604239676015229E-4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13.0</v>
      </c>
      <c r="G53" s="9">
        <f si="1" t="shared"/>
        <v>7.5744569114394498E-5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13.0</v>
      </c>
      <c r="G54" s="9">
        <f si="1" t="shared"/>
        <v>3.0297827645757801E-5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5.0</v>
      </c>
      <c r="G55" s="9">
        <f si="1" t="shared"/>
        <v>6.0595655291515601E-5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8.0</v>
      </c>
      <c r="G56" s="9">
        <f si="1" t="shared"/>
        <v>2.5248189704798165E-5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7.0</v>
      </c>
      <c r="G57" s="9">
        <f si="1" t="shared"/>
        <v>4.5446741468636698E-5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5.0</v>
      </c>
      <c r="G58" s="9">
        <f si="1" t="shared"/>
        <v>3.0297827645757801E-5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6.0</v>
      </c>
      <c r="G59" s="9">
        <f si="1" t="shared"/>
        <v>3.0297827645757801E-5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4.0</v>
      </c>
      <c r="G60" s="9">
        <f si="1" t="shared"/>
        <v>2.5248189704798165E-5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3.0</v>
      </c>
      <c r="G61" s="9">
        <f si="1" t="shared"/>
        <v>2.0198551763838533E-5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3.0</v>
      </c>
      <c r="G62" s="9">
        <f si="1" t="shared"/>
        <v>5.0496379409596332E-6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3.0</v>
      </c>
      <c r="G63" s="9">
        <f si="1" t="shared"/>
        <v>5.0496379409596332E-6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0.0</v>
      </c>
      <c r="G64" s="9">
        <f si="1" t="shared"/>
        <v>1.0099275881919266E-5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0.0</v>
      </c>
      <c r="G65" s="9">
        <f si="1" t="shared"/>
        <v>1.0099275881919266E-5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0.0</v>
      </c>
      <c r="G66" s="9">
        <f si="1" t="shared"/>
        <v>5.0496379409596332E-6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0.0</v>
      </c>
      <c r="G67" s="9">
        <f si="1" t="shared"/>
        <v>0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0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5.0496379409596332E-6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0.0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5.0496379409596332E-6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224.140299381</v>
      </c>
      <c r="C84" s="9">
        <f si="2" t="shared"/>
        <v>1.294721159360564E-3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173118.58832344893</v>
      </c>
      <c r="C102" s="9">
        <f si="2" t="shared"/>
        <v>1</v>
      </c>
      <c r="F102" s="6">
        <f>SUM(F11:F101)</f>
        <v>198034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1507.0</v>
      </c>
      <c r="G11" s="9">
        <f>F11/F$102</f>
        <v>7.5946554632032887E-3</v>
      </c>
      <c r="K11" s="6" t="n">
        <v>13.746060644652028</v>
      </c>
      <c r="L11" s="6" t="n">
        <v>15.442803183173309</v>
      </c>
    </row>
    <row r="12" spans="1:12" x14ac:dyDescent="0.25">
      <c r="A12">
        <v>1</v>
      </c>
      <c r="B12" s="6" t="n">
        <v>4979.429121118999</v>
      </c>
      <c r="C12" s="9">
        <f>B12/B$102</f>
        <v>2.8763110705452392E-2</v>
      </c>
      <c r="E12" s="371">
        <v>1</v>
      </c>
      <c r="F12" s="371" t="n">
        <v>5435.0</v>
      </c>
      <c r="G12" s="9">
        <f>F12/F$102</f>
        <v>2.7409434743528888E-2</v>
      </c>
      <c r="K12" s="6"/>
      <c r="L12" s="371"/>
    </row>
    <row r="13" spans="1:12" x14ac:dyDescent="0.25">
      <c r="A13">
        <v>2</v>
      </c>
      <c r="B13" s="6" t="n">
        <v>6241.0700921912</v>
      </c>
      <c r="C13" s="9">
        <f ref="C13:C76" si="0" t="shared">B13/B$102</f>
        <v>3.6050837478703301E-2</v>
      </c>
      <c r="E13" s="371">
        <v>2</v>
      </c>
      <c r="F13" s="371" t="n">
        <v>7618.0</v>
      </c>
      <c r="G13" s="9">
        <f ref="G13:G76" si="1" t="shared">F13/F$102</f>
        <v>3.8458042558348567E-2</v>
      </c>
    </row>
    <row r="14" spans="1:12" x14ac:dyDescent="0.25">
      <c r="A14">
        <v>3</v>
      </c>
      <c r="B14" s="6" t="n">
        <v>13202.451969816</v>
      </c>
      <c r="C14" s="9">
        <f si="0" t="shared"/>
        <v>7.626247474447391E-2</v>
      </c>
      <c r="E14" s="371">
        <v>3</v>
      </c>
      <c r="F14" s="371" t="n">
        <v>9974.0</v>
      </c>
      <c r="G14" s="9">
        <f si="1" t="shared"/>
        <v>4.969853661492471E-2</v>
      </c>
    </row>
    <row r="15" spans="1:12" x14ac:dyDescent="0.25">
      <c r="A15">
        <v>4</v>
      </c>
      <c r="B15" s="6" t="n">
        <v>12453.8887636233</v>
      </c>
      <c r="C15" s="9">
        <f si="0" t="shared"/>
        <v>7.1938483811772272E-2</v>
      </c>
      <c r="E15" s="371">
        <v>4</v>
      </c>
      <c r="F15" s="371" t="n">
        <v>12441.0</v>
      </c>
      <c r="G15" s="9">
        <f si="1" t="shared"/>
        <v>6.1509639758829289E-2</v>
      </c>
    </row>
    <row r="16" spans="1:12" x14ac:dyDescent="0.25">
      <c r="A16">
        <v>5</v>
      </c>
      <c r="B16" s="6" t="n">
        <v>14902.755724695</v>
      </c>
      <c r="C16" s="9">
        <f si="0" t="shared"/>
        <v>8.6084087613117519E-2</v>
      </c>
      <c r="E16" s="371">
        <v>5</v>
      </c>
      <c r="F16" s="371" t="n">
        <v>13703.0</v>
      </c>
      <c r="G16" s="9">
        <f si="1" t="shared"/>
        <v>6.5337265318076695E-2</v>
      </c>
    </row>
    <row r="17" spans="1:7" x14ac:dyDescent="0.25">
      <c r="A17">
        <v>6</v>
      </c>
      <c r="B17" s="6" t="n">
        <v>9694.0775771743</v>
      </c>
      <c r="C17" s="9">
        <f si="0" t="shared"/>
        <v>5.599674576286523E-2</v>
      </c>
      <c r="E17" s="371">
        <v>6</v>
      </c>
      <c r="F17" s="371" t="n">
        <v>13140.0</v>
      </c>
      <c r="G17" s="9">
        <f si="1" t="shared"/>
        <v>6.4751507316925375E-2</v>
      </c>
    </row>
    <row r="18" spans="1:7" x14ac:dyDescent="0.25">
      <c r="A18">
        <v>7</v>
      </c>
      <c r="B18" s="6" t="n">
        <v>9929.5543552646</v>
      </c>
      <c r="C18" s="9">
        <f si="0" t="shared"/>
        <v>5.7356950812887608E-2</v>
      </c>
      <c r="E18" s="371">
        <v>7</v>
      </c>
      <c r="F18" s="371" t="n">
        <v>13081.0</v>
      </c>
      <c r="G18" s="9">
        <f si="1" t="shared"/>
        <v>6.3282062676106129E-2</v>
      </c>
    </row>
    <row r="19" spans="1:7" x14ac:dyDescent="0.25">
      <c r="A19">
        <v>8</v>
      </c>
      <c r="B19" s="6" t="n">
        <v>10947.9616569304</v>
      </c>
      <c r="C19" s="9">
        <f si="0" t="shared"/>
        <v>6.3239665728301794E-2</v>
      </c>
      <c r="E19" s="371">
        <v>8</v>
      </c>
      <c r="F19" s="371" t="n">
        <v>12176.0</v>
      </c>
      <c r="G19" s="9">
        <f si="1" t="shared"/>
        <v>6.0136138238888269E-2</v>
      </c>
    </row>
    <row r="20" spans="1:7" x14ac:dyDescent="0.25">
      <c r="A20">
        <v>9</v>
      </c>
      <c r="B20" s="6" t="n">
        <v>6359.2500272529005</v>
      </c>
      <c r="C20" s="9">
        <f si="0" t="shared"/>
        <v>3.6733490544478636E-2</v>
      </c>
      <c r="E20" s="371">
        <v>9</v>
      </c>
      <c r="F20" s="371" t="n">
        <v>10403.0</v>
      </c>
      <c r="G20" s="9">
        <f si="1" t="shared"/>
        <v>5.0991243927810376E-2</v>
      </c>
    </row>
    <row r="21" spans="1:7" x14ac:dyDescent="0.25">
      <c r="A21">
        <v>10</v>
      </c>
      <c r="B21" s="6" t="n">
        <v>8866.4957482014</v>
      </c>
      <c r="C21" s="9">
        <f si="0" t="shared"/>
        <v>5.1216312667912579E-2</v>
      </c>
      <c r="E21" s="371">
        <v>10</v>
      </c>
      <c r="F21" s="371" t="n">
        <v>9021.0</v>
      </c>
      <c r="G21" s="9">
        <f si="1" t="shared"/>
        <v>4.5305351606289831E-2</v>
      </c>
    </row>
    <row r="22" spans="1:7" x14ac:dyDescent="0.25">
      <c r="A22">
        <v>11</v>
      </c>
      <c r="B22" s="6" t="n">
        <v>8900.9570246616</v>
      </c>
      <c r="C22" s="9">
        <f si="0" t="shared"/>
        <v>5.141537434461603E-2</v>
      </c>
      <c r="E22" s="371">
        <v>11</v>
      </c>
      <c r="F22" s="371" t="n">
        <v>7616.0</v>
      </c>
      <c r="G22" s="9">
        <f si="1" t="shared"/>
        <v>3.7432966056333762E-2</v>
      </c>
    </row>
    <row r="23" spans="1:7" x14ac:dyDescent="0.25">
      <c r="A23">
        <v>12</v>
      </c>
      <c r="B23" s="6" t="n">
        <v>3402.2158881685</v>
      </c>
      <c r="C23" s="9">
        <f si="0" t="shared"/>
        <v>1.9652516353771986E-2</v>
      </c>
      <c r="E23" s="371">
        <v>12</v>
      </c>
      <c r="F23" s="371" t="n">
        <v>6856.0</v>
      </c>
      <c r="G23" s="9">
        <f si="1" t="shared"/>
        <v>3.3357908237979336E-2</v>
      </c>
    </row>
    <row r="24" spans="1:7" x14ac:dyDescent="0.25">
      <c r="A24">
        <v>13</v>
      </c>
      <c r="B24" s="6" t="n">
        <v>5237.5095203304</v>
      </c>
      <c r="C24" s="9">
        <f si="0" t="shared"/>
        <v>3.0253883023496089E-2</v>
      </c>
      <c r="E24" s="371">
        <v>13</v>
      </c>
      <c r="F24" s="371" t="n">
        <v>5269.0</v>
      </c>
      <c r="G24" s="9">
        <f si="1" t="shared"/>
        <v>2.6015734671824029E-2</v>
      </c>
    </row>
    <row r="25" spans="1:7" x14ac:dyDescent="0.25">
      <c r="A25">
        <v>14</v>
      </c>
      <c r="B25" s="6" t="n">
        <v>2249.900433663</v>
      </c>
      <c r="C25" s="9">
        <f si="0" t="shared"/>
        <v>1.2996296096519469E-2</v>
      </c>
      <c r="E25" s="371">
        <v>14</v>
      </c>
      <c r="F25" s="371" t="n">
        <v>4420.0</v>
      </c>
      <c r="G25" s="9">
        <f si="1" t="shared"/>
        <v>2.2132563095226071E-2</v>
      </c>
    </row>
    <row r="26" spans="1:7" x14ac:dyDescent="0.25">
      <c r="A26">
        <v>15</v>
      </c>
      <c r="B26" s="6" t="n">
        <v>4299.7073869057</v>
      </c>
      <c r="C26" s="9">
        <f si="0" t="shared"/>
        <v>2.4836774771246819E-2</v>
      </c>
      <c r="E26" s="371">
        <v>15</v>
      </c>
      <c r="F26" s="371" t="n">
        <v>3887.0</v>
      </c>
      <c r="G26" s="9">
        <f si="1" t="shared"/>
        <v>2.0087459729137423E-2</v>
      </c>
    </row>
    <row r="27" spans="1:7" x14ac:dyDescent="0.25">
      <c r="A27">
        <v>16</v>
      </c>
      <c r="B27" s="6" t="n">
        <v>2757.441887723</v>
      </c>
      <c r="C27" s="9">
        <f si="0" t="shared"/>
        <v>1.592805206204136E-2</v>
      </c>
      <c r="E27" s="371">
        <v>16</v>
      </c>
      <c r="F27" s="371" t="n">
        <v>3774.0</v>
      </c>
      <c r="G27" s="9">
        <f si="1" t="shared"/>
        <v>1.8320086449801549E-2</v>
      </c>
    </row>
    <row r="28" spans="1:7" x14ac:dyDescent="0.25">
      <c r="A28">
        <v>17</v>
      </c>
      <c r="B28" s="6" t="n">
        <v>2850.893275417</v>
      </c>
      <c r="C28" s="9">
        <f si="0" t="shared"/>
        <v>1.6467863462995017E-2</v>
      </c>
      <c r="E28" s="371">
        <v>17</v>
      </c>
      <c r="F28" s="371" t="n">
        <v>3211.0</v>
      </c>
      <c r="G28" s="9">
        <f si="1" t="shared"/>
        <v>1.6668854843107751E-2</v>
      </c>
    </row>
    <row r="29" spans="1:7" x14ac:dyDescent="0.25">
      <c r="A29">
        <v>18</v>
      </c>
      <c r="B29" s="6" t="n">
        <v>5316.01887555</v>
      </c>
      <c r="C29" s="9">
        <f si="0" t="shared"/>
        <v>3.0707383459121846E-2</v>
      </c>
      <c r="E29" s="371">
        <v>18</v>
      </c>
      <c r="F29" s="371" t="n">
        <v>3764.0</v>
      </c>
      <c r="G29" s="9">
        <f si="1" t="shared"/>
        <v>1.9814779280325601E-2</v>
      </c>
    </row>
    <row r="30" spans="1:7" x14ac:dyDescent="0.25">
      <c r="A30">
        <v>19</v>
      </c>
      <c r="B30" s="6" t="n">
        <v>3228.341941584</v>
      </c>
      <c r="C30" s="9">
        <f si="0" t="shared"/>
        <v>1.8648153111971284E-2</v>
      </c>
      <c r="E30" s="371">
        <v>19</v>
      </c>
      <c r="F30" s="371" t="n">
        <v>3328.0</v>
      </c>
      <c r="G30" s="9">
        <f si="1" t="shared"/>
        <v>1.7360655241019218E-2</v>
      </c>
    </row>
    <row r="31" spans="1:7" x14ac:dyDescent="0.25">
      <c r="A31">
        <v>20</v>
      </c>
      <c r="B31" s="6" t="n">
        <v>851.06722683</v>
      </c>
      <c r="C31" s="9">
        <f si="0" t="shared"/>
        <v>4.9160938468369129E-3</v>
      </c>
      <c r="E31" s="371">
        <v>20</v>
      </c>
      <c r="F31" s="371" t="n">
        <v>3290.0</v>
      </c>
      <c r="G31" s="9">
        <f si="1" t="shared"/>
        <v>1.6749649050163105E-2</v>
      </c>
    </row>
    <row r="32" spans="1:7" x14ac:dyDescent="0.25">
      <c r="A32">
        <v>21</v>
      </c>
      <c r="B32" s="6" t="n">
        <v>2095.386748724</v>
      </c>
      <c r="C32" s="9">
        <f si="0" t="shared"/>
        <v>1.2103765222536646E-2</v>
      </c>
      <c r="E32" s="371">
        <v>21</v>
      </c>
      <c r="F32" s="371" t="n">
        <v>3125.0</v>
      </c>
      <c r="G32" s="9">
        <f si="1" t="shared"/>
        <v>1.5472090651100317E-2</v>
      </c>
    </row>
    <row r="33" spans="1:7" x14ac:dyDescent="0.25">
      <c r="A33">
        <v>22</v>
      </c>
      <c r="B33" s="6" t="n">
        <v>429.86334112799995</v>
      </c>
      <c r="C33" s="9">
        <f si="0" t="shared"/>
        <v>2.4830571072174974E-3</v>
      </c>
      <c r="E33" s="371">
        <v>22</v>
      </c>
      <c r="F33" s="371" t="n">
        <v>2947.0</v>
      </c>
      <c r="G33" s="9">
        <f si="1" t="shared"/>
        <v>1.6345678014886334E-2</v>
      </c>
    </row>
    <row r="34" spans="1:7" x14ac:dyDescent="0.25">
      <c r="A34">
        <v>23</v>
      </c>
      <c r="B34" s="6" t="n">
        <v>4400.907532473</v>
      </c>
      <c r="C34" s="9">
        <f si="0" t="shared"/>
        <v>2.542134599809983E-2</v>
      </c>
      <c r="E34" s="371">
        <v>23</v>
      </c>
      <c r="F34" s="371" t="n">
        <v>2749.0</v>
      </c>
      <c r="G34" s="9">
        <f si="1" t="shared"/>
        <v>1.417433370027369E-2</v>
      </c>
    </row>
    <row r="35" spans="1:7" x14ac:dyDescent="0.25">
      <c r="A35">
        <v>24</v>
      </c>
      <c r="B35" s="6" t="n">
        <v>845.500980779</v>
      </c>
      <c r="C35" s="9">
        <f si="0" t="shared"/>
        <v>4.8839410543210669E-3</v>
      </c>
      <c r="E35" s="371">
        <v>24</v>
      </c>
      <c r="F35" s="371" t="n">
        <v>2380.0</v>
      </c>
      <c r="G35" s="9">
        <f si="1" t="shared"/>
        <v>1.2613995576517163E-2</v>
      </c>
    </row>
    <row r="36" spans="1:7" x14ac:dyDescent="0.25">
      <c r="A36">
        <v>25</v>
      </c>
      <c r="B36" s="6" t="n">
        <v>765.203884592</v>
      </c>
      <c r="C36" s="9">
        <f si="0" t="shared"/>
        <v>4.4201139346302827E-3</v>
      </c>
      <c r="E36" s="371">
        <v>25</v>
      </c>
      <c r="F36" s="371" t="n">
        <v>2382.0</v>
      </c>
      <c r="G36" s="9">
        <f si="1" t="shared"/>
        <v>1.2745286162982114E-2</v>
      </c>
    </row>
    <row r="37" spans="1:7" x14ac:dyDescent="0.25">
      <c r="A37">
        <v>26</v>
      </c>
      <c r="B37" s="6" t="n">
        <v>2217.9153548738</v>
      </c>
      <c r="C37" s="9">
        <f si="0" t="shared"/>
        <v>1.2811537896380726E-2</v>
      </c>
      <c r="E37" s="371">
        <v>26</v>
      </c>
      <c r="F37" s="371" t="n">
        <v>2344.0</v>
      </c>
      <c r="G37" s="9">
        <f si="1" t="shared"/>
        <v>1.1543472333033721E-2</v>
      </c>
    </row>
    <row r="38" spans="1:7" x14ac:dyDescent="0.25">
      <c r="A38">
        <v>27</v>
      </c>
      <c r="B38" s="6" t="n">
        <v>2141.4525487712</v>
      </c>
      <c r="C38" s="9">
        <f si="0" t="shared"/>
        <v>1.2369859120906082E-2</v>
      </c>
      <c r="E38" s="371">
        <v>27</v>
      </c>
      <c r="F38" s="371" t="n">
        <v>2036.0</v>
      </c>
      <c r="G38" s="9">
        <f si="1" t="shared"/>
        <v>1.0624438227779068E-2</v>
      </c>
    </row>
    <row r="39" spans="1:7" x14ac:dyDescent="0.25">
      <c r="A39">
        <v>28</v>
      </c>
      <c r="B39" s="6" t="n">
        <v>890.282763093</v>
      </c>
      <c r="C39" s="9">
        <f si="0" t="shared"/>
        <v>5.1426179690746187E-3</v>
      </c>
      <c r="E39" s="371">
        <v>28</v>
      </c>
      <c r="F39" s="371" t="n">
        <v>1970.0</v>
      </c>
      <c r="G39" s="9">
        <f si="1" t="shared"/>
        <v>1.0366906692790128E-2</v>
      </c>
    </row>
    <row r="40" spans="1:7" x14ac:dyDescent="0.25">
      <c r="A40">
        <v>29</v>
      </c>
      <c r="B40" s="6" t="n">
        <v>1096.456545153</v>
      </c>
      <c r="C40" s="9">
        <f si="0" t="shared"/>
        <v>6.3335575675121467E-3</v>
      </c>
      <c r="E40" s="371">
        <v>29</v>
      </c>
      <c r="F40" s="371" t="n">
        <v>1951.0</v>
      </c>
      <c r="G40" s="9">
        <f si="1" t="shared"/>
        <v>1.0245715382207097E-2</v>
      </c>
    </row>
    <row r="41" spans="1:7" x14ac:dyDescent="0.25">
      <c r="A41">
        <v>30</v>
      </c>
      <c r="B41" s="6" t="n">
        <v>2648.297908525</v>
      </c>
      <c r="C41" s="9">
        <f si="0" t="shared"/>
        <v>1.5297594176178294E-2</v>
      </c>
      <c r="E41" s="371">
        <v>30</v>
      </c>
      <c r="F41" s="371" t="n">
        <v>1771.0</v>
      </c>
      <c r="G41" s="9">
        <f si="1" t="shared"/>
        <v>8.6904268963915281E-3</v>
      </c>
    </row>
    <row r="42" spans="1:7" x14ac:dyDescent="0.25">
      <c r="A42">
        <v>31</v>
      </c>
      <c r="B42" s="6" t="n">
        <v>864.943831101</v>
      </c>
      <c r="C42" s="9">
        <f si="0" t="shared"/>
        <v>4.9962504863138562E-3</v>
      </c>
      <c r="E42" s="371">
        <v>31</v>
      </c>
      <c r="F42" s="371" t="n">
        <v>1632.0</v>
      </c>
      <c r="G42" s="9">
        <f si="1" t="shared"/>
        <v>8.3672500681701116E-3</v>
      </c>
    </row>
    <row r="43" spans="1:7" x14ac:dyDescent="0.25">
      <c r="A43">
        <v>32</v>
      </c>
      <c r="B43" s="6" t="n">
        <v>2769.4971061310002</v>
      </c>
      <c r="C43" s="9">
        <f si="0" t="shared"/>
        <v>1.5997687671508533E-2</v>
      </c>
      <c r="E43" s="371">
        <v>32</v>
      </c>
      <c r="F43" s="371" t="n">
        <v>1465.0</v>
      </c>
      <c r="G43" s="9">
        <f si="1" t="shared"/>
        <v>8.0087257743619786E-3</v>
      </c>
    </row>
    <row r="44" spans="1:7" x14ac:dyDescent="0.25">
      <c r="A44">
        <v>33</v>
      </c>
      <c r="B44" s="6" t="n">
        <v>608.288957806</v>
      </c>
      <c r="C44" s="9">
        <f si="0" t="shared"/>
        <v>3.5137125579460791E-3</v>
      </c>
      <c r="E44" s="371">
        <v>33</v>
      </c>
      <c r="F44" s="371" t="n">
        <v>1342.0</v>
      </c>
      <c r="G44" s="9">
        <f si="1" t="shared"/>
        <v>7.372471393801064E-3</v>
      </c>
    </row>
    <row r="45" spans="1:7" x14ac:dyDescent="0.25">
      <c r="A45">
        <v>34</v>
      </c>
      <c r="B45" s="6" t="n">
        <v>3626.077637285</v>
      </c>
      <c r="C45" s="9">
        <f si="0" t="shared"/>
        <v>2.0945628498946392E-2</v>
      </c>
      <c r="E45" s="371">
        <v>34</v>
      </c>
      <c r="F45" s="371" t="n">
        <v>1265.0</v>
      </c>
      <c r="G45" s="9">
        <f si="1" t="shared"/>
        <v>7.0593938414615668E-3</v>
      </c>
    </row>
    <row r="46" spans="1:7" x14ac:dyDescent="0.25">
      <c r="A46">
        <v>35</v>
      </c>
      <c r="B46" s="6" t="n">
        <v>1268.650778689</v>
      </c>
      <c r="C46" s="9">
        <f si="0" t="shared"/>
        <v>7.3282181363372462E-3</v>
      </c>
      <c r="E46" s="371">
        <v>35</v>
      </c>
      <c r="F46" s="371" t="n">
        <v>1125.0</v>
      </c>
      <c r="G46" s="9">
        <f si="1" t="shared"/>
        <v>6.4837351161921688E-3</v>
      </c>
    </row>
    <row r="47" spans="1:7" x14ac:dyDescent="0.25">
      <c r="A47">
        <v>36</v>
      </c>
      <c r="B47" s="6" t="n">
        <v>492.27082919099996</v>
      </c>
      <c r="C47" s="9">
        <f si="0" t="shared"/>
        <v>2.8435469232873929E-3</v>
      </c>
      <c r="E47" s="371">
        <v>36</v>
      </c>
      <c r="F47" s="371" t="n">
        <v>1036.0</v>
      </c>
      <c r="G47" s="9">
        <f si="1" t="shared"/>
        <v>5.6404455800519102E-3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846.0</v>
      </c>
      <c r="G48" s="9">
        <f si="1" t="shared"/>
        <v>5.1506306997788258E-3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769.0</v>
      </c>
      <c r="G49" s="9">
        <f si="1" t="shared"/>
        <v>4.8577516992031671E-3</v>
      </c>
    </row>
    <row r="50" spans="1:7" x14ac:dyDescent="0.25">
      <c r="A50">
        <v>39</v>
      </c>
      <c r="B50" s="6" t="n">
        <v>620.932142854</v>
      </c>
      <c r="C50" s="9">
        <f si="0" t="shared"/>
        <v>3.5867444903944761E-3</v>
      </c>
      <c r="E50" s="371">
        <v>39</v>
      </c>
      <c r="F50" s="371" t="n">
        <v>654.0</v>
      </c>
      <c r="G50" s="9">
        <f si="1" t="shared"/>
        <v>3.9488168698304333E-3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678.0</v>
      </c>
      <c r="G51" s="9">
        <f si="1" t="shared"/>
        <v>3.9892139733581104E-3</v>
      </c>
    </row>
    <row r="52" spans="1:7" x14ac:dyDescent="0.25">
      <c r="A52">
        <v>41</v>
      </c>
      <c r="B52" s="6" t="n">
        <v>109.769290789</v>
      </c>
      <c r="C52" s="9">
        <f si="0" t="shared"/>
        <v>6.3406992774173252E-4</v>
      </c>
      <c r="E52" s="371">
        <v>41</v>
      </c>
      <c r="F52" s="371" t="n">
        <v>598.0</v>
      </c>
      <c r="G52" s="9">
        <f si="1" t="shared"/>
        <v>3.2923639375056807E-3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558.0</v>
      </c>
      <c r="G53" s="9">
        <f si="1" t="shared"/>
        <v>3.1055273336901743E-3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505.0</v>
      </c>
      <c r="G54" s="9">
        <f si="1" t="shared"/>
        <v>2.7722512295868386E-3</v>
      </c>
    </row>
    <row r="55" spans="1:7" x14ac:dyDescent="0.25">
      <c r="A55">
        <v>44</v>
      </c>
      <c r="B55" s="6" t="n">
        <v>1892.007169048</v>
      </c>
      <c r="C55" s="9">
        <f si="0" t="shared"/>
        <v>1.0928966019021814E-2</v>
      </c>
      <c r="E55" s="371">
        <v>44</v>
      </c>
      <c r="F55" s="371" t="n">
        <v>436.0</v>
      </c>
      <c r="G55" s="9">
        <f si="1" t="shared"/>
        <v>2.4339254875425432E-3</v>
      </c>
    </row>
    <row r="56" spans="1:7" x14ac:dyDescent="0.25">
      <c r="A56">
        <v>45</v>
      </c>
      <c r="B56" s="6" t="n">
        <v>187.462250712</v>
      </c>
      <c r="C56" s="9">
        <f si="0" t="shared"/>
        <v>1.0828545480150973E-3</v>
      </c>
      <c r="E56" s="371">
        <v>45</v>
      </c>
      <c r="F56" s="371" t="n">
        <v>347.0</v>
      </c>
      <c r="G56" s="9">
        <f si="1" t="shared"/>
        <v>2.3531312804871891E-3</v>
      </c>
    </row>
    <row r="57" spans="1:7" x14ac:dyDescent="0.25">
      <c r="A57">
        <v>46</v>
      </c>
      <c r="B57" s="6" t="n">
        <v>1054.116572201</v>
      </c>
      <c r="C57" s="9">
        <f si="0" t="shared"/>
        <v>6.0889854891349061E-3</v>
      </c>
      <c r="E57" s="371">
        <v>46</v>
      </c>
      <c r="F57" s="371" t="n">
        <v>312.0</v>
      </c>
      <c r="G57" s="9">
        <f si="1" t="shared"/>
        <v>1.9037135037417818E-3</v>
      </c>
    </row>
    <row r="58" spans="1:7" x14ac:dyDescent="0.25">
      <c r="A58">
        <v>47</v>
      </c>
      <c r="B58" s="6" t="n">
        <v>2072.770078423</v>
      </c>
      <c r="C58" s="9">
        <f si="0" t="shared"/>
        <v>1.1973122577399409E-2</v>
      </c>
      <c r="E58" s="371">
        <v>47</v>
      </c>
      <c r="F58" s="371" t="n">
        <v>295.0</v>
      </c>
      <c r="G58" s="9">
        <f si="1" t="shared"/>
        <v>1.7572740034539523E-3</v>
      </c>
    </row>
    <row r="59" spans="1:7" x14ac:dyDescent="0.25">
      <c r="A59">
        <v>48</v>
      </c>
      <c r="B59" s="6" t="n">
        <v>529.272159155</v>
      </c>
      <c r="C59" s="9">
        <f si="0" t="shared"/>
        <v>3.0572809325716418E-3</v>
      </c>
      <c r="E59" s="371">
        <v>48</v>
      </c>
      <c r="F59" s="371" t="n">
        <v>216.0</v>
      </c>
      <c r="G59" s="9">
        <f si="1" t="shared"/>
        <v>1.5603381237565266E-3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225.0</v>
      </c>
      <c r="G60" s="9">
        <f si="1" t="shared"/>
        <v>1.403799347586778E-3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227.0</v>
      </c>
      <c r="G61" s="9">
        <f si="1" t="shared"/>
        <v>1.2422109334760698E-3</v>
      </c>
    </row>
    <row r="62" spans="1:7" x14ac:dyDescent="0.25">
      <c r="A62">
        <v>51</v>
      </c>
      <c r="B62" s="6" t="n">
        <v>85.5353905136</v>
      </c>
      <c r="C62" s="9">
        <f si="0" t="shared"/>
        <v>4.9408553605918143E-4</v>
      </c>
      <c r="E62" s="371">
        <v>51</v>
      </c>
      <c r="F62" s="371" t="n">
        <v>212.0</v>
      </c>
      <c r="G62" s="9">
        <f si="1" t="shared"/>
        <v>1.1210196228930386E-3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180.0</v>
      </c>
      <c r="G63" s="9">
        <f si="1" t="shared"/>
        <v>1.0503246917196037E-3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146.0</v>
      </c>
      <c r="G64" s="9">
        <f si="1" t="shared"/>
        <v>1.0503246917196037E-3</v>
      </c>
    </row>
    <row r="65" spans="1:7" x14ac:dyDescent="0.25">
      <c r="A65">
        <v>54</v>
      </c>
      <c r="B65" s="6" t="n">
        <v>866.290983305</v>
      </c>
      <c r="C65" s="9">
        <f si="0" t="shared"/>
        <v>5.004032159079597E-3</v>
      </c>
      <c r="E65" s="371">
        <v>54</v>
      </c>
      <c r="F65" s="371" t="n">
        <v>147.0</v>
      </c>
      <c r="G65" s="9">
        <f si="1" t="shared"/>
        <v>8.9883555349081466E-4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145.0</v>
      </c>
      <c r="G66" s="9">
        <f si="1" t="shared"/>
        <v>8.432895361402587E-4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131.0</v>
      </c>
      <c r="G67" s="9">
        <f si="1" t="shared"/>
        <v>7.170485876162679E-4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121.0</v>
      </c>
      <c r="G68" s="9">
        <f si="1" t="shared"/>
        <v>6.1100619085611562E-4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109.0</v>
      </c>
      <c r="G69" s="9">
        <f si="1" t="shared"/>
        <v>5.6555944938747893E-4</v>
      </c>
    </row>
    <row r="70" spans="1:7" x14ac:dyDescent="0.25">
      <c r="A70">
        <v>59</v>
      </c>
      <c r="B70" s="6" t="n">
        <v>619.342925768</v>
      </c>
      <c r="C70" s="9">
        <f si="0" t="shared"/>
        <v>3.577564557139529E-3</v>
      </c>
      <c r="E70" s="371">
        <v>59</v>
      </c>
      <c r="F70" s="371" t="n">
        <v>87.0</v>
      </c>
      <c r="G70" s="9">
        <f si="1" t="shared"/>
        <v>5.0496379409596334E-4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118.0</v>
      </c>
      <c r="G71" s="9">
        <f si="1" t="shared"/>
        <v>7.2209822555722753E-4</v>
      </c>
    </row>
    <row r="72" spans="1:7" x14ac:dyDescent="0.25">
      <c r="A72">
        <v>61</v>
      </c>
      <c r="B72" s="6" t="n">
        <v>519.276353903</v>
      </c>
      <c r="C72" s="9">
        <f si="0" t="shared"/>
        <v>2.9995412909259722E-3</v>
      </c>
      <c r="E72" s="371">
        <v>61</v>
      </c>
      <c r="F72" s="371" t="n">
        <v>135.0</v>
      </c>
      <c r="G72" s="9">
        <f si="1" t="shared"/>
        <v>6.4130401850187341E-4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128.0</v>
      </c>
      <c r="G73" s="9">
        <f si="1" t="shared"/>
        <v>6.7160184614763121E-4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111.0</v>
      </c>
      <c r="G74" s="9">
        <f si="1" t="shared"/>
        <v>5.302119838007615E-4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106.0</v>
      </c>
      <c r="G75" s="9">
        <f si="1" t="shared"/>
        <v>5.2516234585980187E-4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116.0</v>
      </c>
      <c r="G76" s="9">
        <f si="1" t="shared"/>
        <v>5.6555944938747893E-4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115.0</v>
      </c>
      <c r="G77" s="9">
        <f ref="G77:G102" si="3" t="shared">F77/F$102</f>
        <v>6.6150257026571194E-4</v>
      </c>
    </row>
    <row r="78" spans="1:7" x14ac:dyDescent="0.25">
      <c r="A78">
        <v>67</v>
      </c>
      <c r="B78" s="6" t="n">
        <v>240.790838723</v>
      </c>
      <c r="C78" s="9">
        <f si="2" t="shared"/>
        <v>1.3909011219125386E-3</v>
      </c>
      <c r="E78" s="371">
        <v>67</v>
      </c>
      <c r="F78" s="371" t="n">
        <v>104.0</v>
      </c>
      <c r="G78" s="9">
        <f si="3" t="shared"/>
        <v>5.5546017350555966E-4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87.0</v>
      </c>
      <c r="G79" s="9">
        <f si="3" t="shared"/>
        <v>4.443681388044477E-4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88.0</v>
      </c>
      <c r="G80" s="9">
        <f si="3" t="shared"/>
        <v>4.1911994909964954E-4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95.0</v>
      </c>
      <c r="G81" s="9">
        <f si="3" t="shared"/>
        <v>6.0595655291515599E-4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92.0</v>
      </c>
      <c r="G82" s="9">
        <f si="3" t="shared"/>
        <v>4.7971560439116518E-4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105.0</v>
      </c>
      <c r="G83" s="9">
        <f si="3" t="shared"/>
        <v>6.4635365644283304E-4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79.0</v>
      </c>
      <c r="G84" s="9">
        <f si="3" t="shared"/>
        <v>3.5852429380813395E-4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72.0</v>
      </c>
      <c r="G85" s="9">
        <f si="3" t="shared"/>
        <v>3.5347465586717432E-4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75.0</v>
      </c>
      <c r="G86" s="9">
        <f si="3" t="shared"/>
        <v>3.6862356969005321E-4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84.0</v>
      </c>
      <c r="G87" s="9">
        <f si="3" t="shared"/>
        <v>3.8377248351293211E-4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90.0</v>
      </c>
      <c r="G88" s="9">
        <f si="3" t="shared"/>
        <v>4.5951705262732659E-4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45.0</v>
      </c>
      <c r="G89" s="9">
        <f si="3" t="shared"/>
        <v>3.1307755233949726E-4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68.0</v>
      </c>
      <c r="G90" s="9">
        <f si="3" t="shared"/>
        <v>3.6357393174909358E-4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60.0</v>
      </c>
      <c r="G91" s="9">
        <f si="3" t="shared"/>
        <v>2.0198551763838532E-4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52.0</v>
      </c>
      <c r="G92" s="9">
        <f si="3" t="shared"/>
        <v>2.9792863851661836E-4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60.0</v>
      </c>
      <c r="G93" s="9">
        <f si="3" t="shared"/>
        <v>4.6456669056828628E-4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49.0</v>
      </c>
      <c r="G94" s="9">
        <f si="3" t="shared"/>
        <v>2.878293626346991E-4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63.0</v>
      </c>
      <c r="G95" s="9">
        <f si="3" t="shared"/>
        <v>3.6862356969005321E-4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110.0</v>
      </c>
      <c r="G96" s="9">
        <f si="3" t="shared"/>
        <v>4.6456669056828628E-4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70.0</v>
      </c>
      <c r="G97" s="9">
        <f si="3" t="shared"/>
        <v>2.6763081087086057E-4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43.0</v>
      </c>
      <c r="G98" s="9">
        <f si="3" t="shared"/>
        <v>2.9287900057565873E-4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49.0</v>
      </c>
      <c r="G99" s="9">
        <f si="3" t="shared"/>
        <v>2.3733298322510277E-4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51.0</v>
      </c>
      <c r="G100" s="9">
        <f si="3" t="shared"/>
        <v>2.0703515557934495E-4</v>
      </c>
    </row>
    <row ht="15.75" r="101" spans="1:7" thickBot="1" x14ac:dyDescent="0.3">
      <c r="A101" s="1">
        <v>90</v>
      </c>
      <c r="B101" s="7" t="n">
        <v>489.03692263799996</v>
      </c>
      <c r="C101" s="9">
        <f si="2" t="shared"/>
        <v>2.8248666268251904E-3</v>
      </c>
      <c r="E101" s="372">
        <v>90</v>
      </c>
      <c r="F101" s="372" t="n">
        <v>2294.0</v>
      </c>
      <c r="G101" s="9">
        <f si="3" t="shared"/>
        <v>1.1538422695092762E-2</v>
      </c>
    </row>
    <row r="102" spans="1:7" x14ac:dyDescent="0.25">
      <c r="B102" s="6">
        <f>SUM(B11:B101)</f>
        <v>173118.58832344893</v>
      </c>
      <c r="C102" s="9">
        <f si="2" t="shared"/>
        <v>1</v>
      </c>
      <c r="F102" s="6">
        <f>SUM(F11:F101)</f>
        <v>198034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35543.0140405147</v>
      </c>
      <c r="C11" s="9">
        <f>B11/B$102</f>
        <v>0.182936851148471</v>
      </c>
      <c r="E11" s="371">
        <v>0</v>
      </c>
      <c r="F11" s="371" t="n">
        <v>44599.0</v>
      </c>
      <c r="G11" s="9">
        <f>F11/F$102</f>
        <v>0.19720182176475268</v>
      </c>
      <c r="K11" s="6" t="n">
        <v>4.252759439908437</v>
      </c>
      <c r="L11" s="6" t="n">
        <v>4.505413793040287</v>
      </c>
    </row>
    <row r="12" spans="1:12" x14ac:dyDescent="0.25">
      <c r="A12">
        <v>1</v>
      </c>
      <c r="B12" s="6" t="n">
        <v>42615.6035499335</v>
      </c>
      <c r="C12" s="9">
        <f>B12/B$102</f>
        <v>0.21933886401220748</v>
      </c>
      <c r="E12" s="371">
        <v>1</v>
      </c>
      <c r="F12" s="371" t="n">
        <v>35029.0</v>
      </c>
      <c r="G12" s="9">
        <f>F12/F$102</f>
        <v>0.16246565467915502</v>
      </c>
      <c r="K12" s="6"/>
      <c r="L12" s="371"/>
    </row>
    <row r="13" spans="1:12" x14ac:dyDescent="0.25">
      <c r="A13">
        <v>2</v>
      </c>
      <c r="B13" s="6" t="n">
        <v>20164.856846628</v>
      </c>
      <c r="C13" s="9">
        <f ref="C13:C76" si="0" t="shared">B13/B$102</f>
        <v>0.10378679228432686</v>
      </c>
      <c r="E13" s="371">
        <v>2</v>
      </c>
      <c r="F13" s="371" t="n">
        <v>26310.0</v>
      </c>
      <c r="G13" s="9">
        <f ref="G13:G76" si="1" t="shared">F13/F$102</f>
        <v>0.12032915338491568</v>
      </c>
    </row>
    <row r="14" spans="1:12" x14ac:dyDescent="0.25">
      <c r="A14">
        <v>3</v>
      </c>
      <c r="B14" s="6" t="n">
        <v>19998.015379553</v>
      </c>
      <c r="C14" s="9">
        <f si="0" t="shared"/>
        <v>0.10292807353321302</v>
      </c>
      <c r="E14" s="371">
        <v>3</v>
      </c>
      <c r="F14" s="371" t="n">
        <v>21948.0</v>
      </c>
      <c r="G14" s="9">
        <f si="1" t="shared"/>
        <v>0.10292128309905962</v>
      </c>
    </row>
    <row r="15" spans="1:12" x14ac:dyDescent="0.25">
      <c r="A15">
        <v>4</v>
      </c>
      <c r="B15" s="6" t="n">
        <v>14587.5544958769</v>
      </c>
      <c r="C15" s="9">
        <f si="0" t="shared"/>
        <v>7.5080894444983226E-2</v>
      </c>
      <c r="E15" s="371">
        <v>4</v>
      </c>
      <c r="F15" s="371" t="n">
        <v>19693.0</v>
      </c>
      <c r="G15" s="9">
        <f si="1" t="shared"/>
        <v>9.2197585646815419E-2</v>
      </c>
    </row>
    <row r="16" spans="1:12" x14ac:dyDescent="0.25">
      <c r="A16">
        <v>5</v>
      </c>
      <c r="B16" s="6" t="n">
        <v>11915.1580709434</v>
      </c>
      <c r="C16" s="9">
        <f si="0" t="shared"/>
        <v>6.1326298775620396E-2</v>
      </c>
      <c r="E16" s="371">
        <v>5</v>
      </c>
      <c r="F16" s="371" t="n">
        <v>14135.0</v>
      </c>
      <c r="G16" s="9">
        <f si="1" t="shared"/>
        <v>6.6780878023207368E-2</v>
      </c>
    </row>
    <row r="17" spans="1:7" x14ac:dyDescent="0.25">
      <c r="A17">
        <v>6</v>
      </c>
      <c r="B17" s="6" t="n">
        <v>9071.8939691464</v>
      </c>
      <c r="C17" s="9">
        <f si="0" t="shared"/>
        <v>4.6692261797964672E-2</v>
      </c>
      <c r="E17" s="371">
        <v>6</v>
      </c>
      <c r="F17" s="371" t="n">
        <v>9856.0</v>
      </c>
      <c r="G17" s="9">
        <f si="1" t="shared"/>
        <v>4.6264960985587834E-2</v>
      </c>
    </row>
    <row r="18" spans="1:7" x14ac:dyDescent="0.25">
      <c r="A18">
        <v>7</v>
      </c>
      <c r="B18" s="6" t="n">
        <v>5741.9641598794005</v>
      </c>
      <c r="C18" s="9">
        <f si="0" t="shared"/>
        <v>2.9553398077562191E-2</v>
      </c>
      <c r="E18" s="371">
        <v>7</v>
      </c>
      <c r="F18" s="371" t="n">
        <v>7383.0</v>
      </c>
      <c r="G18" s="9">
        <f si="1" t="shared"/>
        <v>3.6435295053805716E-2</v>
      </c>
    </row>
    <row r="19" spans="1:7" x14ac:dyDescent="0.25">
      <c r="A19">
        <v>8</v>
      </c>
      <c r="B19" s="6" t="n">
        <v>5942.5314954059995</v>
      </c>
      <c r="C19" s="9">
        <f si="0" t="shared"/>
        <v>3.0585700987007389E-2</v>
      </c>
      <c r="E19" s="371">
        <v>8</v>
      </c>
      <c r="F19" s="371" t="n">
        <v>6242.0</v>
      </c>
      <c r="G19" s="9">
        <f si="1" t="shared"/>
        <v>2.9484317002045506E-2</v>
      </c>
    </row>
    <row r="20" spans="1:7" x14ac:dyDescent="0.25">
      <c r="A20">
        <v>9</v>
      </c>
      <c r="B20" s="6" t="n">
        <v>3884.065301878</v>
      </c>
      <c r="C20" s="9">
        <f si="0" t="shared"/>
        <v>1.9990951672547219E-2</v>
      </c>
      <c r="E20" s="371">
        <v>9</v>
      </c>
      <c r="F20" s="371" t="n">
        <v>4262.0</v>
      </c>
      <c r="G20" s="9">
        <f si="1" t="shared"/>
        <v>1.9523588857839627E-2</v>
      </c>
    </row>
    <row r="21" spans="1:7" x14ac:dyDescent="0.25">
      <c r="A21">
        <v>10</v>
      </c>
      <c r="B21" s="6" t="n">
        <v>1080.537911616</v>
      </c>
      <c r="C21" s="9">
        <f si="0" t="shared"/>
        <v>5.5614361481065152E-3</v>
      </c>
      <c r="E21" s="371">
        <v>10</v>
      </c>
      <c r="F21" s="371" t="n">
        <v>3604.0</v>
      </c>
      <c r="G21" s="9">
        <f si="1" t="shared"/>
        <v>1.7309573626538226E-2</v>
      </c>
    </row>
    <row r="22" spans="1:7" x14ac:dyDescent="0.25">
      <c r="A22">
        <v>11</v>
      </c>
      <c r="B22" s="6" t="n">
        <v>2300.769853712</v>
      </c>
      <c r="C22" s="9">
        <f si="0" t="shared"/>
        <v>1.1841865514714982E-2</v>
      </c>
      <c r="E22" s="371">
        <v>11</v>
      </c>
      <c r="F22" s="371" t="n">
        <v>3260.0</v>
      </c>
      <c r="G22" s="9">
        <f si="1" t="shared"/>
        <v>1.6017674675504006E-2</v>
      </c>
    </row>
    <row r="23" spans="1:7" x14ac:dyDescent="0.25">
      <c r="A23">
        <v>12</v>
      </c>
      <c r="B23" s="6" t="n">
        <v>4296.6739143963005</v>
      </c>
      <c r="C23" s="9">
        <f si="0" t="shared"/>
        <v>2.2114612886106597E-2</v>
      </c>
      <c r="E23" s="371">
        <v>12</v>
      </c>
      <c r="F23" s="371" t="n">
        <v>3146.0</v>
      </c>
      <c r="G23" s="9">
        <f si="1" t="shared"/>
        <v>1.5666615177940359E-2</v>
      </c>
    </row>
    <row r="24" spans="1:7" x14ac:dyDescent="0.25">
      <c r="A24">
        <v>13</v>
      </c>
      <c r="B24" s="6" t="n">
        <v>2495.0364803184</v>
      </c>
      <c r="C24" s="9">
        <f si="0" t="shared"/>
        <v>1.2841739214624085E-2</v>
      </c>
      <c r="E24" s="371">
        <v>13</v>
      </c>
      <c r="F24" s="371" t="n">
        <v>2557.0</v>
      </c>
      <c r="G24" s="9">
        <f si="1" t="shared"/>
        <v>1.3621108505469506E-2</v>
      </c>
    </row>
    <row r="25" spans="1:7" x14ac:dyDescent="0.25">
      <c r="A25">
        <v>14</v>
      </c>
      <c r="B25" s="6" t="n">
        <v>3565.706784913</v>
      </c>
      <c r="C25" s="9">
        <f si="0" t="shared"/>
        <v>1.8352387633957575E-2</v>
      </c>
      <c r="E25" s="371">
        <v>14</v>
      </c>
      <c r="F25" s="371" t="n">
        <v>2168.0</v>
      </c>
      <c r="G25" s="9">
        <f si="1" t="shared"/>
        <v>1.0971779497189183E-2</v>
      </c>
    </row>
    <row r="26" spans="1:7" x14ac:dyDescent="0.25">
      <c r="A26">
        <v>15</v>
      </c>
      <c r="B26" s="6" t="n">
        <v>2432.32351234</v>
      </c>
      <c r="C26" s="9">
        <f si="0" t="shared"/>
        <v>1.2518960936027168E-2</v>
      </c>
      <c r="E26" s="371">
        <v>15</v>
      </c>
      <c r="F26" s="371" t="n">
        <v>1902.0</v>
      </c>
      <c r="G26" s="9">
        <f si="1" t="shared"/>
        <v>9.4598832610150764E-3</v>
      </c>
    </row>
    <row r="27" spans="1:7" x14ac:dyDescent="0.25">
      <c r="A27">
        <v>16</v>
      </c>
      <c r="B27" s="6" t="n">
        <v>1502.299402096</v>
      </c>
      <c r="C27" s="9">
        <f si="0" t="shared"/>
        <v>7.7322064411421291E-3</v>
      </c>
      <c r="E27" s="371">
        <v>16</v>
      </c>
      <c r="F27" s="371" t="n">
        <v>1488.0</v>
      </c>
      <c r="G27" s="9">
        <f si="1" t="shared"/>
        <v>7.9011790918324838E-3</v>
      </c>
    </row>
    <row r="28" spans="1:7" x14ac:dyDescent="0.25">
      <c r="A28">
        <v>17</v>
      </c>
      <c r="B28" s="6" t="n">
        <v>0.0</v>
      </c>
      <c r="C28" s="9">
        <f si="0" t="shared"/>
        <v>0</v>
      </c>
      <c r="E28" s="371">
        <v>17</v>
      </c>
      <c r="F28" s="371" t="n">
        <v>1300.0</v>
      </c>
      <c r="G28" s="9">
        <f si="1" t="shared"/>
        <v>6.7497039398237216E-3</v>
      </c>
    </row>
    <row r="29" spans="1:7" x14ac:dyDescent="0.25">
      <c r="A29">
        <v>18</v>
      </c>
      <c r="B29" s="6" t="n">
        <v>989.749575976</v>
      </c>
      <c r="C29" s="9">
        <f si="0" t="shared"/>
        <v>5.0941563551193366E-3</v>
      </c>
      <c r="E29" s="371">
        <v>18</v>
      </c>
      <c r="F29" s="371" t="n">
        <v>1020.0</v>
      </c>
      <c r="G29" s="9">
        <f si="1" t="shared"/>
        <v>5.2986580165606464E-3</v>
      </c>
    </row>
    <row r="30" spans="1:7" x14ac:dyDescent="0.25">
      <c r="A30">
        <v>19</v>
      </c>
      <c r="B30" s="6" t="n">
        <v>2451.593456127</v>
      </c>
      <c r="C30" s="9">
        <f si="0" t="shared"/>
        <v>1.2618141687388984E-2</v>
      </c>
      <c r="E30" s="371">
        <v>19</v>
      </c>
      <c r="F30" s="371" t="n">
        <v>775.0</v>
      </c>
      <c r="G30" s="9">
        <f si="1" t="shared"/>
        <v>4.2735642836747969E-3</v>
      </c>
    </row>
    <row r="31" spans="1:7" x14ac:dyDescent="0.25">
      <c r="A31">
        <v>20</v>
      </c>
      <c r="B31" s="6" t="n">
        <v>661.2145745398</v>
      </c>
      <c r="C31" s="9">
        <f si="0" t="shared"/>
        <v>3.4032148219592948E-3</v>
      </c>
      <c r="E31" s="371">
        <v>20</v>
      </c>
      <c r="F31" s="371" t="n">
        <v>585.0</v>
      </c>
      <c r="G31" s="9">
        <f si="1" t="shared"/>
        <v>3.4310214895220442E-3</v>
      </c>
    </row>
    <row r="32" spans="1:7" x14ac:dyDescent="0.25">
      <c r="A32">
        <v>21</v>
      </c>
      <c r="B32" s="6" t="n">
        <v>941.406834074</v>
      </c>
      <c r="C32" s="9">
        <f si="0" t="shared"/>
        <v>4.8453404001934427E-3</v>
      </c>
      <c r="E32" s="371">
        <v>21</v>
      </c>
      <c r="F32" s="371" t="n">
        <v>523.0</v>
      </c>
      <c r="G32" s="9">
        <f si="1" t="shared"/>
        <v>3.0659196120558512E-3</v>
      </c>
    </row>
    <row r="33" spans="1:7" x14ac:dyDescent="0.25">
      <c r="A33">
        <v>22</v>
      </c>
      <c r="B33" s="6" t="n">
        <v>771.128994947</v>
      </c>
      <c r="C33" s="9">
        <f si="0" t="shared"/>
        <v>3.968934936246238E-3</v>
      </c>
      <c r="E33" s="371">
        <v>22</v>
      </c>
      <c r="F33" s="371" t="n">
        <v>425.0</v>
      </c>
      <c r="G33" s="9">
        <f si="1" t="shared"/>
        <v>2.2889079241149792E-3</v>
      </c>
    </row>
    <row r="34" spans="1:7" x14ac:dyDescent="0.25">
      <c r="A34">
        <v>23</v>
      </c>
      <c r="B34" s="6" t="n">
        <v>0.0</v>
      </c>
      <c r="C34" s="9">
        <f si="0" t="shared"/>
        <v>0</v>
      </c>
      <c r="E34" s="371">
        <v>23</v>
      </c>
      <c r="F34" s="371" t="n">
        <v>370.0</v>
      </c>
      <c r="G34" s="9">
        <f si="1" t="shared"/>
        <v>1.9472100131530292E-3</v>
      </c>
    </row>
    <row r="35" spans="1:7" x14ac:dyDescent="0.25">
      <c r="A35">
        <v>24</v>
      </c>
      <c r="B35" s="6" t="n">
        <v>701.195841893</v>
      </c>
      <c r="C35" s="9">
        <f si="0" t="shared"/>
        <v>3.6089949830391192E-3</v>
      </c>
      <c r="E35" s="371">
        <v>24</v>
      </c>
      <c r="F35" s="371" t="n">
        <v>260.0</v>
      </c>
      <c r="G35" s="9">
        <f si="1" t="shared"/>
        <v>1.4791306830681664E-3</v>
      </c>
    </row>
    <row r="36" spans="1:7" x14ac:dyDescent="0.25">
      <c r="A36">
        <v>25</v>
      </c>
      <c r="B36" s="6" t="n">
        <v>0.0</v>
      </c>
      <c r="C36" s="9">
        <f si="0" t="shared"/>
        <v>0</v>
      </c>
      <c r="E36" s="371">
        <v>25</v>
      </c>
      <c r="F36" s="371" t="n">
        <v>196.0</v>
      </c>
      <c r="G36" s="9">
        <f si="1" t="shared"/>
        <v>1.334026090741859E-3</v>
      </c>
    </row>
    <row r="37" spans="1:7" x14ac:dyDescent="0.25">
      <c r="A37">
        <v>26</v>
      </c>
      <c r="B37" s="6" t="n">
        <v>0.0</v>
      </c>
      <c r="C37" s="9">
        <f si="0" t="shared"/>
        <v>0</v>
      </c>
      <c r="E37" s="371">
        <v>26</v>
      </c>
      <c r="F37" s="371" t="n">
        <v>169.0</v>
      </c>
      <c r="G37" s="9">
        <f si="1" t="shared"/>
        <v>8.612659673561475E-4</v>
      </c>
    </row>
    <row r="38" spans="1:7" x14ac:dyDescent="0.25">
      <c r="A38">
        <v>27</v>
      </c>
      <c r="B38" s="6" t="n">
        <v>0.0</v>
      </c>
      <c r="C38" s="9">
        <f si="0" t="shared"/>
        <v>0</v>
      </c>
      <c r="E38" s="371">
        <v>27</v>
      </c>
      <c r="F38" s="371" t="n">
        <v>136.0</v>
      </c>
      <c r="G38" s="9">
        <f si="1" t="shared"/>
        <v>7.3488454823323452E-4</v>
      </c>
    </row>
    <row r="39" spans="1:7" x14ac:dyDescent="0.25">
      <c r="A39">
        <v>28</v>
      </c>
      <c r="B39" s="6" t="n">
        <v>0.0</v>
      </c>
      <c r="C39" s="9">
        <f si="0" t="shared"/>
        <v>0</v>
      </c>
      <c r="E39" s="371">
        <v>28</v>
      </c>
      <c r="F39" s="371" t="n">
        <v>90.0</v>
      </c>
      <c r="G39" s="9">
        <f si="1" t="shared"/>
        <v>6.9743820182644552E-4</v>
      </c>
    </row>
    <row r="40" spans="1:7" x14ac:dyDescent="0.25">
      <c r="A40">
        <v>29</v>
      </c>
      <c r="B40" s="6" t="n">
        <v>0.0</v>
      </c>
      <c r="C40" s="9">
        <f si="0" t="shared"/>
        <v>0</v>
      </c>
      <c r="E40" s="371">
        <v>29</v>
      </c>
      <c r="F40" s="371" t="n">
        <v>90.0</v>
      </c>
      <c r="G40" s="9">
        <f si="1" t="shared"/>
        <v>5.8977995590692709E-4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65.0</v>
      </c>
      <c r="G41" s="9">
        <f si="1" t="shared"/>
        <v>4.0254822387298197E-4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54.0</v>
      </c>
      <c r="G42" s="9">
        <f si="1" t="shared"/>
        <v>2.8552839135176632E-4</v>
      </c>
    </row>
    <row r="43" spans="1:7" x14ac:dyDescent="0.25">
      <c r="A43">
        <v>32</v>
      </c>
      <c r="B43" s="6" t="n">
        <v>464.442048857</v>
      </c>
      <c r="C43" s="9">
        <f si="0" t="shared"/>
        <v>2.390443473983264E-3</v>
      </c>
      <c r="E43" s="371">
        <v>32</v>
      </c>
      <c r="F43" s="371" t="n">
        <v>43.0</v>
      </c>
      <c r="G43" s="9">
        <f si="1" t="shared"/>
        <v>3.0425156455516082E-4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30.0</v>
      </c>
      <c r="G44" s="9">
        <f si="1" t="shared"/>
        <v>3.0425156455516082E-4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26.0</v>
      </c>
      <c r="G45" s="9">
        <f si="1" t="shared"/>
        <v>1.4510459232630745E-4</v>
      </c>
    </row>
    <row r="46" spans="1:7" x14ac:dyDescent="0.25">
      <c r="A46">
        <v>35</v>
      </c>
      <c r="B46" s="6" t="n">
        <v>172.429102711</v>
      </c>
      <c r="C46" s="9">
        <f si="0" t="shared"/>
        <v>8.8747783348791759E-4</v>
      </c>
      <c r="E46" s="371">
        <v>35</v>
      </c>
      <c r="F46" s="371" t="n">
        <v>20.0</v>
      </c>
      <c r="G46" s="9">
        <f si="1" t="shared"/>
        <v>1.3106221242376159E-4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27.0</v>
      </c>
      <c r="G47" s="9">
        <f si="1" t="shared"/>
        <v>1.170198325212157E-4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8.0</v>
      </c>
      <c r="G48" s="9">
        <f si="1" t="shared"/>
        <v>1.4510459232630745E-4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19.0</v>
      </c>
      <c r="G49" s="9">
        <f si="1" t="shared"/>
        <v>1.7318935213139923E-4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5.0</v>
      </c>
      <c r="G50" s="9">
        <f si="1" t="shared"/>
        <v>1.2638141912291295E-4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16.0</v>
      </c>
      <c r="G51" s="9">
        <f si="1" t="shared"/>
        <v>8.8935072716123922E-5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6.0</v>
      </c>
      <c r="G52" s="9">
        <f si="1" t="shared"/>
        <v>8.4254279415275297E-5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9.0</v>
      </c>
      <c r="G53" s="9">
        <f si="1" t="shared"/>
        <v>7.0211899512729421E-5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10.0</v>
      </c>
      <c r="G54" s="9">
        <f si="1" t="shared"/>
        <v>5.1488726309334906E-5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6.0</v>
      </c>
      <c r="G55" s="9">
        <f si="1" t="shared"/>
        <v>3.7446346406789023E-5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7.0</v>
      </c>
      <c r="G56" s="9">
        <f si="1" t="shared"/>
        <v>4.2127139707637648E-5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1.0</v>
      </c>
      <c r="G57" s="9">
        <f si="1" t="shared"/>
        <v>3.7446346406789023E-5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2.0</v>
      </c>
      <c r="G58" s="9">
        <f si="1" t="shared"/>
        <v>2.340396650424314E-5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3.0</v>
      </c>
      <c r="G59" s="9">
        <f si="1" t="shared"/>
        <v>2.8084759805091766E-5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2.0</v>
      </c>
      <c r="G60" s="9">
        <f si="1" t="shared"/>
        <v>3.2765553105940398E-5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1.0</v>
      </c>
      <c r="G61" s="9">
        <f si="1" t="shared"/>
        <v>1.8723173203394512E-5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1.0</v>
      </c>
      <c r="G62" s="9">
        <f si="1" t="shared"/>
        <v>9.3615866016972558E-6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0.0</v>
      </c>
      <c r="G63" s="9">
        <f si="1" t="shared"/>
        <v>4.6807933008486279E-6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0.0</v>
      </c>
      <c r="G64" s="9">
        <f si="1" t="shared"/>
        <v>4.6807933008486279E-6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0.0</v>
      </c>
      <c r="G65" s="9">
        <f si="1" t="shared"/>
        <v>9.3615866016972558E-6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0.0</v>
      </c>
      <c r="G66" s="9">
        <f si="1" t="shared"/>
        <v>9.3615866016972558E-6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1.0</v>
      </c>
      <c r="G67" s="9">
        <f si="1" t="shared"/>
        <v>0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1.0</v>
      </c>
      <c r="G68" s="9">
        <f si="1" t="shared"/>
        <v>4.6807933008486279E-6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0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0.0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4.6807933008486279E-6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194291.16559827578</v>
      </c>
      <c r="C102" s="9">
        <f si="2" t="shared"/>
        <v>1</v>
      </c>
      <c r="F102" s="6">
        <f>SUM(F11:F101)</f>
        <v>213639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1928.2538946519999</v>
      </c>
      <c r="C11" s="9">
        <f>B11/B$102</f>
        <v>9.9245577569848711E-3</v>
      </c>
      <c r="E11" s="371">
        <v>0</v>
      </c>
      <c r="F11" s="371" t="n">
        <v>1936.0</v>
      </c>
      <c r="G11" s="9">
        <f>F11/F$102</f>
        <v>9.2398859758751912E-3</v>
      </c>
      <c r="K11" s="6" t="n">
        <v>12.812667947849283</v>
      </c>
      <c r="L11" s="6" t="n">
        <v>14.79618034735574</v>
      </c>
    </row>
    <row r="12" spans="1:12" x14ac:dyDescent="0.25">
      <c r="A12">
        <v>1</v>
      </c>
      <c r="B12" s="6" t="n">
        <v>1838.9710621157</v>
      </c>
      <c r="C12" s="9">
        <f>B12/B$102</f>
        <v>9.4650266596167879E-3</v>
      </c>
      <c r="E12" s="371">
        <v>1</v>
      </c>
      <c r="F12" s="371" t="n">
        <v>5645.0</v>
      </c>
      <c r="G12" s="9">
        <f>F12/F$102</f>
        <v>2.5730320774764906E-2</v>
      </c>
      <c r="K12" s="6"/>
      <c r="L12" s="371"/>
    </row>
    <row r="13" spans="1:12" x14ac:dyDescent="0.25">
      <c r="A13">
        <v>2</v>
      </c>
      <c r="B13" s="6" t="n">
        <v>7102.1596210714</v>
      </c>
      <c r="C13" s="9">
        <f ref="C13:C76" si="0" t="shared">B13/B$102</f>
        <v>3.6554207697513698E-2</v>
      </c>
      <c r="E13" s="371">
        <v>2</v>
      </c>
      <c r="F13" s="371" t="n">
        <v>7975.0</v>
      </c>
      <c r="G13" s="9">
        <f ref="G13:G76" si="1" t="shared">F13/F$102</f>
        <v>3.6959543903500765E-2</v>
      </c>
    </row>
    <row r="14" spans="1:12" x14ac:dyDescent="0.25">
      <c r="A14">
        <v>3</v>
      </c>
      <c r="B14" s="6" t="n">
        <v>14178.5866912737</v>
      </c>
      <c r="C14" s="9">
        <f si="0" t="shared"/>
        <v>7.2975972158147009E-2</v>
      </c>
      <c r="E14" s="371">
        <v>3</v>
      </c>
      <c r="F14" s="371" t="n">
        <v>10889.0</v>
      </c>
      <c r="G14" s="9">
        <f si="1" t="shared"/>
        <v>4.9714705648313276E-2</v>
      </c>
    </row>
    <row r="15" spans="1:12" x14ac:dyDescent="0.25">
      <c r="A15">
        <v>4</v>
      </c>
      <c r="B15" s="6" t="n">
        <v>12627.4939158993</v>
      </c>
      <c r="C15" s="9">
        <f si="0" t="shared"/>
        <v>6.4992630400954085E-2</v>
      </c>
      <c r="E15" s="371">
        <v>4</v>
      </c>
      <c r="F15" s="371" t="n">
        <v>14497.0</v>
      </c>
      <c r="G15" s="9">
        <f si="1" t="shared"/>
        <v>6.5610679697995222E-2</v>
      </c>
    </row>
    <row r="16" spans="1:12" x14ac:dyDescent="0.25">
      <c r="A16">
        <v>5</v>
      </c>
      <c r="B16" s="6" t="n">
        <v>22861.6629622368</v>
      </c>
      <c r="C16" s="9">
        <f si="0" t="shared"/>
        <v>0.11766702254237588</v>
      </c>
      <c r="E16" s="371">
        <v>5</v>
      </c>
      <c r="F16" s="371" t="n">
        <v>15809.0</v>
      </c>
      <c r="G16" s="9">
        <f si="1" t="shared"/>
        <v>7.2407191570827423E-2</v>
      </c>
    </row>
    <row r="17" spans="1:7" x14ac:dyDescent="0.25">
      <c r="A17">
        <v>6</v>
      </c>
      <c r="B17" s="6" t="n">
        <v>11953.318504145</v>
      </c>
      <c r="C17" s="9">
        <f si="0" t="shared"/>
        <v>6.1522707259166705E-2</v>
      </c>
      <c r="E17" s="371">
        <v>6</v>
      </c>
      <c r="F17" s="371" t="n">
        <v>15279.0</v>
      </c>
      <c r="G17" s="9">
        <f si="1" t="shared"/>
        <v>6.9987221434288677E-2</v>
      </c>
    </row>
    <row r="18" spans="1:7" x14ac:dyDescent="0.25">
      <c r="A18">
        <v>7</v>
      </c>
      <c r="B18" s="6" t="n">
        <v>16025.6404698743</v>
      </c>
      <c r="C18" s="9">
        <f si="0" t="shared"/>
        <v>8.2482599867713807E-2</v>
      </c>
      <c r="E18" s="371">
        <v>7</v>
      </c>
      <c r="F18" s="371" t="n">
        <v>14638.0</v>
      </c>
      <c r="G18" s="9">
        <f si="1" t="shared"/>
        <v>6.6097482201283475E-2</v>
      </c>
    </row>
    <row r="19" spans="1:7" x14ac:dyDescent="0.25">
      <c r="A19">
        <v>8</v>
      </c>
      <c r="B19" s="6" t="n">
        <v>10794.3682639019</v>
      </c>
      <c r="C19" s="9">
        <f si="0" t="shared"/>
        <v>5.5557689566908937E-2</v>
      </c>
      <c r="E19" s="371">
        <v>8</v>
      </c>
      <c r="F19" s="371" t="n">
        <v>13358.0</v>
      </c>
      <c r="G19" s="9">
        <f si="1" t="shared"/>
        <v>5.9048207490205437E-2</v>
      </c>
    </row>
    <row r="20" spans="1:7" x14ac:dyDescent="0.25">
      <c r="A20">
        <v>9</v>
      </c>
      <c r="B20" s="6" t="n">
        <v>9236.2523126447</v>
      </c>
      <c r="C20" s="9">
        <f si="0" t="shared"/>
        <v>4.7538200124559171E-2</v>
      </c>
      <c r="E20" s="371">
        <v>9</v>
      </c>
      <c r="F20" s="371" t="n">
        <v>10894.0</v>
      </c>
      <c r="G20" s="9">
        <f si="1" t="shared"/>
        <v>5.1938082466216375E-2</v>
      </c>
    </row>
    <row r="21" spans="1:7" x14ac:dyDescent="0.25">
      <c r="A21">
        <v>10</v>
      </c>
      <c r="B21" s="6" t="n">
        <v>9142.1707526468</v>
      </c>
      <c r="C21" s="9">
        <f si="0" t="shared"/>
        <v>4.7053970387668169E-2</v>
      </c>
      <c r="E21" s="371">
        <v>10</v>
      </c>
      <c r="F21" s="371" t="n">
        <v>10026.0</v>
      </c>
      <c r="G21" s="9">
        <f si="1" t="shared"/>
        <v>4.4963700447951921E-2</v>
      </c>
    </row>
    <row r="22" spans="1:7" x14ac:dyDescent="0.25">
      <c r="A22">
        <v>11</v>
      </c>
      <c r="B22" s="6" t="n">
        <v>5205.8307231851995</v>
      </c>
      <c r="C22" s="9">
        <f si="0" t="shared"/>
        <v>2.6793965166429571E-2</v>
      </c>
      <c r="E22" s="371">
        <v>11</v>
      </c>
      <c r="F22" s="371" t="n">
        <v>8507.0</v>
      </c>
      <c r="G22" s="9">
        <f si="1" t="shared"/>
        <v>4.0493542845641481E-2</v>
      </c>
    </row>
    <row r="23" spans="1:7" x14ac:dyDescent="0.25">
      <c r="A23">
        <v>12</v>
      </c>
      <c r="B23" s="6" t="n">
        <v>6624.150139864</v>
      </c>
      <c r="C23" s="9">
        <f si="0" t="shared"/>
        <v>3.4093933810456209E-2</v>
      </c>
      <c r="E23" s="371">
        <v>12</v>
      </c>
      <c r="F23" s="371" t="n">
        <v>7742.0</v>
      </c>
      <c r="G23" s="9">
        <f si="1" t="shared"/>
        <v>3.3898305084745763E-2</v>
      </c>
    </row>
    <row r="24" spans="1:7" x14ac:dyDescent="0.25">
      <c r="A24">
        <v>13</v>
      </c>
      <c r="B24" s="6" t="n">
        <v>4754.5338815035</v>
      </c>
      <c r="C24" s="9">
        <f si="0" t="shared"/>
        <v>2.4471178948682445E-2</v>
      </c>
      <c r="E24" s="371">
        <v>13</v>
      </c>
      <c r="F24" s="371" t="n">
        <v>6097.0</v>
      </c>
      <c r="G24" s="9">
        <f si="1" t="shared"/>
        <v>2.8187737257710437E-2</v>
      </c>
    </row>
    <row r="25" spans="1:7" x14ac:dyDescent="0.25">
      <c r="A25">
        <v>14</v>
      </c>
      <c r="B25" s="6" t="n">
        <v>2064.6482364060003</v>
      </c>
      <c r="C25" s="9">
        <f si="0" t="shared"/>
        <v>1.0626567760033671E-2</v>
      </c>
      <c r="E25" s="371">
        <v>14</v>
      </c>
      <c r="F25" s="371" t="n">
        <v>4766.0</v>
      </c>
      <c r="G25" s="9">
        <f si="1" t="shared"/>
        <v>2.1817177575255454E-2</v>
      </c>
    </row>
    <row r="26" spans="1:7" x14ac:dyDescent="0.25">
      <c r="A26">
        <v>15</v>
      </c>
      <c r="B26" s="6" t="n">
        <v>4817.256148157</v>
      </c>
      <c r="C26" s="9">
        <f si="0" t="shared"/>
        <v>2.4794005086764229E-2</v>
      </c>
      <c r="E26" s="371">
        <v>15</v>
      </c>
      <c r="F26" s="371" t="n">
        <v>4197.0</v>
      </c>
      <c r="G26" s="9">
        <f si="1" t="shared"/>
        <v>1.9635927897059993E-2</v>
      </c>
    </row>
    <row r="27" spans="1:7" x14ac:dyDescent="0.25">
      <c r="A27">
        <v>16</v>
      </c>
      <c r="B27" s="6" t="n">
        <v>4255.6834027212</v>
      </c>
      <c r="C27" s="9">
        <f si="0" t="shared"/>
        <v>2.1903638230882934E-2</v>
      </c>
      <c r="E27" s="371">
        <v>16</v>
      </c>
      <c r="F27" s="371" t="n">
        <v>3938.0</v>
      </c>
      <c r="G27" s="9">
        <f si="1" t="shared"/>
        <v>1.7763610576720542E-2</v>
      </c>
    </row>
    <row r="28" spans="1:7" x14ac:dyDescent="0.25">
      <c r="A28">
        <v>17</v>
      </c>
      <c r="B28" s="6" t="n">
        <v>1721.110428598</v>
      </c>
      <c r="C28" s="9">
        <f si="0" t="shared"/>
        <v>8.8584080665645767E-3</v>
      </c>
      <c r="E28" s="371">
        <v>17</v>
      </c>
      <c r="F28" s="371" t="n">
        <v>3623.0</v>
      </c>
      <c r="G28" s="9">
        <f si="1" t="shared"/>
        <v>1.6551285111800748E-2</v>
      </c>
    </row>
    <row r="29" spans="1:7" x14ac:dyDescent="0.25">
      <c r="A29">
        <v>18</v>
      </c>
      <c r="B29" s="6" t="n">
        <v>1623.290730663</v>
      </c>
      <c r="C29" s="9">
        <f si="0" t="shared"/>
        <v>8.3549384536576472E-3</v>
      </c>
      <c r="E29" s="371">
        <v>18</v>
      </c>
      <c r="F29" s="371" t="n">
        <v>4257.0</v>
      </c>
      <c r="G29" s="9">
        <f si="1" t="shared"/>
        <v>2.0665702423246692E-2</v>
      </c>
    </row>
    <row r="30" spans="1:7" x14ac:dyDescent="0.25">
      <c r="A30">
        <v>19</v>
      </c>
      <c r="B30" s="6" t="n">
        <v>3383.02432077</v>
      </c>
      <c r="C30" s="9">
        <f si="0" t="shared"/>
        <v>1.7412136626761904E-2</v>
      </c>
      <c r="E30" s="371">
        <v>19</v>
      </c>
      <c r="F30" s="371" t="n">
        <v>3805.0</v>
      </c>
      <c r="G30" s="9">
        <f si="1" t="shared"/>
        <v>1.8049138968072309E-2</v>
      </c>
    </row>
    <row r="31" spans="1:7" x14ac:dyDescent="0.25">
      <c r="A31">
        <v>20</v>
      </c>
      <c r="B31" s="6" t="n">
        <v>6015.704121338</v>
      </c>
      <c r="C31" s="9">
        <f si="0" t="shared"/>
        <v>3.0962314229851871E-2</v>
      </c>
      <c r="E31" s="371">
        <v>20</v>
      </c>
      <c r="F31" s="371" t="n">
        <v>3461.0</v>
      </c>
      <c r="G31" s="9">
        <f si="1" t="shared"/>
        <v>1.6307883860156618E-2</v>
      </c>
    </row>
    <row r="32" spans="1:7" x14ac:dyDescent="0.25">
      <c r="A32">
        <v>21</v>
      </c>
      <c r="B32" s="6" t="n">
        <v>2875.1614626894</v>
      </c>
      <c r="C32" s="9">
        <f si="0" t="shared"/>
        <v>1.4798209964081434E-2</v>
      </c>
      <c r="E32" s="371">
        <v>21</v>
      </c>
      <c r="F32" s="371" t="n">
        <v>3313.0</v>
      </c>
      <c r="G32" s="9">
        <f si="1" t="shared"/>
        <v>1.4992580942618156E-2</v>
      </c>
    </row>
    <row r="33" spans="1:7" x14ac:dyDescent="0.25">
      <c r="A33">
        <v>22</v>
      </c>
      <c r="B33" s="6" t="n">
        <v>2537.1736604508</v>
      </c>
      <c r="C33" s="9">
        <f si="0" t="shared"/>
        <v>1.3058615674254394E-2</v>
      </c>
      <c r="E33" s="371">
        <v>22</v>
      </c>
      <c r="F33" s="371" t="n">
        <v>3051.0</v>
      </c>
      <c r="G33" s="9">
        <f si="1" t="shared"/>
        <v>1.6130013714724372E-2</v>
      </c>
    </row>
    <row r="34" spans="1:7" x14ac:dyDescent="0.25">
      <c r="A34">
        <v>23</v>
      </c>
      <c r="B34" s="6" t="n">
        <v>1241.483662166</v>
      </c>
      <c r="C34" s="9">
        <f si="0" t="shared"/>
        <v>6.3898101508791279E-3</v>
      </c>
      <c r="E34" s="371">
        <v>23</v>
      </c>
      <c r="F34" s="371" t="n">
        <v>2840.0</v>
      </c>
      <c r="G34" s="9">
        <f si="1" t="shared"/>
        <v>1.3887913723617879E-2</v>
      </c>
    </row>
    <row r="35" spans="1:7" x14ac:dyDescent="0.25">
      <c r="A35">
        <v>24</v>
      </c>
      <c r="B35" s="6" t="n">
        <v>1505.439925838</v>
      </c>
      <c r="C35" s="9">
        <f si="0" t="shared"/>
        <v>7.7483704480455287E-3</v>
      </c>
      <c r="E35" s="371">
        <v>24</v>
      </c>
      <c r="F35" s="371" t="n">
        <v>2459.0</v>
      </c>
      <c r="G35" s="9">
        <f si="1" t="shared"/>
        <v>1.2343251934337832E-2</v>
      </c>
    </row>
    <row r="36" spans="1:7" x14ac:dyDescent="0.25">
      <c r="A36">
        <v>25</v>
      </c>
      <c r="B36" s="6" t="n">
        <v>1328.1275915283</v>
      </c>
      <c r="C36" s="9">
        <f si="0" t="shared"/>
        <v>6.8357590394737249E-3</v>
      </c>
      <c r="E36" s="371">
        <v>25</v>
      </c>
      <c r="F36" s="371" t="n">
        <v>2440.0</v>
      </c>
      <c r="G36" s="9">
        <f si="1" t="shared"/>
        <v>1.2118573855897097E-2</v>
      </c>
    </row>
    <row r="37" spans="1:7" x14ac:dyDescent="0.25">
      <c r="A37">
        <v>26</v>
      </c>
      <c r="B37" s="6" t="n">
        <v>2063.211577473</v>
      </c>
      <c r="C37" s="9">
        <f si="0" t="shared"/>
        <v>1.0619173399468813E-2</v>
      </c>
      <c r="E37" s="371">
        <v>26</v>
      </c>
      <c r="F37" s="371" t="n">
        <v>2362.0</v>
      </c>
      <c r="G37" s="9">
        <f si="1" t="shared"/>
        <v>1.1379008514363013E-2</v>
      </c>
    </row>
    <row r="38" spans="1:7" x14ac:dyDescent="0.25">
      <c r="A38">
        <v>27</v>
      </c>
      <c r="B38" s="6" t="n">
        <v>1367.216298825</v>
      </c>
      <c r="C38" s="9">
        <f si="0" t="shared"/>
        <v>7.0369452703367454E-3</v>
      </c>
      <c r="E38" s="371">
        <v>27</v>
      </c>
      <c r="F38" s="371" t="n">
        <v>2024.0</v>
      </c>
      <c r="G38" s="9">
        <f si="1" t="shared"/>
        <v>9.4786064342184707E-3</v>
      </c>
    </row>
    <row r="39" spans="1:7" x14ac:dyDescent="0.25">
      <c r="A39">
        <v>28</v>
      </c>
      <c r="B39" s="6" t="n">
        <v>1648.067413211</v>
      </c>
      <c r="C39" s="9">
        <f si="0" t="shared"/>
        <v>8.4824619181018794E-3</v>
      </c>
      <c r="E39" s="371">
        <v>28</v>
      </c>
      <c r="F39" s="371" t="n">
        <v>1956.0</v>
      </c>
      <c r="G39" s="9">
        <f si="1" t="shared"/>
        <v>9.1883972495658568E-3</v>
      </c>
    </row>
    <row r="40" spans="1:7" x14ac:dyDescent="0.25">
      <c r="A40">
        <v>29</v>
      </c>
      <c r="B40" s="6" t="n">
        <v>1226.126335686</v>
      </c>
      <c r="C40" s="9">
        <f si="0" t="shared"/>
        <v>6.3107673059164624E-3</v>
      </c>
      <c r="E40" s="371">
        <v>29</v>
      </c>
      <c r="F40" s="371" t="n">
        <v>1779.0</v>
      </c>
      <c r="G40" s="9">
        <f si="1" t="shared"/>
        <v>9.1790356629641596E-3</v>
      </c>
    </row>
    <row r="41" spans="1:7" x14ac:dyDescent="0.25">
      <c r="A41">
        <v>30</v>
      </c>
      <c r="B41" s="6" t="n">
        <v>332.655036121</v>
      </c>
      <c r="C41" s="9">
        <f si="0" t="shared"/>
        <v>1.7121469990499258E-3</v>
      </c>
      <c r="E41" s="371">
        <v>30</v>
      </c>
      <c r="F41" s="371" t="n">
        <v>1508.0</v>
      </c>
      <c r="G41" s="9">
        <f si="1" t="shared"/>
        <v>7.8450095722223008E-3</v>
      </c>
    </row>
    <row r="42" spans="1:7" x14ac:dyDescent="0.25">
      <c r="A42">
        <v>31</v>
      </c>
      <c r="B42" s="6" t="n">
        <v>1947.8568313048</v>
      </c>
      <c r="C42" s="9">
        <f si="0" t="shared"/>
        <v>1.002545239412618E-2</v>
      </c>
      <c r="E42" s="371">
        <v>31</v>
      </c>
      <c r="F42" s="371" t="n">
        <v>1385.0</v>
      </c>
      <c r="G42" s="9">
        <f si="1" t="shared"/>
        <v>7.3254415158281027E-3</v>
      </c>
    </row>
    <row r="43" spans="1:7" x14ac:dyDescent="0.25">
      <c r="A43">
        <v>32</v>
      </c>
      <c r="B43" s="6" t="n">
        <v>1682.20989941</v>
      </c>
      <c r="C43" s="9">
        <f si="0" t="shared"/>
        <v>8.6581903723209168E-3</v>
      </c>
      <c r="E43" s="371">
        <v>32</v>
      </c>
      <c r="F43" s="371" t="n">
        <v>1332.0</v>
      </c>
      <c r="G43" s="9">
        <f si="1" t="shared"/>
        <v>6.8526813924423913E-3</v>
      </c>
    </row>
    <row r="44" spans="1:7" x14ac:dyDescent="0.25">
      <c r="A44">
        <v>33</v>
      </c>
      <c r="B44" s="6" t="n">
        <v>143.261123304</v>
      </c>
      <c r="C44" s="9">
        <f si="0" t="shared"/>
        <v>7.3735273996045948E-4</v>
      </c>
      <c r="E44" s="371">
        <v>33</v>
      </c>
      <c r="F44" s="371" t="n">
        <v>1112.0</v>
      </c>
      <c r="G44" s="9">
        <f si="1" t="shared"/>
        <v>6.1412008107133995E-3</v>
      </c>
    </row>
    <row r="45" spans="1:7" x14ac:dyDescent="0.25">
      <c r="A45">
        <v>34</v>
      </c>
      <c r="B45" s="6" t="n">
        <v>2974.423631623</v>
      </c>
      <c r="C45" s="9">
        <f si="0" t="shared"/>
        <v>1.5309103851757409E-2</v>
      </c>
      <c r="E45" s="371">
        <v>34</v>
      </c>
      <c r="F45" s="371" t="n">
        <v>1124.0</v>
      </c>
      <c r="G45" s="9">
        <f si="1" t="shared"/>
        <v>5.3548275361708303E-3</v>
      </c>
    </row>
    <row r="46" spans="1:7" x14ac:dyDescent="0.25">
      <c r="A46">
        <v>35</v>
      </c>
      <c r="B46" s="6" t="n">
        <v>883.658374101</v>
      </c>
      <c r="C46" s="9">
        <f si="0" t="shared"/>
        <v>4.5481140193892695E-3</v>
      </c>
      <c r="E46" s="371">
        <v>35</v>
      </c>
      <c r="F46" s="371" t="n">
        <v>947.0</v>
      </c>
      <c r="G46" s="9">
        <f si="1" t="shared"/>
        <v>5.6684406873276881E-3</v>
      </c>
    </row>
    <row r="47" spans="1:7" x14ac:dyDescent="0.25">
      <c r="A47">
        <v>36</v>
      </c>
      <c r="B47" s="6" t="n">
        <v>2987.63620063</v>
      </c>
      <c r="C47" s="9">
        <f si="0" t="shared"/>
        <v>1.5377107813575822E-2</v>
      </c>
      <c r="E47" s="371">
        <v>36</v>
      </c>
      <c r="F47" s="371" t="n">
        <v>849.0</v>
      </c>
      <c r="G47" s="9">
        <f si="1" t="shared"/>
        <v>4.460796015708742E-3</v>
      </c>
    </row>
    <row r="48" spans="1:7" x14ac:dyDescent="0.25">
      <c r="A48">
        <v>37</v>
      </c>
      <c r="B48" s="6" t="n">
        <v>2423.547197138</v>
      </c>
      <c r="C48" s="9">
        <f si="0" t="shared"/>
        <v>1.247378999284519E-2</v>
      </c>
      <c r="E48" s="371">
        <v>37</v>
      </c>
      <c r="F48" s="371" t="n">
        <v>750.0</v>
      </c>
      <c r="G48" s="9">
        <f si="1" t="shared"/>
        <v>3.9646319258187877E-3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722.0</v>
      </c>
      <c r="G49" s="9">
        <f si="1" t="shared"/>
        <v>3.6884651210687186E-3</v>
      </c>
    </row>
    <row r="50" spans="1:7" x14ac:dyDescent="0.25">
      <c r="A50">
        <v>39</v>
      </c>
      <c r="B50" s="6" t="n">
        <v>5.1375</v>
      </c>
      <c r="C50" s="9">
        <f si="0" t="shared"/>
        <v>2.6442272782605578E-5</v>
      </c>
      <c r="E50" s="371">
        <v>39</v>
      </c>
      <c r="F50" s="371" t="n">
        <v>541.0</v>
      </c>
      <c r="G50" s="9">
        <f si="1" t="shared"/>
        <v>3.2297473775855534E-3</v>
      </c>
    </row>
    <row r="51" spans="1:7" x14ac:dyDescent="0.25">
      <c r="A51">
        <v>40</v>
      </c>
      <c r="B51" s="6" t="n">
        <v>5.1375</v>
      </c>
      <c r="C51" s="9">
        <f si="0" t="shared"/>
        <v>2.6442272782605578E-5</v>
      </c>
      <c r="E51" s="371">
        <v>40</v>
      </c>
      <c r="F51" s="371" t="n">
        <v>524.0</v>
      </c>
      <c r="G51" s="9">
        <f si="1" t="shared"/>
        <v>2.9020918465261494E-3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520.0</v>
      </c>
      <c r="G52" s="9">
        <f si="1" t="shared"/>
        <v>2.8318799470134198E-3</v>
      </c>
    </row>
    <row r="53" spans="1:7" x14ac:dyDescent="0.25">
      <c r="A53">
        <v>42</v>
      </c>
      <c r="B53" s="6" t="n">
        <v>643.540135043</v>
      </c>
      <c r="C53" s="9">
        <f si="0" t="shared"/>
        <v>3.3122459946203085E-3</v>
      </c>
      <c r="E53" s="371">
        <v>42</v>
      </c>
      <c r="F53" s="371" t="n">
        <v>446.0</v>
      </c>
      <c r="G53" s="9">
        <f si="1" t="shared"/>
        <v>2.6774137680854152E-3</v>
      </c>
    </row>
    <row r="54" spans="1:7" x14ac:dyDescent="0.25">
      <c r="A54">
        <v>43</v>
      </c>
      <c r="B54" s="6" t="n">
        <v>363.531135753</v>
      </c>
      <c r="C54" s="9">
        <f si="0" t="shared"/>
        <v>1.8710636411778581E-3</v>
      </c>
      <c r="E54" s="371">
        <v>43</v>
      </c>
      <c r="F54" s="371" t="n">
        <v>418.0</v>
      </c>
      <c r="G54" s="9">
        <f si="1" t="shared"/>
        <v>2.2280576112039467E-3</v>
      </c>
    </row>
    <row r="55" spans="1:7" x14ac:dyDescent="0.25">
      <c r="A55">
        <v>44</v>
      </c>
      <c r="B55" s="6" t="n">
        <v>200.376050754</v>
      </c>
      <c r="C55" s="9">
        <f si="0" t="shared"/>
        <v>1.0313183830926497E-3</v>
      </c>
      <c r="E55" s="371">
        <v>44</v>
      </c>
      <c r="F55" s="371" t="n">
        <v>369.0</v>
      </c>
      <c r="G55" s="9">
        <f si="1" t="shared"/>
        <v>1.9846563595598181E-3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325.0</v>
      </c>
      <c r="G56" s="9">
        <f si="1" t="shared"/>
        <v>1.9331676332504833E-3</v>
      </c>
    </row>
    <row r="57" spans="1:7" x14ac:dyDescent="0.25">
      <c r="A57">
        <v>46</v>
      </c>
      <c r="B57" s="6" t="n">
        <v>2909.7281693649998</v>
      </c>
      <c r="C57" s="9">
        <f si="0" t="shared"/>
        <v>1.49761218447846E-2</v>
      </c>
      <c r="E57" s="371">
        <v>46</v>
      </c>
      <c r="F57" s="371" t="n">
        <v>262.0</v>
      </c>
      <c r="G57" s="9">
        <f si="1" t="shared"/>
        <v>1.4510459232630747E-3</v>
      </c>
    </row>
    <row r="58" spans="1:7" x14ac:dyDescent="0.25">
      <c r="A58">
        <v>47</v>
      </c>
      <c r="B58" s="6" t="n">
        <v>579.562353225</v>
      </c>
      <c r="C58" s="9">
        <f si="0" t="shared"/>
        <v>2.9829578274460844E-3</v>
      </c>
      <c r="E58" s="371">
        <v>47</v>
      </c>
      <c r="F58" s="371" t="n">
        <v>285.0</v>
      </c>
      <c r="G58" s="9">
        <f si="1" t="shared"/>
        <v>1.558704169182593E-3</v>
      </c>
    </row>
    <row r="59" spans="1:7" x14ac:dyDescent="0.25">
      <c r="A59">
        <v>48</v>
      </c>
      <c r="B59" s="6" t="n">
        <v>172.429102711</v>
      </c>
      <c r="C59" s="9">
        <f si="0" t="shared"/>
        <v>8.874778334879177E-4</v>
      </c>
      <c r="E59" s="371">
        <v>48</v>
      </c>
      <c r="F59" s="371" t="n">
        <v>200.0</v>
      </c>
      <c r="G59" s="9">
        <f si="1" t="shared"/>
        <v>1.1655175319113084E-3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202.0</v>
      </c>
      <c r="G60" s="9">
        <f si="1" t="shared"/>
        <v>1.2216870515214919E-3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183.0</v>
      </c>
      <c r="G61" s="9">
        <f si="1" t="shared"/>
        <v>9.6892421327566592E-4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179.0</v>
      </c>
      <c r="G62" s="9">
        <f si="1" t="shared"/>
        <v>8.3318120755105577E-4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155.0</v>
      </c>
      <c r="G63" s="9">
        <f si="1" t="shared"/>
        <v>9.0339310706378519E-4</v>
      </c>
    </row>
    <row r="64" spans="1:7" x14ac:dyDescent="0.25">
      <c r="A64">
        <v>53</v>
      </c>
      <c r="B64" s="6" t="n">
        <v>599.68197008</v>
      </c>
      <c r="C64" s="9">
        <f si="0" t="shared"/>
        <v>3.0865117733655818E-3</v>
      </c>
      <c r="E64" s="371">
        <v>53</v>
      </c>
      <c r="F64" s="371" t="n">
        <v>140.0</v>
      </c>
      <c r="G64" s="9">
        <f si="1" t="shared"/>
        <v>8.8466993386039064E-4</v>
      </c>
    </row>
    <row r="65" spans="1:7" x14ac:dyDescent="0.25">
      <c r="A65">
        <v>54</v>
      </c>
      <c r="B65" s="6" t="n">
        <v>145.521851989</v>
      </c>
      <c r="C65" s="9">
        <f si="0" t="shared"/>
        <v>7.4898851700692785E-4</v>
      </c>
      <c r="E65" s="371">
        <v>54</v>
      </c>
      <c r="F65" s="371" t="n">
        <v>149.0</v>
      </c>
      <c r="G65" s="9">
        <f si="1" t="shared"/>
        <v>8.7998914055954205E-4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131.0</v>
      </c>
      <c r="G66" s="9">
        <f si="1" t="shared"/>
        <v>7.6765010133917494E-4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116.0</v>
      </c>
      <c r="G67" s="9">
        <f si="1" t="shared"/>
        <v>7.2552296163153735E-4</v>
      </c>
    </row>
    <row r="68" spans="1:7" x14ac:dyDescent="0.25">
      <c r="A68">
        <v>57</v>
      </c>
      <c r="B68" s="6" t="n">
        <v>191.566641722</v>
      </c>
      <c r="C68" s="9">
        <f si="0" t="shared"/>
        <v>9.8597710880015473E-4</v>
      </c>
      <c r="E68" s="371">
        <v>57</v>
      </c>
      <c r="F68" s="371" t="n">
        <v>99.0</v>
      </c>
      <c r="G68" s="9">
        <f si="1" t="shared"/>
        <v>5.9914154250862437E-4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108.0</v>
      </c>
      <c r="G69" s="9">
        <f si="1" t="shared"/>
        <v>6.5531106211880793E-4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89.0</v>
      </c>
      <c r="G70" s="9">
        <f si="1" t="shared"/>
        <v>5.1488726309334909E-4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130.0</v>
      </c>
      <c r="G71" s="9">
        <f si="1" t="shared"/>
        <v>6.1318392241117023E-4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126.0</v>
      </c>
      <c r="G72" s="9">
        <f si="1" t="shared"/>
        <v>6.9743820182644552E-4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146.0</v>
      </c>
      <c r="G73" s="9">
        <f si="1" t="shared"/>
        <v>5.5701440280098667E-4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117.0</v>
      </c>
      <c r="G74" s="9">
        <f si="1" t="shared"/>
        <v>5.0084488319080322E-4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122.0</v>
      </c>
      <c r="G75" s="9">
        <f si="1" t="shared"/>
        <v>5.4297202289844081E-4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117.0</v>
      </c>
      <c r="G76" s="9">
        <f si="1" t="shared"/>
        <v>4.9148329658910595E-4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105.0</v>
      </c>
      <c r="G77" s="9">
        <f ref="G77:G102" si="3" t="shared">F77/F$102</f>
        <v>5.6169519610183537E-4</v>
      </c>
    </row>
    <row r="78" spans="1:7" x14ac:dyDescent="0.25">
      <c r="A78">
        <v>67</v>
      </c>
      <c r="B78" s="6" t="n">
        <v>240.790838723</v>
      </c>
      <c r="C78" s="9">
        <f si="2" t="shared"/>
        <v>1.2393298376770709E-3</v>
      </c>
      <c r="E78" s="371">
        <v>67</v>
      </c>
      <c r="F78" s="371" t="n">
        <v>98.0</v>
      </c>
      <c r="G78" s="9">
        <f si="3" t="shared"/>
        <v>4.5871774348316553E-4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81.0</v>
      </c>
      <c r="G79" s="9">
        <f si="3" t="shared"/>
        <v>4.6339853678401417E-4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90.0</v>
      </c>
      <c r="G80" s="9">
        <f si="3" t="shared"/>
        <v>3.6978267076704161E-4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106.0</v>
      </c>
      <c r="G81" s="9">
        <f si="3" t="shared"/>
        <v>4.9616408988995453E-4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81.0</v>
      </c>
      <c r="G82" s="9">
        <f si="3" t="shared"/>
        <v>3.6042108416534433E-4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104.0</v>
      </c>
      <c r="G83" s="9">
        <f si="3" t="shared"/>
        <v>4.9616408988995453E-4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63.0</v>
      </c>
      <c r="G84" s="9">
        <f si="3" t="shared"/>
        <v>3.4169791096194983E-4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87.0</v>
      </c>
      <c r="G85" s="9">
        <f si="3" t="shared"/>
        <v>3.9786743057213339E-4</v>
      </c>
    </row>
    <row r="86" spans="1:7" x14ac:dyDescent="0.25">
      <c r="A86">
        <v>75</v>
      </c>
      <c r="B86" s="6" t="n">
        <v>356.0060045</v>
      </c>
      <c r="C86" s="9">
        <f si="2" t="shared"/>
        <v>1.8323324346928484E-3</v>
      </c>
      <c r="E86" s="371">
        <v>75</v>
      </c>
      <c r="F86" s="371" t="n">
        <v>61.0</v>
      </c>
      <c r="G86" s="9">
        <f si="3" t="shared"/>
        <v>3.5574029086449569E-4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94.0</v>
      </c>
      <c r="G87" s="9">
        <f si="3" t="shared"/>
        <v>3.7914425736873883E-4</v>
      </c>
    </row>
    <row r="88" spans="1:7" x14ac:dyDescent="0.25">
      <c r="A88">
        <v>77</v>
      </c>
      <c r="B88" s="6" t="n">
        <v>124.302108198</v>
      </c>
      <c r="C88" s="9">
        <f si="2" t="shared"/>
        <v>6.3977231190743926E-4</v>
      </c>
      <c r="E88" s="371">
        <v>77</v>
      </c>
      <c r="F88" s="371" t="n">
        <v>80.0</v>
      </c>
      <c r="G88" s="9">
        <f si="3" t="shared"/>
        <v>3.7914425736873883E-4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66.0</v>
      </c>
      <c r="G89" s="9">
        <f si="3" t="shared"/>
        <v>2.9957077125431219E-4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76.0</v>
      </c>
      <c r="G90" s="9">
        <f si="3" t="shared"/>
        <v>3.0425156455516082E-4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82.0</v>
      </c>
      <c r="G91" s="9">
        <f si="3" t="shared"/>
        <v>2.9488997795346355E-4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69.0</v>
      </c>
      <c r="G92" s="9">
        <f si="3" t="shared"/>
        <v>3.6510187746619297E-4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77.0</v>
      </c>
      <c r="G93" s="9">
        <f si="3" t="shared"/>
        <v>3.0893235785600946E-4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70.0</v>
      </c>
      <c r="G94" s="9">
        <f si="3" t="shared"/>
        <v>3.0425156455516082E-4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65.0</v>
      </c>
      <c r="G95" s="9">
        <f si="3" t="shared"/>
        <v>2.9957077125431219E-4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107.0</v>
      </c>
      <c r="G96" s="9">
        <f si="3" t="shared"/>
        <v>5.4297202289844081E-4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77.0</v>
      </c>
      <c r="G97" s="9">
        <f si="3" t="shared"/>
        <v>2.9488997795346355E-4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56.0</v>
      </c>
      <c r="G98" s="9">
        <f si="3" t="shared"/>
        <v>2.7616680475006904E-4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62.0</v>
      </c>
      <c r="G99" s="9">
        <f si="3" t="shared"/>
        <v>2.1063569853818826E-4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55.0</v>
      </c>
      <c r="G100" s="9">
        <f si="3" t="shared"/>
        <v>2.2467807844073413E-4</v>
      </c>
    </row>
    <row ht="15.75" r="101" spans="1:7" thickBot="1" x14ac:dyDescent="0.3">
      <c r="A101" s="1">
        <v>90</v>
      </c>
      <c r="B101" s="7" t="n">
        <v>432.487431046</v>
      </c>
      <c r="C101" s="9">
        <f si="2" t="shared"/>
        <v>2.2259757910981317E-3</v>
      </c>
      <c r="E101" s="372">
        <v>90</v>
      </c>
      <c r="F101" s="372" t="n">
        <v>2481.0</v>
      </c>
      <c r="G101" s="9">
        <f si="3" t="shared"/>
        <v>1.1828364671244483E-2</v>
      </c>
    </row>
    <row r="102" spans="1:7" x14ac:dyDescent="0.25">
      <c r="B102" s="6">
        <f>SUM(B11:B101)</f>
        <v>194291.16559827575</v>
      </c>
      <c r="C102" s="9">
        <f si="2" t="shared"/>
        <v>1</v>
      </c>
      <c r="F102" s="6">
        <f>SUM(F11:F101)</f>
        <v>213639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L102"/>
  <sheetViews>
    <sheetView workbookViewId="0">
      <selection activeCell="A6" sqref="A6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35854.7707380932</v>
      </c>
      <c r="C11" s="9">
        <f>B11/B$102</f>
        <v>0.38361449555254917</v>
      </c>
      <c r="E11" s="371">
        <v>0</v>
      </c>
      <c r="F11" s="371" t="n">
        <v>25201.0</v>
      </c>
      <c r="G11" s="9">
        <f>F11/F$102</f>
        <v>0.22148176471659292</v>
      </c>
      <c r="K11" s="6" t="n">
        <v>3.3054569253799677</v>
      </c>
      <c r="L11" s="6" t="n">
        <v>4.380047131949318</v>
      </c>
    </row>
    <row r="12" spans="1:12" x14ac:dyDescent="0.25">
      <c r="A12">
        <v>1</v>
      </c>
      <c r="B12" s="6" t="n">
        <v>13470.1099397944</v>
      </c>
      <c r="C12" s="9">
        <f>B12/B$102</f>
        <v>0.14411832297958829</v>
      </c>
      <c r="E12" s="371">
        <v>1</v>
      </c>
      <c r="F12" s="371" t="n">
        <v>18333.0</v>
      </c>
      <c r="G12" s="9">
        <f>F12/F$102</f>
        <v>0.16393547094918154</v>
      </c>
      <c r="K12" s="6"/>
      <c r="L12" s="371"/>
    </row>
    <row r="13" spans="1:12" x14ac:dyDescent="0.25">
      <c r="A13">
        <v>2</v>
      </c>
      <c r="B13" s="6" t="n">
        <v>8984.086040013</v>
      </c>
      <c r="C13" s="9">
        <f ref="C13:C76" si="0" t="shared">B13/B$102</f>
        <v>9.6121814846209547E-2</v>
      </c>
      <c r="E13" s="371">
        <v>2</v>
      </c>
      <c r="F13" s="371" t="n">
        <v>13643.0</v>
      </c>
      <c r="G13" s="9">
        <f ref="G13:G76" si="1" t="shared">F13/F$102</f>
        <v>0.12204803262868484</v>
      </c>
    </row>
    <row r="14" spans="1:12" x14ac:dyDescent="0.25">
      <c r="A14">
        <v>3</v>
      </c>
      <c r="B14" s="6" t="n">
        <v>8881.267790696</v>
      </c>
      <c r="C14" s="9">
        <f si="0" t="shared"/>
        <v>9.5021750056130366E-2</v>
      </c>
      <c r="E14" s="371">
        <v>3</v>
      </c>
      <c r="F14" s="371" t="n">
        <v>10979.0</v>
      </c>
      <c r="G14" s="9">
        <f si="1" t="shared"/>
        <v>9.6802680213397427E-2</v>
      </c>
    </row>
    <row r="15" spans="1:12" x14ac:dyDescent="0.25">
      <c r="A15">
        <v>4</v>
      </c>
      <c r="B15" s="6" t="n">
        <v>5501.3419427591</v>
      </c>
      <c r="C15" s="9">
        <f si="0" t="shared"/>
        <v>5.8859517737522876E-2</v>
      </c>
      <c r="E15" s="371">
        <v>4</v>
      </c>
      <c r="F15" s="371" t="n">
        <v>9397.0</v>
      </c>
      <c r="G15" s="9">
        <f si="1" t="shared"/>
        <v>8.7744214417071795E-2</v>
      </c>
    </row>
    <row r="16" spans="1:12" x14ac:dyDescent="0.25">
      <c r="A16">
        <v>5</v>
      </c>
      <c r="B16" s="6" t="n">
        <v>5037.737681338</v>
      </c>
      <c r="C16" s="9">
        <f si="0" t="shared"/>
        <v>5.3899360101035215E-2</v>
      </c>
      <c r="E16" s="371">
        <v>5</v>
      </c>
      <c r="F16" s="371" t="n">
        <v>6715.0</v>
      </c>
      <c r="G16" s="9">
        <f si="1" t="shared"/>
        <v>6.2963165273756852E-2</v>
      </c>
    </row>
    <row r="17" spans="1:7" x14ac:dyDescent="0.25">
      <c r="A17">
        <v>6</v>
      </c>
      <c r="B17" s="6" t="n">
        <v>2832.3064878758</v>
      </c>
      <c r="C17" s="9">
        <f si="0" t="shared"/>
        <v>3.03031870579594E-2</v>
      </c>
      <c r="E17" s="371">
        <v>6</v>
      </c>
      <c r="F17" s="371" t="n">
        <v>4761.0</v>
      </c>
      <c r="G17" s="9">
        <f si="1" t="shared"/>
        <v>4.4746089838131137E-2</v>
      </c>
    </row>
    <row r="18" spans="1:7" x14ac:dyDescent="0.25">
      <c r="A18">
        <v>7</v>
      </c>
      <c r="B18" s="6" t="n">
        <v>615.2976346089999</v>
      </c>
      <c r="C18" s="9">
        <f si="0" t="shared"/>
        <v>6.5831432430394892E-3</v>
      </c>
      <c r="E18" s="371">
        <v>7</v>
      </c>
      <c r="F18" s="371" t="n">
        <v>3405.0</v>
      </c>
      <c r="G18" s="9">
        <f si="1" t="shared"/>
        <v>3.20187177946505E-2</v>
      </c>
    </row>
    <row r="19" spans="1:7" x14ac:dyDescent="0.25">
      <c r="A19">
        <v>8</v>
      </c>
      <c r="B19" s="6" t="n">
        <v>461.93702145299994</v>
      </c>
      <c r="C19" s="9">
        <f si="0" t="shared"/>
        <v>4.9423196359604914E-3</v>
      </c>
      <c r="E19" s="371">
        <v>8</v>
      </c>
      <c r="F19" s="371" t="n">
        <v>2902.0</v>
      </c>
      <c r="G19" s="9">
        <f si="1" t="shared"/>
        <v>2.6201270916407202E-2</v>
      </c>
    </row>
    <row r="20" spans="1:7" x14ac:dyDescent="0.25">
      <c r="A20">
        <v>9</v>
      </c>
      <c r="B20" s="6" t="n">
        <v>1989.869787977</v>
      </c>
      <c r="C20" s="9">
        <f si="0" t="shared"/>
        <v>2.1289855693291497E-2</v>
      </c>
      <c r="E20" s="371">
        <v>9</v>
      </c>
      <c r="F20" s="371" t="n">
        <v>2002.0</v>
      </c>
      <c r="G20" s="9">
        <f si="1" t="shared"/>
        <v>1.9691921123067679E-2</v>
      </c>
    </row>
    <row r="21" spans="1:7" x14ac:dyDescent="0.25">
      <c r="A21">
        <v>10</v>
      </c>
      <c r="B21" s="6" t="n">
        <v>1005.46624736</v>
      </c>
      <c r="C21" s="9">
        <f si="0" t="shared"/>
        <v>1.0757604060380435E-2</v>
      </c>
      <c r="E21" s="371">
        <v>10</v>
      </c>
      <c r="F21" s="371" t="n">
        <v>1738.0</v>
      </c>
      <c r="G21" s="9">
        <f si="1" t="shared"/>
        <v>1.54312558037909E-2</v>
      </c>
    </row>
    <row r="22" spans="1:7" x14ac:dyDescent="0.25">
      <c r="A22">
        <v>11</v>
      </c>
      <c r="B22" s="6" t="n">
        <v>352.515861045</v>
      </c>
      <c r="C22" s="9">
        <f si="0" t="shared"/>
        <v>3.7716095076122612E-3</v>
      </c>
      <c r="E22" s="371">
        <v>11</v>
      </c>
      <c r="F22" s="371" t="n">
        <v>1581.0</v>
      </c>
      <c r="G22" s="9">
        <f si="1" t="shared"/>
        <v>1.496695253181843E-2</v>
      </c>
    </row>
    <row r="23" spans="1:7" x14ac:dyDescent="0.25">
      <c r="A23">
        <v>12</v>
      </c>
      <c r="B23" s="6" t="n">
        <v>716.131230855</v>
      </c>
      <c r="C23" s="9">
        <f si="0" t="shared"/>
        <v>7.6619739917064339E-3</v>
      </c>
      <c r="E23" s="371">
        <v>12</v>
      </c>
      <c r="F23" s="371" t="n">
        <v>1509.0</v>
      </c>
      <c r="G23" s="9">
        <f si="1" t="shared"/>
        <v>1.4092969902223194E-2</v>
      </c>
    </row>
    <row r="24" spans="1:7" x14ac:dyDescent="0.25">
      <c r="A24">
        <v>13</v>
      </c>
      <c r="B24" s="6" t="n">
        <v>1597.681685122</v>
      </c>
      <c r="C24" s="9">
        <f si="0" t="shared"/>
        <v>1.7093788108940987E-2</v>
      </c>
      <c r="E24" s="371">
        <v>13</v>
      </c>
      <c r="F24" s="371" t="n">
        <v>1314.0</v>
      </c>
      <c r="G24" s="9">
        <f si="1" t="shared"/>
        <v>1.3255403215527758E-2</v>
      </c>
    </row>
    <row r="25" spans="1:7" x14ac:dyDescent="0.25">
      <c r="A25">
        <v>14</v>
      </c>
      <c r="B25" s="6" t="n">
        <v>1413.348224221</v>
      </c>
      <c r="C25" s="9">
        <f si="0" t="shared"/>
        <v>1.5121582286359472E-2</v>
      </c>
      <c r="E25" s="371">
        <v>14</v>
      </c>
      <c r="F25" s="371" t="n">
        <v>1217.0</v>
      </c>
      <c r="G25" s="9">
        <f si="1" t="shared"/>
        <v>1.1589373827861838E-2</v>
      </c>
    </row>
    <row r="26" spans="1:7" x14ac:dyDescent="0.25">
      <c r="A26">
        <v>15</v>
      </c>
      <c r="B26" s="6" t="n">
        <v>647.866607633</v>
      </c>
      <c r="C26" s="9">
        <f si="0" t="shared"/>
        <v>6.9316025944750406E-3</v>
      </c>
      <c r="E26" s="371">
        <v>15</v>
      </c>
      <c r="F26" s="371" t="n">
        <v>1016.0</v>
      </c>
      <c r="G26" s="9">
        <f si="1" t="shared"/>
        <v>1.0214671983394329E-2</v>
      </c>
    </row>
    <row r="27" spans="1:7" x14ac:dyDescent="0.25">
      <c r="A27">
        <v>16</v>
      </c>
      <c r="B27" s="6" t="n">
        <v>2270.2232581020003</v>
      </c>
      <c r="C27" s="9">
        <f si="0" t="shared"/>
        <v>2.4289391119246592E-2</v>
      </c>
      <c r="E27" s="371">
        <v>16</v>
      </c>
      <c r="F27" s="371" t="n">
        <v>816.0</v>
      </c>
      <c r="G27" s="9">
        <f si="1" t="shared"/>
        <v>7.7474918519327765E-3</v>
      </c>
    </row>
    <row r="28" spans="1:7" x14ac:dyDescent="0.25">
      <c r="A28">
        <v>17</v>
      </c>
      <c r="B28" s="6" t="n">
        <v>0.0</v>
      </c>
      <c r="C28" s="9">
        <f si="0" t="shared"/>
        <v>0</v>
      </c>
      <c r="E28" s="371">
        <v>17</v>
      </c>
      <c r="F28" s="371" t="n">
        <v>680.0</v>
      </c>
      <c r="G28" s="9">
        <f si="1" t="shared"/>
        <v>6.4456218932648713E-3</v>
      </c>
    </row>
    <row r="29" spans="1:7" x14ac:dyDescent="0.25">
      <c r="A29">
        <v>18</v>
      </c>
      <c r="B29" s="6" t="n">
        <v>302.9559212</v>
      </c>
      <c r="C29" s="9">
        <f si="0" t="shared"/>
        <v>3.2413617628384941E-3</v>
      </c>
      <c r="E29" s="371">
        <v>18</v>
      </c>
      <c r="F29" s="371" t="n">
        <v>484.0</v>
      </c>
      <c r="G29" s="9">
        <f si="1" t="shared"/>
        <v>5.089128020247264E-3</v>
      </c>
    </row>
    <row r="30" spans="1:7" x14ac:dyDescent="0.25">
      <c r="A30">
        <v>19</v>
      </c>
      <c r="B30" s="6" t="n">
        <v>0.0</v>
      </c>
      <c r="C30" s="9">
        <f si="0" t="shared"/>
        <v>0</v>
      </c>
      <c r="E30" s="371">
        <v>19</v>
      </c>
      <c r="F30" s="371" t="n">
        <v>397.0</v>
      </c>
      <c r="G30" s="9">
        <f si="1" t="shared"/>
        <v>3.9966497332532182E-3</v>
      </c>
    </row>
    <row r="31" spans="1:7" x14ac:dyDescent="0.25">
      <c r="A31">
        <v>20</v>
      </c>
      <c r="B31" s="6" t="n">
        <v>451.645852435</v>
      </c>
      <c r="C31" s="9">
        <f si="0" t="shared"/>
        <v>4.8322131834517392E-3</v>
      </c>
      <c r="E31" s="371">
        <v>20</v>
      </c>
      <c r="F31" s="371" t="n">
        <v>313.0</v>
      </c>
      <c r="G31" s="9">
        <f si="1" t="shared"/>
        <v>3.4595145754811457E-3</v>
      </c>
    </row>
    <row r="32" spans="1:7" x14ac:dyDescent="0.25">
      <c r="A32">
        <v>21</v>
      </c>
      <c r="B32" s="6" t="n">
        <v>0.0</v>
      </c>
      <c r="C32" s="9">
        <f si="0" t="shared"/>
        <v>0</v>
      </c>
      <c r="E32" s="371">
        <v>21</v>
      </c>
      <c r="F32" s="371" t="n">
        <v>279.0</v>
      </c>
      <c r="G32" s="9">
        <f si="1" t="shared"/>
        <v>2.9405873891589739E-3</v>
      </c>
    </row>
    <row r="33" spans="1:7" x14ac:dyDescent="0.25">
      <c r="A33">
        <v>22</v>
      </c>
      <c r="B33" s="6" t="n">
        <v>0.0</v>
      </c>
      <c r="C33" s="9">
        <f si="0" t="shared"/>
        <v>0</v>
      </c>
      <c r="E33" s="371">
        <v>22</v>
      </c>
      <c r="F33" s="371" t="n">
        <v>239.0</v>
      </c>
      <c r="G33" s="9">
        <f si="1" t="shared"/>
        <v>2.4671801314615537E-3</v>
      </c>
    </row>
    <row r="34" spans="1:7" x14ac:dyDescent="0.25">
      <c r="A34">
        <v>23</v>
      </c>
      <c r="B34" s="6" t="n">
        <v>0.0</v>
      </c>
      <c r="C34" s="9">
        <f si="0" t="shared"/>
        <v>0</v>
      </c>
      <c r="E34" s="371">
        <v>23</v>
      </c>
      <c r="F34" s="371" t="n">
        <v>212.0</v>
      </c>
      <c r="G34" s="9">
        <f si="1" t="shared"/>
        <v>2.3124123741373975E-3</v>
      </c>
    </row>
    <row r="35" spans="1:7" x14ac:dyDescent="0.25">
      <c r="A35">
        <v>24</v>
      </c>
      <c r="B35" s="6" t="n">
        <v>736.563073278</v>
      </c>
      <c r="C35" s="9">
        <f si="0" t="shared"/>
        <v>7.8805767260973977E-3</v>
      </c>
      <c r="E35" s="371">
        <v>24</v>
      </c>
      <c r="F35" s="371" t="n">
        <v>139.0</v>
      </c>
      <c r="G35" s="9">
        <f si="1" t="shared"/>
        <v>1.4839496731669124E-3</v>
      </c>
    </row>
    <row r="36" spans="1:7" x14ac:dyDescent="0.25">
      <c r="A36">
        <v>25</v>
      </c>
      <c r="B36" s="6" t="n">
        <v>0.0</v>
      </c>
      <c r="C36" s="9">
        <f si="0" t="shared"/>
        <v>0</v>
      </c>
      <c r="E36" s="371">
        <v>25</v>
      </c>
      <c r="F36" s="371" t="n">
        <v>123.0</v>
      </c>
      <c r="G36" s="9">
        <f si="1" t="shared"/>
        <v>1.402013801642359E-3</v>
      </c>
    </row>
    <row r="37" spans="1:7" x14ac:dyDescent="0.25">
      <c r="A37">
        <v>26</v>
      </c>
      <c r="B37" s="6" t="n">
        <v>0.0</v>
      </c>
      <c r="C37" s="9">
        <f si="0" t="shared"/>
        <v>0</v>
      </c>
      <c r="E37" s="371">
        <v>26</v>
      </c>
      <c r="F37" s="371" t="n">
        <v>97.0</v>
      </c>
      <c r="G37" s="9">
        <f si="1" t="shared"/>
        <v>9.468145153948399E-4</v>
      </c>
    </row>
    <row r="38" spans="1:7" x14ac:dyDescent="0.25">
      <c r="A38">
        <v>27</v>
      </c>
      <c r="B38" s="6" t="n">
        <v>0.0</v>
      </c>
      <c r="C38" s="9">
        <f si="0" t="shared"/>
        <v>0</v>
      </c>
      <c r="E38" s="371">
        <v>27</v>
      </c>
      <c r="F38" s="371" t="n">
        <v>85.0</v>
      </c>
      <c r="G38" s="9">
        <f si="1" t="shared"/>
        <v>9.2860654394493912E-4</v>
      </c>
    </row>
    <row r="39" spans="1:7" x14ac:dyDescent="0.25">
      <c r="A39">
        <v>28</v>
      </c>
      <c r="B39" s="6" t="n">
        <v>342.507584498</v>
      </c>
      <c r="C39" s="9">
        <f si="0" t="shared"/>
        <v>3.6645297556045656E-3</v>
      </c>
      <c r="E39" s="371">
        <v>28</v>
      </c>
      <c r="F39" s="371" t="n">
        <v>50.0</v>
      </c>
      <c r="G39" s="9">
        <f si="1" t="shared"/>
        <v>6.6459095792137802E-4</v>
      </c>
    </row>
    <row r="40" spans="1:7" x14ac:dyDescent="0.25">
      <c r="A40">
        <v>29</v>
      </c>
      <c r="B40" s="6" t="n">
        <v>0.0</v>
      </c>
      <c r="C40" s="9">
        <f si="0" t="shared"/>
        <v>0</v>
      </c>
      <c r="E40" s="371">
        <v>29</v>
      </c>
      <c r="F40" s="371" t="n">
        <v>42.0</v>
      </c>
      <c r="G40" s="9">
        <f si="1" t="shared"/>
        <v>5.4623914349702298E-4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28.0</v>
      </c>
      <c r="G41" s="9">
        <f si="1" t="shared"/>
        <v>4.7340725769741995E-4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26.0</v>
      </c>
      <c r="G42" s="9">
        <f si="1" t="shared"/>
        <v>2.4580761457366037E-4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19.0</v>
      </c>
      <c r="G43" s="9">
        <f si="1" t="shared"/>
        <v>2.2759964312375958E-4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16.0</v>
      </c>
      <c r="G44" s="9">
        <f si="1" t="shared"/>
        <v>2.2759964312375958E-4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10.0</v>
      </c>
      <c r="G45" s="9">
        <f si="1" t="shared"/>
        <v>1.4566377159920614E-4</v>
      </c>
    </row>
    <row r="46" spans="1:7" x14ac:dyDescent="0.2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9.0</v>
      </c>
      <c r="G46" s="9">
        <f si="1" t="shared"/>
        <v>1.6387174304910689E-4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11.0</v>
      </c>
      <c r="G47" s="9">
        <f si="1" t="shared"/>
        <v>9.1039857249503839E-5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7.0</v>
      </c>
      <c r="G48" s="9">
        <f si="1" t="shared"/>
        <v>9.1039857249503839E-5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7.0</v>
      </c>
      <c r="G49" s="9">
        <f si="1" t="shared"/>
        <v>1.092478286994046E-4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5.0</v>
      </c>
      <c r="G50" s="9">
        <f si="1" t="shared"/>
        <v>9.1039857249503839E-5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1.0</v>
      </c>
      <c r="G51" s="9">
        <f si="1" t="shared"/>
        <v>1.092478286994046E-4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6.0</v>
      </c>
      <c r="G52" s="9">
        <f si="1" t="shared"/>
        <v>4.5519928624751919E-5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4.0</v>
      </c>
      <c r="G53" s="9">
        <f si="1" t="shared"/>
        <v>5.4623914349702298E-5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2.0</v>
      </c>
      <c r="G54" s="9">
        <f si="1" t="shared"/>
        <v>3.6415942899801534E-5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2.0</v>
      </c>
      <c r="G55" s="9">
        <f si="1" t="shared"/>
        <v>3.6415942899801534E-5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1.0</v>
      </c>
      <c r="G56" s="9">
        <f si="1" t="shared"/>
        <v>6.3727900074652676E-5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1.0</v>
      </c>
      <c r="G57" s="9">
        <f si="1" t="shared"/>
        <v>3.6415942899801534E-5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2.0</v>
      </c>
      <c r="G58" s="9">
        <f si="1" t="shared"/>
        <v>9.1039857249503835E-6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1.0</v>
      </c>
      <c r="G59" s="9">
        <f si="1" t="shared"/>
        <v>4.5519928624751919E-5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1.0</v>
      </c>
      <c r="G60" s="9">
        <f si="1" t="shared"/>
        <v>9.1039857249503835E-6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3.0</v>
      </c>
      <c r="G61" s="9">
        <f si="1" t="shared"/>
        <v>1.8207971449900767E-5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0.0</v>
      </c>
      <c r="G62" s="9">
        <f si="1" t="shared"/>
        <v>9.1039857249503835E-6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2.0</v>
      </c>
      <c r="G63" s="9">
        <f si="1" t="shared"/>
        <v>9.1039857249503835E-6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0.0</v>
      </c>
      <c r="G64" s="9">
        <f si="1" t="shared"/>
        <v>0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0.0</v>
      </c>
      <c r="G65" s="9">
        <f si="1" t="shared"/>
        <v>9.1039857249503835E-6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0.0</v>
      </c>
      <c r="G66" s="9">
        <f si="1" t="shared"/>
        <v>0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1.0</v>
      </c>
      <c r="G67" s="9">
        <f si="1" t="shared"/>
        <v>0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9.1039857249503835E-6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0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0.0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1.8207971449900767E-5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93465.630610357519</v>
      </c>
      <c r="C102" s="9">
        <f si="2" t="shared"/>
        <v>1</v>
      </c>
      <c r="F102" s="6">
        <f>SUM(F11:F101)</f>
        <v>109842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L102"/>
  <sheetViews>
    <sheetView workbookViewId="0">
      <selection activeCell="A4" sqref="A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855.0</v>
      </c>
      <c r="G11" s="9">
        <f>F11/F$102</f>
        <v>7.1739407512609018E-3</v>
      </c>
      <c r="K11" s="6" t="n">
        <v>13.261368913337664</v>
      </c>
      <c r="L11" s="6" t="n">
        <v>15.035299316188711</v>
      </c>
    </row>
    <row r="12" spans="1:12" x14ac:dyDescent="0.25">
      <c r="A12">
        <v>1</v>
      </c>
      <c r="B12" s="6" t="n">
        <v>193.998839214</v>
      </c>
      <c r="C12" s="9">
        <f>B12/B$102</f>
        <v>2.0756168652276957E-3</v>
      </c>
      <c r="E12" s="371">
        <v>1</v>
      </c>
      <c r="F12" s="371" t="n">
        <v>3265.0</v>
      </c>
      <c r="G12" s="9">
        <f>F12/F$102</f>
        <v>2.8868738733817664E-2</v>
      </c>
      <c r="K12" s="6"/>
      <c r="L12" s="371"/>
    </row>
    <row r="13" spans="1:12" x14ac:dyDescent="0.25">
      <c r="A13">
        <v>2</v>
      </c>
      <c r="B13" s="6" t="n">
        <v>216.908301085</v>
      </c>
      <c r="C13" s="9">
        <f ref="C13:C76" si="0" t="shared">B13/B$102</f>
        <v>2.3207279474661037E-3</v>
      </c>
      <c r="E13" s="371">
        <v>2</v>
      </c>
      <c r="F13" s="371" t="n">
        <v>4416.0</v>
      </c>
      <c r="G13" s="9">
        <f ref="G13:G76" si="1" t="shared">F13/F$102</f>
        <v>3.8464339687915371E-2</v>
      </c>
    </row>
    <row r="14" spans="1:12" x14ac:dyDescent="0.25">
      <c r="A14">
        <v>3</v>
      </c>
      <c r="B14" s="6" t="n">
        <v>5950.31126199</v>
      </c>
      <c r="C14" s="9">
        <f si="0" t="shared"/>
        <v>6.3663094370976295E-2</v>
      </c>
      <c r="E14" s="371">
        <v>3</v>
      </c>
      <c r="F14" s="371" t="n">
        <v>5913.0</v>
      </c>
      <c r="G14" s="9">
        <f si="1" t="shared"/>
        <v>5.1646911017643522E-2</v>
      </c>
    </row>
    <row r="15" spans="1:12" x14ac:dyDescent="0.25">
      <c r="A15">
        <v>4</v>
      </c>
      <c r="B15" s="6" t="n">
        <v>5887.7204785952</v>
      </c>
      <c r="C15" s="9">
        <f si="0" t="shared"/>
        <v>6.299342806705191E-2</v>
      </c>
      <c r="E15" s="371">
        <v>4</v>
      </c>
      <c r="F15" s="371" t="n">
        <v>7126.0</v>
      </c>
      <c r="G15" s="9">
        <f si="1" t="shared"/>
        <v>6.4146683418000394E-2</v>
      </c>
    </row>
    <row r="16" spans="1:12" x14ac:dyDescent="0.25">
      <c r="A16">
        <v>5</v>
      </c>
      <c r="B16" s="6" t="n">
        <v>11921.859491844</v>
      </c>
      <c r="C16" s="9">
        <f si="0" t="shared"/>
        <v>0.127553405610071</v>
      </c>
      <c r="E16" s="371">
        <v>5</v>
      </c>
      <c r="F16" s="371" t="n">
        <v>8066.0</v>
      </c>
      <c r="G16" s="9">
        <f si="1" t="shared"/>
        <v>7.1220480326286847E-2</v>
      </c>
    </row>
    <row r="17" spans="1:7" x14ac:dyDescent="0.25">
      <c r="A17">
        <v>6</v>
      </c>
      <c r="B17" s="6" t="n">
        <v>7491.845520709</v>
      </c>
      <c r="C17" s="9">
        <f si="0" t="shared"/>
        <v>8.015615442580433E-2</v>
      </c>
      <c r="E17" s="371">
        <v>6</v>
      </c>
      <c r="F17" s="371" t="n">
        <v>7821.0</v>
      </c>
      <c r="G17" s="9">
        <f si="1" t="shared"/>
        <v>7.0628721254165069E-2</v>
      </c>
    </row>
    <row r="18" spans="1:7" x14ac:dyDescent="0.25">
      <c r="A18">
        <v>7</v>
      </c>
      <c r="B18" s="6" t="n">
        <v>8687.6154356504</v>
      </c>
      <c r="C18" s="9">
        <f si="0" t="shared"/>
        <v>9.2949840266606742E-2</v>
      </c>
      <c r="E18" s="371">
        <v>7</v>
      </c>
      <c r="F18" s="371" t="n">
        <v>7363.0</v>
      </c>
      <c r="G18" s="9">
        <f si="1" t="shared"/>
        <v>6.5530489248192852E-2</v>
      </c>
    </row>
    <row r="19" spans="1:7" x14ac:dyDescent="0.25">
      <c r="A19">
        <v>8</v>
      </c>
      <c r="B19" s="6" t="n">
        <v>4846.005846715</v>
      </c>
      <c r="C19" s="9">
        <f si="0" t="shared"/>
        <v>5.1847998190021137E-2</v>
      </c>
      <c r="E19" s="371">
        <v>8</v>
      </c>
      <c r="F19" s="371" t="n">
        <v>6757.0</v>
      </c>
      <c r="G19" s="9">
        <f si="1" t="shared"/>
        <v>5.8957411554778683E-2</v>
      </c>
    </row>
    <row r="20" spans="1:7" x14ac:dyDescent="0.25">
      <c r="A20">
        <v>9</v>
      </c>
      <c r="B20" s="6" t="n">
        <v>12231.682037822</v>
      </c>
      <c r="C20" s="9">
        <f si="0" t="shared"/>
        <v>0.1308682342155677</v>
      </c>
      <c r="E20" s="371">
        <v>9</v>
      </c>
      <c r="F20" s="371" t="n">
        <v>5583.0</v>
      </c>
      <c r="G20" s="9">
        <f si="1" t="shared"/>
        <v>5.0162961344476613E-2</v>
      </c>
    </row>
    <row r="21" spans="1:7" x14ac:dyDescent="0.25">
      <c r="A21">
        <v>10</v>
      </c>
      <c r="B21" s="6" t="n">
        <v>3947.6150385640003</v>
      </c>
      <c r="C21" s="9">
        <f si="0" t="shared"/>
        <v>4.2236007105338466E-2</v>
      </c>
      <c r="E21" s="371">
        <v>10</v>
      </c>
      <c r="F21" s="371" t="n">
        <v>4838.0</v>
      </c>
      <c r="G21" s="9">
        <f si="1" t="shared"/>
        <v>4.3580779665337487E-2</v>
      </c>
    </row>
    <row r="22" spans="1:7" x14ac:dyDescent="0.25">
      <c r="A22">
        <v>11</v>
      </c>
      <c r="B22" s="6" t="n">
        <v>2400.373818682</v>
      </c>
      <c r="C22" s="9">
        <f si="0" t="shared"/>
        <v>2.5681887588056351E-2</v>
      </c>
      <c r="E22" s="371">
        <v>11</v>
      </c>
      <c r="F22" s="371" t="n">
        <v>4211.0</v>
      </c>
      <c r="G22" s="9">
        <f si="1" t="shared"/>
        <v>3.829136395914131E-2</v>
      </c>
    </row>
    <row r="23" spans="1:7" x14ac:dyDescent="0.25">
      <c r="A23">
        <v>12</v>
      </c>
      <c r="B23" s="6" t="n">
        <v>2730.215854884</v>
      </c>
      <c r="C23" s="9">
        <f si="0" t="shared"/>
        <v>2.9210907122274823E-2</v>
      </c>
      <c r="E23" s="371">
        <v>12</v>
      </c>
      <c r="F23" s="371" t="n">
        <v>3829.0</v>
      </c>
      <c r="G23" s="9">
        <f si="1" t="shared"/>
        <v>3.3821306968190676E-2</v>
      </c>
    </row>
    <row r="24" spans="1:7" x14ac:dyDescent="0.25">
      <c r="A24">
        <v>13</v>
      </c>
      <c r="B24" s="6" t="n">
        <v>1535.724854239</v>
      </c>
      <c r="C24" s="9">
        <f si="0" t="shared"/>
        <v>1.6430904539029741E-2</v>
      </c>
      <c r="E24" s="371">
        <v>13</v>
      </c>
      <c r="F24" s="371" t="n">
        <v>3142.0</v>
      </c>
      <c r="G24" s="9">
        <f si="1" t="shared"/>
        <v>2.8003860089947378E-2</v>
      </c>
    </row>
    <row r="25" spans="1:7" x14ac:dyDescent="0.25">
      <c r="A25">
        <v>14</v>
      </c>
      <c r="B25" s="6" t="n">
        <v>2226.515847494</v>
      </c>
      <c r="C25" s="9">
        <f si="0" t="shared"/>
        <v>2.3821760287222264E-2</v>
      </c>
      <c r="E25" s="371">
        <v>14</v>
      </c>
      <c r="F25" s="371" t="n">
        <v>2401.0</v>
      </c>
      <c r="G25" s="9">
        <f si="1" t="shared"/>
        <v>2.1767629868356366E-2</v>
      </c>
    </row>
    <row r="26" spans="1:7" x14ac:dyDescent="0.25">
      <c r="A26">
        <v>15</v>
      </c>
      <c r="B26" s="6" t="n">
        <v>2192.040529927</v>
      </c>
      <c r="C26" s="9">
        <f si="0" t="shared"/>
        <v>2.3452904726714449E-2</v>
      </c>
      <c r="E26" s="371">
        <v>15</v>
      </c>
      <c r="F26" s="371" t="n">
        <v>2113.0</v>
      </c>
      <c r="G26" s="9">
        <f si="1" t="shared"/>
        <v>1.9701025108792628E-2</v>
      </c>
    </row>
    <row r="27" spans="1:7" x14ac:dyDescent="0.25">
      <c r="A27">
        <v>16</v>
      </c>
      <c r="B27" s="6" t="n">
        <v>617.046097455</v>
      </c>
      <c r="C27" s="9">
        <f si="0" t="shared"/>
        <v>6.6018502568859928E-3</v>
      </c>
      <c r="E27" s="371">
        <v>16</v>
      </c>
      <c r="F27" s="371" t="n">
        <v>1950.0</v>
      </c>
      <c r="G27" s="9">
        <f si="1" t="shared"/>
        <v>1.7306676863130678E-2</v>
      </c>
    </row>
    <row r="28" spans="1:7" x14ac:dyDescent="0.25">
      <c r="A28">
        <v>17</v>
      </c>
      <c r="B28" s="6" t="n">
        <v>161.271876599</v>
      </c>
      <c r="C28" s="9">
        <f si="0" t="shared"/>
        <v>1.7254671641955246E-3</v>
      </c>
      <c r="E28" s="371">
        <v>17</v>
      </c>
      <c r="F28" s="371" t="n">
        <v>1701.0</v>
      </c>
      <c r="G28" s="9">
        <f si="1" t="shared"/>
        <v>1.6004806904462775E-2</v>
      </c>
    </row>
    <row r="29" spans="1:7" x14ac:dyDescent="0.25">
      <c r="A29">
        <v>18</v>
      </c>
      <c r="B29" s="6" t="n">
        <v>2788.955118633</v>
      </c>
      <c r="C29" s="9">
        <f si="0" t="shared"/>
        <v>2.9839365555234788E-2</v>
      </c>
      <c r="E29" s="371">
        <v>18</v>
      </c>
      <c r="F29" s="371" t="n">
        <v>2246.0</v>
      </c>
      <c r="G29" s="9">
        <f si="1" t="shared"/>
        <v>2.0993791081735585E-2</v>
      </c>
    </row>
    <row r="30" spans="1:7" x14ac:dyDescent="0.25">
      <c r="A30">
        <v>19</v>
      </c>
      <c r="B30" s="6" t="n">
        <v>1043.806282151</v>
      </c>
      <c r="C30" s="9">
        <f si="0" t="shared"/>
        <v>1.1167808694325862E-2</v>
      </c>
      <c r="E30" s="371">
        <v>19</v>
      </c>
      <c r="F30" s="371" t="n">
        <v>1909.0</v>
      </c>
      <c r="G30" s="9">
        <f si="1" t="shared"/>
        <v>1.7306676863130678E-2</v>
      </c>
    </row>
    <row r="31" spans="1:7" x14ac:dyDescent="0.25">
      <c r="A31">
        <v>20</v>
      </c>
      <c r="B31" s="6" t="n">
        <v>1430.4455639100001</v>
      </c>
      <c r="C31" s="9">
        <f si="0" t="shared"/>
        <v>1.5304508775779699E-2</v>
      </c>
      <c r="E31" s="371">
        <v>20</v>
      </c>
      <c r="F31" s="371" t="n">
        <v>1765.0</v>
      </c>
      <c r="G31" s="9">
        <f si="1" t="shared"/>
        <v>1.5695271389814462E-2</v>
      </c>
    </row>
    <row r="32" spans="1:7" x14ac:dyDescent="0.25">
      <c r="A32">
        <v>21</v>
      </c>
      <c r="B32" s="6" t="n">
        <v>1989.156785753</v>
      </c>
      <c r="C32" s="9">
        <f si="0" t="shared"/>
        <v>2.128222719691969E-2</v>
      </c>
      <c r="E32" s="371">
        <v>21</v>
      </c>
      <c r="F32" s="371" t="n">
        <v>1613.0</v>
      </c>
      <c r="G32" s="9">
        <f si="1" t="shared"/>
        <v>1.472114491724477E-2</v>
      </c>
    </row>
    <row r="33" spans="1:7" x14ac:dyDescent="0.25">
      <c r="A33">
        <v>22</v>
      </c>
      <c r="B33" s="6" t="n">
        <v>204.1357361138</v>
      </c>
      <c r="C33" s="9">
        <f si="0" t="shared"/>
        <v>2.1840727418275018E-3</v>
      </c>
      <c r="E33" s="371">
        <v>22</v>
      </c>
      <c r="F33" s="371" t="n">
        <v>1569.0</v>
      </c>
      <c r="G33" s="9">
        <f si="1" t="shared"/>
        <v>1.6032118861637624E-2</v>
      </c>
    </row>
    <row r="34" spans="1:7" x14ac:dyDescent="0.25">
      <c r="A34">
        <v>23</v>
      </c>
      <c r="B34" s="6" t="n">
        <v>137.090653895</v>
      </c>
      <c r="C34" s="9">
        <f si="0" t="shared"/>
        <v>1.466749360163287E-3</v>
      </c>
      <c r="E34" s="371">
        <v>23</v>
      </c>
      <c r="F34" s="371" t="n">
        <v>1452.0</v>
      </c>
      <c r="G34" s="9">
        <f si="1" t="shared"/>
        <v>1.3828954316199632E-2</v>
      </c>
    </row>
    <row r="35" spans="1:7" x14ac:dyDescent="0.25">
      <c r="A35">
        <v>24</v>
      </c>
      <c r="B35" s="6" t="n">
        <v>935.733726562</v>
      </c>
      <c r="C35" s="9">
        <f si="0" t="shared"/>
        <v>1.0011527450800781E-2</v>
      </c>
      <c r="E35" s="371">
        <v>24</v>
      </c>
      <c r="F35" s="371" t="n">
        <v>1285.0</v>
      </c>
      <c r="G35" s="9">
        <f si="1" t="shared"/>
        <v>1.2044573114109357E-2</v>
      </c>
    </row>
    <row r="36" spans="1:7" x14ac:dyDescent="0.25">
      <c r="A36">
        <v>25</v>
      </c>
      <c r="B36" s="6" t="n">
        <v>757.635898422</v>
      </c>
      <c r="C36" s="9">
        <f si="0" t="shared"/>
        <v>8.1060374115535221E-3</v>
      </c>
      <c r="E36" s="371">
        <v>25</v>
      </c>
      <c r="F36" s="371" t="n">
        <v>1254.0</v>
      </c>
      <c r="G36" s="9">
        <f si="1" t="shared"/>
        <v>1.1780557528085796E-2</v>
      </c>
    </row>
    <row r="37" spans="1:7" x14ac:dyDescent="0.25">
      <c r="A37">
        <v>26</v>
      </c>
      <c r="B37" s="6" t="n">
        <v>667.99538554</v>
      </c>
      <c r="C37" s="9">
        <f si="0" t="shared"/>
        <v>7.1469628052343694E-3</v>
      </c>
      <c r="E37" s="371">
        <v>26</v>
      </c>
      <c r="F37" s="371" t="n">
        <v>1220.0</v>
      </c>
      <c r="G37" s="9">
        <f si="1" t="shared"/>
        <v>1.0770015112616304E-2</v>
      </c>
    </row>
    <row r="38" spans="1:7" x14ac:dyDescent="0.25">
      <c r="A38">
        <v>27</v>
      </c>
      <c r="B38" s="6" t="n">
        <v>0.0</v>
      </c>
      <c r="C38" s="9">
        <f si="0" t="shared"/>
        <v>0</v>
      </c>
      <c r="E38" s="371">
        <v>27</v>
      </c>
      <c r="F38" s="371" t="n">
        <v>1032.0</v>
      </c>
      <c r="G38" s="9">
        <f si="1" t="shared"/>
        <v>9.5864969683727534E-3</v>
      </c>
    </row>
    <row r="39" spans="1:7" x14ac:dyDescent="0.25">
      <c r="A39">
        <v>28</v>
      </c>
      <c r="B39" s="6" t="n">
        <v>1123.947174556</v>
      </c>
      <c r="C39" s="9">
        <f si="0" t="shared"/>
        <v>1.2025245720981081E-2</v>
      </c>
      <c r="E39" s="371">
        <v>28</v>
      </c>
      <c r="F39" s="371" t="n">
        <v>1023.0</v>
      </c>
      <c r="G39" s="9">
        <f si="1" t="shared"/>
        <v>9.5409770397480009E-3</v>
      </c>
    </row>
    <row r="40" spans="1:7" x14ac:dyDescent="0.25">
      <c r="A40">
        <v>29</v>
      </c>
      <c r="B40" s="6" t="n">
        <v>349.274014887</v>
      </c>
      <c r="C40" s="9">
        <f si="0" t="shared"/>
        <v>3.7369246064691379E-3</v>
      </c>
      <c r="E40" s="371">
        <v>29</v>
      </c>
      <c r="F40" s="371" t="n">
        <v>962.0</v>
      </c>
      <c r="G40" s="9">
        <f si="1" t="shared"/>
        <v>9.3588973252489941E-3</v>
      </c>
    </row>
    <row r="41" spans="1:7" x14ac:dyDescent="0.25">
      <c r="A41">
        <v>30</v>
      </c>
      <c r="B41" s="6" t="n">
        <v>263.99555716699996</v>
      </c>
      <c r="C41" s="9">
        <f si="0" t="shared"/>
        <v>2.8245201518786412E-3</v>
      </c>
      <c r="E41" s="371">
        <v>30</v>
      </c>
      <c r="F41" s="371" t="n">
        <v>841.0</v>
      </c>
      <c r="G41" s="9">
        <f si="1" t="shared"/>
        <v>8.3392509240545511E-3</v>
      </c>
    </row>
    <row r="42" spans="1:7" x14ac:dyDescent="0.25">
      <c r="A42">
        <v>31</v>
      </c>
      <c r="B42" s="6" t="n">
        <v>1293.060874131</v>
      </c>
      <c r="C42" s="9">
        <f si="0" t="shared"/>
        <v>1.3834613490402192E-2</v>
      </c>
      <c r="E42" s="371">
        <v>31</v>
      </c>
      <c r="F42" s="371" t="n">
        <v>769.0</v>
      </c>
      <c r="G42" s="9">
        <f si="1" t="shared"/>
        <v>7.4379563372844633E-3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708.0</v>
      </c>
      <c r="G43" s="9">
        <f si="1" t="shared"/>
        <v>6.8097813222628865E-3</v>
      </c>
    </row>
    <row r="44" spans="1:7" x14ac:dyDescent="0.25">
      <c r="A44">
        <v>33</v>
      </c>
      <c r="B44" s="6" t="n">
        <v>795.69322268</v>
      </c>
      <c r="C44" s="9">
        <f si="0" t="shared"/>
        <v>8.5132172915743879E-3</v>
      </c>
      <c r="E44" s="371">
        <v>33</v>
      </c>
      <c r="F44" s="371" t="n">
        <v>585.0</v>
      </c>
      <c r="G44" s="9">
        <f si="1" t="shared"/>
        <v>6.1542943500664587E-3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567.0</v>
      </c>
      <c r="G45" s="9">
        <f si="1" t="shared"/>
        <v>5.7537189781686421E-3</v>
      </c>
    </row>
    <row r="46" spans="1:7" x14ac:dyDescent="0.25">
      <c r="A46">
        <v>35</v>
      </c>
      <c r="B46" s="6" t="n">
        <v>15.3</v>
      </c>
      <c r="C46" s="9">
        <f si="0" t="shared"/>
        <v>1.6369653636407941E-4</v>
      </c>
      <c r="E46" s="371">
        <v>35</v>
      </c>
      <c r="F46" s="371" t="n">
        <v>523.0</v>
      </c>
      <c r="G46" s="9">
        <f si="1" t="shared"/>
        <v>5.3986635348955772E-3</v>
      </c>
    </row>
    <row r="47" spans="1:7" x14ac:dyDescent="0.25">
      <c r="A47">
        <v>36</v>
      </c>
      <c r="B47" s="6" t="n">
        <v>492.408600494</v>
      </c>
      <c r="C47" s="9">
        <f si="0" t="shared"/>
        <v>5.2683387174347392E-3</v>
      </c>
      <c r="E47" s="371">
        <v>36</v>
      </c>
      <c r="F47" s="371" t="n">
        <v>452.0</v>
      </c>
      <c r="G47" s="9">
        <f si="1" t="shared"/>
        <v>4.897944320023306E-3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412.0</v>
      </c>
      <c r="G48" s="9">
        <f si="1" t="shared"/>
        <v>3.9602337903534169E-3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338.0</v>
      </c>
      <c r="G49" s="9">
        <f si="1" t="shared"/>
        <v>3.850985961654012E-3</v>
      </c>
    </row>
    <row r="50" spans="1:7" x14ac:dyDescent="0.25">
      <c r="A50">
        <v>39</v>
      </c>
      <c r="B50" s="6" t="n">
        <v>736.563073278</v>
      </c>
      <c r="C50" s="9">
        <f si="0" t="shared"/>
        <v>7.8805767260973995E-3</v>
      </c>
      <c r="E50" s="371">
        <v>39</v>
      </c>
      <c r="F50" s="371" t="n">
        <v>283.0</v>
      </c>
      <c r="G50" s="9">
        <f si="1" t="shared"/>
        <v>3.3684747182316419E-3</v>
      </c>
    </row>
    <row r="51" spans="1:7" x14ac:dyDescent="0.25">
      <c r="A51">
        <v>40</v>
      </c>
      <c r="B51" s="6" t="n">
        <v>682.04390316</v>
      </c>
      <c r="C51" s="9">
        <f si="0" t="shared"/>
        <v>7.2972695814071632E-3</v>
      </c>
      <c r="E51" s="371">
        <v>40</v>
      </c>
      <c r="F51" s="371" t="n">
        <v>300.0</v>
      </c>
      <c r="G51" s="9">
        <f si="1" t="shared"/>
        <v>2.9952113035086759E-3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292.0</v>
      </c>
      <c r="G52" s="9">
        <f si="1" t="shared"/>
        <v>3.0498352178583783E-3</v>
      </c>
    </row>
    <row r="53" spans="1:7" x14ac:dyDescent="0.25">
      <c r="A53">
        <v>42</v>
      </c>
      <c r="B53" s="6" t="n">
        <v>196.909668413</v>
      </c>
      <c r="C53" s="9">
        <f si="0" t="shared"/>
        <v>2.1067601761965665E-3</v>
      </c>
      <c r="E53" s="371">
        <v>42</v>
      </c>
      <c r="F53" s="371" t="n">
        <v>240.0</v>
      </c>
      <c r="G53" s="9">
        <f si="1" t="shared"/>
        <v>3.1044591322080808E-3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202.0</v>
      </c>
      <c r="G54" s="9">
        <f si="1" t="shared"/>
        <v>2.6674678174104624E-3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221.0</v>
      </c>
      <c r="G55" s="9">
        <f si="1" t="shared"/>
        <v>2.1303326596383899E-3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180.0</v>
      </c>
      <c r="G56" s="9">
        <f si="1" t="shared"/>
        <v>1.8936290307896798E-3</v>
      </c>
    </row>
    <row r="57" spans="1:7" x14ac:dyDescent="0.25">
      <c r="A57">
        <v>46</v>
      </c>
      <c r="B57" s="6" t="n">
        <v>197.146490079</v>
      </c>
      <c r="C57" s="9">
        <f si="0" t="shared"/>
        <v>2.1092939596253362E-3</v>
      </c>
      <c r="E57" s="371">
        <v>46</v>
      </c>
      <c r="F57" s="371" t="n">
        <v>175.0</v>
      </c>
      <c r="G57" s="9">
        <f si="1" t="shared"/>
        <v>1.7843812020902751E-3</v>
      </c>
    </row>
    <row r="58" spans="1:7" x14ac:dyDescent="0.25">
      <c r="A58">
        <v>47</v>
      </c>
      <c r="B58" s="6" t="n">
        <v>342.507584498</v>
      </c>
      <c r="C58" s="9">
        <f si="0" t="shared"/>
        <v>3.664529755604566E-3</v>
      </c>
      <c r="E58" s="371">
        <v>47</v>
      </c>
      <c r="F58" s="371" t="n">
        <v>159.0</v>
      </c>
      <c r="G58" s="9">
        <f si="1" t="shared"/>
        <v>1.6023014875912675E-3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115.0</v>
      </c>
      <c r="G59" s="9">
        <f si="1" t="shared"/>
        <v>1.3564938730176071E-3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111.0</v>
      </c>
      <c r="G60" s="9">
        <f si="1" t="shared"/>
        <v>1.210830101418401E-3</v>
      </c>
    </row>
    <row r="61" spans="1:7" x14ac:dyDescent="0.25">
      <c r="A61">
        <v>50</v>
      </c>
      <c r="B61" s="6" t="n">
        <v>125.900003473</v>
      </c>
      <c r="C61" s="9">
        <f si="0" t="shared"/>
        <v>1.3470192481539651E-3</v>
      </c>
      <c r="E61" s="371">
        <v>50</v>
      </c>
      <c r="F61" s="371" t="n">
        <v>102.0</v>
      </c>
      <c r="G61" s="9">
        <f si="1" t="shared"/>
        <v>1.1562061870686988E-3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95.0</v>
      </c>
      <c r="G62" s="9">
        <f si="1" t="shared"/>
        <v>9.7412647256969102E-4</v>
      </c>
    </row>
    <row r="63" spans="1:7" x14ac:dyDescent="0.25">
      <c r="A63">
        <v>52</v>
      </c>
      <c r="B63" s="6" t="n">
        <v>1426.673692591</v>
      </c>
      <c r="C63" s="9">
        <f si="0" t="shared"/>
        <v>1.5264153071823402E-2</v>
      </c>
      <c r="E63" s="371">
        <v>52</v>
      </c>
      <c r="F63" s="371" t="n">
        <v>94.0</v>
      </c>
      <c r="G63" s="9">
        <f si="1" t="shared"/>
        <v>1.0287503869193934E-3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95.0</v>
      </c>
      <c r="G64" s="9">
        <f si="1" t="shared"/>
        <v>9.7412647256969102E-4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75.0</v>
      </c>
      <c r="G65" s="9">
        <f si="1" t="shared"/>
        <v>8.4667067242038564E-4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70.0</v>
      </c>
      <c r="G66" s="9">
        <f si="1" t="shared"/>
        <v>9.1039857249503833E-4</v>
      </c>
    </row>
    <row r="67" spans="1:7" x14ac:dyDescent="0.25">
      <c r="A67">
        <v>56</v>
      </c>
      <c r="B67" s="6" t="n">
        <v>192.74388316</v>
      </c>
      <c r="C67" s="9">
        <f si="0" t="shared"/>
        <v>2.0621899397813602E-3</v>
      </c>
      <c r="E67" s="371">
        <v>56</v>
      </c>
      <c r="F67" s="371" t="n">
        <v>66.0</v>
      </c>
      <c r="G67" s="9">
        <f si="1" t="shared"/>
        <v>7.1921487227108026E-4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58.0</v>
      </c>
      <c r="G68" s="9">
        <f si="1" t="shared"/>
        <v>6.4638298647147724E-4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52.0</v>
      </c>
      <c r="G69" s="9">
        <f si="1" t="shared"/>
        <v>5.8265508639682455E-4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59.0</v>
      </c>
      <c r="G70" s="9">
        <f si="1" t="shared"/>
        <v>5.735511006718741E-4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81.0</v>
      </c>
      <c r="G71" s="9">
        <f si="1" t="shared"/>
        <v>7.5563081517088183E-4</v>
      </c>
    </row>
    <row r="72" spans="1:7" x14ac:dyDescent="0.25">
      <c r="A72">
        <v>61</v>
      </c>
      <c r="B72" s="6" t="n">
        <v>519.276353903</v>
      </c>
      <c r="C72" s="9">
        <f si="0" t="shared"/>
        <v>5.5558000359273857E-3</v>
      </c>
      <c r="E72" s="371">
        <v>61</v>
      </c>
      <c r="F72" s="371" t="n">
        <v>82.0</v>
      </c>
      <c r="G72" s="9">
        <f si="1" t="shared"/>
        <v>6.827989293712787E-4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77.0</v>
      </c>
      <c r="G73" s="9">
        <f si="1" t="shared"/>
        <v>8.7398262959523677E-4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78.0</v>
      </c>
      <c r="G74" s="9">
        <f si="1" t="shared"/>
        <v>6.4638298647147724E-4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70.0</v>
      </c>
      <c r="G75" s="9">
        <f si="1" t="shared"/>
        <v>6.0086305784672533E-4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74.0</v>
      </c>
      <c r="G76" s="9">
        <f si="1" t="shared"/>
        <v>6.827989293712787E-4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80.0</v>
      </c>
      <c r="G77" s="9">
        <f ref="G77:G102" si="3" t="shared">F77/F$102</f>
        <v>5.5534312922197343E-4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64.0</v>
      </c>
      <c r="G78" s="9">
        <f si="3" t="shared"/>
        <v>5.9175907212177488E-4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51.0</v>
      </c>
      <c r="G79" s="9">
        <f si="3" t="shared"/>
        <v>7.2831885799603071E-4</v>
      </c>
    </row>
    <row r="80" spans="1:7" x14ac:dyDescent="0.25">
      <c r="A80">
        <v>69</v>
      </c>
      <c r="B80" s="6" t="n">
        <v>105.574432957</v>
      </c>
      <c r="C80" s="9">
        <f si="2" t="shared"/>
        <v>1.1295535296511512E-3</v>
      </c>
      <c r="E80" s="371">
        <v>69</v>
      </c>
      <c r="F80" s="371" t="n">
        <v>49.0</v>
      </c>
      <c r="G80" s="9">
        <f si="3" t="shared"/>
        <v>4.6430327197246956E-4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63.0</v>
      </c>
      <c r="G81" s="9">
        <f si="3" t="shared"/>
        <v>4.7340725769741995E-4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55.0</v>
      </c>
      <c r="G82" s="9">
        <f si="3" t="shared"/>
        <v>4.9161522914732074E-4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72.0</v>
      </c>
      <c r="G83" s="9">
        <f si="3" t="shared"/>
        <v>5.0071921487227107E-4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52.0</v>
      </c>
      <c r="G84" s="9">
        <f si="3" t="shared"/>
        <v>3.7326341472296569E-4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42.0</v>
      </c>
      <c r="G85" s="9">
        <f si="3" t="shared"/>
        <v>3.9147138617286648E-4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46.0</v>
      </c>
      <c r="G86" s="9">
        <f si="3" t="shared"/>
        <v>4.1878334334771765E-4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64.0</v>
      </c>
      <c r="G87" s="9">
        <f si="3" t="shared"/>
        <v>4.1878334334771765E-4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55.0</v>
      </c>
      <c r="G88" s="9">
        <f si="3" t="shared"/>
        <v>4.7340725769741995E-4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38.0</v>
      </c>
      <c r="G89" s="9">
        <f si="3" t="shared"/>
        <v>3.5505544327306496E-4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32.0</v>
      </c>
      <c r="G90" s="9">
        <f si="3" t="shared"/>
        <v>4.2788732907266799E-4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31.0</v>
      </c>
      <c r="G91" s="9">
        <f si="3" t="shared"/>
        <v>3.186395003732634E-4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39.0</v>
      </c>
      <c r="G92" s="9">
        <f si="3" t="shared"/>
        <v>5.3713515777207264E-4</v>
      </c>
    </row>
    <row r="93" spans="1:7" x14ac:dyDescent="0.25">
      <c r="A93">
        <v>82</v>
      </c>
      <c r="B93" s="6" t="n">
        <v>337.860426079</v>
      </c>
      <c r="C93" s="9">
        <f si="2" t="shared"/>
        <v>3.6148092499100901E-3</v>
      </c>
      <c r="E93" s="371">
        <v>82</v>
      </c>
      <c r="F93" s="371" t="n">
        <v>30.0</v>
      </c>
      <c r="G93" s="9">
        <f si="3" t="shared"/>
        <v>2.9132754319841227E-4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38.0</v>
      </c>
      <c r="G94" s="9">
        <f si="3" t="shared"/>
        <v>3.8236740044791609E-4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28.0</v>
      </c>
      <c r="G95" s="9">
        <f si="3" t="shared"/>
        <v>2.7311957174851149E-4</v>
      </c>
    </row>
    <row r="96" spans="1:7" x14ac:dyDescent="0.25">
      <c r="A96">
        <v>85</v>
      </c>
      <c r="B96" s="6" t="n">
        <v>126.7069707198</v>
      </c>
      <c r="C96" s="9">
        <f si="2" t="shared"/>
        <v>1.3556530875827506E-3</v>
      </c>
      <c r="E96" s="371">
        <v>85</v>
      </c>
      <c r="F96" s="371" t="n">
        <v>61.0</v>
      </c>
      <c r="G96" s="9">
        <f si="3" t="shared"/>
        <v>6.827989293712787E-4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41.0</v>
      </c>
      <c r="G97" s="9">
        <f si="3" t="shared"/>
        <v>3.5505544327306496E-4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28.0</v>
      </c>
      <c r="G98" s="9">
        <f si="3" t="shared"/>
        <v>1.3655978587425574E-4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35.0</v>
      </c>
      <c r="G99" s="9">
        <f si="3" t="shared"/>
        <v>1.8207971449900768E-4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16.0</v>
      </c>
      <c r="G100" s="9">
        <f si="3" t="shared"/>
        <v>3.0953551464831306E-4</v>
      </c>
    </row>
    <row ht="15.75" r="101" spans="1:7" thickBot="1" x14ac:dyDescent="0.3">
      <c r="A101" s="1">
        <v>90</v>
      </c>
      <c r="B101" s="7" t="n">
        <v>948.3384016833</v>
      </c>
      <c r="C101" s="9">
        <f si="2" t="shared"/>
        <v>1.0146386382784527E-2</v>
      </c>
      <c r="E101" s="372">
        <v>90</v>
      </c>
      <c r="F101" s="372" t="n">
        <v>1343.0</v>
      </c>
      <c r="G101" s="9">
        <f si="3" t="shared"/>
        <v>1.2508876386081827E-2</v>
      </c>
    </row>
    <row r="102" spans="1:7" x14ac:dyDescent="0.25">
      <c r="B102" s="6">
        <f>SUM(B11:B101)</f>
        <v>93465.630610357504</v>
      </c>
      <c r="C102" s="9">
        <f si="2" t="shared"/>
        <v>1</v>
      </c>
      <c r="F102" s="6">
        <f>SUM(F11:F101)</f>
        <v>109842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L102"/>
  <sheetViews>
    <sheetView workbookViewId="0">
      <selection activeCell="H11" sqref="H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12.0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42096.6465675342</v>
      </c>
      <c r="C11" s="9">
        <f>B11/B$102</f>
        <v>0.21184033144131748</v>
      </c>
      <c r="E11" s="371">
        <v>0</v>
      </c>
      <c r="F11" s="371" t="n">
        <v>19147.0</v>
      </c>
      <c r="G11" s="9">
        <f>F11/F$102</f>
        <v>9.2522719598314568E-2</v>
      </c>
      <c r="K11" s="6" t="n">
        <v>5.391754889070411</v>
      </c>
      <c r="L11" s="6" t="n">
        <v>6.16798540217323</v>
      </c>
    </row>
    <row r="12" spans="1:12" x14ac:dyDescent="0.25">
      <c r="A12">
        <v>1</v>
      </c>
      <c r="B12" s="6" t="n">
        <v>35272.1459761351</v>
      </c>
      <c r="C12" s="9">
        <f>B12/B$102</f>
        <v>0.17749782235608291</v>
      </c>
      <c r="E12" s="371">
        <v>1</v>
      </c>
      <c r="F12" s="371" t="n">
        <v>20542.0</v>
      </c>
      <c r="G12" s="9">
        <f>F12/F$102</f>
        <v>0.10013262274945067</v>
      </c>
      <c r="K12" s="6"/>
      <c r="L12" s="371"/>
    </row>
    <row r="13" spans="1:12" x14ac:dyDescent="0.25">
      <c r="A13">
        <v>2</v>
      </c>
      <c r="B13" s="6" t="n">
        <v>25881.9568926223</v>
      </c>
      <c r="C13" s="9">
        <f ref="C13:C76" si="0" t="shared">B13/B$102</f>
        <v>0.13024415894237715</v>
      </c>
      <c r="E13" s="371">
        <v>2</v>
      </c>
      <c r="F13" s="371" t="n">
        <v>20422.0</v>
      </c>
      <c r="G13" s="9">
        <f ref="G13:G76" si="1" t="shared">F13/F$102</f>
        <v>9.8478508752612076E-2</v>
      </c>
    </row>
    <row r="14" spans="1:12" x14ac:dyDescent="0.25">
      <c r="A14">
        <v>3</v>
      </c>
      <c r="B14" s="6" t="n">
        <v>14484.2330517082</v>
      </c>
      <c r="C14" s="9">
        <f si="0" t="shared"/>
        <v>7.288810346032458E-2</v>
      </c>
      <c r="E14" s="371">
        <v>3</v>
      </c>
      <c r="F14" s="371" t="n">
        <v>21903.0</v>
      </c>
      <c r="G14" s="9">
        <f si="1" t="shared"/>
        <v>0.10351915199741606</v>
      </c>
    </row>
    <row r="15" spans="1:12" x14ac:dyDescent="0.25">
      <c r="A15">
        <v>4</v>
      </c>
      <c r="B15" s="6" t="n">
        <v>12378.402977352</v>
      </c>
      <c r="C15" s="9">
        <f si="0" t="shared"/>
        <v>6.2291065993336586E-2</v>
      </c>
      <c r="E15" s="371">
        <v>4</v>
      </c>
      <c r="F15" s="371" t="n">
        <v>21534.0</v>
      </c>
      <c r="G15" s="9">
        <f si="1" t="shared"/>
        <v>0.10529561170407999</v>
      </c>
    </row>
    <row r="16" spans="1:12" x14ac:dyDescent="0.25">
      <c r="A16">
        <v>5</v>
      </c>
      <c r="B16" s="6" t="n">
        <v>8200.0079975136</v>
      </c>
      <c r="C16" s="9">
        <f si="0" t="shared"/>
        <v>4.1264389295902169E-2</v>
      </c>
      <c r="E16" s="371">
        <v>5</v>
      </c>
      <c r="F16" s="371" t="n">
        <v>18472.0</v>
      </c>
      <c r="G16" s="9">
        <f si="1" t="shared"/>
        <v>9.0858817944689946E-2</v>
      </c>
    </row>
    <row r="17" spans="1:7" x14ac:dyDescent="0.25">
      <c r="A17">
        <v>6</v>
      </c>
      <c r="B17" s="6" t="n">
        <v>5803.782043971</v>
      </c>
      <c r="C17" s="9">
        <f si="0" t="shared"/>
        <v>2.9206010740916839E-2</v>
      </c>
      <c r="E17" s="371">
        <v>6</v>
      </c>
      <c r="F17" s="371" t="n">
        <v>15027.0</v>
      </c>
      <c r="G17" s="9">
        <f si="1" t="shared"/>
        <v>7.2991450481797407E-2</v>
      </c>
    </row>
    <row r="18" spans="1:7" x14ac:dyDescent="0.25">
      <c r="A18">
        <v>7</v>
      </c>
      <c r="B18" s="6" t="n">
        <v>10570.667439619</v>
      </c>
      <c r="C18" s="9">
        <f si="0" t="shared"/>
        <v>5.319411108845476E-2</v>
      </c>
      <c r="E18" s="371">
        <v>7</v>
      </c>
      <c r="F18" s="371" t="n">
        <v>10989.0</v>
      </c>
      <c r="G18" s="9">
        <f si="1" t="shared"/>
        <v>5.5858157277856896E-2</v>
      </c>
    </row>
    <row r="19" spans="1:7" x14ac:dyDescent="0.25">
      <c r="A19">
        <v>8</v>
      </c>
      <c r="B19" s="6" t="n">
        <v>3792.12388791</v>
      </c>
      <c r="C19" s="9">
        <f si="0" t="shared"/>
        <v>1.908286875042756E-2</v>
      </c>
      <c r="E19" s="371">
        <v>8</v>
      </c>
      <c r="F19" s="371" t="n">
        <v>11497.0</v>
      </c>
      <c r="G19" s="9">
        <f si="1" t="shared"/>
        <v>5.5887520248214979E-2</v>
      </c>
    </row>
    <row r="20" spans="1:7" x14ac:dyDescent="0.25">
      <c r="A20">
        <v>9</v>
      </c>
      <c r="B20" s="6" t="n">
        <v>3588.750185081</v>
      </c>
      <c r="C20" s="9">
        <f si="0" t="shared"/>
        <v>1.8059443938082301E-2</v>
      </c>
      <c r="E20" s="371">
        <v>9</v>
      </c>
      <c r="F20" s="371" t="n">
        <v>7352.0</v>
      </c>
      <c r="G20" s="9">
        <f si="1" t="shared"/>
        <v>3.6199648623121382E-2</v>
      </c>
    </row>
    <row r="21" spans="1:7" x14ac:dyDescent="0.25">
      <c r="A21">
        <v>10</v>
      </c>
      <c r="B21" s="6" t="n">
        <v>3730.183122435</v>
      </c>
      <c r="C21" s="9">
        <f si="0" t="shared"/>
        <v>1.8771168095913369E-2</v>
      </c>
      <c r="E21" s="371">
        <v>10</v>
      </c>
      <c r="F21" s="371" t="n">
        <v>6148.0</v>
      </c>
      <c r="G21" s="9">
        <f si="1" t="shared"/>
        <v>3.0654941053837006E-2</v>
      </c>
    </row>
    <row r="22" spans="1:7" x14ac:dyDescent="0.25">
      <c r="A22">
        <v>11</v>
      </c>
      <c r="B22" s="6" t="n">
        <v>3887.1159454441</v>
      </c>
      <c r="C22" s="9">
        <f si="0" t="shared"/>
        <v>1.9560891362514571E-2</v>
      </c>
      <c r="E22" s="371">
        <v>11</v>
      </c>
      <c r="F22" s="371" t="n">
        <v>5114.0</v>
      </c>
      <c r="G22" s="9">
        <f si="1" t="shared"/>
        <v>2.6597957316028757E-2</v>
      </c>
    </row>
    <row r="23" spans="1:7" x14ac:dyDescent="0.25">
      <c r="A23">
        <v>12</v>
      </c>
      <c r="B23" s="6" t="n">
        <v>599.22026744</v>
      </c>
      <c r="C23" s="9">
        <f si="0" t="shared"/>
        <v>3.0154188138763172E-3</v>
      </c>
      <c r="E23" s="371">
        <v>12</v>
      </c>
      <c r="F23" s="371" t="n">
        <v>4593.0</v>
      </c>
      <c r="G23" s="9">
        <f si="1" t="shared"/>
        <v>2.3372924405032813E-2</v>
      </c>
    </row>
    <row r="24" spans="1:7" x14ac:dyDescent="0.25">
      <c r="A24">
        <v>13</v>
      </c>
      <c r="B24" s="6" t="n">
        <v>4228.3027259294995</v>
      </c>
      <c r="C24" s="9">
        <f si="0" t="shared"/>
        <v>2.1277824338291427E-2</v>
      </c>
      <c r="E24" s="371">
        <v>13</v>
      </c>
      <c r="F24" s="371" t="n">
        <v>4196.0</v>
      </c>
      <c r="G24" s="9">
        <f si="1" t="shared"/>
        <v>2.1356667107111222E-2</v>
      </c>
    </row>
    <row r="25" spans="1:7" x14ac:dyDescent="0.25">
      <c r="A25">
        <v>14</v>
      </c>
      <c r="B25" s="6" t="n">
        <v>1608.77438934</v>
      </c>
      <c r="C25" s="9">
        <f si="0" t="shared"/>
        <v>8.095735115274557E-3</v>
      </c>
      <c r="E25" s="371">
        <v>14</v>
      </c>
      <c r="F25" s="371" t="n">
        <v>3157.0</v>
      </c>
      <c r="G25" s="9">
        <f si="1" t="shared"/>
        <v>1.5797278052647804E-2</v>
      </c>
    </row>
    <row r="26" spans="1:7" x14ac:dyDescent="0.25">
      <c r="A26">
        <v>15</v>
      </c>
      <c r="B26" s="6" t="n">
        <v>4556.151660363</v>
      </c>
      <c r="C26" s="9">
        <f si="0" t="shared"/>
        <v>2.2927638102474678E-2</v>
      </c>
      <c r="E26" s="371">
        <v>15</v>
      </c>
      <c r="F26" s="371" t="n">
        <v>2978.0</v>
      </c>
      <c r="G26" s="9">
        <f si="1" t="shared"/>
        <v>1.4916388941905364E-2</v>
      </c>
    </row>
    <row r="27" spans="1:7" x14ac:dyDescent="0.25">
      <c r="A27">
        <v>16</v>
      </c>
      <c r="B27" s="6" t="n">
        <v>1931.3524904800001</v>
      </c>
      <c r="C27" s="9">
        <f si="0" t="shared"/>
        <v>9.7190247935053601E-3</v>
      </c>
      <c r="E27" s="371">
        <v>16</v>
      </c>
      <c r="F27" s="371" t="n">
        <v>2127.0</v>
      </c>
      <c r="G27" s="9">
        <f si="1" t="shared"/>
        <v>1.0903449659634235E-2</v>
      </c>
    </row>
    <row r="28" spans="1:7" x14ac:dyDescent="0.25">
      <c r="A28">
        <v>17</v>
      </c>
      <c r="B28" s="6" t="n">
        <v>1839.759763416</v>
      </c>
      <c r="C28" s="9">
        <f si="0" t="shared"/>
        <v>9.258108420327647E-3</v>
      </c>
      <c r="E28" s="371">
        <v>17</v>
      </c>
      <c r="F28" s="371" t="n">
        <v>1698.0</v>
      </c>
      <c r="G28" s="9">
        <f si="1" t="shared"/>
        <v>8.696333054385115E-3</v>
      </c>
    </row>
    <row r="29" spans="1:7" x14ac:dyDescent="0.25">
      <c r="A29">
        <v>18</v>
      </c>
      <c r="B29" s="6" t="n">
        <v>1749.508247889</v>
      </c>
      <c r="C29" s="9">
        <f si="0" t="shared"/>
        <v>8.8039413423954636E-3</v>
      </c>
      <c r="E29" s="371">
        <v>18</v>
      </c>
      <c r="F29" s="371" t="n">
        <v>1456.0</v>
      </c>
      <c r="G29" s="9">
        <f si="1" t="shared"/>
        <v>7.6294784647081568E-3</v>
      </c>
    </row>
    <row r="30" spans="1:7" x14ac:dyDescent="0.25">
      <c r="A30">
        <v>19</v>
      </c>
      <c r="B30" s="6" t="n">
        <v>114.49205282</v>
      </c>
      <c r="C30" s="9">
        <f si="0" t="shared"/>
        <v>5.761512233017354E-4</v>
      </c>
      <c r="E30" s="371">
        <v>19</v>
      </c>
      <c r="F30" s="371" t="n">
        <v>1336.0</v>
      </c>
      <c r="G30" s="9">
        <f si="1" t="shared"/>
        <v>6.4353843368128456E-3</v>
      </c>
    </row>
    <row r="31" spans="1:7" x14ac:dyDescent="0.25">
      <c r="A31">
        <v>20</v>
      </c>
      <c r="B31" s="6" t="n">
        <v>300.1269826337</v>
      </c>
      <c r="C31" s="9">
        <f si="0" t="shared"/>
        <v>1.5103103135212432E-3</v>
      </c>
      <c r="E31" s="371">
        <v>20</v>
      </c>
      <c r="F31" s="371" t="n">
        <v>925.0</v>
      </c>
      <c r="G31" s="9">
        <f si="1" t="shared"/>
        <v>5.0063864460528828E-3</v>
      </c>
    </row>
    <row r="32" spans="1:7" x14ac:dyDescent="0.25">
      <c r="A32">
        <v>21</v>
      </c>
      <c r="B32" s="6" t="n">
        <v>920.233152728</v>
      </c>
      <c r="C32" s="9">
        <f si="0" t="shared"/>
        <v>4.6308319539051295E-3</v>
      </c>
      <c r="E32" s="371">
        <v>21</v>
      </c>
      <c r="F32" s="371" t="n">
        <v>663.0</v>
      </c>
      <c r="G32" s="9">
        <f si="1" t="shared"/>
        <v>3.5529194133278523E-3</v>
      </c>
    </row>
    <row r="33" spans="1:7" x14ac:dyDescent="0.25">
      <c r="A33">
        <v>22</v>
      </c>
      <c r="B33" s="6" t="n">
        <v>587.332461473</v>
      </c>
      <c r="C33" s="9">
        <f si="0" t="shared"/>
        <v>2.955596548648627E-3</v>
      </c>
      <c r="E33" s="371">
        <v>22</v>
      </c>
      <c r="F33" s="371" t="n">
        <v>551.0</v>
      </c>
      <c r="G33" s="9">
        <f si="1" t="shared"/>
        <v>2.7258624149085588E-3</v>
      </c>
    </row>
    <row r="34" spans="1:7" x14ac:dyDescent="0.25">
      <c r="A34">
        <v>23</v>
      </c>
      <c r="B34" s="6" t="n">
        <v>6868.907967339001</v>
      </c>
      <c r="C34" s="9">
        <f si="0" t="shared"/>
        <v>3.4565977556112806E-2</v>
      </c>
      <c r="E34" s="371">
        <v>23</v>
      </c>
      <c r="F34" s="371" t="n">
        <v>433.0</v>
      </c>
      <c r="G34" s="9">
        <f si="1" t="shared"/>
        <v>2.5007463088299346E-3</v>
      </c>
    </row>
    <row r="35" spans="1:7" x14ac:dyDescent="0.25">
      <c r="A35">
        <v>24</v>
      </c>
      <c r="B35" s="6" t="n">
        <v>0.0</v>
      </c>
      <c r="C35" s="9">
        <f si="0" t="shared"/>
        <v>0</v>
      </c>
      <c r="E35" s="371">
        <v>24</v>
      </c>
      <c r="F35" s="371" t="n">
        <v>264.0</v>
      </c>
      <c r="G35" s="9">
        <f si="1" t="shared"/>
        <v>1.6051757129084512E-3</v>
      </c>
    </row>
    <row r="36" spans="1:7" x14ac:dyDescent="0.25">
      <c r="A36">
        <v>25</v>
      </c>
      <c r="B36" s="6" t="n">
        <v>985.236238173</v>
      </c>
      <c r="C36" s="9">
        <f si="0" t="shared"/>
        <v>4.9579429303883964E-3</v>
      </c>
      <c r="E36" s="371">
        <v>25</v>
      </c>
      <c r="F36" s="371" t="n">
        <v>199.0</v>
      </c>
      <c r="G36" s="9">
        <f si="1" t="shared"/>
        <v>1.1647311575372298E-3</v>
      </c>
    </row>
    <row r="37" spans="1:7" x14ac:dyDescent="0.25">
      <c r="A37">
        <v>26</v>
      </c>
      <c r="B37" s="6" t="n">
        <v>0.0</v>
      </c>
      <c r="C37" s="9">
        <f si="0" t="shared"/>
        <v>0</v>
      </c>
      <c r="E37" s="371">
        <v>26</v>
      </c>
      <c r="F37" s="371" t="n">
        <v>190.0</v>
      </c>
      <c r="G37" s="9">
        <f si="1" t="shared"/>
        <v>1.0179163057468226E-3</v>
      </c>
    </row>
    <row r="38" spans="1:7" x14ac:dyDescent="0.25">
      <c r="A38">
        <v>27</v>
      </c>
      <c r="B38" s="6" t="n">
        <v>315.18769892</v>
      </c>
      <c r="C38" s="9">
        <f si="0" t="shared"/>
        <v>1.5860994176418075E-3</v>
      </c>
      <c r="E38" s="371">
        <v>27</v>
      </c>
      <c r="F38" s="371" t="n">
        <v>128.0</v>
      </c>
      <c r="G38" s="9">
        <f si="1" t="shared"/>
        <v>8.2216317002627983E-4</v>
      </c>
    </row>
    <row r="39" spans="1:7" x14ac:dyDescent="0.25">
      <c r="A39">
        <v>28</v>
      </c>
      <c r="B39" s="6" t="n">
        <v>0.0</v>
      </c>
      <c r="C39" s="9">
        <f si="0" t="shared"/>
        <v>0</v>
      </c>
      <c r="E39" s="371">
        <v>28</v>
      </c>
      <c r="F39" s="371" t="n">
        <v>118.0</v>
      </c>
      <c r="G39" s="9">
        <f si="1" t="shared"/>
        <v>5.0406432448039777E-4</v>
      </c>
    </row>
    <row r="40" spans="1:7" x14ac:dyDescent="0.25">
      <c r="A40">
        <v>29</v>
      </c>
      <c r="B40" s="6" t="n">
        <v>611.974694592</v>
      </c>
      <c r="C40" s="9">
        <f si="0" t="shared"/>
        <v>3.0796021228933252E-3</v>
      </c>
      <c r="E40" s="371">
        <v>29</v>
      </c>
      <c r="F40" s="371" t="n">
        <v>89.0</v>
      </c>
      <c r="G40" s="9">
        <f si="1" t="shared"/>
        <v>5.823655787686149E-4</v>
      </c>
    </row>
    <row r="41" spans="1:7" x14ac:dyDescent="0.25">
      <c r="A41">
        <v>30</v>
      </c>
      <c r="B41" s="6" t="n">
        <v>5.55375</v>
      </c>
      <c r="C41" s="9">
        <f si="0" t="shared"/>
        <v>2.7947790065766531E-5</v>
      </c>
      <c r="E41" s="371">
        <v>30</v>
      </c>
      <c r="F41" s="371" t="n">
        <v>82.0</v>
      </c>
      <c r="G41" s="9">
        <f si="1" t="shared"/>
        <v>3.7193095786903135E-4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76.0</v>
      </c>
      <c r="G42" s="9">
        <f si="1" t="shared"/>
        <v>4.4533838376423495E-4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45.0</v>
      </c>
      <c r="G43" s="9">
        <f si="1" t="shared"/>
        <v>3.523556442969771E-4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43.0</v>
      </c>
      <c r="G44" s="9">
        <f si="1" t="shared"/>
        <v>2.2511610607862424E-4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24.0</v>
      </c>
      <c r="G45" s="9">
        <f si="1" t="shared"/>
        <v>1.7617782214848855E-4</v>
      </c>
    </row>
    <row r="46" spans="1:7" x14ac:dyDescent="0.2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19.0</v>
      </c>
      <c r="G46" s="9">
        <f si="1" t="shared"/>
        <v>1.2234570982533926E-4</v>
      </c>
    </row>
    <row r="47" spans="1:7" x14ac:dyDescent="0.25">
      <c r="A47">
        <v>36</v>
      </c>
      <c r="B47" s="6" t="n">
        <v>736.563073278</v>
      </c>
      <c r="C47" s="9">
        <f si="0" t="shared"/>
        <v>3.7065604577392495E-3</v>
      </c>
      <c r="E47" s="371">
        <v>36</v>
      </c>
      <c r="F47" s="371" t="n">
        <v>33.0</v>
      </c>
      <c r="G47" s="9">
        <f si="1" t="shared"/>
        <v>1.0766422464629856E-4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13.0</v>
      </c>
      <c r="G48" s="9">
        <f si="1" t="shared"/>
        <v>9.7876567860271415E-5</v>
      </c>
    </row>
    <row r="49" spans="1:7" x14ac:dyDescent="0.25">
      <c r="A49">
        <v>38</v>
      </c>
      <c r="B49" s="6" t="n">
        <v>69.966370625</v>
      </c>
      <c r="C49" s="9">
        <f si="0" t="shared"/>
        <v>3.5208740722774957E-4</v>
      </c>
      <c r="E49" s="371">
        <v>38</v>
      </c>
      <c r="F49" s="371" t="n">
        <v>13.0</v>
      </c>
      <c r="G49" s="9">
        <f si="1" t="shared"/>
        <v>1.0766422464629856E-4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14.0</v>
      </c>
      <c r="G50" s="9">
        <f si="1" t="shared"/>
        <v>3.9150627144108566E-5</v>
      </c>
    </row>
    <row r="51" spans="1:7" x14ac:dyDescent="0.25">
      <c r="A51">
        <v>40</v>
      </c>
      <c r="B51" s="6" t="n">
        <v>336.097862622</v>
      </c>
      <c r="C51" s="9">
        <f si="0" t="shared"/>
        <v>1.6913243315079894E-3</v>
      </c>
      <c r="E51" s="371">
        <v>40</v>
      </c>
      <c r="F51" s="371" t="n">
        <v>13.0</v>
      </c>
      <c r="G51" s="9">
        <f si="1" t="shared"/>
        <v>5.3832112323149278E-5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8.0</v>
      </c>
      <c r="G52" s="9">
        <f si="1" t="shared"/>
        <v>5.8725940716162849E-5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16.0</v>
      </c>
      <c r="G53" s="9">
        <f si="1" t="shared"/>
        <v>4.4044455537122137E-5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5.0</v>
      </c>
      <c r="G54" s="9">
        <f si="1" t="shared"/>
        <v>5.3832112323149278E-5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0.0</v>
      </c>
      <c r="G55" s="9">
        <f si="1" t="shared"/>
        <v>2.4469141965067854E-5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8.0</v>
      </c>
      <c r="G56" s="9">
        <f si="1" t="shared"/>
        <v>2.4469141965067854E-5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0.0</v>
      </c>
      <c r="G57" s="9">
        <f si="1" t="shared"/>
        <v>2.9362970358081425E-5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3.0</v>
      </c>
      <c r="G58" s="9">
        <f si="1" t="shared"/>
        <v>4.8938283930135708E-6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5.0</v>
      </c>
      <c r="G59" s="9">
        <f si="1" t="shared"/>
        <v>2.4469141965067854E-5</v>
      </c>
    </row>
    <row r="60" spans="1:7" x14ac:dyDescent="0.25">
      <c r="A60">
        <v>49</v>
      </c>
      <c r="B60" s="6" t="n">
        <v>667.99538554</v>
      </c>
      <c r="C60" s="9">
        <f si="0" t="shared"/>
        <v>3.3615115552505419E-3</v>
      </c>
      <c r="E60" s="371">
        <v>49</v>
      </c>
      <c r="F60" s="371" t="n">
        <v>3.0</v>
      </c>
      <c r="G60" s="9">
        <f si="1" t="shared"/>
        <v>9.7876567860271415E-6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2.0</v>
      </c>
      <c r="G61" s="9">
        <f si="1" t="shared"/>
        <v>4.8938283930135708E-6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3.0</v>
      </c>
      <c r="G62" s="9">
        <f si="1" t="shared"/>
        <v>4.8938283930135708E-6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0.0</v>
      </c>
      <c r="G63" s="9">
        <f si="1" t="shared"/>
        <v>0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1.0</v>
      </c>
      <c r="G64" s="9">
        <f si="1" t="shared"/>
        <v>4.8938283930135708E-6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0.0</v>
      </c>
      <c r="G65" s="9">
        <f si="1" t="shared"/>
        <v>9.7876567860271415E-6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0.0</v>
      </c>
      <c r="G66" s="9">
        <f si="1" t="shared"/>
        <v>4.8938283930135708E-6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0.0</v>
      </c>
      <c r="G67" s="9">
        <f si="1" t="shared"/>
        <v>0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0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0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0.0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4.8938283930135708E-6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4.8938283930135708E-6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198718.75332292667</v>
      </c>
      <c r="C102" s="9">
        <f si="2" t="shared"/>
        <v>1</v>
      </c>
      <c r="F102" s="6">
        <f>SUM(F11:F101)</f>
        <v>204339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L102"/>
  <sheetViews>
    <sheetView workbookViewId="0">
      <selection activeCell="H24" sqref="H2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368.29925</v>
      </c>
      <c r="C11" s="9">
        <f>B11/B$102</f>
        <v>1.8533693667124485E-3</v>
      </c>
      <c r="E11" s="371">
        <v>0</v>
      </c>
      <c r="F11" s="371" t="n">
        <v>876.0</v>
      </c>
      <c r="G11" s="9">
        <f>F11/F$102</f>
        <v>4.3848702401401594E-3</v>
      </c>
      <c r="K11" s="6" t="n">
        <v>18.335191812547684</v>
      </c>
      <c r="L11" s="6" t="n">
        <v>20.282598519836156</v>
      </c>
    </row>
    <row r="12" spans="1:12" x14ac:dyDescent="0.25">
      <c r="A12">
        <v>1</v>
      </c>
      <c r="B12" s="6" t="n">
        <v>2411.760922769</v>
      </c>
      <c r="C12" s="9">
        <f>B12/B$102</f>
        <v>1.2136554212625229E-2</v>
      </c>
      <c r="E12" s="371">
        <v>1</v>
      </c>
      <c r="F12" s="371" t="n">
        <v>3591.0</v>
      </c>
      <c r="G12" s="9">
        <f>F12/F$102</f>
        <v>1.7431816735914339E-2</v>
      </c>
      <c r="K12" s="6"/>
      <c r="L12" s="371"/>
    </row>
    <row r="13" spans="1:12" x14ac:dyDescent="0.25">
      <c r="A13">
        <v>2</v>
      </c>
      <c r="B13" s="6" t="n">
        <v>3565.0701195009997</v>
      </c>
      <c r="C13" s="9">
        <f ref="C13:C76" si="0" t="shared">B13/B$102</f>
        <v>1.7940280219590567E-2</v>
      </c>
      <c r="E13" s="371">
        <v>2</v>
      </c>
      <c r="F13" s="371" t="n">
        <v>4247.0</v>
      </c>
      <c r="G13" s="9">
        <f ref="G13:G76" si="1" t="shared">F13/F$102</f>
        <v>2.0260449547076183E-2</v>
      </c>
    </row>
    <row r="14" spans="1:12" x14ac:dyDescent="0.25">
      <c r="A14">
        <v>3</v>
      </c>
      <c r="B14" s="6" t="n">
        <v>6524.4683707464</v>
      </c>
      <c r="C14" s="9">
        <f si="0" t="shared"/>
        <v>3.2832675636525616E-2</v>
      </c>
      <c r="E14" s="371">
        <v>3</v>
      </c>
      <c r="F14" s="371" t="n">
        <v>5563.0</v>
      </c>
      <c r="G14" s="9">
        <f si="1" t="shared"/>
        <v>2.7449483456413116E-2</v>
      </c>
    </row>
    <row r="15" spans="1:12" x14ac:dyDescent="0.25">
      <c r="A15">
        <v>4</v>
      </c>
      <c r="B15" s="6" t="n">
        <v>13138.2298090838</v>
      </c>
      <c r="C15" s="9">
        <f si="0" t="shared"/>
        <v>6.6114695213156841E-2</v>
      </c>
      <c r="E15" s="371">
        <v>4</v>
      </c>
      <c r="F15" s="371" t="n">
        <v>6635.0</v>
      </c>
      <c r="G15" s="9">
        <f si="1" t="shared"/>
        <v>3.2289479737103541E-2</v>
      </c>
    </row>
    <row r="16" spans="1:12" x14ac:dyDescent="0.25">
      <c r="A16">
        <v>5</v>
      </c>
      <c r="B16" s="6" t="n">
        <v>7252.3299823002</v>
      </c>
      <c r="C16" s="9">
        <f si="0" t="shared"/>
        <v>3.6495448270626195E-2</v>
      </c>
      <c r="E16" s="371">
        <v>5</v>
      </c>
      <c r="F16" s="371" t="n">
        <v>8156.0</v>
      </c>
      <c r="G16" s="9">
        <f si="1" t="shared"/>
        <v>3.9351274108222124E-2</v>
      </c>
    </row>
    <row r="17" spans="1:7" x14ac:dyDescent="0.25">
      <c r="A17">
        <v>6</v>
      </c>
      <c r="B17" s="6" t="n">
        <v>14929.974005296</v>
      </c>
      <c r="C17" s="9">
        <f si="0" t="shared"/>
        <v>7.5131177886538641E-2</v>
      </c>
      <c r="E17" s="371">
        <v>6</v>
      </c>
      <c r="F17" s="371" t="n">
        <v>8900.0</v>
      </c>
      <c r="G17" s="9">
        <f si="1" t="shared"/>
        <v>4.3300593621384074E-2</v>
      </c>
    </row>
    <row r="18" spans="1:7" x14ac:dyDescent="0.25">
      <c r="A18">
        <v>7</v>
      </c>
      <c r="B18" s="6" t="n">
        <v>17615.716951318802</v>
      </c>
      <c r="C18" s="9">
        <f si="0" t="shared"/>
        <v>8.864647476271395E-2</v>
      </c>
      <c r="E18" s="371">
        <v>7</v>
      </c>
      <c r="F18" s="371" t="n">
        <v>10351.0</v>
      </c>
      <c r="G18" s="9">
        <f si="1" t="shared"/>
        <v>4.9882792809987322E-2</v>
      </c>
    </row>
    <row r="19" spans="1:7" x14ac:dyDescent="0.25">
      <c r="A19">
        <v>8</v>
      </c>
      <c r="B19" s="6" t="n">
        <v>13205.7269029522</v>
      </c>
      <c r="C19" s="9">
        <f si="0" t="shared"/>
        <v>6.6454356632825243E-2</v>
      </c>
      <c r="E19" s="371">
        <v>8</v>
      </c>
      <c r="F19" s="371" t="n">
        <v>10750.0</v>
      </c>
      <c r="G19" s="9">
        <f si="1" t="shared"/>
        <v>5.0920284429306205E-2</v>
      </c>
    </row>
    <row r="20" spans="1:7" x14ac:dyDescent="0.25">
      <c r="A20">
        <v>9</v>
      </c>
      <c r="B20" s="6" t="n">
        <v>16082.4600236323</v>
      </c>
      <c r="C20" s="9">
        <f si="0" t="shared"/>
        <v>8.0930761464156301E-2</v>
      </c>
      <c r="E20" s="371">
        <v>9</v>
      </c>
      <c r="F20" s="371" t="n">
        <v>10134.0</v>
      </c>
      <c r="G20" s="9">
        <f si="1" t="shared"/>
        <v>4.8527202345122568E-2</v>
      </c>
    </row>
    <row r="21" spans="1:7" x14ac:dyDescent="0.25">
      <c r="A21">
        <v>10</v>
      </c>
      <c r="B21" s="6" t="n">
        <v>7237.817845462</v>
      </c>
      <c r="C21" s="9">
        <f si="0" t="shared"/>
        <v>3.6422419748679817E-2</v>
      </c>
      <c r="E21" s="371">
        <v>10</v>
      </c>
      <c r="F21" s="371" t="n">
        <v>9907.0</v>
      </c>
      <c r="G21" s="9">
        <f si="1" t="shared"/>
        <v>4.6290722769515368E-2</v>
      </c>
    </row>
    <row r="22" spans="1:7" x14ac:dyDescent="0.25">
      <c r="A22">
        <v>11</v>
      </c>
      <c r="B22" s="6" t="n">
        <v>2407.874971086</v>
      </c>
      <c r="C22" s="9">
        <f si="0" t="shared"/>
        <v>1.2116999180108065E-2</v>
      </c>
      <c r="E22" s="371">
        <v>11</v>
      </c>
      <c r="F22" s="371" t="n">
        <v>9331.0</v>
      </c>
      <c r="G22" s="9">
        <f si="1" t="shared"/>
        <v>4.520429286626635E-2</v>
      </c>
    </row>
    <row r="23" spans="1:7" x14ac:dyDescent="0.25">
      <c r="A23">
        <v>12</v>
      </c>
      <c r="B23" s="6" t="n">
        <v>4731.0028989926</v>
      </c>
      <c r="C23" s="9">
        <f si="0" t="shared"/>
        <v>2.3807531095490077E-2</v>
      </c>
      <c r="E23" s="371">
        <v>12</v>
      </c>
      <c r="F23" s="371" t="n">
        <v>7586.0</v>
      </c>
      <c r="G23" s="9">
        <f si="1" t="shared"/>
        <v>3.7217564928868206E-2</v>
      </c>
    </row>
    <row r="24" spans="1:7" x14ac:dyDescent="0.25">
      <c r="A24">
        <v>13</v>
      </c>
      <c r="B24" s="6" t="n">
        <v>2312.596078701</v>
      </c>
      <c r="C24" s="9">
        <f si="0" t="shared"/>
        <v>1.163753314687381E-2</v>
      </c>
      <c r="E24" s="371">
        <v>13</v>
      </c>
      <c r="F24" s="371" t="n">
        <v>6803.0</v>
      </c>
      <c r="G24" s="9">
        <f si="1" t="shared"/>
        <v>3.1932230264413546E-2</v>
      </c>
    </row>
    <row r="25" spans="1:7" x14ac:dyDescent="0.25">
      <c r="A25">
        <v>14</v>
      </c>
      <c r="B25" s="6" t="n">
        <v>2926.824793461</v>
      </c>
      <c r="C25" s="9">
        <f si="0" t="shared"/>
        <v>1.4728478035008506E-2</v>
      </c>
      <c r="E25" s="371">
        <v>14</v>
      </c>
      <c r="F25" s="371" t="n">
        <v>5293.0</v>
      </c>
      <c r="G25" s="9">
        <f si="1" t="shared"/>
        <v>2.6226026358159724E-2</v>
      </c>
    </row>
    <row r="26" spans="1:7" x14ac:dyDescent="0.25">
      <c r="A26">
        <v>15</v>
      </c>
      <c r="B26" s="6" t="n">
        <v>4787.623131349</v>
      </c>
      <c r="C26" s="9">
        <f si="0" t="shared"/>
        <v>2.409245756271881E-2</v>
      </c>
      <c r="E26" s="371">
        <v>15</v>
      </c>
      <c r="F26" s="371" t="n">
        <v>5203.0</v>
      </c>
      <c r="G26" s="9">
        <f si="1" t="shared"/>
        <v>2.5487058270814676E-2</v>
      </c>
    </row>
    <row r="27" spans="1:7" x14ac:dyDescent="0.25">
      <c r="A27">
        <v>16</v>
      </c>
      <c r="B27" s="6" t="n">
        <v>2791.044729807</v>
      </c>
      <c r="C27" s="9">
        <f si="0" t="shared"/>
        <v>1.4045200481262225E-2</v>
      </c>
      <c r="E27" s="371">
        <v>16</v>
      </c>
      <c r="F27" s="371" t="n">
        <v>5384.0</v>
      </c>
      <c r="G27" s="9">
        <f si="1" t="shared"/>
        <v>2.4180406089880053E-2</v>
      </c>
    </row>
    <row r="28" spans="1:7" x14ac:dyDescent="0.25">
      <c r="A28">
        <v>17</v>
      </c>
      <c r="B28" s="6" t="n">
        <v>2040.3149839865998</v>
      </c>
      <c r="C28" s="9">
        <f si="0" t="shared"/>
        <v>1.0267349960026158E-2</v>
      </c>
      <c r="E28" s="371">
        <v>17</v>
      </c>
      <c r="F28" s="371" t="n">
        <v>5229.0</v>
      </c>
      <c r="G28" s="9">
        <f si="1" t="shared"/>
        <v>2.6015591737260143E-2</v>
      </c>
    </row>
    <row r="29" spans="1:7" x14ac:dyDescent="0.25">
      <c r="A29">
        <v>18</v>
      </c>
      <c r="B29" s="6" t="n">
        <v>7805.3347091348</v>
      </c>
      <c r="C29" s="9">
        <f si="0" t="shared"/>
        <v>3.9278299499246487E-2</v>
      </c>
      <c r="E29" s="371">
        <v>18</v>
      </c>
      <c r="F29" s="371" t="n">
        <v>5347.0</v>
      </c>
      <c r="G29" s="9">
        <f si="1" t="shared"/>
        <v>2.6000910252081101E-2</v>
      </c>
    </row>
    <row r="30" spans="1:7" x14ac:dyDescent="0.25">
      <c r="A30">
        <v>19</v>
      </c>
      <c r="B30" s="6" t="n">
        <v>5380.3779327574</v>
      </c>
      <c r="C30" s="9">
        <f si="0" t="shared"/>
        <v>2.7075340614753401E-2</v>
      </c>
      <c r="E30" s="371">
        <v>19</v>
      </c>
      <c r="F30" s="371" t="n">
        <v>5872.0</v>
      </c>
      <c r="G30" s="9">
        <f si="1" t="shared"/>
        <v>2.9778945771487576E-2</v>
      </c>
    </row>
    <row r="31" spans="1:7" x14ac:dyDescent="0.25">
      <c r="A31">
        <v>20</v>
      </c>
      <c r="B31" s="6" t="n">
        <v>3223.676783582</v>
      </c>
      <c r="C31" s="9">
        <f si="0" t="shared"/>
        <v>1.6222307807775862E-2</v>
      </c>
      <c r="E31" s="371">
        <v>20</v>
      </c>
      <c r="F31" s="371" t="n">
        <v>5208.0</v>
      </c>
      <c r="G31" s="9">
        <f si="1" t="shared"/>
        <v>2.545280147206358E-2</v>
      </c>
    </row>
    <row r="32" spans="1:7" x14ac:dyDescent="0.25">
      <c r="A32">
        <v>21</v>
      </c>
      <c r="B32" s="6" t="n">
        <v>3416.4324801732</v>
      </c>
      <c r="C32" s="9">
        <f si="0" t="shared"/>
        <v>1.7192300288948303E-2</v>
      </c>
      <c r="E32" s="371">
        <v>21</v>
      </c>
      <c r="F32" s="371" t="n">
        <v>5038.0</v>
      </c>
      <c r="G32" s="9">
        <f si="1" t="shared"/>
        <v>2.4831285266150856E-2</v>
      </c>
    </row>
    <row r="33" spans="1:7" x14ac:dyDescent="0.25">
      <c r="A33">
        <v>22</v>
      </c>
      <c r="B33" s="6" t="n">
        <v>1142.1005758004</v>
      </c>
      <c r="C33" s="9">
        <f si="0" t="shared"/>
        <v>5.7473215622706542E-3</v>
      </c>
      <c r="E33" s="371">
        <v>22</v>
      </c>
      <c r="F33" s="371" t="n">
        <v>4764.0</v>
      </c>
      <c r="G33" s="9">
        <f si="1" t="shared"/>
        <v>2.4155936947914985E-2</v>
      </c>
    </row>
    <row r="34" spans="1:7" x14ac:dyDescent="0.25">
      <c r="A34">
        <v>23</v>
      </c>
      <c r="B34" s="6" t="n">
        <v>1367.242138795</v>
      </c>
      <c r="C34" s="9">
        <f si="0" t="shared"/>
        <v>6.8802874209520195E-3</v>
      </c>
      <c r="E34" s="371">
        <v>23</v>
      </c>
      <c r="F34" s="371" t="n">
        <v>4666.0</v>
      </c>
      <c r="G34" s="9">
        <f si="1" t="shared"/>
        <v>2.3818262788797048E-2</v>
      </c>
    </row>
    <row r="35" spans="1:7" x14ac:dyDescent="0.25">
      <c r="A35">
        <v>24</v>
      </c>
      <c r="B35" s="6" t="n">
        <v>1050.2164423473</v>
      </c>
      <c r="C35" s="9">
        <f si="0" t="shared"/>
        <v>5.2849387628788715E-3</v>
      </c>
      <c r="E35" s="371">
        <v>24</v>
      </c>
      <c r="F35" s="371" t="n">
        <v>3916.0</v>
      </c>
      <c r="G35" s="9">
        <f si="1" t="shared"/>
        <v>1.8821663999530194E-2</v>
      </c>
    </row>
    <row r="36" spans="1:7" x14ac:dyDescent="0.25">
      <c r="A36">
        <v>25</v>
      </c>
      <c r="B36" s="6" t="n">
        <v>1969.1016206259999</v>
      </c>
      <c r="C36" s="9">
        <f si="0" t="shared"/>
        <v>9.9089873889563057E-3</v>
      </c>
      <c r="E36" s="371">
        <v>25</v>
      </c>
      <c r="F36" s="371" t="n">
        <v>3486.0</v>
      </c>
      <c r="G36" s="9">
        <f si="1" t="shared"/>
        <v>1.761288838645584E-2</v>
      </c>
    </row>
    <row r="37" spans="1:7" x14ac:dyDescent="0.25">
      <c r="A37">
        <v>26</v>
      </c>
      <c r="B37" s="6" t="n">
        <v>3530.24631584</v>
      </c>
      <c r="C37" s="9">
        <f si="0" t="shared"/>
        <v>1.7765038562330322E-2</v>
      </c>
      <c r="E37" s="371">
        <v>26</v>
      </c>
      <c r="F37" s="371" t="n">
        <v>3484.0</v>
      </c>
      <c r="G37" s="9">
        <f si="1" t="shared"/>
        <v>1.8366537958979929E-2</v>
      </c>
    </row>
    <row r="38" spans="1:7" x14ac:dyDescent="0.25">
      <c r="A38">
        <v>27</v>
      </c>
      <c r="B38" s="6" t="n">
        <v>1078.0509626835</v>
      </c>
      <c r="C38" s="9">
        <f si="0" t="shared"/>
        <v>5.425008685172354E-3</v>
      </c>
      <c r="E38" s="371">
        <v>27</v>
      </c>
      <c r="F38" s="371" t="n">
        <v>2944.0</v>
      </c>
      <c r="G38" s="9">
        <f si="1" t="shared"/>
        <v>1.4382961647066884E-2</v>
      </c>
    </row>
    <row r="39" spans="1:7" x14ac:dyDescent="0.25">
      <c r="A39">
        <v>28</v>
      </c>
      <c r="B39" s="6" t="n">
        <v>1260.441340047</v>
      </c>
      <c r="C39" s="9">
        <f si="0" t="shared"/>
        <v>6.3428404162677457E-3</v>
      </c>
      <c r="E39" s="371">
        <v>28</v>
      </c>
      <c r="F39" s="371" t="n">
        <v>2845.0</v>
      </c>
      <c r="G39" s="9">
        <f si="1" t="shared"/>
        <v>1.4838087687617145E-2</v>
      </c>
    </row>
    <row r="40" spans="1:7" x14ac:dyDescent="0.25">
      <c r="A40">
        <v>29</v>
      </c>
      <c r="B40" s="6" t="n">
        <v>4465.172615655</v>
      </c>
      <c r="C40" s="9">
        <f si="0" t="shared"/>
        <v>2.2469809924777949E-2</v>
      </c>
      <c r="E40" s="371">
        <v>29</v>
      </c>
      <c r="F40" s="371" t="n">
        <v>2678.0</v>
      </c>
      <c r="G40" s="9">
        <f si="1" t="shared"/>
        <v>1.3291637915424858E-2</v>
      </c>
    </row>
    <row r="41" spans="1:7" x14ac:dyDescent="0.25">
      <c r="A41">
        <v>30</v>
      </c>
      <c r="B41" s="6" t="n">
        <v>1962.4915236000002</v>
      </c>
      <c r="C41" s="9">
        <f si="0" t="shared"/>
        <v>9.8757238095735483E-3</v>
      </c>
      <c r="E41" s="371">
        <v>30</v>
      </c>
      <c r="F41" s="371" t="n">
        <v>2306.0</v>
      </c>
      <c r="G41" s="9">
        <f si="1" t="shared"/>
        <v>1.093770645838533E-2</v>
      </c>
    </row>
    <row r="42" spans="1:7" x14ac:dyDescent="0.25">
      <c r="A42">
        <v>31</v>
      </c>
      <c r="B42" s="6" t="n">
        <v>1724.198910251</v>
      </c>
      <c r="C42" s="9">
        <f si="0" t="shared"/>
        <v>8.6765787396476911E-3</v>
      </c>
      <c r="E42" s="371">
        <v>31</v>
      </c>
      <c r="F42" s="371" t="n">
        <v>1935.0</v>
      </c>
      <c r="G42" s="9">
        <f si="1" t="shared"/>
        <v>1.00617111760359E-2</v>
      </c>
    </row>
    <row r="43" spans="1:7" x14ac:dyDescent="0.25">
      <c r="A43">
        <v>32</v>
      </c>
      <c r="B43" s="6" t="n">
        <v>6283.679861881</v>
      </c>
      <c r="C43" s="9">
        <f si="0" t="shared"/>
        <v>3.1620970627114109E-2</v>
      </c>
      <c r="E43" s="371">
        <v>32</v>
      </c>
      <c r="F43" s="371" t="n">
        <v>1815.0</v>
      </c>
      <c r="G43" s="9">
        <f si="1" t="shared"/>
        <v>9.097626982612227E-3</v>
      </c>
    </row>
    <row r="44" spans="1:7" x14ac:dyDescent="0.25">
      <c r="A44">
        <v>33</v>
      </c>
      <c r="B44" s="6" t="n">
        <v>888.0753137720001</v>
      </c>
      <c r="C44" s="9">
        <f si="0" t="shared"/>
        <v>4.4690060647111576E-3</v>
      </c>
      <c r="E44" s="371">
        <v>33</v>
      </c>
      <c r="F44" s="371" t="n">
        <v>1589.0</v>
      </c>
      <c r="G44" s="9">
        <f si="1" t="shared"/>
        <v>8.5348367174156673E-3</v>
      </c>
    </row>
    <row r="45" spans="1:7" x14ac:dyDescent="0.25">
      <c r="A45">
        <v>34</v>
      </c>
      <c r="B45" s="6" t="n">
        <v>827.9237001710001</v>
      </c>
      <c r="C45" s="9">
        <f si="0" t="shared"/>
        <v>4.166308847688812E-3</v>
      </c>
      <c r="E45" s="371">
        <v>34</v>
      </c>
      <c r="F45" s="371" t="n">
        <v>1466.0</v>
      </c>
      <c r="G45" s="9">
        <f si="1" t="shared"/>
        <v>7.0471128859395417E-3</v>
      </c>
    </row>
    <row r="46" spans="1:7" x14ac:dyDescent="0.25">
      <c r="A46">
        <v>35</v>
      </c>
      <c r="B46" s="6" t="n">
        <v>579.566932155</v>
      </c>
      <c r="C46" s="9">
        <f si="0" t="shared"/>
        <v>2.9165185593388772E-3</v>
      </c>
      <c r="E46" s="371">
        <v>35</v>
      </c>
      <c r="F46" s="371" t="n">
        <v>1057.0</v>
      </c>
      <c r="G46" s="9">
        <f si="1" t="shared"/>
        <v>6.4353843368128456E-3</v>
      </c>
    </row>
    <row r="47" spans="1:7" x14ac:dyDescent="0.25">
      <c r="A47">
        <v>36</v>
      </c>
      <c r="B47" s="6" t="n">
        <v>1837.943988124</v>
      </c>
      <c r="C47" s="9">
        <f si="0" t="shared"/>
        <v>9.2489710074683297E-3</v>
      </c>
      <c r="E47" s="371">
        <v>36</v>
      </c>
      <c r="F47" s="371" t="n">
        <v>992.0</v>
      </c>
      <c r="G47" s="9">
        <f si="1" t="shared"/>
        <v>4.9378728485506927E-3</v>
      </c>
    </row>
    <row r="48" spans="1:7" x14ac:dyDescent="0.25">
      <c r="A48">
        <v>37</v>
      </c>
      <c r="B48" s="6" t="n">
        <v>2634.421708174</v>
      </c>
      <c r="C48" s="9">
        <f si="0" t="shared"/>
        <v>1.3257036208821965E-2</v>
      </c>
      <c r="E48" s="371">
        <v>37</v>
      </c>
      <c r="F48" s="371" t="n">
        <v>935.0</v>
      </c>
      <c r="G48" s="9">
        <f si="1" t="shared"/>
        <v>4.7519073696161767E-3</v>
      </c>
    </row>
    <row r="49" spans="1:7" x14ac:dyDescent="0.25">
      <c r="A49">
        <v>38</v>
      </c>
      <c r="B49" s="6" t="n">
        <v>541.706288837</v>
      </c>
      <c r="C49" s="9">
        <f si="0" t="shared"/>
        <v>2.7259948031009605E-3</v>
      </c>
      <c r="E49" s="371">
        <v>38</v>
      </c>
      <c r="F49" s="371" t="n">
        <v>867.0</v>
      </c>
      <c r="G49" s="9">
        <f si="1" t="shared"/>
        <v>5.0308555880179502E-3</v>
      </c>
    </row>
    <row r="50" spans="1:7" x14ac:dyDescent="0.25">
      <c r="A50">
        <v>39</v>
      </c>
      <c r="B50" s="6" t="n">
        <v>1265.3659462537</v>
      </c>
      <c r="C50" s="9">
        <f si="0" t="shared"/>
        <v>6.3676222052250131E-3</v>
      </c>
      <c r="E50" s="371">
        <v>39</v>
      </c>
      <c r="F50" s="371" t="n">
        <v>699.0</v>
      </c>
      <c r="G50" s="9">
        <f si="1" t="shared"/>
        <v>3.9003812292318159E-3</v>
      </c>
    </row>
    <row r="51" spans="1:7" x14ac:dyDescent="0.25">
      <c r="A51">
        <v>40</v>
      </c>
      <c r="B51" s="6" t="n">
        <v>121.887169181</v>
      </c>
      <c r="C51" s="9">
        <f si="0" t="shared"/>
        <v>6.1336520656874284E-4</v>
      </c>
      <c r="E51" s="371">
        <v>40</v>
      </c>
      <c r="F51" s="371" t="n">
        <v>618.0</v>
      </c>
      <c r="G51" s="9">
        <f si="1" t="shared"/>
        <v>3.5676008985068928E-3</v>
      </c>
    </row>
    <row r="52" spans="1:7" x14ac:dyDescent="0.25">
      <c r="A52">
        <v>41</v>
      </c>
      <c r="B52" s="6" t="n">
        <v>281.047236581</v>
      </c>
      <c r="C52" s="9">
        <f si="0" t="shared"/>
        <v>1.4142964963366385E-3</v>
      </c>
      <c r="E52" s="371">
        <v>41</v>
      </c>
      <c r="F52" s="371" t="n">
        <v>575.0</v>
      </c>
      <c r="G52" s="9">
        <f si="1" t="shared"/>
        <v>3.1467316567077258E-3</v>
      </c>
    </row>
    <row r="53" spans="1:7" x14ac:dyDescent="0.25">
      <c r="A53">
        <v>42</v>
      </c>
      <c r="B53" s="6" t="n">
        <v>335.783407707</v>
      </c>
      <c r="C53" s="9">
        <f si="0" t="shared"/>
        <v>1.6897419196332073E-3</v>
      </c>
      <c r="E53" s="371">
        <v>42</v>
      </c>
      <c r="F53" s="371" t="n">
        <v>478.0</v>
      </c>
      <c r="G53" s="9">
        <f si="1" t="shared"/>
        <v>2.965660006166224E-3</v>
      </c>
    </row>
    <row r="54" spans="1:7" x14ac:dyDescent="0.25">
      <c r="A54">
        <v>43</v>
      </c>
      <c r="B54" s="6" t="n">
        <v>315.18769892</v>
      </c>
      <c r="C54" s="9">
        <f si="0" t="shared"/>
        <v>1.5860994176418071E-3</v>
      </c>
      <c r="E54" s="371">
        <v>43</v>
      </c>
      <c r="F54" s="371" t="n">
        <v>480.0</v>
      </c>
      <c r="G54" s="9">
        <f si="1" t="shared"/>
        <v>2.5154277940089751E-3</v>
      </c>
    </row>
    <row r="55" spans="1:7" x14ac:dyDescent="0.25">
      <c r="A55">
        <v>44</v>
      </c>
      <c r="B55" s="6" t="n">
        <v>571.937256006</v>
      </c>
      <c r="C55" s="9">
        <f si="0" t="shared"/>
        <v>2.8781242154663519E-3</v>
      </c>
      <c r="E55" s="371">
        <v>44</v>
      </c>
      <c r="F55" s="371" t="n">
        <v>461.0</v>
      </c>
      <c r="G55" s="9">
        <f si="1" t="shared"/>
        <v>2.4322327113277444E-3</v>
      </c>
    </row>
    <row r="56" spans="1:7" x14ac:dyDescent="0.25">
      <c r="A56">
        <v>45</v>
      </c>
      <c r="B56" s="6" t="n">
        <v>588.153133837</v>
      </c>
      <c r="C56" s="9">
        <f si="0" t="shared"/>
        <v>2.9597263670491395E-3</v>
      </c>
      <c r="E56" s="371">
        <v>45</v>
      </c>
      <c r="F56" s="371" t="n">
        <v>412.0</v>
      </c>
      <c r="G56" s="9">
        <f si="1" t="shared"/>
        <v>2.4420203681137717E-3</v>
      </c>
    </row>
    <row r="57" spans="1:7" x14ac:dyDescent="0.25">
      <c r="A57">
        <v>46</v>
      </c>
      <c r="B57" s="6" t="n">
        <v>1473.974146907</v>
      </c>
      <c r="C57" s="9">
        <f si="0" t="shared"/>
        <v>7.4173882548051566E-3</v>
      </c>
      <c r="E57" s="371">
        <v>46</v>
      </c>
      <c r="F57" s="371" t="n">
        <v>328.0</v>
      </c>
      <c r="G57" s="9">
        <f si="1" t="shared"/>
        <v>1.913486901668306E-3</v>
      </c>
    </row>
    <row r="58" spans="1:7" x14ac:dyDescent="0.25">
      <c r="A58">
        <v>47</v>
      </c>
      <c r="B58" s="6" t="n">
        <v>363.531135753</v>
      </c>
      <c r="C58" s="9">
        <f si="0" t="shared"/>
        <v>1.829375082492823E-3</v>
      </c>
      <c r="E58" s="371">
        <v>47</v>
      </c>
      <c r="F58" s="371" t="n">
        <v>279.0</v>
      </c>
      <c r="G58" s="9">
        <f si="1" t="shared"/>
        <v>1.7568843930918718E-3</v>
      </c>
    </row>
    <row r="59" spans="1:7" x14ac:dyDescent="0.25">
      <c r="A59">
        <v>48</v>
      </c>
      <c r="B59" s="6" t="n">
        <v>6443.8113651290005</v>
      </c>
      <c r="C59" s="9">
        <f si="0" t="shared"/>
        <v>3.2426790412968844E-2</v>
      </c>
      <c r="E59" s="371">
        <v>48</v>
      </c>
      <c r="F59" s="371" t="n">
        <v>248.0</v>
      </c>
      <c r="G59" s="9">
        <f si="1" t="shared"/>
        <v>1.5317682870132476E-3</v>
      </c>
    </row>
    <row r="60" spans="1:7" x14ac:dyDescent="0.25">
      <c r="A60">
        <v>49</v>
      </c>
      <c r="B60" s="6" t="n">
        <v>1284.35033123</v>
      </c>
      <c r="C60" s="9">
        <f si="0" t="shared"/>
        <v>6.4631561428068847E-3</v>
      </c>
      <c r="E60" s="371">
        <v>49</v>
      </c>
      <c r="F60" s="371" t="n">
        <v>259.0</v>
      </c>
      <c r="G60" s="9">
        <f si="1" t="shared"/>
        <v>1.3653781216507862E-3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208.0</v>
      </c>
      <c r="G61" s="9">
        <f si="1" t="shared"/>
        <v>1.2381385834324334E-3</v>
      </c>
    </row>
    <row r="62" spans="1:7" x14ac:dyDescent="0.25">
      <c r="A62">
        <v>51</v>
      </c>
      <c r="B62" s="6" t="n">
        <v>938.7504983305</v>
      </c>
      <c r="C62" s="9">
        <f si="0" t="shared"/>
        <v>4.724015638347877E-3</v>
      </c>
      <c r="E62" s="371">
        <v>51</v>
      </c>
      <c r="F62" s="371" t="n">
        <v>211.0</v>
      </c>
      <c r="G62" s="9">
        <f si="1" t="shared"/>
        <v>1.2577138970044875E-3</v>
      </c>
    </row>
    <row r="63" spans="1:7" x14ac:dyDescent="0.25">
      <c r="A63">
        <v>52</v>
      </c>
      <c r="B63" s="6" t="n">
        <v>214.090971612</v>
      </c>
      <c r="C63" s="9">
        <f si="0" t="shared"/>
        <v>1.0773566562391459E-3</v>
      </c>
      <c r="E63" s="371">
        <v>52</v>
      </c>
      <c r="F63" s="371" t="n">
        <v>176.0</v>
      </c>
      <c r="G63" s="9">
        <f si="1" t="shared"/>
        <v>1.0423854477118906E-3</v>
      </c>
    </row>
    <row r="64" spans="1:7" x14ac:dyDescent="0.25">
      <c r="A64">
        <v>53</v>
      </c>
      <c r="B64" s="6" t="n">
        <v>566.550207579</v>
      </c>
      <c r="C64" s="9">
        <f si="0" t="shared"/>
        <v>2.8510153073390662E-3</v>
      </c>
      <c r="E64" s="371">
        <v>53</v>
      </c>
      <c r="F64" s="371" t="n">
        <v>171.0</v>
      </c>
      <c r="G64" s="9">
        <f si="1" t="shared"/>
        <v>9.5429653663764631E-4</v>
      </c>
    </row>
    <row r="65" spans="1:7" x14ac:dyDescent="0.25">
      <c r="A65">
        <v>54</v>
      </c>
      <c r="B65" s="6" t="n">
        <v>481.619714611</v>
      </c>
      <c r="C65" s="9">
        <f si="0" t="shared"/>
        <v>2.4236248796727644E-3</v>
      </c>
      <c r="E65" s="371">
        <v>54</v>
      </c>
      <c r="F65" s="371" t="n">
        <v>185.0</v>
      </c>
      <c r="G65" s="9">
        <f si="1" t="shared"/>
        <v>9.3472122306559194E-4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156.0</v>
      </c>
      <c r="G66" s="9">
        <f si="1" t="shared"/>
        <v>8.4173848359833409E-4</v>
      </c>
    </row>
    <row r="67" spans="1:7" x14ac:dyDescent="0.25">
      <c r="A67">
        <v>56</v>
      </c>
      <c r="B67" s="6" t="n">
        <v>248.443558839</v>
      </c>
      <c r="C67" s="9">
        <f si="0" t="shared"/>
        <v>1.2502270404005013E-3</v>
      </c>
      <c r="E67" s="371">
        <v>56</v>
      </c>
      <c r="F67" s="371" t="n">
        <v>138.0</v>
      </c>
      <c r="G67" s="9">
        <f si="1" t="shared"/>
        <v>7.5364957252408988E-4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139.0</v>
      </c>
      <c r="G68" s="9">
        <f si="1" t="shared"/>
        <v>8.1237551324025276E-4</v>
      </c>
    </row>
    <row r="69" spans="1:7" x14ac:dyDescent="0.25">
      <c r="A69">
        <v>58</v>
      </c>
      <c r="B69" s="6" t="n">
        <v>855.3551815000001</v>
      </c>
      <c r="C69" s="9">
        <f si="0" t="shared"/>
        <v>4.3043505819000899E-3</v>
      </c>
      <c r="E69" s="371">
        <v>58</v>
      </c>
      <c r="F69" s="371" t="n">
        <v>137.0</v>
      </c>
      <c r="G69" s="9">
        <f si="1" t="shared"/>
        <v>6.9002980341491347E-4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116.0</v>
      </c>
      <c r="G70" s="9">
        <f si="1" t="shared"/>
        <v>5.2853346644546567E-4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180.0</v>
      </c>
      <c r="G71" s="9">
        <f si="1" t="shared"/>
        <v>9.2982739467257841E-4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171.0</v>
      </c>
      <c r="G72" s="9">
        <f si="1" t="shared"/>
        <v>8.7110145395641553E-4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154.0</v>
      </c>
      <c r="G73" s="9">
        <f si="1" t="shared"/>
        <v>8.2705699841929348E-4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175.0</v>
      </c>
      <c r="G74" s="9">
        <f si="1" t="shared"/>
        <v>8.0748168484723912E-4</v>
      </c>
    </row>
    <row r="75" spans="1:7" x14ac:dyDescent="0.25">
      <c r="A75">
        <v>64</v>
      </c>
      <c r="B75" s="6" t="n">
        <v>291.448588849</v>
      </c>
      <c r="C75" s="9">
        <f si="0" t="shared"/>
        <v>1.4666385732371378E-3</v>
      </c>
      <c r="E75" s="371">
        <v>64</v>
      </c>
      <c r="F75" s="371" t="n">
        <v>186.0</v>
      </c>
      <c r="G75" s="9">
        <f si="1" t="shared"/>
        <v>8.0748168484723912E-4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133.0</v>
      </c>
      <c r="G76" s="9">
        <f si="1" t="shared"/>
        <v>7.2428660216600845E-4</v>
      </c>
    </row>
    <row r="77" spans="1:7" x14ac:dyDescent="0.25">
      <c r="A77">
        <v>66</v>
      </c>
      <c r="B77" s="6" t="n">
        <v>1008.17381248</v>
      </c>
      <c r="C77" s="9">
        <f ref="C77:C102" si="2" t="shared">B77/B$102</f>
        <v>5.0733702563123132E-3</v>
      </c>
      <c r="E77" s="371">
        <v>66</v>
      </c>
      <c r="F77" s="371" t="n">
        <v>199.0</v>
      </c>
      <c r="G77" s="9">
        <f ref="G77:G102" si="3" t="shared">F77/F$102</f>
        <v>9.3961505145860559E-4</v>
      </c>
    </row>
    <row r="78" spans="1:7" x14ac:dyDescent="0.25">
      <c r="A78">
        <v>67</v>
      </c>
      <c r="B78" s="6" t="n">
        <v>69.966370625</v>
      </c>
      <c r="C78" s="9">
        <f si="2" t="shared"/>
        <v>3.5208740722774947E-4</v>
      </c>
      <c r="E78" s="371">
        <v>67</v>
      </c>
      <c r="F78" s="371" t="n">
        <v>180.0</v>
      </c>
      <c r="G78" s="9">
        <f si="3" t="shared"/>
        <v>1.0325977909258633E-3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166.0</v>
      </c>
      <c r="G79" s="9">
        <f si="3" t="shared"/>
        <v>7.9769402806121204E-4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141.0</v>
      </c>
      <c r="G80" s="9">
        <f si="3" t="shared"/>
        <v>6.2151620591272341E-4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211.0</v>
      </c>
      <c r="G81" s="9">
        <f si="3" t="shared"/>
        <v>1.0130224773538092E-3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134.0</v>
      </c>
      <c r="G82" s="9">
        <f si="3" t="shared"/>
        <v>7.4875574413107635E-4</v>
      </c>
    </row>
    <row r="83" spans="1:7" x14ac:dyDescent="0.25">
      <c r="A83">
        <v>72</v>
      </c>
      <c r="B83" s="6" t="n">
        <v>667.99538554</v>
      </c>
      <c r="C83" s="9">
        <f si="2" t="shared"/>
        <v>3.361511555250541E-3</v>
      </c>
      <c r="E83" s="371">
        <v>72</v>
      </c>
      <c r="F83" s="371" t="n">
        <v>259.0</v>
      </c>
      <c r="G83" s="9">
        <f si="3" t="shared"/>
        <v>1.1451558439651754E-3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156.0</v>
      </c>
      <c r="G84" s="9">
        <f si="3" t="shared"/>
        <v>7.5364957252408988E-4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140.0</v>
      </c>
      <c r="G85" s="9">
        <f si="3" t="shared"/>
        <v>6.5087917627080485E-4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159.0</v>
      </c>
      <c r="G86" s="9">
        <f si="3" t="shared"/>
        <v>8.0748168484723912E-4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118.0</v>
      </c>
      <c r="G87" s="9">
        <f si="3" t="shared"/>
        <v>6.4598534787779131E-4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156.0</v>
      </c>
      <c r="G88" s="9">
        <f si="3" t="shared"/>
        <v>6.068347207336828E-4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137.0</v>
      </c>
      <c r="G89" s="9">
        <f si="3" t="shared"/>
        <v>5.4321495162450639E-4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109.0</v>
      </c>
      <c r="G90" s="9">
        <f si="3" t="shared"/>
        <v>4.8448901090834351E-4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125.0</v>
      </c>
      <c r="G91" s="9">
        <f si="3" t="shared"/>
        <v>5.4321495162450639E-4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106.0</v>
      </c>
      <c r="G92" s="9">
        <f si="3" t="shared"/>
        <v>5.3832112323149274E-4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127.0</v>
      </c>
      <c r="G93" s="9">
        <f si="3" t="shared"/>
        <v>5.1385198126642495E-4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131.0</v>
      </c>
      <c r="G94" s="9">
        <f si="3" t="shared"/>
        <v>6.313038626987506E-4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122.0</v>
      </c>
      <c r="G95" s="9">
        <f si="3" t="shared"/>
        <v>6.9002980341491347E-4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143.0</v>
      </c>
      <c r="G96" s="9">
        <f si="3" t="shared"/>
        <v>7.0471128859395419E-4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108.0</v>
      </c>
      <c r="G97" s="9">
        <f si="3" t="shared"/>
        <v>4.0618775662012638E-4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100.0</v>
      </c>
      <c r="G98" s="9">
        <f si="3" t="shared"/>
        <v>6.0194089234066916E-4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91.0</v>
      </c>
      <c r="G99" s="9">
        <f si="3" t="shared"/>
        <v>4.3065689858519423E-4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92.0</v>
      </c>
      <c r="G100" s="9">
        <f si="3" t="shared"/>
        <v>5.1385198126642495E-4</v>
      </c>
    </row>
    <row ht="15.75" r="101" spans="1:7" thickBot="1" x14ac:dyDescent="0.3">
      <c r="A101" s="1">
        <v>90</v>
      </c>
      <c r="B101" s="7" t="n">
        <v>3033.7922906050003</v>
      </c>
      <c r="C101" s="9">
        <f si="2" t="shared"/>
        <v>1.5266763905643844E-2</v>
      </c>
      <c r="E101" s="372">
        <v>90</v>
      </c>
      <c r="F101" s="372" t="n">
        <v>5645.0</v>
      </c>
      <c r="G101" s="9">
        <f si="3" t="shared"/>
        <v>2.7537572367487363E-2</v>
      </c>
    </row>
    <row r="102" spans="1:7" x14ac:dyDescent="0.25">
      <c r="B102" s="6">
        <f>SUM(B11:B101)</f>
        <v>198718.75332292673</v>
      </c>
      <c r="C102" s="9">
        <f si="2" t="shared"/>
        <v>1</v>
      </c>
      <c r="F102" s="6">
        <f>SUM(F11:F101)</f>
        <v>204339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baseType="lpstr" size="28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2017-10-26T15:43:14Z</dcterms:modified>
</cp:coreProperties>
</file>