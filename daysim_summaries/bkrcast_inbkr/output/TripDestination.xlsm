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+xml" PartName="/xl/drawings/drawing7.xml"/>
  <Override ContentType="application/vnd.openxmlformats-officedocument.drawing+xml" PartName="/xl/drawings/drawing8.xml"/>
  <Override ContentType="application/vnd.openxmlformats-officedocument.drawing+xml" PartName="/xl/drawings/drawing9.xml"/>
  <Override ContentType="application/vnd.openxmlformats-officedocument.drawing+xml" PartName="/xl/drawings/drawing10.xml"/>
  <Override ContentType="application/vnd.openxmlformats-officedocument.drawing+xml" PartName="/xl/drawings/drawing11.xml"/>
  <Override ContentType="application/vnd.openxmlformats-officedocument.drawing+xml" PartName="/xl/drawings/drawing12.xml"/>
  <Override ContentType="application/vnd.openxmlformats-officedocument.drawing+xml" PartName="/xl/drawings/drawing13.xml"/>
  <Override ContentType="application/vnd.openxmlformats-officedocument.drawing+xml" PartName="/xl/drawings/drawing14.xml"/>
  <Override ContentType="application/vnd.openxmlformats-officedocument.drawing+xml" PartName="/xl/drawings/drawing15.xml"/>
  <Override ContentType="application/vnd.openxmlformats-officedocument.drawing+xml" PartName="/xl/drawings/drawing16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74837BA0-65D6-932C-5D65-3B800EBDC722}" lastEdited="7" lowestEdited="4" rupBuild="21328"/>
  <workbookPr codeName="ThisWorkbook" defaultThemeVersion="124226"/>
  <mc:AlternateContent>
    <mc:Choice Requires="x15">
      <x15ac:absPath xmlns:x15ac="http://schemas.microsoft.com/office/spreadsheetml/2010/11/ac" url="D:\BKR0V1-1-newcap-newpop-S93-newdensity-shortwalkdist-coeff8-newadjfacs-nohomejobs-BSq_attractiveness\daysim_summaries\bkrcast_inbkr\output\"/>
    </mc:Choice>
  </mc:AlternateContent>
  <xr:revisionPtr documentId="13_ncr:1_{BC780447-9309-4978-839D-96FBED3C7ECA}" revIDLastSave="0" xr10:uidLastSave="{00000000-0000-0000-0000-000000000000}" xr6:coauthVersionLast="41" xr6:coauthVersionMax="41"/>
  <bookViews>
    <workbookView windowHeight="11265" windowWidth="21600" xWindow="12405" xr2:uid="{00000000-000D-0000-FFFF-FFFF00000000}" yWindow="2640"/>
  </bookViews>
  <sheets>
    <sheet name="TLFD_Home" r:id="rId1" sheetId="3"/>
    <sheet name="TDFD_Home" r:id="rId2" sheetId="4"/>
    <sheet name="TLFD_Work" r:id="rId3" sheetId="8"/>
    <sheet name="TDFD_Work" r:id="rId4" sheetId="9"/>
    <sheet name="TLFD_School" r:id="rId5" sheetId="11"/>
    <sheet name="TDFD_School" r:id="rId6" sheetId="12"/>
    <sheet name="TLFD_Escort" r:id="rId7" sheetId="13"/>
    <sheet name="TDFD_Escort" r:id="rId8" sheetId="14"/>
    <sheet name="TLFD_PerBus" r:id="rId9" sheetId="15"/>
    <sheet name="TDFD_PerBus" r:id="rId10" sheetId="16"/>
    <sheet name="TLFD_Shop" r:id="rId11" sheetId="17"/>
    <sheet name="TDFD_Shop" r:id="rId12" sheetId="18"/>
    <sheet name="TLFD_Meal" r:id="rId13" sheetId="19"/>
    <sheet name="TDFD_Meal" r:id="rId14" sheetId="20"/>
    <sheet name="TLFD_SocRec" r:id="rId15" sheetId="21"/>
    <sheet name="TDFD_SocRec" r:id="rId16" sheetId="22"/>
  </sheets>
  <definedNames>
    <definedName name="AVGD">TLFD_Home!$L$11:$L$13</definedName>
    <definedName name="AVGT">TDFD_Home!$L$11:$L$13</definedName>
    <definedName name="flow">#REF!</definedName>
    <definedName name="out1">TLFD_SocRec!$B$11:$B$101</definedName>
    <definedName name="out10">#REF!</definedName>
    <definedName name="out2">TLFD_SocRec!$F$11:$F$101</definedName>
    <definedName name="out3">TDFD_SocRec!$B$11:$B$101</definedName>
    <definedName name="out4">TDFD_SocRec!$F$11:$F$101</definedName>
    <definedName name="out5">TLFD_SocRec!$K$11:$K$11</definedName>
    <definedName name="out6">TLFD_SocRec!$L$11:$L$11</definedName>
    <definedName name="out7">TDFD_SocRec!$K$11:$K$11</definedName>
    <definedName name="out8">TDFD_SocRec!$L$11:$L$11</definedName>
    <definedName name="out9">#REF!</definedName>
    <definedName name="TDFD">TDFD_Home!$E$11:$F$102</definedName>
    <definedName name="TLFD">TLFD_Home!$E$11:$F$102</definedName>
    <definedName name="out_1">TLFD_SocRec!$B$11:$B$101</definedName>
    <definedName name="out_3">TDFD_SocRec!$B$11:$B$101</definedName>
    <definedName name="out_5">TLFD_SocRec!$K$11:$K$11</definedName>
    <definedName name="out_7">TDFD_SocRec!$K$11:$K$11</definedName>
    <definedName name="out_2">TLFD_SocRec!$F$11:$F$101</definedName>
    <definedName name="out_4">TDFD_SocRec!$F$11:$F$101</definedName>
    <definedName name="out_6">TLFD_SocRec!$L$11:$L$11</definedName>
    <definedName name="out_8">TDFD_SocRec!$L$11:$L$11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3" l="1" r="Z16"/>
  <c i="3" r="V16"/>
  <c i="3" r="Z17"/>
  <c i="3" r="V17"/>
  <c i="3" r="Z15"/>
  <c i="3" r="V15"/>
  <c i="3" r="Z14"/>
  <c i="3" r="V14"/>
  <c i="3" r="Z13"/>
  <c i="3" r="V13"/>
  <c i="3" r="Z12"/>
  <c i="3" r="V12"/>
  <c i="3" r="Z11"/>
  <c i="3" r="V11"/>
  <c i="3" r="Z10"/>
  <c i="3" r="V10"/>
  <c i="22" l="1" r="F102"/>
  <c i="22" r="G102" s="1"/>
  <c i="22" r="B102"/>
  <c i="22" r="C65" s="1"/>
  <c i="21" r="F102"/>
  <c i="21" r="B102"/>
  <c i="20" r="F102"/>
  <c i="20" r="G102" s="1"/>
  <c i="20" r="B102"/>
  <c i="20" r="C101" s="1"/>
  <c i="19" r="F102"/>
  <c i="19" r="B102"/>
  <c i="18" r="F102"/>
  <c i="18" r="G48" s="1"/>
  <c i="18" r="B102"/>
  <c i="18" r="C93" s="1"/>
  <c i="17" r="F102"/>
  <c i="17" r="B102"/>
  <c i="16" r="F102"/>
  <c i="16" r="G89" s="1"/>
  <c i="16" r="B102"/>
  <c i="16" r="C37" s="1"/>
  <c i="15" r="F102"/>
  <c i="15" r="B102"/>
  <c i="14" r="F102"/>
  <c i="14" r="G65" s="1"/>
  <c i="14" r="B102"/>
  <c i="14" r="C34" s="1"/>
  <c i="13" r="F102"/>
  <c i="13" r="B102"/>
  <c i="12" r="F102"/>
  <c i="12" r="G102" s="1"/>
  <c i="12" r="B102"/>
  <c i="12" r="C34" s="1"/>
  <c i="11" r="F102"/>
  <c i="11" r="B102"/>
  <c i="9" r="F102"/>
  <c i="9" r="G78" s="1"/>
  <c i="9" r="B102"/>
  <c i="9" r="C61" s="1"/>
  <c i="8" r="F102"/>
  <c i="8" r="B102"/>
  <c i="22" l="1" r="G12"/>
  <c i="22" r="G32"/>
  <c i="22" r="G34"/>
  <c i="22" r="G36"/>
  <c i="15" r="C30"/>
  <c i="3" r="U14"/>
  <c i="3" r="W14" s="1"/>
  <c i="21" r="G29"/>
  <c i="3" r="Y17"/>
  <c i="15" r="G27"/>
  <c i="3" r="Y14"/>
  <c i="3" r="AA14" s="1"/>
  <c i="17" r="G89"/>
  <c i="3" r="Y15"/>
  <c i="3" r="AA15" s="1"/>
  <c i="19" r="G81"/>
  <c i="3" r="Y16"/>
  <c i="3" r="AA16" s="1"/>
  <c i="17" r="C92"/>
  <c i="3" r="U15"/>
  <c i="3" r="W15" s="1"/>
  <c i="22" r="G38"/>
  <c i="8" r="C46"/>
  <c i="3" r="U11"/>
  <c i="3" r="W11" s="1"/>
  <c i="22" r="C40"/>
  <c i="19" r="C100"/>
  <c i="3" r="U16"/>
  <c i="3" r="W16" s="1"/>
  <c i="8" r="G51"/>
  <c i="3" r="Y11"/>
  <c i="3" r="AA11" s="1"/>
  <c i="11" r="C12"/>
  <c i="3" r="U12"/>
  <c i="3" r="W12" s="1"/>
  <c i="13" r="G57"/>
  <c i="3" r="Y13"/>
  <c i="3" r="AA13" s="1"/>
  <c i="21" r="C99"/>
  <c i="3" r="U17"/>
  <c i="11" r="G67"/>
  <c i="3" r="Y12"/>
  <c i="3" r="AA12" s="1"/>
  <c i="13" r="C38"/>
  <c i="3" r="U13"/>
  <c i="3" r="W13" s="1"/>
  <c i="20" r="C33"/>
  <c i="20" r="C32"/>
  <c i="20" r="C34"/>
  <c i="20" r="C30"/>
  <c i="22" r="G40"/>
  <c i="22" r="C42"/>
  <c i="22" r="C43"/>
  <c i="20" r="C37"/>
  <c i="20" r="C31"/>
  <c i="20" r="C38"/>
  <c i="22" r="G18"/>
  <c i="22" r="G22"/>
  <c i="22" r="C23"/>
  <c i="20" r="G29"/>
  <c i="22" r="G24"/>
  <c i="20" r="G69"/>
  <c i="22" r="G44"/>
  <c i="20" r="C73"/>
  <c i="22" r="C47"/>
  <c i="20" r="C74"/>
  <c i="22" r="G48"/>
  <c i="20" r="C39"/>
  <c i="20" r="C72"/>
  <c i="22" r="C45"/>
  <c i="20" r="C75"/>
  <c i="22" r="C50"/>
  <c i="20" r="C76"/>
  <c i="22" r="G50"/>
  <c i="20" r="C79"/>
  <c i="22" r="G54"/>
  <c i="8" r="G81"/>
  <c i="12" r="G12"/>
  <c i="22" r="C22"/>
  <c i="12" r="C13"/>
  <c i="12" r="C16"/>
  <c i="12" r="C18"/>
  <c i="12" r="C60"/>
  <c i="12" r="C64"/>
  <c i="22" r="C48"/>
  <c i="22" r="C53"/>
  <c i="22" r="C11"/>
  <c i="22" r="C15"/>
  <c i="22" r="C16"/>
  <c i="22" r="C18"/>
  <c i="12" r="C68"/>
  <c i="12" r="C62"/>
  <c i="20" r="C88"/>
  <c i="12" r="C66"/>
  <c i="20" r="C90"/>
  <c i="20" r="C91"/>
  <c i="17" r="G12"/>
  <c i="17" r="G33"/>
  <c i="17" r="C34"/>
  <c i="20" r="C92"/>
  <c i="20" r="C94"/>
  <c i="22" r="G58"/>
  <c i="18" r="C33"/>
  <c i="22" r="C59"/>
  <c i="17" r="C12"/>
  <c i="17" r="C35"/>
  <c i="8" r="G83"/>
  <c i="17" r="C36"/>
  <c i="8" r="G87"/>
  <c i="17" r="C37"/>
  <c i="22" r="C61"/>
  <c i="17" r="C40"/>
  <c i="17" r="C41"/>
  <c i="16" r="G94"/>
  <c i="8" r="G97"/>
  <c i="17" r="C82"/>
  <c i="18" r="G50"/>
  <c i="17" r="C84"/>
  <c i="22" r="G60"/>
  <c i="8" r="G89"/>
  <c i="8" r="G99"/>
  <c i="22" r="C13"/>
  <c i="22" r="C62"/>
  <c i="22" r="C14"/>
  <c i="22" r="G62"/>
  <c i="20" r="G21"/>
  <c i="22" r="G14"/>
  <c i="22" r="G64"/>
  <c i="20" r="C28"/>
  <c i="13" r="G99"/>
  <c i="13" r="G19"/>
  <c i="20" r="C29"/>
  <c i="20" r="C45"/>
  <c i="15" r="G42"/>
  <c i="20" r="C58"/>
  <c i="20" r="C47"/>
  <c i="15" r="G38"/>
  <c i="18" r="C94"/>
  <c i="20" r="C59"/>
  <c i="20" r="C95"/>
  <c i="17" r="C85"/>
  <c i="20" r="C102"/>
  <c i="20" r="C46"/>
  <c i="20" r="C57"/>
  <c i="20" r="C60"/>
  <c i="9" r="G74"/>
  <c i="20" r="C50"/>
  <c i="15" r="G40"/>
  <c i="15" r="C44"/>
  <c i="9" r="G72"/>
  <c i="15" r="G45"/>
  <c i="20" r="C61"/>
  <c i="15" r="G46"/>
  <c i="20" r="C11"/>
  <c i="20" r="G61"/>
  <c i="9" r="G76"/>
  <c i="15" r="G49"/>
  <c i="20" r="C12"/>
  <c i="20" r="C62"/>
  <c i="22" r="G16"/>
  <c i="22" r="G66"/>
  <c i="12" r="C70"/>
  <c i="20" r="C56"/>
  <c i="15" r="G50"/>
  <c i="20" r="C15"/>
  <c i="20" r="C65"/>
  <c i="22" r="G96"/>
  <c i="12" r="C100"/>
  <c i="20" r="C40"/>
  <c i="20" r="C44"/>
  <c i="15" r="G51"/>
  <c i="20" r="C16"/>
  <c i="20" r="C66"/>
  <c i="22" r="G98"/>
  <c i="15" r="G43"/>
  <c i="15" r="G56"/>
  <c i="20" r="C17"/>
  <c i="20" r="C67"/>
  <c i="22" r="C19"/>
  <c i="22" r="G100"/>
  <c i="20" r="C41"/>
  <c i="15" r="G85"/>
  <c i="20" r="C18"/>
  <c i="20" r="C68"/>
  <c i="20" r="C96"/>
  <c i="12" r="C12"/>
  <c i="20" r="C19"/>
  <c i="20" r="C69"/>
  <c i="22" r="C63"/>
  <c i="22" r="C64"/>
  <c i="22" r="C24"/>
  <c i="22" r="C27"/>
  <c i="22" r="C29"/>
  <c i="22" r="C66"/>
  <c i="22" r="C90"/>
  <c i="22" r="C98"/>
  <c i="22" r="C94"/>
  <c i="22" r="C37"/>
  <c i="22" r="C34"/>
  <c i="22" r="C35"/>
  <c i="22" r="C38"/>
  <c i="22" r="C39"/>
  <c i="21" r="C84"/>
  <c i="21" r="C32"/>
  <c i="21" r="C33"/>
  <c i="20" r="G37"/>
  <c i="20" r="G45"/>
  <c i="20" r="C98"/>
  <c i="19" r="G89"/>
  <c i="19" r="G14"/>
  <c i="19" r="G22"/>
  <c i="19" r="G46"/>
  <c i="19" r="G54"/>
  <c i="19" r="G57"/>
  <c i="19" r="G41"/>
  <c i="19" r="G62"/>
  <c i="19" r="G86"/>
  <c i="19" r="G65"/>
  <c i="19" r="G70"/>
  <c i="19" r="C42"/>
  <c i="19" r="C56"/>
  <c i="19" r="C92"/>
  <c i="19" r="C54"/>
  <c i="19" r="C62"/>
  <c i="19" r="C12"/>
  <c i="19" r="C52"/>
  <c i="19" r="C64"/>
  <c i="19" r="C22"/>
  <c i="19" r="C46"/>
  <c i="19" r="C66"/>
  <c i="19" r="C84"/>
  <c i="19" r="C14"/>
  <c i="19" r="C86"/>
  <c i="19" r="C44"/>
  <c i="19" r="C88"/>
  <c i="18" r="G70"/>
  <c i="18" r="G12"/>
  <c i="18" r="G14"/>
  <c i="18" r="G32"/>
  <c i="18" r="G22"/>
  <c i="18" r="G40"/>
  <c i="18" r="G52"/>
  <c i="18" r="G42"/>
  <c i="18" r="G20"/>
  <c i="18" r="G44"/>
  <c i="18" r="C44"/>
  <c i="18" r="C48"/>
  <c i="18" r="C95"/>
  <c i="18" r="C41"/>
  <c i="18" r="C43"/>
  <c i="18" r="C50"/>
  <c i="18" r="C71"/>
  <c i="18" r="C53"/>
  <c i="18" r="C11"/>
  <c i="18" r="C72"/>
  <c i="18" r="C97"/>
  <c i="18" r="C73"/>
  <c i="18" r="C76"/>
  <c i="18" r="C77"/>
  <c i="18" r="C36"/>
  <c i="18" r="C12"/>
  <c i="18" r="C19"/>
  <c i="18" r="C20"/>
  <c i="18" r="C80"/>
  <c i="18" r="C34"/>
  <c i="18" r="C45"/>
  <c i="18" r="C15"/>
  <c i="18" r="C83"/>
  <c i="18" r="C96"/>
  <c i="18" r="C42"/>
  <c i="18" r="C49"/>
  <c i="18" r="C78"/>
  <c i="18" r="C79"/>
  <c i="18" r="C21"/>
  <c i="18" r="C90"/>
  <c i="18" r="C22"/>
  <c i="18" r="C91"/>
  <c i="18" r="C92"/>
  <c i="17" r="C89"/>
  <c i="17" r="C86"/>
  <c i="16" r="G98"/>
  <c i="16" r="G36"/>
  <c i="16" r="G37"/>
  <c i="16" r="G39"/>
  <c i="16" r="C41"/>
  <c i="16" r="C89"/>
  <c i="16" r="C94"/>
  <c i="15" r="G93"/>
  <c i="15" r="G96"/>
  <c i="15" r="G97"/>
  <c i="15" r="G94"/>
  <c i="15" r="G98"/>
  <c i="15" r="G99"/>
  <c i="15" r="G101"/>
  <c i="15" r="C94"/>
  <c i="15" r="C86"/>
  <c i="14" r="G12"/>
  <c i="14" r="G45"/>
  <c i="14" r="G98"/>
  <c i="14" r="G19"/>
  <c i="14" r="G46"/>
  <c i="14" r="G48"/>
  <c i="14" r="G47"/>
  <c i="14" r="G49"/>
  <c i="14" r="G13"/>
  <c i="14" r="G21"/>
  <c i="14" r="G44"/>
  <c i="14" r="G50"/>
  <c i="14" r="G51"/>
  <c i="14" r="G18"/>
  <c i="14" r="G83"/>
  <c i="14" r="G87"/>
  <c i="14" r="G85"/>
  <c i="14" r="G90"/>
  <c i="14" r="G20"/>
  <c i="14" r="G52"/>
  <c i="14" r="G56"/>
  <c i="14" r="G92"/>
  <c i="14" r="G94"/>
  <c i="14" r="C46"/>
  <c i="14" r="C50"/>
  <c i="14" r="C82"/>
  <c i="14" r="C14"/>
  <c i="14" r="C84"/>
  <c i="14" r="C18"/>
  <c i="14" r="C93"/>
  <c i="13" r="G59"/>
  <c i="13" r="G21"/>
  <c i="13" r="G64"/>
  <c i="13" r="G49"/>
  <c i="13" r="G51"/>
  <c i="13" r="G65"/>
  <c i="13" r="G41"/>
  <c i="13" r="G43"/>
  <c i="13" r="G67"/>
  <c i="13" r="G22"/>
  <c i="13" r="G48"/>
  <c i="13" r="G70"/>
  <c i="13" r="G25"/>
  <c i="13" r="G32"/>
  <c i="13" r="G62"/>
  <c i="13" r="G72"/>
  <c i="13" r="G40"/>
  <c i="13" r="G38"/>
  <c i="13" r="G83"/>
  <c i="13" r="G80"/>
  <c i="13" r="G86"/>
  <c i="13" r="G75"/>
  <c i="13" r="G16"/>
  <c i="13" r="G88"/>
  <c i="13" r="G30"/>
  <c i="13" r="G17"/>
  <c i="13" r="G96"/>
  <c i="13" r="G24"/>
  <c i="13" r="G26"/>
  <c i="13" r="G27"/>
  <c i="13" r="G33"/>
  <c i="13" r="G81"/>
  <c i="13" r="G18"/>
  <c i="13" r="G97"/>
  <c i="13" r="C30"/>
  <c i="12" r="C76"/>
  <c i="12" r="C80"/>
  <c i="12" r="C84"/>
  <c i="12" r="C86"/>
  <c i="12" r="C82"/>
  <c i="12" r="C89"/>
  <c i="12" r="C92"/>
  <c i="12" r="C72"/>
  <c i="12" r="C74"/>
  <c i="12" r="C97"/>
  <c i="11" r="G22"/>
  <c i="11" r="G24"/>
  <c i="11" r="G25"/>
  <c i="11" r="G49"/>
  <c i="11" r="G51"/>
  <c i="11" r="G20"/>
  <c i="11" r="G52"/>
  <c i="11" r="G59"/>
  <c i="11" r="G19"/>
  <c i="11" r="G21"/>
  <c i="11" r="G60"/>
  <c i="11" r="G62"/>
  <c i="11" r="G92"/>
  <c i="11" r="G100"/>
  <c i="11" r="G94"/>
  <c i="11" r="G95"/>
  <c i="11" r="G63"/>
  <c i="11" r="G96"/>
  <c i="11" r="G97"/>
  <c i="11" r="G99"/>
  <c i="11" r="C54"/>
  <c i="11" r="C58"/>
  <c i="11" r="C62"/>
  <c i="11" r="C18"/>
  <c i="11" r="C22"/>
  <c i="11" r="C94"/>
  <c i="11" r="C20"/>
  <c i="11" r="C98"/>
  <c i="9" r="G24"/>
  <c i="9" r="G36"/>
  <c i="9" r="G14"/>
  <c i="9" r="G38"/>
  <c i="9" r="G40"/>
  <c i="9" r="G42"/>
  <c i="9" r="G44"/>
  <c i="9" r="G48"/>
  <c i="9" r="G50"/>
  <c i="9" r="G52"/>
  <c i="9" r="G54"/>
  <c i="9" r="G58"/>
  <c i="9" r="G60"/>
  <c i="9" r="G70"/>
  <c i="9" r="C17"/>
  <c i="9" r="C41"/>
  <c i="9" r="C33"/>
  <c i="9" r="C44"/>
  <c i="9" r="C28"/>
  <c i="9" r="C49"/>
  <c i="9" r="C25"/>
  <c i="9" r="C52"/>
  <c i="9" r="C12"/>
  <c i="8" r="G12"/>
  <c i="8" r="G15"/>
  <c i="8" r="G25"/>
  <c i="8" r="G29"/>
  <c i="8" r="G31"/>
  <c i="8" r="G33"/>
  <c i="8" r="G35"/>
  <c i="8" r="G13"/>
  <c i="8" r="G37"/>
  <c i="8" r="G14"/>
  <c i="8" r="G39"/>
  <c i="8" r="G69"/>
  <c i="8" r="G71"/>
  <c i="8" r="G73"/>
  <c i="8" r="G75"/>
  <c i="8" r="G77"/>
  <c i="8" r="G79"/>
  <c i="8" r="C25"/>
  <c i="8" r="C34"/>
  <c i="8" r="C86"/>
  <c i="8" r="C15"/>
  <c i="8" r="C33"/>
  <c i="8" r="C14"/>
  <c i="8" r="C94"/>
  <c i="8" r="C37"/>
  <c i="8" r="C39"/>
  <c i="8" r="C29"/>
  <c i="8" r="C31"/>
  <c i="8" r="C36"/>
  <c i="8" r="C70"/>
  <c i="8" r="C38"/>
  <c i="8" r="C30"/>
  <c i="8" r="C12"/>
  <c i="8" r="C81"/>
  <c i="8" r="C13"/>
  <c i="13" r="C54"/>
  <c i="13" r="C46"/>
  <c i="21" r="C30"/>
  <c i="21" r="C98"/>
  <c i="21" r="C31"/>
  <c i="21" r="C102"/>
  <c i="21" r="C66"/>
  <c i="21" r="C37"/>
  <c i="21" r="C65"/>
  <c i="21" r="C36"/>
  <c i="21" r="C64"/>
  <c i="21" r="C35"/>
  <c i="21" r="C96"/>
  <c i="21" r="C57"/>
  <c i="21" r="C28"/>
  <c i="21" r="C95"/>
  <c i="21" r="C56"/>
  <c i="21" r="C27"/>
  <c i="21" r="C91"/>
  <c i="21" r="C55"/>
  <c i="21" r="C26"/>
  <c i="21" r="C54"/>
  <c i="21" r="C92"/>
  <c i="21" r="C25"/>
  <c i="21" r="C88"/>
  <c i="21" r="C53"/>
  <c i="21" r="C24"/>
  <c i="21" r="C89"/>
  <c i="21" r="C85"/>
  <c i="21" r="C52"/>
  <c i="21" r="C23"/>
  <c i="21" r="C50"/>
  <c i="21" r="C21"/>
  <c i="21" r="C81"/>
  <c i="21" r="C20"/>
  <c i="21" r="C73"/>
  <c i="21" r="C44"/>
  <c i="21" r="C15"/>
  <c i="21" r="C72"/>
  <c i="21" r="C43"/>
  <c i="21" r="C14"/>
  <c i="21" r="C68"/>
  <c i="21" r="C39"/>
  <c i="21" r="G99"/>
  <c i="21" r="G55"/>
  <c i="21" r="G26"/>
  <c i="21" r="G81"/>
  <c i="21" r="G49"/>
  <c i="16" r="C31"/>
  <c i="16" r="C69"/>
  <c i="16" r="C29"/>
  <c i="16" r="C65"/>
  <c i="17" r="C38"/>
  <c i="21" r="C34"/>
  <c i="16" r="G102"/>
  <c i="16" r="G29"/>
  <c i="16" r="G28"/>
  <c i="16" r="G27"/>
  <c i="16" r="G67"/>
  <c i="16" r="G65"/>
  <c i="16" r="G63"/>
  <c i="16" r="G26"/>
  <c i="16" r="G59"/>
  <c i="16" r="G23"/>
  <c i="16" r="G57"/>
  <c i="16" r="G22"/>
  <c i="16" r="G92"/>
  <c i="16" r="G49"/>
  <c i="16" r="G17"/>
  <c i="16" r="G91"/>
  <c i="17" r="C39"/>
  <c i="21" r="C38"/>
  <c i="17" r="C102"/>
  <c i="17" r="C68"/>
  <c i="17" r="C33"/>
  <c i="17" r="C15"/>
  <c i="17" r="C65"/>
  <c i="17" r="C14"/>
  <c i="17" r="C66"/>
  <c i="17" r="C32"/>
  <c i="17" r="C31"/>
  <c i="17" r="C63"/>
  <c i="17" r="C30"/>
  <c i="17" r="C13"/>
  <c i="17" r="C60"/>
  <c i="17" r="C58"/>
  <c i="17" r="C27"/>
  <c i="17" r="C11"/>
  <c i="17" r="C97"/>
  <c i="17" r="C50"/>
  <c i="17" r="C24"/>
  <c i="17" r="C93"/>
  <c i="17" r="C49"/>
  <c i="21" r="C40"/>
  <c i="17" r="G63"/>
  <c i="17" r="G13"/>
  <c i="17" r="G14"/>
  <c i="17" r="G31"/>
  <c i="17" r="G27"/>
  <c i="17" r="G11"/>
  <c i="17" r="G23"/>
  <c i="21" r="C41"/>
  <c i="17" r="G15"/>
  <c i="17" r="C42"/>
  <c i="21" r="C42"/>
  <c i="21" r="C45"/>
  <c i="21" r="C46"/>
  <c i="21" r="C47"/>
  <c i="21" r="C48"/>
  <c i="21" r="C49"/>
  <c i="21" r="C51"/>
  <c i="21" r="C58"/>
  <c i="15" r="G11"/>
  <c i="15" r="C24"/>
  <c i="16" r="G16"/>
  <c i="16" r="G69"/>
  <c i="17" r="C20"/>
  <c i="17" r="C54"/>
  <c i="18" r="C101"/>
  <c i="18" r="C100"/>
  <c i="18" r="C69"/>
  <c i="18" r="C47"/>
  <c i="18" r="C99"/>
  <c i="18" r="C98"/>
  <c i="18" r="C68"/>
  <c i="18" r="C46"/>
  <c i="18" r="C89"/>
  <c i="18" r="C61"/>
  <c i="18" r="C40"/>
  <c i="18" r="C87"/>
  <c i="18" r="C38"/>
  <c i="18" r="C88"/>
  <c i="18" r="C39"/>
  <c i="18" r="C18"/>
  <c i="18" r="C60"/>
  <c i="18" r="C17"/>
  <c i="18" r="C86"/>
  <c i="18" r="C85"/>
  <c i="18" r="C37"/>
  <c i="18" r="C16"/>
  <c i="18" r="C59"/>
  <c i="18" r="C84"/>
  <c i="18" r="C58"/>
  <c i="18" r="C82"/>
  <c i="18" r="C35"/>
  <c i="18" r="C14"/>
  <c i="18" r="C81"/>
  <c i="18" r="C56"/>
  <c i="18" r="C13"/>
  <c i="18" r="C75"/>
  <c i="18" r="C52"/>
  <c i="18" r="C74"/>
  <c i="18" r="C51"/>
  <c i="18" r="C30"/>
  <c i="21" r="C60"/>
  <c i="11" r="G101"/>
  <c i="11" r="G89"/>
  <c i="11" r="G57"/>
  <c i="11" r="G28"/>
  <c i="11" r="G87"/>
  <c i="11" r="G27"/>
  <c i="11" r="G88"/>
  <c i="11" r="G56"/>
  <c i="11" r="G55"/>
  <c i="11" r="G86"/>
  <c i="11" r="G54"/>
  <c i="11" r="G26"/>
  <c i="11" r="G23"/>
  <c i="11" r="G75"/>
  <c i="11" r="G43"/>
  <c i="11" r="G18"/>
  <c i="16" r="C49"/>
  <c i="11" r="G102"/>
  <c i="17" r="C17"/>
  <c i="14" r="G23"/>
  <c i="11" r="G32"/>
  <c i="17" r="C47"/>
  <c i="16" r="G13"/>
  <c i="11" r="C34"/>
  <c i="8" r="G41"/>
  <c i="16" r="G15"/>
  <c i="14" r="G59"/>
  <c i="8" r="G17"/>
  <c i="8" r="G45"/>
  <c i="11" r="G36"/>
  <c i="11" r="G73"/>
  <c i="12" r="C24"/>
  <c i="14" r="G28"/>
  <c i="14" r="G60"/>
  <c i="15" r="G24"/>
  <c i="15" r="G66"/>
  <c i="16" r="G18"/>
  <c i="16" r="G71"/>
  <c i="17" r="G20"/>
  <c i="17" r="C55"/>
  <c i="18" r="C54"/>
  <c i="18" r="G102"/>
  <c i="18" r="G68"/>
  <c i="18" r="G46"/>
  <c i="18" r="G18"/>
  <c i="18" r="G38"/>
  <c i="18" r="G60"/>
  <c i="18" r="G16"/>
  <c i="18" r="G58"/>
  <c i="18" r="G36"/>
  <c i="18" r="G56"/>
  <c i="18" r="G34"/>
  <c i="18" r="G30"/>
  <c i="21" r="C61"/>
  <c i="16" r="G43"/>
  <c i="11" r="C26"/>
  <c i="16" r="G51"/>
  <c i="11" r="G30"/>
  <c i="17" r="C52"/>
  <c i="8" r="G16"/>
  <c i="14" r="G58"/>
  <c i="15" r="G65"/>
  <c i="8" r="C18"/>
  <c i="9" r="G16"/>
  <c i="11" r="G37"/>
  <c i="11" r="C74"/>
  <c i="12" r="C26"/>
  <c i="14" r="G29"/>
  <c i="14" r="G61"/>
  <c i="15" r="G25"/>
  <c i="15" r="G67"/>
  <c i="16" r="G19"/>
  <c i="16" r="C73"/>
  <c i="17" r="C21"/>
  <c i="17" r="C57"/>
  <c i="18" r="C23"/>
  <c i="18" r="G54"/>
  <c i="21" r="G61"/>
  <c i="11" r="G64"/>
  <c i="14" r="G53"/>
  <c i="11" r="C66"/>
  <c i="15" r="G58"/>
  <c i="11" r="G31"/>
  <c i="13" r="C62"/>
  <c i="11" r="C70"/>
  <c i="8" r="C102"/>
  <c i="8" r="C62"/>
  <c i="8" r="C28"/>
  <c i="8" r="C11"/>
  <c i="8" r="C26"/>
  <c i="8" r="C24"/>
  <c i="8" r="C44"/>
  <c i="11" r="G34"/>
  <c i="15" r="G64"/>
  <c i="14" r="G27"/>
  <c i="8" r="G18"/>
  <c i="8" r="G47"/>
  <c i="9" r="C100"/>
  <c i="9" r="C20"/>
  <c i="11" r="C38"/>
  <c i="11" r="G76"/>
  <c i="12" r="C30"/>
  <c i="14" r="C30"/>
  <c i="14" r="G63"/>
  <c i="15" r="G26"/>
  <c i="15" r="G69"/>
  <c i="16" r="G20"/>
  <c i="16" r="G73"/>
  <c i="17" r="G21"/>
  <c i="17" r="C61"/>
  <c i="18" r="C24"/>
  <c i="18" r="C55"/>
  <c i="21" r="C62"/>
  <c i="17" r="C16"/>
  <c i="17" r="C45"/>
  <c i="12" r="C20"/>
  <c i="15" r="G22"/>
  <c i="13" r="C70"/>
  <c i="8" r="C19"/>
  <c i="8" r="C49"/>
  <c i="9" r="G102"/>
  <c i="9" r="G68"/>
  <c i="9" r="G22"/>
  <c i="9" r="G20"/>
  <c i="9" r="G66"/>
  <c i="9" r="G64"/>
  <c i="9" r="G62"/>
  <c i="9" r="G18"/>
  <c i="9" r="G56"/>
  <c i="9" r="G12"/>
  <c i="9" r="G46"/>
  <c i="11" r="G38"/>
  <c i="11" r="C78"/>
  <c i="12" r="C32"/>
  <c i="13" r="C78"/>
  <c i="14" r="G30"/>
  <c i="14" r="G64"/>
  <c i="15" r="C70"/>
  <c i="16" r="C21"/>
  <c i="16" r="G75"/>
  <c i="17" r="C22"/>
  <c i="17" r="C62"/>
  <c i="18" r="G24"/>
  <c i="18" r="C57"/>
  <c i="21" r="C11"/>
  <c i="21" r="C63"/>
  <c i="15" r="G102"/>
  <c i="15" r="G91"/>
  <c i="15" r="G21"/>
  <c i="15" r="G89"/>
  <c i="15" r="G19"/>
  <c i="15" r="G90"/>
  <c i="15" r="G54"/>
  <c i="15" r="G53"/>
  <c i="15" r="G88"/>
  <c i="15" r="G18"/>
  <c i="15" r="G86"/>
  <c i="15" r="G83"/>
  <c i="15" r="G48"/>
  <c i="15" r="G14"/>
  <c i="15" r="G82"/>
  <c i="15" r="G13"/>
  <c i="15" r="G75"/>
  <c i="15" r="G41"/>
  <c i="17" r="C46"/>
  <c i="16" r="C13"/>
  <c i="15" r="G16"/>
  <c i="14" r="G26"/>
  <c i="17" r="G19"/>
  <c i="11" r="G72"/>
  <c i="8" r="G19"/>
  <c i="8" r="G49"/>
  <c i="11" r="G11"/>
  <c i="11" r="G39"/>
  <c i="11" r="G78"/>
  <c i="13" r="C20"/>
  <c i="14" r="G32"/>
  <c i="15" r="G29"/>
  <c i="15" r="G70"/>
  <c i="16" r="G21"/>
  <c i="16" r="C77"/>
  <c i="17" r="G22"/>
  <c i="17" r="C69"/>
  <c i="18" r="C25"/>
  <c i="18" r="C62"/>
  <c i="19" r="C18"/>
  <c i="19" r="C94"/>
  <c i="21" r="C12"/>
  <c i="21" r="C67"/>
  <c i="16" r="G41"/>
  <c i="11" r="G29"/>
  <c i="14" r="G69"/>
  <c i="14" r="G42"/>
  <c i="14" r="G17"/>
  <c i="14" r="G41"/>
  <c i="14" r="G15"/>
  <c i="14" r="G14"/>
  <c i="14" r="G16"/>
  <c i="14" r="G67"/>
  <c i="14" r="G40"/>
  <c i="14" r="G62"/>
  <c i="14" r="G37"/>
  <c i="14" r="G11"/>
  <c i="14" r="G36"/>
  <c i="14" r="G57"/>
  <c i="14" r="G31"/>
  <c i="16" r="G12"/>
  <c i="14" r="G24"/>
  <c i="16" r="C61"/>
  <c i="12" r="C42"/>
  <c i="12" r="C40"/>
  <c i="12" r="C38"/>
  <c i="12" r="C36"/>
  <c i="12" r="C94"/>
  <c i="12" r="C28"/>
  <c i="12" r="C78"/>
  <c i="16" r="G61"/>
  <c i="8" r="C20"/>
  <c i="9" r="G26"/>
  <c i="11" r="G40"/>
  <c i="11" r="G79"/>
  <c i="12" r="C44"/>
  <c i="14" r="G33"/>
  <c i="14" r="G71"/>
  <c i="15" r="G72"/>
  <c i="16" r="G24"/>
  <c i="16" r="G77"/>
  <c i="17" r="C23"/>
  <c i="17" r="C70"/>
  <c i="18" r="C26"/>
  <c i="18" r="G62"/>
  <c i="19" r="C20"/>
  <c i="21" r="C13"/>
  <c i="21" r="C69"/>
  <c i="15" r="C54"/>
  <c i="15" r="C56"/>
  <c i="15" r="C52"/>
  <c i="15" r="C20"/>
  <c i="15" r="C48"/>
  <c i="14" r="C54"/>
  <c i="15" r="G59"/>
  <c i="14" r="C58"/>
  <c i="8" r="C21"/>
  <c i="8" r="C54"/>
  <c i="11" r="G12"/>
  <c i="11" r="G41"/>
  <c i="11" r="G80"/>
  <c i="12" r="C46"/>
  <c i="13" r="C22"/>
  <c i="14" r="G73"/>
  <c i="15" r="G30"/>
  <c i="15" r="G73"/>
  <c i="16" r="G25"/>
  <c i="16" r="G79"/>
  <c i="17" r="G24"/>
  <c i="17" r="C71"/>
  <c i="18" r="G26"/>
  <c i="18" r="C63"/>
  <c i="19" r="C102"/>
  <c i="19" r="C50"/>
  <c i="19" r="C96"/>
  <c i="19" r="C48"/>
  <c i="19" r="C80"/>
  <c i="19" r="C36"/>
  <c i="19" r="C78"/>
  <c i="19" r="C32"/>
  <c i="19" r="C34"/>
  <c i="19" r="C76"/>
  <c i="19" r="C72"/>
  <c i="19" r="C30"/>
  <c i="19" r="C70"/>
  <c i="19" r="C26"/>
  <c i="19" r="C68"/>
  <c i="19" r="C60"/>
  <c i="19" r="C58"/>
  <c i="19" r="C16"/>
  <c i="21" r="C16"/>
  <c i="21" r="C70"/>
  <c i="11" r="C102"/>
  <c i="11" r="C28"/>
  <c i="11" r="C82"/>
  <c i="11" r="C50"/>
  <c i="14" r="C66"/>
  <c i="14" r="C68"/>
  <c i="14" r="C42"/>
  <c i="14" r="C62"/>
  <c i="14" r="C97"/>
  <c i="11" r="C30"/>
  <c i="15" r="G57"/>
  <c i="14" r="G22"/>
  <c i="17" r="G17"/>
  <c i="15" r="C16"/>
  <c i="17" r="G47"/>
  <c i="8" r="C16"/>
  <c i="15" r="G17"/>
  <c i="8" r="G101"/>
  <c i="8" r="G11"/>
  <c i="8" r="G27"/>
  <c i="8" r="G26"/>
  <c i="8" r="G61"/>
  <c i="8" r="G59"/>
  <c i="8" r="G57"/>
  <c i="8" r="G53"/>
  <c i="8" r="G91"/>
  <c i="8" r="G20"/>
  <c i="17" r="C53"/>
  <c i="12" r="C22"/>
  <c i="8" r="G21"/>
  <c i="8" r="G55"/>
  <c i="9" r="G28"/>
  <c i="11" r="G13"/>
  <c i="11" r="C42"/>
  <c i="11" r="G81"/>
  <c i="12" r="C48"/>
  <c i="13" r="C86"/>
  <c i="14" r="G34"/>
  <c i="14" r="C74"/>
  <c i="15" r="G32"/>
  <c i="15" r="G74"/>
  <c i="16" r="G30"/>
  <c i="16" r="C81"/>
  <c i="17" r="C25"/>
  <c i="17" r="G71"/>
  <c i="18" r="C27"/>
  <c i="18" r="C64"/>
  <c i="19" r="G101"/>
  <c i="19" r="G97"/>
  <c i="19" r="G49"/>
  <c i="19" r="G94"/>
  <c i="19" r="G78"/>
  <c i="19" r="G33"/>
  <c i="19" r="G73"/>
  <c i="19" r="G30"/>
  <c i="19" r="G25"/>
  <c i="19" r="G17"/>
  <c i="21" r="C17"/>
  <c i="21" r="C71"/>
  <c i="17" r="C43"/>
  <c i="11" r="G65"/>
  <c i="16" r="C53"/>
  <c i="14" r="G54"/>
  <c i="17" r="C18"/>
  <c i="11" r="G33"/>
  <c i="16" r="C57"/>
  <c i="16" r="G14"/>
  <c i="8" r="C22"/>
  <c i="8" r="C57"/>
  <c i="9" r="G30"/>
  <c i="11" r="C14"/>
  <c i="11" r="G44"/>
  <c i="11" r="G83"/>
  <c i="12" r="C50"/>
  <c i="13" r="C24"/>
  <c i="14" r="G35"/>
  <c i="14" r="G75"/>
  <c i="15" r="G33"/>
  <c i="15" r="G77"/>
  <c i="16" r="G31"/>
  <c i="16" r="G81"/>
  <c i="17" r="G25"/>
  <c i="17" r="C74"/>
  <c i="18" r="C28"/>
  <c i="18" r="C65"/>
  <c i="19" r="C24"/>
  <c i="21" r="C18"/>
  <c i="21" r="C74"/>
  <c i="16" r="G45"/>
  <c i="17" r="C44"/>
  <c i="15" r="G61"/>
  <c i="14" r="G25"/>
  <c i="17" r="G18"/>
  <c i="14" r="C26"/>
  <c i="17" r="C19"/>
  <c i="11" r="G71"/>
  <c i="11" r="G35"/>
  <c i="8" r="G22"/>
  <c i="8" r="G63"/>
  <c i="9" r="G32"/>
  <c i="11" r="G14"/>
  <c i="11" r="C46"/>
  <c i="11" r="G84"/>
  <c i="12" r="C52"/>
  <c i="14" r="C38"/>
  <c i="14" r="C76"/>
  <c i="15" r="G34"/>
  <c i="15" r="C78"/>
  <c i="16" r="G32"/>
  <c i="16" r="G83"/>
  <c i="17" r="C26"/>
  <c i="17" r="C77"/>
  <c i="18" r="G28"/>
  <c i="18" r="C66"/>
  <c i="19" r="C28"/>
  <c i="21" r="G18"/>
  <c i="21" r="C75"/>
  <c i="14" r="C22"/>
  <c i="16" r="G11"/>
  <c i="15" r="C12"/>
  <c i="14" r="G55"/>
  <c i="16" r="G55"/>
  <c i="15" r="C62"/>
  <c i="15" r="G62"/>
  <c i="8" r="G43"/>
  <c i="8" r="C23"/>
  <c i="8" r="C65"/>
  <c i="11" r="G15"/>
  <c i="11" r="G46"/>
  <c i="11" r="C86"/>
  <c i="12" r="C54"/>
  <c i="13" r="C94"/>
  <c i="14" r="G38"/>
  <c i="14" r="G77"/>
  <c i="15" r="G35"/>
  <c i="15" r="G78"/>
  <c i="16" r="G33"/>
  <c i="16" r="C85"/>
  <c i="17" r="G26"/>
  <c i="17" r="C78"/>
  <c i="18" r="C29"/>
  <c i="18" r="G66"/>
  <c i="19" r="C38"/>
  <c i="21" r="C19"/>
  <c i="21" r="C76"/>
  <c i="16" r="G47"/>
  <c i="11" r="G68"/>
  <c i="21" r="C59"/>
  <c i="8" r="G23"/>
  <c i="8" r="G65"/>
  <c i="9" r="G34"/>
  <c i="11" r="G16"/>
  <c i="11" r="G47"/>
  <c i="11" r="C90"/>
  <c i="12" r="C56"/>
  <c i="14" r="G39"/>
  <c i="14" r="G79"/>
  <c i="15" r="G37"/>
  <c i="15" r="G80"/>
  <c i="16" r="G34"/>
  <c i="16" r="G85"/>
  <c i="17" r="C28"/>
  <c i="17" r="C79"/>
  <c i="18" r="C31"/>
  <c i="18" r="C67"/>
  <c i="19" r="G38"/>
  <c i="21" r="C22"/>
  <c i="21" r="C78"/>
  <c i="16" r="C45"/>
  <c i="17" r="G16"/>
  <c i="16" r="G53"/>
  <c i="11" r="G70"/>
  <c i="8" r="C17"/>
  <c i="8" r="G24"/>
  <c i="8" r="G67"/>
  <c i="9" r="C36"/>
  <c i="11" r="G17"/>
  <c i="11" r="G48"/>
  <c i="11" r="G91"/>
  <c i="12" r="C58"/>
  <c i="14" r="G43"/>
  <c i="14" r="G81"/>
  <c i="15" r="C38"/>
  <c i="15" r="G81"/>
  <c i="16" r="G35"/>
  <c i="16" r="G87"/>
  <c i="17" r="C29"/>
  <c i="17" r="C81"/>
  <c i="18" r="C32"/>
  <c i="18" r="C70"/>
  <c i="19" r="C40"/>
  <c i="21" r="C29"/>
  <c i="21" r="C79"/>
  <c i="22" r="C68"/>
  <c i="22" r="G42"/>
  <c i="22" r="G68"/>
  <c i="22" r="C70"/>
  <c i="22" r="G70"/>
  <c i="22" r="C72"/>
  <c i="22" r="G72"/>
  <c i="20" r="C13"/>
  <c i="20" r="C42"/>
  <c i="20" r="C70"/>
  <c i="22" r="G20"/>
  <c i="22" r="C46"/>
  <c i="12" r="G14"/>
  <c i="13" r="G35"/>
  <c i="13" r="G91"/>
  <c i="20" r="C14"/>
  <c i="20" r="C43"/>
  <c i="20" r="C71"/>
  <c i="22" r="C21"/>
  <c i="22" r="G46"/>
  <c i="22" r="C74"/>
  <c i="22" r="G74"/>
  <c i="22" r="C76"/>
  <c i="22" r="G76"/>
  <c i="22" r="C78"/>
  <c i="22" r="G78"/>
  <c i="22" r="C80"/>
  <c i="20" r="C20"/>
  <c i="20" r="C48"/>
  <c i="20" r="C77"/>
  <c i="22" r="C26"/>
  <c i="22" r="C51"/>
  <c i="13" r="G46"/>
  <c i="20" r="C21"/>
  <c i="20" r="C49"/>
  <c i="20" r="G77"/>
  <c i="22" r="G26"/>
  <c i="22" r="G52"/>
  <c i="22" r="G80"/>
  <c i="22" r="C82"/>
  <c i="20" r="C22"/>
  <c i="20" r="C51"/>
  <c i="20" r="C80"/>
  <c i="22" r="G28"/>
  <c i="22" r="C54"/>
  <c i="22" r="G82"/>
  <c i="22" r="C84"/>
  <c i="22" r="C30"/>
  <c i="22" r="C55"/>
  <c i="22" r="G84"/>
  <c i="22" r="C86"/>
  <c i="20" r="C23"/>
  <c i="20" r="C52"/>
  <c i="20" r="C82"/>
  <c i="20" r="C53"/>
  <c i="13" r="G54"/>
  <c i="20" r="G53"/>
  <c i="22" r="G30"/>
  <c i="13" r="G13"/>
  <c i="13" r="G56"/>
  <c i="20" r="C26"/>
  <c i="20" r="C54"/>
  <c i="20" r="C86"/>
  <c i="22" r="C31"/>
  <c i="22" r="G56"/>
  <c i="22" r="G86"/>
  <c i="20" r="C24"/>
  <c i="20" r="C83"/>
  <c i="13" r="G11"/>
  <c i="20" r="C25"/>
  <c i="20" r="C84"/>
  <c i="22" r="C56"/>
  <c i="13" r="G14"/>
  <c i="20" r="C27"/>
  <c i="20" r="C55"/>
  <c i="20" r="C87"/>
  <c i="22" r="C32"/>
  <c i="22" r="C58"/>
  <c i="22" r="G88"/>
  <c i="22" r="G90"/>
  <c i="22" r="G92"/>
  <c i="22" r="G94"/>
  <c i="20" r="C35"/>
  <c i="20" r="C63"/>
  <c i="20" r="C99"/>
  <c i="20" r="C36"/>
  <c i="20" r="C64"/>
  <c i="20" r="C100"/>
  <c i="9" r="C68"/>
  <c i="9" r="C77"/>
  <c i="9" r="C81"/>
  <c i="9" r="C97"/>
  <c i="8" r="C41"/>
  <c i="8" r="C89"/>
  <c i="8" r="C97"/>
  <c i="9" r="C13"/>
  <c i="9" r="C16"/>
  <c i="9" r="C21"/>
  <c i="9" r="C24"/>
  <c i="9" r="C29"/>
  <c i="9" r="C32"/>
  <c i="9" r="C37"/>
  <c i="9" r="C40"/>
  <c i="9" r="C45"/>
  <c i="9" r="C48"/>
  <c i="9" r="C53"/>
  <c i="9" r="C60"/>
  <c i="9" r="C69"/>
  <c i="9" r="C76"/>
  <c i="9" r="C84"/>
  <c i="9" r="C89"/>
  <c i="9" r="C94"/>
  <c i="9" r="C102"/>
  <c i="9" r="C99"/>
  <c i="9" r="C95"/>
  <c i="9" r="C91"/>
  <c i="9" r="C87"/>
  <c i="9" r="C83"/>
  <c i="9" r="C79"/>
  <c i="9" r="C74"/>
  <c i="9" r="C71"/>
  <c i="9" r="C66"/>
  <c i="9" r="C63"/>
  <c i="9" r="C58"/>
  <c i="9" r="C55"/>
  <c i="8" r="C73"/>
  <c i="8" r="C78"/>
  <c i="9" r="C11"/>
  <c i="9" r="C14"/>
  <c i="9" r="C19"/>
  <c i="9" r="C22"/>
  <c i="9" r="C27"/>
  <c i="9" r="C30"/>
  <c i="9" r="C35"/>
  <c i="9" r="C38"/>
  <c i="9" r="C43"/>
  <c i="9" r="C46"/>
  <c i="9" r="C51"/>
  <c i="9" r="C54"/>
  <c i="9" r="C57"/>
  <c i="9" r="C64"/>
  <c i="9" r="C67"/>
  <c i="9" r="C70"/>
  <c i="9" r="C73"/>
  <c i="9" r="C80"/>
  <c i="9" r="C85"/>
  <c i="9" r="C90"/>
  <c i="9" r="C96"/>
  <c i="9" r="C101"/>
  <c i="9" r="C86"/>
  <c i="9" r="C92"/>
  <c i="9" r="C15"/>
  <c i="9" r="C18"/>
  <c i="9" r="C23"/>
  <c i="9" r="C26"/>
  <c i="9" r="C31"/>
  <c i="9" r="C34"/>
  <c i="9" r="C39"/>
  <c i="9" r="C42"/>
  <c i="9" r="C47"/>
  <c i="9" r="C50"/>
  <c i="9" r="C56"/>
  <c i="9" r="C59"/>
  <c i="9" r="C62"/>
  <c i="9" r="C65"/>
  <c i="9" r="C72"/>
  <c i="9" r="C75"/>
  <c i="9" r="C78"/>
  <c i="9" r="C82"/>
  <c i="9" r="C88"/>
  <c i="9" r="C93"/>
  <c i="9" r="C98"/>
  <c i="12" r="C102"/>
  <c i="12" r="C99"/>
  <c i="12" r="C95"/>
  <c i="12" r="C91"/>
  <c i="12" r="C87"/>
  <c i="13" r="C102"/>
  <c i="13" r="C98"/>
  <c i="13" r="C90"/>
  <c i="13" r="C82"/>
  <c i="13" r="C74"/>
  <c i="13" r="C66"/>
  <c i="13" r="C58"/>
  <c i="13" r="C50"/>
  <c i="13" r="C42"/>
  <c i="13" r="C34"/>
  <c i="13" r="C26"/>
  <c i="13" r="C18"/>
  <c i="13" r="C96"/>
  <c i="13" r="C88"/>
  <c i="13" r="C80"/>
  <c i="13" r="C72"/>
  <c i="13" r="C64"/>
  <c i="13" r="C56"/>
  <c i="13" r="C48"/>
  <c i="13" r="C40"/>
  <c i="13" r="C32"/>
  <c i="14" r="C102"/>
  <c i="14" r="C99"/>
  <c i="14" r="C94"/>
  <c i="14" r="C91"/>
  <c i="14" r="C95"/>
  <c i="14" r="C92"/>
  <c i="14" r="C88"/>
  <c i="14" r="C83"/>
  <c i="14" r="C80"/>
  <c i="14" r="C75"/>
  <c i="14" r="C72"/>
  <c i="14" r="C67"/>
  <c i="14" r="C100"/>
  <c i="14" r="C96"/>
  <c i="14" r="C89"/>
  <c i="14" r="C86"/>
  <c i="14" r="C81"/>
  <c i="14" r="C78"/>
  <c i="14" r="C73"/>
  <c i="14" r="C70"/>
  <c i="14" r="C65"/>
  <c i="14" r="C63"/>
  <c i="14" r="C61"/>
  <c i="14" r="C59"/>
  <c i="14" r="C57"/>
  <c i="14" r="C55"/>
  <c i="14" r="C53"/>
  <c i="14" r="C51"/>
  <c i="14" r="C49"/>
  <c i="14" r="C47"/>
  <c i="14" r="C45"/>
  <c i="14" r="C43"/>
  <c i="14" r="C41"/>
  <c i="14" r="C39"/>
  <c i="14" r="C37"/>
  <c i="14" r="C35"/>
  <c i="14" r="C33"/>
  <c i="14" r="C31"/>
  <c i="14" r="C29"/>
  <c i="14" r="C27"/>
  <c i="14" r="C25"/>
  <c i="14" r="C23"/>
  <c i="14" r="C21"/>
  <c i="14" r="C19"/>
  <c i="14" r="C17"/>
  <c i="14" r="C15"/>
  <c i="14" r="C13"/>
  <c i="14" r="C11"/>
  <c i="11" r="C36"/>
  <c i="11" r="C44"/>
  <c i="11" r="C52"/>
  <c i="11" r="C60"/>
  <c i="11" r="C68"/>
  <c i="11" r="C76"/>
  <c i="11" r="C84"/>
  <c i="11" r="C92"/>
  <c i="11" r="C100"/>
  <c i="12" r="C15"/>
  <c i="12" r="C19"/>
  <c i="12" r="C23"/>
  <c i="12" r="C27"/>
  <c i="12" r="C31"/>
  <c i="12" r="C35"/>
  <c i="12" r="C39"/>
  <c i="12" r="C43"/>
  <c i="12" r="C47"/>
  <c i="12" r="C51"/>
  <c i="12" r="C55"/>
  <c i="12" r="C59"/>
  <c i="12" r="C63"/>
  <c i="12" r="C67"/>
  <c i="12" r="C71"/>
  <c i="12" r="C75"/>
  <c i="12" r="C79"/>
  <c i="12" r="C83"/>
  <c i="12" r="C88"/>
  <c i="12" r="C93"/>
  <c i="12" r="C98"/>
  <c i="13" r="C14"/>
  <c i="13" r="C28"/>
  <c i="13" r="C44"/>
  <c i="13" r="C60"/>
  <c i="13" r="C76"/>
  <c i="13" r="C92"/>
  <c i="13" r="G102"/>
  <c i="13" r="G100"/>
  <c i="13" r="G95"/>
  <c i="13" r="G92"/>
  <c i="13" r="G87"/>
  <c i="13" r="G84"/>
  <c i="13" r="G79"/>
  <c i="13" r="G76"/>
  <c i="13" r="G71"/>
  <c i="13" r="G68"/>
  <c i="13" r="G63"/>
  <c i="13" r="G60"/>
  <c i="13" r="G55"/>
  <c i="13" r="G52"/>
  <c i="13" r="G47"/>
  <c i="13" r="G44"/>
  <c i="13" r="G39"/>
  <c i="13" r="G36"/>
  <c i="13" r="G31"/>
  <c i="13" r="G28"/>
  <c i="13" r="G23"/>
  <c i="13" r="G20"/>
  <c i="13" r="G15"/>
  <c i="13" r="G12"/>
  <c i="13" r="G101"/>
  <c i="13" r="G98"/>
  <c i="13" r="G93"/>
  <c i="13" r="G90"/>
  <c i="13" r="G85"/>
  <c i="13" r="G82"/>
  <c i="13" r="G77"/>
  <c i="13" r="G74"/>
  <c i="13" r="G69"/>
  <c i="13" r="G66"/>
  <c i="13" r="G61"/>
  <c i="13" r="G58"/>
  <c i="13" r="G53"/>
  <c i="13" r="G50"/>
  <c i="13" r="G45"/>
  <c i="13" r="G42"/>
  <c i="13" r="G37"/>
  <c i="13" r="G34"/>
  <c i="13" r="G29"/>
  <c i="14" r="C16"/>
  <c i="14" r="C24"/>
  <c i="14" r="C32"/>
  <c i="14" r="C40"/>
  <c i="14" r="C48"/>
  <c i="14" r="C56"/>
  <c i="14" r="C64"/>
  <c i="14" r="C71"/>
  <c i="14" r="C79"/>
  <c i="14" r="C87"/>
  <c i="14" r="C98"/>
  <c i="11" r="C16"/>
  <c i="11" r="C24"/>
  <c i="11" r="C32"/>
  <c i="11" r="C40"/>
  <c i="11" r="G42"/>
  <c i="11" r="G45"/>
  <c i="11" r="C48"/>
  <c i="11" r="G50"/>
  <c i="11" r="G53"/>
  <c i="11" r="C56"/>
  <c i="11" r="G58"/>
  <c i="11" r="G61"/>
  <c i="11" r="C64"/>
  <c i="11" r="G66"/>
  <c i="11" r="G69"/>
  <c i="11" r="C72"/>
  <c i="11" r="G74"/>
  <c i="11" r="G77"/>
  <c i="11" r="C80"/>
  <c i="11" r="G82"/>
  <c i="11" r="G85"/>
  <c i="11" r="C88"/>
  <c i="11" r="G90"/>
  <c i="11" r="G93"/>
  <c i="11" r="C96"/>
  <c i="11" r="G98"/>
  <c i="12" r="C11"/>
  <c i="12" r="C14"/>
  <c i="12" r="C17"/>
  <c i="12" r="C21"/>
  <c i="12" r="C25"/>
  <c i="12" r="C29"/>
  <c i="12" r="C33"/>
  <c i="12" r="C37"/>
  <c i="12" r="C41"/>
  <c i="12" r="C45"/>
  <c i="12" r="C49"/>
  <c i="12" r="C53"/>
  <c i="12" r="C57"/>
  <c i="12" r="C61"/>
  <c i="12" r="C65"/>
  <c i="12" r="C69"/>
  <c i="12" r="C73"/>
  <c i="12" r="C77"/>
  <c i="12" r="C81"/>
  <c i="12" r="C85"/>
  <c i="12" r="C90"/>
  <c i="12" r="C96"/>
  <c i="12" r="C101"/>
  <c i="13" r="C12"/>
  <c i="13" r="C16"/>
  <c i="13" r="C36"/>
  <c i="13" r="C52"/>
  <c i="13" r="C68"/>
  <c i="13" r="G73"/>
  <c i="13" r="G78"/>
  <c i="13" r="C84"/>
  <c i="13" r="G89"/>
  <c i="13" r="G94"/>
  <c i="13" r="C100"/>
  <c i="14" r="C12"/>
  <c i="14" r="C20"/>
  <c i="14" r="C28"/>
  <c i="14" r="C36"/>
  <c i="14" r="C44"/>
  <c i="14" r="C52"/>
  <c i="14" r="C60"/>
  <c i="14" r="C69"/>
  <c i="14" r="C77"/>
  <c i="14" r="C85"/>
  <c i="14" r="C90"/>
  <c i="14" r="C101"/>
  <c i="15" r="C22"/>
  <c i="15" r="C36"/>
  <c i="15" r="C40"/>
  <c i="16" r="C17"/>
  <c i="16" r="C25"/>
  <c i="16" r="C33"/>
  <c i="16" r="C39"/>
  <c i="16" r="C43"/>
  <c i="16" r="C47"/>
  <c i="16" r="C51"/>
  <c i="16" r="C55"/>
  <c i="16" r="C59"/>
  <c i="16" r="C63"/>
  <c i="16" r="C67"/>
  <c i="16" r="C71"/>
  <c i="16" r="C75"/>
  <c i="16" r="C79"/>
  <c i="16" r="C83"/>
  <c i="16" r="C87"/>
  <c i="16" r="C97"/>
  <c i="15" r="C102"/>
  <c i="15" r="C98"/>
  <c i="15" r="C90"/>
  <c i="15" r="C82"/>
  <c i="15" r="C74"/>
  <c i="15" r="C66"/>
  <c i="15" r="C58"/>
  <c i="15" r="C50"/>
  <c i="15" r="C42"/>
  <c i="15" r="C34"/>
  <c i="15" r="C26"/>
  <c i="15" r="C18"/>
  <c i="15" r="C100"/>
  <c i="15" r="C92"/>
  <c i="15" r="C84"/>
  <c i="15" r="C76"/>
  <c i="15" r="C68"/>
  <c i="16" r="C15"/>
  <c i="16" r="C23"/>
  <c i="16" r="C101"/>
  <c i="16" r="C98"/>
  <c i="16" r="C95"/>
  <c i="16" r="C93"/>
  <c i="16" r="C91"/>
  <c i="16" r="C102"/>
  <c i="16" r="C92"/>
  <c i="16" r="C100"/>
  <c i="16" r="C99"/>
  <c i="16" r="C96"/>
  <c i="16" r="C90"/>
  <c i="16" r="C88"/>
  <c i="16" r="C86"/>
  <c i="16" r="C84"/>
  <c i="16" r="C82"/>
  <c i="16" r="C80"/>
  <c i="16" r="C78"/>
  <c i="16" r="C76"/>
  <c i="16" r="C74"/>
  <c i="16" r="C72"/>
  <c i="16" r="C70"/>
  <c i="16" r="C68"/>
  <c i="16" r="C66"/>
  <c i="16" r="C64"/>
  <c i="16" r="C62"/>
  <c i="16" r="C60"/>
  <c i="16" r="C58"/>
  <c i="16" r="C56"/>
  <c i="16" r="C54"/>
  <c i="16" r="C52"/>
  <c i="16" r="C50"/>
  <c i="16" r="C48"/>
  <c i="16" r="C46"/>
  <c i="16" r="C44"/>
  <c i="16" r="C42"/>
  <c i="16" r="C40"/>
  <c i="16" r="C38"/>
  <c i="16" r="C36"/>
  <c i="16" r="C34"/>
  <c i="16" r="C32"/>
  <c i="16" r="C30"/>
  <c i="16" r="C28"/>
  <c i="16" r="C26"/>
  <c i="16" r="C24"/>
  <c i="16" r="C22"/>
  <c i="16" r="C20"/>
  <c i="16" r="C18"/>
  <c i="16" r="C16"/>
  <c i="16" r="C14"/>
  <c i="16" r="C12"/>
  <c i="14" r="G102"/>
  <c i="14" r="G96"/>
  <c i="14" r="G88"/>
  <c i="14" r="G86"/>
  <c i="14" r="G84"/>
  <c i="14" r="G82"/>
  <c i="14" r="G80"/>
  <c i="14" r="G78"/>
  <c i="14" r="G76"/>
  <c i="14" r="G74"/>
  <c i="14" r="G72"/>
  <c i="14" r="G70"/>
  <c i="14" r="G68"/>
  <c i="14" r="G66"/>
  <c i="15" r="C14"/>
  <c i="15" r="C28"/>
  <c i="15" r="C32"/>
  <c i="15" r="C46"/>
  <c i="15" r="C60"/>
  <c i="15" r="C64"/>
  <c i="15" r="C72"/>
  <c i="15" r="C80"/>
  <c i="15" r="C88"/>
  <c i="15" r="C96"/>
  <c i="16" r="C11"/>
  <c i="16" r="C19"/>
  <c i="16" r="C27"/>
  <c i="16" r="C35"/>
  <c i="17" r="G91"/>
  <c i="17" r="G87"/>
  <c i="17" r="G73"/>
  <c i="17" r="G67"/>
  <c i="17" r="G59"/>
  <c i="17" r="G51"/>
  <c i="17" r="G43"/>
  <c i="17" r="G35"/>
  <c i="17" r="G83"/>
  <c i="17" r="G79"/>
  <c i="17" r="G69"/>
  <c i="17" r="G61"/>
  <c i="17" r="G53"/>
  <c i="17" r="G45"/>
  <c i="17" r="G37"/>
  <c i="17" r="G29"/>
  <c i="17" r="G95"/>
  <c i="17" r="G81"/>
  <c i="17" r="G65"/>
  <c i="17" r="G57"/>
  <c i="17" r="G49"/>
  <c i="17" r="G41"/>
  <c i="15" r="G12"/>
  <c i="15" r="G15"/>
  <c i="15" r="G20"/>
  <c i="15" r="G23"/>
  <c i="15" r="G28"/>
  <c i="15" r="G31"/>
  <c i="15" r="G36"/>
  <c i="15" r="G39"/>
  <c i="15" r="G44"/>
  <c i="15" r="G47"/>
  <c i="15" r="G52"/>
  <c i="15" r="G55"/>
  <c i="15" r="G60"/>
  <c i="15" r="G63"/>
  <c i="15" r="G68"/>
  <c i="15" r="G71"/>
  <c i="15" r="G76"/>
  <c i="15" r="G79"/>
  <c i="15" r="G84"/>
  <c i="15" r="G87"/>
  <c i="15" r="G92"/>
  <c i="15" r="G95"/>
  <c i="15" r="G100"/>
  <c i="16" r="G38"/>
  <c i="16" r="G40"/>
  <c i="16" r="G42"/>
  <c i="16" r="G44"/>
  <c i="16" r="G46"/>
  <c i="16" r="G48"/>
  <c i="16" r="G50"/>
  <c i="16" r="G52"/>
  <c i="16" r="G54"/>
  <c i="16" r="G56"/>
  <c i="16" r="G58"/>
  <c i="16" r="G60"/>
  <c i="16" r="G62"/>
  <c i="16" r="G64"/>
  <c i="16" r="G66"/>
  <c i="16" r="G68"/>
  <c i="16" r="G70"/>
  <c i="16" r="G72"/>
  <c i="16" r="G74"/>
  <c i="16" r="G76"/>
  <c i="16" r="G78"/>
  <c i="16" r="G80"/>
  <c i="16" r="G82"/>
  <c i="16" r="G84"/>
  <c i="16" r="G86"/>
  <c i="16" r="G88"/>
  <c i="16" r="G90"/>
  <c i="16" r="G93"/>
  <c i="16" r="G96"/>
  <c i="17" r="G39"/>
  <c i="17" r="G55"/>
  <c i="17" r="G75"/>
  <c i="19" r="G11"/>
  <c i="19" r="G16"/>
  <c i="19" r="G19"/>
  <c i="19" r="G24"/>
  <c i="19" r="G27"/>
  <c i="19" r="G32"/>
  <c i="19" r="G35"/>
  <c i="19" r="G40"/>
  <c i="19" r="G43"/>
  <c i="19" r="G48"/>
  <c i="19" r="G51"/>
  <c i="19" r="G56"/>
  <c i="19" r="G59"/>
  <c i="19" r="G64"/>
  <c i="19" r="G67"/>
  <c i="19" r="G72"/>
  <c i="19" r="G75"/>
  <c i="19" r="G80"/>
  <c i="19" r="G83"/>
  <c i="19" r="G88"/>
  <c i="19" r="G91"/>
  <c i="19" r="G96"/>
  <c i="19" r="G99"/>
  <c i="20" r="G11"/>
  <c i="20" r="G13"/>
  <c i="20" r="G15"/>
  <c i="20" r="G23"/>
  <c i="20" r="G31"/>
  <c i="20" r="G39"/>
  <c i="20" r="G47"/>
  <c i="20" r="G55"/>
  <c i="20" r="G63"/>
  <c i="20" r="G71"/>
  <c i="20" r="G79"/>
  <c i="21" r="G12"/>
  <c i="21" r="G20"/>
  <c i="21" r="G31"/>
  <c i="21" r="G37"/>
  <c i="21" r="G57"/>
  <c i="21" r="G63"/>
  <c i="21" r="G69"/>
  <c i="17" r="C48"/>
  <c i="17" r="C51"/>
  <c i="17" r="C56"/>
  <c i="17" r="C59"/>
  <c i="17" r="C64"/>
  <c i="17" r="C67"/>
  <c i="17" r="C73"/>
  <c i="17" r="C76"/>
  <c i="17" r="C87"/>
  <c i="17" r="C90"/>
  <c i="17" r="C94"/>
  <c i="17" r="C98"/>
  <c i="18" r="G64"/>
  <c i="19" r="G12"/>
  <c i="19" r="G15"/>
  <c i="19" r="G20"/>
  <c i="19" r="G23"/>
  <c i="19" r="G28"/>
  <c i="19" r="G31"/>
  <c i="19" r="G36"/>
  <c i="19" r="G39"/>
  <c i="19" r="G44"/>
  <c i="19" r="G47"/>
  <c i="19" r="G52"/>
  <c i="19" r="G55"/>
  <c i="19" r="G60"/>
  <c i="19" r="G63"/>
  <c i="19" r="G68"/>
  <c i="19" r="G71"/>
  <c i="19" r="C74"/>
  <c i="19" r="G76"/>
  <c i="19" r="G79"/>
  <c i="19" r="C82"/>
  <c i="19" r="G84"/>
  <c i="19" r="G87"/>
  <c i="19" r="C90"/>
  <c i="19" r="G92"/>
  <c i="19" r="G95"/>
  <c i="19" r="C98"/>
  <c i="19" r="G100"/>
  <c i="19" r="G102"/>
  <c i="20" r="G12"/>
  <c i="20" r="G14"/>
  <c i="20" r="G19"/>
  <c i="20" r="G27"/>
  <c i="20" r="G35"/>
  <c i="20" r="G43"/>
  <c i="20" r="G51"/>
  <c i="20" r="G59"/>
  <c i="20" r="G67"/>
  <c i="20" r="G75"/>
  <c i="20" r="C78"/>
  <c i="20" r="C81"/>
  <c i="20" r="C85"/>
  <c i="20" r="C89"/>
  <c i="20" r="C93"/>
  <c i="20" r="C97"/>
  <c i="21" r="G16"/>
  <c i="21" r="G24"/>
  <c i="21" r="G41"/>
  <c i="21" r="G47"/>
  <c i="21" r="G53"/>
  <c i="21" r="G73"/>
  <c i="21" r="C77"/>
  <c i="21" r="G79"/>
  <c i="21" r="C82"/>
  <c i="21" r="C86"/>
  <c i="21" r="G89"/>
  <c i="21" r="C93"/>
  <c i="21" r="C97"/>
  <c i="21" r="C100"/>
  <c i="17" r="C95"/>
  <c i="17" r="C101"/>
  <c i="19" r="G13"/>
  <c i="19" r="G18"/>
  <c i="19" r="G21"/>
  <c i="19" r="G26"/>
  <c i="19" r="G29"/>
  <c i="19" r="G34"/>
  <c i="19" r="G37"/>
  <c i="19" r="G42"/>
  <c i="19" r="G45"/>
  <c i="19" r="G50"/>
  <c i="19" r="G53"/>
  <c i="19" r="G58"/>
  <c i="19" r="G61"/>
  <c i="19" r="G66"/>
  <c i="19" r="G69"/>
  <c i="19" r="G74"/>
  <c i="19" r="G77"/>
  <c i="19" r="G82"/>
  <c i="19" r="G85"/>
  <c i="19" r="G90"/>
  <c i="19" r="G93"/>
  <c i="19" r="G98"/>
  <c i="20" r="G17"/>
  <c i="20" r="G25"/>
  <c i="20" r="G33"/>
  <c i="20" r="G41"/>
  <c i="20" r="G49"/>
  <c i="20" r="G57"/>
  <c i="20" r="G65"/>
  <c i="20" r="G73"/>
  <c i="21" r="G14"/>
  <c i="21" r="G22"/>
  <c i="21" r="G33"/>
  <c i="21" r="G39"/>
  <c i="21" r="G45"/>
  <c i="21" r="G65"/>
  <c i="21" r="G71"/>
  <c i="21" r="G77"/>
  <c i="21" r="C80"/>
  <c i="21" r="C83"/>
  <c i="21" r="C87"/>
  <c i="21" r="C90"/>
  <c i="21" r="C94"/>
  <c i="21" r="G97"/>
  <c i="21" r="C101"/>
  <c i="21" r="G11"/>
  <c i="21" r="G13"/>
  <c i="21" r="G15"/>
  <c i="21" r="G17"/>
  <c i="21" r="G19"/>
  <c i="21" r="G21"/>
  <c i="21" r="G23"/>
  <c i="21" r="G25"/>
  <c i="21" r="G27"/>
  <c i="21" r="G35"/>
  <c i="21" r="G43"/>
  <c i="21" r="G51"/>
  <c i="21" r="G59"/>
  <c i="21" r="G67"/>
  <c i="21" r="G75"/>
  <c i="21" r="G83"/>
  <c i="21" r="G91"/>
  <c i="22" r="C12"/>
  <c i="22" r="C17"/>
  <c i="22" r="C20"/>
  <c i="22" r="C25"/>
  <c i="22" r="C28"/>
  <c i="22" r="C33"/>
  <c i="22" r="C36"/>
  <c i="22" r="C41"/>
  <c i="22" r="C44"/>
  <c i="22" r="C49"/>
  <c i="22" r="C52"/>
  <c i="22" r="C57"/>
  <c i="22" r="C60"/>
  <c i="21" r="G100"/>
  <c i="21" r="G98"/>
  <c i="21" r="G96"/>
  <c i="21" r="G94"/>
  <c i="21" r="G92"/>
  <c i="21" r="G90"/>
  <c i="21" r="G88"/>
  <c i="21" r="G86"/>
  <c i="21" r="G84"/>
  <c i="21" r="G82"/>
  <c i="21" r="G80"/>
  <c i="21" r="G78"/>
  <c i="21" r="G76"/>
  <c i="21" r="G74"/>
  <c i="21" r="G72"/>
  <c i="21" r="G70"/>
  <c i="21" r="G68"/>
  <c i="21" r="G66"/>
  <c i="21" r="G64"/>
  <c i="21" r="G62"/>
  <c i="21" r="G60"/>
  <c i="21" r="G58"/>
  <c i="21" r="G56"/>
  <c i="21" r="G54"/>
  <c i="21" r="G52"/>
  <c i="21" r="G50"/>
  <c i="21" r="G48"/>
  <c i="21" r="G46"/>
  <c i="21" r="G44"/>
  <c i="21" r="G42"/>
  <c i="21" r="G40"/>
  <c i="21" r="G38"/>
  <c i="21" r="G36"/>
  <c i="21" r="G34"/>
  <c i="21" r="G32"/>
  <c i="21" r="G30"/>
  <c i="21" r="G28"/>
  <c i="22" r="C101"/>
  <c i="22" r="C99"/>
  <c i="22" r="C97"/>
  <c i="22" r="C95"/>
  <c i="22" r="C93"/>
  <c i="22" r="C91"/>
  <c i="22" r="C89"/>
  <c i="22" r="C87"/>
  <c i="22" r="C85"/>
  <c i="22" r="C83"/>
  <c i="22" r="C81"/>
  <c i="22" r="C79"/>
  <c i="22" r="C77"/>
  <c i="22" r="C75"/>
  <c i="22" r="C73"/>
  <c i="22" r="C71"/>
  <c i="22" r="C69"/>
  <c i="22" r="C67"/>
  <c i="21" r="G87"/>
  <c i="21" r="G95"/>
  <c i="21" r="G102"/>
  <c i="22" r="C102"/>
  <c i="21" r="G85"/>
  <c i="21" r="G93"/>
  <c i="21" r="G101"/>
  <c i="22" r="C88"/>
  <c i="22" r="C92"/>
  <c i="22" r="C96"/>
  <c i="22" r="C100"/>
  <c i="22" r="G11"/>
  <c i="22" r="G13"/>
  <c i="22" r="G15"/>
  <c i="22" r="G17"/>
  <c i="22" r="G19"/>
  <c i="22" r="G21"/>
  <c i="22" r="G23"/>
  <c i="22" r="G25"/>
  <c i="22" r="G27"/>
  <c i="22" r="G29"/>
  <c i="22" r="G31"/>
  <c i="22" r="G33"/>
  <c i="22" r="G35"/>
  <c i="22" r="G37"/>
  <c i="22" r="G39"/>
  <c i="22" r="G41"/>
  <c i="22" r="G43"/>
  <c i="22" r="G45"/>
  <c i="22" r="G47"/>
  <c i="22" r="G49"/>
  <c i="22" r="G51"/>
  <c i="22" r="G53"/>
  <c i="22" r="G55"/>
  <c i="22" r="G57"/>
  <c i="22" r="G59"/>
  <c i="22" r="G61"/>
  <c i="22" r="G63"/>
  <c i="22" r="G65"/>
  <c i="22" r="G67"/>
  <c i="22" r="G69"/>
  <c i="22" r="G71"/>
  <c i="22" r="G73"/>
  <c i="22" r="G75"/>
  <c i="22" r="G77"/>
  <c i="22" r="G79"/>
  <c i="22" r="G81"/>
  <c i="22" r="G83"/>
  <c i="22" r="G85"/>
  <c i="22" r="G87"/>
  <c i="22" r="G89"/>
  <c i="22" r="G91"/>
  <c i="22" r="G93"/>
  <c i="22" r="G95"/>
  <c i="22" r="G97"/>
  <c i="22" r="G99"/>
  <c i="22" r="G101"/>
  <c i="19" r="C11"/>
  <c i="19" r="C13"/>
  <c i="19" r="C15"/>
  <c i="19" r="C17"/>
  <c i="19" r="C19"/>
  <c i="19" r="C21"/>
  <c i="19" r="C23"/>
  <c i="19" r="C25"/>
  <c i="19" r="C27"/>
  <c i="19" r="C29"/>
  <c i="19" r="C31"/>
  <c i="19" r="C33"/>
  <c i="19" r="C35"/>
  <c i="19" r="C37"/>
  <c i="19" r="C39"/>
  <c i="19" r="C41"/>
  <c i="19" r="C43"/>
  <c i="19" r="C45"/>
  <c i="19" r="C47"/>
  <c i="19" r="C49"/>
  <c i="19" r="C51"/>
  <c i="19" r="C53"/>
  <c i="19" r="C55"/>
  <c i="19" r="C57"/>
  <c i="19" r="C59"/>
  <c i="19" r="C61"/>
  <c i="19" r="C63"/>
  <c i="19" r="C65"/>
  <c i="19" r="C67"/>
  <c i="19" r="C69"/>
  <c i="19" r="C71"/>
  <c i="19" r="C73"/>
  <c i="19" r="C75"/>
  <c i="19" r="C77"/>
  <c i="19" r="C79"/>
  <c i="19" r="C81"/>
  <c i="19" r="C83"/>
  <c i="19" r="C85"/>
  <c i="19" r="C87"/>
  <c i="19" r="C89"/>
  <c i="19" r="C91"/>
  <c i="19" r="C93"/>
  <c i="19" r="C95"/>
  <c i="19" r="C97"/>
  <c i="19" r="C99"/>
  <c i="19" r="C101"/>
  <c i="20" r="G16"/>
  <c i="20" r="G18"/>
  <c i="20" r="G20"/>
  <c i="20" r="G22"/>
  <c i="20" r="G24"/>
  <c i="20" r="G26"/>
  <c i="20" r="G28"/>
  <c i="20" r="G30"/>
  <c i="20" r="G32"/>
  <c i="20" r="G34"/>
  <c i="20" r="G36"/>
  <c i="20" r="G38"/>
  <c i="20" r="G40"/>
  <c i="20" r="G42"/>
  <c i="20" r="G44"/>
  <c i="20" r="G46"/>
  <c i="20" r="G48"/>
  <c i="20" r="G50"/>
  <c i="20" r="G52"/>
  <c i="20" r="G54"/>
  <c i="20" r="G56"/>
  <c i="20" r="G58"/>
  <c i="20" r="G60"/>
  <c i="20" r="G62"/>
  <c i="20" r="G64"/>
  <c i="20" r="G66"/>
  <c i="20" r="G68"/>
  <c i="20" r="G70"/>
  <c i="20" r="G72"/>
  <c i="20" r="G74"/>
  <c i="20" r="G76"/>
  <c i="20" r="G78"/>
  <c i="20" r="G80"/>
  <c i="20" r="G82"/>
  <c i="20" r="G84"/>
  <c i="20" r="G86"/>
  <c i="20" r="G88"/>
  <c i="20" r="G90"/>
  <c i="20" r="G92"/>
  <c i="20" r="G94"/>
  <c i="20" r="G96"/>
  <c i="20" r="G98"/>
  <c i="20" r="G100"/>
  <c i="20" r="G81"/>
  <c i="20" r="G83"/>
  <c i="20" r="G85"/>
  <c i="20" r="G87"/>
  <c i="20" r="G89"/>
  <c i="20" r="G91"/>
  <c i="20" r="G93"/>
  <c i="20" r="G95"/>
  <c i="20" r="G97"/>
  <c i="20" r="G99"/>
  <c i="20" r="G101"/>
  <c i="17" r="C99"/>
  <c i="17" r="G100"/>
  <c i="17" r="G98"/>
  <c i="17" r="G96"/>
  <c i="17" r="G94"/>
  <c i="17" r="G92"/>
  <c i="17" r="G90"/>
  <c i="17" r="G88"/>
  <c i="17" r="G86"/>
  <c i="17" r="G84"/>
  <c i="17" r="G82"/>
  <c i="17" r="G80"/>
  <c i="17" r="G78"/>
  <c i="17" r="G76"/>
  <c i="17" r="G74"/>
  <c i="17" r="G72"/>
  <c i="17" r="G70"/>
  <c i="17" r="G68"/>
  <c i="17" r="G66"/>
  <c i="17" r="G64"/>
  <c i="17" r="G62"/>
  <c i="17" r="G60"/>
  <c i="17" r="G58"/>
  <c i="17" r="G56"/>
  <c i="17" r="G54"/>
  <c i="17" r="G52"/>
  <c i="17" r="G50"/>
  <c i="17" r="G48"/>
  <c i="17" r="G46"/>
  <c i="17" r="G44"/>
  <c i="17" r="G42"/>
  <c i="17" r="G40"/>
  <c i="17" r="G38"/>
  <c i="17" r="G36"/>
  <c i="17" r="G34"/>
  <c i="17" r="G32"/>
  <c i="17" r="G30"/>
  <c i="17" r="G28"/>
  <c i="17" r="G102"/>
  <c i="17" r="G101"/>
  <c i="17" r="G99"/>
  <c i="17" r="G97"/>
  <c i="17" r="C72"/>
  <c i="17" r="C75"/>
  <c i="17" r="G77"/>
  <c i="17" r="C80"/>
  <c i="17" r="C83"/>
  <c i="17" r="G85"/>
  <c i="17" r="C88"/>
  <c i="17" r="C91"/>
  <c i="17" r="G93"/>
  <c i="17" r="C96"/>
  <c i="17" r="C100"/>
  <c i="18" r="G72"/>
  <c i="18" r="G74"/>
  <c i="18" r="G76"/>
  <c i="18" r="G78"/>
  <c i="18" r="G80"/>
  <c i="18" r="G82"/>
  <c i="18" r="G84"/>
  <c i="18" r="G86"/>
  <c i="18" r="G88"/>
  <c i="18" r="G90"/>
  <c i="18" r="G92"/>
  <c i="18" r="G94"/>
  <c i="18" r="G96"/>
  <c i="18" r="G98"/>
  <c i="18" r="G100"/>
  <c i="18" r="C102"/>
  <c i="18" r="G11"/>
  <c i="18" r="G13"/>
  <c i="18" r="G15"/>
  <c i="18" r="G17"/>
  <c i="18" r="G19"/>
  <c i="18" r="G21"/>
  <c i="18" r="G23"/>
  <c i="18" r="G25"/>
  <c i="18" r="G27"/>
  <c i="18" r="G29"/>
  <c i="18" r="G31"/>
  <c i="18" r="G33"/>
  <c i="18" r="G35"/>
  <c i="18" r="G37"/>
  <c i="18" r="G39"/>
  <c i="18" r="G41"/>
  <c i="18" r="G43"/>
  <c i="18" r="G45"/>
  <c i="18" r="G47"/>
  <c i="18" r="G49"/>
  <c i="18" r="G51"/>
  <c i="18" r="G53"/>
  <c i="18" r="G55"/>
  <c i="18" r="G57"/>
  <c i="18" r="G59"/>
  <c i="18" r="G61"/>
  <c i="18" r="G63"/>
  <c i="18" r="G65"/>
  <c i="18" r="G67"/>
  <c i="18" r="G69"/>
  <c i="18" r="G71"/>
  <c i="18" r="G73"/>
  <c i="18" r="G75"/>
  <c i="18" r="G77"/>
  <c i="18" r="G79"/>
  <c i="18" r="G81"/>
  <c i="18" r="G83"/>
  <c i="18" r="G85"/>
  <c i="18" r="G87"/>
  <c i="18" r="G89"/>
  <c i="18" r="G91"/>
  <c i="18" r="G93"/>
  <c i="18" r="G95"/>
  <c i="18" r="G97"/>
  <c i="18" r="G99"/>
  <c i="18" r="G101"/>
  <c i="15" r="C11"/>
  <c i="15" r="C13"/>
  <c i="15" r="C15"/>
  <c i="15" r="C17"/>
  <c i="15" r="C19"/>
  <c i="15" r="C21"/>
  <c i="15" r="C23"/>
  <c i="15" r="C25"/>
  <c i="15" r="C27"/>
  <c i="15" r="C29"/>
  <c i="15" r="C31"/>
  <c i="15" r="C33"/>
  <c i="15" r="C35"/>
  <c i="15" r="C37"/>
  <c i="15" r="C39"/>
  <c i="15" r="C41"/>
  <c i="15" r="C43"/>
  <c i="15" r="C45"/>
  <c i="15" r="C47"/>
  <c i="15" r="C49"/>
  <c i="15" r="C51"/>
  <c i="15" r="C53"/>
  <c i="15" r="C55"/>
  <c i="15" r="C57"/>
  <c i="15" r="C59"/>
  <c i="15" r="C61"/>
  <c i="15" r="C63"/>
  <c i="15" r="C65"/>
  <c i="15" r="C67"/>
  <c i="15" r="C69"/>
  <c i="15" r="C71"/>
  <c i="15" r="C73"/>
  <c i="15" r="C75"/>
  <c i="15" r="C77"/>
  <c i="15" r="C79"/>
  <c i="15" r="C81"/>
  <c i="15" r="C83"/>
  <c i="15" r="C85"/>
  <c i="15" r="C87"/>
  <c i="15" r="C89"/>
  <c i="15" r="C91"/>
  <c i="15" r="C93"/>
  <c i="15" r="C95"/>
  <c i="15" r="C97"/>
  <c i="15" r="C99"/>
  <c i="15" r="C101"/>
  <c i="16" r="G100"/>
  <c i="16" r="G95"/>
  <c i="16" r="G97"/>
  <c i="16" r="G99"/>
  <c i="16" r="G101"/>
  <c i="13" r="C11"/>
  <c i="13" r="C13"/>
  <c i="13" r="C15"/>
  <c i="13" r="C17"/>
  <c i="13" r="C19"/>
  <c i="13" r="C21"/>
  <c i="13" r="C23"/>
  <c i="13" r="C25"/>
  <c i="13" r="C27"/>
  <c i="13" r="C29"/>
  <c i="13" r="C31"/>
  <c i="13" r="C33"/>
  <c i="13" r="C35"/>
  <c i="13" r="C37"/>
  <c i="13" r="C39"/>
  <c i="13" r="C41"/>
  <c i="13" r="C43"/>
  <c i="13" r="C45"/>
  <c i="13" r="C47"/>
  <c i="13" r="C49"/>
  <c i="13" r="C51"/>
  <c i="13" r="C53"/>
  <c i="13" r="C55"/>
  <c i="13" r="C57"/>
  <c i="13" r="C59"/>
  <c i="13" r="C61"/>
  <c i="13" r="C63"/>
  <c i="13" r="C65"/>
  <c i="13" r="C67"/>
  <c i="13" r="C69"/>
  <c i="13" r="C71"/>
  <c i="13" r="C73"/>
  <c i="13" r="C75"/>
  <c i="13" r="C77"/>
  <c i="13" r="C79"/>
  <c i="13" r="C81"/>
  <c i="13" r="C83"/>
  <c i="13" r="C85"/>
  <c i="13" r="C87"/>
  <c i="13" r="C89"/>
  <c i="13" r="C91"/>
  <c i="13" r="C93"/>
  <c i="13" r="C95"/>
  <c i="13" r="C97"/>
  <c i="13" r="C99"/>
  <c i="13" r="C101"/>
  <c i="14" r="G100"/>
  <c i="14" r="G89"/>
  <c i="14" r="G91"/>
  <c i="14" r="G93"/>
  <c i="14" r="G95"/>
  <c i="14" r="G97"/>
  <c i="14" r="G99"/>
  <c i="14" r="G101"/>
  <c i="12" r="G11"/>
  <c i="12" r="G15"/>
  <c i="12" r="G17"/>
  <c i="12" r="G21"/>
  <c i="12" r="G25"/>
  <c i="12" r="G29"/>
  <c i="12" r="G47"/>
  <c i="11" r="C11"/>
  <c i="11" r="C13"/>
  <c i="11" r="C15"/>
  <c i="11" r="C17"/>
  <c i="11" r="C19"/>
  <c i="11" r="C21"/>
  <c i="11" r="C23"/>
  <c i="11" r="C25"/>
  <c i="11" r="C27"/>
  <c i="11" r="C29"/>
  <c i="11" r="C31"/>
  <c i="11" r="C33"/>
  <c i="11" r="C35"/>
  <c i="11" r="C37"/>
  <c i="11" r="C39"/>
  <c i="11" r="C41"/>
  <c i="11" r="C43"/>
  <c i="11" r="C45"/>
  <c i="11" r="C47"/>
  <c i="11" r="C49"/>
  <c i="11" r="C51"/>
  <c i="11" r="C53"/>
  <c i="11" r="C55"/>
  <c i="11" r="C57"/>
  <c i="11" r="C59"/>
  <c i="11" r="C61"/>
  <c i="11" r="C63"/>
  <c i="11" r="C65"/>
  <c i="11" r="C67"/>
  <c i="11" r="C69"/>
  <c i="11" r="C71"/>
  <c i="11" r="C73"/>
  <c i="11" r="C75"/>
  <c i="11" r="C77"/>
  <c i="11" r="C79"/>
  <c i="11" r="C81"/>
  <c i="11" r="C83"/>
  <c i="11" r="C85"/>
  <c i="11" r="C87"/>
  <c i="11" r="C89"/>
  <c i="11" r="C91"/>
  <c i="11" r="C93"/>
  <c i="11" r="C95"/>
  <c i="11" r="C97"/>
  <c i="11" r="C99"/>
  <c i="11" r="C101"/>
  <c i="12" r="G16"/>
  <c i="12" r="G18"/>
  <c i="12" r="G20"/>
  <c i="12" r="G22"/>
  <c i="12" r="G24"/>
  <c i="12" r="G26"/>
  <c i="12" r="G28"/>
  <c i="12" r="G30"/>
  <c i="12" r="G32"/>
  <c i="12" r="G34"/>
  <c i="12" r="G36"/>
  <c i="12" r="G38"/>
  <c i="12" r="G40"/>
  <c i="12" r="G42"/>
  <c i="12" r="G44"/>
  <c i="12" r="G46"/>
  <c i="12" r="G48"/>
  <c i="12" r="G50"/>
  <c i="12" r="G52"/>
  <c i="12" r="G54"/>
  <c i="12" r="G56"/>
  <c i="12" r="G58"/>
  <c i="12" r="G60"/>
  <c i="12" r="G62"/>
  <c i="12" r="G64"/>
  <c i="12" r="G66"/>
  <c i="12" r="G68"/>
  <c i="12" r="G70"/>
  <c i="12" r="G72"/>
  <c i="12" r="G74"/>
  <c i="12" r="G76"/>
  <c i="12" r="G78"/>
  <c i="12" r="G80"/>
  <c i="12" r="G82"/>
  <c i="12" r="G84"/>
  <c i="12" r="G86"/>
  <c i="12" r="G88"/>
  <c i="12" r="G90"/>
  <c i="12" r="G92"/>
  <c i="12" r="G94"/>
  <c i="12" r="G96"/>
  <c i="12" r="G98"/>
  <c i="12" r="G100"/>
  <c i="12" r="G13"/>
  <c i="12" r="G19"/>
  <c i="12" r="G23"/>
  <c i="12" r="G27"/>
  <c i="12" r="G31"/>
  <c i="12" r="G33"/>
  <c i="12" r="G35"/>
  <c i="12" r="G37"/>
  <c i="12" r="G39"/>
  <c i="12" r="G41"/>
  <c i="12" r="G43"/>
  <c i="12" r="G45"/>
  <c i="12" r="G49"/>
  <c i="12" r="G51"/>
  <c i="12" r="G53"/>
  <c i="12" r="G55"/>
  <c i="12" r="G57"/>
  <c i="12" r="G59"/>
  <c i="12" r="G61"/>
  <c i="12" r="G63"/>
  <c i="12" r="G65"/>
  <c i="12" r="G67"/>
  <c i="12" r="G69"/>
  <c i="12" r="G71"/>
  <c i="12" r="G73"/>
  <c i="12" r="G75"/>
  <c i="12" r="G77"/>
  <c i="12" r="G79"/>
  <c i="12" r="G81"/>
  <c i="12" r="G83"/>
  <c i="12" r="G85"/>
  <c i="12" r="G87"/>
  <c i="12" r="G89"/>
  <c i="12" r="G91"/>
  <c i="12" r="G93"/>
  <c i="12" r="G95"/>
  <c i="12" r="G97"/>
  <c i="12" r="G99"/>
  <c i="12" r="G101"/>
  <c i="8" r="C42"/>
  <c i="8" r="C45"/>
  <c i="8" r="C50"/>
  <c i="8" r="C53"/>
  <c i="8" r="C58"/>
  <c i="8" r="C61"/>
  <c i="8" r="C66"/>
  <c i="8" r="C69"/>
  <c i="8" r="C74"/>
  <c i="8" r="C77"/>
  <c i="8" r="C82"/>
  <c i="8" r="C85"/>
  <c i="8" r="C90"/>
  <c i="8" r="C93"/>
  <c i="8" r="G95"/>
  <c i="8" r="C98"/>
  <c i="8" r="C101"/>
  <c i="8" r="G102"/>
  <c i="8" r="C27"/>
  <c i="8" r="C32"/>
  <c i="8" r="C35"/>
  <c i="8" r="C40"/>
  <c i="8" r="C43"/>
  <c i="8" r="C48"/>
  <c i="8" r="C51"/>
  <c i="8" r="C56"/>
  <c i="8" r="C59"/>
  <c i="8" r="C64"/>
  <c i="8" r="C67"/>
  <c i="8" r="C72"/>
  <c i="8" r="C75"/>
  <c i="8" r="C80"/>
  <c i="8" r="C83"/>
  <c i="8" r="G85"/>
  <c i="8" r="C88"/>
  <c i="8" r="C91"/>
  <c i="8" r="G93"/>
  <c i="8" r="C96"/>
  <c i="8" r="C99"/>
  <c i="8" r="C47"/>
  <c i="8" r="C52"/>
  <c i="8" r="C55"/>
  <c i="8" r="C60"/>
  <c i="8" r="C63"/>
  <c i="8" r="C68"/>
  <c i="8" r="C71"/>
  <c i="8" r="C76"/>
  <c i="8" r="C79"/>
  <c i="8" r="C84"/>
  <c i="8" r="C87"/>
  <c i="8" r="C92"/>
  <c i="8" r="C95"/>
  <c i="8" r="C100"/>
  <c i="8" r="G100"/>
  <c i="8" r="G98"/>
  <c i="8" r="G96"/>
  <c i="8" r="G94"/>
  <c i="8" r="G92"/>
  <c i="8" r="G90"/>
  <c i="8" r="G88"/>
  <c i="8" r="G86"/>
  <c i="8" r="G84"/>
  <c i="8" r="G82"/>
  <c i="8" r="G80"/>
  <c i="8" r="G78"/>
  <c i="8" r="G76"/>
  <c i="8" r="G74"/>
  <c i="8" r="G72"/>
  <c i="8" r="G70"/>
  <c i="8" r="G68"/>
  <c i="8" r="G66"/>
  <c i="8" r="G64"/>
  <c i="8" r="G62"/>
  <c i="8" r="G60"/>
  <c i="8" r="G58"/>
  <c i="8" r="G56"/>
  <c i="8" r="G54"/>
  <c i="8" r="G52"/>
  <c i="8" r="G50"/>
  <c i="8" r="G48"/>
  <c i="8" r="G46"/>
  <c i="8" r="G44"/>
  <c i="8" r="G42"/>
  <c i="8" r="G40"/>
  <c i="8" r="G38"/>
  <c i="8" r="G36"/>
  <c i="8" r="G34"/>
  <c i="8" r="G32"/>
  <c i="8" r="G30"/>
  <c i="8" r="G28"/>
  <c i="9" r="G80"/>
  <c i="9" r="G82"/>
  <c i="9" r="G84"/>
  <c i="9" r="G86"/>
  <c i="9" r="G88"/>
  <c i="9" r="G90"/>
  <c i="9" r="G92"/>
  <c i="9" r="G94"/>
  <c i="9" r="G96"/>
  <c i="9" r="G98"/>
  <c i="9" r="G100"/>
  <c i="9" r="G11"/>
  <c i="9" r="G13"/>
  <c i="9" r="G15"/>
  <c i="9" r="G17"/>
  <c i="9" r="G19"/>
  <c i="9" r="G21"/>
  <c i="9" r="G23"/>
  <c i="9" r="G25"/>
  <c i="9" r="G27"/>
  <c i="9" r="G29"/>
  <c i="9" r="G31"/>
  <c i="9" r="G33"/>
  <c i="9" r="G35"/>
  <c i="9" r="G37"/>
  <c i="9" r="G39"/>
  <c i="9" r="G41"/>
  <c i="9" r="G43"/>
  <c i="9" r="G45"/>
  <c i="9" r="G47"/>
  <c i="9" r="G49"/>
  <c i="9" r="G51"/>
  <c i="9" r="G53"/>
  <c i="9" r="G55"/>
  <c i="9" r="G57"/>
  <c i="9" r="G59"/>
  <c i="9" r="G61"/>
  <c i="9" r="G63"/>
  <c i="9" r="G65"/>
  <c i="9" r="G67"/>
  <c i="9" r="G69"/>
  <c i="9" r="G71"/>
  <c i="9" r="G73"/>
  <c i="9" r="G75"/>
  <c i="9" r="G77"/>
  <c i="9" r="G79"/>
  <c i="9" r="G81"/>
  <c i="9" r="G83"/>
  <c i="9" r="G85"/>
  <c i="9" r="G87"/>
  <c i="9" r="G89"/>
  <c i="9" r="G91"/>
  <c i="9" r="G93"/>
  <c i="9" r="G95"/>
  <c i="9" r="G97"/>
  <c i="9" r="G99"/>
  <c i="9" r="G101"/>
  <c i="4" r="F102"/>
  <c i="4" r="G101" s="1"/>
  <c i="4" r="B102"/>
  <c i="4" r="C100" s="1"/>
  <c i="3" r="F102"/>
  <c i="3" r="B102"/>
  <c i="3" l="1" r="C13"/>
  <c i="3" r="U10"/>
  <c i="3" r="W10" s="1"/>
  <c i="3" r="G102"/>
  <c i="3" r="Y10"/>
  <c i="3" r="AA10" s="1"/>
  <c i="3" r="AA17"/>
  <c i="3" r="W17"/>
  <c i="4" r="C30"/>
  <c i="4" r="C62"/>
  <c i="4" r="C14"/>
  <c i="4" r="C22"/>
  <c i="4" r="C78"/>
  <c i="4" r="C46"/>
  <c i="4" r="C11"/>
  <c i="4" r="C27"/>
  <c i="4" r="C54"/>
  <c i="4" r="C87"/>
  <c i="4" r="C19"/>
  <c i="4" r="C38"/>
  <c i="4" r="C70"/>
  <c i="4" r="C35"/>
  <c i="4" r="C43"/>
  <c i="4" r="C51"/>
  <c i="4" r="C59"/>
  <c i="4" r="C67"/>
  <c i="4" r="C75"/>
  <c i="4" r="C83"/>
  <c i="4" r="C99"/>
  <c i="4" r="C18"/>
  <c i="4" r="C26"/>
  <c i="4" r="C34"/>
  <c i="4" r="C42"/>
  <c i="4" r="C50"/>
  <c i="4" r="C58"/>
  <c i="4" r="C66"/>
  <c i="4" r="C74"/>
  <c i="4" r="C82"/>
  <c i="4" r="C95"/>
  <c i="4" r="C15"/>
  <c i="4" r="C23"/>
  <c i="4" r="C31"/>
  <c i="4" r="C39"/>
  <c i="4" r="C47"/>
  <c i="4" r="C55"/>
  <c i="4" r="C63"/>
  <c i="4" r="C71"/>
  <c i="4" r="C79"/>
  <c i="4" r="C91"/>
  <c i="4" r="G12"/>
  <c i="4" r="G33"/>
  <c i="4" r="G54"/>
  <c i="4" r="C86"/>
  <c i="4" r="C90"/>
  <c i="4" r="C94"/>
  <c i="4" r="C98"/>
  <c i="4" r="C102"/>
  <c i="4" r="G28"/>
  <c i="4" r="G49"/>
  <c i="4" r="C17"/>
  <c i="4" r="C25"/>
  <c i="4" r="C37"/>
  <c i="4" r="C45"/>
  <c i="4" r="C53"/>
  <c i="4" r="C61"/>
  <c i="4" r="C69"/>
  <c i="4" r="C77"/>
  <c i="4" r="C81"/>
  <c i="4" r="C85"/>
  <c i="4" r="C89"/>
  <c i="4" r="C93"/>
  <c i="4" r="C97"/>
  <c i="4" r="C101"/>
  <c i="4" r="G22"/>
  <c i="4" r="G44"/>
  <c i="4" r="G65"/>
  <c i="4" r="C13"/>
  <c i="4" r="C21"/>
  <c i="4" r="C29"/>
  <c i="4" r="C33"/>
  <c i="4" r="C41"/>
  <c i="4" r="C49"/>
  <c i="4" r="C57"/>
  <c i="4" r="C65"/>
  <c i="4" r="C73"/>
  <c i="4" r="C12"/>
  <c i="4" r="C16"/>
  <c i="4" r="C20"/>
  <c i="4" r="C24"/>
  <c i="4" r="C28"/>
  <c i="4" r="C32"/>
  <c i="4" r="C36"/>
  <c i="4" r="C40"/>
  <c i="4" r="C44"/>
  <c i="4" r="C48"/>
  <c i="4" r="C52"/>
  <c i="4" r="C56"/>
  <c i="4" r="C60"/>
  <c i="4" r="C64"/>
  <c i="4" r="C68"/>
  <c i="4" r="C72"/>
  <c i="4" r="C76"/>
  <c i="4" r="C80"/>
  <c i="4" r="C84"/>
  <c i="4" r="C88"/>
  <c i="4" r="C92"/>
  <c i="4" r="C96"/>
  <c i="4" r="G17"/>
  <c i="4" r="G38"/>
  <c i="4" r="G60"/>
  <c i="4" r="G70"/>
  <c i="4" r="G92"/>
  <c i="4" r="G14"/>
  <c i="4" r="G20"/>
  <c i="4" r="G25"/>
  <c i="4" r="G30"/>
  <c i="4" r="G36"/>
  <c i="4" r="G41"/>
  <c i="4" r="G46"/>
  <c i="4" r="G52"/>
  <c i="4" r="G57"/>
  <c i="4" r="G62"/>
  <c i="4" r="G68"/>
  <c i="4" r="G74"/>
  <c i="4" r="G84"/>
  <c i="4" r="G100"/>
  <c i="4" r="G13"/>
  <c i="4" r="G18"/>
  <c i="4" r="G24"/>
  <c i="4" r="G29"/>
  <c i="4" r="G34"/>
  <c i="4" r="G40"/>
  <c i="4" r="G45"/>
  <c i="4" r="G50"/>
  <c i="4" r="G56"/>
  <c i="4" r="G61"/>
  <c i="4" r="G66"/>
  <c i="4" r="G73"/>
  <c i="4" r="G82"/>
  <c i="4" r="G98"/>
  <c i="4" r="G78"/>
  <c i="4" r="G16"/>
  <c i="4" r="G21"/>
  <c i="4" r="G26"/>
  <c i="4" r="G32"/>
  <c i="4" r="G37"/>
  <c i="4" r="G42"/>
  <c i="4" r="G48"/>
  <c i="4" r="G53"/>
  <c i="4" r="G58"/>
  <c i="4" r="G64"/>
  <c i="4" r="G69"/>
  <c i="4" r="G77"/>
  <c i="4" r="G90"/>
  <c i="4" r="G11"/>
  <c i="4" r="G15"/>
  <c i="4" r="G19"/>
  <c i="4" r="G23"/>
  <c i="4" r="G27"/>
  <c i="4" r="G31"/>
  <c i="4" r="G35"/>
  <c i="4" r="G39"/>
  <c i="4" r="G43"/>
  <c i="4" r="G47"/>
  <c i="4" r="G51"/>
  <c i="4" r="G55"/>
  <c i="4" r="G59"/>
  <c i="4" r="G63"/>
  <c i="4" r="G67"/>
  <c i="4" r="G71"/>
  <c i="4" r="G75"/>
  <c i="4" r="G79"/>
  <c i="4" r="G86"/>
  <c i="4" r="G94"/>
  <c i="4" r="G102"/>
  <c i="4" r="G72"/>
  <c i="4" r="G76"/>
  <c i="4" r="G80"/>
  <c i="4" r="G88"/>
  <c i="4" r="G96"/>
  <c i="3" r="C11"/>
  <c i="3" r="C102"/>
  <c i="3" r="C100"/>
  <c i="3" r="C98"/>
  <c i="3" r="C96"/>
  <c i="3" r="C94"/>
  <c i="3" r="C92"/>
  <c i="3" r="C90"/>
  <c i="3" r="C88"/>
  <c i="3" r="C86"/>
  <c i="3" r="C84"/>
  <c i="3" r="C82"/>
  <c i="3" r="C80"/>
  <c i="3" r="C78"/>
  <c i="3" r="C76"/>
  <c i="3" r="C74"/>
  <c i="3" r="C72"/>
  <c i="3" r="C70"/>
  <c i="3" r="C68"/>
  <c i="3" r="C66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4"/>
  <c i="3" r="C32"/>
  <c i="3" r="C30"/>
  <c i="3" r="C28"/>
  <c i="3" r="C26"/>
  <c i="3" r="C24"/>
  <c i="3" r="C22"/>
  <c i="3" r="C20"/>
  <c i="3" r="C18"/>
  <c i="3" r="C16"/>
  <c i="3" r="C14"/>
  <c i="3" r="G11"/>
  <c i="3" r="G13"/>
  <c i="3" r="G15"/>
  <c i="3" r="G17"/>
  <c i="3" r="G19"/>
  <c i="3" r="G21"/>
  <c i="3" r="G23"/>
  <c i="3" r="G25"/>
  <c i="3" r="G27"/>
  <c i="3" r="G29"/>
  <c i="3" r="G31"/>
  <c i="3" r="G33"/>
  <c i="3" r="G35"/>
  <c i="3" r="G37"/>
  <c i="3" r="G39"/>
  <c i="3" r="G41"/>
  <c i="3" r="G43"/>
  <c i="3" r="G45"/>
  <c i="3" r="G47"/>
  <c i="3" r="G49"/>
  <c i="3" r="G51"/>
  <c i="3" r="G53"/>
  <c i="3" r="G55"/>
  <c i="3" r="G57"/>
  <c i="3" r="G59"/>
  <c i="3" r="G61"/>
  <c i="3" r="G63"/>
  <c i="3" r="G65"/>
  <c i="3" r="G67"/>
  <c i="3" r="G69"/>
  <c i="3" r="G71"/>
  <c i="3" r="G73"/>
  <c i="3" r="G75"/>
  <c i="3" r="G77"/>
  <c i="3" r="G79"/>
  <c i="3" r="G81"/>
  <c i="3" r="G83"/>
  <c i="3" r="G85"/>
  <c i="3" r="G87"/>
  <c i="3" r="G89"/>
  <c i="3" r="G91"/>
  <c i="3" r="G93"/>
  <c i="3" r="G95"/>
  <c i="3" r="G97"/>
  <c i="3" r="G99"/>
  <c i="3" r="G101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4" r="G81"/>
  <c i="4" r="G83"/>
  <c i="4" r="G85"/>
  <c i="4" r="G87"/>
  <c i="4" r="G89"/>
  <c i="4" r="G91"/>
  <c i="4" r="G93"/>
  <c i="4" r="G95"/>
  <c i="4" r="G97"/>
  <c i="4" r="G99"/>
  <c i="3" l="1" r="AA18"/>
  <c i="3" r="AA19" s="1"/>
  <c i="3" r="Y18"/>
  <c i="3" r="Y19" s="1"/>
  <c i="3" r="U18"/>
  <c i="3" r="U19" s="1"/>
  <c i="3" r="W18"/>
  <c i="3" r="W19" s="1"/>
  <c i="3" l="1" r="Z19"/>
  <c i="3" r="Z18"/>
  <c i="3" r="V19"/>
  <c i="3" r="V18"/>
</calcChain>
</file>

<file path=xl/sharedStrings.xml><?xml version="1.0" encoding="utf-8"?>
<sst xmlns="http://schemas.openxmlformats.org/spreadsheetml/2006/main" count="303" uniqueCount="49">
  <si>
    <t>Trip Duration Frequency Distribution</t>
  </si>
  <si>
    <t>Trip Length Frequency Distribution</t>
  </si>
  <si>
    <t>Distance (mi)</t>
  </si>
  <si>
    <t>Total</t>
  </si>
  <si>
    <t>Frequency of trips by 1-mile increment</t>
  </si>
  <si>
    <t>Observed distance (in miles) based on joining NERPM AM peak SOV skim values to HH survey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</si>
  <si>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</si>
  <si>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</si>
  <si>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</si>
  <si>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</si>
  <si>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</si>
  <si>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</si>
  <si>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Time (min)</t>
  </si>
  <si>
    <t>DaySim</t>
  </si>
  <si>
    <t>Table X. Average Trip Length</t>
  </si>
  <si>
    <t>Table X. Average Trip Duration</t>
  </si>
  <si>
    <t>Table X. Observed Trip Lengths: Survey</t>
  </si>
  <si>
    <t>Survey</t>
  </si>
  <si>
    <t>Table X. Observed Trip Durations: Survey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</si>
  <si>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</si>
  <si>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</si>
  <si>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</si>
  <si>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 xml:space="preserve">Observed Sources: Survey </t>
  </si>
  <si>
    <t>Avg. Trip Length</t>
  </si>
  <si>
    <t>Length</t>
  </si>
  <si>
    <t>Trips</t>
  </si>
  <si>
    <t>Walk</t>
  </si>
  <si>
    <t>Bike</t>
  </si>
  <si>
    <t>SOV</t>
  </si>
  <si>
    <t>HOV2</t>
  </si>
  <si>
    <t>HOV3</t>
  </si>
  <si>
    <t>Transit</t>
  </si>
  <si>
    <t>School Bus</t>
  </si>
  <si>
    <t>Trips*Length</t>
  </si>
  <si>
    <t>Meal</t>
  </si>
  <si>
    <t>ALL (mode)</t>
  </si>
  <si>
    <t>ALL (purpose)</t>
  </si>
  <si>
    <t>Meal is included</t>
  </si>
  <si>
    <t>Meal is not included - not a mode</t>
  </si>
  <si>
    <t>Mode</t>
  </si>
  <si>
    <t>Purpose</t>
  </si>
  <si>
    <t>Home</t>
  </si>
  <si>
    <t>Work</t>
  </si>
  <si>
    <t>School</t>
  </si>
  <si>
    <t>Escort</t>
  </si>
  <si>
    <t>PerBus</t>
  </si>
  <si>
    <t>Shop</t>
  </si>
  <si>
    <t>SocRec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</si>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</sst>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mm/dd/yyyy\ hh:mm:ss"/>
    <numFmt numFmtId="165" formatCode="_(* #,##0_);_(* \(#,##0\);_(* &quot;-&quot;??_);_(@_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</patternFill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4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4">
      <alignment wrapText="1"/>
    </xf>
    <xf applyAlignment="0" applyBorder="0" applyFill="0" applyFont="0" applyProtection="0" borderId="0" fillId="0" fontId="3" numFmtId="43"/>
  </cellStyleXfs>
  <cellXfs count="380">
    <xf borderId="0" fillId="0" fontId="0" numFmtId="0" xfId="0"/>
    <xf applyBorder="1" borderId="1" fillId="0" fontId="0" numFmtId="0" xfId="0"/>
    <xf applyBorder="1" borderId="2" fillId="0" fontId="0" numFmtId="0" xfId="0"/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0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Font="1" applyNumberFormat="1" borderId="0" fillId="0" fontId="0" numFmtId="165" xfId="8"/>
    <xf applyBorder="1" borderId="3" fillId="0" fontId="0" numFmtId="0" xfId="0"/>
    <xf applyBorder="1" applyFont="1" borderId="3" fillId="0" fontId="1" numFmtId="0" xfId="0"/>
    <xf applyBorder="1" applyFont="1" applyNumberFormat="1" borderId="3" fillId="0" fontId="1" numFmtId="165" xfId="8"/>
    <xf applyBorder="1" applyFont="1" applyNumberFormat="1" borderId="3" fillId="0" fontId="1" numFmtId="2" xfId="0"/>
    <xf applyBorder="1" applyFont="1" applyNumberFormat="1" borderId="3" fillId="0" fontId="1" numFmtId="43" xfId="0"/>
    <xf applyBorder="1" applyFont="1" applyNumberFormat="1" borderId="3" fillId="0" fontId="1" numFmtId="165" xfId="0"/>
  </cellXfs>
  <cellStyles count="9">
    <cellStyle builtinId="3" name="Comma" xfId="8"/>
    <cellStyle builtinId="0" name="Normal" xfId="0"/>
    <cellStyle name="XLConnect.Boolean" xfId="6" xr:uid="{00000000-0005-0000-0000-000002000000}"/>
    <cellStyle name="XLConnect.Date" xfId="3" xr:uid="{00000000-0005-0000-0000-000003000000}"/>
    <cellStyle name="XLConnect.DateTime" xfId="7" xr:uid="{00000000-0005-0000-0000-000004000000}"/>
    <cellStyle name="XLConnect.General" xfId="1" xr:uid="{00000000-0005-0000-0000-000005000000}"/>
    <cellStyle name="XLConnect.Header" xfId="2" xr:uid="{00000000-0005-0000-0000-000006000000}"/>
    <cellStyle name="XLConnect.Numeric" xfId="5" xr:uid="{00000000-0005-0000-0000-000007000000}"/>
    <cellStyle name="XLConnect.String" xfId="4" xr:uid="{00000000-0005-0000-0000-000008000000}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worksheets/sheet10.xml" Type="http://schemas.openxmlformats.org/officeDocument/2006/relationships/worksheet"/><Relationship Id="rId11" Target="worksheets/sheet11.xml" Type="http://schemas.openxmlformats.org/officeDocument/2006/relationships/worksheet"/><Relationship Id="rId12" Target="worksheets/sheet12.xml" Type="http://schemas.openxmlformats.org/officeDocument/2006/relationships/worksheet"/><Relationship Id="rId13" Target="worksheets/sheet13.xml" Type="http://schemas.openxmlformats.org/officeDocument/2006/relationships/worksheet"/><Relationship Id="rId14" Target="worksheets/sheet14.xml" Type="http://schemas.openxmlformats.org/officeDocument/2006/relationships/worksheet"/><Relationship Id="rId15" Target="worksheets/sheet15.xml" Type="http://schemas.openxmlformats.org/officeDocument/2006/relationships/worksheet"/><Relationship Id="rId16" Target="worksheets/sheet16.xml" Type="http://schemas.openxmlformats.org/officeDocument/2006/relationships/worksheet"/><Relationship Id="rId17" Target="theme/theme1.xml" Type="http://schemas.openxmlformats.org/officeDocument/2006/relationships/theme"/><Relationship Id="rId18" Target="styles.xml" Type="http://schemas.openxmlformats.org/officeDocument/2006/relationships/styles"/><Relationship Id="rId19" Target="sharedStrings.xml" Type="http://schemas.openxmlformats.org/officeDocument/2006/relationships/sharedStrings"/><Relationship Id="rId2" Target="worksheets/sheet2.xml" Type="http://schemas.openxmlformats.org/officeDocument/2006/relationships/worksheet"/><Relationship Id="rId20" Target="calcChain.xml" Type="http://schemas.openxmlformats.org/officeDocument/2006/relationships/calcChain"/><Relationship Id="rId21" Target="vbaProject.bin" Type="http://schemas.microsoft.com/office/2006/relationships/vbaProjec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worksheets/sheet8.xml" Type="http://schemas.openxmlformats.org/officeDocument/2006/relationships/worksheet"/><Relationship Id="rId9" Target="worksheets/sheet9.xml" Type="http://schemas.openxmlformats.org/officeDocument/2006/relationships/worksheet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TLFD_Home!$C$10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TLFD_Home!$C$11:$C$71</c:f>
              <c:numCache>
                <c:formatCode>0.00%</c:formatCode>
                <c:ptCount val="61"/>
                <c:pt idx="0">
                  <c:v>0.17718106540722242</c:v>
                </c:pt>
                <c:pt idx="1">
                  <c:v>0.17111379858542641</c:v>
                </c:pt>
                <c:pt idx="2">
                  <c:v>0.12598664406880378</c:v>
                </c:pt>
                <c:pt idx="3">
                  <c:v>0.110466886627455</c:v>
                </c:pt>
                <c:pt idx="4">
                  <c:v>8.0759944459159447E-2</c:v>
                </c:pt>
                <c:pt idx="5">
                  <c:v>6.1071990165775046E-2</c:v>
                </c:pt>
                <c:pt idx="6">
                  <c:v>2.5798069565205761E-2</c:v>
                </c:pt>
                <c:pt idx="7">
                  <c:v>3.0877772140653004E-2</c:v>
                </c:pt>
                <c:pt idx="8">
                  <c:v>2.6307891847702901E-2</c:v>
                </c:pt>
                <c:pt idx="9">
                  <c:v>2.6754254520467542E-2</c:v>
                </c:pt>
                <c:pt idx="10">
                  <c:v>1.4834754450003238E-2</c:v>
                </c:pt>
                <c:pt idx="11">
                  <c:v>1.9139302802573366E-2</c:v>
                </c:pt>
                <c:pt idx="12">
                  <c:v>8.7098473581214298E-3</c:v>
                </c:pt>
                <c:pt idx="13">
                  <c:v>5.8072232297503154E-3</c:v>
                </c:pt>
                <c:pt idx="14">
                  <c:v>1.0713864619711595E-2</c:v>
                </c:pt>
                <c:pt idx="15">
                  <c:v>1.8533444649636223E-2</c:v>
                </c:pt>
                <c:pt idx="16">
                  <c:v>1.2412414940727779E-2</c:v>
                </c:pt>
                <c:pt idx="17">
                  <c:v>1.141914372799439E-2</c:v>
                </c:pt>
                <c:pt idx="18">
                  <c:v>1.7432515445267287E-2</c:v>
                </c:pt>
                <c:pt idx="19">
                  <c:v>8.1576438866169405E-3</c:v>
                </c:pt>
                <c:pt idx="20">
                  <c:v>7.758077838972019E-3</c:v>
                </c:pt>
                <c:pt idx="21">
                  <c:v>2.7595433254411061E-3</c:v>
                </c:pt>
                <c:pt idx="22">
                  <c:v>8.7245264289693408E-3</c:v>
                </c:pt>
                <c:pt idx="23">
                  <c:v>3.4946089756137575E-3</c:v>
                </c:pt>
                <c:pt idx="24">
                  <c:v>8.0516299296897918E-4</c:v>
                </c:pt>
                <c:pt idx="25">
                  <c:v>1.1820604245830406E-3</c:v>
                </c:pt>
                <c:pt idx="26">
                  <c:v>4.6390236119323502E-4</c:v>
                </c:pt>
                <c:pt idx="27">
                  <c:v>1.1606196104786636E-3</c:v>
                </c:pt>
                <c:pt idx="28">
                  <c:v>0</c:v>
                </c:pt>
                <c:pt idx="29">
                  <c:v>3.2619835983314048E-3</c:v>
                </c:pt>
                <c:pt idx="30">
                  <c:v>1.1097322806232499E-3</c:v>
                </c:pt>
                <c:pt idx="31">
                  <c:v>4.8788040201711274E-4</c:v>
                </c:pt>
                <c:pt idx="32">
                  <c:v>9.1939570000323966E-4</c:v>
                </c:pt>
                <c:pt idx="33">
                  <c:v>8.9244285885927614E-4</c:v>
                </c:pt>
                <c:pt idx="34">
                  <c:v>3.5799501486274304E-4</c:v>
                </c:pt>
                <c:pt idx="35">
                  <c:v>8.9244285885927614E-4</c:v>
                </c:pt>
                <c:pt idx="36">
                  <c:v>0</c:v>
                </c:pt>
                <c:pt idx="37">
                  <c:v>0</c:v>
                </c:pt>
                <c:pt idx="38">
                  <c:v>6.9418975233161823E-4</c:v>
                </c:pt>
                <c:pt idx="39">
                  <c:v>1.0439758403245534E-3</c:v>
                </c:pt>
                <c:pt idx="40">
                  <c:v>5.1298723729357868E-4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04-473D-BDA1-D8169557D948}"/>
            </c:ext>
          </c:extLst>
        </c:ser>
        <c:ser>
          <c:idx val="1"/>
          <c:order val="1"/>
          <c:tx>
            <c:strRef>
              <c:f>TLFD_Home!$G$10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TLFD_Home!$G$11:$G$71</c:f>
              <c:numCache>
                <c:formatCode>0.00%</c:formatCode>
                <c:ptCount val="61"/>
                <c:pt idx="0">
                  <c:v>0.10909656252010379</c:v>
                </c:pt>
                <c:pt idx="1">
                  <c:v>0.1381762148815523</c:v>
                </c:pt>
                <c:pt idx="2">
                  <c:v>0.12252512782180613</c:v>
                </c:pt>
                <c:pt idx="3">
                  <c:v>0.11722232263479877</c:v>
                </c:pt>
                <c:pt idx="4">
                  <c:v>9.6476743936697182E-2</c:v>
                </c:pt>
                <c:pt idx="5">
                  <c:v>8.0548416051171606E-2</c:v>
                </c:pt>
                <c:pt idx="6">
                  <c:v>6.0081609896118937E-2</c:v>
                </c:pt>
                <c:pt idx="7">
                  <c:v>4.4036871498111391E-2</c:v>
                </c:pt>
                <c:pt idx="8">
                  <c:v>4.0460311673829998E-2</c:v>
                </c:pt>
                <c:pt idx="9">
                  <c:v>2.7796073289607912E-2</c:v>
                </c:pt>
                <c:pt idx="10">
                  <c:v>2.1679926232496302E-2</c:v>
                </c:pt>
                <c:pt idx="11">
                  <c:v>1.935324770012652E-2</c:v>
                </c:pt>
                <c:pt idx="12">
                  <c:v>1.7862886796903479E-2</c:v>
                </c:pt>
                <c:pt idx="13">
                  <c:v>1.5957430513646068E-2</c:v>
                </c:pt>
                <c:pt idx="14">
                  <c:v>1.3491365709751832E-2</c:v>
                </c:pt>
                <c:pt idx="15">
                  <c:v>1.2405378165676667E-2</c:v>
                </c:pt>
                <c:pt idx="16">
                  <c:v>9.4154660556135909E-3</c:v>
                </c:pt>
                <c:pt idx="17">
                  <c:v>8.7706130851542899E-3</c:v>
                </c:pt>
                <c:pt idx="18">
                  <c:v>7.4288287570727042E-3</c:v>
                </c:pt>
                <c:pt idx="19">
                  <c:v>5.8940480530341784E-3</c:v>
                </c:pt>
                <c:pt idx="20">
                  <c:v>5.1220625492064175E-3</c:v>
                </c:pt>
                <c:pt idx="21">
                  <c:v>4.2367299674356904E-3</c:v>
                </c:pt>
                <c:pt idx="22">
                  <c:v>3.7465804411958422E-3</c:v>
                </c:pt>
                <c:pt idx="23">
                  <c:v>3.1798450514810175E-3</c:v>
                </c:pt>
                <c:pt idx="24">
                  <c:v>2.3343371187172788E-3</c:v>
                </c:pt>
                <c:pt idx="25">
                  <c:v>2.0739451829023593E-3</c:v>
                </c:pt>
                <c:pt idx="26">
                  <c:v>1.8809488069454188E-3</c:v>
                </c:pt>
                <c:pt idx="27">
                  <c:v>1.3571015007765807E-3</c:v>
                </c:pt>
                <c:pt idx="28">
                  <c:v>1.122748758543153E-3</c:v>
                </c:pt>
                <c:pt idx="29">
                  <c:v>1.0430994605291777E-3</c:v>
                </c:pt>
                <c:pt idx="30">
                  <c:v>7.3062913755127419E-4</c:v>
                </c:pt>
                <c:pt idx="31">
                  <c:v>7.5360489659376717E-4</c:v>
                </c:pt>
                <c:pt idx="32">
                  <c:v>5.3150589251633573E-4</c:v>
                </c:pt>
                <c:pt idx="33">
                  <c:v>4.6870548446685518E-4</c:v>
                </c:pt>
                <c:pt idx="34">
                  <c:v>2.527333494674219E-4</c:v>
                </c:pt>
                <c:pt idx="35">
                  <c:v>2.7724082577941435E-4</c:v>
                </c:pt>
                <c:pt idx="36">
                  <c:v>2.6651880489291765E-4</c:v>
                </c:pt>
                <c:pt idx="37">
                  <c:v>2.1597213499943327E-4</c:v>
                </c:pt>
                <c:pt idx="38">
                  <c:v>1.7921092053144462E-4</c:v>
                </c:pt>
                <c:pt idx="39">
                  <c:v>2.0678183138243611E-4</c:v>
                </c:pt>
                <c:pt idx="40">
                  <c:v>1.7614748599244557E-4</c:v>
                </c:pt>
                <c:pt idx="41">
                  <c:v>1.5317172694995267E-4</c:v>
                </c:pt>
                <c:pt idx="42">
                  <c:v>1.2406909882946166E-4</c:v>
                </c:pt>
                <c:pt idx="43">
                  <c:v>1.1641051248196403E-4</c:v>
                </c:pt>
                <c:pt idx="44">
                  <c:v>1.3938627152445694E-4</c:v>
                </c:pt>
                <c:pt idx="45">
                  <c:v>1.0262505705646829E-4</c:v>
                </c:pt>
                <c:pt idx="46">
                  <c:v>8.4244449822473962E-5</c:v>
                </c:pt>
                <c:pt idx="47">
                  <c:v>6.2800408049480593E-5</c:v>
                </c:pt>
                <c:pt idx="48">
                  <c:v>8.2712732552974447E-5</c:v>
                </c:pt>
                <c:pt idx="49">
                  <c:v>6.8927277127478706E-5</c:v>
                </c:pt>
                <c:pt idx="50">
                  <c:v>3.8292931737488167E-5</c:v>
                </c:pt>
                <c:pt idx="51">
                  <c:v>3.8292931737488167E-5</c:v>
                </c:pt>
                <c:pt idx="52">
                  <c:v>4.1356366276487224E-5</c:v>
                </c:pt>
                <c:pt idx="53">
                  <c:v>1.2253738155996213E-5</c:v>
                </c:pt>
                <c:pt idx="54">
                  <c:v>1.8380607233994319E-5</c:v>
                </c:pt>
                <c:pt idx="55">
                  <c:v>1.2253738155996213E-5</c:v>
                </c:pt>
                <c:pt idx="56">
                  <c:v>1.378545542549574E-5</c:v>
                </c:pt>
                <c:pt idx="57">
                  <c:v>1.2253738155996213E-5</c:v>
                </c:pt>
                <c:pt idx="58">
                  <c:v>1.5317172694995266E-6</c:v>
                </c:pt>
                <c:pt idx="59">
                  <c:v>9.1903036169971597E-6</c:v>
                </c:pt>
                <c:pt idx="60">
                  <c:v>7.6585863474976331E-6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04-473D-BDA1-D8169557D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726992"/>
        <c:axId val="124726600"/>
      </c:lineChart>
      <c:catAx>
        <c:axId val="124726992"/>
        <c:scaling>
          <c:orientation val="minMax"/>
        </c:scaling>
        <c:delete val="0"/>
        <c:axPos val="b"/>
        <c:majorTickMark val="none"/>
        <c:minorTickMark val="none"/>
        <c:tickLblPos val="nextTo"/>
        <c:crossAx val="124726600"/>
        <c:crosses val="autoZero"/>
        <c:auto val="1"/>
        <c:lblAlgn val="ctr"/>
        <c:lblOffset val="100"/>
        <c:tickLblSkip val="10"/>
        <c:noMultiLvlLbl val="0"/>
      </c:catAx>
      <c:valAx>
        <c:axId val="12472660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472699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TDFD_Home!$C$10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TDFD_Home!$C$11:$C$71</c:f>
              <c:numCache>
                <c:formatCode>0.00%</c:formatCode>
                <c:ptCount val="61"/>
                <c:pt idx="0">
                  <c:v>9.7667443553309981E-3</c:v>
                </c:pt>
                <c:pt idx="1">
                  <c:v>2.7826725967537751E-2</c:v>
                </c:pt>
                <c:pt idx="2">
                  <c:v>4.0718366462372549E-2</c:v>
                </c:pt>
                <c:pt idx="3">
                  <c:v>6.0300928863323423E-2</c:v>
                </c:pt>
                <c:pt idx="4">
                  <c:v>4.5783821117422359E-2</c:v>
                </c:pt>
                <c:pt idx="5">
                  <c:v>6.2719274397129599E-2</c:v>
                </c:pt>
                <c:pt idx="6">
                  <c:v>6.9505345642036365E-2</c:v>
                </c:pt>
                <c:pt idx="7">
                  <c:v>7.8095737953513322E-2</c:v>
                </c:pt>
                <c:pt idx="8">
                  <c:v>7.1736604897113476E-2</c:v>
                </c:pt>
                <c:pt idx="9">
                  <c:v>4.5554391890384689E-2</c:v>
                </c:pt>
                <c:pt idx="10">
                  <c:v>5.686975770427135E-2</c:v>
                </c:pt>
                <c:pt idx="11">
                  <c:v>4.4713231517041867E-2</c:v>
                </c:pt>
                <c:pt idx="12">
                  <c:v>2.5333464307065602E-2</c:v>
                </c:pt>
                <c:pt idx="13">
                  <c:v>2.3878473092776707E-2</c:v>
                </c:pt>
                <c:pt idx="14">
                  <c:v>2.5995037031112233E-2</c:v>
                </c:pt>
                <c:pt idx="15">
                  <c:v>1.9771054324334614E-2</c:v>
                </c:pt>
                <c:pt idx="16">
                  <c:v>1.5357778902609141E-2</c:v>
                </c:pt>
                <c:pt idx="17">
                  <c:v>2.1950706027244003E-2</c:v>
                </c:pt>
                <c:pt idx="18">
                  <c:v>1.5657558872628655E-2</c:v>
                </c:pt>
                <c:pt idx="19">
                  <c:v>7.9492806514676138E-3</c:v>
                </c:pt>
                <c:pt idx="20">
                  <c:v>1.8727764660805887E-2</c:v>
                </c:pt>
                <c:pt idx="21">
                  <c:v>6.7086382867537027E-3</c:v>
                </c:pt>
                <c:pt idx="22">
                  <c:v>1.8559197946599677E-2</c:v>
                </c:pt>
                <c:pt idx="23">
                  <c:v>1.5948290580664395E-2</c:v>
                </c:pt>
                <c:pt idx="24">
                  <c:v>6.9329628806580673E-3</c:v>
                </c:pt>
                <c:pt idx="25">
                  <c:v>8.8696062882116389E-3</c:v>
                </c:pt>
                <c:pt idx="26">
                  <c:v>5.0504756152140815E-3</c:v>
                </c:pt>
                <c:pt idx="27">
                  <c:v>5.5265303001115519E-3</c:v>
                </c:pt>
                <c:pt idx="28">
                  <c:v>8.9962454935485821E-3</c:v>
                </c:pt>
                <c:pt idx="29">
                  <c:v>4.5888253187580568E-3</c:v>
                </c:pt>
                <c:pt idx="30">
                  <c:v>5.7029120775322585E-3</c:v>
                </c:pt>
                <c:pt idx="31">
                  <c:v>6.891740041636253E-3</c:v>
                </c:pt>
                <c:pt idx="32">
                  <c:v>8.9795851567391755E-3</c:v>
                </c:pt>
                <c:pt idx="33">
                  <c:v>5.9159754500131174E-3</c:v>
                </c:pt>
                <c:pt idx="34">
                  <c:v>4.4193312175591594E-3</c:v>
                </c:pt>
                <c:pt idx="35">
                  <c:v>9.6758051605174891E-3</c:v>
                </c:pt>
                <c:pt idx="36">
                  <c:v>7.1938103887978968E-3</c:v>
                </c:pt>
                <c:pt idx="37">
                  <c:v>5.1933942514696832E-3</c:v>
                </c:pt>
                <c:pt idx="38">
                  <c:v>8.5975027513917578E-3</c:v>
                </c:pt>
                <c:pt idx="39">
                  <c:v>3.4326151322174735E-3</c:v>
                </c:pt>
                <c:pt idx="40">
                  <c:v>5.2414186018355288E-3</c:v>
                </c:pt>
                <c:pt idx="41">
                  <c:v>2.9052475482574331E-3</c:v>
                </c:pt>
                <c:pt idx="42">
                  <c:v>4.0478057417312526E-3</c:v>
                </c:pt>
                <c:pt idx="43">
                  <c:v>2.184505371661928E-3</c:v>
                </c:pt>
                <c:pt idx="44">
                  <c:v>5.4488243699304046E-3</c:v>
                </c:pt>
                <c:pt idx="45">
                  <c:v>6.9936814063927422E-3</c:v>
                </c:pt>
                <c:pt idx="46">
                  <c:v>5.2337032788908854E-3</c:v>
                </c:pt>
                <c:pt idx="47">
                  <c:v>5.0092416314087241E-3</c:v>
                </c:pt>
                <c:pt idx="48">
                  <c:v>5.5391920833065562E-3</c:v>
                </c:pt>
                <c:pt idx="49">
                  <c:v>1.7418103839299717E-3</c:v>
                </c:pt>
                <c:pt idx="50">
                  <c:v>1.1540633045585755E-3</c:v>
                </c:pt>
                <c:pt idx="51">
                  <c:v>3.2051024094959749E-3</c:v>
                </c:pt>
                <c:pt idx="52">
                  <c:v>2.4005067409415201E-3</c:v>
                </c:pt>
                <c:pt idx="53">
                  <c:v>1.9890916360948601E-3</c:v>
                </c:pt>
                <c:pt idx="54">
                  <c:v>2.0764966310839504E-3</c:v>
                </c:pt>
                <c:pt idx="55">
                  <c:v>1.5920452623907001E-4</c:v>
                </c:pt>
                <c:pt idx="56">
                  <c:v>4.6390236119323502E-4</c:v>
                </c:pt>
                <c:pt idx="57">
                  <c:v>1.4307983493585894E-3</c:v>
                </c:pt>
                <c:pt idx="58">
                  <c:v>1.7156821035688695E-3</c:v>
                </c:pt>
                <c:pt idx="59">
                  <c:v>0</c:v>
                </c:pt>
                <c:pt idx="60">
                  <c:v>1.1930782159948583E-3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FD-450C-93FC-33AF84977CF4}"/>
            </c:ext>
          </c:extLst>
        </c:ser>
        <c:ser>
          <c:idx val="1"/>
          <c:order val="1"/>
          <c:tx>
            <c:strRef>
              <c:f>TDFD_Home!$G$10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TDFD_Home!$G$11:$G$71</c:f>
              <c:numCache>
                <c:formatCode>0.00%</c:formatCode>
                <c:ptCount val="61"/>
                <c:pt idx="0">
                  <c:v>2.1620563839054628E-3</c:v>
                </c:pt>
                <c:pt idx="1">
                  <c:v>1.1748751162565598E-2</c:v>
                </c:pt>
                <c:pt idx="2">
                  <c:v>2.1085047197007E-2</c:v>
                </c:pt>
                <c:pt idx="3">
                  <c:v>3.3337752134701901E-2</c:v>
                </c:pt>
                <c:pt idx="4">
                  <c:v>4.0159539771316505E-2</c:v>
                </c:pt>
                <c:pt idx="5">
                  <c:v>4.094966353983865E-2</c:v>
                </c:pt>
                <c:pt idx="6">
                  <c:v>4.1072758720820127E-2</c:v>
                </c:pt>
                <c:pt idx="7">
                  <c:v>4.2949697206896696E-2</c:v>
                </c:pt>
                <c:pt idx="8">
                  <c:v>4.1452565219404006E-2</c:v>
                </c:pt>
                <c:pt idx="9">
                  <c:v>3.7861763059662233E-2</c:v>
                </c:pt>
                <c:pt idx="10">
                  <c:v>3.6154211959380692E-2</c:v>
                </c:pt>
                <c:pt idx="11">
                  <c:v>3.2746474427765224E-2</c:v>
                </c:pt>
                <c:pt idx="12">
                  <c:v>2.9218798001860107E-2</c:v>
                </c:pt>
                <c:pt idx="13">
                  <c:v>2.5177698940750188E-2</c:v>
                </c:pt>
                <c:pt idx="14">
                  <c:v>2.095984782489763E-2</c:v>
                </c:pt>
                <c:pt idx="15">
                  <c:v>2.4670588878929051E-2</c:v>
                </c:pt>
                <c:pt idx="16">
                  <c:v>2.4742131377277262E-2</c:v>
                </c:pt>
                <c:pt idx="17">
                  <c:v>2.5431253971660753E-2</c:v>
                </c:pt>
                <c:pt idx="18">
                  <c:v>2.4398096127867485E-2</c:v>
                </c:pt>
                <c:pt idx="19">
                  <c:v>2.4000404004696555E-2</c:v>
                </c:pt>
                <c:pt idx="20">
                  <c:v>2.1623720125746461E-2</c:v>
                </c:pt>
                <c:pt idx="21">
                  <c:v>2.2904120427066632E-2</c:v>
                </c:pt>
                <c:pt idx="22">
                  <c:v>2.3357573615126609E-2</c:v>
                </c:pt>
                <c:pt idx="23">
                  <c:v>2.3631118461752119E-2</c:v>
                </c:pt>
                <c:pt idx="24">
                  <c:v>2.0577937135185864E-2</c:v>
                </c:pt>
                <c:pt idx="25">
                  <c:v>2.1101880726030108E-2</c:v>
                </c:pt>
                <c:pt idx="26">
                  <c:v>1.950585175552666E-2</c:v>
                </c:pt>
                <c:pt idx="27">
                  <c:v>1.8739926184975234E-2</c:v>
                </c:pt>
                <c:pt idx="28">
                  <c:v>2.015289052735238E-2</c:v>
                </c:pt>
                <c:pt idx="29">
                  <c:v>1.7922447931790542E-2</c:v>
                </c:pt>
                <c:pt idx="30">
                  <c:v>1.5600473022165549E-2</c:v>
                </c:pt>
                <c:pt idx="31">
                  <c:v>1.4983945021694211E-2</c:v>
                </c:pt>
                <c:pt idx="32">
                  <c:v>1.4077038645574256E-2</c:v>
                </c:pt>
                <c:pt idx="33">
                  <c:v>1.3264820870209283E-2</c:v>
                </c:pt>
                <c:pt idx="34">
                  <c:v>1.1993889428964611E-2</c:v>
                </c:pt>
                <c:pt idx="35">
                  <c:v>1.1176411175779919E-2</c:v>
                </c:pt>
                <c:pt idx="36">
                  <c:v>9.7455612088157197E-3</c:v>
                </c:pt>
                <c:pt idx="37">
                  <c:v>8.2905130438808011E-3</c:v>
                </c:pt>
                <c:pt idx="38">
                  <c:v>8.0369580129702346E-3</c:v>
                </c:pt>
                <c:pt idx="39">
                  <c:v>6.9511953909797532E-3</c:v>
                </c:pt>
                <c:pt idx="40">
                  <c:v>6.828100209998275E-3</c:v>
                </c:pt>
                <c:pt idx="41">
                  <c:v>6.1400297111787261E-3</c:v>
                </c:pt>
                <c:pt idx="42">
                  <c:v>5.676055567479305E-3</c:v>
                </c:pt>
                <c:pt idx="43">
                  <c:v>5.2415400995703245E-3</c:v>
                </c:pt>
                <c:pt idx="44">
                  <c:v>4.7302216554934119E-3</c:v>
                </c:pt>
                <c:pt idx="45">
                  <c:v>4.4009157439788569E-3</c:v>
                </c:pt>
                <c:pt idx="46">
                  <c:v>3.8874931087740563E-3</c:v>
                </c:pt>
                <c:pt idx="47">
                  <c:v>3.814898514861902E-3</c:v>
                </c:pt>
                <c:pt idx="48">
                  <c:v>3.6160524532764362E-3</c:v>
                </c:pt>
                <c:pt idx="49">
                  <c:v>2.9711178725786019E-3</c:v>
                </c:pt>
                <c:pt idx="50">
                  <c:v>2.8027825823475198E-3</c:v>
                </c:pt>
                <c:pt idx="51">
                  <c:v>2.2441198378931157E-3</c:v>
                </c:pt>
                <c:pt idx="52">
                  <c:v>1.7328013938162031E-3</c:v>
                </c:pt>
                <c:pt idx="53">
                  <c:v>1.8474798102861279E-3</c:v>
                </c:pt>
                <c:pt idx="54">
                  <c:v>1.6307481241136096E-3</c:v>
                </c:pt>
                <c:pt idx="55">
                  <c:v>1.5981331616313373E-3</c:v>
                </c:pt>
                <c:pt idx="56">
                  <c:v>1.4718816939580256E-3</c:v>
                </c:pt>
                <c:pt idx="57">
                  <c:v>1.3014422125990548E-3</c:v>
                </c:pt>
                <c:pt idx="58">
                  <c:v>1.0773458574789266E-3</c:v>
                </c:pt>
                <c:pt idx="59">
                  <c:v>1.2277955231229563E-3</c:v>
                </c:pt>
                <c:pt idx="60">
                  <c:v>1.1530967380829135E-3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CFD-450C-93FC-33AF84977C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730912"/>
        <c:axId val="124730520"/>
      </c:lineChart>
      <c:catAx>
        <c:axId val="124730912"/>
        <c:scaling>
          <c:orientation val="minMax"/>
        </c:scaling>
        <c:delete val="0"/>
        <c:axPos val="b"/>
        <c:majorTickMark val="none"/>
        <c:minorTickMark val="none"/>
        <c:tickLblPos val="nextTo"/>
        <c:crossAx val="124730520"/>
        <c:crosses val="autoZero"/>
        <c:auto val="1"/>
        <c:lblAlgn val="ctr"/>
        <c:lblOffset val="100"/>
        <c:tickLblSkip val="10"/>
        <c:noMultiLvlLbl val="0"/>
      </c:catAx>
      <c:valAx>
        <c:axId val="12473052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473091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TLFD_Work!$C$10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TLFD_Work!$C$11:$C$71</c:f>
              <c:numCache>
                <c:formatCode>0.00%</c:formatCode>
                <c:ptCount val="61"/>
                <c:pt idx="0">
                  <c:v>8.3158478250500989E-2</c:v>
                </c:pt>
                <c:pt idx="1">
                  <c:v>9.7330644904119051E-2</c:v>
                </c:pt>
                <c:pt idx="2">
                  <c:v>7.6893376167124119E-2</c:v>
                </c:pt>
                <c:pt idx="3">
                  <c:v>8.1784151310776418E-2</c:v>
                </c:pt>
                <c:pt idx="4">
                  <c:v>7.3253902845880653E-2</c:v>
                </c:pt>
                <c:pt idx="5">
                  <c:v>5.748421611979028E-2</c:v>
                </c:pt>
                <c:pt idx="6">
                  <c:v>5.1165750241210992E-2</c:v>
                </c:pt>
                <c:pt idx="7">
                  <c:v>6.0551071757581239E-2</c:v>
                </c:pt>
                <c:pt idx="8">
                  <c:v>2.8986358274095483E-2</c:v>
                </c:pt>
                <c:pt idx="9">
                  <c:v>2.235665053385234E-2</c:v>
                </c:pt>
                <c:pt idx="10">
                  <c:v>3.2995455789998136E-2</c:v>
                </c:pt>
                <c:pt idx="11">
                  <c:v>5.832605086167536E-2</c:v>
                </c:pt>
                <c:pt idx="12">
                  <c:v>2.6880550762301232E-2</c:v>
                </c:pt>
                <c:pt idx="13">
                  <c:v>1.5912337232336937E-2</c:v>
                </c:pt>
                <c:pt idx="14">
                  <c:v>2.7806679102098546E-2</c:v>
                </c:pt>
                <c:pt idx="15">
                  <c:v>2.503970210686458E-2</c:v>
                </c:pt>
                <c:pt idx="16">
                  <c:v>2.471059227577839E-2</c:v>
                </c:pt>
                <c:pt idx="17">
                  <c:v>1.984036919808899E-2</c:v>
                </c:pt>
                <c:pt idx="18">
                  <c:v>4.0709735263209576E-2</c:v>
                </c:pt>
                <c:pt idx="19">
                  <c:v>1.1866240656636525E-2</c:v>
                </c:pt>
                <c:pt idx="20">
                  <c:v>1.356017674256455E-2</c:v>
                </c:pt>
                <c:pt idx="21">
                  <c:v>2.0876753834902499E-2</c:v>
                </c:pt>
                <c:pt idx="22">
                  <c:v>1.2745592195892917E-2</c:v>
                </c:pt>
                <c:pt idx="23">
                  <c:v>9.5367322031749101E-3</c:v>
                </c:pt>
                <c:pt idx="24">
                  <c:v>2.9987841247096428E-3</c:v>
                </c:pt>
                <c:pt idx="25">
                  <c:v>6.3817624104583817E-3</c:v>
                </c:pt>
                <c:pt idx="26">
                  <c:v>2.4243869234896872E-3</c:v>
                </c:pt>
                <c:pt idx="27">
                  <c:v>1.8959340373200248E-3</c:v>
                </c:pt>
                <c:pt idx="28">
                  <c:v>4.2726515737155759E-4</c:v>
                </c:pt>
                <c:pt idx="29">
                  <c:v>0</c:v>
                </c:pt>
                <c:pt idx="30">
                  <c:v>1.1270761555593593E-3</c:v>
                </c:pt>
                <c:pt idx="31">
                  <c:v>0</c:v>
                </c:pt>
                <c:pt idx="32">
                  <c:v>1.9807090711274028E-3</c:v>
                </c:pt>
                <c:pt idx="33">
                  <c:v>0</c:v>
                </c:pt>
                <c:pt idx="34">
                  <c:v>0</c:v>
                </c:pt>
                <c:pt idx="35">
                  <c:v>9.6076914379853709E-4</c:v>
                </c:pt>
                <c:pt idx="36">
                  <c:v>2.5832400631587362E-3</c:v>
                </c:pt>
                <c:pt idx="37">
                  <c:v>9.9943389538423928E-4</c:v>
                </c:pt>
                <c:pt idx="38">
                  <c:v>0</c:v>
                </c:pt>
                <c:pt idx="39">
                  <c:v>2.3181014517868943E-3</c:v>
                </c:pt>
                <c:pt idx="40">
                  <c:v>7.5423940482290401E-4</c:v>
                </c:pt>
                <c:pt idx="41">
                  <c:v>1.3767295305581121E-3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5C-4110-8124-C5D24C18B92B}"/>
            </c:ext>
          </c:extLst>
        </c:ser>
        <c:ser>
          <c:idx val="1"/>
          <c:order val="1"/>
          <c:tx>
            <c:strRef>
              <c:f>TLFD_Work!$G$10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TLFD_Work!$G$11:$G$71</c:f>
              <c:numCache>
                <c:formatCode>0.00%</c:formatCode>
                <c:ptCount val="61"/>
                <c:pt idx="0">
                  <c:v>7.4040318905687311E-2</c:v>
                </c:pt>
                <c:pt idx="1">
                  <c:v>6.8293725526569427E-2</c:v>
                </c:pt>
                <c:pt idx="2">
                  <c:v>5.7877268896210476E-2</c:v>
                </c:pt>
                <c:pt idx="3">
                  <c:v>6.0311001600980754E-2</c:v>
                </c:pt>
                <c:pt idx="4">
                  <c:v>5.3776015937218972E-2</c:v>
                </c:pt>
                <c:pt idx="5">
                  <c:v>4.8771438826001219E-2</c:v>
                </c:pt>
                <c:pt idx="6">
                  <c:v>3.6564464679622377E-2</c:v>
                </c:pt>
                <c:pt idx="7">
                  <c:v>3.4894928076847076E-2</c:v>
                </c:pt>
                <c:pt idx="8">
                  <c:v>4.2553019885229443E-2</c:v>
                </c:pt>
                <c:pt idx="9">
                  <c:v>3.0473075697757417E-2</c:v>
                </c:pt>
                <c:pt idx="10">
                  <c:v>3.4713456706980193E-2</c:v>
                </c:pt>
                <c:pt idx="11">
                  <c:v>3.9433728672073169E-2</c:v>
                </c:pt>
                <c:pt idx="12">
                  <c:v>4.2077161626467401E-2</c:v>
                </c:pt>
                <c:pt idx="13">
                  <c:v>3.9988224524444192E-2</c:v>
                </c:pt>
                <c:pt idx="14">
                  <c:v>3.9203864936908452E-2</c:v>
                </c:pt>
                <c:pt idx="15">
                  <c:v>3.9435745020627244E-2</c:v>
                </c:pt>
                <c:pt idx="16">
                  <c:v>3.462473737060083E-2</c:v>
                </c:pt>
                <c:pt idx="17">
                  <c:v>2.9636291047815691E-2</c:v>
                </c:pt>
                <c:pt idx="18">
                  <c:v>2.2790787706726136E-2</c:v>
                </c:pt>
                <c:pt idx="19">
                  <c:v>2.4240542317107105E-2</c:v>
                </c:pt>
                <c:pt idx="20">
                  <c:v>2.02078452089542E-2</c:v>
                </c:pt>
                <c:pt idx="21">
                  <c:v>1.5842450589378682E-2</c:v>
                </c:pt>
                <c:pt idx="22">
                  <c:v>1.5876728514797982E-2</c:v>
                </c:pt>
                <c:pt idx="23">
                  <c:v>1.3092151161618402E-2</c:v>
                </c:pt>
                <c:pt idx="24">
                  <c:v>9.9950397825569713E-3</c:v>
                </c:pt>
                <c:pt idx="25">
                  <c:v>9.0937319788847986E-3</c:v>
                </c:pt>
                <c:pt idx="26">
                  <c:v>7.2165114750396215E-3</c:v>
                </c:pt>
                <c:pt idx="27">
                  <c:v>5.9179830062143866E-3</c:v>
                </c:pt>
                <c:pt idx="28">
                  <c:v>4.5287188524557112E-3</c:v>
                </c:pt>
                <c:pt idx="29">
                  <c:v>5.5469748722643195E-3</c:v>
                </c:pt>
                <c:pt idx="30">
                  <c:v>4.0387461538151327E-3</c:v>
                </c:pt>
                <c:pt idx="31">
                  <c:v>3.9601085602061518E-3</c:v>
                </c:pt>
                <c:pt idx="32">
                  <c:v>3.2039778524274821E-3</c:v>
                </c:pt>
                <c:pt idx="33">
                  <c:v>2.8007081416121914E-3</c:v>
                </c:pt>
                <c:pt idx="34">
                  <c:v>2.2643594262278556E-3</c:v>
                </c:pt>
                <c:pt idx="35">
                  <c:v>2.3167844886338431E-3</c:v>
                </c:pt>
                <c:pt idx="36">
                  <c:v>2.8007081416121914E-3</c:v>
                </c:pt>
                <c:pt idx="37">
                  <c:v>2.2966210030930787E-3</c:v>
                </c:pt>
                <c:pt idx="38">
                  <c:v>2.8773293866670969E-3</c:v>
                </c:pt>
                <c:pt idx="39">
                  <c:v>2.3752585967020605E-3</c:v>
                </c:pt>
                <c:pt idx="40">
                  <c:v>1.6493731172345376E-3</c:v>
                </c:pt>
                <c:pt idx="41">
                  <c:v>1.1614167671480363E-3</c:v>
                </c:pt>
                <c:pt idx="42">
                  <c:v>9.1945494065886211E-4</c:v>
                </c:pt>
                <c:pt idx="43">
                  <c:v>8.8517701523956234E-4</c:v>
                </c:pt>
                <c:pt idx="44">
                  <c:v>7.1983643380529329E-4</c:v>
                </c:pt>
                <c:pt idx="45">
                  <c:v>9.9809253426784363E-4</c:v>
                </c:pt>
                <c:pt idx="46">
                  <c:v>6.2910074887185293E-4</c:v>
                </c:pt>
                <c:pt idx="47">
                  <c:v>6.8757485694007005E-4</c:v>
                </c:pt>
                <c:pt idx="48">
                  <c:v>3.9117161949083168E-4</c:v>
                </c:pt>
                <c:pt idx="49">
                  <c:v>3.8108987672044942E-4</c:v>
                </c:pt>
                <c:pt idx="50">
                  <c:v>2.8632149467885617E-4</c:v>
                </c:pt>
                <c:pt idx="51">
                  <c:v>2.843051461247797E-4</c:v>
                </c:pt>
                <c:pt idx="52">
                  <c:v>2.2179834094840972E-4</c:v>
                </c:pt>
                <c:pt idx="53">
                  <c:v>1.1089917047420486E-4</c:v>
                </c:pt>
                <c:pt idx="54">
                  <c:v>1.3307900456904583E-4</c:v>
                </c:pt>
                <c:pt idx="55">
                  <c:v>7.4604896500828725E-5</c:v>
                </c:pt>
                <c:pt idx="56">
                  <c:v>1.088828219201284E-4</c:v>
                </c:pt>
                <c:pt idx="57">
                  <c:v>7.6621245054905171E-5</c:v>
                </c:pt>
                <c:pt idx="58">
                  <c:v>5.4441410960064199E-5</c:v>
                </c:pt>
                <c:pt idx="59">
                  <c:v>5.4441410960064199E-5</c:v>
                </c:pt>
                <c:pt idx="60">
                  <c:v>5.0408713851911294E-5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5C-4110-8124-C5D24C18B9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728952"/>
        <c:axId val="124729344"/>
      </c:lineChart>
      <c:catAx>
        <c:axId val="124728952"/>
        <c:scaling>
          <c:orientation val="minMax"/>
        </c:scaling>
        <c:delete val="0"/>
        <c:axPos val="b"/>
        <c:majorTickMark val="none"/>
        <c:minorTickMark val="none"/>
        <c:tickLblPos val="nextTo"/>
        <c:crossAx val="124729344"/>
        <c:crosses val="autoZero"/>
        <c:auto val="1"/>
        <c:lblAlgn val="ctr"/>
        <c:lblOffset val="100"/>
        <c:tickLblSkip val="10"/>
        <c:noMultiLvlLbl val="0"/>
      </c:catAx>
      <c:valAx>
        <c:axId val="124729344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472895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TDFD_Work!$C$10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TDFD_Work!$C$11:$C$71</c:f>
              <c:numCache>
                <c:formatCode>0.00%</c:formatCode>
                <c:ptCount val="61"/>
                <c:pt idx="0">
                  <c:v>4.4698956554603342E-3</c:v>
                </c:pt>
                <c:pt idx="1">
                  <c:v>1.7851703069814008E-3</c:v>
                </c:pt>
                <c:pt idx="2">
                  <c:v>1.7843725997369147E-2</c:v>
                </c:pt>
                <c:pt idx="3">
                  <c:v>8.7445705020392402E-3</c:v>
                </c:pt>
                <c:pt idx="4">
                  <c:v>1.9602379777461747E-2</c:v>
                </c:pt>
                <c:pt idx="5">
                  <c:v>4.2381018088582599E-2</c:v>
                </c:pt>
                <c:pt idx="6">
                  <c:v>5.6763785739116106E-2</c:v>
                </c:pt>
                <c:pt idx="7">
                  <c:v>5.5594312991840124E-2</c:v>
                </c:pt>
                <c:pt idx="8">
                  <c:v>3.3011576582905468E-2</c:v>
                </c:pt>
                <c:pt idx="9">
                  <c:v>2.6554536781981431E-2</c:v>
                </c:pt>
                <c:pt idx="10">
                  <c:v>3.2414333989553235E-2</c:v>
                </c:pt>
                <c:pt idx="11">
                  <c:v>2.9567968334262857E-2</c:v>
                </c:pt>
                <c:pt idx="12">
                  <c:v>1.9594802409577044E-2</c:v>
                </c:pt>
                <c:pt idx="13">
                  <c:v>2.7464750486752173E-2</c:v>
                </c:pt>
                <c:pt idx="14">
                  <c:v>1.9836965295240167E-2</c:v>
                </c:pt>
                <c:pt idx="15">
                  <c:v>3.663390073261371E-2</c:v>
                </c:pt>
                <c:pt idx="16">
                  <c:v>1.8671839689468842E-2</c:v>
                </c:pt>
                <c:pt idx="17">
                  <c:v>1.4272778010316805E-2</c:v>
                </c:pt>
                <c:pt idx="18">
                  <c:v>2.6603954610950338E-2</c:v>
                </c:pt>
                <c:pt idx="19">
                  <c:v>3.0668778432063164E-2</c:v>
                </c:pt>
                <c:pt idx="20">
                  <c:v>2.9521227509345629E-2</c:v>
                </c:pt>
                <c:pt idx="21">
                  <c:v>2.6775830274118978E-2</c:v>
                </c:pt>
                <c:pt idx="22">
                  <c:v>1.7122796745665986E-2</c:v>
                </c:pt>
                <c:pt idx="23">
                  <c:v>1.4875656244274444E-2</c:v>
                </c:pt>
                <c:pt idx="24">
                  <c:v>1.6455716650126267E-2</c:v>
                </c:pt>
                <c:pt idx="25">
                  <c:v>1.472846103831112E-2</c:v>
                </c:pt>
                <c:pt idx="26">
                  <c:v>8.1028327110293404E-3</c:v>
                </c:pt>
                <c:pt idx="27">
                  <c:v>1.8662068564867993E-2</c:v>
                </c:pt>
                <c:pt idx="28">
                  <c:v>1.158225623211067E-2</c:v>
                </c:pt>
                <c:pt idx="29">
                  <c:v>1.3503458370655952E-2</c:v>
                </c:pt>
                <c:pt idx="30">
                  <c:v>1.1030848794999748E-2</c:v>
                </c:pt>
                <c:pt idx="31">
                  <c:v>8.5135856151028547E-3</c:v>
                </c:pt>
                <c:pt idx="32">
                  <c:v>1.0896070034871426E-2</c:v>
                </c:pt>
                <c:pt idx="33">
                  <c:v>1.4377560478025957E-2</c:v>
                </c:pt>
                <c:pt idx="34">
                  <c:v>1.3747465120621331E-2</c:v>
                </c:pt>
                <c:pt idx="35">
                  <c:v>1.1969617391131492E-2</c:v>
                </c:pt>
                <c:pt idx="36">
                  <c:v>2.3152552799450287E-2</c:v>
                </c:pt>
                <c:pt idx="37">
                  <c:v>1.4325434533986577E-2</c:v>
                </c:pt>
                <c:pt idx="38">
                  <c:v>1.4498026172155553E-2</c:v>
                </c:pt>
                <c:pt idx="39">
                  <c:v>6.6157958812223432E-3</c:v>
                </c:pt>
                <c:pt idx="40">
                  <c:v>1.3289625656268029E-2</c:v>
                </c:pt>
                <c:pt idx="41">
                  <c:v>3.4435562799798716E-2</c:v>
                </c:pt>
                <c:pt idx="42">
                  <c:v>1.2402884529889991E-2</c:v>
                </c:pt>
                <c:pt idx="43">
                  <c:v>6.8160533608829848E-3</c:v>
                </c:pt>
                <c:pt idx="44">
                  <c:v>6.1846918545390185E-3</c:v>
                </c:pt>
                <c:pt idx="45">
                  <c:v>3.3056969114901528E-3</c:v>
                </c:pt>
                <c:pt idx="46">
                  <c:v>3.1668521662849029E-3</c:v>
                </c:pt>
                <c:pt idx="47">
                  <c:v>1.7166015127919064E-2</c:v>
                </c:pt>
                <c:pt idx="48">
                  <c:v>9.5597290497046929E-3</c:v>
                </c:pt>
                <c:pt idx="49">
                  <c:v>2.8124193031987062E-3</c:v>
                </c:pt>
                <c:pt idx="50">
                  <c:v>2.7559453087512213E-3</c:v>
                </c:pt>
                <c:pt idx="51">
                  <c:v>4.1361286738566677E-3</c:v>
                </c:pt>
                <c:pt idx="52">
                  <c:v>4.1339003405980951E-3</c:v>
                </c:pt>
                <c:pt idx="53">
                  <c:v>9.5732810662386737E-3</c:v>
                </c:pt>
                <c:pt idx="54">
                  <c:v>3.0595027093879941E-3</c:v>
                </c:pt>
                <c:pt idx="55">
                  <c:v>6.6685533067808748E-3</c:v>
                </c:pt>
                <c:pt idx="56">
                  <c:v>7.8865380056226063E-4</c:v>
                </c:pt>
                <c:pt idx="57">
                  <c:v>3.3240574915022027E-3</c:v>
                </c:pt>
                <c:pt idx="58">
                  <c:v>2.3643141886503438E-3</c:v>
                </c:pt>
                <c:pt idx="59">
                  <c:v>4.9383049385887871E-4</c:v>
                </c:pt>
                <c:pt idx="60">
                  <c:v>5.4585119542581986E-3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93-4F4C-9562-5331C5D0CEC7}"/>
            </c:ext>
          </c:extLst>
        </c:ser>
        <c:ser>
          <c:idx val="1"/>
          <c:order val="1"/>
          <c:tx>
            <c:strRef>
              <c:f>TDFD_Work!$G$10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TDFD_Work!$G$11:$G$71</c:f>
              <c:numCache>
                <c:formatCode>0.00%</c:formatCode>
                <c:ptCount val="61"/>
                <c:pt idx="0">
                  <c:v>5.2021792695172459E-4</c:v>
                </c:pt>
                <c:pt idx="1">
                  <c:v>6.0994543760812666E-3</c:v>
                </c:pt>
                <c:pt idx="2">
                  <c:v>1.307602037318579E-2</c:v>
                </c:pt>
                <c:pt idx="3">
                  <c:v>2.3647735842208629E-2</c:v>
                </c:pt>
                <c:pt idx="4">
                  <c:v>3.0866263665802324E-2</c:v>
                </c:pt>
                <c:pt idx="5">
                  <c:v>2.9940759679481233E-2</c:v>
                </c:pt>
                <c:pt idx="6">
                  <c:v>2.9729043081303207E-2</c:v>
                </c:pt>
                <c:pt idx="7">
                  <c:v>3.1713130058514435E-2</c:v>
                </c:pt>
                <c:pt idx="8">
                  <c:v>3.0622285490759075E-2</c:v>
                </c:pt>
                <c:pt idx="9">
                  <c:v>2.9140269303512881E-2</c:v>
                </c:pt>
                <c:pt idx="10">
                  <c:v>2.8585773451141858E-2</c:v>
                </c:pt>
                <c:pt idx="11">
                  <c:v>2.4942231613925711E-2</c:v>
                </c:pt>
                <c:pt idx="12">
                  <c:v>2.2756509781306836E-2</c:v>
                </c:pt>
                <c:pt idx="13">
                  <c:v>2.1099071269855992E-2</c:v>
                </c:pt>
                <c:pt idx="14">
                  <c:v>1.7356728353490097E-2</c:v>
                </c:pt>
                <c:pt idx="15">
                  <c:v>1.5977545942501805E-2</c:v>
                </c:pt>
                <c:pt idx="16">
                  <c:v>1.7435365947099081E-2</c:v>
                </c:pt>
                <c:pt idx="17">
                  <c:v>1.7497872752275448E-2</c:v>
                </c:pt>
                <c:pt idx="18">
                  <c:v>1.71510608009743E-2</c:v>
                </c:pt>
                <c:pt idx="19">
                  <c:v>1.6822395986659838E-2</c:v>
                </c:pt>
                <c:pt idx="20">
                  <c:v>1.7848717400684753E-2</c:v>
                </c:pt>
                <c:pt idx="21">
                  <c:v>1.928839026829534E-2</c:v>
                </c:pt>
                <c:pt idx="22">
                  <c:v>1.9582777157190499E-2</c:v>
                </c:pt>
                <c:pt idx="23">
                  <c:v>2.0667572679283631E-2</c:v>
                </c:pt>
                <c:pt idx="24">
                  <c:v>2.2657708702157088E-2</c:v>
                </c:pt>
                <c:pt idx="25">
                  <c:v>2.2770624221185372E-2</c:v>
                </c:pt>
                <c:pt idx="26">
                  <c:v>2.2641577913724478E-2</c:v>
                </c:pt>
                <c:pt idx="27">
                  <c:v>2.404495650736169E-2</c:v>
                </c:pt>
                <c:pt idx="28">
                  <c:v>2.4389752110108763E-2</c:v>
                </c:pt>
                <c:pt idx="29">
                  <c:v>2.3925991942671178E-2</c:v>
                </c:pt>
                <c:pt idx="30">
                  <c:v>2.2462122892411673E-2</c:v>
                </c:pt>
                <c:pt idx="31">
                  <c:v>2.3280760405366713E-2</c:v>
                </c:pt>
                <c:pt idx="32">
                  <c:v>2.2653676005048938E-2</c:v>
                </c:pt>
                <c:pt idx="33">
                  <c:v>2.1542667951752813E-2</c:v>
                </c:pt>
                <c:pt idx="34">
                  <c:v>2.1018417327692933E-2</c:v>
                </c:pt>
                <c:pt idx="35">
                  <c:v>1.9056510184576547E-2</c:v>
                </c:pt>
                <c:pt idx="36">
                  <c:v>1.8207627443310361E-2</c:v>
                </c:pt>
                <c:pt idx="37">
                  <c:v>1.5469426106874538E-2</c:v>
                </c:pt>
                <c:pt idx="38">
                  <c:v>1.5154875732438611E-2</c:v>
                </c:pt>
                <c:pt idx="39">
                  <c:v>1.4013622450831341E-2</c:v>
                </c:pt>
                <c:pt idx="40">
                  <c:v>1.2313840619744892E-2</c:v>
                </c:pt>
                <c:pt idx="41">
                  <c:v>1.1513350243776541E-2</c:v>
                </c:pt>
                <c:pt idx="42">
                  <c:v>1.132582982824743E-2</c:v>
                </c:pt>
                <c:pt idx="43">
                  <c:v>1.0261197791695063E-2</c:v>
                </c:pt>
                <c:pt idx="44">
                  <c:v>9.1239772071959446E-3</c:v>
                </c:pt>
                <c:pt idx="45">
                  <c:v>7.9968383654672077E-3</c:v>
                </c:pt>
                <c:pt idx="46">
                  <c:v>7.6964024309098171E-3</c:v>
                </c:pt>
                <c:pt idx="47">
                  <c:v>6.9039774491577712E-3</c:v>
                </c:pt>
                <c:pt idx="48">
                  <c:v>8.2004895694289294E-3</c:v>
                </c:pt>
                <c:pt idx="49">
                  <c:v>7.545176289354083E-3</c:v>
                </c:pt>
                <c:pt idx="50">
                  <c:v>6.2809257459481476E-3</c:v>
                </c:pt>
                <c:pt idx="51">
                  <c:v>5.1961302238550163E-3</c:v>
                </c:pt>
                <c:pt idx="52">
                  <c:v>3.9238142862327756E-3</c:v>
                </c:pt>
                <c:pt idx="53">
                  <c:v>3.7625064019066591E-3</c:v>
                </c:pt>
                <c:pt idx="54">
                  <c:v>3.6072475632427724E-3</c:v>
                </c:pt>
                <c:pt idx="55">
                  <c:v>3.3531876454291395E-3</c:v>
                </c:pt>
                <c:pt idx="56">
                  <c:v>2.8289370213692619E-3</c:v>
                </c:pt>
                <c:pt idx="57">
                  <c:v>2.8874111294374793E-3</c:v>
                </c:pt>
                <c:pt idx="58">
                  <c:v>2.5143866469333354E-3</c:v>
                </c:pt>
                <c:pt idx="59">
                  <c:v>1.8731878067370239E-3</c:v>
                </c:pt>
                <c:pt idx="60">
                  <c:v>2.0425610852794459E-3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93-4F4C-9562-5331C5D0CE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732872"/>
        <c:axId val="124732088"/>
      </c:lineChart>
      <c:catAx>
        <c:axId val="124732872"/>
        <c:scaling>
          <c:orientation val="minMax"/>
        </c:scaling>
        <c:delete val="0"/>
        <c:axPos val="b"/>
        <c:majorTickMark val="none"/>
        <c:minorTickMark val="none"/>
        <c:tickLblPos val="nextTo"/>
        <c:crossAx val="124732088"/>
        <c:crosses val="autoZero"/>
        <c:auto val="1"/>
        <c:lblAlgn val="ctr"/>
        <c:lblOffset val="100"/>
        <c:tickLblSkip val="10"/>
        <c:noMultiLvlLbl val="0"/>
      </c:catAx>
      <c:valAx>
        <c:axId val="124732088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473287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TLFD_School!$C$10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TLFD_School!$C$11:$C$71</c:f>
              <c:numCache>
                <c:formatCode>0.00%</c:formatCode>
                <c:ptCount val="61"/>
                <c:pt idx="0">
                  <c:v>0.20492417465086504</c:v>
                </c:pt>
                <c:pt idx="1">
                  <c:v>0.21016338157440542</c:v>
                </c:pt>
                <c:pt idx="2">
                  <c:v>8.6556202365378324E-2</c:v>
                </c:pt>
                <c:pt idx="3">
                  <c:v>8.8330489739957566E-2</c:v>
                </c:pt>
                <c:pt idx="4">
                  <c:v>5.7538104293342503E-2</c:v>
                </c:pt>
                <c:pt idx="5">
                  <c:v>0.11967842066260574</c:v>
                </c:pt>
                <c:pt idx="6">
                  <c:v>2.2438142263670604E-2</c:v>
                </c:pt>
                <c:pt idx="7">
                  <c:v>4.5785716303444787E-2</c:v>
                </c:pt>
                <c:pt idx="8">
                  <c:v>1.8755918888639363E-2</c:v>
                </c:pt>
                <c:pt idx="9">
                  <c:v>1.8230897197892459E-2</c:v>
                </c:pt>
                <c:pt idx="10">
                  <c:v>6.4863405524616096E-3</c:v>
                </c:pt>
                <c:pt idx="11">
                  <c:v>5.803248251045231E-3</c:v>
                </c:pt>
                <c:pt idx="12">
                  <c:v>6.558530588775288E-3</c:v>
                </c:pt>
                <c:pt idx="13">
                  <c:v>1.2099940517883738E-2</c:v>
                </c:pt>
                <c:pt idx="14">
                  <c:v>3.3267623086497217E-3</c:v>
                </c:pt>
                <c:pt idx="15">
                  <c:v>5.9005691375940746E-3</c:v>
                </c:pt>
                <c:pt idx="16">
                  <c:v>1.1122273108335365E-2</c:v>
                </c:pt>
                <c:pt idx="17">
                  <c:v>2.6291363288745435E-2</c:v>
                </c:pt>
                <c:pt idx="18">
                  <c:v>2.0777228379600179E-2</c:v>
                </c:pt>
                <c:pt idx="19">
                  <c:v>4.398194899416143E-5</c:v>
                </c:pt>
                <c:pt idx="20">
                  <c:v>2.0330790561170491E-3</c:v>
                </c:pt>
                <c:pt idx="21">
                  <c:v>2.664219459835619E-3</c:v>
                </c:pt>
                <c:pt idx="22">
                  <c:v>0</c:v>
                </c:pt>
                <c:pt idx="23">
                  <c:v>2.8615519143410585E-3</c:v>
                </c:pt>
                <c:pt idx="24">
                  <c:v>4.398194899416143E-5</c:v>
                </c:pt>
                <c:pt idx="25">
                  <c:v>5.1124149605683367E-3</c:v>
                </c:pt>
                <c:pt idx="26">
                  <c:v>0</c:v>
                </c:pt>
                <c:pt idx="27">
                  <c:v>0</c:v>
                </c:pt>
                <c:pt idx="28">
                  <c:v>1.6473066637857033E-2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20-4EF6-A577-43055DE1D26B}"/>
            </c:ext>
          </c:extLst>
        </c:ser>
        <c:ser>
          <c:idx val="1"/>
          <c:order val="1"/>
          <c:tx>
            <c:strRef>
              <c:f>TLFD_School!$G$10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TLFD_School!$G$11:$G$71</c:f>
              <c:numCache>
                <c:formatCode>0.00%</c:formatCode>
                <c:ptCount val="61"/>
                <c:pt idx="0">
                  <c:v>9.8378461591091801E-2</c:v>
                </c:pt>
                <c:pt idx="1">
                  <c:v>0.14782854112857705</c:v>
                </c:pt>
                <c:pt idx="2">
                  <c:v>0.12832902861638984</c:v>
                </c:pt>
                <c:pt idx="3">
                  <c:v>0.11862203444913877</c:v>
                </c:pt>
                <c:pt idx="4">
                  <c:v>9.153652737628927E-2</c:v>
                </c:pt>
                <c:pt idx="5">
                  <c:v>7.1626498811213926E-2</c:v>
                </c:pt>
                <c:pt idx="6">
                  <c:v>4.8902724800301042E-2</c:v>
                </c:pt>
                <c:pt idx="7">
                  <c:v>4.0452936045019927E-2</c:v>
                </c:pt>
                <c:pt idx="8">
                  <c:v>4.6063322101157995E-2</c:v>
                </c:pt>
                <c:pt idx="9">
                  <c:v>3.520175153515899E-2</c:v>
                </c:pt>
                <c:pt idx="10">
                  <c:v>2.5332261430306348E-2</c:v>
                </c:pt>
                <c:pt idx="11">
                  <c:v>2.3989531840651352E-2</c:v>
                </c:pt>
                <c:pt idx="12">
                  <c:v>2.1868532234062571E-2</c:v>
                </c:pt>
                <c:pt idx="13">
                  <c:v>2.1423806510100406E-2</c:v>
                </c:pt>
                <c:pt idx="14">
                  <c:v>1.4667396472982912E-2</c:v>
                </c:pt>
                <c:pt idx="15">
                  <c:v>1.3230590287874383E-2</c:v>
                </c:pt>
                <c:pt idx="16">
                  <c:v>7.9879581957819478E-3</c:v>
                </c:pt>
                <c:pt idx="17">
                  <c:v>7.9537485247079352E-3</c:v>
                </c:pt>
                <c:pt idx="18">
                  <c:v>4.9518498879633274E-3</c:v>
                </c:pt>
                <c:pt idx="19">
                  <c:v>4.7465918615192514E-3</c:v>
                </c:pt>
                <c:pt idx="20">
                  <c:v>3.3183380941792244E-3</c:v>
                </c:pt>
                <c:pt idx="21">
                  <c:v>6.0893214511742472E-3</c:v>
                </c:pt>
                <c:pt idx="22">
                  <c:v>2.7453261036895129E-3</c:v>
                </c:pt>
                <c:pt idx="23">
                  <c:v>2.5657253305509469E-3</c:v>
                </c:pt>
                <c:pt idx="24">
                  <c:v>1.7361408070061407E-3</c:v>
                </c:pt>
                <c:pt idx="25">
                  <c:v>1.479568273951046E-3</c:v>
                </c:pt>
                <c:pt idx="26">
                  <c:v>1.1289191454424165E-3</c:v>
                </c:pt>
                <c:pt idx="27">
                  <c:v>1.205890905358945E-3</c:v>
                </c:pt>
                <c:pt idx="28">
                  <c:v>7.5261276362827774E-4</c:v>
                </c:pt>
                <c:pt idx="29">
                  <c:v>7.9537485247079345E-4</c:v>
                </c:pt>
                <c:pt idx="30">
                  <c:v>7.5261276362827774E-4</c:v>
                </c:pt>
                <c:pt idx="31">
                  <c:v>6.4998375040623989E-4</c:v>
                </c:pt>
                <c:pt idx="32">
                  <c:v>1.2828626652754734E-4</c:v>
                </c:pt>
                <c:pt idx="33">
                  <c:v>9.6642320784085661E-4</c:v>
                </c:pt>
                <c:pt idx="34">
                  <c:v>1.8815319090706944E-4</c:v>
                </c:pt>
                <c:pt idx="35">
                  <c:v>1.2828626652754734E-4</c:v>
                </c:pt>
                <c:pt idx="36">
                  <c:v>3.5920154627713254E-4</c:v>
                </c:pt>
                <c:pt idx="37">
                  <c:v>5.6445957272120825E-4</c:v>
                </c:pt>
                <c:pt idx="38">
                  <c:v>9.4076595453534718E-5</c:v>
                </c:pt>
                <c:pt idx="39">
                  <c:v>3.0788703966611362E-4</c:v>
                </c:pt>
                <c:pt idx="40">
                  <c:v>2.7367736859210096E-4</c:v>
                </c:pt>
                <c:pt idx="41">
                  <c:v>5.9866924379522091E-5</c:v>
                </c:pt>
                <c:pt idx="42">
                  <c:v>1.0262901322203787E-4</c:v>
                </c:pt>
                <c:pt idx="43">
                  <c:v>7.6971759916528404E-5</c:v>
                </c:pt>
                <c:pt idx="44">
                  <c:v>2.5657253305509467E-5</c:v>
                </c:pt>
                <c:pt idx="45">
                  <c:v>2.5657253305509467E-5</c:v>
                </c:pt>
                <c:pt idx="46">
                  <c:v>8.5524177685031554E-5</c:v>
                </c:pt>
                <c:pt idx="47">
                  <c:v>8.5524177685031551E-6</c:v>
                </c:pt>
                <c:pt idx="48">
                  <c:v>1.710483553700631E-5</c:v>
                </c:pt>
                <c:pt idx="49">
                  <c:v>7.6971759916528404E-5</c:v>
                </c:pt>
                <c:pt idx="50">
                  <c:v>8.5524177685031551E-6</c:v>
                </c:pt>
                <c:pt idx="51">
                  <c:v>5.1314506611018934E-5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1.1973384875904418E-4</c:v>
                </c:pt>
                <c:pt idx="57">
                  <c:v>0</c:v>
                </c:pt>
                <c:pt idx="58">
                  <c:v>8.5524177685031551E-6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20-4EF6-A577-43055DE1D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733264"/>
        <c:axId val="124732480"/>
      </c:lineChart>
      <c:catAx>
        <c:axId val="124733264"/>
        <c:scaling>
          <c:orientation val="minMax"/>
        </c:scaling>
        <c:delete val="0"/>
        <c:axPos val="b"/>
        <c:majorTickMark val="none"/>
        <c:minorTickMark val="none"/>
        <c:tickLblPos val="nextTo"/>
        <c:crossAx val="124732480"/>
        <c:crosses val="autoZero"/>
        <c:auto val="1"/>
        <c:lblAlgn val="ctr"/>
        <c:lblOffset val="100"/>
        <c:tickLblSkip val="10"/>
        <c:noMultiLvlLbl val="0"/>
      </c:catAx>
      <c:valAx>
        <c:axId val="124732480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4733264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TDFD_School!$C$10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TDFD_School!$C$11:$C$71</c:f>
              <c:numCache>
                <c:formatCode>0.00%</c:formatCode>
                <c:ptCount val="61"/>
                <c:pt idx="0">
                  <c:v>0</c:v>
                </c:pt>
                <c:pt idx="1">
                  <c:v>6.4610578133194027E-2</c:v>
                </c:pt>
                <c:pt idx="2">
                  <c:v>5.6875047305553643E-2</c:v>
                </c:pt>
                <c:pt idx="3">
                  <c:v>0.1187717405190451</c:v>
                </c:pt>
                <c:pt idx="4">
                  <c:v>6.7011358250779529E-2</c:v>
                </c:pt>
                <c:pt idx="5">
                  <c:v>3.7233191190215419E-2</c:v>
                </c:pt>
                <c:pt idx="6">
                  <c:v>4.848296434908176E-2</c:v>
                </c:pt>
                <c:pt idx="7">
                  <c:v>9.3374611040314012E-2</c:v>
                </c:pt>
                <c:pt idx="8">
                  <c:v>1.6895010732925781E-2</c:v>
                </c:pt>
                <c:pt idx="9">
                  <c:v>5.9860328421896924E-2</c:v>
                </c:pt>
                <c:pt idx="10">
                  <c:v>4.351687605918305E-2</c:v>
                </c:pt>
                <c:pt idx="11">
                  <c:v>5.740098661505174E-2</c:v>
                </c:pt>
                <c:pt idx="12">
                  <c:v>7.6735252095090592E-2</c:v>
                </c:pt>
                <c:pt idx="13">
                  <c:v>1.4184314674794677E-2</c:v>
                </c:pt>
                <c:pt idx="14">
                  <c:v>3.2692410593683899E-2</c:v>
                </c:pt>
                <c:pt idx="15">
                  <c:v>1.308727164750755E-2</c:v>
                </c:pt>
                <c:pt idx="16">
                  <c:v>9.8858460449097133E-3</c:v>
                </c:pt>
                <c:pt idx="17">
                  <c:v>2.4891612974512228E-2</c:v>
                </c:pt>
                <c:pt idx="18">
                  <c:v>1.8014695143199311E-2</c:v>
                </c:pt>
                <c:pt idx="19">
                  <c:v>1.2028296353006646E-2</c:v>
                </c:pt>
                <c:pt idx="20">
                  <c:v>0</c:v>
                </c:pt>
                <c:pt idx="21">
                  <c:v>6.6535246172994443E-3</c:v>
                </c:pt>
                <c:pt idx="22">
                  <c:v>6.5395138312047563E-3</c:v>
                </c:pt>
                <c:pt idx="23">
                  <c:v>2.2589998461164384E-3</c:v>
                </c:pt>
                <c:pt idx="24">
                  <c:v>0</c:v>
                </c:pt>
                <c:pt idx="25">
                  <c:v>1.25457287537321E-2</c:v>
                </c:pt>
                <c:pt idx="26">
                  <c:v>1.2094734491268104E-2</c:v>
                </c:pt>
                <c:pt idx="27">
                  <c:v>4.918797560979687E-5</c:v>
                </c:pt>
                <c:pt idx="28">
                  <c:v>4.918797560979687E-5</c:v>
                </c:pt>
                <c:pt idx="29">
                  <c:v>2.4884807222737379E-4</c:v>
                </c:pt>
                <c:pt idx="30">
                  <c:v>1.0236125435294225E-4</c:v>
                </c:pt>
                <c:pt idx="31">
                  <c:v>2.8194347454260488E-2</c:v>
                </c:pt>
                <c:pt idx="32">
                  <c:v>5.1054483337818549E-3</c:v>
                </c:pt>
                <c:pt idx="33">
                  <c:v>1.406487676597807E-2</c:v>
                </c:pt>
                <c:pt idx="34">
                  <c:v>8.2902748723713299E-3</c:v>
                </c:pt>
                <c:pt idx="35">
                  <c:v>0</c:v>
                </c:pt>
                <c:pt idx="36">
                  <c:v>0</c:v>
                </c:pt>
                <c:pt idx="37">
                  <c:v>5.3173278743145374E-5</c:v>
                </c:pt>
                <c:pt idx="38">
                  <c:v>1.4453605387822793E-4</c:v>
                </c:pt>
                <c:pt idx="39">
                  <c:v>7.3258407137795321E-3</c:v>
                </c:pt>
                <c:pt idx="40">
                  <c:v>4.918797560979687E-5</c:v>
                </c:pt>
                <c:pt idx="41">
                  <c:v>0</c:v>
                </c:pt>
                <c:pt idx="42">
                  <c:v>2.7050561781559639E-3</c:v>
                </c:pt>
                <c:pt idx="43">
                  <c:v>0</c:v>
                </c:pt>
                <c:pt idx="44">
                  <c:v>2.0330790561170491E-3</c:v>
                </c:pt>
                <c:pt idx="45">
                  <c:v>0</c:v>
                </c:pt>
                <c:pt idx="46">
                  <c:v>1.7461517603691697E-2</c:v>
                </c:pt>
                <c:pt idx="47">
                  <c:v>0</c:v>
                </c:pt>
                <c:pt idx="48">
                  <c:v>0</c:v>
                </c:pt>
                <c:pt idx="49">
                  <c:v>1.8731009485063971E-3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5.1124149605683376E-3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AD-4595-BB53-F284F74F8C11}"/>
            </c:ext>
          </c:extLst>
        </c:ser>
        <c:ser>
          <c:idx val="1"/>
          <c:order val="1"/>
          <c:tx>
            <c:strRef>
              <c:f>TDFD_School!$G$10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TDFD_School!$G$11:$G$71</c:f>
              <c:numCache>
                <c:formatCode>0.00%</c:formatCode>
                <c:ptCount val="61"/>
                <c:pt idx="0">
                  <c:v>7.9537485247079345E-4</c:v>
                </c:pt>
                <c:pt idx="1">
                  <c:v>2.4648068008826095E-2</c:v>
                </c:pt>
                <c:pt idx="2">
                  <c:v>3.8357593691736656E-2</c:v>
                </c:pt>
                <c:pt idx="3">
                  <c:v>5.2109881463489729E-2</c:v>
                </c:pt>
                <c:pt idx="4">
                  <c:v>5.9815609872911069E-2</c:v>
                </c:pt>
                <c:pt idx="5">
                  <c:v>5.6719634640712932E-2</c:v>
                </c:pt>
                <c:pt idx="6">
                  <c:v>5.9789952619605562E-2</c:v>
                </c:pt>
                <c:pt idx="7">
                  <c:v>5.8566956878709608E-2</c:v>
                </c:pt>
                <c:pt idx="8">
                  <c:v>5.3786155346116346E-2</c:v>
                </c:pt>
                <c:pt idx="9">
                  <c:v>4.6054769683389493E-2</c:v>
                </c:pt>
                <c:pt idx="10">
                  <c:v>4.420744744539281E-2</c:v>
                </c:pt>
                <c:pt idx="11">
                  <c:v>3.1310401450490057E-2</c:v>
                </c:pt>
                <c:pt idx="12">
                  <c:v>3.4072832389716576E-2</c:v>
                </c:pt>
                <c:pt idx="13">
                  <c:v>2.298034654396798E-2</c:v>
                </c:pt>
                <c:pt idx="14">
                  <c:v>2.0867899355147702E-2</c:v>
                </c:pt>
                <c:pt idx="15">
                  <c:v>2.3570463369994698E-2</c:v>
                </c:pt>
                <c:pt idx="16">
                  <c:v>2.295468929066247E-2</c:v>
                </c:pt>
                <c:pt idx="17">
                  <c:v>2.5802644407574023E-2</c:v>
                </c:pt>
                <c:pt idx="18">
                  <c:v>2.3955322169577339E-2</c:v>
                </c:pt>
                <c:pt idx="19">
                  <c:v>1.639498486222055E-2</c:v>
                </c:pt>
                <c:pt idx="20">
                  <c:v>2.0662641328703626E-2</c:v>
                </c:pt>
                <c:pt idx="21">
                  <c:v>1.650616629321109E-2</c:v>
                </c:pt>
                <c:pt idx="22">
                  <c:v>2.0885004190684706E-2</c:v>
                </c:pt>
                <c:pt idx="23">
                  <c:v>1.8644270735336879E-2</c:v>
                </c:pt>
                <c:pt idx="24">
                  <c:v>1.7113387954774816E-2</c:v>
                </c:pt>
                <c:pt idx="25">
                  <c:v>1.7635085438653508E-2</c:v>
                </c:pt>
                <c:pt idx="26">
                  <c:v>1.4761473068436446E-2</c:v>
                </c:pt>
                <c:pt idx="27">
                  <c:v>1.4829892410584472E-2</c:v>
                </c:pt>
                <c:pt idx="28">
                  <c:v>1.3204933034568872E-2</c:v>
                </c:pt>
                <c:pt idx="29">
                  <c:v>1.1682602671775311E-2</c:v>
                </c:pt>
                <c:pt idx="30">
                  <c:v>1.0040538460222705E-2</c:v>
                </c:pt>
                <c:pt idx="31">
                  <c:v>1.0066195713528214E-2</c:v>
                </c:pt>
                <c:pt idx="32">
                  <c:v>8.9201717325487918E-3</c:v>
                </c:pt>
                <c:pt idx="33">
                  <c:v>5.6788053982860954E-3</c:v>
                </c:pt>
                <c:pt idx="34">
                  <c:v>6.9445632280245627E-3</c:v>
                </c:pt>
                <c:pt idx="35">
                  <c:v>5.5932812206010638E-3</c:v>
                </c:pt>
                <c:pt idx="36">
                  <c:v>6.5254947573679077E-3</c:v>
                </c:pt>
                <c:pt idx="37">
                  <c:v>4.0966081111130119E-3</c:v>
                </c:pt>
                <c:pt idx="38">
                  <c:v>4.1308177821870245E-3</c:v>
                </c:pt>
                <c:pt idx="39">
                  <c:v>3.4722816140122814E-3</c:v>
                </c:pt>
                <c:pt idx="40">
                  <c:v>3.6518823871508474E-3</c:v>
                </c:pt>
                <c:pt idx="41">
                  <c:v>3.8999025024374391E-3</c:v>
                </c:pt>
                <c:pt idx="42">
                  <c:v>3.0959752321981426E-3</c:v>
                </c:pt>
                <c:pt idx="43">
                  <c:v>2.7538785214580161E-3</c:v>
                </c:pt>
                <c:pt idx="44">
                  <c:v>2.3433624685698646E-3</c:v>
                </c:pt>
                <c:pt idx="45">
                  <c:v>2.026923011135248E-3</c:v>
                </c:pt>
                <c:pt idx="46">
                  <c:v>1.6933787181636249E-3</c:v>
                </c:pt>
                <c:pt idx="47">
                  <c:v>1.6933787181636249E-3</c:v>
                </c:pt>
                <c:pt idx="48">
                  <c:v>1.9157415801447069E-3</c:v>
                </c:pt>
                <c:pt idx="49">
                  <c:v>1.4197013495715238E-3</c:v>
                </c:pt>
                <c:pt idx="50">
                  <c:v>1.3341771718864922E-3</c:v>
                </c:pt>
                <c:pt idx="51">
                  <c:v>8.3813694131330927E-4</c:v>
                </c:pt>
                <c:pt idx="52">
                  <c:v>1.1887860698219386E-3</c:v>
                </c:pt>
                <c:pt idx="53">
                  <c:v>8.8089903015582509E-4</c:v>
                </c:pt>
                <c:pt idx="54">
                  <c:v>7.7827001693378723E-4</c:v>
                </c:pt>
                <c:pt idx="55">
                  <c:v>1.3683868429605049E-3</c:v>
                </c:pt>
                <c:pt idx="56">
                  <c:v>6.6708858594324611E-4</c:v>
                </c:pt>
                <c:pt idx="57">
                  <c:v>7.6971759916528407E-4</c:v>
                </c:pt>
                <c:pt idx="58">
                  <c:v>7.2695551032276825E-4</c:v>
                </c:pt>
                <c:pt idx="59">
                  <c:v>6.927458392487556E-4</c:v>
                </c:pt>
                <c:pt idx="60">
                  <c:v>7.6971759916528407E-4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AD-4595-BB53-F284F74F8C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0247456"/>
        <c:axId val="340245496"/>
      </c:lineChart>
      <c:catAx>
        <c:axId val="340247456"/>
        <c:scaling>
          <c:orientation val="minMax"/>
        </c:scaling>
        <c:delete val="0"/>
        <c:axPos val="b"/>
        <c:majorTickMark val="none"/>
        <c:minorTickMark val="none"/>
        <c:tickLblPos val="nextTo"/>
        <c:crossAx val="340245496"/>
        <c:crosses val="autoZero"/>
        <c:auto val="1"/>
        <c:lblAlgn val="ctr"/>
        <c:lblOffset val="100"/>
        <c:tickLblSkip val="10"/>
        <c:noMultiLvlLbl val="0"/>
      </c:catAx>
      <c:valAx>
        <c:axId val="340245496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34024745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TLFD_Escort!$C$10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TLFD_Escort!$C$11:$C$71</c:f>
              <c:numCache>
                <c:formatCode>0.00%</c:formatCode>
                <c:ptCount val="61"/>
                <c:pt idx="0">
                  <c:v>0.16475622835150841</c:v>
                </c:pt>
                <c:pt idx="1">
                  <c:v>0.16414714759624091</c:v>
                </c:pt>
                <c:pt idx="2">
                  <c:v>0.10154307279961239</c:v>
                </c:pt>
                <c:pt idx="3">
                  <c:v>0.11271073614927901</c:v>
                </c:pt>
                <c:pt idx="4">
                  <c:v>9.0108409004602666E-2</c:v>
                </c:pt>
                <c:pt idx="5">
                  <c:v>2.8439544022600727E-2</c:v>
                </c:pt>
                <c:pt idx="6">
                  <c:v>2.5570391740800742E-2</c:v>
                </c:pt>
                <c:pt idx="7">
                  <c:v>5.2094594013091029E-2</c:v>
                </c:pt>
                <c:pt idx="8">
                  <c:v>2.7953585870636736E-2</c:v>
                </c:pt>
                <c:pt idx="9">
                  <c:v>2.4590221957656394E-2</c:v>
                </c:pt>
                <c:pt idx="10">
                  <c:v>2.7445927123213178E-2</c:v>
                </c:pt>
                <c:pt idx="11">
                  <c:v>2.6916011992461346E-2</c:v>
                </c:pt>
                <c:pt idx="12">
                  <c:v>1.0657463103393376E-2</c:v>
                </c:pt>
                <c:pt idx="13">
                  <c:v>4.3550348208104765E-2</c:v>
                </c:pt>
                <c:pt idx="14">
                  <c:v>6.7834934702980893E-3</c:v>
                </c:pt>
                <c:pt idx="15">
                  <c:v>2.1385823054549492E-2</c:v>
                </c:pt>
                <c:pt idx="16">
                  <c:v>1.4733552892640854E-2</c:v>
                </c:pt>
                <c:pt idx="17">
                  <c:v>1.1232584817470864E-2</c:v>
                </c:pt>
                <c:pt idx="18">
                  <c:v>2.3906967454217682E-2</c:v>
                </c:pt>
                <c:pt idx="19">
                  <c:v>1.1052973010840593E-3</c:v>
                </c:pt>
                <c:pt idx="20">
                  <c:v>1.6163533205168687E-3</c:v>
                </c:pt>
                <c:pt idx="21">
                  <c:v>1.512959310131404E-3</c:v>
                </c:pt>
                <c:pt idx="22">
                  <c:v>7.8988077405627369E-3</c:v>
                </c:pt>
                <c:pt idx="23">
                  <c:v>4.6925992744444332E-4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1.959241495255185E-3</c:v>
                </c:pt>
                <c:pt idx="29">
                  <c:v>2.9276755938025209E-3</c:v>
                </c:pt>
                <c:pt idx="30">
                  <c:v>0</c:v>
                </c:pt>
                <c:pt idx="31">
                  <c:v>1.9844281788177695E-3</c:v>
                </c:pt>
                <c:pt idx="32">
                  <c:v>0</c:v>
                </c:pt>
                <c:pt idx="33">
                  <c:v>1.117785032961885E-3</c:v>
                </c:pt>
                <c:pt idx="34">
                  <c:v>0</c:v>
                </c:pt>
                <c:pt idx="35">
                  <c:v>8.8208847704441293E-4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9F-4686-B84D-16296A86AF67}"/>
            </c:ext>
          </c:extLst>
        </c:ser>
        <c:ser>
          <c:idx val="1"/>
          <c:order val="1"/>
          <c:tx>
            <c:strRef>
              <c:f>TLFD_Escort!$G$10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TLFD_Escort!$G$11:$G$71</c:f>
              <c:numCache>
                <c:formatCode>0.00%</c:formatCode>
                <c:ptCount val="61"/>
                <c:pt idx="0">
                  <c:v>9.8656794080131879E-2</c:v>
                </c:pt>
                <c:pt idx="1">
                  <c:v>0.13437584900099922</c:v>
                </c:pt>
                <c:pt idx="2">
                  <c:v>0.11727380311004895</c:v>
                </c:pt>
                <c:pt idx="3">
                  <c:v>0.10931218831590435</c:v>
                </c:pt>
                <c:pt idx="4">
                  <c:v>8.7011378340171391E-2</c:v>
                </c:pt>
                <c:pt idx="5">
                  <c:v>6.9002196466313948E-2</c:v>
                </c:pt>
                <c:pt idx="6">
                  <c:v>4.801834532871016E-2</c:v>
                </c:pt>
                <c:pt idx="7">
                  <c:v>3.8629257668061905E-2</c:v>
                </c:pt>
                <c:pt idx="8">
                  <c:v>3.7680678924514314E-2</c:v>
                </c:pt>
                <c:pt idx="9">
                  <c:v>2.5906330151450267E-2</c:v>
                </c:pt>
                <c:pt idx="10">
                  <c:v>2.3272412475191902E-2</c:v>
                </c:pt>
                <c:pt idx="11">
                  <c:v>2.2719842333319518E-2</c:v>
                </c:pt>
                <c:pt idx="12">
                  <c:v>2.3930891894256495E-2</c:v>
                </c:pt>
                <c:pt idx="13">
                  <c:v>2.1181855438441383E-2</c:v>
                </c:pt>
                <c:pt idx="14">
                  <c:v>1.8686080297651116E-2</c:v>
                </c:pt>
                <c:pt idx="15">
                  <c:v>1.7995367620310638E-2</c:v>
                </c:pt>
                <c:pt idx="16">
                  <c:v>1.5531825737796259E-2</c:v>
                </c:pt>
                <c:pt idx="17">
                  <c:v>1.2520318464591765E-2</c:v>
                </c:pt>
                <c:pt idx="18">
                  <c:v>1.1069821842176758E-2</c:v>
                </c:pt>
                <c:pt idx="19">
                  <c:v>9.4673684307468448E-3</c:v>
                </c:pt>
                <c:pt idx="20">
                  <c:v>8.2010618556226308E-3</c:v>
                </c:pt>
                <c:pt idx="21">
                  <c:v>7.0959215718778635E-3</c:v>
                </c:pt>
                <c:pt idx="22">
                  <c:v>6.4604659087246219E-3</c:v>
                </c:pt>
                <c:pt idx="23">
                  <c:v>5.5855631840933473E-3</c:v>
                </c:pt>
                <c:pt idx="24">
                  <c:v>4.208742580594658E-3</c:v>
                </c:pt>
                <c:pt idx="25">
                  <c:v>3.6884056969981628E-3</c:v>
                </c:pt>
                <c:pt idx="26">
                  <c:v>3.2371400811357157E-3</c:v>
                </c:pt>
                <c:pt idx="27">
                  <c:v>2.4635418825143785E-3</c:v>
                </c:pt>
                <c:pt idx="28">
                  <c:v>1.8050624634497875E-3</c:v>
                </c:pt>
                <c:pt idx="29">
                  <c:v>2.0859522855682495E-3</c:v>
                </c:pt>
                <c:pt idx="30">
                  <c:v>1.71757219098666E-3</c:v>
                </c:pt>
                <c:pt idx="31">
                  <c:v>1.2294685656660542E-3</c:v>
                </c:pt>
                <c:pt idx="32">
                  <c:v>1.2939350822178323E-3</c:v>
                </c:pt>
                <c:pt idx="33">
                  <c:v>1.1788163026610857E-3</c:v>
                </c:pt>
                <c:pt idx="34">
                  <c:v>8.2425046162630598E-4</c:v>
                </c:pt>
                <c:pt idx="35">
                  <c:v>7.4596969152771831E-4</c:v>
                </c:pt>
                <c:pt idx="36">
                  <c:v>9.3476449000078283E-4</c:v>
                </c:pt>
                <c:pt idx="37">
                  <c:v>8.1043620807949644E-4</c:v>
                </c:pt>
                <c:pt idx="38">
                  <c:v>7.6899344743906761E-4</c:v>
                </c:pt>
                <c:pt idx="39">
                  <c:v>7.9662195453268679E-4</c:v>
                </c:pt>
                <c:pt idx="40">
                  <c:v>4.0521810403974822E-4</c:v>
                </c:pt>
                <c:pt idx="41">
                  <c:v>3.7758959694612904E-4</c:v>
                </c:pt>
                <c:pt idx="42">
                  <c:v>2.4865656384257277E-4</c:v>
                </c:pt>
                <c:pt idx="43">
                  <c:v>1.749805449262549E-4</c:v>
                </c:pt>
                <c:pt idx="44">
                  <c:v>1.4735203783263571E-4</c:v>
                </c:pt>
                <c:pt idx="45">
                  <c:v>2.7168031975392207E-4</c:v>
                </c:pt>
                <c:pt idx="46">
                  <c:v>1.5656154019717545E-4</c:v>
                </c:pt>
                <c:pt idx="47">
                  <c:v>1.6577104256171519E-4</c:v>
                </c:pt>
                <c:pt idx="48">
                  <c:v>1.1511877955674665E-4</c:v>
                </c:pt>
                <c:pt idx="49">
                  <c:v>1.1511877955674665E-4</c:v>
                </c:pt>
                <c:pt idx="50">
                  <c:v>1.6577104256171519E-4</c:v>
                </c:pt>
                <c:pt idx="51">
                  <c:v>8.7490272463127449E-5</c:v>
                </c:pt>
                <c:pt idx="52">
                  <c:v>3.6838009458158929E-5</c:v>
                </c:pt>
                <c:pt idx="53">
                  <c:v>2.3023755911349329E-5</c:v>
                </c:pt>
                <c:pt idx="54">
                  <c:v>3.6838009458158929E-5</c:v>
                </c:pt>
                <c:pt idx="55">
                  <c:v>1.8419004729079464E-5</c:v>
                </c:pt>
                <c:pt idx="56">
                  <c:v>4.1442760640428797E-5</c:v>
                </c:pt>
                <c:pt idx="57">
                  <c:v>9.2095023645397321E-6</c:v>
                </c:pt>
                <c:pt idx="58">
                  <c:v>0</c:v>
                </c:pt>
                <c:pt idx="59">
                  <c:v>2.3023755911349329E-5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89F-4686-B84D-16296A86AF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0249024"/>
        <c:axId val="340248632"/>
      </c:lineChart>
      <c:catAx>
        <c:axId val="340249024"/>
        <c:scaling>
          <c:orientation val="minMax"/>
        </c:scaling>
        <c:delete val="0"/>
        <c:axPos val="b"/>
        <c:majorTickMark val="none"/>
        <c:minorTickMark val="none"/>
        <c:tickLblPos val="nextTo"/>
        <c:crossAx val="340248632"/>
        <c:crosses val="autoZero"/>
        <c:auto val="1"/>
        <c:lblAlgn val="ctr"/>
        <c:lblOffset val="100"/>
        <c:tickLblSkip val="10"/>
        <c:noMultiLvlLbl val="0"/>
      </c:catAx>
      <c:valAx>
        <c:axId val="340248632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340249024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TDFD_Escort!$C$10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TDFD_Escort!$C$11:$C$71</c:f>
              <c:numCache>
                <c:formatCode>0.00%</c:formatCode>
                <c:ptCount val="61"/>
                <c:pt idx="0">
                  <c:v>3.4609401512278842E-2</c:v>
                </c:pt>
                <c:pt idx="1">
                  <c:v>4.1222278616439935E-2</c:v>
                </c:pt>
                <c:pt idx="2">
                  <c:v>4.1280109971925959E-2</c:v>
                </c:pt>
                <c:pt idx="3">
                  <c:v>6.0028824750758936E-2</c:v>
                </c:pt>
                <c:pt idx="4">
                  <c:v>6.5172823461241106E-2</c:v>
                </c:pt>
                <c:pt idx="5">
                  <c:v>5.3654122368029251E-2</c:v>
                </c:pt>
                <c:pt idx="6">
                  <c:v>6.2938657515859697E-2</c:v>
                </c:pt>
                <c:pt idx="7">
                  <c:v>8.5418602442622477E-2</c:v>
                </c:pt>
                <c:pt idx="8">
                  <c:v>5.6774559082842173E-2</c:v>
                </c:pt>
                <c:pt idx="9">
                  <c:v>4.1084971852635259E-2</c:v>
                </c:pt>
                <c:pt idx="10">
                  <c:v>4.6388449001054127E-2</c:v>
                </c:pt>
                <c:pt idx="11">
                  <c:v>3.209403000435259E-2</c:v>
                </c:pt>
                <c:pt idx="12">
                  <c:v>1.7966898943279019E-2</c:v>
                </c:pt>
                <c:pt idx="13">
                  <c:v>1.2465857269458779E-2</c:v>
                </c:pt>
                <c:pt idx="14">
                  <c:v>2.4848196047839395E-2</c:v>
                </c:pt>
                <c:pt idx="15">
                  <c:v>1.2484369960025698E-2</c:v>
                </c:pt>
                <c:pt idx="16">
                  <c:v>1.2577621663755785E-2</c:v>
                </c:pt>
                <c:pt idx="17">
                  <c:v>1.740404051170439E-2</c:v>
                </c:pt>
                <c:pt idx="18">
                  <c:v>1.1441718183823989E-2</c:v>
                </c:pt>
                <c:pt idx="19">
                  <c:v>2.1693017562111002E-2</c:v>
                </c:pt>
                <c:pt idx="20">
                  <c:v>1.2877684458236354E-2</c:v>
                </c:pt>
                <c:pt idx="21">
                  <c:v>9.7844522418966268E-3</c:v>
                </c:pt>
                <c:pt idx="22">
                  <c:v>3.6255073947667318E-2</c:v>
                </c:pt>
                <c:pt idx="23">
                  <c:v>4.5946458337028867E-3</c:v>
                </c:pt>
                <c:pt idx="24">
                  <c:v>1.8807758224152132E-2</c:v>
                </c:pt>
                <c:pt idx="25">
                  <c:v>7.0433812560118693E-3</c:v>
                </c:pt>
                <c:pt idx="26">
                  <c:v>4.8455014150192849E-2</c:v>
                </c:pt>
                <c:pt idx="27">
                  <c:v>0</c:v>
                </c:pt>
                <c:pt idx="28">
                  <c:v>0</c:v>
                </c:pt>
                <c:pt idx="29">
                  <c:v>6.3335036517312253E-3</c:v>
                </c:pt>
                <c:pt idx="30">
                  <c:v>5.879745295840612E-3</c:v>
                </c:pt>
                <c:pt idx="31">
                  <c:v>1.3967234597361822E-2</c:v>
                </c:pt>
                <c:pt idx="32">
                  <c:v>2.6810844945309507E-3</c:v>
                </c:pt>
                <c:pt idx="33">
                  <c:v>1.6658806022199112E-2</c:v>
                </c:pt>
                <c:pt idx="34">
                  <c:v>2.5846062788332075E-3</c:v>
                </c:pt>
                <c:pt idx="35">
                  <c:v>1.4134796385663676E-3</c:v>
                </c:pt>
                <c:pt idx="36">
                  <c:v>1.7331792709637341E-2</c:v>
                </c:pt>
                <c:pt idx="37">
                  <c:v>2.2607486430334467E-3</c:v>
                </c:pt>
                <c:pt idx="38">
                  <c:v>5.9988546764338357E-3</c:v>
                </c:pt>
                <c:pt idx="39">
                  <c:v>1.5682185933952749E-3</c:v>
                </c:pt>
                <c:pt idx="40">
                  <c:v>4.4652450517811406E-3</c:v>
                </c:pt>
                <c:pt idx="41">
                  <c:v>2.7688421133513451E-5</c:v>
                </c:pt>
                <c:pt idx="42">
                  <c:v>4.6777713994126556E-4</c:v>
                </c:pt>
                <c:pt idx="43">
                  <c:v>1.1470933930724254E-3</c:v>
                </c:pt>
                <c:pt idx="44">
                  <c:v>8.219655465521199E-3</c:v>
                </c:pt>
                <c:pt idx="45">
                  <c:v>7.8428619406330788E-4</c:v>
                </c:pt>
                <c:pt idx="46">
                  <c:v>2.2830873328395012E-3</c:v>
                </c:pt>
                <c:pt idx="47">
                  <c:v>2.7707104983242139E-3</c:v>
                </c:pt>
                <c:pt idx="48">
                  <c:v>1.3514541895529126E-3</c:v>
                </c:pt>
                <c:pt idx="49">
                  <c:v>1.2086175361297885E-3</c:v>
                </c:pt>
                <c:pt idx="50">
                  <c:v>0</c:v>
                </c:pt>
                <c:pt idx="51">
                  <c:v>0</c:v>
                </c:pt>
                <c:pt idx="52">
                  <c:v>1.959241495255185E-3</c:v>
                </c:pt>
                <c:pt idx="53">
                  <c:v>0</c:v>
                </c:pt>
                <c:pt idx="54">
                  <c:v>7.8428619406330788E-4</c:v>
                </c:pt>
                <c:pt idx="55">
                  <c:v>1.2508973731839886E-3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D9-4201-A276-B8BF8229103C}"/>
            </c:ext>
          </c:extLst>
        </c:ser>
        <c:ser>
          <c:idx val="1"/>
          <c:order val="1"/>
          <c:tx>
            <c:strRef>
              <c:f>TDFD_Escort!$G$10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TDFD_Escort!$G$11:$G$71</c:f>
              <c:numCache>
                <c:formatCode>0.00%</c:formatCode>
                <c:ptCount val="61"/>
                <c:pt idx="0">
                  <c:v>3.2601638370470653E-3</c:v>
                </c:pt>
                <c:pt idx="1">
                  <c:v>1.7898667845482968E-2</c:v>
                </c:pt>
                <c:pt idx="2">
                  <c:v>3.2067487233327349E-2</c:v>
                </c:pt>
                <c:pt idx="3">
                  <c:v>4.9851036299253568E-2</c:v>
                </c:pt>
                <c:pt idx="4">
                  <c:v>6.0727458591774995E-2</c:v>
                </c:pt>
                <c:pt idx="5">
                  <c:v>5.8286940465171966E-2</c:v>
                </c:pt>
                <c:pt idx="6">
                  <c:v>5.7858698605220867E-2</c:v>
                </c:pt>
                <c:pt idx="7">
                  <c:v>5.8259311958078347E-2</c:v>
                </c:pt>
                <c:pt idx="8">
                  <c:v>5.3723632043542524E-2</c:v>
                </c:pt>
                <c:pt idx="9">
                  <c:v>4.5485732178461739E-2</c:v>
                </c:pt>
                <c:pt idx="10">
                  <c:v>4.1194104076586219E-2</c:v>
                </c:pt>
                <c:pt idx="11">
                  <c:v>3.1984601712046493E-2</c:v>
                </c:pt>
                <c:pt idx="12">
                  <c:v>2.9921673182389589E-2</c:v>
                </c:pt>
                <c:pt idx="13">
                  <c:v>2.5224826976474327E-2</c:v>
                </c:pt>
                <c:pt idx="14">
                  <c:v>2.0675332808391698E-2</c:v>
                </c:pt>
                <c:pt idx="15">
                  <c:v>2.2756680342777679E-2</c:v>
                </c:pt>
                <c:pt idx="16">
                  <c:v>2.2434347760018788E-2</c:v>
                </c:pt>
                <c:pt idx="17">
                  <c:v>2.1568654537752054E-2</c:v>
                </c:pt>
                <c:pt idx="18">
                  <c:v>1.8801199077207863E-2</c:v>
                </c:pt>
                <c:pt idx="19">
                  <c:v>1.783880608011346E-2</c:v>
                </c:pt>
                <c:pt idx="20">
                  <c:v>1.7009950867304884E-2</c:v>
                </c:pt>
                <c:pt idx="21">
                  <c:v>1.6922460594841756E-2</c:v>
                </c:pt>
                <c:pt idx="22">
                  <c:v>1.827165269124683E-2</c:v>
                </c:pt>
                <c:pt idx="23">
                  <c:v>1.6954693853117646E-2</c:v>
                </c:pt>
                <c:pt idx="24">
                  <c:v>1.5757458545727483E-2</c:v>
                </c:pt>
                <c:pt idx="25">
                  <c:v>1.6351471448240295E-2</c:v>
                </c:pt>
                <c:pt idx="26">
                  <c:v>1.375899653262236E-2</c:v>
                </c:pt>
                <c:pt idx="27">
                  <c:v>1.480427505099762E-2</c:v>
                </c:pt>
                <c:pt idx="28">
                  <c:v>1.5320007183411845E-2</c:v>
                </c:pt>
                <c:pt idx="29">
                  <c:v>1.3335359423853532E-2</c:v>
                </c:pt>
                <c:pt idx="30">
                  <c:v>1.2322314163754162E-2</c:v>
                </c:pt>
                <c:pt idx="31">
                  <c:v>1.168225374941865E-2</c:v>
                </c:pt>
                <c:pt idx="32">
                  <c:v>1.1470435195034236E-2</c:v>
                </c:pt>
                <c:pt idx="33">
                  <c:v>1.0116638347446895E-2</c:v>
                </c:pt>
                <c:pt idx="34">
                  <c:v>9.61011571739721E-3</c:v>
                </c:pt>
                <c:pt idx="35">
                  <c:v>8.5326039407460624E-3</c:v>
                </c:pt>
                <c:pt idx="36">
                  <c:v>7.2202498537991501E-3</c:v>
                </c:pt>
                <c:pt idx="37">
                  <c:v>6.6216322001040676E-3</c:v>
                </c:pt>
                <c:pt idx="38">
                  <c:v>6.055247804684874E-3</c:v>
                </c:pt>
                <c:pt idx="39">
                  <c:v>5.405977887984823E-3</c:v>
                </c:pt>
                <c:pt idx="40">
                  <c:v>5.2125783383294884E-3</c:v>
                </c:pt>
                <c:pt idx="41">
                  <c:v>4.9869455303982648E-3</c:v>
                </c:pt>
                <c:pt idx="42">
                  <c:v>4.82577923901882E-3</c:v>
                </c:pt>
                <c:pt idx="43">
                  <c:v>4.1534855664074194E-3</c:v>
                </c:pt>
                <c:pt idx="44">
                  <c:v>3.6838009458158927E-3</c:v>
                </c:pt>
                <c:pt idx="45">
                  <c:v>3.3200256024165735E-3</c:v>
                </c:pt>
                <c:pt idx="46">
                  <c:v>2.7352222022683005E-3</c:v>
                </c:pt>
                <c:pt idx="47">
                  <c:v>2.4589371313321084E-3</c:v>
                </c:pt>
                <c:pt idx="48">
                  <c:v>2.376051610051251E-3</c:v>
                </c:pt>
                <c:pt idx="49">
                  <c:v>2.104371290297329E-3</c:v>
                </c:pt>
                <c:pt idx="50">
                  <c:v>1.7037579374398505E-3</c:v>
                </c:pt>
                <c:pt idx="51">
                  <c:v>1.5103583877845161E-3</c:v>
                </c:pt>
                <c:pt idx="52">
                  <c:v>1.3906348570454996E-3</c:v>
                </c:pt>
                <c:pt idx="53">
                  <c:v>1.2847255798532926E-3</c:v>
                </c:pt>
                <c:pt idx="54">
                  <c:v>1.1281640396561172E-3</c:v>
                </c:pt>
                <c:pt idx="55">
                  <c:v>1.1051402837447678E-3</c:v>
                </c:pt>
                <c:pt idx="56">
                  <c:v>7.7359819862133749E-4</c:v>
                </c:pt>
                <c:pt idx="57">
                  <c:v>8.9792648054262388E-4</c:v>
                </c:pt>
                <c:pt idx="58">
                  <c:v>7.4136494034544843E-4</c:v>
                </c:pt>
                <c:pt idx="59">
                  <c:v>7.3676018916317854E-4</c:v>
                </c:pt>
                <c:pt idx="60">
                  <c:v>7.1834118443409912E-4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D9-4201-A276-B8BF82291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0247848"/>
        <c:axId val="340248240"/>
      </c:lineChart>
      <c:catAx>
        <c:axId val="340247848"/>
        <c:scaling>
          <c:orientation val="minMax"/>
        </c:scaling>
        <c:delete val="0"/>
        <c:axPos val="b"/>
        <c:majorTickMark val="none"/>
        <c:minorTickMark val="none"/>
        <c:tickLblPos val="nextTo"/>
        <c:crossAx val="340248240"/>
        <c:crosses val="autoZero"/>
        <c:auto val="1"/>
        <c:lblAlgn val="ctr"/>
        <c:lblOffset val="100"/>
        <c:tickLblSkip val="10"/>
        <c:noMultiLvlLbl val="0"/>
      </c:catAx>
      <c:valAx>
        <c:axId val="34024824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340247848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TLFD_PerBus!$C$10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TLFD_PerBus!$C$11:$C$71</c:f>
              <c:numCache>
                <c:formatCode>0.00%</c:formatCode>
                <c:ptCount val="61"/>
                <c:pt idx="0">
                  <c:v>0.20059219556467947</c:v>
                </c:pt>
                <c:pt idx="1">
                  <c:v>0.17806986873525268</c:v>
                </c:pt>
                <c:pt idx="2">
                  <c:v>8.5789009099934643E-2</c:v>
                </c:pt>
                <c:pt idx="3">
                  <c:v>8.6054561392987131E-2</c:v>
                </c:pt>
                <c:pt idx="4">
                  <c:v>0.1145209195526198</c:v>
                </c:pt>
                <c:pt idx="5">
                  <c:v>5.4609699378764288E-2</c:v>
                </c:pt>
                <c:pt idx="6">
                  <c:v>4.1791852229449623E-2</c:v>
                </c:pt>
                <c:pt idx="7">
                  <c:v>2.245013425376672E-2</c:v>
                </c:pt>
                <c:pt idx="8">
                  <c:v>2.0547680080627014E-2</c:v>
                </c:pt>
                <c:pt idx="9">
                  <c:v>2.0725236833097578E-2</c:v>
                </c:pt>
                <c:pt idx="10">
                  <c:v>1.0847991022120794E-2</c:v>
                </c:pt>
                <c:pt idx="11">
                  <c:v>1.7580314190805819E-2</c:v>
                </c:pt>
                <c:pt idx="12">
                  <c:v>7.3373253233312528E-3</c:v>
                </c:pt>
                <c:pt idx="13">
                  <c:v>2.193405513943571E-2</c:v>
                </c:pt>
                <c:pt idx="14">
                  <c:v>1.0095517998082422E-2</c:v>
                </c:pt>
                <c:pt idx="15">
                  <c:v>7.4523988432052685E-3</c:v>
                </c:pt>
                <c:pt idx="16">
                  <c:v>2.3159832094709419E-2</c:v>
                </c:pt>
                <c:pt idx="17">
                  <c:v>2.960264906305183E-3</c:v>
                </c:pt>
                <c:pt idx="18">
                  <c:v>1.6389684841103105E-2</c:v>
                </c:pt>
                <c:pt idx="19">
                  <c:v>3.671208065481401E-2</c:v>
                </c:pt>
                <c:pt idx="20">
                  <c:v>0</c:v>
                </c:pt>
                <c:pt idx="21">
                  <c:v>2.8174694648311974E-3</c:v>
                </c:pt>
                <c:pt idx="22">
                  <c:v>7.571963220297618E-3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2.1040564618482519E-3</c:v>
                </c:pt>
                <c:pt idx="28">
                  <c:v>0</c:v>
                </c:pt>
                <c:pt idx="29">
                  <c:v>6.3406992774173252E-4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2.3795330736890172E-3</c:v>
                </c:pt>
                <c:pt idx="34">
                  <c:v>0</c:v>
                </c:pt>
                <c:pt idx="35">
                  <c:v>3.577564557139529E-3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5-4495-9B2C-744DEB858FF7}"/>
            </c:ext>
          </c:extLst>
        </c:ser>
        <c:ser>
          <c:idx val="1"/>
          <c:order val="1"/>
          <c:tx>
            <c:strRef>
              <c:f>TLFD_PerBus!$G$10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TLFD_PerBus!$G$11:$G$71</c:f>
              <c:numCache>
                <c:formatCode>0.00%</c:formatCode>
                <c:ptCount val="61"/>
                <c:pt idx="0">
                  <c:v>0.14017434978069426</c:v>
                </c:pt>
                <c:pt idx="1">
                  <c:v>0.13720465571392404</c:v>
                </c:pt>
                <c:pt idx="2">
                  <c:v>0.10528044449614418</c:v>
                </c:pt>
                <c:pt idx="3">
                  <c:v>9.5464716065771199E-2</c:v>
                </c:pt>
                <c:pt idx="4">
                  <c:v>7.8368447342671219E-2</c:v>
                </c:pt>
                <c:pt idx="5">
                  <c:v>6.1114798519258537E-2</c:v>
                </c:pt>
                <c:pt idx="6">
                  <c:v>4.5647071703742222E-2</c:v>
                </c:pt>
                <c:pt idx="7">
                  <c:v>3.7281977241468971E-2</c:v>
                </c:pt>
                <c:pt idx="8">
                  <c:v>3.8034664677747139E-2</c:v>
                </c:pt>
                <c:pt idx="9">
                  <c:v>2.7616786298351615E-2</c:v>
                </c:pt>
                <c:pt idx="10">
                  <c:v>2.4195479769814496E-2</c:v>
                </c:pt>
                <c:pt idx="11">
                  <c:v>2.4198901076343034E-2</c:v>
                </c:pt>
                <c:pt idx="12">
                  <c:v>2.572138248154205E-2</c:v>
                </c:pt>
                <c:pt idx="13">
                  <c:v>2.2009264898079278E-2</c:v>
                </c:pt>
                <c:pt idx="14">
                  <c:v>2.0117282387798252E-2</c:v>
                </c:pt>
                <c:pt idx="15">
                  <c:v>1.8605064902184845E-2</c:v>
                </c:pt>
                <c:pt idx="16">
                  <c:v>1.6268312543193993E-2</c:v>
                </c:pt>
                <c:pt idx="17">
                  <c:v>1.278542249714321E-2</c:v>
                </c:pt>
                <c:pt idx="18">
                  <c:v>1.0725795966963865E-2</c:v>
                </c:pt>
                <c:pt idx="19">
                  <c:v>9.4633338579336677E-3</c:v>
                </c:pt>
                <c:pt idx="20">
                  <c:v>7.7971575785360913E-3</c:v>
                </c:pt>
                <c:pt idx="21">
                  <c:v>6.733131248161048E-3</c:v>
                </c:pt>
                <c:pt idx="22">
                  <c:v>6.0146568771682531E-3</c:v>
                </c:pt>
                <c:pt idx="23">
                  <c:v>5.2003859233764188E-3</c:v>
                </c:pt>
                <c:pt idx="24">
                  <c:v>3.8147567793188862E-3</c:v>
                </c:pt>
                <c:pt idx="25">
                  <c:v>3.2091855237678163E-3</c:v>
                </c:pt>
                <c:pt idx="26">
                  <c:v>2.7370452228296944E-3</c:v>
                </c:pt>
                <c:pt idx="27">
                  <c:v>2.0801543693505678E-3</c:v>
                </c:pt>
                <c:pt idx="28">
                  <c:v>1.5190600986704802E-3</c:v>
                </c:pt>
                <c:pt idx="29">
                  <c:v>1.7003893446829476E-3</c:v>
                </c:pt>
                <c:pt idx="30">
                  <c:v>1.3582586918292358E-3</c:v>
                </c:pt>
                <c:pt idx="31">
                  <c:v>9.7507236063307853E-4</c:v>
                </c:pt>
                <c:pt idx="32">
                  <c:v>9.6480844104746715E-4</c:v>
                </c:pt>
                <c:pt idx="33">
                  <c:v>8.3479879296305675E-4</c:v>
                </c:pt>
                <c:pt idx="34">
                  <c:v>5.9530733596545847E-4</c:v>
                </c:pt>
                <c:pt idx="35">
                  <c:v>4.5161246176689956E-4</c:v>
                </c:pt>
                <c:pt idx="36">
                  <c:v>6.8083999917888647E-4</c:v>
                </c:pt>
                <c:pt idx="37">
                  <c:v>4.858255270522707E-4</c:v>
                </c:pt>
                <c:pt idx="38">
                  <c:v>5.2688120539471609E-4</c:v>
                </c:pt>
                <c:pt idx="39">
                  <c:v>4.5845507482397376E-4</c:v>
                </c:pt>
                <c:pt idx="40">
                  <c:v>3.0791758756834061E-4</c:v>
                </c:pt>
                <c:pt idx="41">
                  <c:v>1.9159316559807859E-4</c:v>
                </c:pt>
                <c:pt idx="42">
                  <c:v>1.6422271336978165E-4</c:v>
                </c:pt>
                <c:pt idx="43">
                  <c:v>1.3343095461294758E-4</c:v>
                </c:pt>
                <c:pt idx="44">
                  <c:v>1.4027356767002183E-4</c:v>
                </c:pt>
                <c:pt idx="45">
                  <c:v>1.4027356767002183E-4</c:v>
                </c:pt>
                <c:pt idx="46">
                  <c:v>1.0606050238465066E-4</c:v>
                </c:pt>
                <c:pt idx="47">
                  <c:v>7.526874362781659E-5</c:v>
                </c:pt>
                <c:pt idx="48">
                  <c:v>5.4740904456593883E-5</c:v>
                </c:pt>
                <c:pt idx="49">
                  <c:v>7.8690050156353714E-5</c:v>
                </c:pt>
                <c:pt idx="50">
                  <c:v>5.8162210985131001E-5</c:v>
                </c:pt>
                <c:pt idx="51">
                  <c:v>4.1055678342445412E-5</c:v>
                </c:pt>
                <c:pt idx="52">
                  <c:v>2.0527839171222706E-5</c:v>
                </c:pt>
                <c:pt idx="53">
                  <c:v>1.7106532642685589E-5</c:v>
                </c:pt>
                <c:pt idx="54">
                  <c:v>6.8426130570742354E-6</c:v>
                </c:pt>
                <c:pt idx="55">
                  <c:v>3.4213065285371177E-6</c:v>
                </c:pt>
                <c:pt idx="56">
                  <c:v>3.4213065285371177E-6</c:v>
                </c:pt>
                <c:pt idx="57">
                  <c:v>2.0527839171222706E-5</c:v>
                </c:pt>
                <c:pt idx="58">
                  <c:v>0</c:v>
                </c:pt>
                <c:pt idx="59">
                  <c:v>3.4213065285371177E-6</c:v>
                </c:pt>
                <c:pt idx="60">
                  <c:v>3.4213065285371177E-6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5-4495-9B2C-744DEB858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0245888"/>
        <c:axId val="340246280"/>
      </c:lineChart>
      <c:catAx>
        <c:axId val="340245888"/>
        <c:scaling>
          <c:orientation val="minMax"/>
        </c:scaling>
        <c:delete val="0"/>
        <c:axPos val="b"/>
        <c:majorTickMark val="none"/>
        <c:minorTickMark val="none"/>
        <c:tickLblPos val="nextTo"/>
        <c:crossAx val="340246280"/>
        <c:crosses val="autoZero"/>
        <c:auto val="1"/>
        <c:lblAlgn val="ctr"/>
        <c:lblOffset val="100"/>
        <c:tickLblSkip val="10"/>
        <c:noMultiLvlLbl val="0"/>
      </c:catAx>
      <c:valAx>
        <c:axId val="340246280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340245888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TDFD_PerBus!$C$10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TDFD_PerBus!$C$11:$C$71</c:f>
              <c:numCache>
                <c:formatCode>0.00%</c:formatCode>
                <c:ptCount val="61"/>
                <c:pt idx="0">
                  <c:v>0</c:v>
                </c:pt>
                <c:pt idx="1">
                  <c:v>2.8763110705452392E-2</c:v>
                </c:pt>
                <c:pt idx="2">
                  <c:v>3.6050837478703301E-2</c:v>
                </c:pt>
                <c:pt idx="3">
                  <c:v>7.626247474447391E-2</c:v>
                </c:pt>
                <c:pt idx="4">
                  <c:v>7.1938483811772272E-2</c:v>
                </c:pt>
                <c:pt idx="5">
                  <c:v>8.6084087613117519E-2</c:v>
                </c:pt>
                <c:pt idx="6">
                  <c:v>5.599674576286523E-2</c:v>
                </c:pt>
                <c:pt idx="7">
                  <c:v>5.7356950812887608E-2</c:v>
                </c:pt>
                <c:pt idx="8">
                  <c:v>6.3239665728301794E-2</c:v>
                </c:pt>
                <c:pt idx="9">
                  <c:v>3.6733490544478636E-2</c:v>
                </c:pt>
                <c:pt idx="10">
                  <c:v>5.1216312667912579E-2</c:v>
                </c:pt>
                <c:pt idx="11">
                  <c:v>5.141537434461603E-2</c:v>
                </c:pt>
                <c:pt idx="12">
                  <c:v>1.9652516353771986E-2</c:v>
                </c:pt>
                <c:pt idx="13">
                  <c:v>3.0253883023496089E-2</c:v>
                </c:pt>
                <c:pt idx="14">
                  <c:v>1.2996296096519469E-2</c:v>
                </c:pt>
                <c:pt idx="15">
                  <c:v>2.4836774771246819E-2</c:v>
                </c:pt>
                <c:pt idx="16">
                  <c:v>1.592805206204136E-2</c:v>
                </c:pt>
                <c:pt idx="17">
                  <c:v>1.6467863462995017E-2</c:v>
                </c:pt>
                <c:pt idx="18">
                  <c:v>3.0707383459121846E-2</c:v>
                </c:pt>
                <c:pt idx="19">
                  <c:v>1.8648153111971284E-2</c:v>
                </c:pt>
                <c:pt idx="20">
                  <c:v>4.9160938468369129E-3</c:v>
                </c:pt>
                <c:pt idx="21">
                  <c:v>1.2103765222536646E-2</c:v>
                </c:pt>
                <c:pt idx="22">
                  <c:v>2.4830571072174974E-3</c:v>
                </c:pt>
                <c:pt idx="23">
                  <c:v>2.542134599809983E-2</c:v>
                </c:pt>
                <c:pt idx="24">
                  <c:v>4.8839410543210669E-3</c:v>
                </c:pt>
                <c:pt idx="25">
                  <c:v>4.4201139346302827E-3</c:v>
                </c:pt>
                <c:pt idx="26">
                  <c:v>1.2811537896380726E-2</c:v>
                </c:pt>
                <c:pt idx="27">
                  <c:v>1.2369859120906082E-2</c:v>
                </c:pt>
                <c:pt idx="28">
                  <c:v>5.1426179690746187E-3</c:v>
                </c:pt>
                <c:pt idx="29">
                  <c:v>6.3335575675121467E-3</c:v>
                </c:pt>
                <c:pt idx="30">
                  <c:v>1.5297594176178294E-2</c:v>
                </c:pt>
                <c:pt idx="31">
                  <c:v>4.9962504863138562E-3</c:v>
                </c:pt>
                <c:pt idx="32">
                  <c:v>1.5997687671508533E-2</c:v>
                </c:pt>
                <c:pt idx="33">
                  <c:v>3.5137125579460791E-3</c:v>
                </c:pt>
                <c:pt idx="34">
                  <c:v>2.0945628498946392E-2</c:v>
                </c:pt>
                <c:pt idx="35">
                  <c:v>7.3282181363372462E-3</c:v>
                </c:pt>
                <c:pt idx="36">
                  <c:v>2.8435469232873929E-3</c:v>
                </c:pt>
                <c:pt idx="37">
                  <c:v>0</c:v>
                </c:pt>
                <c:pt idx="38">
                  <c:v>0</c:v>
                </c:pt>
                <c:pt idx="39">
                  <c:v>3.5867444903944761E-3</c:v>
                </c:pt>
                <c:pt idx="40">
                  <c:v>0</c:v>
                </c:pt>
                <c:pt idx="41">
                  <c:v>6.3406992774173252E-4</c:v>
                </c:pt>
                <c:pt idx="42">
                  <c:v>0</c:v>
                </c:pt>
                <c:pt idx="43">
                  <c:v>0</c:v>
                </c:pt>
                <c:pt idx="44">
                  <c:v>1.0928966019021814E-2</c:v>
                </c:pt>
                <c:pt idx="45">
                  <c:v>1.0828545480150973E-3</c:v>
                </c:pt>
                <c:pt idx="46">
                  <c:v>6.0889854891349061E-3</c:v>
                </c:pt>
                <c:pt idx="47">
                  <c:v>1.1973122577399409E-2</c:v>
                </c:pt>
                <c:pt idx="48">
                  <c:v>3.0572809325716418E-3</c:v>
                </c:pt>
                <c:pt idx="49">
                  <c:v>0</c:v>
                </c:pt>
                <c:pt idx="50">
                  <c:v>0</c:v>
                </c:pt>
                <c:pt idx="51">
                  <c:v>4.9408553605918143E-4</c:v>
                </c:pt>
                <c:pt idx="52">
                  <c:v>0</c:v>
                </c:pt>
                <c:pt idx="53">
                  <c:v>0</c:v>
                </c:pt>
                <c:pt idx="54">
                  <c:v>5.004032159079597E-3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3.577564557139529E-3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48-4FBD-B191-FEF4647299DD}"/>
            </c:ext>
          </c:extLst>
        </c:ser>
        <c:ser>
          <c:idx val="1"/>
          <c:order val="1"/>
          <c:tx>
            <c:strRef>
              <c:f>TDFD_PerBus!$G$10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TDFD_PerBus!$G$11:$G$71</c:f>
              <c:numCache>
                <c:formatCode>0.00%</c:formatCode>
                <c:ptCount val="61"/>
                <c:pt idx="0">
                  <c:v>4.259526628028712E-3</c:v>
                </c:pt>
                <c:pt idx="1">
                  <c:v>2.0948659874232771E-2</c:v>
                </c:pt>
                <c:pt idx="2">
                  <c:v>3.763095050737976E-2</c:v>
                </c:pt>
                <c:pt idx="3">
                  <c:v>5.793640475424755E-2</c:v>
                </c:pt>
                <c:pt idx="4">
                  <c:v>6.5624080523870462E-2</c:v>
                </c:pt>
                <c:pt idx="5">
                  <c:v>5.8216951889587594E-2</c:v>
                </c:pt>
                <c:pt idx="6">
                  <c:v>5.575703249556941E-2</c:v>
                </c:pt>
                <c:pt idx="7">
                  <c:v>5.3115783855538751E-2</c:v>
                </c:pt>
                <c:pt idx="8">
                  <c:v>4.7860657027705741E-2</c:v>
                </c:pt>
                <c:pt idx="9">
                  <c:v>4.2034172009607032E-2</c:v>
                </c:pt>
                <c:pt idx="10">
                  <c:v>3.8034664677747139E-2</c:v>
                </c:pt>
                <c:pt idx="11">
                  <c:v>3.0938874937561155E-2</c:v>
                </c:pt>
                <c:pt idx="12">
                  <c:v>2.9135846397022096E-2</c:v>
                </c:pt>
                <c:pt idx="13">
                  <c:v>2.4578666101010654E-2</c:v>
                </c:pt>
                <c:pt idx="14">
                  <c:v>1.9292747514420807E-2</c:v>
                </c:pt>
                <c:pt idx="15">
                  <c:v>2.0562052236508078E-2</c:v>
                </c:pt>
                <c:pt idx="16">
                  <c:v>2.1800565199838515E-2</c:v>
                </c:pt>
                <c:pt idx="17">
                  <c:v>2.1318160979314781E-2</c:v>
                </c:pt>
                <c:pt idx="18">
                  <c:v>1.905325605742321E-2</c:v>
                </c:pt>
                <c:pt idx="19">
                  <c:v>1.7534195958752729E-2</c:v>
                </c:pt>
                <c:pt idx="20">
                  <c:v>1.8163716360003558E-2</c:v>
                </c:pt>
                <c:pt idx="21">
                  <c:v>1.77805300288074E-2</c:v>
                </c:pt>
                <c:pt idx="22">
                  <c:v>1.9388544097219847E-2</c:v>
                </c:pt>
                <c:pt idx="23">
                  <c:v>1.9463812840847663E-2</c:v>
                </c:pt>
                <c:pt idx="24">
                  <c:v>1.6695975859261136E-2</c:v>
                </c:pt>
                <c:pt idx="25">
                  <c:v>1.6973101688072641E-2</c:v>
                </c:pt>
                <c:pt idx="26">
                  <c:v>1.5224814051990174E-2</c:v>
                </c:pt>
                <c:pt idx="27">
                  <c:v>1.4978479981935501E-2</c:v>
                </c:pt>
                <c:pt idx="28">
                  <c:v>1.5173494454062117E-2</c:v>
                </c:pt>
                <c:pt idx="29">
                  <c:v>1.4147102495500982E-2</c:v>
                </c:pt>
                <c:pt idx="30">
                  <c:v>1.2412500085532662E-2</c:v>
                </c:pt>
                <c:pt idx="31">
                  <c:v>1.2518560587917314E-2</c:v>
                </c:pt>
                <c:pt idx="32">
                  <c:v>1.1440849031428122E-2</c:v>
                </c:pt>
                <c:pt idx="33">
                  <c:v>1.0393929233695764E-2</c:v>
                </c:pt>
                <c:pt idx="34">
                  <c:v>9.7233531541024883E-3</c:v>
                </c:pt>
                <c:pt idx="35">
                  <c:v>8.8474986827969861E-3</c:v>
                </c:pt>
                <c:pt idx="36">
                  <c:v>7.7013609957370518E-3</c:v>
                </c:pt>
                <c:pt idx="37">
                  <c:v>6.7023394894042141E-3</c:v>
                </c:pt>
                <c:pt idx="38">
                  <c:v>6.0146568771682531E-3</c:v>
                </c:pt>
                <c:pt idx="39">
                  <c:v>5.2722333604756982E-3</c:v>
                </c:pt>
                <c:pt idx="40">
                  <c:v>4.8103569791231879E-3</c:v>
                </c:pt>
                <c:pt idx="41">
                  <c:v>4.4203280348699562E-3</c:v>
                </c:pt>
                <c:pt idx="42">
                  <c:v>3.8900255229467029E-3</c:v>
                </c:pt>
                <c:pt idx="43">
                  <c:v>3.4452556742368776E-3</c:v>
                </c:pt>
                <c:pt idx="44">
                  <c:v>3.1681298454253712E-3</c:v>
                </c:pt>
                <c:pt idx="45">
                  <c:v>2.8636335643855678E-3</c:v>
                </c:pt>
                <c:pt idx="46">
                  <c:v>2.3264884394052399E-3</c:v>
                </c:pt>
                <c:pt idx="47">
                  <c:v>2.2067427109064407E-3</c:v>
                </c:pt>
                <c:pt idx="48">
                  <c:v>1.9877790930800652E-3</c:v>
                </c:pt>
                <c:pt idx="49">
                  <c:v>1.7619728621966156E-3</c:v>
                </c:pt>
                <c:pt idx="50">
                  <c:v>1.450633968099738E-3</c:v>
                </c:pt>
                <c:pt idx="51">
                  <c:v>1.306939093901179E-3</c:v>
                </c:pt>
                <c:pt idx="52">
                  <c:v>1.2111425111021397E-3</c:v>
                </c:pt>
                <c:pt idx="53">
                  <c:v>1.1016607021889519E-3</c:v>
                </c:pt>
                <c:pt idx="54">
                  <c:v>9.2375276270502177E-4</c:v>
                </c:pt>
                <c:pt idx="55">
                  <c:v>8.3479879296305675E-4</c:v>
                </c:pt>
                <c:pt idx="56">
                  <c:v>8.0400703420622263E-4</c:v>
                </c:pt>
                <c:pt idx="57">
                  <c:v>6.9794653182157199E-4</c:v>
                </c:pt>
                <c:pt idx="58">
                  <c:v>5.9188602943692134E-4</c:v>
                </c:pt>
                <c:pt idx="59">
                  <c:v>5.4056643150886458E-4</c:v>
                </c:pt>
                <c:pt idx="60">
                  <c:v>6.842613057074236E-4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48-4FBD-B191-FEF4647299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0247064"/>
        <c:axId val="340250200"/>
      </c:lineChart>
      <c:catAx>
        <c:axId val="340247064"/>
        <c:scaling>
          <c:orientation val="minMax"/>
        </c:scaling>
        <c:delete val="0"/>
        <c:axPos val="b"/>
        <c:majorTickMark val="none"/>
        <c:minorTickMark val="none"/>
        <c:tickLblPos val="nextTo"/>
        <c:crossAx val="340250200"/>
        <c:crosses val="autoZero"/>
        <c:auto val="1"/>
        <c:lblAlgn val="ctr"/>
        <c:lblOffset val="100"/>
        <c:tickLblSkip val="10"/>
        <c:noMultiLvlLbl val="0"/>
      </c:catAx>
      <c:valAx>
        <c:axId val="34025020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340247064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TLFD_Shop!$C$10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TLFD_Shop!$C$11:$C$71</c:f>
              <c:numCache>
                <c:formatCode>0.00%</c:formatCode>
                <c:ptCount val="61"/>
                <c:pt idx="0">
                  <c:v>0.182936851148471</c:v>
                </c:pt>
                <c:pt idx="1">
                  <c:v>0.21933886401220748</c:v>
                </c:pt>
                <c:pt idx="2">
                  <c:v>0.10378679228432686</c:v>
                </c:pt>
                <c:pt idx="3">
                  <c:v>0.10292807353321302</c:v>
                </c:pt>
                <c:pt idx="4">
                  <c:v>7.5080894444983226E-2</c:v>
                </c:pt>
                <c:pt idx="5">
                  <c:v>6.1326298775620396E-2</c:v>
                </c:pt>
                <c:pt idx="6">
                  <c:v>4.6692261797964672E-2</c:v>
                </c:pt>
                <c:pt idx="7">
                  <c:v>2.9553398077562191E-2</c:v>
                </c:pt>
                <c:pt idx="8">
                  <c:v>3.0585700987007389E-2</c:v>
                </c:pt>
                <c:pt idx="9">
                  <c:v>1.9990951672547219E-2</c:v>
                </c:pt>
                <c:pt idx="10">
                  <c:v>5.5614361481065152E-3</c:v>
                </c:pt>
                <c:pt idx="11">
                  <c:v>1.1841865514714982E-2</c:v>
                </c:pt>
                <c:pt idx="12">
                  <c:v>2.2114612886106597E-2</c:v>
                </c:pt>
                <c:pt idx="13">
                  <c:v>1.2841739214624085E-2</c:v>
                </c:pt>
                <c:pt idx="14">
                  <c:v>1.8352387633957575E-2</c:v>
                </c:pt>
                <c:pt idx="15">
                  <c:v>1.2518960936027168E-2</c:v>
                </c:pt>
                <c:pt idx="16">
                  <c:v>7.7322064411421291E-3</c:v>
                </c:pt>
                <c:pt idx="17">
                  <c:v>0</c:v>
                </c:pt>
                <c:pt idx="18">
                  <c:v>5.0941563551193366E-3</c:v>
                </c:pt>
                <c:pt idx="19">
                  <c:v>1.2618141687388984E-2</c:v>
                </c:pt>
                <c:pt idx="20">
                  <c:v>3.4032148219592948E-3</c:v>
                </c:pt>
                <c:pt idx="21">
                  <c:v>4.8453404001934427E-3</c:v>
                </c:pt>
                <c:pt idx="22">
                  <c:v>3.968934936246238E-3</c:v>
                </c:pt>
                <c:pt idx="23">
                  <c:v>0</c:v>
                </c:pt>
                <c:pt idx="24">
                  <c:v>3.6089949830391192E-3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2.390443473983264E-3</c:v>
                </c:pt>
                <c:pt idx="33">
                  <c:v>0</c:v>
                </c:pt>
                <c:pt idx="34">
                  <c:v>0</c:v>
                </c:pt>
                <c:pt idx="35">
                  <c:v>8.8747783348791759E-4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30-4932-A28F-6DBB9382CB9C}"/>
            </c:ext>
          </c:extLst>
        </c:ser>
        <c:ser>
          <c:idx val="1"/>
          <c:order val="1"/>
          <c:tx>
            <c:strRef>
              <c:f>TLFD_Shop!$G$10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TLFD_Shop!$G$11:$G$71</c:f>
              <c:numCache>
                <c:formatCode>0.00%</c:formatCode>
                <c:ptCount val="61"/>
                <c:pt idx="0">
                  <c:v>0.19699393908671256</c:v>
                </c:pt>
                <c:pt idx="1">
                  <c:v>0.14177404484378811</c:v>
                </c:pt>
                <c:pt idx="2">
                  <c:v>0.1019044511119067</c:v>
                </c:pt>
                <c:pt idx="3">
                  <c:v>8.9456292039071184E-2</c:v>
                </c:pt>
                <c:pt idx="4">
                  <c:v>7.8750685139831897E-2</c:v>
                </c:pt>
                <c:pt idx="5">
                  <c:v>6.0602796320997118E-2</c:v>
                </c:pt>
                <c:pt idx="6">
                  <c:v>4.1089380253398769E-2</c:v>
                </c:pt>
                <c:pt idx="7">
                  <c:v>3.553539123464574E-2</c:v>
                </c:pt>
                <c:pt idx="8">
                  <c:v>3.8231594688700972E-2</c:v>
                </c:pt>
                <c:pt idx="9">
                  <c:v>2.6537485465530735E-2</c:v>
                </c:pt>
                <c:pt idx="10">
                  <c:v>2.2339518865503488E-2</c:v>
                </c:pt>
                <c:pt idx="11">
                  <c:v>2.1978335324067181E-2</c:v>
                </c:pt>
                <c:pt idx="12">
                  <c:v>2.3609997813889092E-2</c:v>
                </c:pt>
                <c:pt idx="13">
                  <c:v>1.9073025609180397E-2</c:v>
                </c:pt>
                <c:pt idx="14">
                  <c:v>1.6950280234072281E-2</c:v>
                </c:pt>
                <c:pt idx="15">
                  <c:v>1.524257910394799E-2</c:v>
                </c:pt>
                <c:pt idx="16">
                  <c:v>1.337329586318114E-2</c:v>
                </c:pt>
                <c:pt idx="17">
                  <c:v>9.5016617611182741E-3</c:v>
                </c:pt>
                <c:pt idx="18">
                  <c:v>7.4517867496332723E-3</c:v>
                </c:pt>
                <c:pt idx="19">
                  <c:v>6.3397216352109598E-3</c:v>
                </c:pt>
                <c:pt idx="20">
                  <c:v>5.2371613508264449E-3</c:v>
                </c:pt>
                <c:pt idx="21">
                  <c:v>3.8874754854591942E-3</c:v>
                </c:pt>
                <c:pt idx="22">
                  <c:v>4.3848949241039326E-3</c:v>
                </c:pt>
                <c:pt idx="23">
                  <c:v>3.1936228926999735E-3</c:v>
                </c:pt>
                <c:pt idx="24">
                  <c:v>3.2981760231157466E-3</c:v>
                </c:pt>
                <c:pt idx="25">
                  <c:v>2.2114571221275611E-3</c:v>
                </c:pt>
                <c:pt idx="26">
                  <c:v>1.7710666637096085E-3</c:v>
                </c:pt>
                <c:pt idx="27">
                  <c:v>1.3528541420465166E-3</c:v>
                </c:pt>
                <c:pt idx="28">
                  <c:v>7.7305950974086669E-4</c:v>
                </c:pt>
                <c:pt idx="29">
                  <c:v>1.3211713752538583E-3</c:v>
                </c:pt>
                <c:pt idx="30">
                  <c:v>8.2375193660912018E-4</c:v>
                </c:pt>
                <c:pt idx="31">
                  <c:v>6.1781395245684011E-4</c:v>
                </c:pt>
                <c:pt idx="32">
                  <c:v>6.7801120936289124E-4</c:v>
                </c:pt>
                <c:pt idx="33">
                  <c:v>5.1642909872033301E-4</c:v>
                </c:pt>
                <c:pt idx="34">
                  <c:v>4.0237113826676257E-4</c:v>
                </c:pt>
                <c:pt idx="35">
                  <c:v>3.2633249796438222E-4</c:v>
                </c:pt>
                <c:pt idx="36">
                  <c:v>5.0058771532400384E-4</c:v>
                </c:pt>
                <c:pt idx="37">
                  <c:v>3.7385664815336994E-4</c:v>
                </c:pt>
                <c:pt idx="38">
                  <c:v>3.5484698807777484E-4</c:v>
                </c:pt>
                <c:pt idx="39">
                  <c:v>3.4851043471924314E-4</c:v>
                </c:pt>
                <c:pt idx="40">
                  <c:v>1.489090039254948E-4</c:v>
                </c:pt>
                <c:pt idx="41">
                  <c:v>1.489090039254948E-4</c:v>
                </c:pt>
                <c:pt idx="42">
                  <c:v>1.0455313041577295E-4</c:v>
                </c:pt>
                <c:pt idx="43">
                  <c:v>6.0197256906051093E-5</c:v>
                </c:pt>
                <c:pt idx="44">
                  <c:v>6.3365533585316936E-5</c:v>
                </c:pt>
                <c:pt idx="45">
                  <c:v>9.8216577057241261E-5</c:v>
                </c:pt>
                <c:pt idx="46">
                  <c:v>5.7028980226785243E-5</c:v>
                </c:pt>
                <c:pt idx="47">
                  <c:v>4.4355873509721855E-5</c:v>
                </c:pt>
                <c:pt idx="48">
                  <c:v>3.1682766792658468E-5</c:v>
                </c:pt>
                <c:pt idx="49">
                  <c:v>2.8514490113392621E-5</c:v>
                </c:pt>
                <c:pt idx="50">
                  <c:v>2.8514490113392621E-5</c:v>
                </c:pt>
                <c:pt idx="51">
                  <c:v>2.8514490113392621E-5</c:v>
                </c:pt>
                <c:pt idx="52">
                  <c:v>6.3365533585316936E-6</c:v>
                </c:pt>
                <c:pt idx="53">
                  <c:v>0</c:v>
                </c:pt>
                <c:pt idx="54">
                  <c:v>1.2673106717063387E-5</c:v>
                </c:pt>
                <c:pt idx="55">
                  <c:v>0</c:v>
                </c:pt>
                <c:pt idx="56">
                  <c:v>9.5048300377975404E-6</c:v>
                </c:pt>
                <c:pt idx="57">
                  <c:v>6.3365533585316936E-6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30-4932-A28F-6DBB9382CB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0250984"/>
        <c:axId val="340251376"/>
      </c:lineChart>
      <c:catAx>
        <c:axId val="340250984"/>
        <c:scaling>
          <c:orientation val="minMax"/>
        </c:scaling>
        <c:delete val="0"/>
        <c:axPos val="b"/>
        <c:majorTickMark val="none"/>
        <c:minorTickMark val="none"/>
        <c:tickLblPos val="nextTo"/>
        <c:crossAx val="340251376"/>
        <c:crosses val="autoZero"/>
        <c:auto val="1"/>
        <c:lblAlgn val="ctr"/>
        <c:lblOffset val="100"/>
        <c:tickLblSkip val="10"/>
        <c:noMultiLvlLbl val="0"/>
      </c:catAx>
      <c:valAx>
        <c:axId val="340251376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340250984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TDFD_Shop!$C$10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TDFD_Shop!$C$11:$C$71</c:f>
              <c:numCache>
                <c:formatCode>0.00%</c:formatCode>
                <c:ptCount val="61"/>
                <c:pt idx="0">
                  <c:v>9.9245577569848711E-3</c:v>
                </c:pt>
                <c:pt idx="1">
                  <c:v>9.4650266596167879E-3</c:v>
                </c:pt>
                <c:pt idx="2">
                  <c:v>3.6554207697513698E-2</c:v>
                </c:pt>
                <c:pt idx="3">
                  <c:v>7.2975972158147009E-2</c:v>
                </c:pt>
                <c:pt idx="4">
                  <c:v>6.4992630400954085E-2</c:v>
                </c:pt>
                <c:pt idx="5">
                  <c:v>0.11766702254237588</c:v>
                </c:pt>
                <c:pt idx="6">
                  <c:v>6.1522707259166705E-2</c:v>
                </c:pt>
                <c:pt idx="7">
                  <c:v>8.2482599867713807E-2</c:v>
                </c:pt>
                <c:pt idx="8">
                  <c:v>5.5557689566908937E-2</c:v>
                </c:pt>
                <c:pt idx="9">
                  <c:v>4.7538200124559171E-2</c:v>
                </c:pt>
                <c:pt idx="10">
                  <c:v>4.7053970387668169E-2</c:v>
                </c:pt>
                <c:pt idx="11">
                  <c:v>2.6793965166429571E-2</c:v>
                </c:pt>
                <c:pt idx="12">
                  <c:v>3.4093933810456209E-2</c:v>
                </c:pt>
                <c:pt idx="13">
                  <c:v>2.4471178948682445E-2</c:v>
                </c:pt>
                <c:pt idx="14">
                  <c:v>1.0626567760033671E-2</c:v>
                </c:pt>
                <c:pt idx="15">
                  <c:v>2.4794005086764229E-2</c:v>
                </c:pt>
                <c:pt idx="16">
                  <c:v>2.1903638230882934E-2</c:v>
                </c:pt>
                <c:pt idx="17">
                  <c:v>8.8584080665645767E-3</c:v>
                </c:pt>
                <c:pt idx="18">
                  <c:v>8.3549384536576472E-3</c:v>
                </c:pt>
                <c:pt idx="19">
                  <c:v>1.7412136626761904E-2</c:v>
                </c:pt>
                <c:pt idx="20">
                  <c:v>3.0962314229851871E-2</c:v>
                </c:pt>
                <c:pt idx="21">
                  <c:v>1.4798209964081434E-2</c:v>
                </c:pt>
                <c:pt idx="22">
                  <c:v>1.3058615674254394E-2</c:v>
                </c:pt>
                <c:pt idx="23">
                  <c:v>6.3898101508791279E-3</c:v>
                </c:pt>
                <c:pt idx="24">
                  <c:v>7.7483704480455287E-3</c:v>
                </c:pt>
                <c:pt idx="25">
                  <c:v>6.8357590394737249E-3</c:v>
                </c:pt>
                <c:pt idx="26">
                  <c:v>1.0619173399468813E-2</c:v>
                </c:pt>
                <c:pt idx="27">
                  <c:v>7.0369452703367454E-3</c:v>
                </c:pt>
                <c:pt idx="28">
                  <c:v>8.4824619181018794E-3</c:v>
                </c:pt>
                <c:pt idx="29">
                  <c:v>6.3107673059164624E-3</c:v>
                </c:pt>
                <c:pt idx="30">
                  <c:v>1.7121469990499258E-3</c:v>
                </c:pt>
                <c:pt idx="31">
                  <c:v>1.002545239412618E-2</c:v>
                </c:pt>
                <c:pt idx="32">
                  <c:v>8.6581903723209168E-3</c:v>
                </c:pt>
                <c:pt idx="33">
                  <c:v>7.3735273996045948E-4</c:v>
                </c:pt>
                <c:pt idx="34">
                  <c:v>1.5309103851757409E-2</c:v>
                </c:pt>
                <c:pt idx="35">
                  <c:v>4.5481140193892695E-3</c:v>
                </c:pt>
                <c:pt idx="36">
                  <c:v>1.5377107813575822E-2</c:v>
                </c:pt>
                <c:pt idx="37">
                  <c:v>1.247378999284519E-2</c:v>
                </c:pt>
                <c:pt idx="38">
                  <c:v>0</c:v>
                </c:pt>
                <c:pt idx="39">
                  <c:v>2.6442272782605578E-5</c:v>
                </c:pt>
                <c:pt idx="40">
                  <c:v>2.6442272782605578E-5</c:v>
                </c:pt>
                <c:pt idx="41">
                  <c:v>0</c:v>
                </c:pt>
                <c:pt idx="42">
                  <c:v>3.3122459946203085E-3</c:v>
                </c:pt>
                <c:pt idx="43">
                  <c:v>1.8710636411778581E-3</c:v>
                </c:pt>
                <c:pt idx="44">
                  <c:v>1.0313183830926497E-3</c:v>
                </c:pt>
                <c:pt idx="45">
                  <c:v>0</c:v>
                </c:pt>
                <c:pt idx="46">
                  <c:v>1.49761218447846E-2</c:v>
                </c:pt>
                <c:pt idx="47">
                  <c:v>2.9829578274460844E-3</c:v>
                </c:pt>
                <c:pt idx="48">
                  <c:v>8.874778334879177E-4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3.0865117733655818E-3</c:v>
                </c:pt>
                <c:pt idx="54">
                  <c:v>7.4898851700692785E-4</c:v>
                </c:pt>
                <c:pt idx="55">
                  <c:v>0</c:v>
                </c:pt>
                <c:pt idx="56">
                  <c:v>0</c:v>
                </c:pt>
                <c:pt idx="57">
                  <c:v>9.8597710880015473E-4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41-4AC4-8DEC-B8ECE6F8A247}"/>
            </c:ext>
          </c:extLst>
        </c:ser>
        <c:ser>
          <c:idx val="1"/>
          <c:order val="1"/>
          <c:tx>
            <c:strRef>
              <c:f>TDFD_Shop!$G$10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TDFD_Shop!$G$11:$G$71</c:f>
              <c:numCache>
                <c:formatCode>0.00%</c:formatCode>
                <c:ptCount val="61"/>
                <c:pt idx="0">
                  <c:v>6.4125919988340741E-3</c:v>
                </c:pt>
                <c:pt idx="1">
                  <c:v>2.31822804621882E-2</c:v>
                </c:pt>
                <c:pt idx="2">
                  <c:v>4.3725386450547951E-2</c:v>
                </c:pt>
                <c:pt idx="3">
                  <c:v>6.8073592730705984E-2</c:v>
                </c:pt>
                <c:pt idx="4">
                  <c:v>7.6076659622531517E-2</c:v>
                </c:pt>
                <c:pt idx="5">
                  <c:v>6.2687522375954041E-2</c:v>
                </c:pt>
                <c:pt idx="6">
                  <c:v>5.4266242962465426E-2</c:v>
                </c:pt>
                <c:pt idx="7">
                  <c:v>5.3496351729403827E-2</c:v>
                </c:pt>
                <c:pt idx="8">
                  <c:v>4.6120603620072934E-2</c:v>
                </c:pt>
                <c:pt idx="9">
                  <c:v>4.1171755447059678E-2</c:v>
                </c:pt>
                <c:pt idx="10">
                  <c:v>4.063314841158449E-2</c:v>
                </c:pt>
                <c:pt idx="11">
                  <c:v>3.3079976808214707E-2</c:v>
                </c:pt>
                <c:pt idx="12">
                  <c:v>2.9499824160644301E-2</c:v>
                </c:pt>
                <c:pt idx="13">
                  <c:v>2.5070573363030646E-2</c:v>
                </c:pt>
                <c:pt idx="14">
                  <c:v>1.9145895972803514E-2</c:v>
                </c:pt>
                <c:pt idx="15">
                  <c:v>2.1002506106853298E-2</c:v>
                </c:pt>
                <c:pt idx="16">
                  <c:v>2.2979510754715188E-2</c:v>
                </c:pt>
                <c:pt idx="17">
                  <c:v>2.1414382075157858E-2</c:v>
                </c:pt>
                <c:pt idx="18">
                  <c:v>1.829996609943953E-2</c:v>
                </c:pt>
                <c:pt idx="19">
                  <c:v>1.7206910645092815E-2</c:v>
                </c:pt>
                <c:pt idx="20">
                  <c:v>1.7153049941545297E-2</c:v>
                </c:pt>
                <c:pt idx="21">
                  <c:v>1.7884921854455706E-2</c:v>
                </c:pt>
                <c:pt idx="22">
                  <c:v>1.8189076415665226E-2</c:v>
                </c:pt>
                <c:pt idx="23">
                  <c:v>1.8718178621102623E-2</c:v>
                </c:pt>
                <c:pt idx="24">
                  <c:v>1.6031479997085187E-2</c:v>
                </c:pt>
                <c:pt idx="25">
                  <c:v>1.5385151554514953E-2</c:v>
                </c:pt>
                <c:pt idx="26">
                  <c:v>1.3249733072689772E-2</c:v>
                </c:pt>
                <c:pt idx="27">
                  <c:v>1.3069141301971619E-2</c:v>
                </c:pt>
                <c:pt idx="28">
                  <c:v>1.3050131641896024E-2</c:v>
                </c:pt>
                <c:pt idx="29">
                  <c:v>1.2619246013515868E-2</c:v>
                </c:pt>
                <c:pt idx="30">
                  <c:v>1.0220860567311623E-2</c:v>
                </c:pt>
                <c:pt idx="31">
                  <c:v>9.6125514448925798E-3</c:v>
                </c:pt>
                <c:pt idx="32">
                  <c:v>8.9282036821711572E-3</c:v>
                </c:pt>
                <c:pt idx="33">
                  <c:v>8.345240773186241E-3</c:v>
                </c:pt>
                <c:pt idx="34">
                  <c:v>7.5373302199734501E-3</c:v>
                </c:pt>
                <c:pt idx="35">
                  <c:v>6.7420927734777219E-3</c:v>
                </c:pt>
                <c:pt idx="36">
                  <c:v>6.0228939672843746E-3</c:v>
                </c:pt>
                <c:pt idx="37">
                  <c:v>5.1737958172411282E-3</c:v>
                </c:pt>
                <c:pt idx="38">
                  <c:v>4.8411267659182137E-3</c:v>
                </c:pt>
                <c:pt idx="39">
                  <c:v>3.770249248326358E-3</c:v>
                </c:pt>
                <c:pt idx="40">
                  <c:v>3.9033168688555235E-3</c:v>
                </c:pt>
                <c:pt idx="41">
                  <c:v>4.106086576328538E-3</c:v>
                </c:pt>
                <c:pt idx="42">
                  <c:v>3.4058974302107856E-3</c:v>
                </c:pt>
                <c:pt idx="43">
                  <c:v>2.6581841339040455E-3</c:v>
                </c:pt>
                <c:pt idx="44">
                  <c:v>2.6360061971491848E-3</c:v>
                </c:pt>
                <c:pt idx="45">
                  <c:v>2.1766060786556369E-3</c:v>
                </c:pt>
                <c:pt idx="46">
                  <c:v>1.9548267111070276E-3</c:v>
                </c:pt>
                <c:pt idx="47">
                  <c:v>1.8629466874083181E-3</c:v>
                </c:pt>
                <c:pt idx="48">
                  <c:v>1.5556238495195308E-3</c:v>
                </c:pt>
                <c:pt idx="49">
                  <c:v>1.4383976123866944E-3</c:v>
                </c:pt>
                <c:pt idx="50">
                  <c:v>1.2483010116307437E-3</c:v>
                </c:pt>
                <c:pt idx="51">
                  <c:v>1.0930554543467173E-3</c:v>
                </c:pt>
                <c:pt idx="52">
                  <c:v>9.4731472710048821E-4</c:v>
                </c:pt>
                <c:pt idx="53">
                  <c:v>8.9028574687370296E-4</c:v>
                </c:pt>
                <c:pt idx="54">
                  <c:v>8.3008848996765194E-4</c:v>
                </c:pt>
                <c:pt idx="55">
                  <c:v>7.4454501962747401E-4</c:v>
                </c:pt>
                <c:pt idx="56">
                  <c:v>6.5583327260803031E-4</c:v>
                </c:pt>
                <c:pt idx="57">
                  <c:v>5.1009254536180137E-4</c:v>
                </c:pt>
                <c:pt idx="58">
                  <c:v>5.7345807894711826E-4</c:v>
                </c:pt>
                <c:pt idx="59">
                  <c:v>4.5623184181428194E-4</c:v>
                </c:pt>
                <c:pt idx="60">
                  <c:v>5.4177531215445981E-4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41-4AC4-8DEC-B8ECE6F8A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0251768"/>
        <c:axId val="340252160"/>
      </c:lineChart>
      <c:catAx>
        <c:axId val="340251768"/>
        <c:scaling>
          <c:orientation val="minMax"/>
        </c:scaling>
        <c:delete val="0"/>
        <c:axPos val="b"/>
        <c:majorTickMark val="none"/>
        <c:minorTickMark val="none"/>
        <c:tickLblPos val="nextTo"/>
        <c:crossAx val="340252160"/>
        <c:crosses val="autoZero"/>
        <c:auto val="1"/>
        <c:lblAlgn val="ctr"/>
        <c:lblOffset val="100"/>
        <c:tickLblSkip val="10"/>
        <c:noMultiLvlLbl val="0"/>
      </c:catAx>
      <c:valAx>
        <c:axId val="34025216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340251768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TLFD_Meal!$C$10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TLFD_Meal!$C$11:$C$71</c:f>
              <c:numCache>
                <c:formatCode>0.00%</c:formatCode>
                <c:ptCount val="61"/>
                <c:pt idx="0">
                  <c:v>0.38361449555254917</c:v>
                </c:pt>
                <c:pt idx="1">
                  <c:v>0.14411832297958829</c:v>
                </c:pt>
                <c:pt idx="2">
                  <c:v>9.6121814846209547E-2</c:v>
                </c:pt>
                <c:pt idx="3">
                  <c:v>9.5021750056130366E-2</c:v>
                </c:pt>
                <c:pt idx="4">
                  <c:v>5.8859517737522876E-2</c:v>
                </c:pt>
                <c:pt idx="5">
                  <c:v>5.3899360101035215E-2</c:v>
                </c:pt>
                <c:pt idx="6">
                  <c:v>3.03031870579594E-2</c:v>
                </c:pt>
                <c:pt idx="7">
                  <c:v>6.5831432430394892E-3</c:v>
                </c:pt>
                <c:pt idx="8">
                  <c:v>4.9423196359604914E-3</c:v>
                </c:pt>
                <c:pt idx="9">
                  <c:v>2.1289855693291497E-2</c:v>
                </c:pt>
                <c:pt idx="10">
                  <c:v>1.0757604060380435E-2</c:v>
                </c:pt>
                <c:pt idx="11">
                  <c:v>3.7716095076122612E-3</c:v>
                </c:pt>
                <c:pt idx="12">
                  <c:v>7.6619739917064339E-3</c:v>
                </c:pt>
                <c:pt idx="13">
                  <c:v>1.7093788108940987E-2</c:v>
                </c:pt>
                <c:pt idx="14">
                  <c:v>1.5121582286359472E-2</c:v>
                </c:pt>
                <c:pt idx="15">
                  <c:v>6.9316025944750406E-3</c:v>
                </c:pt>
                <c:pt idx="16">
                  <c:v>2.4289391119246592E-2</c:v>
                </c:pt>
                <c:pt idx="17">
                  <c:v>0</c:v>
                </c:pt>
                <c:pt idx="18">
                  <c:v>3.2413617628384941E-3</c:v>
                </c:pt>
                <c:pt idx="19">
                  <c:v>0</c:v>
                </c:pt>
                <c:pt idx="20">
                  <c:v>4.8322131834517392E-3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7.8805767260973977E-3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3.6645297556045656E-3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C5-4517-9472-E775D88C89C2}"/>
            </c:ext>
          </c:extLst>
        </c:ser>
        <c:ser>
          <c:idx val="1"/>
          <c:order val="1"/>
          <c:tx>
            <c:strRef>
              <c:f>TLFD_Meal!$G$10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TLFD_Meal!$G$11:$G$71</c:f>
              <c:numCache>
                <c:formatCode>0.00%</c:formatCode>
                <c:ptCount val="61"/>
                <c:pt idx="0">
                  <c:v>0.19719693835333058</c:v>
                </c:pt>
                <c:pt idx="1">
                  <c:v>0.13837531030202729</c:v>
                </c:pt>
                <c:pt idx="2">
                  <c:v>0.10102916839056682</c:v>
                </c:pt>
                <c:pt idx="3">
                  <c:v>8.7453454695904015E-2</c:v>
                </c:pt>
                <c:pt idx="4">
                  <c:v>7.3005016549441457E-2</c:v>
                </c:pt>
                <c:pt idx="5">
                  <c:v>5.6397393462970624E-2</c:v>
                </c:pt>
                <c:pt idx="6">
                  <c:v>3.8975227554820024E-2</c:v>
                </c:pt>
                <c:pt idx="7">
                  <c:v>3.2879085643359535E-2</c:v>
                </c:pt>
                <c:pt idx="8">
                  <c:v>3.2827368638808439E-2</c:v>
                </c:pt>
                <c:pt idx="9">
                  <c:v>2.2445179975175839E-2</c:v>
                </c:pt>
                <c:pt idx="10">
                  <c:v>2.2736088125775756E-2</c:v>
                </c:pt>
                <c:pt idx="11">
                  <c:v>2.2697300372362433E-2</c:v>
                </c:pt>
                <c:pt idx="12">
                  <c:v>2.3899720728175426E-2</c:v>
                </c:pt>
                <c:pt idx="13">
                  <c:v>2.0008016135705419E-2</c:v>
                </c:pt>
                <c:pt idx="14">
                  <c:v>1.8941352916839058E-2</c:v>
                </c:pt>
                <c:pt idx="15">
                  <c:v>1.9380947455523375E-2</c:v>
                </c:pt>
                <c:pt idx="16">
                  <c:v>1.6471865949524205E-2</c:v>
                </c:pt>
                <c:pt idx="17">
                  <c:v>1.1765618535374431E-2</c:v>
                </c:pt>
                <c:pt idx="18">
                  <c:v>8.9858295407530004E-3</c:v>
                </c:pt>
                <c:pt idx="19">
                  <c:v>8.7143152668597429E-3</c:v>
                </c:pt>
                <c:pt idx="20">
                  <c:v>7.0141187422424495E-3</c:v>
                </c:pt>
                <c:pt idx="21">
                  <c:v>5.779375258585023E-3</c:v>
                </c:pt>
                <c:pt idx="22">
                  <c:v>6.5615949524203557E-3</c:v>
                </c:pt>
                <c:pt idx="23">
                  <c:v>4.9066508067852708E-3</c:v>
                </c:pt>
                <c:pt idx="24">
                  <c:v>3.335746793545718E-3</c:v>
                </c:pt>
                <c:pt idx="25">
                  <c:v>2.9801923872569301E-3</c:v>
                </c:pt>
                <c:pt idx="26">
                  <c:v>2.1268618121638395E-3</c:v>
                </c:pt>
                <c:pt idx="27">
                  <c:v>1.8747414149772445E-3</c:v>
                </c:pt>
                <c:pt idx="28">
                  <c:v>1.3123189904840711E-3</c:v>
                </c:pt>
                <c:pt idx="29">
                  <c:v>1.4803992552751344E-3</c:v>
                </c:pt>
                <c:pt idx="30">
                  <c:v>1.2088849813818785E-3</c:v>
                </c:pt>
                <c:pt idx="31">
                  <c:v>1.0408047165908151E-3</c:v>
                </c:pt>
                <c:pt idx="32">
                  <c:v>7.4989656599089782E-4</c:v>
                </c:pt>
                <c:pt idx="33">
                  <c:v>8.6625982623086473E-4</c:v>
                </c:pt>
                <c:pt idx="34">
                  <c:v>5.1717004551096399E-4</c:v>
                </c:pt>
                <c:pt idx="35">
                  <c:v>3.2323127844435248E-4</c:v>
                </c:pt>
                <c:pt idx="36">
                  <c:v>5.8828092676872161E-4</c:v>
                </c:pt>
                <c:pt idx="37">
                  <c:v>4.3312991311543237E-4</c:v>
                </c:pt>
                <c:pt idx="38">
                  <c:v>6.2706868018204387E-4</c:v>
                </c:pt>
                <c:pt idx="39">
                  <c:v>6.2706868018204387E-4</c:v>
                </c:pt>
                <c:pt idx="40">
                  <c:v>3.1030202730657842E-4</c:v>
                </c:pt>
                <c:pt idx="41">
                  <c:v>2.0686801820438559E-4</c:v>
                </c:pt>
                <c:pt idx="42">
                  <c:v>1.2282788580885394E-4</c:v>
                </c:pt>
                <c:pt idx="43">
                  <c:v>7.1110881257757552E-5</c:v>
                </c:pt>
                <c:pt idx="44">
                  <c:v>9.05047579644187E-5</c:v>
                </c:pt>
                <c:pt idx="45">
                  <c:v>2.0686801820438559E-4</c:v>
                </c:pt>
                <c:pt idx="46">
                  <c:v>6.4646255688870498E-5</c:v>
                </c:pt>
                <c:pt idx="47">
                  <c:v>9.6969383533305754E-5</c:v>
                </c:pt>
                <c:pt idx="48">
                  <c:v>6.4646255688870498E-5</c:v>
                </c:pt>
                <c:pt idx="49">
                  <c:v>6.4646255688870498E-5</c:v>
                </c:pt>
                <c:pt idx="50">
                  <c:v>7.7575506826644606E-5</c:v>
                </c:pt>
                <c:pt idx="51">
                  <c:v>1.9393876706661151E-5</c:v>
                </c:pt>
                <c:pt idx="52">
                  <c:v>1.2929251137774099E-5</c:v>
                </c:pt>
                <c:pt idx="53">
                  <c:v>1.9393876706661151E-5</c:v>
                </c:pt>
                <c:pt idx="54">
                  <c:v>1.2929251137774099E-5</c:v>
                </c:pt>
                <c:pt idx="55">
                  <c:v>0</c:v>
                </c:pt>
                <c:pt idx="56">
                  <c:v>0</c:v>
                </c:pt>
                <c:pt idx="57">
                  <c:v>1.2929251137774099E-5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C5-4517-9472-E775D88C89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348344"/>
        <c:axId val="131346384"/>
      </c:lineChart>
      <c:catAx>
        <c:axId val="131348344"/>
        <c:scaling>
          <c:orientation val="minMax"/>
        </c:scaling>
        <c:delete val="0"/>
        <c:axPos val="b"/>
        <c:majorTickMark val="none"/>
        <c:minorTickMark val="none"/>
        <c:tickLblPos val="nextTo"/>
        <c:crossAx val="131346384"/>
        <c:crosses val="autoZero"/>
        <c:auto val="1"/>
        <c:lblAlgn val="ctr"/>
        <c:lblOffset val="100"/>
        <c:tickLblSkip val="10"/>
        <c:noMultiLvlLbl val="0"/>
      </c:catAx>
      <c:valAx>
        <c:axId val="131346384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31348344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TDFD_Meal!$C$10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TDFD_Meal!$C$11:$C$71</c:f>
              <c:numCache>
                <c:formatCode>0.00%</c:formatCode>
                <c:ptCount val="61"/>
                <c:pt idx="0">
                  <c:v>0</c:v>
                </c:pt>
                <c:pt idx="1">
                  <c:v>2.0756168652276957E-3</c:v>
                </c:pt>
                <c:pt idx="2">
                  <c:v>2.3207279474661037E-3</c:v>
                </c:pt>
                <c:pt idx="3">
                  <c:v>6.3663094370976295E-2</c:v>
                </c:pt>
                <c:pt idx="4">
                  <c:v>6.299342806705191E-2</c:v>
                </c:pt>
                <c:pt idx="5">
                  <c:v>0.127553405610071</c:v>
                </c:pt>
                <c:pt idx="6">
                  <c:v>8.015615442580433E-2</c:v>
                </c:pt>
                <c:pt idx="7">
                  <c:v>9.2949840266606742E-2</c:v>
                </c:pt>
                <c:pt idx="8">
                  <c:v>5.1847998190021137E-2</c:v>
                </c:pt>
                <c:pt idx="9">
                  <c:v>0.1308682342155677</c:v>
                </c:pt>
                <c:pt idx="10">
                  <c:v>4.2236007105338466E-2</c:v>
                </c:pt>
                <c:pt idx="11">
                  <c:v>2.5681887588056351E-2</c:v>
                </c:pt>
                <c:pt idx="12">
                  <c:v>2.9210907122274823E-2</c:v>
                </c:pt>
                <c:pt idx="13">
                  <c:v>1.6430904539029741E-2</c:v>
                </c:pt>
                <c:pt idx="14">
                  <c:v>2.3821760287222264E-2</c:v>
                </c:pt>
                <c:pt idx="15">
                  <c:v>2.3452904726714449E-2</c:v>
                </c:pt>
                <c:pt idx="16">
                  <c:v>6.6018502568859928E-3</c:v>
                </c:pt>
                <c:pt idx="17">
                  <c:v>1.7254671641955246E-3</c:v>
                </c:pt>
                <c:pt idx="18">
                  <c:v>2.9839365555234788E-2</c:v>
                </c:pt>
                <c:pt idx="19">
                  <c:v>1.1167808694325862E-2</c:v>
                </c:pt>
                <c:pt idx="20">
                  <c:v>1.5304508775779699E-2</c:v>
                </c:pt>
                <c:pt idx="21">
                  <c:v>2.128222719691969E-2</c:v>
                </c:pt>
                <c:pt idx="22">
                  <c:v>2.1840727418275018E-3</c:v>
                </c:pt>
                <c:pt idx="23">
                  <c:v>1.466749360163287E-3</c:v>
                </c:pt>
                <c:pt idx="24">
                  <c:v>1.0011527450800781E-2</c:v>
                </c:pt>
                <c:pt idx="25">
                  <c:v>8.1060374115535221E-3</c:v>
                </c:pt>
                <c:pt idx="26">
                  <c:v>7.1469628052343694E-3</c:v>
                </c:pt>
                <c:pt idx="27">
                  <c:v>0</c:v>
                </c:pt>
                <c:pt idx="28">
                  <c:v>1.2025245720981081E-2</c:v>
                </c:pt>
                <c:pt idx="29">
                  <c:v>3.7369246064691379E-3</c:v>
                </c:pt>
                <c:pt idx="30">
                  <c:v>2.8245201518786412E-3</c:v>
                </c:pt>
                <c:pt idx="31">
                  <c:v>1.3834613490402192E-2</c:v>
                </c:pt>
                <c:pt idx="32">
                  <c:v>0</c:v>
                </c:pt>
                <c:pt idx="33">
                  <c:v>8.5132172915743879E-3</c:v>
                </c:pt>
                <c:pt idx="34">
                  <c:v>0</c:v>
                </c:pt>
                <c:pt idx="35">
                  <c:v>1.6369653636407941E-4</c:v>
                </c:pt>
                <c:pt idx="36">
                  <c:v>5.2683387174347392E-3</c:v>
                </c:pt>
                <c:pt idx="37">
                  <c:v>0</c:v>
                </c:pt>
                <c:pt idx="38">
                  <c:v>0</c:v>
                </c:pt>
                <c:pt idx="39">
                  <c:v>7.8805767260973995E-3</c:v>
                </c:pt>
                <c:pt idx="40">
                  <c:v>7.2972695814071632E-3</c:v>
                </c:pt>
                <c:pt idx="41">
                  <c:v>0</c:v>
                </c:pt>
                <c:pt idx="42">
                  <c:v>2.1067601761965665E-3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2.1092939596253362E-3</c:v>
                </c:pt>
                <c:pt idx="47">
                  <c:v>3.664529755604566E-3</c:v>
                </c:pt>
                <c:pt idx="48">
                  <c:v>0</c:v>
                </c:pt>
                <c:pt idx="49">
                  <c:v>0</c:v>
                </c:pt>
                <c:pt idx="50">
                  <c:v>1.3470192481539651E-3</c:v>
                </c:pt>
                <c:pt idx="51">
                  <c:v>0</c:v>
                </c:pt>
                <c:pt idx="52">
                  <c:v>1.5264153071823402E-2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2.0621899397813602E-3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01-4FA1-A655-C6B6A23892C7}"/>
            </c:ext>
          </c:extLst>
        </c:ser>
        <c:ser>
          <c:idx val="1"/>
          <c:order val="1"/>
          <c:tx>
            <c:strRef>
              <c:f>TDFD_Meal!$G$10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TDFD_Meal!$G$11:$G$71</c:f>
              <c:numCache>
                <c:formatCode>0.00%</c:formatCode>
                <c:ptCount val="61"/>
                <c:pt idx="0">
                  <c:v>4.1567542407943735E-3</c:v>
                </c:pt>
                <c:pt idx="1">
                  <c:v>2.2070231692180389E-2</c:v>
                </c:pt>
                <c:pt idx="2">
                  <c:v>4.0268152668597436E-2</c:v>
                </c:pt>
                <c:pt idx="3">
                  <c:v>6.2997776168804309E-2</c:v>
                </c:pt>
                <c:pt idx="4">
                  <c:v>7.1479364915184113E-2</c:v>
                </c:pt>
                <c:pt idx="5">
                  <c:v>6.1640204799338023E-2</c:v>
                </c:pt>
                <c:pt idx="6">
                  <c:v>5.4748913942904424E-2</c:v>
                </c:pt>
                <c:pt idx="7">
                  <c:v>5.450325817128672E-2</c:v>
                </c:pt>
                <c:pt idx="8">
                  <c:v>4.7411563922217625E-2</c:v>
                </c:pt>
                <c:pt idx="9">
                  <c:v>4.2233398841539101E-2</c:v>
                </c:pt>
                <c:pt idx="10">
                  <c:v>4.0507343814646254E-2</c:v>
                </c:pt>
                <c:pt idx="11">
                  <c:v>3.203221969383533E-2</c:v>
                </c:pt>
                <c:pt idx="12">
                  <c:v>2.8431423251965245E-2</c:v>
                </c:pt>
                <c:pt idx="13">
                  <c:v>2.3686388084402151E-2</c:v>
                </c:pt>
                <c:pt idx="14">
                  <c:v>1.9031857674803476E-2</c:v>
                </c:pt>
                <c:pt idx="15">
                  <c:v>2.0408822920976417E-2</c:v>
                </c:pt>
                <c:pt idx="16">
                  <c:v>2.1527203144393877E-2</c:v>
                </c:pt>
                <c:pt idx="17">
                  <c:v>2.0208419528340918E-2</c:v>
                </c:pt>
                <c:pt idx="18">
                  <c:v>1.6885601985932974E-2</c:v>
                </c:pt>
                <c:pt idx="19">
                  <c:v>1.7105399255275135E-2</c:v>
                </c:pt>
                <c:pt idx="20">
                  <c:v>1.6122776168804302E-2</c:v>
                </c:pt>
                <c:pt idx="21">
                  <c:v>1.6762774100124122E-2</c:v>
                </c:pt>
                <c:pt idx="22">
                  <c:v>1.6517118328506414E-2</c:v>
                </c:pt>
                <c:pt idx="23">
                  <c:v>1.7195904013239553E-2</c:v>
                </c:pt>
                <c:pt idx="24">
                  <c:v>1.589004964832437E-2</c:v>
                </c:pt>
                <c:pt idx="25">
                  <c:v>1.6071059164253207E-2</c:v>
                </c:pt>
                <c:pt idx="26">
                  <c:v>1.4816921803889119E-2</c:v>
                </c:pt>
                <c:pt idx="27">
                  <c:v>1.461651841125362E-2</c:v>
                </c:pt>
                <c:pt idx="28">
                  <c:v>1.4907426561853537E-2</c:v>
                </c:pt>
                <c:pt idx="29">
                  <c:v>1.4474296648738104E-2</c:v>
                </c:pt>
                <c:pt idx="30">
                  <c:v>1.2179354571783202E-2</c:v>
                </c:pt>
                <c:pt idx="31">
                  <c:v>1.2024203558129913E-2</c:v>
                </c:pt>
                <c:pt idx="32">
                  <c:v>1.0873500206868019E-2</c:v>
                </c:pt>
                <c:pt idx="33">
                  <c:v>9.7486553578816706E-3</c:v>
                </c:pt>
                <c:pt idx="34">
                  <c:v>9.6064335953661567E-3</c:v>
                </c:pt>
                <c:pt idx="35">
                  <c:v>8.1324989656599098E-3</c:v>
                </c:pt>
                <c:pt idx="36">
                  <c:v>7.3050268928423669E-3</c:v>
                </c:pt>
                <c:pt idx="37">
                  <c:v>6.6844228382292098E-3</c:v>
                </c:pt>
                <c:pt idx="38">
                  <c:v>5.4238208522962347E-3</c:v>
                </c:pt>
                <c:pt idx="39">
                  <c:v>4.4864501448076124E-3</c:v>
                </c:pt>
                <c:pt idx="40">
                  <c:v>4.1115018618121642E-3</c:v>
                </c:pt>
                <c:pt idx="41">
                  <c:v>4.0597848572610671E-3</c:v>
                </c:pt>
                <c:pt idx="42">
                  <c:v>3.7818059577989244E-3</c:v>
                </c:pt>
                <c:pt idx="43">
                  <c:v>2.9995862639635913E-3</c:v>
                </c:pt>
                <c:pt idx="44">
                  <c:v>3.238777410012412E-3</c:v>
                </c:pt>
                <c:pt idx="45">
                  <c:v>2.4113053371948696E-3</c:v>
                </c:pt>
                <c:pt idx="46">
                  <c:v>1.9846400496483243E-3</c:v>
                </c:pt>
                <c:pt idx="47">
                  <c:v>2.1203971865949526E-3</c:v>
                </c:pt>
                <c:pt idx="48">
                  <c:v>1.8488829127016964E-3</c:v>
                </c:pt>
                <c:pt idx="49">
                  <c:v>1.8553475382705833E-3</c:v>
                </c:pt>
                <c:pt idx="50">
                  <c:v>1.4997931319817956E-3</c:v>
                </c:pt>
                <c:pt idx="51">
                  <c:v>1.1119155978485725E-3</c:v>
                </c:pt>
                <c:pt idx="52">
                  <c:v>1.157167976830782E-3</c:v>
                </c:pt>
                <c:pt idx="53">
                  <c:v>9.6969383533305749E-4</c:v>
                </c:pt>
                <c:pt idx="54">
                  <c:v>9.1151220521307403E-4</c:v>
                </c:pt>
                <c:pt idx="55">
                  <c:v>9.5676458419528343E-4</c:v>
                </c:pt>
                <c:pt idx="56">
                  <c:v>7.1757343814646257E-4</c:v>
                </c:pt>
                <c:pt idx="57">
                  <c:v>6.9817956143980139E-4</c:v>
                </c:pt>
                <c:pt idx="58">
                  <c:v>6.335333057509309E-4</c:v>
                </c:pt>
                <c:pt idx="59">
                  <c:v>5.0424079437318993E-4</c:v>
                </c:pt>
                <c:pt idx="60">
                  <c:v>6.2060405461315685E-4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01-4FA1-A655-C6B6A23892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343248"/>
        <c:axId val="131342856"/>
      </c:lineChart>
      <c:catAx>
        <c:axId val="131343248"/>
        <c:scaling>
          <c:orientation val="minMax"/>
        </c:scaling>
        <c:delete val="0"/>
        <c:axPos val="b"/>
        <c:majorTickMark val="none"/>
        <c:minorTickMark val="none"/>
        <c:tickLblPos val="nextTo"/>
        <c:crossAx val="131342856"/>
        <c:crosses val="autoZero"/>
        <c:auto val="1"/>
        <c:lblAlgn val="ctr"/>
        <c:lblOffset val="100"/>
        <c:tickLblSkip val="10"/>
        <c:noMultiLvlLbl val="0"/>
      </c:catAx>
      <c:valAx>
        <c:axId val="131342856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31343248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TLFD_SocRec!$C$10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TLFD_SocRec!$C$11:$C$71</c:f>
              <c:numCache>
                <c:formatCode>0.00%</c:formatCode>
                <c:ptCount val="61"/>
                <c:pt idx="0">
                  <c:v>0.21184033144131748</c:v>
                </c:pt>
                <c:pt idx="1">
                  <c:v>0.17749782235608291</c:v>
                </c:pt>
                <c:pt idx="2">
                  <c:v>0.13024415894237715</c:v>
                </c:pt>
                <c:pt idx="3">
                  <c:v>7.288810346032458E-2</c:v>
                </c:pt>
                <c:pt idx="4">
                  <c:v>6.2291065993336586E-2</c:v>
                </c:pt>
                <c:pt idx="5">
                  <c:v>4.1264389295902169E-2</c:v>
                </c:pt>
                <c:pt idx="6">
                  <c:v>2.9206010740916839E-2</c:v>
                </c:pt>
                <c:pt idx="7">
                  <c:v>5.319411108845476E-2</c:v>
                </c:pt>
                <c:pt idx="8">
                  <c:v>1.908286875042756E-2</c:v>
                </c:pt>
                <c:pt idx="9">
                  <c:v>1.8059443938082301E-2</c:v>
                </c:pt>
                <c:pt idx="10">
                  <c:v>1.8771168095913369E-2</c:v>
                </c:pt>
                <c:pt idx="11">
                  <c:v>1.9560891362514571E-2</c:v>
                </c:pt>
                <c:pt idx="12">
                  <c:v>3.0154188138763172E-3</c:v>
                </c:pt>
                <c:pt idx="13">
                  <c:v>2.1277824338291427E-2</c:v>
                </c:pt>
                <c:pt idx="14">
                  <c:v>8.095735115274557E-3</c:v>
                </c:pt>
                <c:pt idx="15">
                  <c:v>2.2927638102474678E-2</c:v>
                </c:pt>
                <c:pt idx="16">
                  <c:v>9.7190247935053601E-3</c:v>
                </c:pt>
                <c:pt idx="17">
                  <c:v>9.258108420327647E-3</c:v>
                </c:pt>
                <c:pt idx="18">
                  <c:v>8.8039413423954636E-3</c:v>
                </c:pt>
                <c:pt idx="19">
                  <c:v>5.761512233017354E-4</c:v>
                </c:pt>
                <c:pt idx="20">
                  <c:v>1.5103103135212432E-3</c:v>
                </c:pt>
                <c:pt idx="21">
                  <c:v>4.6308319539051295E-3</c:v>
                </c:pt>
                <c:pt idx="22">
                  <c:v>2.955596548648627E-3</c:v>
                </c:pt>
                <c:pt idx="23">
                  <c:v>3.4565977556112806E-2</c:v>
                </c:pt>
                <c:pt idx="24">
                  <c:v>0</c:v>
                </c:pt>
                <c:pt idx="25">
                  <c:v>4.9579429303883964E-3</c:v>
                </c:pt>
                <c:pt idx="26">
                  <c:v>0</c:v>
                </c:pt>
                <c:pt idx="27">
                  <c:v>1.5860994176418075E-3</c:v>
                </c:pt>
                <c:pt idx="28">
                  <c:v>0</c:v>
                </c:pt>
                <c:pt idx="29">
                  <c:v>3.0796021228933252E-3</c:v>
                </c:pt>
                <c:pt idx="30">
                  <c:v>2.7947790065766531E-5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3.7065604577392495E-3</c:v>
                </c:pt>
                <c:pt idx="37">
                  <c:v>0</c:v>
                </c:pt>
                <c:pt idx="38">
                  <c:v>3.5208740722774957E-4</c:v>
                </c:pt>
                <c:pt idx="39">
                  <c:v>0</c:v>
                </c:pt>
                <c:pt idx="40">
                  <c:v>1.6913243315079894E-3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3.3615115552505419E-3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C1-4D05-806F-9ED9A0717958}"/>
            </c:ext>
          </c:extLst>
        </c:ser>
        <c:ser>
          <c:idx val="1"/>
          <c:order val="1"/>
          <c:tx>
            <c:strRef>
              <c:f>TLFD_SocRec!$G$10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TLFD_SocRec!$G$11:$G$71</c:f>
              <c:numCache>
                <c:formatCode>0.00%</c:formatCode>
                <c:ptCount val="61"/>
                <c:pt idx="0">
                  <c:v>8.1171491232777712E-2</c:v>
                </c:pt>
                <c:pt idx="1">
                  <c:v>8.5522008393349724E-2</c:v>
                </c:pt>
                <c:pt idx="2">
                  <c:v>9.0004901487261493E-2</c:v>
                </c:pt>
                <c:pt idx="3">
                  <c:v>0.10772896564307871</c:v>
                </c:pt>
                <c:pt idx="4">
                  <c:v>9.6727452264165126E-2</c:v>
                </c:pt>
                <c:pt idx="5">
                  <c:v>8.9185601791726146E-2</c:v>
                </c:pt>
                <c:pt idx="6">
                  <c:v>7.5711878414494088E-2</c:v>
                </c:pt>
                <c:pt idx="7">
                  <c:v>6.3014521997660167E-2</c:v>
                </c:pt>
                <c:pt idx="8">
                  <c:v>5.8935912159623911E-2</c:v>
                </c:pt>
                <c:pt idx="9">
                  <c:v>3.9698469090219568E-2</c:v>
                </c:pt>
                <c:pt idx="10">
                  <c:v>3.0729105174467902E-2</c:v>
                </c:pt>
                <c:pt idx="11">
                  <c:v>2.8489447491476062E-2</c:v>
                </c:pt>
                <c:pt idx="12">
                  <c:v>2.8925930298704505E-2</c:v>
                </c:pt>
                <c:pt idx="13">
                  <c:v>2.3645203876825983E-2</c:v>
                </c:pt>
                <c:pt idx="14">
                  <c:v>1.9208821245979529E-2</c:v>
                </c:pt>
                <c:pt idx="15">
                  <c:v>1.8146236051333239E-2</c:v>
                </c:pt>
                <c:pt idx="16">
                  <c:v>1.3810029802473641E-2</c:v>
                </c:pt>
                <c:pt idx="17">
                  <c:v>9.7671972437184049E-3</c:v>
                </c:pt>
                <c:pt idx="18">
                  <c:v>9.1983385031501903E-3</c:v>
                </c:pt>
                <c:pt idx="19">
                  <c:v>7.0874790255700216E-3</c:v>
                </c:pt>
                <c:pt idx="20">
                  <c:v>5.1555059443949523E-3</c:v>
                </c:pt>
                <c:pt idx="21">
                  <c:v>3.6242383911673053E-3</c:v>
                </c:pt>
                <c:pt idx="22">
                  <c:v>3.2521546866446996E-3</c:v>
                </c:pt>
                <c:pt idx="23">
                  <c:v>2.3076345136257767E-3</c:v>
                </c:pt>
                <c:pt idx="24">
                  <c:v>1.5384230090838512E-3</c:v>
                </c:pt>
                <c:pt idx="25">
                  <c:v>1.2879820541167126E-3</c:v>
                </c:pt>
                <c:pt idx="26">
                  <c:v>9.0874289373790284E-4</c:v>
                </c:pt>
                <c:pt idx="27">
                  <c:v>7.978333279667414E-4</c:v>
                </c:pt>
                <c:pt idx="28">
                  <c:v>5.5097010092770491E-4</c:v>
                </c:pt>
                <c:pt idx="29">
                  <c:v>5.7243646849631678E-4</c:v>
                </c:pt>
                <c:pt idx="30">
                  <c:v>5.1877054957478704E-4</c:v>
                </c:pt>
                <c:pt idx="31">
                  <c:v>4.4006053515654347E-4</c:v>
                </c:pt>
                <c:pt idx="32">
                  <c:v>3.7566143245070785E-4</c:v>
                </c:pt>
                <c:pt idx="33">
                  <c:v>2.7548505046385245E-4</c:v>
                </c:pt>
                <c:pt idx="34">
                  <c:v>2.0750821982991482E-4</c:v>
                </c:pt>
                <c:pt idx="35">
                  <c:v>1.8246412433320095E-4</c:v>
                </c:pt>
                <c:pt idx="36">
                  <c:v>1.9319730811750689E-4</c:v>
                </c:pt>
                <c:pt idx="37">
                  <c:v>2.110859477580168E-4</c:v>
                </c:pt>
                <c:pt idx="38">
                  <c:v>2.2897458739852669E-4</c:v>
                </c:pt>
                <c:pt idx="39">
                  <c:v>1.5026457298028314E-4</c:v>
                </c:pt>
                <c:pt idx="40">
                  <c:v>7.8710014418243546E-5</c:v>
                </c:pt>
                <c:pt idx="41">
                  <c:v>7.5132286490141572E-5</c:v>
                </c:pt>
                <c:pt idx="42">
                  <c:v>7.5132286490141572E-5</c:v>
                </c:pt>
                <c:pt idx="43">
                  <c:v>7.5132286490141572E-5</c:v>
                </c:pt>
                <c:pt idx="44">
                  <c:v>5.0088190993427717E-5</c:v>
                </c:pt>
                <c:pt idx="45">
                  <c:v>4.6510463065325736E-5</c:v>
                </c:pt>
                <c:pt idx="46">
                  <c:v>1.7888639640509899E-5</c:v>
                </c:pt>
                <c:pt idx="47">
                  <c:v>1.7888639640509899E-5</c:v>
                </c:pt>
                <c:pt idx="48">
                  <c:v>2.8621823424815836E-5</c:v>
                </c:pt>
                <c:pt idx="49">
                  <c:v>7.1554558562039591E-6</c:v>
                </c:pt>
                <c:pt idx="50">
                  <c:v>7.1554558562039591E-6</c:v>
                </c:pt>
                <c:pt idx="51">
                  <c:v>3.5777279281019795E-6</c:v>
                </c:pt>
                <c:pt idx="52">
                  <c:v>0</c:v>
                </c:pt>
                <c:pt idx="53">
                  <c:v>3.5777279281019795E-6</c:v>
                </c:pt>
                <c:pt idx="54">
                  <c:v>3.5777279281019795E-6</c:v>
                </c:pt>
                <c:pt idx="55">
                  <c:v>7.1554558562039591E-6</c:v>
                </c:pt>
                <c:pt idx="56">
                  <c:v>3.5777279281019795E-6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9C1-4D05-806F-9ED9A07179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345208"/>
        <c:axId val="131343640"/>
      </c:lineChart>
      <c:catAx>
        <c:axId val="131345208"/>
        <c:scaling>
          <c:orientation val="minMax"/>
        </c:scaling>
        <c:delete val="0"/>
        <c:axPos val="b"/>
        <c:majorTickMark val="none"/>
        <c:minorTickMark val="none"/>
        <c:tickLblPos val="nextTo"/>
        <c:crossAx val="131343640"/>
        <c:crosses val="autoZero"/>
        <c:auto val="1"/>
        <c:lblAlgn val="ctr"/>
        <c:lblOffset val="100"/>
        <c:tickLblSkip val="10"/>
        <c:noMultiLvlLbl val="0"/>
      </c:catAx>
      <c:valAx>
        <c:axId val="131343640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31345208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TDFD_SocRec!$C$10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TDFD_SocRec!$C$11:$C$71</c:f>
              <c:numCache>
                <c:formatCode>0.00%</c:formatCode>
                <c:ptCount val="61"/>
                <c:pt idx="0">
                  <c:v>1.8533693667124485E-3</c:v>
                </c:pt>
                <c:pt idx="1">
                  <c:v>1.2136554212625229E-2</c:v>
                </c:pt>
                <c:pt idx="2">
                  <c:v>1.7940280219590567E-2</c:v>
                </c:pt>
                <c:pt idx="3">
                  <c:v>3.2832675636525616E-2</c:v>
                </c:pt>
                <c:pt idx="4">
                  <c:v>6.6114695213156841E-2</c:v>
                </c:pt>
                <c:pt idx="5">
                  <c:v>3.6495448270626195E-2</c:v>
                </c:pt>
                <c:pt idx="6">
                  <c:v>7.5131177886538641E-2</c:v>
                </c:pt>
                <c:pt idx="7">
                  <c:v>8.864647476271395E-2</c:v>
                </c:pt>
                <c:pt idx="8">
                  <c:v>6.6454356632825243E-2</c:v>
                </c:pt>
                <c:pt idx="9">
                  <c:v>8.0930761464156301E-2</c:v>
                </c:pt>
                <c:pt idx="10">
                  <c:v>3.6422419748679817E-2</c:v>
                </c:pt>
                <c:pt idx="11">
                  <c:v>1.2116999180108065E-2</c:v>
                </c:pt>
                <c:pt idx="12">
                  <c:v>2.3807531095490077E-2</c:v>
                </c:pt>
                <c:pt idx="13">
                  <c:v>1.163753314687381E-2</c:v>
                </c:pt>
                <c:pt idx="14">
                  <c:v>1.4728478035008506E-2</c:v>
                </c:pt>
                <c:pt idx="15">
                  <c:v>2.409245756271881E-2</c:v>
                </c:pt>
                <c:pt idx="16">
                  <c:v>1.4045200481262225E-2</c:v>
                </c:pt>
                <c:pt idx="17">
                  <c:v>1.0267349960026158E-2</c:v>
                </c:pt>
                <c:pt idx="18">
                  <c:v>3.9278299499246487E-2</c:v>
                </c:pt>
                <c:pt idx="19">
                  <c:v>2.7075340614753401E-2</c:v>
                </c:pt>
                <c:pt idx="20">
                  <c:v>1.6222307807775862E-2</c:v>
                </c:pt>
                <c:pt idx="21">
                  <c:v>1.7192300288948303E-2</c:v>
                </c:pt>
                <c:pt idx="22">
                  <c:v>5.7473215622706542E-3</c:v>
                </c:pt>
                <c:pt idx="23">
                  <c:v>6.8802874209520195E-3</c:v>
                </c:pt>
                <c:pt idx="24">
                  <c:v>5.2849387628788715E-3</c:v>
                </c:pt>
                <c:pt idx="25">
                  <c:v>9.9089873889563057E-3</c:v>
                </c:pt>
                <c:pt idx="26">
                  <c:v>1.7765038562330322E-2</c:v>
                </c:pt>
                <c:pt idx="27">
                  <c:v>5.425008685172354E-3</c:v>
                </c:pt>
                <c:pt idx="28">
                  <c:v>6.3428404162677457E-3</c:v>
                </c:pt>
                <c:pt idx="29">
                  <c:v>2.2469809924777949E-2</c:v>
                </c:pt>
                <c:pt idx="30">
                  <c:v>9.8757238095735483E-3</c:v>
                </c:pt>
                <c:pt idx="31">
                  <c:v>8.6765787396476911E-3</c:v>
                </c:pt>
                <c:pt idx="32">
                  <c:v>3.1620970627114109E-2</c:v>
                </c:pt>
                <c:pt idx="33">
                  <c:v>4.4690060647111576E-3</c:v>
                </c:pt>
                <c:pt idx="34">
                  <c:v>4.166308847688812E-3</c:v>
                </c:pt>
                <c:pt idx="35">
                  <c:v>2.9165185593388772E-3</c:v>
                </c:pt>
                <c:pt idx="36">
                  <c:v>9.2489710074683297E-3</c:v>
                </c:pt>
                <c:pt idx="37">
                  <c:v>1.3257036208821965E-2</c:v>
                </c:pt>
                <c:pt idx="38">
                  <c:v>2.7259948031009605E-3</c:v>
                </c:pt>
                <c:pt idx="39">
                  <c:v>6.3676222052250131E-3</c:v>
                </c:pt>
                <c:pt idx="40">
                  <c:v>6.1336520656874284E-4</c:v>
                </c:pt>
                <c:pt idx="41">
                  <c:v>1.4142964963366385E-3</c:v>
                </c:pt>
                <c:pt idx="42">
                  <c:v>1.6897419196332073E-3</c:v>
                </c:pt>
                <c:pt idx="43">
                  <c:v>1.5860994176418071E-3</c:v>
                </c:pt>
                <c:pt idx="44">
                  <c:v>2.8781242154663519E-3</c:v>
                </c:pt>
                <c:pt idx="45">
                  <c:v>2.9597263670491395E-3</c:v>
                </c:pt>
                <c:pt idx="46">
                  <c:v>7.4173882548051566E-3</c:v>
                </c:pt>
                <c:pt idx="47">
                  <c:v>1.829375082492823E-3</c:v>
                </c:pt>
                <c:pt idx="48">
                  <c:v>3.2426790412968844E-2</c:v>
                </c:pt>
                <c:pt idx="49">
                  <c:v>6.4631561428068847E-3</c:v>
                </c:pt>
                <c:pt idx="50">
                  <c:v>0</c:v>
                </c:pt>
                <c:pt idx="51">
                  <c:v>4.724015638347877E-3</c:v>
                </c:pt>
                <c:pt idx="52">
                  <c:v>1.0773566562391459E-3</c:v>
                </c:pt>
                <c:pt idx="53">
                  <c:v>2.8510153073390662E-3</c:v>
                </c:pt>
                <c:pt idx="54">
                  <c:v>2.4236248796727644E-3</c:v>
                </c:pt>
                <c:pt idx="55">
                  <c:v>0</c:v>
                </c:pt>
                <c:pt idx="56">
                  <c:v>1.2502270404005013E-3</c:v>
                </c:pt>
                <c:pt idx="57">
                  <c:v>0</c:v>
                </c:pt>
                <c:pt idx="58">
                  <c:v>4.3043505819000899E-3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96-48A5-AAA5-DA95BA7A82BF}"/>
            </c:ext>
          </c:extLst>
        </c:ser>
        <c:ser>
          <c:idx val="1"/>
          <c:order val="1"/>
          <c:tx>
            <c:strRef>
              <c:f>TDFD_SocRec!$G$10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TDFD_SocRec!$G$11:$G$71</c:f>
              <c:numCache>
                <c:formatCode>0.00%</c:formatCode>
                <c:ptCount val="61"/>
                <c:pt idx="0">
                  <c:v>2.8335605190567678E-3</c:v>
                </c:pt>
                <c:pt idx="1">
                  <c:v>1.1516706200560271E-2</c:v>
                </c:pt>
                <c:pt idx="2">
                  <c:v>1.4890503636760439E-2</c:v>
                </c:pt>
                <c:pt idx="3">
                  <c:v>2.1974404934402357E-2</c:v>
                </c:pt>
                <c:pt idx="4">
                  <c:v>2.8954552122129322E-2</c:v>
                </c:pt>
                <c:pt idx="5">
                  <c:v>3.36127538845181E-2</c:v>
                </c:pt>
                <c:pt idx="6">
                  <c:v>3.7430189583802911E-2</c:v>
                </c:pt>
                <c:pt idx="7">
                  <c:v>4.3301241113818258E-2</c:v>
                </c:pt>
                <c:pt idx="8">
                  <c:v>4.6360198492345454E-2</c:v>
                </c:pt>
                <c:pt idx="9">
                  <c:v>4.341572840751752E-2</c:v>
                </c:pt>
                <c:pt idx="10">
                  <c:v>4.2542762793060636E-2</c:v>
                </c:pt>
                <c:pt idx="11">
                  <c:v>3.7759340553188289E-2</c:v>
                </c:pt>
                <c:pt idx="12">
                  <c:v>3.5745079729666875E-2</c:v>
                </c:pt>
                <c:pt idx="13">
                  <c:v>2.741612911304547E-2</c:v>
                </c:pt>
                <c:pt idx="14">
                  <c:v>2.2045959492964399E-2</c:v>
                </c:pt>
                <c:pt idx="15">
                  <c:v>2.888299756356728E-2</c:v>
                </c:pt>
                <c:pt idx="16">
                  <c:v>3.2571635057440422E-2</c:v>
                </c:pt>
                <c:pt idx="17">
                  <c:v>3.1902599934885353E-2</c:v>
                </c:pt>
                <c:pt idx="18">
                  <c:v>3.1519783046578438E-2</c:v>
                </c:pt>
                <c:pt idx="19">
                  <c:v>3.003502595641612E-2</c:v>
                </c:pt>
                <c:pt idx="20">
                  <c:v>2.6099525235503941E-2</c:v>
                </c:pt>
                <c:pt idx="21">
                  <c:v>2.6432253932817423E-2</c:v>
                </c:pt>
                <c:pt idx="22">
                  <c:v>2.6131724786856859E-2</c:v>
                </c:pt>
                <c:pt idx="23">
                  <c:v>2.3487783847989496E-2</c:v>
                </c:pt>
                <c:pt idx="24">
                  <c:v>2.1069239768592558E-2</c:v>
                </c:pt>
                <c:pt idx="25">
                  <c:v>2.2643440056957429E-2</c:v>
                </c:pt>
                <c:pt idx="26">
                  <c:v>1.8300078352241626E-2</c:v>
                </c:pt>
                <c:pt idx="27">
                  <c:v>1.7498667296346783E-2</c:v>
                </c:pt>
                <c:pt idx="28">
                  <c:v>1.9895745008175109E-2</c:v>
                </c:pt>
                <c:pt idx="29">
                  <c:v>1.4922703188113357E-2</c:v>
                </c:pt>
                <c:pt idx="30">
                  <c:v>1.2793955070892678E-2</c:v>
                </c:pt>
                <c:pt idx="31">
                  <c:v>1.1581105303266108E-2</c:v>
                </c:pt>
                <c:pt idx="32">
                  <c:v>1.0142858676169111E-2</c:v>
                </c:pt>
                <c:pt idx="33">
                  <c:v>9.5310672004636741E-3</c:v>
                </c:pt>
                <c:pt idx="34">
                  <c:v>7.8352241625433347E-3</c:v>
                </c:pt>
                <c:pt idx="35">
                  <c:v>7.4595627300926273E-3</c:v>
                </c:pt>
                <c:pt idx="36">
                  <c:v>5.8531628903748384E-3</c:v>
                </c:pt>
                <c:pt idx="37">
                  <c:v>5.2055941353883802E-3</c:v>
                </c:pt>
                <c:pt idx="38">
                  <c:v>5.1877054957478706E-3</c:v>
                </c:pt>
                <c:pt idx="39">
                  <c:v>4.2789626020099678E-3</c:v>
                </c:pt>
                <c:pt idx="40">
                  <c:v>3.8317466109972203E-3</c:v>
                </c:pt>
                <c:pt idx="41">
                  <c:v>3.6385493028797131E-3</c:v>
                </c:pt>
                <c:pt idx="42">
                  <c:v>3.2414215028603935E-3</c:v>
                </c:pt>
                <c:pt idx="43">
                  <c:v>2.965936452396541E-3</c:v>
                </c:pt>
                <c:pt idx="44">
                  <c:v>2.8764932541939917E-3</c:v>
                </c:pt>
                <c:pt idx="45">
                  <c:v>2.5616531965210174E-3</c:v>
                </c:pt>
                <c:pt idx="46">
                  <c:v>2.1788363082141057E-3</c:v>
                </c:pt>
                <c:pt idx="47">
                  <c:v>2.3326786091224906E-3</c:v>
                </c:pt>
                <c:pt idx="48">
                  <c:v>1.9105067136064571E-3</c:v>
                </c:pt>
                <c:pt idx="49">
                  <c:v>1.7208871334170521E-3</c:v>
                </c:pt>
                <c:pt idx="50">
                  <c:v>1.4310911712407917E-3</c:v>
                </c:pt>
                <c:pt idx="51">
                  <c:v>1.2414715910513869E-3</c:v>
                </c:pt>
                <c:pt idx="52">
                  <c:v>1.2307384072670811E-3</c:v>
                </c:pt>
                <c:pt idx="53">
                  <c:v>1.3273370613258344E-3</c:v>
                </c:pt>
                <c:pt idx="54">
                  <c:v>1.1019402018554098E-3</c:v>
                </c:pt>
                <c:pt idx="55">
                  <c:v>1.0375410991495741E-3</c:v>
                </c:pt>
                <c:pt idx="56">
                  <c:v>1.0339633712214721E-3</c:v>
                </c:pt>
                <c:pt idx="57">
                  <c:v>8.9443198202549489E-4</c:v>
                </c:pt>
                <c:pt idx="58">
                  <c:v>6.5830193877076427E-4</c:v>
                </c:pt>
                <c:pt idx="59">
                  <c:v>7.1196785769229391E-4</c:v>
                </c:pt>
                <c:pt idx="60">
                  <c:v>1.0876292901430018E-3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96-48A5-AAA5-DA95BA7A8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345992"/>
        <c:axId val="131348736"/>
      </c:lineChart>
      <c:catAx>
        <c:axId val="131345992"/>
        <c:scaling>
          <c:orientation val="minMax"/>
        </c:scaling>
        <c:delete val="0"/>
        <c:axPos val="b"/>
        <c:majorTickMark val="none"/>
        <c:minorTickMark val="none"/>
        <c:tickLblPos val="nextTo"/>
        <c:crossAx val="131348736"/>
        <c:crosses val="autoZero"/>
        <c:auto val="1"/>
        <c:lblAlgn val="ctr"/>
        <c:lblOffset val="100"/>
        <c:tickLblSkip val="10"/>
        <c:noMultiLvlLbl val="0"/>
      </c:catAx>
      <c:valAx>
        <c:axId val="131348736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3134599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drawings/_rels/drawing1.xml.rels><?xml version="1.0" encoding="UTF-8" standalone="no"?><Relationships xmlns="http://schemas.openxmlformats.org/package/2006/relationships"><Relationship Id="rId1" Target="../charts/chart1.xml" Type="http://schemas.openxmlformats.org/officeDocument/2006/relationships/chart"/></Relationships>
</file>

<file path=xl/drawings/_rels/drawing2.xml.rels><?xml version="1.0" encoding="UTF-8" standalone="no"?><Relationships xmlns="http://schemas.openxmlformats.org/package/2006/relationships"><Relationship Id="rId1" Target="../charts/chart2.xml" Type="http://schemas.openxmlformats.org/officeDocument/2006/relationships/chart"/></Relationships>
</file>

<file path=xl/drawings/_rels/drawing3.xml.rels><?xml version="1.0" encoding="UTF-8" standalone="no"?><Relationships xmlns="http://schemas.openxmlformats.org/package/2006/relationships"><Relationship Id="rId1" Target="../charts/chart3.xml" Type="http://schemas.openxmlformats.org/officeDocument/2006/relationships/chart"/></Relationships>
</file>

<file path=xl/drawings/_rels/drawing4.xml.rels><?xml version="1.0" encoding="UTF-8" standalone="no"?><Relationships xmlns="http://schemas.openxmlformats.org/package/2006/relationships"><Relationship Id="rId1" Target="../charts/chart4.xml" Type="http://schemas.openxmlformats.org/officeDocument/2006/relationships/chart"/></Relationships>
</file>

<file path=xl/drawings/_rels/drawing5.xml.rels><?xml version="1.0" encoding="UTF-8" standalone="no"?><Relationships xmlns="http://schemas.openxmlformats.org/package/2006/relationships"><Relationship Id="rId1" Target="../charts/chart5.xml" Type="http://schemas.openxmlformats.org/officeDocument/2006/relationships/chart"/></Relationships>
</file>

<file path=xl/drawings/_rels/drawing6.xml.rels><?xml version="1.0" encoding="UTF-8" standalone="no"?><Relationships xmlns="http://schemas.openxmlformats.org/package/2006/relationships"><Relationship Id="rId1" Target="../charts/chart6.xml" Type="http://schemas.openxmlformats.org/officeDocument/2006/relationships/chart"/></Relationships>
</file>

<file path=xl/drawings/_rels/drawing7.xml.rels><?xml version="1.0" encoding="UTF-8" standalone="no"?><Relationships xmlns="http://schemas.openxmlformats.org/package/2006/relationships"><Relationship Id="rId1" Target="../charts/chart7.xml" Type="http://schemas.openxmlformats.org/officeDocument/2006/relationships/chart"/></Relationships>
</file>

<file path=xl/drawings/_rels/drawing8.xml.rels><?xml version="1.0" encoding="UTF-8" standalone="no"?><Relationships xmlns="http://schemas.openxmlformats.org/package/2006/relationships"><Relationship Id="rId1" Target="../charts/chart8.xml" Type="http://schemas.openxmlformats.org/officeDocument/2006/relationships/chart"/></Relationships>
</file>

<file path=xl/drawings/_rels/drawing9.xml.rels><?xml version="1.0" encoding="UTF-8" standalone="no"?><Relationships xmlns="http://schemas.openxmlformats.org/package/2006/relationships"><Relationship Id="rId1" Target="../charts/chart9.xml" Type="http://schemas.openxmlformats.org/officeDocument/2006/relationships/chart"/></Relationships>
</file>

<file path=xl/drawings/_rels/drawing10.xml.rels><?xml version="1.0" encoding="UTF-8" standalone="no"?><Relationships xmlns="http://schemas.openxmlformats.org/package/2006/relationships"><Relationship Id="rId1" Target="../charts/chart10.xml" Type="http://schemas.openxmlformats.org/officeDocument/2006/relationships/chart"/></Relationships>
</file>

<file path=xl/drawings/_rels/drawing11.xml.rels><?xml version="1.0" encoding="UTF-8" standalone="no"?><Relationships xmlns="http://schemas.openxmlformats.org/package/2006/relationships"><Relationship Id="rId1" Target="../charts/chart11.xml" Type="http://schemas.openxmlformats.org/officeDocument/2006/relationships/chart"/></Relationships>
</file>

<file path=xl/drawings/_rels/drawing12.xml.rels><?xml version="1.0" encoding="UTF-8" standalone="no"?><Relationships xmlns="http://schemas.openxmlformats.org/package/2006/relationships"><Relationship Id="rId1" Target="../charts/chart12.xml" Type="http://schemas.openxmlformats.org/officeDocument/2006/relationships/chart"/></Relationships>
</file>

<file path=xl/drawings/_rels/drawing13.xml.rels><?xml version="1.0" encoding="UTF-8" standalone="no"?><Relationships xmlns="http://schemas.openxmlformats.org/package/2006/relationships"><Relationship Id="rId1" Target="../charts/chart13.xml" Type="http://schemas.openxmlformats.org/officeDocument/2006/relationships/chart"/></Relationships>
</file>

<file path=xl/drawings/_rels/drawing14.xml.rels><?xml version="1.0" encoding="UTF-8" standalone="no"?><Relationships xmlns="http://schemas.openxmlformats.org/package/2006/relationships"><Relationship Id="rId1" Target="../charts/chart14.xml" Type="http://schemas.openxmlformats.org/officeDocument/2006/relationships/chart"/></Relationships>
</file>

<file path=xl/drawings/_rels/drawing15.xml.rels><?xml version="1.0" encoding="UTF-8" standalone="no"?><Relationships xmlns="http://schemas.openxmlformats.org/package/2006/relationships"><Relationship Id="rId1" Target="../charts/chart15.xml" Type="http://schemas.openxmlformats.org/officeDocument/2006/relationships/chart"/></Relationships>
</file>

<file path=xl/drawings/_rels/drawing16.xml.rels><?xml version="1.0" encoding="UTF-8" standalone="no"?><Relationships xmlns="http://schemas.openxmlformats.org/package/2006/relationships"><Relationship Id="rId1" Target="../charts/chart16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no"?><Relationships xmlns="http://schemas.openxmlformats.org/package/2006/relationships"><Relationship Id="rId1" Target="../drawings/drawing2.xml" Type="http://schemas.openxmlformats.org/officeDocument/2006/relationships/drawing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drawings/drawing4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5.xml" Type="http://schemas.openxmlformats.org/officeDocument/2006/relationships/drawing"/></Relationships>
</file>

<file path=xl/worksheets/_rels/sheet6.xml.rels><?xml version="1.0" encoding="UTF-8" standalone="no"?><Relationships xmlns="http://schemas.openxmlformats.org/package/2006/relationships"><Relationship Id="rId1" Target="../drawings/drawing6.xml" Type="http://schemas.openxmlformats.org/officeDocument/2006/relationships/drawing"/></Relationships>
</file>

<file path=xl/worksheets/_rels/sheet7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7.xml" Type="http://schemas.openxmlformats.org/officeDocument/2006/relationships/drawing"/></Relationships>
</file>

<file path=xl/worksheets/_rels/sheet8.xml.rels><?xml version="1.0" encoding="UTF-8" standalone="no"?><Relationships xmlns="http://schemas.openxmlformats.org/package/2006/relationships"><Relationship Id="rId1" Target="../drawings/drawing8.xml" Type="http://schemas.openxmlformats.org/officeDocument/2006/relationships/drawing"/></Relationships>
</file>

<file path=xl/worksheets/_rels/sheet9.xml.rels><?xml version="1.0" encoding="UTF-8" standalone="no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drawings/drawing9.xml" Type="http://schemas.openxmlformats.org/officeDocument/2006/relationships/drawing"/></Relationships>
</file>

<file path=xl/worksheets/_rels/sheet10.xml.rels><?xml version="1.0" encoding="UTF-8" standalone="no"?><Relationships xmlns="http://schemas.openxmlformats.org/package/2006/relationships"><Relationship Id="rId1" Target="../drawings/drawing10.xml" Type="http://schemas.openxmlformats.org/officeDocument/2006/relationships/drawing"/></Relationships>
</file>

<file path=xl/worksheets/_rels/sheet11.xml.rels><?xml version="1.0" encoding="UTF-8" standalone="no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11.xml" Type="http://schemas.openxmlformats.org/officeDocument/2006/relationships/drawing"/></Relationships>
</file>

<file path=xl/worksheets/_rels/sheet12.xml.rels><?xml version="1.0" encoding="UTF-8" standalone="no"?><Relationships xmlns="http://schemas.openxmlformats.org/package/2006/relationships"><Relationship Id="rId1" Target="../drawings/drawing12.xml" Type="http://schemas.openxmlformats.org/officeDocument/2006/relationships/drawing"/></Relationships>
</file>

<file path=xl/worksheets/_rels/sheet13.xml.rels><?xml version="1.0" encoding="UTF-8" standalone="no"?><Relationships xmlns="http://schemas.openxmlformats.org/package/2006/relationships"><Relationship Id="rId1" Target="../printerSettings/printerSettings7.bin" Type="http://schemas.openxmlformats.org/officeDocument/2006/relationships/printerSettings"/><Relationship Id="rId2" Target="../drawings/drawing13.xml" Type="http://schemas.openxmlformats.org/officeDocument/2006/relationships/drawing"/></Relationships>
</file>

<file path=xl/worksheets/_rels/sheet14.xml.rels><?xml version="1.0" encoding="UTF-8" standalone="no"?><Relationships xmlns="http://schemas.openxmlformats.org/package/2006/relationships"><Relationship Id="rId1" Target="../drawings/drawing14.xml" Type="http://schemas.openxmlformats.org/officeDocument/2006/relationships/drawing"/></Relationships>
</file>

<file path=xl/worksheets/_rels/sheet15.xml.rels><?xml version="1.0" encoding="UTF-8" standalone="no"?><Relationships xmlns="http://schemas.openxmlformats.org/package/2006/relationships"><Relationship Id="rId1" Target="../printerSettings/printerSettings8.bin" Type="http://schemas.openxmlformats.org/officeDocument/2006/relationships/printerSettings"/><Relationship Id="rId2" Target="../drawings/drawing15.xml" Type="http://schemas.openxmlformats.org/officeDocument/2006/relationships/drawing"/></Relationships>
</file>

<file path=xl/worksheets/_rels/sheet16.xml.rels><?xml version="1.0" encoding="UTF-8" standalone="no"?><Relationships xmlns="http://schemas.openxmlformats.org/package/2006/relationships"><Relationship Id="rId1" Target="../drawings/drawing16.xml" Type="http://schemas.openxmlformats.org/officeDocument/2006/relationships/drawing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102"/>
  <sheetViews>
    <sheetView tabSelected="1" topLeftCell="O1" workbookViewId="0">
      <selection activeCell="T21" sqref="T21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  <col min="20" max="20" bestFit="true" customWidth="true" width="15.28515625" collapsed="true"/>
    <col min="21" max="21" bestFit="true" customWidth="true" width="14.28515625" collapsed="true"/>
    <col min="23" max="23" bestFit="true" customWidth="true" width="12.28515625" collapsed="true"/>
    <col min="25" max="25" bestFit="true" customWidth="true" width="14.28515625" collapsed="true"/>
    <col min="27" max="27" bestFit="true" customWidth="true" width="12.28515625" collapsed="true"/>
  </cols>
  <sheetData>
    <row r="1" spans="1:27" x14ac:dyDescent="0.25">
      <c r="A1" t="s">
        <v>1</v>
      </c>
    </row>
    <row r="2" spans="1:27" x14ac:dyDescent="0.25">
      <c r="A2" t="s">
        <v>19</v>
      </c>
    </row>
    <row r="3" spans="1:27" x14ac:dyDescent="0.25">
      <c r="A3" t="s">
        <v>20</v>
      </c>
    </row>
    <row r="4" spans="1:27" x14ac:dyDescent="0.25">
      <c r="A4" t="s">
        <v>4</v>
      </c>
    </row>
    <row r="5" spans="1:27" x14ac:dyDescent="0.25">
      <c r="A5" t="s">
        <v>6</v>
      </c>
    </row>
    <row r="7" spans="1:27" x14ac:dyDescent="0.25">
      <c r="A7" t="s">
        <v>9</v>
      </c>
      <c r="T7" t="s">
        <v>23</v>
      </c>
    </row>
    <row r="8" spans="1:27" x14ac:dyDescent="0.25">
      <c r="U8" t="s">
        <v>17</v>
      </c>
      <c r="Y8" t="s">
        <v>13</v>
      </c>
    </row>
    <row ht="15.75" r="9" spans="1:27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  <c r="S9" t="s">
        <v>40</v>
      </c>
      <c r="T9" s="374" t="s">
        <v>39</v>
      </c>
      <c r="U9" s="374" t="s">
        <v>25</v>
      </c>
      <c r="V9" s="374" t="s">
        <v>24</v>
      </c>
      <c r="W9" s="374" t="s">
        <v>33</v>
      </c>
      <c r="X9" s="374"/>
      <c r="Y9" s="374" t="s">
        <v>25</v>
      </c>
      <c r="Z9" s="374" t="s">
        <v>24</v>
      </c>
      <c r="AA9" s="374" t="s">
        <v>33</v>
      </c>
    </row>
    <row r="10" spans="1:27" x14ac:dyDescent="0.2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  <c r="S10" t="s">
        <v>41</v>
      </c>
      <c r="T10" t="s">
        <v>26</v>
      </c>
      <c r="U10" s="373">
        <f>B102</f>
        <v>693986.08506952086</v>
      </c>
      <c r="V10" s="6">
        <f>K11</f>
        <v>5.0060949982708234</v>
      </c>
      <c r="W10" s="373">
        <f>U10*V10</f>
        <v>3474160.2693360783</v>
      </c>
      <c r="Y10" s="373">
        <f>F102</f>
        <v>950484</v>
      </c>
      <c r="Z10" s="6">
        <f>L11</f>
        <v>8.3509554002137527</v>
      </c>
      <c r="AA10" s="373">
        <f>Y10*Z10</f>
        <v>7937449.4926167689</v>
      </c>
    </row>
    <row r="11" spans="1:27" x14ac:dyDescent="0.25">
      <c r="A11">
        <v>0</v>
      </c>
      <c r="B11" s="6" t="n">
        <v>122961.193930405</v>
      </c>
      <c r="C11" s="9">
        <f>B11/B$102</f>
        <v>0.17718106540722242</v>
      </c>
      <c r="E11" s="10">
        <v>0</v>
      </c>
      <c r="F11" s="100" t="n">
        <v>74826.0</v>
      </c>
      <c r="G11" s="9">
        <f>F11/F$102</f>
        <v>7.7277471267270151E-2</v>
      </c>
      <c r="K11" s="6" t="n">
        <v>5.006094998270823</v>
      </c>
      <c r="L11" s="6" t="n">
        <v>8.232952241263419</v>
      </c>
      <c r="S11" t="s">
        <v>42</v>
      </c>
      <c r="T11" t="s">
        <v>27</v>
      </c>
      <c r="U11" s="373">
        <f>TLFD_Work!B102</f>
        <v>258588.19513784876</v>
      </c>
      <c r="V11" s="6">
        <f>TLFD_Work!K11</f>
        <v>8.2414167710902948</v>
      </c>
      <c r="W11" s="373">
        <f ref="W11:W16" si="0" t="shared">U11*V11</f>
        <v>2131133.0882150368</v>
      </c>
      <c r="Y11" s="373">
        <f>TLFD_Work!F102</f>
        <v>495946</v>
      </c>
      <c r="Z11" s="6">
        <f>TLFD_Work!L11</f>
        <v>11.19955974677856</v>
      </c>
      <c r="AA11" s="373">
        <f ref="AA11:AA16" si="1" t="shared">Y11*Z11</f>
        <v>5554376.8581758393</v>
      </c>
    </row>
    <row r="12" spans="1:27" x14ac:dyDescent="0.25">
      <c r="A12">
        <v>1</v>
      </c>
      <c r="B12" s="6" t="n">
        <v>118750.5951816746</v>
      </c>
      <c r="C12" s="9">
        <f>B12/B$102</f>
        <v>0.17111379858542641</v>
      </c>
      <c r="E12" s="11">
        <v>1</v>
      </c>
      <c r="F12" s="101" t="n">
        <v>91336.0</v>
      </c>
      <c r="G12" s="9">
        <f>F12/F$102</f>
        <v>9.6842240374377692E-2</v>
      </c>
      <c r="K12" s="6"/>
      <c r="L12" s="370"/>
      <c r="S12" t="s">
        <v>43</v>
      </c>
      <c r="T12" t="s">
        <v>28</v>
      </c>
      <c r="U12" s="373">
        <f>TLFD_School!B102</f>
        <v>104446.25818218781</v>
      </c>
      <c r="V12" s="6">
        <f>TLFD_School!K11</f>
        <v>4.5318625358887044</v>
      </c>
      <c r="W12" s="373">
        <f si="0" t="shared"/>
        <v>473336.08446961601</v>
      </c>
      <c r="Y12" s="373">
        <f>TLFD_School!F102</f>
        <v>116926</v>
      </c>
      <c r="Z12" s="6">
        <f>TLFD_School!L11</f>
        <v>5.8290901959327375</v>
      </c>
      <c r="AA12" s="373">
        <f si="1" t="shared"/>
        <v>681572.20024963131</v>
      </c>
    </row>
    <row r="13" spans="1:27" x14ac:dyDescent="0.25">
      <c r="A13">
        <v>2</v>
      </c>
      <c r="B13" s="6" t="n">
        <v>87432.9778883563</v>
      </c>
      <c r="C13" s="9">
        <f ref="C13:C76" si="2" t="shared">B13/B$102</f>
        <v>0.12598664406880378</v>
      </c>
      <c r="E13" s="12">
        <v>2</v>
      </c>
      <c r="F13" s="102" t="n">
        <v>81143.0</v>
      </c>
      <c r="G13" s="9">
        <f ref="G13:G76" si="3" t="shared">F13/F$102</f>
        <v>8.6053000366129256E-2</v>
      </c>
      <c r="S13" t="s">
        <v>44</v>
      </c>
      <c r="T13" t="s">
        <v>29</v>
      </c>
      <c r="U13" s="373">
        <f>TLFD_Escort!B102</f>
        <v>185546.87445799081</v>
      </c>
      <c r="V13" s="6">
        <f>TLFD_Escort!K11</f>
        <v>5.2575510607641567</v>
      </c>
      <c r="W13" s="373">
        <f si="0" t="shared"/>
        <v>975522.16662808333</v>
      </c>
      <c r="Y13" s="373">
        <f>TLFD_Escort!F102</f>
        <v>217167</v>
      </c>
      <c r="Z13" s="6">
        <f>TLFD_Escort!L11</f>
        <v>6.900066843655412</v>
      </c>
      <c r="AA13" s="373">
        <f si="1" t="shared"/>
        <v>1498466.8162361148</v>
      </c>
    </row>
    <row r="14" spans="1:27" x14ac:dyDescent="0.25">
      <c r="A14">
        <v>3</v>
      </c>
      <c r="B14" s="6" t="n">
        <v>76662.4821804061</v>
      </c>
      <c r="C14" s="9">
        <f si="2" t="shared"/>
        <v>0.110466886627455</v>
      </c>
      <c r="E14" s="13">
        <v>3</v>
      </c>
      <c r="F14" s="103" t="n">
        <v>84270.0</v>
      </c>
      <c r="G14" s="9">
        <f si="3" t="shared"/>
        <v>8.7961501719124147E-2</v>
      </c>
      <c r="S14" t="s">
        <v>45</v>
      </c>
      <c r="T14" t="s">
        <v>30</v>
      </c>
      <c r="U14" s="373">
        <f>TLFD_PerBus!B102</f>
        <v>173118.58832344893</v>
      </c>
      <c r="V14" s="6">
        <f>TLFD_PerBus!K11</f>
        <v>5.088760181863778</v>
      </c>
      <c r="W14" s="373">
        <f si="0" t="shared"/>
        <v>880958.97900083452</v>
      </c>
      <c r="Y14" s="373">
        <f>TLFD_PerBus!F102</f>
        <v>292286</v>
      </c>
      <c r="Z14" s="6">
        <f>TLFD_PerBus!L11</f>
        <v>6.604767949158223</v>
      </c>
      <c r="AA14" s="373">
        <f si="1" t="shared"/>
        <v>1930481.2047876604</v>
      </c>
    </row>
    <row r="15" spans="1:27" x14ac:dyDescent="0.25">
      <c r="A15">
        <v>4</v>
      </c>
      <c r="B15" s="6" t="n">
        <v>56046.277685644</v>
      </c>
      <c r="C15" s="9">
        <f si="2" t="shared"/>
        <v>8.0759944459159447E-2</v>
      </c>
      <c r="E15" s="14">
        <v>4</v>
      </c>
      <c r="F15" s="104" t="n">
        <v>75493.0</v>
      </c>
      <c r="G15" s="9">
        <f si="3" t="shared"/>
        <v>7.8446349438812221E-2</v>
      </c>
      <c r="S15" t="s">
        <v>46</v>
      </c>
      <c r="T15" t="s">
        <v>31</v>
      </c>
      <c r="U15" s="373">
        <f>TLFD_Shop!B102</f>
        <v>194291.16559827578</v>
      </c>
      <c r="V15" s="6">
        <f>TLFD_Shop!K11</f>
        <v>4.252759439908437</v>
      </c>
      <c r="W15" s="373">
        <f si="0" t="shared"/>
        <v>826273.58858888072</v>
      </c>
      <c r="Y15" s="373">
        <f>TLFD_Shop!F102</f>
        <v>315629</v>
      </c>
      <c r="Z15" s="6">
        <f>TLFD_Shop!L11</f>
        <v>5.6936133336235546</v>
      </c>
      <c r="AA15" s="373">
        <f si="1" t="shared"/>
        <v>1797069.4828782689</v>
      </c>
    </row>
    <row r="16" spans="1:27" x14ac:dyDescent="0.25">
      <c r="A16">
        <v>5</v>
      </c>
      <c r="B16" s="6" t="n">
        <v>42383.1113625505</v>
      </c>
      <c r="C16" s="9">
        <f si="2" t="shared"/>
        <v>6.1071990165775046E-2</v>
      </c>
      <c r="E16" s="15">
        <v>5</v>
      </c>
      <c r="F16" s="105" t="n">
        <v>65351.0</v>
      </c>
      <c r="G16" s="9">
        <f si="3" t="shared"/>
        <v>6.7896987219143085E-2</v>
      </c>
      <c r="S16" t="s">
        <v>34</v>
      </c>
      <c r="T16" t="s">
        <v>48</v>
      </c>
      <c r="U16" s="6">
        <f>TLFD_Meal!B102</f>
        <v>93465.630610357519</v>
      </c>
      <c r="V16" s="6">
        <f>TLFD_Meal!K11</f>
        <v>3.3054569253799677</v>
      </c>
      <c r="W16" s="373">
        <f si="0" t="shared"/>
        <v>308946.61598601216</v>
      </c>
      <c r="Y16" s="6">
        <f>TLFD_Meal!F102</f>
        <v>154688</v>
      </c>
      <c r="Z16" s="6">
        <f>TLFD_Meal!L11</f>
        <v>6.1227843860366429</v>
      </c>
      <c r="AA16" s="373">
        <f si="1" t="shared"/>
        <v>947121.27110723616</v>
      </c>
    </row>
    <row r="17" spans="1:28" x14ac:dyDescent="0.25">
      <c r="A17">
        <v>6</v>
      </c>
      <c r="B17" s="6" t="n">
        <v>17903.5012999083</v>
      </c>
      <c r="C17" s="9">
        <f si="2" t="shared"/>
        <v>2.5798069565205761E-2</v>
      </c>
      <c r="E17" s="16">
        <v>6</v>
      </c>
      <c r="F17" s="106" t="n">
        <v>53226.0</v>
      </c>
      <c r="G17" s="9">
        <f si="3" t="shared"/>
        <v>5.6705846705467952E-2</v>
      </c>
      <c r="S17" t="s">
        <v>47</v>
      </c>
      <c r="T17" t="s">
        <v>32</v>
      </c>
      <c r="U17" s="373">
        <f>TLFD_SocRec!B102</f>
        <v>198718.75332292667</v>
      </c>
      <c r="V17" s="6">
        <f>TLFD_SocRec!K11</f>
        <v>5.3917548890704108</v>
      </c>
      <c r="W17" s="373">
        <f>U17*V17</f>
        <v>1071442.8097788668</v>
      </c>
      <c r="Y17" s="373">
        <f>TLFD_SocRec!F102</f>
        <v>279507</v>
      </c>
      <c r="Z17" s="6">
        <f>TLFD_SocRec!L11</f>
        <v>6.7088453407750341</v>
      </c>
      <c r="AA17" s="373">
        <f>Y17*Z17</f>
        <v>1875169.2346640076</v>
      </c>
    </row>
    <row r="18" spans="1:28" x14ac:dyDescent="0.25">
      <c r="A18">
        <v>7</v>
      </c>
      <c r="B18" s="6" t="n">
        <v>21428.744203560498</v>
      </c>
      <c r="C18" s="9">
        <f si="2" t="shared"/>
        <v>3.0877772140653004E-2</v>
      </c>
      <c r="E18" s="17">
        <v>7</v>
      </c>
      <c r="F18" s="107" t="n">
        <v>43680.0</v>
      </c>
      <c r="G18" s="9">
        <f si="3" t="shared"/>
        <v>4.7525260814490301E-2</v>
      </c>
      <c r="T18" s="375" t="s">
        <v>35</v>
      </c>
      <c r="U18" s="376">
        <f>SUM(U10:U15)+U17</f>
        <v>1808695.9200921997</v>
      </c>
      <c r="V18" s="377">
        <f>W18/U18</f>
        <v>5.4364179610225252</v>
      </c>
      <c r="W18" s="376">
        <f>SUM(W10:W15)+W17</f>
        <v>9832826.9860173967</v>
      </c>
      <c r="X18" s="375"/>
      <c r="Y18" s="376">
        <f>SUM(Y10:Y15)+Y17</f>
        <v>2667945</v>
      </c>
      <c r="Z18" s="377">
        <f>AA18/Y18</f>
        <v>7.9741468769439745</v>
      </c>
      <c r="AA18" s="376">
        <f>SUM(AA10:AA15)+AA17</f>
        <v>21274585.289608292</v>
      </c>
      <c r="AB18" t="s">
        <v>38</v>
      </c>
    </row>
    <row r="19" spans="1:28" x14ac:dyDescent="0.25">
      <c r="A19">
        <v>8</v>
      </c>
      <c r="B19" s="6" t="n">
        <v>18257.3108698197</v>
      </c>
      <c r="C19" s="9">
        <f si="2" t="shared"/>
        <v>2.6307891847702901E-2</v>
      </c>
      <c r="E19" s="18">
        <v>8</v>
      </c>
      <c r="F19" s="108" t="n">
        <v>46178.0</v>
      </c>
      <c r="G19" s="9">
        <f si="3" t="shared"/>
        <v>5.0203896120292399E-2</v>
      </c>
      <c r="S19" s="375" t="s">
        <v>36</v>
      </c>
      <c r="U19" s="378">
        <f>U18+U16</f>
        <v>1902161.5507025572</v>
      </c>
      <c r="V19" s="377">
        <f>W19/U19</f>
        <v>5.3317099161517474</v>
      </c>
      <c r="W19" s="379">
        <f>W18+W16</f>
        <v>10141773.602003409</v>
      </c>
      <c r="X19" s="375"/>
      <c r="Y19" s="378">
        <f>Y18+Y16</f>
        <v>2822633</v>
      </c>
      <c r="Z19" s="377">
        <f>AA19/Y19</f>
        <v>7.8726871544106265</v>
      </c>
      <c r="AA19" s="379">
        <f>AA18+AA16</f>
        <v>22221706.56071553</v>
      </c>
      <c r="AB19" t="s">
        <v>37</v>
      </c>
    </row>
    <row r="20" spans="1:28" x14ac:dyDescent="0.25">
      <c r="A20">
        <v>9</v>
      </c>
      <c r="B20" s="6" t="n">
        <v>18567.0803536128</v>
      </c>
      <c r="C20" s="9">
        <f si="2" t="shared"/>
        <v>2.6754254520467542E-2</v>
      </c>
      <c r="E20" s="19">
        <v>9</v>
      </c>
      <c r="F20" s="109" t="n">
        <v>32946.0</v>
      </c>
      <c r="G20" s="9">
        <f si="3" t="shared"/>
        <v>3.5123158306715314E-2</v>
      </c>
    </row>
    <row r="21" spans="1:28" x14ac:dyDescent="0.25">
      <c r="A21">
        <v>10</v>
      </c>
      <c r="B21" s="6" t="n">
        <v>10295.1131637254</v>
      </c>
      <c r="C21" s="9">
        <f si="2" t="shared"/>
        <v>1.4834754450003238E-2</v>
      </c>
      <c r="E21" s="20">
        <v>10</v>
      </c>
      <c r="F21" s="110" t="n">
        <v>29528.0</v>
      </c>
      <c r="G21" s="9">
        <f si="3" t="shared"/>
        <v>3.1855349485104434E-2</v>
      </c>
    </row>
    <row r="22" spans="1:28" x14ac:dyDescent="0.25">
      <c r="A22">
        <v>11</v>
      </c>
      <c r="B22" s="6" t="n">
        <v>13282.409822918</v>
      </c>
      <c r="C22" s="9">
        <f si="2" t="shared"/>
        <v>1.9139302802573366E-2</v>
      </c>
      <c r="E22" s="21">
        <v>11</v>
      </c>
      <c r="F22" s="111" t="n">
        <v>30027.0</v>
      </c>
      <c r="G22" s="9">
        <f si="3" t="shared"/>
        <v>3.1483959751032103E-2</v>
      </c>
    </row>
    <row r="23" spans="1:28" x14ac:dyDescent="0.25">
      <c r="A23">
        <v>12</v>
      </c>
      <c r="B23" s="6" t="n">
        <v>6044.5128696158</v>
      </c>
      <c r="C23" s="9">
        <f si="2" t="shared"/>
        <v>8.7098473581214298E-3</v>
      </c>
      <c r="E23" s="22">
        <v>12</v>
      </c>
      <c r="F23" s="112" t="n">
        <v>29473.0</v>
      </c>
      <c r="G23" s="9">
        <f si="3" t="shared"/>
        <v>3.1753296215401836E-2</v>
      </c>
    </row>
    <row r="24" spans="1:28" x14ac:dyDescent="0.25">
      <c r="A24">
        <v>13</v>
      </c>
      <c r="B24" s="6" t="n">
        <v>4030.1321143392</v>
      </c>
      <c r="C24" s="9">
        <f si="2" t="shared"/>
        <v>5.8072232297503154E-3</v>
      </c>
      <c r="E24" s="23">
        <v>13</v>
      </c>
      <c r="F24" s="113" t="n">
        <v>26343.0</v>
      </c>
      <c r="G24" s="9">
        <f si="3" t="shared"/>
        <v>2.8568602943342548E-2</v>
      </c>
    </row>
    <row r="25" spans="1:28" x14ac:dyDescent="0.25">
      <c r="A25">
        <v>14</v>
      </c>
      <c r="B25" s="6" t="n">
        <v>7435.2729633985</v>
      </c>
      <c r="C25" s="9">
        <f si="2" t="shared"/>
        <v>1.0713864619711595E-2</v>
      </c>
      <c r="E25" s="24">
        <v>14</v>
      </c>
      <c r="F25" s="114" t="n">
        <v>23239.0</v>
      </c>
      <c r="G25" s="9">
        <f si="3" t="shared"/>
        <v>2.540600367812609E-2</v>
      </c>
    </row>
    <row r="26" spans="1:28" x14ac:dyDescent="0.25">
      <c r="A26">
        <v>15</v>
      </c>
      <c r="B26" s="6" t="n">
        <v>12861.9526952537</v>
      </c>
      <c r="C26" s="9">
        <f si="2" t="shared"/>
        <v>1.8533444649636223E-2</v>
      </c>
      <c r="E26" s="25">
        <v>15</v>
      </c>
      <c r="F26" s="115" t="n">
        <v>22978.0</v>
      </c>
      <c r="G26" s="9">
        <f si="3" t="shared"/>
        <v>2.4785267295398976E-2</v>
      </c>
    </row>
    <row r="27" spans="1:28" x14ac:dyDescent="0.25">
      <c r="A27">
        <v>16</v>
      </c>
      <c r="B27" s="6" t="n">
        <v>8614.0432509741</v>
      </c>
      <c r="C27" s="9">
        <f si="2" t="shared"/>
        <v>1.2412414940727779E-2</v>
      </c>
      <c r="E27" s="26">
        <v>16</v>
      </c>
      <c r="F27" s="116" t="n">
        <v>17999.0</v>
      </c>
      <c r="G27" s="9">
        <f si="3" t="shared"/>
        <v>2.0696823933911566E-2</v>
      </c>
    </row>
    <row r="28" spans="1:28" x14ac:dyDescent="0.25">
      <c r="A28">
        <v>17</v>
      </c>
      <c r="B28" s="6" t="n">
        <v>7924.726850637</v>
      </c>
      <c r="C28" s="9">
        <f si="2" t="shared"/>
        <v>1.141914372799439E-2</v>
      </c>
      <c r="E28" s="27">
        <v>17</v>
      </c>
      <c r="F28" s="117" t="n">
        <v>14620.0</v>
      </c>
      <c r="G28" s="9">
        <f si="3" t="shared"/>
        <v>1.6595755425656823E-2</v>
      </c>
    </row>
    <row r="29" spans="1:28" x14ac:dyDescent="0.25">
      <c r="A29">
        <v>18</v>
      </c>
      <c r="B29" s="6" t="n">
        <v>12097.923146775</v>
      </c>
      <c r="C29" s="9">
        <f si="2" t="shared"/>
        <v>1.7432515445267287E-2</v>
      </c>
      <c r="E29" s="28">
        <v>18</v>
      </c>
      <c r="F29" s="118" t="n">
        <v>12857.0</v>
      </c>
      <c r="G29" s="9">
        <f si="3" t="shared"/>
        <v>1.5335344940051595E-2</v>
      </c>
    </row>
    <row r="30" spans="1:28" x14ac:dyDescent="0.25">
      <c r="A30">
        <v>19</v>
      </c>
      <c r="B30" s="6" t="n">
        <v>5661.2913442646</v>
      </c>
      <c r="C30" s="9">
        <f si="2" t="shared"/>
        <v>8.1576438866169405E-3</v>
      </c>
      <c r="E30" s="29">
        <v>19</v>
      </c>
      <c r="F30" s="119" t="n">
        <v>11795.0</v>
      </c>
      <c r="G30" s="9">
        <f si="3" t="shared"/>
        <v>1.2478905483942917E-2</v>
      </c>
    </row>
    <row r="31" spans="1:28" x14ac:dyDescent="0.25">
      <c r="A31">
        <v>20</v>
      </c>
      <c r="B31" s="6" t="n">
        <v>5383.9980671328</v>
      </c>
      <c r="C31" s="9">
        <f si="2" t="shared"/>
        <v>7.758077838972019E-3</v>
      </c>
      <c r="E31" s="30">
        <v>20</v>
      </c>
      <c r="F31" s="120" t="n">
        <v>10259.0</v>
      </c>
      <c r="G31" s="9">
        <f si="3" t="shared"/>
        <v>1.1044899230286885E-2</v>
      </c>
    </row>
    <row r="32" spans="1:28" x14ac:dyDescent="0.25">
      <c r="A32">
        <v>21</v>
      </c>
      <c r="B32" s="6" t="n">
        <v>1915.0846690025999</v>
      </c>
      <c r="C32" s="9">
        <f si="2" t="shared"/>
        <v>2.7595433254411061E-3</v>
      </c>
      <c r="E32" s="31">
        <v>21</v>
      </c>
      <c r="F32" s="121" t="n">
        <v>8496.0</v>
      </c>
      <c r="G32" s="9">
        <f si="3" t="shared"/>
        <v>9.2226697135354193E-3</v>
      </c>
    </row>
    <row r="33" spans="1:7" x14ac:dyDescent="0.25">
      <c r="A33">
        <v>22</v>
      </c>
      <c r="B33" s="6" t="n">
        <v>6054.699940526</v>
      </c>
      <c r="C33" s="9">
        <f si="2" t="shared"/>
        <v>8.7245264289693408E-3</v>
      </c>
      <c r="E33" s="32">
        <v>22</v>
      </c>
      <c r="F33" s="122" t="n">
        <v>7621.0</v>
      </c>
      <c r="G33" s="9">
        <f si="3" t="shared"/>
        <v>8.4199207982459459E-3</v>
      </c>
    </row>
    <row r="34" spans="1:7" x14ac:dyDescent="0.25">
      <c r="A34">
        <v>23</v>
      </c>
      <c r="B34" s="6" t="n">
        <v>2425.210001835</v>
      </c>
      <c r="C34" s="9">
        <f si="2" t="shared"/>
        <v>3.4946089756137575E-3</v>
      </c>
      <c r="E34" s="33">
        <v>23</v>
      </c>
      <c r="F34" s="123" t="n">
        <v>6564.0</v>
      </c>
      <c r="G34" s="9">
        <f si="3" t="shared"/>
        <v>7.2931264492616396E-3</v>
      </c>
    </row>
    <row r="35" spans="1:7" x14ac:dyDescent="0.25">
      <c r="A35">
        <v>24</v>
      </c>
      <c r="B35" s="6" t="n">
        <v>558.7719133334</v>
      </c>
      <c r="C35" s="9">
        <f si="2" t="shared"/>
        <v>8.0516299296897918E-4</v>
      </c>
      <c r="E35" s="34">
        <v>24</v>
      </c>
      <c r="F35" s="124" t="n">
        <v>6132.0</v>
      </c>
      <c r="G35" s="9">
        <f si="3" t="shared"/>
        <v>6.7071092201446839E-3</v>
      </c>
    </row>
    <row r="36" spans="1:7" x14ac:dyDescent="0.25">
      <c r="A36">
        <v>25</v>
      </c>
      <c r="B36" s="6" t="n">
        <v>820.3334863719999</v>
      </c>
      <c r="C36" s="9">
        <f si="2" t="shared"/>
        <v>1.1820604245830406E-3</v>
      </c>
      <c r="E36" s="35">
        <v>25</v>
      </c>
      <c r="F36" s="125" t="n">
        <v>4258.0</v>
      </c>
      <c r="G36" s="9">
        <f si="3" t="shared"/>
        <v>4.9658910618169266E-3</v>
      </c>
    </row>
    <row r="37" spans="1:7" x14ac:dyDescent="0.25">
      <c r="A37">
        <v>26</v>
      </c>
      <c r="B37" s="6" t="n">
        <v>321.941783499</v>
      </c>
      <c r="C37" s="9">
        <f si="2" t="shared"/>
        <v>4.6390236119323502E-4</v>
      </c>
      <c r="E37" s="36">
        <v>26</v>
      </c>
      <c r="F37" s="126" t="n">
        <v>4058.0</v>
      </c>
      <c r="G37" s="9">
        <f si="3" t="shared"/>
        <v>4.2683517029218796E-3</v>
      </c>
    </row>
    <row r="38" spans="1:7" x14ac:dyDescent="0.25">
      <c r="A38">
        <v>27</v>
      </c>
      <c r="B38" s="6" t="n">
        <v>805.453859731</v>
      </c>
      <c r="C38" s="9">
        <f si="2" t="shared"/>
        <v>1.1606196104786636E-3</v>
      </c>
      <c r="E38" s="37">
        <v>27</v>
      </c>
      <c r="F38" s="127" t="n">
        <v>3108.0</v>
      </c>
      <c r="G38" s="9">
        <f si="3" t="shared"/>
        <v>3.2236208079252254E-3</v>
      </c>
    </row>
    <row r="39" spans="1:7" x14ac:dyDescent="0.25">
      <c r="A39">
        <v>28</v>
      </c>
      <c r="B39" s="6" t="n">
        <v>0.0</v>
      </c>
      <c r="C39" s="9">
        <f si="2" t="shared"/>
        <v>0</v>
      </c>
      <c r="E39" s="38">
        <v>28</v>
      </c>
      <c r="F39" s="128" t="n">
        <v>1970.0</v>
      </c>
      <c r="G39" s="9">
        <f si="3" t="shared"/>
        <v>2.1641605750333513E-3</v>
      </c>
    </row>
    <row r="40" spans="1:7" x14ac:dyDescent="0.25">
      <c r="A40">
        <v>29</v>
      </c>
      <c r="B40" s="6" t="n">
        <v>2263.771226967</v>
      </c>
      <c r="C40" s="9">
        <f si="2" t="shared"/>
        <v>3.2619835983314048E-3</v>
      </c>
      <c r="E40" s="39">
        <v>29</v>
      </c>
      <c r="F40" s="129" t="n">
        <v>2780.0</v>
      </c>
      <c r="G40" s="9">
        <f si="3" t="shared"/>
        <v>2.9290340500208313E-3</v>
      </c>
    </row>
    <row r="41" spans="1:7" x14ac:dyDescent="0.25">
      <c r="A41">
        <v>30</v>
      </c>
      <c r="B41" s="6" t="n">
        <v>770.138760905</v>
      </c>
      <c r="C41" s="9">
        <f si="2" t="shared"/>
        <v>1.1097322806232499E-3</v>
      </c>
      <c r="E41" s="40">
        <v>30</v>
      </c>
      <c r="F41" s="130" t="n">
        <v>1990.0</v>
      </c>
      <c r="G41" s="9">
        <f si="3" t="shared"/>
        <v>2.1557438105217971E-3</v>
      </c>
    </row>
    <row r="42" spans="1:7" x14ac:dyDescent="0.25">
      <c r="A42">
        <v>31</v>
      </c>
      <c r="B42" s="6" t="n">
        <v>338.582210178</v>
      </c>
      <c r="C42" s="9">
        <f si="2" t="shared"/>
        <v>4.8788040201711274E-4</v>
      </c>
      <c r="E42" s="41">
        <v>31</v>
      </c>
      <c r="F42" s="131" t="n">
        <v>1742.0</v>
      </c>
      <c r="G42" s="9">
        <f si="3" t="shared"/>
        <v>1.6433732708809406E-3</v>
      </c>
    </row>
    <row r="43" spans="1:7" x14ac:dyDescent="0.25">
      <c r="A43">
        <v>32</v>
      </c>
      <c r="B43" s="6" t="n">
        <v>638.047822475</v>
      </c>
      <c r="C43" s="9">
        <f si="2" t="shared"/>
        <v>9.1939570000323966E-4</v>
      </c>
      <c r="E43" s="42">
        <v>32</v>
      </c>
      <c r="F43" s="132" t="n">
        <v>1518.0</v>
      </c>
      <c r="G43" s="9">
        <f si="3" t="shared"/>
        <v>1.6633630865958817E-3</v>
      </c>
    </row>
    <row r="44" spans="1:7" x14ac:dyDescent="0.25">
      <c r="A44">
        <v>33</v>
      </c>
      <c r="B44" s="6" t="n">
        <v>619.342925768</v>
      </c>
      <c r="C44" s="9">
        <f si="2" t="shared"/>
        <v>8.9244285885927614E-4</v>
      </c>
      <c r="E44" s="43">
        <v>33</v>
      </c>
      <c r="F44" s="133" t="n">
        <v>1249.0</v>
      </c>
      <c r="G44" s="9">
        <f si="3" t="shared"/>
        <v>1.3572032774881008E-3</v>
      </c>
    </row>
    <row r="45" spans="1:7" x14ac:dyDescent="0.25">
      <c r="A45">
        <v>34</v>
      </c>
      <c r="B45" s="6" t="n">
        <v>248.443558839</v>
      </c>
      <c r="C45" s="9">
        <f si="2" t="shared"/>
        <v>3.5799501486274304E-4</v>
      </c>
      <c r="E45" s="44">
        <v>34</v>
      </c>
      <c r="F45" s="134" t="n">
        <v>811.0</v>
      </c>
      <c r="G45" s="9">
        <f si="3" t="shared"/>
        <v>9.079584716839E-4</v>
      </c>
    </row>
    <row r="46" spans="1:7" x14ac:dyDescent="0.25">
      <c r="A46">
        <v>35</v>
      </c>
      <c r="B46" s="6" t="n">
        <v>619.342925768</v>
      </c>
      <c r="C46" s="9">
        <f si="2" t="shared"/>
        <v>8.9244285885927614E-4</v>
      </c>
      <c r="E46" s="45">
        <v>35</v>
      </c>
      <c r="F46" s="135" t="n">
        <v>899.0</v>
      </c>
      <c r="G46" s="9">
        <f si="3" t="shared"/>
        <v>9.3531295634645081E-4</v>
      </c>
    </row>
    <row r="47" spans="1:7" x14ac:dyDescent="0.25">
      <c r="A47">
        <v>36</v>
      </c>
      <c r="B47" s="6" t="n">
        <v>0.0</v>
      </c>
      <c r="C47" s="9">
        <f si="2" t="shared"/>
        <v>0</v>
      </c>
      <c r="E47" s="46">
        <v>36</v>
      </c>
      <c r="F47" s="136" t="n">
        <v>1299.0</v>
      </c>
      <c r="G47" s="9">
        <f si="3" t="shared"/>
        <v>1.4255894891444781E-3</v>
      </c>
    </row>
    <row r="48" spans="1:7" x14ac:dyDescent="0.25">
      <c r="A48">
        <v>37</v>
      </c>
      <c r="B48" s="6" t="n">
        <v>0.0</v>
      </c>
      <c r="C48" s="9">
        <f si="2" t="shared"/>
        <v>0</v>
      </c>
      <c r="E48" s="47">
        <v>37</v>
      </c>
      <c r="F48" s="137" t="n">
        <v>905.0</v>
      </c>
      <c r="G48" s="9">
        <f si="3" t="shared"/>
        <v>1.0068554546946609E-3</v>
      </c>
    </row>
    <row r="49" spans="1:7" x14ac:dyDescent="0.25">
      <c r="A49">
        <v>38</v>
      </c>
      <c r="B49" s="6" t="n">
        <v>481.758028516</v>
      </c>
      <c r="C49" s="9">
        <f si="2" t="shared"/>
        <v>6.9418975233161823E-4</v>
      </c>
      <c r="E49" s="48">
        <v>38</v>
      </c>
      <c r="F49" s="138" t="n">
        <v>782.0</v>
      </c>
      <c r="G49" s="9">
        <f si="3" t="shared"/>
        <v>8.8586446484107046E-4</v>
      </c>
    </row>
    <row r="50" spans="1:7" x14ac:dyDescent="0.25">
      <c r="A50">
        <v>39</v>
      </c>
      <c r="B50" s="6" t="n">
        <v>724.504706334</v>
      </c>
      <c r="C50" s="9">
        <f si="2" t="shared"/>
        <v>1.0439758403245534E-3</v>
      </c>
      <c r="E50" s="49">
        <v>39</v>
      </c>
      <c r="F50" s="139" t="n">
        <v>775.0</v>
      </c>
      <c r="G50" s="9">
        <f si="3" t="shared"/>
        <v>8.3325968664385726E-4</v>
      </c>
    </row>
    <row r="51" spans="1:7" x14ac:dyDescent="0.25">
      <c r="A51">
        <v>40</v>
      </c>
      <c r="B51" s="6" t="n">
        <v>356.0060045</v>
      </c>
      <c r="C51" s="9">
        <f si="2" t="shared"/>
        <v>5.1298723729357868E-4</v>
      </c>
      <c r="E51" s="50">
        <v>40</v>
      </c>
      <c r="F51" s="140" t="n">
        <v>663.0</v>
      </c>
      <c r="G51" s="9">
        <f si="3" t="shared"/>
        <v>7.0174774115082416E-4</v>
      </c>
    </row>
    <row r="52" spans="1:7" x14ac:dyDescent="0.25">
      <c r="A52">
        <v>41</v>
      </c>
      <c r="B52" s="6" t="n">
        <v>0.0</v>
      </c>
      <c r="C52" s="9">
        <f si="2" t="shared"/>
        <v>0</v>
      </c>
      <c r="E52" s="51">
        <v>41</v>
      </c>
      <c r="F52" s="141" t="n">
        <v>420.0</v>
      </c>
      <c r="G52" s="9">
        <f si="3" t="shared"/>
        <v>4.1873403444981716E-4</v>
      </c>
    </row>
    <row r="53" spans="1:7" x14ac:dyDescent="0.25">
      <c r="A53">
        <v>42</v>
      </c>
      <c r="B53" s="6" t="n">
        <v>0.0</v>
      </c>
      <c r="C53" s="9">
        <f si="2" t="shared"/>
        <v>0</v>
      </c>
      <c r="E53" s="52">
        <v>42</v>
      </c>
      <c r="F53" s="142" t="n">
        <v>323.0</v>
      </c>
      <c r="G53" s="9">
        <f si="3" t="shared"/>
        <v>3.4824363166555144E-4</v>
      </c>
    </row>
    <row r="54" spans="1:7" x14ac:dyDescent="0.25">
      <c r="A54">
        <v>43</v>
      </c>
      <c r="B54" s="6" t="n">
        <v>0.0</v>
      </c>
      <c r="C54" s="9">
        <f si="2" t="shared"/>
        <v>0</v>
      </c>
      <c r="E54" s="53">
        <v>43</v>
      </c>
      <c r="F54" s="143" t="n">
        <v>275.0</v>
      </c>
      <c r="G54" s="9">
        <f si="3" t="shared"/>
        <v>2.6302389098606605E-4</v>
      </c>
    </row>
    <row r="55" spans="1:7" x14ac:dyDescent="0.25">
      <c r="A55">
        <v>44</v>
      </c>
      <c r="B55" s="6" t="n">
        <v>0.0</v>
      </c>
      <c r="C55" s="9">
        <f si="2" t="shared"/>
        <v>0</v>
      </c>
      <c r="E55" s="54">
        <v>44</v>
      </c>
      <c r="F55" s="144" t="n">
        <v>343.0</v>
      </c>
      <c r="G55" s="9">
        <f si="3" t="shared"/>
        <v>4.1662984332192863E-4</v>
      </c>
    </row>
    <row r="56" spans="1:7" x14ac:dyDescent="0.25">
      <c r="A56">
        <v>45</v>
      </c>
      <c r="B56" s="6" t="n">
        <v>0.0</v>
      </c>
      <c r="C56" s="9">
        <f si="2" t="shared"/>
        <v>0</v>
      </c>
      <c r="E56" s="55">
        <v>45</v>
      </c>
      <c r="F56" s="145" t="n">
        <v>353.0</v>
      </c>
      <c r="G56" s="9">
        <f si="3" t="shared"/>
        <v>3.6928554294443671E-4</v>
      </c>
    </row>
    <row r="57" spans="1:7" x14ac:dyDescent="0.25">
      <c r="A57">
        <v>46</v>
      </c>
      <c r="B57" s="6" t="n">
        <v>0.0</v>
      </c>
      <c r="C57" s="9">
        <f si="2" t="shared"/>
        <v>0</v>
      </c>
      <c r="E57" s="56">
        <v>46</v>
      </c>
      <c r="F57" s="146" t="n">
        <v>202.0</v>
      </c>
      <c r="G57" s="9">
        <f si="3" t="shared"/>
        <v>2.3356521519562665E-4</v>
      </c>
    </row>
    <row r="58" spans="1:7" x14ac:dyDescent="0.25">
      <c r="A58">
        <v>47</v>
      </c>
      <c r="B58" s="6" t="n">
        <v>0.0</v>
      </c>
      <c r="C58" s="9">
        <f si="2" t="shared"/>
        <v>0</v>
      </c>
      <c r="E58" s="57">
        <v>47</v>
      </c>
      <c r="F58" s="147" t="n">
        <v>259.0</v>
      </c>
      <c r="G58" s="9">
        <f si="3" t="shared"/>
        <v>2.4829455309084632E-4</v>
      </c>
    </row>
    <row r="59" spans="1:7" x14ac:dyDescent="0.25">
      <c r="A59">
        <v>48</v>
      </c>
      <c r="B59" s="6" t="n">
        <v>0.0</v>
      </c>
      <c r="C59" s="9">
        <f si="2" t="shared"/>
        <v>0</v>
      </c>
      <c r="E59" s="58">
        <v>48</v>
      </c>
      <c r="F59" s="148" t="n">
        <v>146.0</v>
      </c>
      <c r="G59" s="9">
        <f si="3" t="shared"/>
        <v>1.7359576805080359E-4</v>
      </c>
    </row>
    <row r="60" spans="1:7" x14ac:dyDescent="0.25">
      <c r="A60">
        <v>49</v>
      </c>
      <c r="B60" s="6" t="n">
        <v>0.0</v>
      </c>
      <c r="C60" s="9">
        <f si="2" t="shared"/>
        <v>0</v>
      </c>
      <c r="E60" s="59">
        <v>49</v>
      </c>
      <c r="F60" s="149" t="n">
        <v>123.0</v>
      </c>
      <c r="G60" s="9">
        <f si="3" t="shared"/>
        <v>1.1993889428964612E-4</v>
      </c>
    </row>
    <row r="61" spans="1:7" x14ac:dyDescent="0.25">
      <c r="A61">
        <v>50</v>
      </c>
      <c r="B61" s="6" t="n">
        <v>0.0</v>
      </c>
      <c r="C61" s="9">
        <f si="2" t="shared"/>
        <v>0</v>
      </c>
      <c r="E61" s="60">
        <v>50</v>
      </c>
      <c r="F61" s="150" t="n">
        <v>83.0</v>
      </c>
      <c r="G61" s="9">
        <f si="3" t="shared"/>
        <v>1.2414727654542316E-4</v>
      </c>
    </row>
    <row r="62" spans="1:7" x14ac:dyDescent="0.25">
      <c r="A62">
        <v>51</v>
      </c>
      <c r="B62" s="6" t="n">
        <v>0.0</v>
      </c>
      <c r="C62" s="9">
        <f si="2" t="shared"/>
        <v>0</v>
      </c>
      <c r="E62" s="61">
        <v>51</v>
      </c>
      <c r="F62" s="151" t="n">
        <v>89.0</v>
      </c>
      <c r="G62" s="9">
        <f si="3" t="shared"/>
        <v>9.8896983010760827E-5</v>
      </c>
    </row>
    <row r="63" spans="1:7" x14ac:dyDescent="0.25">
      <c r="A63">
        <v>52</v>
      </c>
      <c r="B63" s="6" t="n">
        <v>0.0</v>
      </c>
      <c r="C63" s="9">
        <f si="2" t="shared"/>
        <v>0</v>
      </c>
      <c r="E63" s="62">
        <v>52</v>
      </c>
      <c r="F63" s="152" t="n">
        <v>74.0</v>
      </c>
      <c r="G63" s="9">
        <f si="3" t="shared"/>
        <v>9.1532314063150978E-5</v>
      </c>
    </row>
    <row r="64" spans="1:7" x14ac:dyDescent="0.25">
      <c r="A64">
        <v>53</v>
      </c>
      <c r="B64" s="6" t="n">
        <v>0.0</v>
      </c>
      <c r="C64" s="9">
        <f si="2" t="shared"/>
        <v>0</v>
      </c>
      <c r="E64" s="63">
        <v>53</v>
      </c>
      <c r="F64" s="153" t="n">
        <v>59.0</v>
      </c>
      <c r="G64" s="9">
        <f si="3" t="shared"/>
        <v>5.4708969325101738E-5</v>
      </c>
    </row>
    <row r="65" spans="1:7" x14ac:dyDescent="0.25">
      <c r="A65">
        <v>54</v>
      </c>
      <c r="B65" s="6" t="n">
        <v>0.0</v>
      </c>
      <c r="C65" s="9">
        <f si="2" t="shared"/>
        <v>0</v>
      </c>
      <c r="E65" s="64">
        <v>54</v>
      </c>
      <c r="F65" s="154" t="n">
        <v>71.0</v>
      </c>
      <c r="G65" s="9">
        <f si="3" t="shared"/>
        <v>7.3646689476098494E-5</v>
      </c>
    </row>
    <row r="66" spans="1:7" x14ac:dyDescent="0.25">
      <c r="A66">
        <v>55</v>
      </c>
      <c r="B66" s="6" t="n">
        <v>0.0</v>
      </c>
      <c r="C66" s="9">
        <f si="2" t="shared"/>
        <v>0</v>
      </c>
      <c r="E66" s="65">
        <v>55</v>
      </c>
      <c r="F66" s="155" t="n">
        <v>30.0</v>
      </c>
      <c r="G66" s="9">
        <f si="3" t="shared"/>
        <v>2.9458675790439398E-5</v>
      </c>
    </row>
    <row r="67" spans="1:7" x14ac:dyDescent="0.25">
      <c r="A67">
        <v>56</v>
      </c>
      <c r="B67" s="6" t="n">
        <v>0.0</v>
      </c>
      <c r="C67" s="9">
        <f si="2" t="shared"/>
        <v>0</v>
      </c>
      <c r="E67" s="66">
        <v>56</v>
      </c>
      <c r="F67" s="156" t="n">
        <v>25.0</v>
      </c>
      <c r="G67" s="9">
        <f si="3" t="shared"/>
        <v>2.1041911278885282E-5</v>
      </c>
    </row>
    <row r="68" spans="1:7" x14ac:dyDescent="0.25">
      <c r="A68">
        <v>57</v>
      </c>
      <c r="B68" s="6" t="n">
        <v>0.0</v>
      </c>
      <c r="C68" s="9">
        <f si="2" t="shared"/>
        <v>0</v>
      </c>
      <c r="E68" s="67">
        <v>57</v>
      </c>
      <c r="F68" s="157" t="n">
        <v>22.0</v>
      </c>
      <c r="G68" s="9">
        <f si="3" t="shared"/>
        <v>4.7344300377491888E-5</v>
      </c>
    </row>
    <row r="69" spans="1:7" x14ac:dyDescent="0.25">
      <c r="A69">
        <v>58</v>
      </c>
      <c r="B69" s="6" t="n">
        <v>0.0</v>
      </c>
      <c r="C69" s="9">
        <f si="2" t="shared"/>
        <v>0</v>
      </c>
      <c r="E69" s="68">
        <v>58</v>
      </c>
      <c r="F69" s="158" t="n">
        <v>23.0</v>
      </c>
      <c r="G69" s="9">
        <f si="3" t="shared"/>
        <v>2.2094006842829548E-5</v>
      </c>
    </row>
    <row r="70" spans="1:7" x14ac:dyDescent="0.25">
      <c r="A70">
        <v>59</v>
      </c>
      <c r="B70" s="6" t="n">
        <v>0.0</v>
      </c>
      <c r="C70" s="9">
        <f si="2" t="shared"/>
        <v>0</v>
      </c>
      <c r="E70" s="69">
        <v>59</v>
      </c>
      <c r="F70" s="159" t="n">
        <v>14.0</v>
      </c>
      <c r="G70" s="9">
        <f si="3" t="shared"/>
        <v>2.7354484662550869E-5</v>
      </c>
    </row>
    <row r="71" spans="1:7" x14ac:dyDescent="0.25">
      <c r="A71">
        <v>60</v>
      </c>
      <c r="B71" s="6" t="n">
        <v>0.0</v>
      </c>
      <c r="C71" s="9">
        <f si="2" t="shared"/>
        <v>0</v>
      </c>
      <c r="E71" s="70">
        <v>60</v>
      </c>
      <c r="F71" s="160" t="n">
        <v>13.0</v>
      </c>
      <c r="G71" s="9">
        <f si="3" t="shared"/>
        <v>1.8937720150996757E-5</v>
      </c>
    </row>
    <row r="72" spans="1:7" x14ac:dyDescent="0.25">
      <c r="A72">
        <v>61</v>
      </c>
      <c r="B72" s="6" t="n">
        <v>0.0</v>
      </c>
      <c r="C72" s="9">
        <f si="2" t="shared"/>
        <v>0</v>
      </c>
      <c r="E72" s="71">
        <v>61</v>
      </c>
      <c r="F72" s="161" t="n">
        <v>10.0</v>
      </c>
      <c r="G72" s="9">
        <f si="3" t="shared"/>
        <v>1.6833529023108228E-5</v>
      </c>
    </row>
    <row r="73" spans="1:7" x14ac:dyDescent="0.25">
      <c r="A73">
        <v>62</v>
      </c>
      <c r="B73" s="6" t="n">
        <v>0.0</v>
      </c>
      <c r="C73" s="9">
        <f si="2" t="shared"/>
        <v>0</v>
      </c>
      <c r="E73" s="72">
        <v>62</v>
      </c>
      <c r="F73" s="162" t="n">
        <v>7.0</v>
      </c>
      <c r="G73" s="9">
        <f si="3" t="shared"/>
        <v>1.3677242331275434E-5</v>
      </c>
    </row>
    <row r="74" spans="1:7" x14ac:dyDescent="0.25">
      <c r="A74">
        <v>63</v>
      </c>
      <c r="B74" s="6" t="n">
        <v>0.0</v>
      </c>
      <c r="C74" s="9">
        <f si="2" t="shared"/>
        <v>0</v>
      </c>
      <c r="E74" s="73">
        <v>63</v>
      </c>
      <c r="F74" s="163" t="n">
        <v>3.0</v>
      </c>
      <c r="G74" s="9">
        <f si="3" t="shared"/>
        <v>2.1041911278885285E-6</v>
      </c>
    </row>
    <row r="75" spans="1:7" x14ac:dyDescent="0.25">
      <c r="A75">
        <v>64</v>
      </c>
      <c r="B75" s="6" t="n">
        <v>0.0</v>
      </c>
      <c r="C75" s="9">
        <f si="2" t="shared"/>
        <v>0</v>
      </c>
      <c r="E75" s="74">
        <v>64</v>
      </c>
      <c r="F75" s="164" t="n">
        <v>2.0</v>
      </c>
      <c r="G75" s="9">
        <f si="3" t="shared"/>
        <v>6.312573383665585E-6</v>
      </c>
    </row>
    <row r="76" spans="1:7" x14ac:dyDescent="0.25">
      <c r="A76">
        <v>65</v>
      </c>
      <c r="B76" s="6" t="n">
        <v>0.0</v>
      </c>
      <c r="C76" s="9">
        <f si="2" t="shared"/>
        <v>0</v>
      </c>
      <c r="E76" s="75">
        <v>65</v>
      </c>
      <c r="F76" s="165" t="n">
        <v>2.0</v>
      </c>
      <c r="G76" s="9">
        <f si="3" t="shared"/>
        <v>2.1041911278885285E-6</v>
      </c>
    </row>
    <row r="77" spans="1:7" x14ac:dyDescent="0.25">
      <c r="A77">
        <v>66</v>
      </c>
      <c r="B77" s="6" t="n">
        <v>0.0</v>
      </c>
      <c r="C77" s="9">
        <f ref="C77:C102" si="4" t="shared">B77/B$102</f>
        <v>0</v>
      </c>
      <c r="E77" s="76">
        <v>66</v>
      </c>
      <c r="F77" s="166" t="n">
        <v>1.0</v>
      </c>
      <c r="G77" s="9">
        <f ref="G77:G102" si="5" t="shared">F77/F$102</f>
        <v>1.0520955639442642E-6</v>
      </c>
    </row>
    <row r="78" spans="1:7" x14ac:dyDescent="0.25">
      <c r="A78">
        <v>67</v>
      </c>
      <c r="B78" s="6" t="n">
        <v>0.0</v>
      </c>
      <c r="C78" s="9">
        <f si="4" t="shared"/>
        <v>0</v>
      </c>
      <c r="E78" s="77">
        <v>67</v>
      </c>
      <c r="F78" s="167" t="n">
        <v>2.0</v>
      </c>
      <c r="G78" s="9">
        <f si="5" t="shared"/>
        <v>0</v>
      </c>
    </row>
    <row r="79" spans="1:7" x14ac:dyDescent="0.25">
      <c r="A79">
        <v>68</v>
      </c>
      <c r="B79" s="6" t="n">
        <v>0.0</v>
      </c>
      <c r="C79" s="9">
        <f si="4" t="shared"/>
        <v>0</v>
      </c>
      <c r="E79" s="78">
        <v>68</v>
      </c>
      <c r="F79" s="168" t="n">
        <v>2.0</v>
      </c>
      <c r="G79" s="9">
        <f si="5" t="shared"/>
        <v>2.1041911278885285E-6</v>
      </c>
    </row>
    <row r="80" spans="1:7" x14ac:dyDescent="0.25">
      <c r="A80">
        <v>69</v>
      </c>
      <c r="B80" s="6" t="n">
        <v>0.0</v>
      </c>
      <c r="C80" s="9">
        <f si="4" t="shared"/>
        <v>0</v>
      </c>
      <c r="E80" s="79">
        <v>69</v>
      </c>
      <c r="F80" s="169" t="n">
        <v>1.0</v>
      </c>
      <c r="G80" s="9">
        <f si="5" t="shared"/>
        <v>0</v>
      </c>
    </row>
    <row r="81" spans="1:7" x14ac:dyDescent="0.25">
      <c r="A81">
        <v>70</v>
      </c>
      <c r="B81" s="6" t="n">
        <v>0.0</v>
      </c>
      <c r="C81" s="9">
        <f si="4" t="shared"/>
        <v>0</v>
      </c>
      <c r="E81" s="80">
        <v>70</v>
      </c>
      <c r="F81" s="170" t="n">
        <v>0.0</v>
      </c>
      <c r="G81" s="9">
        <f si="5" t="shared"/>
        <v>0</v>
      </c>
    </row>
    <row r="82" spans="1:7" x14ac:dyDescent="0.25">
      <c r="A82">
        <v>71</v>
      </c>
      <c r="B82" s="6" t="n">
        <v>0.0</v>
      </c>
      <c r="C82" s="9">
        <f si="4" t="shared"/>
        <v>0</v>
      </c>
      <c r="E82" s="81">
        <v>71</v>
      </c>
      <c r="F82" s="171" t="n">
        <v>1.0</v>
      </c>
      <c r="G82" s="9">
        <f si="5" t="shared"/>
        <v>0</v>
      </c>
    </row>
    <row r="83" spans="1:7" x14ac:dyDescent="0.25">
      <c r="A83">
        <v>72</v>
      </c>
      <c r="B83" s="6" t="n">
        <v>0.0</v>
      </c>
      <c r="C83" s="9">
        <f si="4" t="shared"/>
        <v>0</v>
      </c>
      <c r="E83" s="82">
        <v>72</v>
      </c>
      <c r="F83" s="172" t="n">
        <v>1.0</v>
      </c>
      <c r="G83" s="9">
        <f si="5" t="shared"/>
        <v>0</v>
      </c>
    </row>
    <row r="84" spans="1:7" x14ac:dyDescent="0.25">
      <c r="A84">
        <v>73</v>
      </c>
      <c r="B84" s="6" t="n">
        <v>0.0</v>
      </c>
      <c r="C84" s="9">
        <f si="4" t="shared"/>
        <v>0</v>
      </c>
      <c r="E84" s="83">
        <v>73</v>
      </c>
      <c r="F84" s="173" t="n">
        <v>0.0</v>
      </c>
      <c r="G84" s="9">
        <f si="5" t="shared"/>
        <v>0</v>
      </c>
    </row>
    <row r="85" spans="1:7" x14ac:dyDescent="0.25">
      <c r="A85">
        <v>74</v>
      </c>
      <c r="B85" s="6" t="n">
        <v>0.0</v>
      </c>
      <c r="C85" s="9">
        <f si="4" t="shared"/>
        <v>0</v>
      </c>
      <c r="E85" s="84">
        <v>74</v>
      </c>
      <c r="F85" s="174" t="n">
        <v>0.0</v>
      </c>
      <c r="G85" s="9">
        <f si="5" t="shared"/>
        <v>1.0520955639442642E-6</v>
      </c>
    </row>
    <row r="86" spans="1:7" x14ac:dyDescent="0.25">
      <c r="A86">
        <v>75</v>
      </c>
      <c r="B86" s="6" t="n">
        <v>0.0</v>
      </c>
      <c r="C86" s="9">
        <f si="4" t="shared"/>
        <v>0</v>
      </c>
      <c r="E86" s="85">
        <v>75</v>
      </c>
      <c r="F86" s="175" t="n">
        <v>0.0</v>
      </c>
      <c r="G86" s="9">
        <f si="5" t="shared"/>
        <v>0</v>
      </c>
    </row>
    <row r="87" spans="1:7" x14ac:dyDescent="0.25">
      <c r="A87">
        <v>76</v>
      </c>
      <c r="B87" s="6" t="n">
        <v>0.0</v>
      </c>
      <c r="C87" s="9">
        <f si="4" t="shared"/>
        <v>0</v>
      </c>
      <c r="E87" s="86">
        <v>76</v>
      </c>
      <c r="F87" s="176" t="n">
        <v>1.0</v>
      </c>
      <c r="G87" s="9">
        <f si="5" t="shared"/>
        <v>0</v>
      </c>
    </row>
    <row r="88" spans="1:7" x14ac:dyDescent="0.25">
      <c r="A88">
        <v>77</v>
      </c>
      <c r="B88" s="6" t="n">
        <v>0.0</v>
      </c>
      <c r="C88" s="9">
        <f si="4" t="shared"/>
        <v>0</v>
      </c>
      <c r="E88" s="87">
        <v>77</v>
      </c>
      <c r="F88" s="177" t="n">
        <v>0.0</v>
      </c>
      <c r="G88" s="9">
        <f si="5" t="shared"/>
        <v>0</v>
      </c>
    </row>
    <row r="89" spans="1:7" x14ac:dyDescent="0.25">
      <c r="A89">
        <v>78</v>
      </c>
      <c r="B89" s="6" t="n">
        <v>0.0</v>
      </c>
      <c r="C89" s="9">
        <f si="4" t="shared"/>
        <v>0</v>
      </c>
      <c r="E89" s="88">
        <v>78</v>
      </c>
      <c r="F89" s="178" t="n">
        <v>0.0</v>
      </c>
      <c r="G89" s="9">
        <f si="5" t="shared"/>
        <v>2.1041911278885285E-6</v>
      </c>
    </row>
    <row r="90" spans="1:7" x14ac:dyDescent="0.25">
      <c r="A90">
        <v>79</v>
      </c>
      <c r="B90" s="6" t="n">
        <v>0.0</v>
      </c>
      <c r="C90" s="9">
        <f si="4" t="shared"/>
        <v>0</v>
      </c>
      <c r="E90" s="89">
        <v>79</v>
      </c>
      <c r="F90" s="179" t="n">
        <v>0.0</v>
      </c>
      <c r="G90" s="9">
        <f si="5" t="shared"/>
        <v>1.0520955639442642E-6</v>
      </c>
    </row>
    <row r="91" spans="1:7" x14ac:dyDescent="0.25">
      <c r="A91">
        <v>80</v>
      </c>
      <c r="B91" s="6" t="n">
        <v>0.0</v>
      </c>
      <c r="C91" s="9">
        <f si="4" t="shared"/>
        <v>0</v>
      </c>
      <c r="E91" s="90">
        <v>80</v>
      </c>
      <c r="F91" s="180" t="n">
        <v>0.0</v>
      </c>
      <c r="G91" s="9">
        <f si="5" t="shared"/>
        <v>0</v>
      </c>
    </row>
    <row r="92" spans="1:7" x14ac:dyDescent="0.25">
      <c r="A92">
        <v>81</v>
      </c>
      <c r="B92" s="6" t="n">
        <v>0.0</v>
      </c>
      <c r="C92" s="9">
        <f si="4" t="shared"/>
        <v>0</v>
      </c>
      <c r="E92" s="91">
        <v>81</v>
      </c>
      <c r="F92" s="181" t="n">
        <v>0.0</v>
      </c>
      <c r="G92" s="9">
        <f si="5" t="shared"/>
        <v>0</v>
      </c>
    </row>
    <row r="93" spans="1:7" x14ac:dyDescent="0.25">
      <c r="A93">
        <v>82</v>
      </c>
      <c r="B93" s="6" t="n">
        <v>0.0</v>
      </c>
      <c r="C93" s="9">
        <f si="4" t="shared"/>
        <v>0</v>
      </c>
      <c r="E93" s="92">
        <v>82</v>
      </c>
      <c r="F93" s="182" t="n">
        <v>0.0</v>
      </c>
      <c r="G93" s="9">
        <f si="5" t="shared"/>
        <v>0</v>
      </c>
    </row>
    <row r="94" spans="1:7" x14ac:dyDescent="0.25">
      <c r="A94">
        <v>83</v>
      </c>
      <c r="B94" s="6" t="n">
        <v>0.0</v>
      </c>
      <c r="C94" s="9">
        <f si="4" t="shared"/>
        <v>0</v>
      </c>
      <c r="E94" s="93">
        <v>83</v>
      </c>
      <c r="F94" s="183" t="n">
        <v>0.0</v>
      </c>
      <c r="G94" s="9">
        <f si="5" t="shared"/>
        <v>0</v>
      </c>
    </row>
    <row r="95" spans="1:7" x14ac:dyDescent="0.25">
      <c r="A95">
        <v>84</v>
      </c>
      <c r="B95" s="6" t="n">
        <v>0.0</v>
      </c>
      <c r="C95" s="9">
        <f si="4" t="shared"/>
        <v>0</v>
      </c>
      <c r="E95" s="94">
        <v>84</v>
      </c>
      <c r="F95" s="184" t="n">
        <v>0.0</v>
      </c>
      <c r="G95" s="9">
        <f si="5" t="shared"/>
        <v>0</v>
      </c>
    </row>
    <row r="96" spans="1:7" x14ac:dyDescent="0.25">
      <c r="A96">
        <v>85</v>
      </c>
      <c r="B96" s="6" t="n">
        <v>0.0</v>
      </c>
      <c r="C96" s="9">
        <f si="4" t="shared"/>
        <v>0</v>
      </c>
      <c r="E96" s="95">
        <v>85</v>
      </c>
      <c r="F96" s="185" t="n">
        <v>0.0</v>
      </c>
      <c r="G96" s="9">
        <f si="5" t="shared"/>
        <v>0</v>
      </c>
    </row>
    <row r="97" spans="1:7" x14ac:dyDescent="0.25">
      <c r="A97">
        <v>86</v>
      </c>
      <c r="B97" s="6" t="n">
        <v>0.0</v>
      </c>
      <c r="C97" s="9">
        <f si="4" t="shared"/>
        <v>0</v>
      </c>
      <c r="E97" s="96">
        <v>86</v>
      </c>
      <c r="F97" s="186" t="n">
        <v>0.0</v>
      </c>
      <c r="G97" s="9">
        <f si="5" t="shared"/>
        <v>0</v>
      </c>
    </row>
    <row r="98" spans="1:7" x14ac:dyDescent="0.25">
      <c r="A98">
        <v>87</v>
      </c>
      <c r="B98" s="6" t="n">
        <v>0.0</v>
      </c>
      <c r="C98" s="9">
        <f si="4" t="shared"/>
        <v>0</v>
      </c>
      <c r="E98" s="97">
        <v>87</v>
      </c>
      <c r="F98" s="187" t="n">
        <v>0.0</v>
      </c>
      <c r="G98" s="9">
        <f si="5" t="shared"/>
        <v>0</v>
      </c>
    </row>
    <row r="99" spans="1:7" x14ac:dyDescent="0.25">
      <c r="A99">
        <v>88</v>
      </c>
      <c r="B99" s="6" t="n">
        <v>0.0</v>
      </c>
      <c r="C99" s="9">
        <f si="4" t="shared"/>
        <v>0</v>
      </c>
      <c r="E99" s="98">
        <v>88</v>
      </c>
      <c r="F99" s="188" t="n">
        <v>0.0</v>
      </c>
      <c r="G99" s="9">
        <f si="5" t="shared"/>
        <v>0</v>
      </c>
    </row>
    <row r="100" spans="1:7" x14ac:dyDescent="0.25">
      <c r="A100">
        <v>89</v>
      </c>
      <c r="B100" s="6" t="n">
        <v>0.0</v>
      </c>
      <c r="C100" s="9">
        <f si="4" t="shared"/>
        <v>0</v>
      </c>
      <c r="E100" s="99">
        <v>89</v>
      </c>
      <c r="F100" s="189" t="n">
        <v>0.0</v>
      </c>
      <c r="G100" s="9">
        <f si="5" t="shared"/>
        <v>0</v>
      </c>
    </row>
    <row ht="15.75" r="101" spans="1:7" thickBot="1" x14ac:dyDescent="0.3">
      <c r="A101" s="1">
        <v>90</v>
      </c>
      <c r="B101" s="7" t="n">
        <v>0.0</v>
      </c>
      <c r="C101" s="9">
        <f si="4" t="shared"/>
        <v>0</v>
      </c>
      <c r="E101" s="372">
        <v>90</v>
      </c>
      <c r="F101" s="372" t="n">
        <v>1.0</v>
      </c>
      <c r="G101" s="9">
        <f si="5" t="shared"/>
        <v>1.0520955639442642E-6</v>
      </c>
    </row>
    <row r="102" spans="1:7" x14ac:dyDescent="0.25">
      <c r="B102" s="6">
        <f>SUM(B11:B101)</f>
        <v>693986.08506952086</v>
      </c>
      <c r="C102" s="9">
        <f si="4" t="shared"/>
        <v>1</v>
      </c>
      <c r="F102" s="6">
        <f>SUM(F11:F101)</f>
        <v>950484</v>
      </c>
      <c r="G102" s="9">
        <f si="5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02"/>
  <sheetViews>
    <sheetView workbookViewId="0">
      <selection activeCell="A3" sqref="A3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6777.984679031</v>
      </c>
      <c r="C11" s="9">
        <f>B11/B$102</f>
        <v>9.7667443553309981E-3</v>
      </c>
      <c r="E11" s="190">
        <v>0</v>
      </c>
      <c r="F11" s="280" t="n">
        <v>2179.0</v>
      </c>
      <c r="G11" s="9">
        <f>F11/F$102</f>
        <v>2.1620563839054628E-3</v>
      </c>
      <c r="K11" s="6" t="n">
        <v>13.883643127877768</v>
      </c>
      <c r="L11" s="6" t="n">
        <v>20.780224121783718</v>
      </c>
    </row>
    <row r="12" spans="1:12" x14ac:dyDescent="0.25">
      <c r="A12">
        <v>1</v>
      </c>
      <c r="B12" s="6" t="n">
        <v>19311.3606145139</v>
      </c>
      <c r="C12" s="9">
        <f>B12/B$102</f>
        <v>2.7826725967537751E-2</v>
      </c>
      <c r="E12" s="191">
        <v>1</v>
      </c>
      <c r="F12" s="281" t="n">
        <v>11251.0</v>
      </c>
      <c r="G12" s="9">
        <f>F12/F$102</f>
        <v>1.1748751162565598E-2</v>
      </c>
      <c r="K12" s="6"/>
      <c r="L12" s="371"/>
    </row>
    <row r="13" spans="1:12" x14ac:dyDescent="0.25">
      <c r="A13">
        <v>2</v>
      </c>
      <c r="B13" s="6" t="n">
        <v>28257.979731648</v>
      </c>
      <c r="C13" s="9">
        <f ref="C13:C76" si="0" t="shared">B13/B$102</f>
        <v>4.0718366462372549E-2</v>
      </c>
      <c r="E13" s="192">
        <v>2</v>
      </c>
      <c r="F13" s="282" t="n">
        <v>20720.0</v>
      </c>
      <c r="G13" s="9">
        <f ref="G13:G76" si="1" t="shared">F13/F$102</f>
        <v>2.1085047197007E-2</v>
      </c>
    </row>
    <row r="14" spans="1:12" x14ac:dyDescent="0.25">
      <c r="A14">
        <v>3</v>
      </c>
      <c r="B14" s="6" t="n">
        <v>41848.0055479135</v>
      </c>
      <c r="C14" s="9">
        <f si="0" t="shared"/>
        <v>6.0300928863323423E-2</v>
      </c>
      <c r="E14" s="193">
        <v>3</v>
      </c>
      <c r="F14" s="283" t="n">
        <v>32041.0</v>
      </c>
      <c r="G14" s="9">
        <f si="1" t="shared"/>
        <v>3.3337752134701901E-2</v>
      </c>
    </row>
    <row r="15" spans="1:12" x14ac:dyDescent="0.25">
      <c r="A15">
        <v>4</v>
      </c>
      <c r="B15" s="6" t="n">
        <v>31773.3347768032</v>
      </c>
      <c r="C15" s="9">
        <f si="0" t="shared"/>
        <v>4.5783821117422359E-2</v>
      </c>
      <c r="E15" s="194">
        <v>4</v>
      </c>
      <c r="F15" s="284" t="n">
        <v>38372.0</v>
      </c>
      <c r="G15" s="9">
        <f si="1" t="shared"/>
        <v>4.0159539771316505E-2</v>
      </c>
    </row>
    <row r="16" spans="1:12" x14ac:dyDescent="0.25">
      <c r="A16">
        <v>5</v>
      </c>
      <c r="B16" s="6" t="n">
        <v>43526.303697265</v>
      </c>
      <c r="C16" s="9">
        <f si="0" t="shared"/>
        <v>6.2719274397129599E-2</v>
      </c>
      <c r="E16" s="195">
        <v>5</v>
      </c>
      <c r="F16" s="285" t="n">
        <v>38511.0</v>
      </c>
      <c r="G16" s="9">
        <f si="1" t="shared"/>
        <v>4.094966353983865E-2</v>
      </c>
    </row>
    <row r="17" spans="1:7" x14ac:dyDescent="0.25">
      <c r="A17">
        <v>6</v>
      </c>
      <c r="B17" s="6" t="n">
        <v>48235.7427135207</v>
      </c>
      <c r="C17" s="9">
        <f si="0" t="shared"/>
        <v>6.9505345642036365E-2</v>
      </c>
      <c r="E17" s="196">
        <v>6</v>
      </c>
      <c r="F17" s="286" t="n">
        <v>38869.0</v>
      </c>
      <c r="G17" s="9">
        <f si="1" t="shared"/>
        <v>4.1072758720820127E-2</v>
      </c>
    </row>
    <row r="18" spans="1:7" x14ac:dyDescent="0.25">
      <c r="A18">
        <v>7</v>
      </c>
      <c r="B18" s="6" t="n">
        <v>54197.3554429739</v>
      </c>
      <c r="C18" s="9">
        <f si="0" t="shared"/>
        <v>7.8095737953513322E-2</v>
      </c>
      <c r="E18" s="197">
        <v>7</v>
      </c>
      <c r="F18" s="287" t="n">
        <v>40959.0</v>
      </c>
      <c r="G18" s="9">
        <f si="1" t="shared"/>
        <v>4.2949697206896696E-2</v>
      </c>
    </row>
    <row r="19" spans="1:7" x14ac:dyDescent="0.25">
      <c r="A19">
        <v>8</v>
      </c>
      <c r="B19" s="6" t="n">
        <v>49784.2055887268</v>
      </c>
      <c r="C19" s="9">
        <f si="0" t="shared"/>
        <v>7.1736604897113476E-2</v>
      </c>
      <c r="E19" s="198">
        <v>8</v>
      </c>
      <c r="F19" s="288" t="n">
        <v>39099.0</v>
      </c>
      <c r="G19" s="9">
        <f si="1" t="shared"/>
        <v>4.1452565219404006E-2</v>
      </c>
    </row>
    <row r="20" spans="1:7" x14ac:dyDescent="0.25">
      <c r="A20">
        <v>9</v>
      </c>
      <c r="B20" s="6" t="n">
        <v>31614.114085730802</v>
      </c>
      <c r="C20" s="9">
        <f si="0" t="shared"/>
        <v>4.5554391890384689E-2</v>
      </c>
      <c r="E20" s="199">
        <v>9</v>
      </c>
      <c r="F20" s="289" t="n">
        <v>36559.0</v>
      </c>
      <c r="G20" s="9">
        <f si="1" t="shared"/>
        <v>3.7861763059662233E-2</v>
      </c>
    </row>
    <row r="21" spans="1:7" x14ac:dyDescent="0.25">
      <c r="A21">
        <v>10</v>
      </c>
      <c r="B21" s="6" t="n">
        <v>39466.8205080395</v>
      </c>
      <c r="C21" s="9">
        <f si="0" t="shared"/>
        <v>5.686975770427135E-2</v>
      </c>
      <c r="E21" s="200">
        <v>10</v>
      </c>
      <c r="F21" s="290" t="n">
        <v>34604.0</v>
      </c>
      <c r="G21" s="9">
        <f si="1" t="shared"/>
        <v>3.6154211959380692E-2</v>
      </c>
    </row>
    <row r="22" spans="1:7" x14ac:dyDescent="0.25">
      <c r="A22">
        <v>11</v>
      </c>
      <c r="B22" s="6" t="n">
        <v>31030.360491319</v>
      </c>
      <c r="C22" s="9">
        <f si="0" t="shared"/>
        <v>4.4713231517041867E-2</v>
      </c>
      <c r="E22" s="201">
        <v>11</v>
      </c>
      <c r="F22" s="291" t="n">
        <v>31696.0</v>
      </c>
      <c r="G22" s="9">
        <f si="1" t="shared"/>
        <v>3.2746474427765224E-2</v>
      </c>
    </row>
    <row r="23" spans="1:7" x14ac:dyDescent="0.25">
      <c r="A23">
        <v>12</v>
      </c>
      <c r="B23" s="6" t="n">
        <v>17581.0717157089</v>
      </c>
      <c r="C23" s="9">
        <f si="0" t="shared"/>
        <v>2.5333464307065602E-2</v>
      </c>
      <c r="E23" s="202">
        <v>12</v>
      </c>
      <c r="F23" s="292" t="n">
        <v>27570.0</v>
      </c>
      <c r="G23" s="9">
        <f si="1" t="shared"/>
        <v>2.9218798001860107E-2</v>
      </c>
    </row>
    <row r="24" spans="1:7" x14ac:dyDescent="0.25">
      <c r="A24">
        <v>13</v>
      </c>
      <c r="B24" s="6" t="n">
        <v>16571.328059094</v>
      </c>
      <c r="C24" s="9">
        <f si="0" t="shared"/>
        <v>2.3878473092776707E-2</v>
      </c>
      <c r="E24" s="203">
        <v>13</v>
      </c>
      <c r="F24" s="293" t="n">
        <v>24015.0</v>
      </c>
      <c r="G24" s="9">
        <f si="1" t="shared"/>
        <v>2.5177698940750188E-2</v>
      </c>
    </row>
    <row r="25" spans="1:7" x14ac:dyDescent="0.25">
      <c r="A25">
        <v>14</v>
      </c>
      <c r="B25" s="6" t="n">
        <v>18040.1939804588</v>
      </c>
      <c r="C25" s="9">
        <f si="0" t="shared"/>
        <v>2.5995037031112233E-2</v>
      </c>
      <c r="E25" s="204">
        <v>14</v>
      </c>
      <c r="F25" s="294" t="n">
        <v>20136.0</v>
      </c>
      <c r="G25" s="9">
        <f si="1" t="shared"/>
        <v>2.095984782489763E-2</v>
      </c>
    </row>
    <row r="26" spans="1:7" x14ac:dyDescent="0.25">
      <c r="A26">
        <v>15</v>
      </c>
      <c r="B26" s="6" t="n">
        <v>13720.8365882418</v>
      </c>
      <c r="C26" s="9">
        <f si="0" t="shared"/>
        <v>1.9771054324334614E-2</v>
      </c>
      <c r="E26" s="205">
        <v>15</v>
      </c>
      <c r="F26" s="295" t="n">
        <v>22664.0</v>
      </c>
      <c r="G26" s="9">
        <f si="1" t="shared"/>
        <v>2.4670588878929051E-2</v>
      </c>
    </row>
    <row r="27" spans="1:7" x14ac:dyDescent="0.25">
      <c r="A27">
        <v>16</v>
      </c>
      <c r="B27" s="6" t="n">
        <v>10658.084855985</v>
      </c>
      <c r="C27" s="9">
        <f si="0" t="shared"/>
        <v>1.5357778902609141E-2</v>
      </c>
      <c r="E27" s="206">
        <v>16</v>
      </c>
      <c r="F27" s="296" t="n">
        <v>24190.0</v>
      </c>
      <c r="G27" s="9">
        <f si="1" t="shared"/>
        <v>2.4742131377277262E-2</v>
      </c>
    </row>
    <row r="28" spans="1:7" x14ac:dyDescent="0.25">
      <c r="A28">
        <v>17</v>
      </c>
      <c r="B28" s="6" t="n">
        <v>15233.484540359</v>
      </c>
      <c r="C28" s="9">
        <f si="0" t="shared"/>
        <v>2.1950706027244003E-2</v>
      </c>
      <c r="E28" s="207">
        <v>17</v>
      </c>
      <c r="F28" s="297" t="n">
        <v>23585.0</v>
      </c>
      <c r="G28" s="9">
        <f si="1" t="shared"/>
        <v>2.5431253971660753E-2</v>
      </c>
    </row>
    <row r="29" spans="1:7" x14ac:dyDescent="0.25">
      <c r="A29">
        <v>18</v>
      </c>
      <c r="B29" s="6" t="n">
        <v>10866.1279837611</v>
      </c>
      <c r="C29" s="9">
        <f si="0" t="shared"/>
        <v>1.5657558872628655E-2</v>
      </c>
      <c r="E29" s="208">
        <v>18</v>
      </c>
      <c r="F29" s="298" t="n">
        <v>23280.0</v>
      </c>
      <c r="G29" s="9">
        <f si="1" t="shared"/>
        <v>2.4398096127867485E-2</v>
      </c>
    </row>
    <row r="30" spans="1:7" x14ac:dyDescent="0.25">
      <c r="A30">
        <v>19</v>
      </c>
      <c r="B30" s="6" t="n">
        <v>5516.6901584309</v>
      </c>
      <c r="C30" s="9">
        <f si="0" t="shared"/>
        <v>7.9492806514676138E-3</v>
      </c>
      <c r="E30" s="209">
        <v>19</v>
      </c>
      <c r="F30" s="299" t="n">
        <v>22205.0</v>
      </c>
      <c r="G30" s="9">
        <f si="1" t="shared"/>
        <v>2.4000404004696555E-2</v>
      </c>
    </row>
    <row r="31" spans="1:7" x14ac:dyDescent="0.25">
      <c r="A31">
        <v>20</v>
      </c>
      <c r="B31" s="6" t="n">
        <v>12996.808079056</v>
      </c>
      <c r="C31" s="9">
        <f si="0" t="shared"/>
        <v>1.8727764660805887E-2</v>
      </c>
      <c r="E31" s="210">
        <v>20</v>
      </c>
      <c r="F31" s="300" t="n">
        <v>20296.0</v>
      </c>
      <c r="G31" s="9">
        <f si="1" t="shared"/>
        <v>2.1623720125746461E-2</v>
      </c>
    </row>
    <row r="32" spans="1:7" x14ac:dyDescent="0.25">
      <c r="A32">
        <v>21</v>
      </c>
      <c r="B32" s="6" t="n">
        <v>4655.7016207717</v>
      </c>
      <c r="C32" s="9">
        <f si="0" t="shared"/>
        <v>6.7086382867537027E-3</v>
      </c>
      <c r="E32" s="211">
        <v>21</v>
      </c>
      <c r="F32" s="301" t="n">
        <v>21094.0</v>
      </c>
      <c r="G32" s="9">
        <f si="1" t="shared"/>
        <v>2.2904120427066632E-2</v>
      </c>
    </row>
    <row r="33" spans="1:7" x14ac:dyDescent="0.25">
      <c r="A33">
        <v>22</v>
      </c>
      <c r="B33" s="6" t="n">
        <v>12879.825124991</v>
      </c>
      <c r="C33" s="9">
        <f si="0" t="shared"/>
        <v>1.8559197946599677E-2</v>
      </c>
      <c r="E33" s="212">
        <v>22</v>
      </c>
      <c r="F33" s="302" t="n">
        <v>21749.0</v>
      </c>
      <c r="G33" s="9">
        <f si="1" t="shared"/>
        <v>2.3357573615126609E-2</v>
      </c>
    </row>
    <row r="34" spans="1:7" x14ac:dyDescent="0.25">
      <c r="A34">
        <v>23</v>
      </c>
      <c r="B34" s="6" t="n">
        <v>11067.8917436264</v>
      </c>
      <c r="C34" s="9">
        <f si="0" t="shared"/>
        <v>1.5948290580664395E-2</v>
      </c>
      <c r="E34" s="213">
        <v>23</v>
      </c>
      <c r="F34" s="303" t="n">
        <v>22612.0</v>
      </c>
      <c r="G34" s="9">
        <f si="1" t="shared"/>
        <v>2.3631118461752119E-2</v>
      </c>
    </row>
    <row r="35" spans="1:7" x14ac:dyDescent="0.25">
      <c r="A35">
        <v>24</v>
      </c>
      <c r="B35" s="6" t="n">
        <v>4811.3797674802</v>
      </c>
      <c r="C35" s="9">
        <f si="0" t="shared"/>
        <v>6.9329628806580673E-3</v>
      </c>
      <c r="E35" s="214">
        <v>24</v>
      </c>
      <c r="F35" s="304" t="n">
        <v>18737.0</v>
      </c>
      <c r="G35" s="9">
        <f si="1" t="shared"/>
        <v>2.0577937135185864E-2</v>
      </c>
    </row>
    <row r="36" spans="1:7" x14ac:dyDescent="0.25">
      <c r="A36">
        <v>25</v>
      </c>
      <c r="B36" s="6" t="n">
        <v>6155.383344064</v>
      </c>
      <c r="C36" s="9">
        <f si="0" t="shared"/>
        <v>8.8696062882116389E-3</v>
      </c>
      <c r="E36" s="215">
        <v>25</v>
      </c>
      <c r="F36" s="305" t="n">
        <v>19060.0</v>
      </c>
      <c r="G36" s="9">
        <f si="1" t="shared"/>
        <v>2.1101880726030108E-2</v>
      </c>
    </row>
    <row r="37" spans="1:7" x14ac:dyDescent="0.25">
      <c r="A37">
        <v>26</v>
      </c>
      <c r="B37" s="6" t="n">
        <v>3504.9597999415</v>
      </c>
      <c r="C37" s="9">
        <f si="0" t="shared"/>
        <v>5.0504756152140815E-3</v>
      </c>
      <c r="E37" s="216">
        <v>26</v>
      </c>
      <c r="F37" s="306" t="n">
        <v>17896.0</v>
      </c>
      <c r="G37" s="9">
        <f si="1" t="shared"/>
        <v>1.950585175552666E-2</v>
      </c>
    </row>
    <row r="38" spans="1:7" x14ac:dyDescent="0.25">
      <c r="A38">
        <v>27</v>
      </c>
      <c r="B38" s="6" t="n">
        <v>3835.3351269925</v>
      </c>
      <c r="C38" s="9">
        <f si="0" t="shared"/>
        <v>5.5265303001115519E-3</v>
      </c>
      <c r="E38" s="217">
        <v>27</v>
      </c>
      <c r="F38" s="307" t="n">
        <v>18213.0</v>
      </c>
      <c r="G38" s="9">
        <f si="1" t="shared"/>
        <v>1.8739926184975234E-2</v>
      </c>
    </row>
    <row r="39" spans="1:7" x14ac:dyDescent="0.25">
      <c r="A39">
        <v>28</v>
      </c>
      <c r="B39" s="6" t="n">
        <v>6243.2691903920995</v>
      </c>
      <c r="C39" s="9">
        <f si="0" t="shared"/>
        <v>8.9962454935485821E-3</v>
      </c>
      <c r="E39" s="218">
        <v>28</v>
      </c>
      <c r="F39" s="308" t="n">
        <v>18021.0</v>
      </c>
      <c r="G39" s="9">
        <f si="1" t="shared"/>
        <v>2.015289052735238E-2</v>
      </c>
    </row>
    <row r="40" spans="1:7" x14ac:dyDescent="0.25">
      <c r="A40">
        <v>29</v>
      </c>
      <c r="B40" s="6" t="n">
        <v>3184.5809180328</v>
      </c>
      <c r="C40" s="9">
        <f si="0" t="shared"/>
        <v>4.5888253187580568E-3</v>
      </c>
      <c r="E40" s="219">
        <v>29</v>
      </c>
      <c r="F40" s="309" t="n">
        <v>15850.0</v>
      </c>
      <c r="G40" s="9">
        <f si="1" t="shared"/>
        <v>1.7922447931790542E-2</v>
      </c>
    </row>
    <row r="41" spans="1:7" x14ac:dyDescent="0.25">
      <c r="A41">
        <v>30</v>
      </c>
      <c r="B41" s="6" t="n">
        <v>3957.7416261823</v>
      </c>
      <c r="C41" s="9">
        <f si="0" t="shared"/>
        <v>5.7029120775322585E-3</v>
      </c>
      <c r="E41" s="220">
        <v>30</v>
      </c>
      <c r="F41" s="310" t="n">
        <v>13980.0</v>
      </c>
      <c r="G41" s="9">
        <f si="1" t="shared"/>
        <v>1.5600473022165549E-2</v>
      </c>
    </row>
    <row r="42" spans="1:7" x14ac:dyDescent="0.25">
      <c r="A42">
        <v>31</v>
      </c>
      <c r="B42" s="6" t="n">
        <v>4782.771690812</v>
      </c>
      <c r="C42" s="9">
        <f si="0" t="shared"/>
        <v>6.891740041636253E-3</v>
      </c>
      <c r="E42" s="221">
        <v>31</v>
      </c>
      <c r="F42" s="311" t="n">
        <v>13868.0</v>
      </c>
      <c r="G42" s="9">
        <f si="1" t="shared"/>
        <v>1.4983945021694211E-2</v>
      </c>
    </row>
    <row r="43" spans="1:7" x14ac:dyDescent="0.25">
      <c r="A43">
        <v>32</v>
      </c>
      <c r="B43" s="6" t="n">
        <v>6231.7071484738</v>
      </c>
      <c r="C43" s="9">
        <f si="0" t="shared"/>
        <v>8.9795851567391755E-3</v>
      </c>
      <c r="E43" s="222">
        <v>32</v>
      </c>
      <c r="F43" s="312" t="n">
        <v>12596.0</v>
      </c>
      <c r="G43" s="9">
        <f si="1" t="shared"/>
        <v>1.4077038645574256E-2</v>
      </c>
    </row>
    <row r="44" spans="1:7" x14ac:dyDescent="0.25">
      <c r="A44">
        <v>33</v>
      </c>
      <c r="B44" s="6" t="n">
        <v>4105.604641922</v>
      </c>
      <c r="C44" s="9">
        <f si="0" t="shared"/>
        <v>5.9159754500131174E-3</v>
      </c>
      <c r="E44" s="223">
        <v>33</v>
      </c>
      <c r="F44" s="313" t="n">
        <v>12039.0</v>
      </c>
      <c r="G44" s="9">
        <f si="1" t="shared"/>
        <v>1.3264820870209283E-2</v>
      </c>
    </row>
    <row r="45" spans="1:7" x14ac:dyDescent="0.25">
      <c r="A45">
        <v>34</v>
      </c>
      <c r="B45" s="6" t="n">
        <v>3066.9543702994</v>
      </c>
      <c r="C45" s="9">
        <f si="0" t="shared"/>
        <v>4.4193312175591594E-3</v>
      </c>
      <c r="E45" s="224">
        <v>34</v>
      </c>
      <c r="F45" s="314" t="n">
        <v>10711.0</v>
      </c>
      <c r="G45" s="9">
        <f si="1" t="shared"/>
        <v>1.1993889428964611E-2</v>
      </c>
    </row>
    <row r="46" spans="1:7" x14ac:dyDescent="0.25">
      <c r="A46">
        <v>35</v>
      </c>
      <c r="B46" s="6" t="n">
        <v>6714.874143243</v>
      </c>
      <c r="C46" s="9">
        <f si="0" t="shared"/>
        <v>9.6758051605174891E-3</v>
      </c>
      <c r="E46" s="225">
        <v>35</v>
      </c>
      <c r="F46" s="315" t="n">
        <v>9855.0</v>
      </c>
      <c r="G46" s="9">
        <f si="1" t="shared"/>
        <v>1.1176411175779919E-2</v>
      </c>
    </row>
    <row r="47" spans="1:7" x14ac:dyDescent="0.25">
      <c r="A47">
        <v>36</v>
      </c>
      <c r="B47" s="6" t="n">
        <v>4992.4043084543</v>
      </c>
      <c r="C47" s="9">
        <f si="0" t="shared"/>
        <v>7.1938103887978968E-3</v>
      </c>
      <c r="E47" s="226">
        <v>36</v>
      </c>
      <c r="F47" s="316" t="n">
        <v>8696.0</v>
      </c>
      <c r="G47" s="9">
        <f si="1" t="shared"/>
        <v>9.7455612088157197E-3</v>
      </c>
    </row>
    <row r="48" spans="1:7" x14ac:dyDescent="0.25">
      <c r="A48">
        <v>37</v>
      </c>
      <c r="B48" s="6" t="n">
        <v>3604.1433448000002</v>
      </c>
      <c r="C48" s="9">
        <f si="0" t="shared"/>
        <v>5.1933942514696832E-3</v>
      </c>
      <c r="E48" s="227">
        <v>37</v>
      </c>
      <c r="F48" s="317" t="n">
        <v>7871.0</v>
      </c>
      <c r="G48" s="9">
        <f si="1" t="shared"/>
        <v>8.2905130438808011E-3</v>
      </c>
    </row>
    <row r="49" spans="1:7" x14ac:dyDescent="0.25">
      <c r="A49">
        <v>38</v>
      </c>
      <c r="B49" s="6" t="n">
        <v>5966.5472758128</v>
      </c>
      <c r="C49" s="9">
        <f si="0" t="shared"/>
        <v>8.5975027513917578E-3</v>
      </c>
      <c r="E49" s="228">
        <v>38</v>
      </c>
      <c r="F49" s="318" t="n">
        <v>7512.0</v>
      </c>
      <c r="G49" s="9">
        <f si="1" t="shared"/>
        <v>8.0369580129702346E-3</v>
      </c>
    </row>
    <row r="50" spans="1:7" x14ac:dyDescent="0.25">
      <c r="A50">
        <v>39</v>
      </c>
      <c r="B50" s="6" t="n">
        <v>2382.187137158</v>
      </c>
      <c r="C50" s="9">
        <f si="0" t="shared"/>
        <v>3.4326151322174735E-3</v>
      </c>
      <c r="E50" s="229">
        <v>39</v>
      </c>
      <c r="F50" s="319" t="n">
        <v>6525.0</v>
      </c>
      <c r="G50" s="9">
        <f si="1" t="shared"/>
        <v>6.9511953909797532E-3</v>
      </c>
    </row>
    <row r="51" spans="1:7" x14ac:dyDescent="0.25">
      <c r="A51">
        <v>40</v>
      </c>
      <c r="B51" s="6" t="n">
        <v>3637.4715756984</v>
      </c>
      <c r="C51" s="9">
        <f si="0" t="shared"/>
        <v>5.2414186018355288E-3</v>
      </c>
      <c r="E51" s="230">
        <v>40</v>
      </c>
      <c r="F51" s="320" t="n">
        <v>6403.0</v>
      </c>
      <c r="G51" s="9">
        <f si="1" t="shared"/>
        <v>6.828100209998275E-3</v>
      </c>
    </row>
    <row r="52" spans="1:7" x14ac:dyDescent="0.25">
      <c r="A52">
        <v>41</v>
      </c>
      <c r="B52" s="6" t="n">
        <v>2016.201372173</v>
      </c>
      <c r="C52" s="9">
        <f si="0" t="shared"/>
        <v>2.9052475482574331E-3</v>
      </c>
      <c r="E52" s="231">
        <v>41</v>
      </c>
      <c r="F52" s="321" t="n">
        <v>5739.0</v>
      </c>
      <c r="G52" s="9">
        <f si="1" t="shared"/>
        <v>6.1400297111787261E-3</v>
      </c>
    </row>
    <row r="53" spans="1:7" x14ac:dyDescent="0.25">
      <c r="A53">
        <v>42</v>
      </c>
      <c r="B53" s="6" t="n">
        <v>2809.120859826</v>
      </c>
      <c r="C53" s="9">
        <f si="0" t="shared"/>
        <v>4.0478057417312526E-3</v>
      </c>
      <c r="E53" s="232">
        <v>42</v>
      </c>
      <c r="F53" s="322" t="n">
        <v>5249.0</v>
      </c>
      <c r="G53" s="9">
        <f si="1" t="shared"/>
        <v>5.676055567479305E-3</v>
      </c>
    </row>
    <row r="54" spans="1:7" x14ac:dyDescent="0.25">
      <c r="A54">
        <v>43</v>
      </c>
      <c r="B54" s="6" t="n">
        <v>1516.016330693</v>
      </c>
      <c r="C54" s="9">
        <f si="0" t="shared"/>
        <v>2.184505371661928E-3</v>
      </c>
      <c r="E54" s="233">
        <v>43</v>
      </c>
      <c r="F54" s="323" t="n">
        <v>4558.0</v>
      </c>
      <c r="G54" s="9">
        <f si="1" t="shared"/>
        <v>5.2415400995703245E-3</v>
      </c>
    </row>
    <row r="55" spans="1:7" x14ac:dyDescent="0.25">
      <c r="A55">
        <v>44</v>
      </c>
      <c r="B55" s="6" t="n">
        <v>3781.4082927194</v>
      </c>
      <c r="C55" s="9">
        <f si="0" t="shared"/>
        <v>5.4488243699304046E-3</v>
      </c>
      <c r="E55" s="234">
        <v>44</v>
      </c>
      <c r="F55" s="324" t="n">
        <v>3973.0</v>
      </c>
      <c r="G55" s="9">
        <f si="1" t="shared"/>
        <v>4.7302216554934119E-3</v>
      </c>
    </row>
    <row r="56" spans="1:7" x14ac:dyDescent="0.25">
      <c r="A56">
        <v>45</v>
      </c>
      <c r="B56" s="6" t="n">
        <v>4853.517579446</v>
      </c>
      <c r="C56" s="9">
        <f si="0" t="shared"/>
        <v>6.9936814063927422E-3</v>
      </c>
      <c r="E56" s="235">
        <v>45</v>
      </c>
      <c r="F56" s="325" t="n">
        <v>3927.0</v>
      </c>
      <c r="G56" s="9">
        <f si="1" t="shared"/>
        <v>4.4009157439788569E-3</v>
      </c>
    </row>
    <row r="57" spans="1:7" x14ac:dyDescent="0.25">
      <c r="A57">
        <v>46</v>
      </c>
      <c r="B57" s="6" t="n">
        <v>3632.117248933</v>
      </c>
      <c r="C57" s="9">
        <f si="0" t="shared"/>
        <v>5.2337032788908854E-3</v>
      </c>
      <c r="E57" s="236">
        <v>46</v>
      </c>
      <c r="F57" s="326" t="n">
        <v>3306.0</v>
      </c>
      <c r="G57" s="9">
        <f si="1" t="shared"/>
        <v>3.8874931087740563E-3</v>
      </c>
    </row>
    <row r="58" spans="1:7" x14ac:dyDescent="0.25">
      <c r="A58">
        <v>47</v>
      </c>
      <c r="B58" s="6" t="n">
        <v>3476.3439889486003</v>
      </c>
      <c r="C58" s="9">
        <f si="0" t="shared"/>
        <v>5.0092416314087241E-3</v>
      </c>
      <c r="E58" s="237">
        <v>47</v>
      </c>
      <c r="F58" s="327" t="n">
        <v>3408.0</v>
      </c>
      <c r="G58" s="9">
        <f si="1" t="shared"/>
        <v>3.814898514861902E-3</v>
      </c>
    </row>
    <row r="59" spans="1:7" x14ac:dyDescent="0.25">
      <c r="A59">
        <v>48</v>
      </c>
      <c r="B59" s="6" t="n">
        <v>3844.122228342</v>
      </c>
      <c r="C59" s="9">
        <f si="0" t="shared"/>
        <v>5.5391920833065562E-3</v>
      </c>
      <c r="E59" s="238">
        <v>48</v>
      </c>
      <c r="F59" s="328" t="n">
        <v>3182.0</v>
      </c>
      <c r="G59" s="9">
        <f si="1" t="shared"/>
        <v>3.6160524532764362E-3</v>
      </c>
    </row>
    <row r="60" spans="1:7" x14ac:dyDescent="0.25">
      <c r="A60">
        <v>49</v>
      </c>
      <c r="B60" s="6" t="n">
        <v>1208.792169277</v>
      </c>
      <c r="C60" s="9">
        <f si="0" t="shared"/>
        <v>1.7418103839299717E-3</v>
      </c>
      <c r="E60" s="239">
        <v>49</v>
      </c>
      <c r="F60" s="329" t="n">
        <v>2738.0</v>
      </c>
      <c r="G60" s="9">
        <f si="1" t="shared"/>
        <v>2.9711178725786019E-3</v>
      </c>
    </row>
    <row r="61" spans="1:7" x14ac:dyDescent="0.25">
      <c r="A61">
        <v>50</v>
      </c>
      <c r="B61" s="6" t="n">
        <v>800.903874653</v>
      </c>
      <c r="C61" s="9">
        <f si="0" t="shared"/>
        <v>1.1540633045585755E-3</v>
      </c>
      <c r="E61" s="240">
        <v>50</v>
      </c>
      <c r="F61" s="330" t="n">
        <v>2442.0</v>
      </c>
      <c r="G61" s="9">
        <f si="1" t="shared"/>
        <v>2.8027825823475198E-3</v>
      </c>
    </row>
    <row r="62" spans="1:7" x14ac:dyDescent="0.25">
      <c r="A62">
        <v>51</v>
      </c>
      <c r="B62" s="6" t="n">
        <v>2224.296473413</v>
      </c>
      <c r="C62" s="9">
        <f si="0" t="shared"/>
        <v>3.2051024094959749E-3</v>
      </c>
      <c r="E62" s="241">
        <v>51</v>
      </c>
      <c r="F62" s="331" t="n">
        <v>2238.0</v>
      </c>
      <c r="G62" s="9">
        <f si="1" t="shared"/>
        <v>2.2441198378931157E-3</v>
      </c>
    </row>
    <row r="63" spans="1:7" x14ac:dyDescent="0.25">
      <c r="A63">
        <v>52</v>
      </c>
      <c r="B63" s="6" t="n">
        <v>1665.918275329</v>
      </c>
      <c r="C63" s="9">
        <f si="0" t="shared"/>
        <v>2.4005067409415201E-3</v>
      </c>
      <c r="E63" s="242">
        <v>52</v>
      </c>
      <c r="F63" s="332" t="n">
        <v>1786.0</v>
      </c>
      <c r="G63" s="9">
        <f si="1" t="shared"/>
        <v>1.7328013938162031E-3</v>
      </c>
    </row>
    <row r="64" spans="1:7" x14ac:dyDescent="0.25">
      <c r="A64">
        <v>53</v>
      </c>
      <c r="B64" s="6" t="n">
        <v>1380.401917378</v>
      </c>
      <c r="C64" s="9">
        <f si="0" t="shared"/>
        <v>1.9890916360948601E-3</v>
      </c>
      <c r="E64" s="243">
        <v>53</v>
      </c>
      <c r="F64" s="333" t="n">
        <v>1584.0</v>
      </c>
      <c r="G64" s="9">
        <f si="1" t="shared"/>
        <v>1.8474798102861279E-3</v>
      </c>
    </row>
    <row r="65" spans="1:7" x14ac:dyDescent="0.25">
      <c r="A65">
        <v>54</v>
      </c>
      <c r="B65" s="6" t="n">
        <v>1441.059767666</v>
      </c>
      <c r="C65" s="9">
        <f si="0" t="shared"/>
        <v>2.0764966310839504E-3</v>
      </c>
      <c r="E65" s="244">
        <v>54</v>
      </c>
      <c r="F65" s="334" t="n">
        <v>1499.0</v>
      </c>
      <c r="G65" s="9">
        <f si="1" t="shared"/>
        <v>1.6307481241136096E-3</v>
      </c>
    </row>
    <row r="66" spans="1:7" x14ac:dyDescent="0.25">
      <c r="A66">
        <v>55</v>
      </c>
      <c r="B66" s="6" t="n">
        <v>110.48572589</v>
      </c>
      <c r="C66" s="9">
        <f si="0" t="shared"/>
        <v>1.5920452623907001E-4</v>
      </c>
      <c r="E66" s="245">
        <v>55</v>
      </c>
      <c r="F66" s="335" t="n">
        <v>1413.0</v>
      </c>
      <c r="G66" s="9">
        <f si="1" t="shared"/>
        <v>1.5981331616313373E-3</v>
      </c>
    </row>
    <row r="67" spans="1:7" x14ac:dyDescent="0.25">
      <c r="A67">
        <v>56</v>
      </c>
      <c r="B67" s="6" t="n">
        <v>321.941783499</v>
      </c>
      <c r="C67" s="9">
        <f si="0" t="shared"/>
        <v>4.6390236119323502E-4</v>
      </c>
      <c r="E67" s="246">
        <v>56</v>
      </c>
      <c r="F67" s="336" t="n">
        <v>1254.0</v>
      </c>
      <c r="G67" s="9">
        <f si="1" t="shared"/>
        <v>1.4718816939580256E-3</v>
      </c>
    </row>
    <row r="68" spans="1:7" x14ac:dyDescent="0.25">
      <c r="A68">
        <v>57</v>
      </c>
      <c r="B68" s="6" t="n">
        <v>992.9541449953001</v>
      </c>
      <c r="C68" s="9">
        <f si="0" t="shared"/>
        <v>1.4307983493585894E-3</v>
      </c>
      <c r="E68" s="247">
        <v>57</v>
      </c>
      <c r="F68" s="337" t="n">
        <v>1251.0</v>
      </c>
      <c r="G68" s="9">
        <f si="1" t="shared"/>
        <v>1.3014422125990548E-3</v>
      </c>
    </row>
    <row r="69" spans="1:7" x14ac:dyDescent="0.25">
      <c r="A69">
        <v>58</v>
      </c>
      <c r="B69" s="6" t="n">
        <v>1190.6595062796</v>
      </c>
      <c r="C69" s="9">
        <f si="0" t="shared"/>
        <v>1.7156821035688695E-3</v>
      </c>
      <c r="E69" s="248">
        <v>58</v>
      </c>
      <c r="F69" s="338" t="n">
        <v>1151.0</v>
      </c>
      <c r="G69" s="9">
        <f si="1" t="shared"/>
        <v>1.0773458574789266E-3</v>
      </c>
    </row>
    <row r="70" spans="1:7" x14ac:dyDescent="0.25">
      <c r="A70">
        <v>59</v>
      </c>
      <c r="B70" s="6" t="n">
        <v>0.0</v>
      </c>
      <c r="C70" s="9">
        <f si="0" t="shared"/>
        <v>0</v>
      </c>
      <c r="E70" s="249">
        <v>59</v>
      </c>
      <c r="F70" s="339" t="n">
        <v>980.0</v>
      </c>
      <c r="G70" s="9">
        <f si="1" t="shared"/>
        <v>1.2277955231229563E-3</v>
      </c>
    </row>
    <row r="71" spans="1:7" x14ac:dyDescent="0.25">
      <c r="A71">
        <v>60</v>
      </c>
      <c r="B71" s="6" t="n">
        <v>827.9796802999999</v>
      </c>
      <c r="C71" s="9">
        <f si="0" t="shared"/>
        <v>1.1930782159948583E-3</v>
      </c>
      <c r="E71" s="250">
        <v>60</v>
      </c>
      <c r="F71" s="340" t="n">
        <v>1108.0</v>
      </c>
      <c r="G71" s="9">
        <f si="1" t="shared"/>
        <v>1.1530967380829135E-3</v>
      </c>
    </row>
    <row r="72" spans="1:7" x14ac:dyDescent="0.25">
      <c r="A72">
        <v>61</v>
      </c>
      <c r="B72" s="6" t="n">
        <v>481.758028516</v>
      </c>
      <c r="C72" s="9">
        <f si="0" t="shared"/>
        <v>6.9418975233161823E-4</v>
      </c>
      <c r="E72" s="251">
        <v>61</v>
      </c>
      <c r="F72" s="341" t="n">
        <v>1067.0</v>
      </c>
      <c r="G72" s="9">
        <f si="1" t="shared"/>
        <v>1.1183775844727528E-3</v>
      </c>
    </row>
    <row r="73" spans="1:7" x14ac:dyDescent="0.25">
      <c r="A73">
        <v>62</v>
      </c>
      <c r="B73" s="6" t="n">
        <v>155.903466484</v>
      </c>
      <c r="C73" s="9">
        <f si="0" t="shared"/>
        <v>2.2464926867861074E-4</v>
      </c>
      <c r="E73" s="252">
        <v>62</v>
      </c>
      <c r="F73" s="342" t="n">
        <v>1000.0</v>
      </c>
      <c r="G73" s="9">
        <f si="1" t="shared"/>
        <v>1.0363141304851001E-3</v>
      </c>
    </row>
    <row r="74" spans="1:7" x14ac:dyDescent="0.25">
      <c r="A74">
        <v>63</v>
      </c>
      <c r="B74" s="6" t="n">
        <v>0.0</v>
      </c>
      <c r="C74" s="9">
        <f si="0" t="shared"/>
        <v>0</v>
      </c>
      <c r="E74" s="253">
        <v>63</v>
      </c>
      <c r="F74" s="343" t="n">
        <v>888.0</v>
      </c>
      <c r="G74" s="9">
        <f si="1" t="shared"/>
        <v>9.5109438980561485E-4</v>
      </c>
    </row>
    <row r="75" spans="1:7" x14ac:dyDescent="0.25">
      <c r="A75">
        <v>64</v>
      </c>
      <c r="B75" s="6" t="n">
        <v>630.0307990270001</v>
      </c>
      <c r="C75" s="9">
        <f si="0" t="shared"/>
        <v>9.0784356139343345E-4</v>
      </c>
      <c r="E75" s="254">
        <v>64</v>
      </c>
      <c r="F75" s="344" t="n">
        <v>960.0</v>
      </c>
      <c r="G75" s="9">
        <f si="1" t="shared"/>
        <v>9.216357140151754E-4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255">
        <v>65</v>
      </c>
      <c r="F76" s="345" t="n">
        <v>901.0</v>
      </c>
      <c r="G76" s="9">
        <f si="1" t="shared"/>
        <v>9.9949078574705099E-4</v>
      </c>
    </row>
    <row r="77" spans="1:7" x14ac:dyDescent="0.25">
      <c r="A77">
        <v>66</v>
      </c>
      <c r="B77" s="6" t="n">
        <v>529.467299939</v>
      </c>
      <c r="C77" s="9">
        <f ref="C77:C102" si="2" t="shared">B77/B$102</f>
        <v>7.629364785980687E-4</v>
      </c>
      <c r="E77" s="256">
        <v>66</v>
      </c>
      <c r="F77" s="346" t="n">
        <v>913.0</v>
      </c>
      <c r="G77" s="9">
        <f ref="G77:G102" si="3" t="shared">F77/F$102</f>
        <v>8.9007284709684753E-4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257">
        <v>67</v>
      </c>
      <c r="F78" s="347" t="n">
        <v>837.0</v>
      </c>
      <c r="G78" s="9">
        <f si="3" t="shared"/>
        <v>8.8796865596895899E-4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258">
        <v>68</v>
      </c>
      <c r="F79" s="348" t="n">
        <v>748.0</v>
      </c>
      <c r="G79" s="9">
        <f si="3" t="shared"/>
        <v>8.5850998017851954E-4</v>
      </c>
    </row>
    <row r="80" spans="1:7" x14ac:dyDescent="0.25">
      <c r="A80">
        <v>69</v>
      </c>
      <c r="B80" s="6" t="n">
        <v>0.0</v>
      </c>
      <c r="C80" s="9">
        <f si="2" t="shared"/>
        <v>0</v>
      </c>
      <c r="E80" s="259">
        <v>69</v>
      </c>
      <c r="F80" s="349" t="n">
        <v>670.0</v>
      </c>
      <c r="G80" s="9">
        <f si="3" t="shared"/>
        <v>7.5750880603987021E-4</v>
      </c>
    </row>
    <row r="81" spans="1:7" x14ac:dyDescent="0.25">
      <c r="A81">
        <v>70</v>
      </c>
      <c r="B81" s="6" t="n">
        <v>356.0060045</v>
      </c>
      <c r="C81" s="9">
        <f si="2" t="shared"/>
        <v>5.1298723729357868E-4</v>
      </c>
      <c r="E81" s="260">
        <v>70</v>
      </c>
      <c r="F81" s="350" t="n">
        <v>911.0</v>
      </c>
      <c r="G81" s="9">
        <f si="3" t="shared"/>
        <v>9.2689619183489679E-4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261">
        <v>71</v>
      </c>
      <c r="F82" s="351" t="n">
        <v>572.0</v>
      </c>
      <c r="G82" s="9">
        <f si="3" t="shared"/>
        <v>6.0916333152372896E-4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262">
        <v>72</v>
      </c>
      <c r="F83" s="352" t="n">
        <v>764.0</v>
      </c>
      <c r="G83" s="9">
        <f si="3" t="shared"/>
        <v>8.0695729754525066E-4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263">
        <v>73</v>
      </c>
      <c r="F84" s="353" t="n">
        <v>522.0</v>
      </c>
      <c r="G84" s="9">
        <f si="3" t="shared"/>
        <v>5.2709987753607631E-4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264">
        <v>74</v>
      </c>
      <c r="F85" s="354" t="n">
        <v>460.0</v>
      </c>
      <c r="G85" s="9">
        <f si="3" t="shared"/>
        <v>4.9658910618169264E-4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265">
        <v>75</v>
      </c>
      <c r="F86" s="355" t="n">
        <v>449.0</v>
      </c>
      <c r="G86" s="9">
        <f si="3" t="shared"/>
        <v>4.145256521940401E-4</v>
      </c>
    </row>
    <row r="87" spans="1:7" x14ac:dyDescent="0.25">
      <c r="A87">
        <v>76</v>
      </c>
      <c r="B87" s="6" t="n">
        <v>190.728922024</v>
      </c>
      <c r="C87" s="9">
        <f si="2" t="shared"/>
        <v>2.7483104651139154E-4</v>
      </c>
      <c r="E87" s="266">
        <v>76</v>
      </c>
      <c r="F87" s="356" t="n">
        <v>475.0</v>
      </c>
      <c r="G87" s="9">
        <f si="3" t="shared"/>
        <v>4.8080767272252876E-4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267">
        <v>77</v>
      </c>
      <c r="F88" s="357" t="n">
        <v>478.0</v>
      </c>
      <c r="G88" s="9">
        <f si="3" t="shared"/>
        <v>4.9658910618169264E-4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268">
        <v>78</v>
      </c>
      <c r="F89" s="358" t="n">
        <v>350.0</v>
      </c>
      <c r="G89" s="9">
        <f si="3" t="shared"/>
        <v>4.3661965903686963E-4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269">
        <v>79</v>
      </c>
      <c r="F90" s="359" t="n">
        <v>374.0</v>
      </c>
      <c r="G90" s="9">
        <f si="3" t="shared"/>
        <v>3.587645873049941E-4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270">
        <v>80</v>
      </c>
      <c r="F91" s="360" t="n">
        <v>319.0</v>
      </c>
      <c r="G91" s="9">
        <f si="3" t="shared"/>
        <v>3.2509752925877764E-4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271">
        <v>81</v>
      </c>
      <c r="F92" s="361" t="n">
        <v>388.0</v>
      </c>
      <c r="G92" s="9">
        <f si="3" t="shared"/>
        <v>3.5981668286893837E-4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272">
        <v>82</v>
      </c>
      <c r="F93" s="362" t="n">
        <v>337.0</v>
      </c>
      <c r="G93" s="9">
        <f si="3" t="shared"/>
        <v>4.113693655022073E-4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273">
        <v>83</v>
      </c>
      <c r="F94" s="363" t="n">
        <v>358.0</v>
      </c>
      <c r="G94" s="9">
        <f si="3" t="shared"/>
        <v>3.913795497872663E-4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274">
        <v>84</v>
      </c>
      <c r="F95" s="364" t="n">
        <v>530.0</v>
      </c>
      <c r="G95" s="9">
        <f si="3" t="shared"/>
        <v>4.9658910618169264E-4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275">
        <v>85</v>
      </c>
      <c r="F96" s="365" t="n">
        <v>309.0</v>
      </c>
      <c r="G96" s="9">
        <f si="3" t="shared"/>
        <v>3.0300352241594811E-4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276">
        <v>86</v>
      </c>
      <c r="F97" s="366" t="n">
        <v>280.0</v>
      </c>
      <c r="G97" s="9">
        <f si="3" t="shared"/>
        <v>2.9669094903228251E-4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277">
        <v>87</v>
      </c>
      <c r="F98" s="367" t="n">
        <v>309.0</v>
      </c>
      <c r="G98" s="9">
        <f si="3" t="shared"/>
        <v>3.1878495587511204E-4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278">
        <v>88</v>
      </c>
      <c r="F99" s="368" t="n">
        <v>235.0</v>
      </c>
      <c r="G99" s="9">
        <f si="3" t="shared"/>
        <v>2.9458675790439398E-4</v>
      </c>
    </row>
    <row r="100" spans="1:7" x14ac:dyDescent="0.25">
      <c r="A100">
        <v>89</v>
      </c>
      <c r="B100" s="6" t="n">
        <v>129.043199895</v>
      </c>
      <c r="C100" s="9">
        <f si="2" t="shared"/>
        <v>1.8594493848111225E-4</v>
      </c>
      <c r="E100" s="279">
        <v>89</v>
      </c>
      <c r="F100" s="369" t="n">
        <v>247.0</v>
      </c>
      <c r="G100" s="9">
        <f si="3" t="shared"/>
        <v>2.6618017767789885E-4</v>
      </c>
    </row>
    <row ht="15.75" r="101" spans="1:7" thickBot="1" x14ac:dyDescent="0.3">
      <c r="A101" s="1">
        <v>90</v>
      </c>
      <c r="B101" s="7" t="n">
        <v>629.978391646</v>
      </c>
      <c r="C101" s="9">
        <f si="2" t="shared"/>
        <v>9.0776804492108973E-4</v>
      </c>
      <c r="E101" s="372">
        <v>90</v>
      </c>
      <c r="F101" s="372" t="n">
        <v>12642.0</v>
      </c>
      <c r="G101" s="9">
        <f si="3" t="shared"/>
        <v>1.3250091532314063E-2</v>
      </c>
    </row>
    <row r="102" spans="1:7" x14ac:dyDescent="0.25">
      <c r="B102" s="6">
        <f>SUM(B11:B101)</f>
        <v>693986.08506952086</v>
      </c>
      <c r="C102" s="9">
        <f si="2" t="shared"/>
        <v>1</v>
      </c>
      <c r="F102" s="6">
        <f>SUM(F11:F101)</f>
        <v>950484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02"/>
  <sheetViews>
    <sheetView workbookViewId="0">
      <selection activeCell="K11" sqref="K11:L11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20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21503.8008012071</v>
      </c>
      <c r="C11" s="9">
        <f>B11/B$102</f>
        <v>8.3158478250500989E-2</v>
      </c>
      <c r="E11" s="371">
        <v>0</v>
      </c>
      <c r="F11" s="371" t="n">
        <v>36471.0</v>
      </c>
      <c r="G11" s="9">
        <f>F11/F$102</f>
        <v>7.4040318905687311E-2</v>
      </c>
      <c r="K11" s="6" t="n">
        <v>8.241416771090295</v>
      </c>
      <c r="L11" s="6" t="n">
        <v>11.190241733092321</v>
      </c>
    </row>
    <row r="12" spans="1:12" x14ac:dyDescent="0.25">
      <c r="A12">
        <v>1</v>
      </c>
      <c r="B12" s="6" t="n">
        <v>25168.555797359</v>
      </c>
      <c r="C12" s="9">
        <f>B12/B$102</f>
        <v>9.7330644904119051E-2</v>
      </c>
      <c r="E12" s="371">
        <v>1</v>
      </c>
      <c r="F12" s="371" t="n">
        <v>33164.0</v>
      </c>
      <c r="G12" s="9">
        <f>F12/F$102</f>
        <v>6.8293725526569427E-2</v>
      </c>
      <c r="K12" s="6"/>
      <c r="L12" s="371"/>
    </row>
    <row r="13" spans="1:12" x14ac:dyDescent="0.25">
      <c r="A13">
        <v>2</v>
      </c>
      <c r="B13" s="6" t="n">
        <v>19883.7193611123</v>
      </c>
      <c r="C13" s="9">
        <f ref="C13:C76" si="0" t="shared">B13/B$102</f>
        <v>7.6893376167124119E-2</v>
      </c>
      <c r="E13" s="371">
        <v>2</v>
      </c>
      <c r="F13" s="371" t="n">
        <v>28009.0</v>
      </c>
      <c r="G13" s="9">
        <f ref="G13:G76" si="1" t="shared">F13/F$102</f>
        <v>5.7877268896210476E-2</v>
      </c>
    </row>
    <row r="14" spans="1:12" x14ac:dyDescent="0.25">
      <c r="A14">
        <v>3</v>
      </c>
      <c r="B14" s="6" t="n">
        <v>21148.4160783344</v>
      </c>
      <c r="C14" s="9">
        <f si="0" t="shared"/>
        <v>8.1784151310776418E-2</v>
      </c>
      <c r="E14" s="371">
        <v>3</v>
      </c>
      <c r="F14" s="371" t="n">
        <v>29545.0</v>
      </c>
      <c r="G14" s="9">
        <f si="1" t="shared"/>
        <v>6.0311001600980754E-2</v>
      </c>
    </row>
    <row r="15" spans="1:12" x14ac:dyDescent="0.25">
      <c r="A15">
        <v>4</v>
      </c>
      <c r="B15" s="6" t="n">
        <v>18942.5945237196</v>
      </c>
      <c r="C15" s="9">
        <f si="0" t="shared"/>
        <v>7.3253902845880653E-2</v>
      </c>
      <c r="E15" s="371">
        <v>4</v>
      </c>
      <c r="F15" s="371" t="n">
        <v>26675.0</v>
      </c>
      <c r="G15" s="9">
        <f si="1" t="shared"/>
        <v>5.3776015937218972E-2</v>
      </c>
    </row>
    <row r="16" spans="1:12" x14ac:dyDescent="0.25">
      <c r="A16">
        <v>5</v>
      </c>
      <c r="B16" s="6" t="n">
        <v>14864.7396953306</v>
      </c>
      <c r="C16" s="9">
        <f si="0" t="shared"/>
        <v>5.748421611979028E-2</v>
      </c>
      <c r="E16" s="371">
        <v>5</v>
      </c>
      <c r="F16" s="371" t="n">
        <v>23900.0</v>
      </c>
      <c r="G16" s="9">
        <f si="1" t="shared"/>
        <v>4.8771438826001219E-2</v>
      </c>
    </row>
    <row r="17" spans="1:7" x14ac:dyDescent="0.25">
      <c r="A17">
        <v>6</v>
      </c>
      <c r="B17" s="6" t="n">
        <v>13230.8590077487</v>
      </c>
      <c r="C17" s="9">
        <f si="0" t="shared"/>
        <v>5.1165750241210992E-2</v>
      </c>
      <c r="E17" s="371">
        <v>6</v>
      </c>
      <c r="F17" s="371" t="n">
        <v>18304.0</v>
      </c>
      <c r="G17" s="9">
        <f si="1" t="shared"/>
        <v>3.6564464679622377E-2</v>
      </c>
    </row>
    <row r="18" spans="1:7" x14ac:dyDescent="0.25">
      <c r="A18">
        <v>7</v>
      </c>
      <c r="B18" s="6" t="n">
        <v>15657.7923594553</v>
      </c>
      <c r="C18" s="9">
        <f si="0" t="shared"/>
        <v>6.0551071757581239E-2</v>
      </c>
      <c r="E18" s="371">
        <v>7</v>
      </c>
      <c r="F18" s="371" t="n">
        <v>17001.0</v>
      </c>
      <c r="G18" s="9">
        <f si="1" t="shared"/>
        <v>3.4894928076847076E-2</v>
      </c>
    </row>
    <row r="19" spans="1:7" x14ac:dyDescent="0.25">
      <c r="A19">
        <v>8</v>
      </c>
      <c r="B19" s="6" t="n">
        <v>7495.5300697174</v>
      </c>
      <c r="C19" s="9">
        <f si="0" t="shared"/>
        <v>2.8986358274095483E-2</v>
      </c>
      <c r="E19" s="371">
        <v>8</v>
      </c>
      <c r="F19" s="371" t="n">
        <v>21243.0</v>
      </c>
      <c r="G19" s="9">
        <f si="1" t="shared"/>
        <v>4.2553019885229443E-2</v>
      </c>
    </row>
    <row r="20" spans="1:7" x14ac:dyDescent="0.25">
      <c r="A20">
        <v>9</v>
      </c>
      <c r="B20" s="6" t="n">
        <v>5781.1659108765</v>
      </c>
      <c r="C20" s="9">
        <f si="0" t="shared"/>
        <v>2.235665053385234E-2</v>
      </c>
      <c r="E20" s="371">
        <v>9</v>
      </c>
      <c r="F20" s="371" t="n">
        <v>14812.0</v>
      </c>
      <c r="G20" s="9">
        <f si="1" t="shared"/>
        <v>3.0473075697757417E-2</v>
      </c>
    </row>
    <row r="21" spans="1:7" x14ac:dyDescent="0.25">
      <c r="A21">
        <v>10</v>
      </c>
      <c r="B21" s="6" t="n">
        <v>8532.2353604863</v>
      </c>
      <c r="C21" s="9">
        <f si="0" t="shared"/>
        <v>3.2995455789998136E-2</v>
      </c>
      <c r="E21" s="371">
        <v>10</v>
      </c>
      <c r="F21" s="371" t="n">
        <v>16917.0</v>
      </c>
      <c r="G21" s="9">
        <f si="1" t="shared"/>
        <v>3.4713456706980193E-2</v>
      </c>
    </row>
    <row r="22" spans="1:7" x14ac:dyDescent="0.25">
      <c r="A22">
        <v>11</v>
      </c>
      <c r="B22" s="6" t="n">
        <v>15082.428221839</v>
      </c>
      <c r="C22" s="9">
        <f si="0" t="shared"/>
        <v>5.832605086167536E-2</v>
      </c>
      <c r="E22" s="371">
        <v>11</v>
      </c>
      <c r="F22" s="371" t="n">
        <v>19514.0</v>
      </c>
      <c r="G22" s="9">
        <f si="1" t="shared"/>
        <v>3.9433728672073169E-2</v>
      </c>
    </row>
    <row r="23" spans="1:7" x14ac:dyDescent="0.25">
      <c r="A23">
        <v>12</v>
      </c>
      <c r="B23" s="6" t="n">
        <v>6950.9931059348</v>
      </c>
      <c r="C23" s="9">
        <f si="0" t="shared"/>
        <v>2.6880550762301232E-2</v>
      </c>
      <c r="E23" s="371">
        <v>12</v>
      </c>
      <c r="F23" s="371" t="n">
        <v>20913.0</v>
      </c>
      <c r="G23" s="9">
        <f si="1" t="shared"/>
        <v>4.2077161626467401E-2</v>
      </c>
    </row>
    <row r="24" spans="1:7" x14ac:dyDescent="0.25">
      <c r="A24">
        <v>13</v>
      </c>
      <c r="B24" s="6" t="n">
        <v>4114.7425653348</v>
      </c>
      <c r="C24" s="9">
        <f si="0" t="shared"/>
        <v>1.5912337232336937E-2</v>
      </c>
      <c r="E24" s="371">
        <v>13</v>
      </c>
      <c r="F24" s="371" t="n">
        <v>19480.0</v>
      </c>
      <c r="G24" s="9">
        <f si="1" t="shared"/>
        <v>3.9988224524444192E-2</v>
      </c>
    </row>
    <row r="25" spans="1:7" x14ac:dyDescent="0.25">
      <c r="A25">
        <v>14</v>
      </c>
      <c r="B25" s="6" t="n">
        <v>7190.478961789</v>
      </c>
      <c r="C25" s="9">
        <f si="0" t="shared"/>
        <v>2.7806679102098546E-2</v>
      </c>
      <c r="E25" s="371">
        <v>14</v>
      </c>
      <c r="F25" s="371" t="n">
        <v>18780.0</v>
      </c>
      <c r="G25" s="9">
        <f si="1" t="shared"/>
        <v>3.9203864936908452E-2</v>
      </c>
    </row>
    <row r="26" spans="1:7" x14ac:dyDescent="0.25">
      <c r="A26">
        <v>15</v>
      </c>
      <c r="B26" s="6" t="n">
        <v>6474.9713746035</v>
      </c>
      <c r="C26" s="9">
        <f si="0" t="shared"/>
        <v>2.503970210686458E-2</v>
      </c>
      <c r="E26" s="371">
        <v>15</v>
      </c>
      <c r="F26" s="371" t="n">
        <v>19158.0</v>
      </c>
      <c r="G26" s="9">
        <f si="1" t="shared"/>
        <v>3.9435745020627244E-2</v>
      </c>
    </row>
    <row r="27" spans="1:7" x14ac:dyDescent="0.25">
      <c r="A27">
        <v>16</v>
      </c>
      <c r="B27" s="6" t="n">
        <v>6389.8674573808</v>
      </c>
      <c r="C27" s="9">
        <f si="0" t="shared"/>
        <v>2.471059227577839E-2</v>
      </c>
      <c r="E27" s="371">
        <v>16</v>
      </c>
      <c r="F27" s="371" t="n">
        <v>16046.0</v>
      </c>
      <c r="G27" s="9">
        <f si="1" t="shared"/>
        <v>3.462473737060083E-2</v>
      </c>
    </row>
    <row r="28" spans="1:7" x14ac:dyDescent="0.25">
      <c r="A28">
        <v>17</v>
      </c>
      <c r="B28" s="6" t="n">
        <v>5130.4852618024</v>
      </c>
      <c r="C28" s="9">
        <f si="0" t="shared"/>
        <v>1.984036919808899E-2</v>
      </c>
      <c r="E28" s="371">
        <v>17</v>
      </c>
      <c r="F28" s="371" t="n">
        <v>14156.0</v>
      </c>
      <c r="G28" s="9">
        <f si="1" t="shared"/>
        <v>2.9636291047815691E-2</v>
      </c>
    </row>
    <row r="29" spans="1:7" x14ac:dyDescent="0.25">
      <c r="A29">
        <v>18</v>
      </c>
      <c r="B29" s="6" t="n">
        <v>10527.056966253</v>
      </c>
      <c r="C29" s="9">
        <f si="0" t="shared"/>
        <v>4.0709735263209576E-2</v>
      </c>
      <c r="E29" s="371">
        <v>18</v>
      </c>
      <c r="F29" s="371" t="n">
        <v>11362.0</v>
      </c>
      <c r="G29" s="9">
        <f si="1" t="shared"/>
        <v>2.2790787706726136E-2</v>
      </c>
    </row>
    <row r="30" spans="1:7" x14ac:dyDescent="0.25">
      <c r="A30">
        <v>19</v>
      </c>
      <c r="B30" s="6" t="n">
        <v>3068.469754471</v>
      </c>
      <c r="C30" s="9">
        <f si="0" t="shared"/>
        <v>1.1866240656636525E-2</v>
      </c>
      <c r="E30" s="371">
        <v>19</v>
      </c>
      <c r="F30" s="371" t="n">
        <v>11467.0</v>
      </c>
      <c r="G30" s="9">
        <f si="1" t="shared"/>
        <v>2.4240542317107105E-2</v>
      </c>
    </row>
    <row r="31" spans="1:7" x14ac:dyDescent="0.25">
      <c r="A31">
        <v>20</v>
      </c>
      <c r="B31" s="6" t="n">
        <v>3506.5016296100002</v>
      </c>
      <c r="C31" s="9">
        <f si="0" t="shared"/>
        <v>1.356017674256455E-2</v>
      </c>
      <c r="E31" s="371">
        <v>20</v>
      </c>
      <c r="F31" s="371" t="n">
        <v>10054.0</v>
      </c>
      <c r="G31" s="9">
        <f si="1" t="shared"/>
        <v>2.02078452089542E-2</v>
      </c>
    </row>
    <row r="32" spans="1:7" x14ac:dyDescent="0.25">
      <c r="A32">
        <v>21</v>
      </c>
      <c r="B32" s="6" t="n">
        <v>5398.482094504599</v>
      </c>
      <c r="C32" s="9">
        <f si="0" t="shared"/>
        <v>2.0876753834902499E-2</v>
      </c>
      <c r="E32" s="371">
        <v>21</v>
      </c>
      <c r="F32" s="371" t="n">
        <v>8031.0</v>
      </c>
      <c r="G32" s="9">
        <f si="1" t="shared"/>
        <v>1.5842450589378682E-2</v>
      </c>
    </row>
    <row r="33" spans="1:7" x14ac:dyDescent="0.25">
      <c r="A33">
        <v>22</v>
      </c>
      <c r="B33" s="6" t="n">
        <v>3295.859681899</v>
      </c>
      <c r="C33" s="9">
        <f si="0" t="shared"/>
        <v>1.2745592195892917E-2</v>
      </c>
      <c r="E33" s="371">
        <v>22</v>
      </c>
      <c r="F33" s="371" t="n">
        <v>7977.0</v>
      </c>
      <c r="G33" s="9">
        <f si="1" t="shared"/>
        <v>1.5876728514797982E-2</v>
      </c>
    </row>
    <row r="34" spans="1:7" x14ac:dyDescent="0.25">
      <c r="A34">
        <v>23</v>
      </c>
      <c r="B34" s="6" t="n">
        <v>2466.086367932</v>
      </c>
      <c r="C34" s="9">
        <f si="0" t="shared"/>
        <v>9.5367322031749101E-3</v>
      </c>
      <c r="E34" s="371">
        <v>23</v>
      </c>
      <c r="F34" s="371" t="n">
        <v>6269.0</v>
      </c>
      <c r="G34" s="9">
        <f si="1" t="shared"/>
        <v>1.3092151161618402E-2</v>
      </c>
    </row>
    <row r="35" spans="1:7" x14ac:dyDescent="0.25">
      <c r="A35">
        <v>24</v>
      </c>
      <c r="B35" s="6" t="n">
        <v>775.4501744167001</v>
      </c>
      <c r="C35" s="9">
        <f si="0" t="shared"/>
        <v>2.9987841247096428E-3</v>
      </c>
      <c r="E35" s="371">
        <v>24</v>
      </c>
      <c r="F35" s="371" t="n">
        <v>4963.0</v>
      </c>
      <c r="G35" s="9">
        <f si="1" t="shared"/>
        <v>9.9950397825569713E-3</v>
      </c>
    </row>
    <row r="36" spans="1:7" x14ac:dyDescent="0.25">
      <c r="A36">
        <v>25</v>
      </c>
      <c r="B36" s="6" t="n">
        <v>1650.248423519</v>
      </c>
      <c r="C36" s="9">
        <f si="0" t="shared"/>
        <v>6.3817624104583817E-3</v>
      </c>
      <c r="E36" s="371">
        <v>25</v>
      </c>
      <c r="F36" s="371" t="n">
        <v>4022.0</v>
      </c>
      <c r="G36" s="9">
        <f si="1" t="shared"/>
        <v>9.0937319788847986E-3</v>
      </c>
    </row>
    <row r="37" spans="1:7" x14ac:dyDescent="0.25">
      <c r="A37">
        <v>26</v>
      </c>
      <c r="B37" s="6" t="n">
        <v>626.9178388610001</v>
      </c>
      <c r="C37" s="9">
        <f si="0" t="shared"/>
        <v>2.4243869234896872E-3</v>
      </c>
      <c r="E37" s="371">
        <v>26</v>
      </c>
      <c r="F37" s="371" t="n">
        <v>3685.0</v>
      </c>
      <c r="G37" s="9">
        <f si="1" t="shared"/>
        <v>7.2165114750396215E-3</v>
      </c>
    </row>
    <row r="38" spans="1:7" x14ac:dyDescent="0.25">
      <c r="A38">
        <v>27</v>
      </c>
      <c r="B38" s="6" t="n">
        <v>490.266160811</v>
      </c>
      <c r="C38" s="9">
        <f si="0" t="shared"/>
        <v>1.8959340373200248E-3</v>
      </c>
      <c r="E38" s="371">
        <v>27</v>
      </c>
      <c r="F38" s="371" t="n">
        <v>3085.0</v>
      </c>
      <c r="G38" s="9">
        <f si="1" t="shared"/>
        <v>5.9179830062143866E-3</v>
      </c>
    </row>
    <row r="39" spans="1:7" x14ac:dyDescent="0.25">
      <c r="A39">
        <v>28</v>
      </c>
      <c r="B39" s="6" t="n">
        <v>110.48572589</v>
      </c>
      <c r="C39" s="9">
        <f si="0" t="shared"/>
        <v>4.2726515737155759E-4</v>
      </c>
      <c r="E39" s="371">
        <v>28</v>
      </c>
      <c r="F39" s="371" t="n">
        <v>2205.0</v>
      </c>
      <c r="G39" s="9">
        <f si="1" t="shared"/>
        <v>4.5287188524557112E-3</v>
      </c>
    </row>
    <row r="40" spans="1:7" x14ac:dyDescent="0.25">
      <c r="A40">
        <v>29</v>
      </c>
      <c r="B40" s="6" t="n">
        <v>0.0</v>
      </c>
      <c r="C40" s="9">
        <f si="0" t="shared"/>
        <v>0</v>
      </c>
      <c r="E40" s="371">
        <v>29</v>
      </c>
      <c r="F40" s="371" t="n">
        <v>2761.0</v>
      </c>
      <c r="G40" s="9">
        <f si="1" t="shared"/>
        <v>5.5469748722643195E-3</v>
      </c>
    </row>
    <row r="41" spans="1:7" x14ac:dyDescent="0.25">
      <c r="A41">
        <v>30</v>
      </c>
      <c r="B41" s="6" t="n">
        <v>291.448588849</v>
      </c>
      <c r="C41" s="9">
        <f si="0" t="shared"/>
        <v>1.1270761555593593E-3</v>
      </c>
      <c r="E41" s="371">
        <v>30</v>
      </c>
      <c r="F41" s="371" t="n">
        <v>2150.0</v>
      </c>
      <c r="G41" s="9">
        <f si="1" t="shared"/>
        <v>4.0387461538151327E-3</v>
      </c>
    </row>
    <row r="42" spans="1:7" x14ac:dyDescent="0.25">
      <c r="A42">
        <v>31</v>
      </c>
      <c r="B42" s="6" t="n">
        <v>0.0</v>
      </c>
      <c r="C42" s="9">
        <f si="0" t="shared"/>
        <v>0</v>
      </c>
      <c r="E42" s="371">
        <v>31</v>
      </c>
      <c r="F42" s="371" t="n">
        <v>1919.0</v>
      </c>
      <c r="G42" s="9">
        <f si="1" t="shared"/>
        <v>3.9601085602061518E-3</v>
      </c>
    </row>
    <row r="43" spans="1:7" x14ac:dyDescent="0.25">
      <c r="A43">
        <v>32</v>
      </c>
      <c r="B43" s="6" t="n">
        <v>512.187983796</v>
      </c>
      <c r="C43" s="9">
        <f si="0" t="shared"/>
        <v>1.9807090711274028E-3</v>
      </c>
      <c r="E43" s="371">
        <v>32</v>
      </c>
      <c r="F43" s="371" t="n">
        <v>1540.0</v>
      </c>
      <c r="G43" s="9">
        <f si="1" t="shared"/>
        <v>3.2039778524274821E-3</v>
      </c>
    </row>
    <row r="44" spans="1:7" x14ac:dyDescent="0.25">
      <c r="A44">
        <v>33</v>
      </c>
      <c r="B44" s="6" t="n">
        <v>0.0</v>
      </c>
      <c r="C44" s="9">
        <f si="0" t="shared"/>
        <v>0</v>
      </c>
      <c r="E44" s="371">
        <v>33</v>
      </c>
      <c r="F44" s="371" t="n">
        <v>1464.0</v>
      </c>
      <c r="G44" s="9">
        <f si="1" t="shared"/>
        <v>2.8007081416121914E-3</v>
      </c>
    </row>
    <row r="45" spans="1:7" x14ac:dyDescent="0.25">
      <c r="A45">
        <v>34</v>
      </c>
      <c r="B45" s="6" t="n">
        <v>0.0</v>
      </c>
      <c r="C45" s="9">
        <f si="0" t="shared"/>
        <v>0</v>
      </c>
      <c r="E45" s="371">
        <v>34</v>
      </c>
      <c r="F45" s="371" t="n">
        <v>1061.0</v>
      </c>
      <c r="G45" s="9">
        <f si="1" t="shared"/>
        <v>2.2643594262278556E-3</v>
      </c>
    </row>
    <row r="46" spans="1:7" x14ac:dyDescent="0.25">
      <c r="A46">
        <v>35</v>
      </c>
      <c r="B46" s="6" t="n">
        <v>248.443558839</v>
      </c>
      <c r="C46" s="9">
        <f si="0" t="shared"/>
        <v>9.6076914379853709E-4</v>
      </c>
      <c r="E46" s="371">
        <v>35</v>
      </c>
      <c r="F46" s="371" t="n">
        <v>1216.0</v>
      </c>
      <c r="G46" s="9">
        <f si="1" t="shared"/>
        <v>2.3167844886338431E-3</v>
      </c>
    </row>
    <row r="47" spans="1:7" x14ac:dyDescent="0.25">
      <c r="A47">
        <v>36</v>
      </c>
      <c r="B47" s="6" t="n">
        <v>667.99538554</v>
      </c>
      <c r="C47" s="9">
        <f si="0" t="shared"/>
        <v>2.5832400631587362E-3</v>
      </c>
      <c r="E47" s="371">
        <v>36</v>
      </c>
      <c r="F47" s="371" t="n">
        <v>1411.0</v>
      </c>
      <c r="G47" s="9">
        <f si="1" t="shared"/>
        <v>2.8007081416121914E-3</v>
      </c>
    </row>
    <row r="48" spans="1:7" x14ac:dyDescent="0.25">
      <c r="A48">
        <v>37</v>
      </c>
      <c r="B48" s="6" t="n">
        <v>258.441807167</v>
      </c>
      <c r="C48" s="9">
        <f si="0" t="shared"/>
        <v>9.9943389538423928E-4</v>
      </c>
      <c r="E48" s="371">
        <v>37</v>
      </c>
      <c r="F48" s="371" t="n">
        <v>1413.0</v>
      </c>
      <c r="G48" s="9">
        <f si="1" t="shared"/>
        <v>2.2966210030930787E-3</v>
      </c>
    </row>
    <row r="49" spans="1:7" x14ac:dyDescent="0.25">
      <c r="A49">
        <v>38</v>
      </c>
      <c r="B49" s="6" t="n">
        <v>0.0</v>
      </c>
      <c r="C49" s="9">
        <f si="0" t="shared"/>
        <v>0</v>
      </c>
      <c r="E49" s="371">
        <v>38</v>
      </c>
      <c r="F49" s="371" t="n">
        <v>1164.0</v>
      </c>
      <c r="G49" s="9">
        <f si="1" t="shared"/>
        <v>2.8773293866670969E-3</v>
      </c>
    </row>
    <row r="50" spans="1:7" x14ac:dyDescent="0.25">
      <c r="A50">
        <v>39</v>
      </c>
      <c r="B50" s="6" t="n">
        <v>599.433670564</v>
      </c>
      <c r="C50" s="9">
        <f si="0" t="shared"/>
        <v>2.3181014517868943E-3</v>
      </c>
      <c r="E50" s="371">
        <v>39</v>
      </c>
      <c r="F50" s="371" t="n">
        <v>1113.0</v>
      </c>
      <c r="G50" s="9">
        <f si="1" t="shared"/>
        <v>2.3752585967020605E-3</v>
      </c>
    </row>
    <row r="51" spans="1:7" x14ac:dyDescent="0.25">
      <c r="A51">
        <v>40</v>
      </c>
      <c r="B51" s="6" t="n">
        <v>195.037406395</v>
      </c>
      <c r="C51" s="9">
        <f si="0" t="shared"/>
        <v>7.5423940482290401E-4</v>
      </c>
      <c r="E51" s="371">
        <v>40</v>
      </c>
      <c r="F51" s="371" t="n">
        <v>727.0</v>
      </c>
      <c r="G51" s="9">
        <f si="1" t="shared"/>
        <v>1.6493731172345376E-3</v>
      </c>
    </row>
    <row r="52" spans="1:7" x14ac:dyDescent="0.25">
      <c r="A52">
        <v>41</v>
      </c>
      <c r="B52" s="6" t="n">
        <v>356.0060045</v>
      </c>
      <c r="C52" s="9">
        <f si="0" t="shared"/>
        <v>1.3767295305581121E-3</v>
      </c>
      <c r="E52" s="371">
        <v>41</v>
      </c>
      <c r="F52" s="371" t="n">
        <v>608.0</v>
      </c>
      <c r="G52" s="9">
        <f si="1" t="shared"/>
        <v>1.1614167671480363E-3</v>
      </c>
    </row>
    <row r="53" spans="1:7" x14ac:dyDescent="0.25">
      <c r="A53">
        <v>42</v>
      </c>
      <c r="B53" s="6" t="n">
        <v>0.0</v>
      </c>
      <c r="C53" s="9">
        <f si="0" t="shared"/>
        <v>0</v>
      </c>
      <c r="E53" s="371">
        <v>42</v>
      </c>
      <c r="F53" s="371" t="n">
        <v>493.0</v>
      </c>
      <c r="G53" s="9">
        <f si="1" t="shared"/>
        <v>9.1945494065886211E-4</v>
      </c>
    </row>
    <row r="54" spans="1:7" x14ac:dyDescent="0.25">
      <c r="A54">
        <v>43</v>
      </c>
      <c r="B54" s="6" t="n">
        <v>0.0</v>
      </c>
      <c r="C54" s="9">
        <f si="0" t="shared"/>
        <v>0</v>
      </c>
      <c r="E54" s="371">
        <v>43</v>
      </c>
      <c r="F54" s="371" t="n">
        <v>411.0</v>
      </c>
      <c r="G54" s="9">
        <f si="1" t="shared"/>
        <v>8.8517701523956234E-4</v>
      </c>
    </row>
    <row r="55" spans="1:7" x14ac:dyDescent="0.25">
      <c r="A55">
        <v>44</v>
      </c>
      <c r="B55" s="6" t="n">
        <v>0.0</v>
      </c>
      <c r="C55" s="9">
        <f si="0" t="shared"/>
        <v>0</v>
      </c>
      <c r="E55" s="371">
        <v>44</v>
      </c>
      <c r="F55" s="371" t="n">
        <v>492.0</v>
      </c>
      <c r="G55" s="9">
        <f si="1" t="shared"/>
        <v>7.1983643380529329E-4</v>
      </c>
    </row>
    <row r="56" spans="1:7" x14ac:dyDescent="0.25">
      <c r="A56">
        <v>45</v>
      </c>
      <c r="B56" s="6" t="n">
        <v>0.0</v>
      </c>
      <c r="C56" s="9">
        <f si="0" t="shared"/>
        <v>0</v>
      </c>
      <c r="E56" s="371">
        <v>45</v>
      </c>
      <c r="F56" s="371" t="n">
        <v>399.0</v>
      </c>
      <c r="G56" s="9">
        <f si="1" t="shared"/>
        <v>9.9809253426784363E-4</v>
      </c>
    </row>
    <row r="57" spans="1:7" x14ac:dyDescent="0.25">
      <c r="A57">
        <v>46</v>
      </c>
      <c r="B57" s="6" t="n">
        <v>0.0</v>
      </c>
      <c r="C57" s="9">
        <f si="0" t="shared"/>
        <v>0</v>
      </c>
      <c r="E57" s="371">
        <v>46</v>
      </c>
      <c r="F57" s="371" t="n">
        <v>306.0</v>
      </c>
      <c r="G57" s="9">
        <f si="1" t="shared"/>
        <v>6.2910074887185293E-4</v>
      </c>
    </row>
    <row r="58" spans="1:7" x14ac:dyDescent="0.25">
      <c r="A58">
        <v>47</v>
      </c>
      <c r="B58" s="6" t="n">
        <v>0.0</v>
      </c>
      <c r="C58" s="9">
        <f si="0" t="shared"/>
        <v>0</v>
      </c>
      <c r="E58" s="371">
        <v>47</v>
      </c>
      <c r="F58" s="371" t="n">
        <v>382.0</v>
      </c>
      <c r="G58" s="9">
        <f si="1" t="shared"/>
        <v>6.8757485694007005E-4</v>
      </c>
    </row>
    <row r="59" spans="1:7" x14ac:dyDescent="0.25">
      <c r="A59">
        <v>48</v>
      </c>
      <c r="B59" s="6" t="n">
        <v>0.0</v>
      </c>
      <c r="C59" s="9">
        <f si="0" t="shared"/>
        <v>0</v>
      </c>
      <c r="E59" s="371">
        <v>48</v>
      </c>
      <c r="F59" s="371" t="n">
        <v>179.0</v>
      </c>
      <c r="G59" s="9">
        <f si="1" t="shared"/>
        <v>3.9117161949083168E-4</v>
      </c>
    </row>
    <row r="60" spans="1:7" x14ac:dyDescent="0.25">
      <c r="A60">
        <v>49</v>
      </c>
      <c r="B60" s="6" t="n">
        <v>0.0</v>
      </c>
      <c r="C60" s="9">
        <f si="0" t="shared"/>
        <v>0</v>
      </c>
      <c r="E60" s="371">
        <v>49</v>
      </c>
      <c r="F60" s="371" t="n">
        <v>171.0</v>
      </c>
      <c r="G60" s="9">
        <f si="1" t="shared"/>
        <v>3.8108987672044942E-4</v>
      </c>
    </row>
    <row r="61" spans="1:7" x14ac:dyDescent="0.25">
      <c r="A61">
        <v>50</v>
      </c>
      <c r="B61" s="6" t="n">
        <v>0.0</v>
      </c>
      <c r="C61" s="9">
        <f si="0" t="shared"/>
        <v>0</v>
      </c>
      <c r="E61" s="371">
        <v>50</v>
      </c>
      <c r="F61" s="371" t="n">
        <v>158.0</v>
      </c>
      <c r="G61" s="9">
        <f si="1" t="shared"/>
        <v>2.8632149467885617E-4</v>
      </c>
    </row>
    <row r="62" spans="1:7" x14ac:dyDescent="0.25">
      <c r="A62">
        <v>51</v>
      </c>
      <c r="B62" s="6" t="n">
        <v>0.0</v>
      </c>
      <c r="C62" s="9">
        <f si="0" t="shared"/>
        <v>0</v>
      </c>
      <c r="E62" s="371">
        <v>51</v>
      </c>
      <c r="F62" s="371" t="n">
        <v>140.0</v>
      </c>
      <c r="G62" s="9">
        <f si="1" t="shared"/>
        <v>2.843051461247797E-4</v>
      </c>
    </row>
    <row r="63" spans="1:7" x14ac:dyDescent="0.25">
      <c r="A63">
        <v>52</v>
      </c>
      <c r="B63" s="6" t="n">
        <v>0.0</v>
      </c>
      <c r="C63" s="9">
        <f si="0" t="shared"/>
        <v>0</v>
      </c>
      <c r="E63" s="371">
        <v>52</v>
      </c>
      <c r="F63" s="371" t="n">
        <v>66.0</v>
      </c>
      <c r="G63" s="9">
        <f si="1" t="shared"/>
        <v>2.2179834094840972E-4</v>
      </c>
    </row>
    <row r="64" spans="1:7" x14ac:dyDescent="0.25">
      <c r="A64">
        <v>53</v>
      </c>
      <c r="B64" s="6" t="n">
        <v>0.0</v>
      </c>
      <c r="C64" s="9">
        <f si="0" t="shared"/>
        <v>0</v>
      </c>
      <c r="E64" s="371">
        <v>53</v>
      </c>
      <c r="F64" s="371" t="n">
        <v>50.0</v>
      </c>
      <c r="G64" s="9">
        <f si="1" t="shared"/>
        <v>1.1089917047420486E-4</v>
      </c>
    </row>
    <row r="65" spans="1:7" x14ac:dyDescent="0.25">
      <c r="A65">
        <v>54</v>
      </c>
      <c r="B65" s="6" t="n">
        <v>0.0</v>
      </c>
      <c r="C65" s="9">
        <f si="0" t="shared"/>
        <v>0</v>
      </c>
      <c r="E65" s="371">
        <v>54</v>
      </c>
      <c r="F65" s="371" t="n">
        <v>65.0</v>
      </c>
      <c r="G65" s="9">
        <f si="1" t="shared"/>
        <v>1.3307900456904583E-4</v>
      </c>
    </row>
    <row r="66" spans="1:7" x14ac:dyDescent="0.2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29.0</v>
      </c>
      <c r="G66" s="9">
        <f si="1" t="shared"/>
        <v>7.4604896500828725E-5</v>
      </c>
    </row>
    <row r="67" spans="1:7" x14ac:dyDescent="0.25">
      <c r="A67">
        <v>56</v>
      </c>
      <c r="B67" s="6" t="n">
        <v>0.0</v>
      </c>
      <c r="C67" s="9">
        <f si="0" t="shared"/>
        <v>0</v>
      </c>
      <c r="E67" s="371">
        <v>56</v>
      </c>
      <c r="F67" s="371" t="n">
        <v>50.0</v>
      </c>
      <c r="G67" s="9">
        <f si="1" t="shared"/>
        <v>1.088828219201284E-4</v>
      </c>
    </row>
    <row r="68" spans="1:7" x14ac:dyDescent="0.2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23.0</v>
      </c>
      <c r="G68" s="9">
        <f si="1" t="shared"/>
        <v>7.6621245054905171E-5</v>
      </c>
    </row>
    <row r="69" spans="1:7" x14ac:dyDescent="0.2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25.0</v>
      </c>
      <c r="G69" s="9">
        <f si="1" t="shared"/>
        <v>5.4441410960064199E-5</v>
      </c>
    </row>
    <row r="70" spans="1:7" x14ac:dyDescent="0.25">
      <c r="A70">
        <v>59</v>
      </c>
      <c r="B70" s="6" t="n">
        <v>0.0</v>
      </c>
      <c r="C70" s="9">
        <f si="0" t="shared"/>
        <v>0</v>
      </c>
      <c r="E70" s="371">
        <v>59</v>
      </c>
      <c r="F70" s="371" t="n">
        <v>18.0</v>
      </c>
      <c r="G70" s="9">
        <f si="1" t="shared"/>
        <v>5.4441410960064199E-5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14.0</v>
      </c>
      <c r="G71" s="9">
        <f si="1" t="shared"/>
        <v>5.0408713851911294E-5</v>
      </c>
    </row>
    <row r="72" spans="1:7" x14ac:dyDescent="0.2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26.0</v>
      </c>
      <c r="G72" s="9">
        <f si="1" t="shared"/>
        <v>4.4359668189681943E-5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11.0</v>
      </c>
      <c r="G73" s="9">
        <f si="1" t="shared"/>
        <v>3.6294273973376133E-5</v>
      </c>
    </row>
    <row r="74" spans="1:7" x14ac:dyDescent="0.2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7.0</v>
      </c>
      <c r="G74" s="9">
        <f si="1" t="shared"/>
        <v>2.6212531202993873E-5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4.0</v>
      </c>
      <c r="G75" s="9">
        <f si="1" t="shared"/>
        <v>1.8147136986688066E-5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3.0</v>
      </c>
      <c r="G76" s="9">
        <f si="1" t="shared"/>
        <v>1.209809132445871E-5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1.0</v>
      </c>
      <c r="G77" s="9">
        <f ref="G77:G102" si="3" t="shared">F77/F$102</f>
        <v>1.209809132445871E-5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1.0</v>
      </c>
      <c r="G78" s="9">
        <f si="3" t="shared"/>
        <v>4.0326971081529035E-6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2.0</v>
      </c>
      <c r="G79" s="9">
        <f si="3" t="shared"/>
        <v>6.0490456622293552E-6</v>
      </c>
    </row>
    <row r="80" spans="1:7" x14ac:dyDescent="0.2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1.0</v>
      </c>
      <c r="G80" s="9">
        <f si="3" t="shared"/>
        <v>0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0.0</v>
      </c>
      <c r="G81" s="9">
        <f si="3" t="shared"/>
        <v>0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4.0</v>
      </c>
      <c r="G82" s="9">
        <f si="3" t="shared"/>
        <v>2.0163485540764517E-6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0.0</v>
      </c>
      <c r="G83" s="9">
        <f si="3" t="shared"/>
        <v>2.0163485540764517E-6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0.0</v>
      </c>
      <c r="G84" s="9">
        <f si="3" t="shared"/>
        <v>0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0.0</v>
      </c>
      <c r="G85" s="9">
        <f si="3" t="shared"/>
        <v>0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1.0</v>
      </c>
      <c r="G86" s="9">
        <f si="3" t="shared"/>
        <v>2.0163485540764517E-6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0.0</v>
      </c>
      <c r="G87" s="9">
        <f si="3" t="shared"/>
        <v>0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0.0</v>
      </c>
      <c r="G88" s="9">
        <f si="3" t="shared"/>
        <v>2.0163485540764517E-6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0.0</v>
      </c>
      <c r="G89" s="9">
        <f si="3" t="shared"/>
        <v>0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0.0</v>
      </c>
      <c r="G90" s="9">
        <f si="3" t="shared"/>
        <v>0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0.0</v>
      </c>
      <c r="G91" s="9">
        <f si="3" t="shared"/>
        <v>0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0.0</v>
      </c>
      <c r="G92" s="9">
        <f si="3" t="shared"/>
        <v>2.0163485540764517E-6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0.0</v>
      </c>
      <c r="G93" s="9">
        <f si="3" t="shared"/>
        <v>0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0.0</v>
      </c>
      <c r="G94" s="9">
        <f si="3" t="shared"/>
        <v>0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0.0</v>
      </c>
      <c r="G95" s="9">
        <f si="3" t="shared"/>
        <v>0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0.0</v>
      </c>
      <c r="G96" s="9">
        <f si="3" t="shared"/>
        <v>0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0.0</v>
      </c>
      <c r="G97" s="9">
        <f si="3" t="shared"/>
        <v>0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0.0</v>
      </c>
      <c r="G98" s="9">
        <f si="3" t="shared"/>
        <v>0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0.0</v>
      </c>
      <c r="G99" s="9">
        <f si="3" t="shared"/>
        <v>0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0.0</v>
      </c>
      <c r="G100" s="9">
        <f si="3" t="shared"/>
        <v>0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0.0</v>
      </c>
      <c r="G101" s="9">
        <f si="3" t="shared"/>
        <v>0</v>
      </c>
    </row>
    <row r="102" spans="1:7" x14ac:dyDescent="0.25">
      <c r="B102" s="6">
        <f>SUM(B11:B101)</f>
        <v>258588.19513784876</v>
      </c>
      <c r="C102" s="9">
        <f si="2" t="shared"/>
        <v>1</v>
      </c>
      <c r="F102" s="6">
        <f>SUM(F11:F101)</f>
        <v>495946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02"/>
  <sheetViews>
    <sheetView workbookViewId="0">
      <selection activeCell="A6" sqref="A6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22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1155.86225</v>
      </c>
      <c r="C11" s="9">
        <f>B11/B$102</f>
        <v>4.4698956554603342E-3</v>
      </c>
      <c r="E11" s="371">
        <v>0</v>
      </c>
      <c r="F11" s="371" t="n">
        <v>263.0</v>
      </c>
      <c r="G11" s="9">
        <f>F11/F$102</f>
        <v>5.2021792695172459E-4</v>
      </c>
      <c r="K11" s="6" t="n">
        <v>22.798187666124246</v>
      </c>
      <c r="L11" s="6" t="n">
        <v>25.289616052405282</v>
      </c>
    </row>
    <row r="12" spans="1:12" x14ac:dyDescent="0.25">
      <c r="A12">
        <v>1</v>
      </c>
      <c r="B12" s="6" t="n">
        <v>461.623967696</v>
      </c>
      <c r="C12" s="9">
        <f>B12/B$102</f>
        <v>1.7851703069814008E-3</v>
      </c>
      <c r="E12" s="371">
        <v>1</v>
      </c>
      <c r="F12" s="371" t="n">
        <v>3053.0</v>
      </c>
      <c r="G12" s="9">
        <f>F12/F$102</f>
        <v>6.0994543760812666E-3</v>
      </c>
      <c r="K12" s="6"/>
      <c r="L12" s="371"/>
    </row>
    <row r="13" spans="1:12" x14ac:dyDescent="0.25">
      <c r="A13">
        <v>2</v>
      </c>
      <c r="B13" s="6" t="n">
        <v>4614.176900194</v>
      </c>
      <c r="C13" s="9">
        <f ref="C13:C76" si="0" t="shared">B13/B$102</f>
        <v>1.7843725997369147E-2</v>
      </c>
      <c r="E13" s="371">
        <v>2</v>
      </c>
      <c r="F13" s="371" t="n">
        <v>6271.0</v>
      </c>
      <c r="G13" s="9">
        <f ref="G13:G76" si="1" t="shared">F13/F$102</f>
        <v>1.307602037318579E-2</v>
      </c>
    </row>
    <row r="14" spans="1:12" x14ac:dyDescent="0.25">
      <c r="A14">
        <v>3</v>
      </c>
      <c r="B14" s="6" t="n">
        <v>2261.242703378</v>
      </c>
      <c r="C14" s="9">
        <f si="0" t="shared"/>
        <v>8.7445705020392402E-3</v>
      </c>
      <c r="E14" s="371">
        <v>3</v>
      </c>
      <c r="F14" s="371" t="n">
        <v>11651.0</v>
      </c>
      <c r="G14" s="9">
        <f si="1" t="shared"/>
        <v>2.3647735842208629E-2</v>
      </c>
    </row>
    <row r="15" spans="1:12" x14ac:dyDescent="0.25">
      <c r="A15">
        <v>4</v>
      </c>
      <c r="B15" s="6" t="n">
        <v>5068.944007060501</v>
      </c>
      <c r="C15" s="9">
        <f si="0" t="shared"/>
        <v>1.9602379777461747E-2</v>
      </c>
      <c r="E15" s="371">
        <v>4</v>
      </c>
      <c r="F15" s="371" t="n">
        <v>14933.0</v>
      </c>
      <c r="G15" s="9">
        <f si="1" t="shared"/>
        <v>3.0866263665802324E-2</v>
      </c>
    </row>
    <row r="16" spans="1:12" x14ac:dyDescent="0.25">
      <c r="A16">
        <v>5</v>
      </c>
      <c r="B16" s="6" t="n">
        <v>10959.2309756311</v>
      </c>
      <c r="C16" s="9">
        <f si="0" t="shared"/>
        <v>4.2381018088582599E-2</v>
      </c>
      <c r="E16" s="371">
        <v>5</v>
      </c>
      <c r="F16" s="371" t="n">
        <v>14449.0</v>
      </c>
      <c r="G16" s="9">
        <f si="1" t="shared"/>
        <v>2.9940759679481233E-2</v>
      </c>
    </row>
    <row r="17" spans="1:7" x14ac:dyDescent="0.25">
      <c r="A17">
        <v>6</v>
      </c>
      <c r="B17" s="6" t="n">
        <v>14678.444903469599</v>
      </c>
      <c r="C17" s="9">
        <f si="0" t="shared"/>
        <v>5.6763785739116106E-2</v>
      </c>
      <c r="E17" s="371">
        <v>6</v>
      </c>
      <c r="F17" s="371" t="n">
        <v>14786.0</v>
      </c>
      <c r="G17" s="9">
        <f si="1" t="shared"/>
        <v>2.9729043081303207E-2</v>
      </c>
    </row>
    <row r="18" spans="1:7" x14ac:dyDescent="0.25">
      <c r="A18">
        <v>7</v>
      </c>
      <c r="B18" s="6" t="n">
        <v>14376.0330564886</v>
      </c>
      <c r="C18" s="9">
        <f si="0" t="shared"/>
        <v>5.5594312991840124E-2</v>
      </c>
      <c r="E18" s="371">
        <v>7</v>
      </c>
      <c r="F18" s="371" t="n">
        <v>15625.0</v>
      </c>
      <c r="G18" s="9">
        <f si="1" t="shared"/>
        <v>3.1713130058514435E-2</v>
      </c>
    </row>
    <row r="19" spans="1:7" x14ac:dyDescent="0.25">
      <c r="A19">
        <v>8</v>
      </c>
      <c r="B19" s="6" t="n">
        <v>8536.4040072284</v>
      </c>
      <c r="C19" s="9">
        <f si="0" t="shared"/>
        <v>3.3011576582905468E-2</v>
      </c>
      <c r="E19" s="371">
        <v>8</v>
      </c>
      <c r="F19" s="371" t="n">
        <v>14807.0</v>
      </c>
      <c r="G19" s="9">
        <f si="1" t="shared"/>
        <v>3.0622285490759075E-2</v>
      </c>
    </row>
    <row r="20" spans="1:7" x14ac:dyDescent="0.25">
      <c r="A20">
        <v>9</v>
      </c>
      <c r="B20" s="6" t="n">
        <v>6866.6897391741995</v>
      </c>
      <c r="C20" s="9">
        <f si="0" t="shared"/>
        <v>2.6554536781981431E-2</v>
      </c>
      <c r="E20" s="371">
        <v>9</v>
      </c>
      <c r="F20" s="371" t="n">
        <v>14865.0</v>
      </c>
      <c r="G20" s="9">
        <f si="1" t="shared"/>
        <v>2.9140269303512881E-2</v>
      </c>
    </row>
    <row r="21" spans="1:7" x14ac:dyDescent="0.25">
      <c r="A21">
        <v>10</v>
      </c>
      <c r="B21" s="6" t="n">
        <v>8381.964122954</v>
      </c>
      <c r="C21" s="9">
        <f si="0" t="shared"/>
        <v>3.2414333989553235E-2</v>
      </c>
      <c r="E21" s="371">
        <v>10</v>
      </c>
      <c r="F21" s="371" t="n">
        <v>13416.0</v>
      </c>
      <c r="G21" s="9">
        <f si="1" t="shared"/>
        <v>2.8585773451141858E-2</v>
      </c>
    </row>
    <row r="22" spans="1:7" x14ac:dyDescent="0.25">
      <c r="A22">
        <v>11</v>
      </c>
      <c r="B22" s="6" t="n">
        <v>7645.9275654501</v>
      </c>
      <c r="C22" s="9">
        <f si="0" t="shared"/>
        <v>2.9567968334262857E-2</v>
      </c>
      <c r="E22" s="371">
        <v>11</v>
      </c>
      <c r="F22" s="371" t="n">
        <v>12368.0</v>
      </c>
      <c r="G22" s="9">
        <f si="1" t="shared"/>
        <v>2.4942231613925711E-2</v>
      </c>
    </row>
    <row r="23" spans="1:7" x14ac:dyDescent="0.25">
      <c r="A23">
        <v>12</v>
      </c>
      <c r="B23" s="6" t="n">
        <v>5066.9845891753</v>
      </c>
      <c r="C23" s="9">
        <f si="0" t="shared"/>
        <v>1.9594802409577044E-2</v>
      </c>
      <c r="E23" s="371">
        <v>12</v>
      </c>
      <c r="F23" s="371" t="n">
        <v>11336.0</v>
      </c>
      <c r="G23" s="9">
        <f si="1" t="shared"/>
        <v>2.2756509781306836E-2</v>
      </c>
    </row>
    <row r="24" spans="1:7" x14ac:dyDescent="0.25">
      <c r="A24">
        <v>13</v>
      </c>
      <c r="B24" s="6" t="n">
        <v>7102.0602582806005</v>
      </c>
      <c r="C24" s="9">
        <f si="0" t="shared"/>
        <v>2.7464750486752173E-2</v>
      </c>
      <c r="E24" s="371">
        <v>13</v>
      </c>
      <c r="F24" s="371" t="n">
        <v>10417.0</v>
      </c>
      <c r="G24" s="9">
        <f si="1" t="shared"/>
        <v>2.1099071269855992E-2</v>
      </c>
    </row>
    <row r="25" spans="1:7" x14ac:dyDescent="0.25">
      <c r="A25">
        <v>14</v>
      </c>
      <c r="B25" s="6" t="n">
        <v>5129.6050527083</v>
      </c>
      <c r="C25" s="9">
        <f si="0" t="shared"/>
        <v>1.9836965295240167E-2</v>
      </c>
      <c r="E25" s="371">
        <v>14</v>
      </c>
      <c r="F25" s="371" t="n">
        <v>8571.0</v>
      </c>
      <c r="G25" s="9">
        <f si="1" t="shared"/>
        <v>1.7356728353490097E-2</v>
      </c>
    </row>
    <row r="26" spans="1:7" x14ac:dyDescent="0.25">
      <c r="A26">
        <v>15</v>
      </c>
      <c r="B26" s="6" t="n">
        <v>9473.0942713057</v>
      </c>
      <c r="C26" s="9">
        <f si="0" t="shared"/>
        <v>3.663390073261371E-2</v>
      </c>
      <c r="E26" s="371">
        <v>15</v>
      </c>
      <c r="F26" s="371" t="n">
        <v>7892.0</v>
      </c>
      <c r="G26" s="9">
        <f si="1" t="shared"/>
        <v>1.5977545942501805E-2</v>
      </c>
    </row>
    <row r="27" spans="1:7" x14ac:dyDescent="0.25">
      <c r="A27">
        <v>16</v>
      </c>
      <c r="B27" s="6" t="n">
        <v>4828.317325203</v>
      </c>
      <c r="C27" s="9">
        <f si="0" t="shared"/>
        <v>1.8671839689468842E-2</v>
      </c>
      <c r="E27" s="371">
        <v>16</v>
      </c>
      <c r="F27" s="371" t="n">
        <v>8904.0</v>
      </c>
      <c r="G27" s="9">
        <f si="1" t="shared"/>
        <v>1.7435365947099081E-2</v>
      </c>
    </row>
    <row r="28" spans="1:7" x14ac:dyDescent="0.25">
      <c r="A28">
        <v>17</v>
      </c>
      <c r="B28" s="6" t="n">
        <v>3690.771905291</v>
      </c>
      <c r="C28" s="9">
        <f si="0" t="shared"/>
        <v>1.4272778010316805E-2</v>
      </c>
      <c r="E28" s="371">
        <v>17</v>
      </c>
      <c r="F28" s="371" t="n">
        <v>8668.0</v>
      </c>
      <c r="G28" s="9">
        <f si="1" t="shared"/>
        <v>1.7497872752275448E-2</v>
      </c>
    </row>
    <row r="29" spans="1:7" x14ac:dyDescent="0.25">
      <c r="A29">
        <v>18</v>
      </c>
      <c r="B29" s="6" t="n">
        <v>6879.4686063749</v>
      </c>
      <c r="C29" s="9">
        <f si="0" t="shared"/>
        <v>2.6603954610950338E-2</v>
      </c>
      <c r="E29" s="371">
        <v>18</v>
      </c>
      <c r="F29" s="371" t="n">
        <v>8920.0</v>
      </c>
      <c r="G29" s="9">
        <f si="1" t="shared"/>
        <v>1.71510608009743E-2</v>
      </c>
    </row>
    <row r="30" spans="1:7" x14ac:dyDescent="0.25">
      <c r="A30">
        <v>19</v>
      </c>
      <c r="B30" s="6" t="n">
        <v>7930.5840618298</v>
      </c>
      <c r="C30" s="9">
        <f si="0" t="shared"/>
        <v>3.0668778432063164E-2</v>
      </c>
      <c r="E30" s="371">
        <v>19</v>
      </c>
      <c r="F30" s="371" t="n">
        <v>8153.0</v>
      </c>
      <c r="G30" s="9">
        <f si="1" t="shared"/>
        <v>1.6822395986659838E-2</v>
      </c>
    </row>
    <row r="31" spans="1:7" x14ac:dyDescent="0.25">
      <c r="A31">
        <v>20</v>
      </c>
      <c r="B31" s="6" t="n">
        <v>7633.8409398955</v>
      </c>
      <c r="C31" s="9">
        <f si="0" t="shared"/>
        <v>2.9521227509345629E-2</v>
      </c>
      <c r="E31" s="371">
        <v>20</v>
      </c>
      <c r="F31" s="371" t="n">
        <v>8851.0</v>
      </c>
      <c r="G31" s="9">
        <f si="1" t="shared"/>
        <v>1.7848717400684753E-2</v>
      </c>
    </row>
    <row r="32" spans="1:7" x14ac:dyDescent="0.25">
      <c r="A32">
        <v>21</v>
      </c>
      <c r="B32" s="6" t="n">
        <v>6923.9136239018</v>
      </c>
      <c r="C32" s="9">
        <f si="0" t="shared"/>
        <v>2.6775830274118978E-2</v>
      </c>
      <c r="E32" s="371">
        <v>21</v>
      </c>
      <c r="F32" s="371" t="n">
        <v>9383.0</v>
      </c>
      <c r="G32" s="9">
        <f si="1" t="shared"/>
        <v>1.928839026829534E-2</v>
      </c>
    </row>
    <row r="33" spans="1:7" x14ac:dyDescent="0.25">
      <c r="A33">
        <v>22</v>
      </c>
      <c r="B33" s="6" t="n">
        <v>4427.753106174</v>
      </c>
      <c r="C33" s="9">
        <f si="0" t="shared"/>
        <v>1.7122796745665986E-2</v>
      </c>
      <c r="E33" s="371">
        <v>22</v>
      </c>
      <c r="F33" s="371" t="n">
        <v>9515.0</v>
      </c>
      <c r="G33" s="9">
        <f si="1" t="shared"/>
        <v>1.9582777157190499E-2</v>
      </c>
    </row>
    <row r="34" spans="1:7" x14ac:dyDescent="0.25">
      <c r="A34">
        <v>23</v>
      </c>
      <c r="B34" s="6" t="n">
        <v>3846.669099698</v>
      </c>
      <c r="C34" s="9">
        <f si="0" t="shared"/>
        <v>1.4875656244274444E-2</v>
      </c>
      <c r="E34" s="371">
        <v>23</v>
      </c>
      <c r="F34" s="371" t="n">
        <v>10133.0</v>
      </c>
      <c r="G34" s="9">
        <f si="1" t="shared"/>
        <v>2.0667572679283631E-2</v>
      </c>
    </row>
    <row r="35" spans="1:7" x14ac:dyDescent="0.25">
      <c r="A35">
        <v>24</v>
      </c>
      <c r="B35" s="6" t="n">
        <v>4255.254068256</v>
      </c>
      <c r="C35" s="9">
        <f si="0" t="shared"/>
        <v>1.6455716650126267E-2</v>
      </c>
      <c r="E35" s="371">
        <v>24</v>
      </c>
      <c r="F35" s="371" t="n">
        <v>11083.0</v>
      </c>
      <c r="G35" s="9">
        <f si="1" t="shared"/>
        <v>2.2657708702157088E-2</v>
      </c>
    </row>
    <row r="36" spans="1:7" x14ac:dyDescent="0.25">
      <c r="A36">
        <v>25</v>
      </c>
      <c r="B36" s="6" t="n">
        <v>3808.606157055</v>
      </c>
      <c r="C36" s="9">
        <f si="0" t="shared"/>
        <v>1.472846103831112E-2</v>
      </c>
      <c r="E36" s="371">
        <v>25</v>
      </c>
      <c r="F36" s="371" t="n">
        <v>11214.0</v>
      </c>
      <c r="G36" s="9">
        <f si="1" t="shared"/>
        <v>2.2770624221185372E-2</v>
      </c>
    </row>
    <row r="37" spans="1:7" x14ac:dyDescent="0.25">
      <c r="A37">
        <v>26</v>
      </c>
      <c r="B37" s="6" t="n">
        <v>2095.296886249</v>
      </c>
      <c r="C37" s="9">
        <f si="0" t="shared"/>
        <v>8.1028327110293404E-3</v>
      </c>
      <c r="E37" s="371">
        <v>26</v>
      </c>
      <c r="F37" s="371" t="n">
        <v>10965.0</v>
      </c>
      <c r="G37" s="9">
        <f si="1" t="shared"/>
        <v>2.2641577913724478E-2</v>
      </c>
    </row>
    <row r="38" spans="1:7" x14ac:dyDescent="0.25">
      <c r="A38">
        <v>27</v>
      </c>
      <c r="B38" s="6" t="n">
        <v>4825.790627728</v>
      </c>
      <c r="C38" s="9">
        <f si="0" t="shared"/>
        <v>1.8662068564867993E-2</v>
      </c>
      <c r="E38" s="371">
        <v>27</v>
      </c>
      <c r="F38" s="371" t="n">
        <v>11318.0</v>
      </c>
      <c r="G38" s="9">
        <f si="1" t="shared"/>
        <v>2.404495650736169E-2</v>
      </c>
    </row>
    <row r="39" spans="1:7" x14ac:dyDescent="0.25">
      <c r="A39">
        <v>28</v>
      </c>
      <c r="B39" s="6" t="n">
        <v>2995.0347346856</v>
      </c>
      <c r="C39" s="9">
        <f si="0" t="shared"/>
        <v>1.158225623211067E-2</v>
      </c>
      <c r="E39" s="371">
        <v>28</v>
      </c>
      <c r="F39" s="371" t="n">
        <v>11568.0</v>
      </c>
      <c r="G39" s="9">
        <f si="1" t="shared"/>
        <v>2.4389752110108763E-2</v>
      </c>
    </row>
    <row r="40" spans="1:7" x14ac:dyDescent="0.25">
      <c r="A40">
        <v>29</v>
      </c>
      <c r="B40" s="6" t="n">
        <v>3491.834928187</v>
      </c>
      <c r="C40" s="9">
        <f si="0" t="shared"/>
        <v>1.3503458370655952E-2</v>
      </c>
      <c r="E40" s="371">
        <v>29</v>
      </c>
      <c r="F40" s="371" t="n">
        <v>11378.0</v>
      </c>
      <c r="G40" s="9">
        <f si="1" t="shared"/>
        <v>2.3925991942671178E-2</v>
      </c>
    </row>
    <row r="41" spans="1:7" x14ac:dyDescent="0.25">
      <c r="A41">
        <v>30</v>
      </c>
      <c r="B41" s="6" t="n">
        <v>2852.4472807375</v>
      </c>
      <c r="C41" s="9">
        <f si="0" t="shared"/>
        <v>1.1030848794999748E-2</v>
      </c>
      <c r="E41" s="371">
        <v>30</v>
      </c>
      <c r="F41" s="371" t="n">
        <v>10523.0</v>
      </c>
      <c r="G41" s="9">
        <f si="1" t="shared"/>
        <v>2.2462122892411673E-2</v>
      </c>
    </row>
    <row r="42" spans="1:7" x14ac:dyDescent="0.25">
      <c r="A42">
        <v>31</v>
      </c>
      <c r="B42" s="6" t="n">
        <v>2201.512738361</v>
      </c>
      <c r="C42" s="9">
        <f si="0" t="shared"/>
        <v>8.5135856151028547E-3</v>
      </c>
      <c r="E42" s="371">
        <v>31</v>
      </c>
      <c r="F42" s="371" t="n">
        <v>10464.0</v>
      </c>
      <c r="G42" s="9">
        <f si="1" t="shared"/>
        <v>2.3280760405366713E-2</v>
      </c>
    </row>
    <row r="43" spans="1:7" x14ac:dyDescent="0.25">
      <c r="A43">
        <v>32</v>
      </c>
      <c r="B43" s="6" t="n">
        <v>2817.595084413</v>
      </c>
      <c r="C43" s="9">
        <f si="0" t="shared"/>
        <v>1.0896070034871426E-2</v>
      </c>
      <c r="E43" s="371">
        <v>32</v>
      </c>
      <c r="F43" s="371" t="n">
        <v>11093.0</v>
      </c>
      <c r="G43" s="9">
        <f si="1" t="shared"/>
        <v>2.2653676005048938E-2</v>
      </c>
    </row>
    <row r="44" spans="1:7" x14ac:dyDescent="0.25">
      <c r="A44">
        <v>33</v>
      </c>
      <c r="B44" s="6" t="n">
        <v>3717.867414498</v>
      </c>
      <c r="C44" s="9">
        <f si="0" t="shared"/>
        <v>1.4377560478025957E-2</v>
      </c>
      <c r="E44" s="371">
        <v>33</v>
      </c>
      <c r="F44" s="371" t="n">
        <v>11050.0</v>
      </c>
      <c r="G44" s="9">
        <f si="1" t="shared"/>
        <v>2.1542667951752813E-2</v>
      </c>
    </row>
    <row r="45" spans="1:7" x14ac:dyDescent="0.25">
      <c r="A45">
        <v>34</v>
      </c>
      <c r="B45" s="6" t="n">
        <v>3554.932193262</v>
      </c>
      <c r="C45" s="9">
        <f si="0" t="shared"/>
        <v>1.3747465120621331E-2</v>
      </c>
      <c r="E45" s="371">
        <v>34</v>
      </c>
      <c r="F45" s="371" t="n">
        <v>9933.0</v>
      </c>
      <c r="G45" s="9">
        <f si="1" t="shared"/>
        <v>2.1018417327692933E-2</v>
      </c>
    </row>
    <row r="46" spans="1:7" x14ac:dyDescent="0.25">
      <c r="A46">
        <v>35</v>
      </c>
      <c r="B46" s="6" t="n">
        <v>3095.2017576632998</v>
      </c>
      <c r="C46" s="9">
        <f si="0" t="shared"/>
        <v>1.1969617391131492E-2</v>
      </c>
      <c r="E46" s="371">
        <v>35</v>
      </c>
      <c r="F46" s="371" t="n">
        <v>9659.0</v>
      </c>
      <c r="G46" s="9">
        <f si="1" t="shared"/>
        <v>1.9056510184576547E-2</v>
      </c>
    </row>
    <row r="47" spans="1:7" x14ac:dyDescent="0.25">
      <c r="A47">
        <v>36</v>
      </c>
      <c r="B47" s="6" t="n">
        <v>5986.9768412436</v>
      </c>
      <c r="C47" s="9">
        <f si="0" t="shared"/>
        <v>2.3152552799450287E-2</v>
      </c>
      <c r="E47" s="371">
        <v>36</v>
      </c>
      <c r="F47" s="371" t="n">
        <v>8775.0</v>
      </c>
      <c r="G47" s="9">
        <f si="1" t="shared"/>
        <v>1.8207627443310361E-2</v>
      </c>
    </row>
    <row r="48" spans="1:7" x14ac:dyDescent="0.25">
      <c r="A48">
        <v>37</v>
      </c>
      <c r="B48" s="6" t="n">
        <v>3704.388260709</v>
      </c>
      <c r="C48" s="9">
        <f si="0" t="shared"/>
        <v>1.4325434533986577E-2</v>
      </c>
      <c r="E48" s="371">
        <v>37</v>
      </c>
      <c r="F48" s="371" t="n">
        <v>7944.0</v>
      </c>
      <c r="G48" s="9">
        <f si="1" t="shared"/>
        <v>1.5469426106874538E-2</v>
      </c>
    </row>
    <row r="49" spans="1:7" x14ac:dyDescent="0.25">
      <c r="A49">
        <v>38</v>
      </c>
      <c r="B49" s="6" t="n">
        <v>3749.018420919</v>
      </c>
      <c r="C49" s="9">
        <f si="0" t="shared"/>
        <v>1.4498026172155553E-2</v>
      </c>
      <c r="E49" s="371">
        <v>38</v>
      </c>
      <c r="F49" s="371" t="n">
        <v>7893.0</v>
      </c>
      <c r="G49" s="9">
        <f si="1" t="shared"/>
        <v>1.5154875732438611E-2</v>
      </c>
    </row>
    <row r="50" spans="1:7" x14ac:dyDescent="0.25">
      <c r="A50">
        <v>39</v>
      </c>
      <c r="B50" s="6" t="n">
        <v>1710.7667163257001</v>
      </c>
      <c r="C50" s="9">
        <f si="0" t="shared"/>
        <v>6.6157958812223432E-3</v>
      </c>
      <c r="E50" s="371">
        <v>39</v>
      </c>
      <c r="F50" s="371" t="n">
        <v>7051.0</v>
      </c>
      <c r="G50" s="9">
        <f si="1" t="shared"/>
        <v>1.4013622450831341E-2</v>
      </c>
    </row>
    <row r="51" spans="1:7" x14ac:dyDescent="0.25">
      <c r="A51">
        <v>40</v>
      </c>
      <c r="B51" s="6" t="n">
        <v>3436.540312512</v>
      </c>
      <c r="C51" s="9">
        <f si="0" t="shared"/>
        <v>1.3289625656268029E-2</v>
      </c>
      <c r="E51" s="371">
        <v>40</v>
      </c>
      <c r="F51" s="371" t="n">
        <v>6355.0</v>
      </c>
      <c r="G51" s="9">
        <f si="1" t="shared"/>
        <v>1.2313840619744892E-2</v>
      </c>
    </row>
    <row r="52" spans="1:7" x14ac:dyDescent="0.25">
      <c r="A52">
        <v>41</v>
      </c>
      <c r="B52" s="6" t="n">
        <v>8904.630032956</v>
      </c>
      <c r="C52" s="9">
        <f si="0" t="shared"/>
        <v>3.4435562799798716E-2</v>
      </c>
      <c r="E52" s="371">
        <v>41</v>
      </c>
      <c r="F52" s="371" t="n">
        <v>6139.0</v>
      </c>
      <c r="G52" s="9">
        <f si="1" t="shared"/>
        <v>1.1513350243776541E-2</v>
      </c>
    </row>
    <row r="53" spans="1:7" x14ac:dyDescent="0.25">
      <c r="A53">
        <v>42</v>
      </c>
      <c r="B53" s="6" t="n">
        <v>3207.2395250874</v>
      </c>
      <c r="C53" s="9">
        <f si="0" t="shared"/>
        <v>1.2402884529889991E-2</v>
      </c>
      <c r="E53" s="371">
        <v>42</v>
      </c>
      <c r="F53" s="371" t="n">
        <v>5648.0</v>
      </c>
      <c r="G53" s="9">
        <f si="1" t="shared"/>
        <v>1.132582982824743E-2</v>
      </c>
    </row>
    <row r="54" spans="1:7" x14ac:dyDescent="0.25">
      <c r="A54">
        <v>43</v>
      </c>
      <c r="B54" s="6" t="n">
        <v>1762.550936554</v>
      </c>
      <c r="C54" s="9">
        <f si="0" t="shared"/>
        <v>6.8160533608829848E-3</v>
      </c>
      <c r="E54" s="371">
        <v>43</v>
      </c>
      <c r="F54" s="371" t="n">
        <v>4795.0</v>
      </c>
      <c r="G54" s="9">
        <f si="1" t="shared"/>
        <v>1.0261197791695063E-2</v>
      </c>
    </row>
    <row r="55" spans="1:7" x14ac:dyDescent="0.25">
      <c r="A55">
        <v>44</v>
      </c>
      <c r="B55" s="6" t="n">
        <v>1599.2883041490002</v>
      </c>
      <c r="C55" s="9">
        <f si="0" t="shared"/>
        <v>6.1846918545390185E-3</v>
      </c>
      <c r="E55" s="371">
        <v>44</v>
      </c>
      <c r="F55" s="371" t="n">
        <v>4272.0</v>
      </c>
      <c r="G55" s="9">
        <f si="1" t="shared"/>
        <v>9.1239772071959446E-3</v>
      </c>
    </row>
    <row r="56" spans="1:7" x14ac:dyDescent="0.25">
      <c r="A56">
        <v>45</v>
      </c>
      <c r="B56" s="6" t="n">
        <v>854.814198015</v>
      </c>
      <c r="C56" s="9">
        <f si="0" t="shared"/>
        <v>3.3056969114901528E-3</v>
      </c>
      <c r="E56" s="371">
        <v>45</v>
      </c>
      <c r="F56" s="371" t="n">
        <v>3725.0</v>
      </c>
      <c r="G56" s="9">
        <f si="1" t="shared"/>
        <v>7.9968383654672077E-3</v>
      </c>
    </row>
    <row r="57" spans="1:7" x14ac:dyDescent="0.25">
      <c r="A57">
        <v>46</v>
      </c>
      <c r="B57" s="6" t="n">
        <v>818.910585948</v>
      </c>
      <c r="C57" s="9">
        <f si="0" t="shared"/>
        <v>3.1668521662849029E-3</v>
      </c>
      <c r="E57" s="371">
        <v>46</v>
      </c>
      <c r="F57" s="371" t="n">
        <v>3350.0</v>
      </c>
      <c r="G57" s="9">
        <f si="1" t="shared"/>
        <v>7.6964024309098171E-3</v>
      </c>
    </row>
    <row r="58" spans="1:7" x14ac:dyDescent="0.25">
      <c r="A58">
        <v>47</v>
      </c>
      <c r="B58" s="6" t="n">
        <v>4438.928869637601</v>
      </c>
      <c r="C58" s="9">
        <f si="0" t="shared"/>
        <v>1.7166015127919064E-2</v>
      </c>
      <c r="E58" s="371">
        <v>47</v>
      </c>
      <c r="F58" s="371" t="n">
        <v>3555.0</v>
      </c>
      <c r="G58" s="9">
        <f si="1" t="shared"/>
        <v>6.9039774491577712E-3</v>
      </c>
    </row>
    <row r="59" spans="1:7" x14ac:dyDescent="0.25">
      <c r="A59">
        <v>48</v>
      </c>
      <c r="B59" s="6" t="n">
        <v>2472.03308097</v>
      </c>
      <c r="C59" s="9">
        <f si="0" t="shared"/>
        <v>9.5597290497046929E-3</v>
      </c>
      <c r="E59" s="371">
        <v>48</v>
      </c>
      <c r="F59" s="371" t="n">
        <v>3732.0</v>
      </c>
      <c r="G59" s="9">
        <f si="1" t="shared"/>
        <v>8.2004895694289294E-3</v>
      </c>
    </row>
    <row r="60" spans="1:7" x14ac:dyDescent="0.25">
      <c r="A60">
        <v>49</v>
      </c>
      <c r="B60" s="6" t="n">
        <v>727.258431585</v>
      </c>
      <c r="C60" s="9">
        <f si="0" t="shared"/>
        <v>2.8124193031987062E-3</v>
      </c>
      <c r="E60" s="371">
        <v>49</v>
      </c>
      <c r="F60" s="371" t="n">
        <v>3662.0</v>
      </c>
      <c r="G60" s="9">
        <f si="1" t="shared"/>
        <v>7.545176289354083E-3</v>
      </c>
    </row>
    <row r="61" spans="1:7" x14ac:dyDescent="0.25">
      <c r="A61">
        <v>50</v>
      </c>
      <c r="B61" s="6" t="n">
        <v>712.6549232886</v>
      </c>
      <c r="C61" s="9">
        <f si="0" t="shared"/>
        <v>2.7559453087512213E-3</v>
      </c>
      <c r="E61" s="371">
        <v>50</v>
      </c>
      <c r="F61" s="371" t="n">
        <v>2777.0</v>
      </c>
      <c r="G61" s="9">
        <f si="1" t="shared"/>
        <v>6.2809257459481476E-3</v>
      </c>
    </row>
    <row r="62" spans="1:7" x14ac:dyDescent="0.25">
      <c r="A62">
        <v>51</v>
      </c>
      <c r="B62" s="6" t="n">
        <v>1069.5540486305001</v>
      </c>
      <c r="C62" s="9">
        <f si="0" t="shared"/>
        <v>4.1361286738566677E-3</v>
      </c>
      <c r="E62" s="371">
        <v>51</v>
      </c>
      <c r="F62" s="371" t="n">
        <v>2741.0</v>
      </c>
      <c r="G62" s="9">
        <f si="1" t="shared"/>
        <v>5.1961302238550163E-3</v>
      </c>
    </row>
    <row r="63" spans="1:7" x14ac:dyDescent="0.25">
      <c r="A63">
        <v>52</v>
      </c>
      <c r="B63" s="6" t="n">
        <v>1068.977827955</v>
      </c>
      <c r="C63" s="9">
        <f si="0" t="shared"/>
        <v>4.1339003405980951E-3</v>
      </c>
      <c r="E63" s="371">
        <v>52</v>
      </c>
      <c r="F63" s="371" t="n">
        <v>1924.0</v>
      </c>
      <c r="G63" s="9">
        <f si="1" t="shared"/>
        <v>3.9238142862327756E-3</v>
      </c>
    </row>
    <row r="64" spans="1:7" x14ac:dyDescent="0.25">
      <c r="A64">
        <v>53</v>
      </c>
      <c r="B64" s="6" t="n">
        <v>2475.537472466</v>
      </c>
      <c r="C64" s="9">
        <f si="0" t="shared"/>
        <v>9.5732810662386737E-3</v>
      </c>
      <c r="E64" s="371">
        <v>53</v>
      </c>
      <c r="F64" s="371" t="n">
        <v>1740.0</v>
      </c>
      <c r="G64" s="9">
        <f si="1" t="shared"/>
        <v>3.7625064019066591E-3</v>
      </c>
    </row>
    <row r="65" spans="1:7" x14ac:dyDescent="0.25">
      <c r="A65">
        <v>54</v>
      </c>
      <c r="B65" s="6" t="n">
        <v>791.15128364</v>
      </c>
      <c r="C65" s="9">
        <f si="0" t="shared"/>
        <v>3.0595027093879941E-3</v>
      </c>
      <c r="E65" s="371">
        <v>54</v>
      </c>
      <c r="F65" s="371" t="n">
        <v>1865.0</v>
      </c>
      <c r="G65" s="9">
        <f si="1" t="shared"/>
        <v>3.6072475632427724E-3</v>
      </c>
    </row>
    <row r="66" spans="1:7" x14ac:dyDescent="0.25">
      <c r="A66">
        <v>55</v>
      </c>
      <c r="B66" s="6" t="n">
        <v>1724.4091637810002</v>
      </c>
      <c r="C66" s="9">
        <f si="0" t="shared"/>
        <v>6.6685533067808748E-3</v>
      </c>
      <c r="E66" s="371">
        <v>55</v>
      </c>
      <c r="F66" s="371" t="n">
        <v>1559.0</v>
      </c>
      <c r="G66" s="9">
        <f si="1" t="shared"/>
        <v>3.3531876454291395E-3</v>
      </c>
    </row>
    <row r="67" spans="1:7" x14ac:dyDescent="0.25">
      <c r="A67">
        <v>56</v>
      </c>
      <c r="B67" s="6" t="n">
        <v>203.936562876</v>
      </c>
      <c r="C67" s="9">
        <f si="0" t="shared"/>
        <v>7.8865380056226063E-4</v>
      </c>
      <c r="E67" s="371">
        <v>56</v>
      </c>
      <c r="F67" s="371" t="n">
        <v>1519.0</v>
      </c>
      <c r="G67" s="9">
        <f si="1" t="shared"/>
        <v>2.8289370213692619E-3</v>
      </c>
    </row>
    <row r="68" spans="1:7" x14ac:dyDescent="0.25">
      <c r="A68">
        <v>57</v>
      </c>
      <c r="B68" s="6" t="n">
        <v>859.562027262</v>
      </c>
      <c r="C68" s="9">
        <f si="0" t="shared"/>
        <v>3.3240574915022027E-3</v>
      </c>
      <c r="E68" s="371">
        <v>57</v>
      </c>
      <c r="F68" s="371" t="n">
        <v>1438.0</v>
      </c>
      <c r="G68" s="9">
        <f si="1" t="shared"/>
        <v>2.8874111294374793E-3</v>
      </c>
    </row>
    <row r="69" spans="1:7" x14ac:dyDescent="0.25">
      <c r="A69">
        <v>58</v>
      </c>
      <c r="B69" s="6" t="n">
        <v>611.3837387819</v>
      </c>
      <c r="C69" s="9">
        <f si="0" t="shared"/>
        <v>2.3643141886503438E-3</v>
      </c>
      <c r="E69" s="371">
        <v>58</v>
      </c>
      <c r="F69" s="371" t="n">
        <v>1224.0</v>
      </c>
      <c r="G69" s="9">
        <f si="1" t="shared"/>
        <v>2.5143866469333354E-3</v>
      </c>
    </row>
    <row r="70" spans="1:7" x14ac:dyDescent="0.25">
      <c r="A70">
        <v>59</v>
      </c>
      <c r="B70" s="6" t="n">
        <v>127.698736111</v>
      </c>
      <c r="C70" s="9">
        <f si="0" t="shared"/>
        <v>4.9383049385887871E-4</v>
      </c>
      <c r="E70" s="371">
        <v>59</v>
      </c>
      <c r="F70" s="371" t="n">
        <v>1105.0</v>
      </c>
      <c r="G70" s="9">
        <f si="1" t="shared"/>
        <v>1.8731878067370239E-3</v>
      </c>
    </row>
    <row r="71" spans="1:7" x14ac:dyDescent="0.25">
      <c r="A71">
        <v>60</v>
      </c>
      <c r="B71" s="6" t="n">
        <v>1411.50675439</v>
      </c>
      <c r="C71" s="9">
        <f si="0" t="shared"/>
        <v>5.4585119542581986E-3</v>
      </c>
      <c r="E71" s="371">
        <v>60</v>
      </c>
      <c r="F71" s="371" t="n">
        <v>1003.0</v>
      </c>
      <c r="G71" s="9">
        <f si="1" t="shared"/>
        <v>2.0425610852794459E-3</v>
      </c>
    </row>
    <row r="72" spans="1:7" x14ac:dyDescent="0.2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973.0</v>
      </c>
      <c r="G72" s="9">
        <f si="1" t="shared"/>
        <v>1.9135147778185529E-3</v>
      </c>
    </row>
    <row r="73" spans="1:7" x14ac:dyDescent="0.25">
      <c r="A73">
        <v>62</v>
      </c>
      <c r="B73" s="6" t="n">
        <v>422.049332457</v>
      </c>
      <c r="C73" s="9">
        <f si="0" t="shared"/>
        <v>1.6321291551302751E-3</v>
      </c>
      <c r="E73" s="371">
        <v>62</v>
      </c>
      <c r="F73" s="371" t="n">
        <v>943.0</v>
      </c>
      <c r="G73" s="9">
        <f si="1" t="shared"/>
        <v>2.0304629939549871E-3</v>
      </c>
    </row>
    <row r="74" spans="1:7" x14ac:dyDescent="0.2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1122.0</v>
      </c>
      <c r="G74" s="9">
        <f si="1" t="shared"/>
        <v>2.1252313759965802E-3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801.0</v>
      </c>
      <c r="G75" s="9">
        <f si="1" t="shared"/>
        <v>1.5908990091663205E-3</v>
      </c>
    </row>
    <row r="76" spans="1:7" x14ac:dyDescent="0.25">
      <c r="A76">
        <v>65</v>
      </c>
      <c r="B76" s="6" t="n">
        <v>338.582210178</v>
      </c>
      <c r="C76" s="9">
        <f si="0" t="shared"/>
        <v>1.3093490597956637E-3</v>
      </c>
      <c r="E76" s="371">
        <v>65</v>
      </c>
      <c r="F76" s="371" t="n">
        <v>690.0</v>
      </c>
      <c r="G76" s="9">
        <f si="1" t="shared"/>
        <v>1.463869050259504E-3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674.0</v>
      </c>
      <c r="G77" s="9">
        <f ref="G77:G102" si="3" t="shared">F77/F$102</f>
        <v>1.3973295479749813E-3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582.0</v>
      </c>
      <c r="G78" s="9">
        <f si="3" t="shared"/>
        <v>1.3227246514741524E-3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617.0</v>
      </c>
      <c r="G79" s="9">
        <f si="3" t="shared"/>
        <v>1.2037600867836418E-3</v>
      </c>
    </row>
    <row r="80" spans="1:7" x14ac:dyDescent="0.25">
      <c r="A80">
        <v>69</v>
      </c>
      <c r="B80" s="6" t="n">
        <v>105.574432957</v>
      </c>
      <c r="C80" s="9">
        <f si="2" t="shared"/>
        <v>4.0827243834823976E-4</v>
      </c>
      <c r="E80" s="371">
        <v>69</v>
      </c>
      <c r="F80" s="371" t="n">
        <v>543.0</v>
      </c>
      <c r="G80" s="9">
        <f si="3" t="shared"/>
        <v>1.2259399208784827E-3</v>
      </c>
    </row>
    <row r="81" spans="1:7" x14ac:dyDescent="0.25">
      <c r="A81">
        <v>70</v>
      </c>
      <c r="B81" s="6" t="n">
        <v>529.467299939</v>
      </c>
      <c r="C81" s="9">
        <f si="2" t="shared"/>
        <v>2.0475308227305201E-3</v>
      </c>
      <c r="E81" s="371">
        <v>70</v>
      </c>
      <c r="F81" s="371" t="n">
        <v>646.0</v>
      </c>
      <c r="G81" s="9">
        <f si="3" t="shared"/>
        <v>1.2360216636488649E-3</v>
      </c>
    </row>
    <row r="82" spans="1:7" x14ac:dyDescent="0.25">
      <c r="A82">
        <v>71</v>
      </c>
      <c r="B82" s="6" t="n">
        <v>258.441807167</v>
      </c>
      <c r="C82" s="9">
        <f si="2" t="shared"/>
        <v>9.9943389538423885E-4</v>
      </c>
      <c r="E82" s="371">
        <v>71</v>
      </c>
      <c r="F82" s="371" t="n">
        <v>593.0</v>
      </c>
      <c r="G82" s="9">
        <f si="3" t="shared"/>
        <v>1.3126429087037701E-3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415.0</v>
      </c>
      <c r="G83" s="9">
        <f si="3" t="shared"/>
        <v>9.6179826029446755E-4</v>
      </c>
    </row>
    <row r="84" spans="1:7" x14ac:dyDescent="0.25">
      <c r="A84">
        <v>73</v>
      </c>
      <c r="B84" s="6" t="n">
        <v>356.0060045</v>
      </c>
      <c r="C84" s="9">
        <f si="2" t="shared"/>
        <v>1.3767295305581115E-3</v>
      </c>
      <c r="E84" s="371">
        <v>73</v>
      </c>
      <c r="F84" s="371" t="n">
        <v>373.0</v>
      </c>
      <c r="G84" s="9">
        <f si="3" t="shared"/>
        <v>9.5373286607816177E-4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431.0</v>
      </c>
      <c r="G85" s="9">
        <f si="3" t="shared"/>
        <v>1.0202723683626846E-3</v>
      </c>
    </row>
    <row r="86" spans="1:7" x14ac:dyDescent="0.25">
      <c r="A86">
        <v>75</v>
      </c>
      <c r="B86" s="6" t="n">
        <v>2492.0420315</v>
      </c>
      <c r="C86" s="9">
        <f si="2" t="shared"/>
        <v>9.6371067139067804E-3</v>
      </c>
      <c r="E86" s="371">
        <v>75</v>
      </c>
      <c r="F86" s="371" t="n">
        <v>450.0</v>
      </c>
      <c r="G86" s="9">
        <f si="3" t="shared"/>
        <v>7.5613070777866948E-4</v>
      </c>
    </row>
    <row r="87" spans="1:7" x14ac:dyDescent="0.25">
      <c r="A87">
        <v>76</v>
      </c>
      <c r="B87" s="6" t="n">
        <v>190.728922024</v>
      </c>
      <c r="C87" s="9">
        <f si="2" t="shared"/>
        <v>7.3757783847141882E-4</v>
      </c>
      <c r="E87" s="371">
        <v>76</v>
      </c>
      <c r="F87" s="371" t="n">
        <v>427.0</v>
      </c>
      <c r="G87" s="9">
        <f si="3" t="shared"/>
        <v>8.0653942163058071E-4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346.0</v>
      </c>
      <c r="G88" s="9">
        <f si="3" t="shared"/>
        <v>6.6136232573707618E-4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293.0</v>
      </c>
      <c r="G89" s="9">
        <f si="3" t="shared"/>
        <v>5.2223427550580101E-4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234.0</v>
      </c>
      <c r="G90" s="9">
        <f si="3" t="shared"/>
        <v>4.7787460731611909E-4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185.0</v>
      </c>
      <c r="G91" s="9">
        <f si="3" t="shared"/>
        <v>4.2948224201828423E-4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229.0</v>
      </c>
      <c r="G92" s="9">
        <f si="3" t="shared"/>
        <v>4.4158033334274296E-4</v>
      </c>
    </row>
    <row r="93" spans="1:7" x14ac:dyDescent="0.25">
      <c r="A93">
        <v>82</v>
      </c>
      <c r="B93" s="6" t="n">
        <v>615.8663051890001</v>
      </c>
      <c r="C93" s="9">
        <f si="2" t="shared"/>
        <v>2.381648956792836E-3</v>
      </c>
      <c r="E93" s="371">
        <v>82</v>
      </c>
      <c r="F93" s="371" t="n">
        <v>217.0</v>
      </c>
      <c r="G93" s="9">
        <f si="3" t="shared"/>
        <v>4.4359668189681943E-4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165.0</v>
      </c>
      <c r="G94" s="9">
        <f si="3" t="shared"/>
        <v>3.0245228311146779E-4</v>
      </c>
    </row>
    <row r="95" spans="1:7" x14ac:dyDescent="0.25">
      <c r="A95">
        <v>84</v>
      </c>
      <c r="B95" s="6" t="n">
        <v>85.5353905136</v>
      </c>
      <c r="C95" s="9">
        <f si="2" t="shared"/>
        <v>3.3077840412630815E-4</v>
      </c>
      <c r="E95" s="371">
        <v>84</v>
      </c>
      <c r="F95" s="371" t="n">
        <v>198.0</v>
      </c>
      <c r="G95" s="9">
        <f si="3" t="shared"/>
        <v>4.2948224201828423E-4</v>
      </c>
    </row>
    <row r="96" spans="1:7" x14ac:dyDescent="0.25">
      <c r="A96">
        <v>85</v>
      </c>
      <c r="B96" s="6" t="n">
        <v>126.7069707198</v>
      </c>
      <c r="C96" s="9">
        <f si="2" t="shared"/>
        <v>4.8999518579049878E-4</v>
      </c>
      <c r="E96" s="371">
        <v>85</v>
      </c>
      <c r="F96" s="371" t="n">
        <v>117.0</v>
      </c>
      <c r="G96" s="9">
        <f si="3" t="shared"/>
        <v>2.8632149467885617E-4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127.0</v>
      </c>
      <c r="G97" s="9">
        <f si="3" t="shared"/>
        <v>3.1656672299000294E-4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177.0</v>
      </c>
      <c r="G98" s="9">
        <f si="3" t="shared"/>
        <v>3.3673020853076745E-4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139.0</v>
      </c>
      <c r="G99" s="9">
        <f si="3" t="shared"/>
        <v>2.7422340335439744E-4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126.0</v>
      </c>
      <c r="G100" s="9">
        <f si="3" t="shared"/>
        <v>2.8632149467885617E-4</v>
      </c>
    </row>
    <row ht="15.75" r="101" spans="1:7" thickBot="1" x14ac:dyDescent="0.3">
      <c r="A101" s="1">
        <v>90</v>
      </c>
      <c r="B101" s="7" t="n">
        <v>986.4964652533</v>
      </c>
      <c r="C101" s="9">
        <f si="2" t="shared"/>
        <v>3.8149323279332834E-3</v>
      </c>
      <c r="E101" s="372">
        <v>90</v>
      </c>
      <c r="F101" s="372" t="n">
        <v>3185.0</v>
      </c>
      <c r="G101" s="9">
        <f si="3" t="shared"/>
        <v>6.6620156226685967E-3</v>
      </c>
    </row>
    <row r="102" spans="1:7" x14ac:dyDescent="0.25">
      <c r="B102" s="6">
        <f>SUM(B11:B101)</f>
        <v>258588.19513784887</v>
      </c>
      <c r="C102" s="9">
        <f si="2" t="shared"/>
        <v>1</v>
      </c>
      <c r="F102" s="6">
        <f>SUM(F11:F101)</f>
        <v>495946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102"/>
  <sheetViews>
    <sheetView workbookViewId="0">
      <selection activeCell="K11" sqref="K11:L11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20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21403.563253356</v>
      </c>
      <c r="C11" s="9">
        <f>B11/B$102</f>
        <v>0.20492417465086504</v>
      </c>
      <c r="E11" s="371">
        <v>0</v>
      </c>
      <c r="F11" s="371" t="n">
        <v>11478.0</v>
      </c>
      <c r="G11" s="9">
        <f>F11/F$102</f>
        <v>9.8378461591091801E-2</v>
      </c>
      <c r="K11" s="6" t="n">
        <v>4.531862535888704</v>
      </c>
      <c r="L11" s="6" t="n">
        <v>5.681438253233843</v>
      </c>
    </row>
    <row r="12" spans="1:12" x14ac:dyDescent="0.25">
      <c r="A12">
        <v>1</v>
      </c>
      <c r="B12" s="6" t="n">
        <v>21950.778812362</v>
      </c>
      <c r="C12" s="9">
        <f>B12/B$102</f>
        <v>0.21016338157440542</v>
      </c>
      <c r="E12" s="371">
        <v>1</v>
      </c>
      <c r="F12" s="371" t="n">
        <v>17061.0</v>
      </c>
      <c r="G12" s="9">
        <f>F12/F$102</f>
        <v>0.14782854112857705</v>
      </c>
      <c r="K12" s="6"/>
      <c r="L12" s="371"/>
    </row>
    <row r="13" spans="1:12" x14ac:dyDescent="0.25">
      <c r="A13">
        <v>2</v>
      </c>
      <c r="B13" s="6" t="n">
        <v>9040.471459524</v>
      </c>
      <c r="C13" s="9">
        <f ref="C13:C76" si="0" t="shared">B13/B$102</f>
        <v>8.6556202365378324E-2</v>
      </c>
      <c r="E13" s="371">
        <v>2</v>
      </c>
      <c r="F13" s="371" t="n">
        <v>14958.0</v>
      </c>
      <c r="G13" s="9">
        <f ref="G13:G76" si="1" t="shared">F13/F$102</f>
        <v>0.12832902861638984</v>
      </c>
    </row>
    <row r="14" spans="1:12" x14ac:dyDescent="0.25">
      <c r="A14">
        <v>3</v>
      </c>
      <c r="B14" s="6" t="n">
        <v>9225.7891367387</v>
      </c>
      <c r="C14" s="9">
        <f si="0" t="shared"/>
        <v>8.8330489739957566E-2</v>
      </c>
      <c r="E14" s="371">
        <v>3</v>
      </c>
      <c r="F14" s="371" t="n">
        <v>13974.0</v>
      </c>
      <c r="G14" s="9">
        <f si="1" t="shared"/>
        <v>0.11862203444913877</v>
      </c>
    </row>
    <row r="15" spans="1:12" x14ac:dyDescent="0.25">
      <c r="A15">
        <v>4</v>
      </c>
      <c r="B15" s="6" t="n">
        <v>6009.6396963361</v>
      </c>
      <c r="C15" s="9">
        <f si="0" t="shared"/>
        <v>5.7538104293342503E-2</v>
      </c>
      <c r="E15" s="371">
        <v>4</v>
      </c>
      <c r="F15" s="371" t="n">
        <v>10770.0</v>
      </c>
      <c r="G15" s="9">
        <f si="1" t="shared"/>
        <v>9.153652737628927E-2</v>
      </c>
    </row>
    <row r="16" spans="1:12" x14ac:dyDescent="0.25">
      <c r="A16">
        <v>5</v>
      </c>
      <c r="B16" s="6" t="n">
        <v>12499.963223363</v>
      </c>
      <c r="C16" s="9">
        <f si="0" t="shared"/>
        <v>0.11967842066260574</v>
      </c>
      <c r="E16" s="371">
        <v>5</v>
      </c>
      <c r="F16" s="371" t="n">
        <v>8433.0</v>
      </c>
      <c r="G16" s="9">
        <f si="1" t="shared"/>
        <v>7.1626498811213926E-2</v>
      </c>
    </row>
    <row r="17" spans="1:7" x14ac:dyDescent="0.25">
      <c r="A17">
        <v>6</v>
      </c>
      <c r="B17" s="6" t="n">
        <v>2343.58</v>
      </c>
      <c r="C17" s="9">
        <f si="0" t="shared"/>
        <v>2.2438142263670604E-2</v>
      </c>
      <c r="E17" s="371">
        <v>6</v>
      </c>
      <c r="F17" s="371" t="n">
        <v>5493.0</v>
      </c>
      <c r="G17" s="9">
        <f si="1" t="shared"/>
        <v>4.8902724800301042E-2</v>
      </c>
    </row>
    <row r="18" spans="1:7" x14ac:dyDescent="0.25">
      <c r="A18">
        <v>7</v>
      </c>
      <c r="B18" s="6" t="n">
        <v>4782.146746086</v>
      </c>
      <c r="C18" s="9">
        <f si="0" t="shared"/>
        <v>4.5785716303444787E-2</v>
      </c>
      <c r="E18" s="371">
        <v>7</v>
      </c>
      <c r="F18" s="371" t="n">
        <v>4523.0</v>
      </c>
      <c r="G18" s="9">
        <f si="1" t="shared"/>
        <v>4.0452936045019927E-2</v>
      </c>
    </row>
    <row r="19" spans="1:7" x14ac:dyDescent="0.25">
      <c r="A19">
        <v>8</v>
      </c>
      <c r="B19" s="6" t="n">
        <v>1958.985546687</v>
      </c>
      <c r="C19" s="9">
        <f si="0" t="shared"/>
        <v>1.8755918888639363E-2</v>
      </c>
      <c r="E19" s="371">
        <v>8</v>
      </c>
      <c r="F19" s="371" t="n">
        <v>5300.0</v>
      </c>
      <c r="G19" s="9">
        <f si="1" t="shared"/>
        <v>4.6063322101157995E-2</v>
      </c>
    </row>
    <row r="20" spans="1:7" x14ac:dyDescent="0.25">
      <c r="A20">
        <v>9</v>
      </c>
      <c r="B20" s="6" t="n">
        <v>1904.148995624</v>
      </c>
      <c r="C20" s="9">
        <f si="0" t="shared"/>
        <v>1.8230897197892459E-2</v>
      </c>
      <c r="E20" s="371">
        <v>9</v>
      </c>
      <c r="F20" s="371" t="n">
        <v>3736.0</v>
      </c>
      <c r="G20" s="9">
        <f si="1" t="shared"/>
        <v>3.520175153515899E-2</v>
      </c>
    </row>
    <row r="21" spans="1:7" x14ac:dyDescent="0.25">
      <c r="A21">
        <v>10</v>
      </c>
      <c r="B21" s="6" t="n">
        <v>677.474</v>
      </c>
      <c r="C21" s="9">
        <f si="0" t="shared"/>
        <v>6.4863405524616096E-3</v>
      </c>
      <c r="E21" s="371">
        <v>10</v>
      </c>
      <c r="F21" s="371" t="n">
        <v>3007.0</v>
      </c>
      <c r="G21" s="9">
        <f si="1" t="shared"/>
        <v>2.5332261430306348E-2</v>
      </c>
    </row>
    <row r="22" spans="1:7" x14ac:dyDescent="0.25">
      <c r="A22">
        <v>11</v>
      </c>
      <c r="B22" s="6" t="n">
        <v>606.1275651240001</v>
      </c>
      <c r="C22" s="9">
        <f si="0" t="shared"/>
        <v>5.803248251045231E-3</v>
      </c>
      <c r="E22" s="371">
        <v>11</v>
      </c>
      <c r="F22" s="371" t="n">
        <v>2771.0</v>
      </c>
      <c r="G22" s="9">
        <f si="1" t="shared"/>
        <v>2.3989531840651352E-2</v>
      </c>
    </row>
    <row r="23" spans="1:7" x14ac:dyDescent="0.25">
      <c r="A23">
        <v>12</v>
      </c>
      <c r="B23" s="6" t="n">
        <v>685.013979171</v>
      </c>
      <c r="C23" s="9">
        <f si="0" t="shared"/>
        <v>6.558530588775288E-3</v>
      </c>
      <c r="E23" s="371">
        <v>12</v>
      </c>
      <c r="F23" s="371" t="n">
        <v>2469.0</v>
      </c>
      <c r="G23" s="9">
        <f si="1" t="shared"/>
        <v>2.1868532234062571E-2</v>
      </c>
    </row>
    <row r="24" spans="1:7" x14ac:dyDescent="0.25">
      <c r="A24">
        <v>13</v>
      </c>
      <c r="B24" s="6" t="n">
        <v>1263.79351132</v>
      </c>
      <c r="C24" s="9">
        <f si="0" t="shared"/>
        <v>1.2099940517883738E-2</v>
      </c>
      <c r="E24" s="371">
        <v>13</v>
      </c>
      <c r="F24" s="371" t="n">
        <v>2320.0</v>
      </c>
      <c r="G24" s="9">
        <f si="1" t="shared"/>
        <v>2.1423806510100406E-2</v>
      </c>
    </row>
    <row r="25" spans="1:7" x14ac:dyDescent="0.25">
      <c r="A25">
        <v>14</v>
      </c>
      <c r="B25" s="6" t="n">
        <v>347.467875</v>
      </c>
      <c r="C25" s="9">
        <f si="0" t="shared"/>
        <v>3.3267623086497217E-3</v>
      </c>
      <c r="E25" s="371">
        <v>14</v>
      </c>
      <c r="F25" s="371" t="n">
        <v>1679.0</v>
      </c>
      <c r="G25" s="9">
        <f si="1" t="shared"/>
        <v>1.4667396472982912E-2</v>
      </c>
    </row>
    <row r="26" spans="1:7" x14ac:dyDescent="0.25">
      <c r="A26">
        <v>15</v>
      </c>
      <c r="B26" s="6" t="n">
        <v>616.292367567</v>
      </c>
      <c r="C26" s="9">
        <f si="0" t="shared"/>
        <v>5.9005691375940746E-3</v>
      </c>
      <c r="E26" s="371">
        <v>15</v>
      </c>
      <c r="F26" s="371" t="n">
        <v>1402.0</v>
      </c>
      <c r="G26" s="9">
        <f si="1" t="shared"/>
        <v>1.3230590287874383E-2</v>
      </c>
    </row>
    <row r="27" spans="1:7" x14ac:dyDescent="0.25">
      <c r="A27">
        <v>16</v>
      </c>
      <c r="B27" s="6" t="n">
        <v>1161.679808646</v>
      </c>
      <c r="C27" s="9">
        <f si="0" t="shared"/>
        <v>1.1122273108335365E-2</v>
      </c>
      <c r="E27" s="371">
        <v>16</v>
      </c>
      <c r="F27" s="371" t="n">
        <v>887.0</v>
      </c>
      <c r="G27" s="9">
        <f si="1" t="shared"/>
        <v>7.9879581957819478E-3</v>
      </c>
    </row>
    <row r="28" spans="1:7" x14ac:dyDescent="0.25">
      <c r="A28">
        <v>17</v>
      </c>
      <c r="B28" s="6" t="n">
        <v>2746.034518018</v>
      </c>
      <c r="C28" s="9">
        <f si="0" t="shared"/>
        <v>2.6291363288745435E-2</v>
      </c>
      <c r="E28" s="371">
        <v>17</v>
      </c>
      <c r="F28" s="371" t="n">
        <v>909.0</v>
      </c>
      <c r="G28" s="9">
        <f si="1" t="shared"/>
        <v>7.9537485247079352E-3</v>
      </c>
    </row>
    <row r="29" spans="1:7" x14ac:dyDescent="0.25">
      <c r="A29">
        <v>18</v>
      </c>
      <c r="B29" s="6" t="n">
        <v>2170.103759646</v>
      </c>
      <c r="C29" s="9">
        <f si="0" t="shared"/>
        <v>2.0777228379600179E-2</v>
      </c>
      <c r="E29" s="371">
        <v>18</v>
      </c>
      <c r="F29" s="371" t="n">
        <v>552.0</v>
      </c>
      <c r="G29" s="9">
        <f si="1" t="shared"/>
        <v>4.9518498879633274E-3</v>
      </c>
    </row>
    <row r="30" spans="1:7" x14ac:dyDescent="0.25">
      <c r="A30">
        <v>19</v>
      </c>
      <c r="B30" s="6" t="n">
        <v>4.59375</v>
      </c>
      <c r="C30" s="9">
        <f si="0" t="shared"/>
        <v>4.398194899416143E-5</v>
      </c>
      <c r="E30" s="371">
        <v>19</v>
      </c>
      <c r="F30" s="371" t="n">
        <v>574.0</v>
      </c>
      <c r="G30" s="9">
        <f si="1" t="shared"/>
        <v>4.7465918615192514E-3</v>
      </c>
    </row>
    <row r="31" spans="1:7" x14ac:dyDescent="0.25">
      <c r="A31">
        <v>20</v>
      </c>
      <c r="B31" s="6" t="n">
        <v>212.3475</v>
      </c>
      <c r="C31" s="9">
        <f si="0" t="shared"/>
        <v>2.0330790561170491E-3</v>
      </c>
      <c r="E31" s="371">
        <v>20</v>
      </c>
      <c r="F31" s="371" t="n">
        <v>320.0</v>
      </c>
      <c r="G31" s="9">
        <f si="1" t="shared"/>
        <v>3.3183380941792244E-3</v>
      </c>
    </row>
    <row r="32" spans="1:7" x14ac:dyDescent="0.25">
      <c r="A32">
        <v>21</v>
      </c>
      <c r="B32" s="6" t="n">
        <v>278.267753556</v>
      </c>
      <c r="C32" s="9">
        <f si="0" t="shared"/>
        <v>2.664219459835619E-3</v>
      </c>
      <c r="E32" s="371">
        <v>21</v>
      </c>
      <c r="F32" s="371" t="n">
        <v>588.0</v>
      </c>
      <c r="G32" s="9">
        <f si="1" t="shared"/>
        <v>6.0893214511742472E-3</v>
      </c>
    </row>
    <row r="33" spans="1:7" x14ac:dyDescent="0.25">
      <c r="A33">
        <v>22</v>
      </c>
      <c r="B33" s="6" t="n">
        <v>0.0</v>
      </c>
      <c r="C33" s="9">
        <f si="0" t="shared"/>
        <v>0</v>
      </c>
      <c r="E33" s="371">
        <v>22</v>
      </c>
      <c r="F33" s="371" t="n">
        <v>290.0</v>
      </c>
      <c r="G33" s="9">
        <f si="1" t="shared"/>
        <v>2.7453261036895129E-3</v>
      </c>
    </row>
    <row r="34" spans="1:7" x14ac:dyDescent="0.25">
      <c r="A34">
        <v>23</v>
      </c>
      <c r="B34" s="6" t="n">
        <v>298.878390047</v>
      </c>
      <c r="C34" s="9">
        <f si="0" t="shared"/>
        <v>2.8615519143410585E-3</v>
      </c>
      <c r="E34" s="371">
        <v>23</v>
      </c>
      <c r="F34" s="371" t="n">
        <v>229.0</v>
      </c>
      <c r="G34" s="9">
        <f si="1" t="shared"/>
        <v>2.5657253305509469E-3</v>
      </c>
    </row>
    <row r="35" spans="1:7" x14ac:dyDescent="0.25">
      <c r="A35">
        <v>24</v>
      </c>
      <c r="B35" s="6" t="n">
        <v>4.59375</v>
      </c>
      <c r="C35" s="9">
        <f si="0" t="shared"/>
        <v>4.398194899416143E-5</v>
      </c>
      <c r="E35" s="371">
        <v>24</v>
      </c>
      <c r="F35" s="371" t="n">
        <v>144.0</v>
      </c>
      <c r="G35" s="9">
        <f si="1" t="shared"/>
        <v>1.7361408070061407E-3</v>
      </c>
    </row>
    <row r="36" spans="1:7" x14ac:dyDescent="0.25">
      <c r="A36">
        <v>25</v>
      </c>
      <c r="B36" s="6" t="n">
        <v>533.972612906</v>
      </c>
      <c r="C36" s="9">
        <f si="0" t="shared"/>
        <v>5.1124149605683367E-3</v>
      </c>
      <c r="E36" s="371">
        <v>25</v>
      </c>
      <c r="F36" s="371" t="n">
        <v>154.0</v>
      </c>
      <c r="G36" s="9">
        <f si="1" t="shared"/>
        <v>1.479568273951046E-3</v>
      </c>
    </row>
    <row r="37" spans="1:7" x14ac:dyDescent="0.25">
      <c r="A37">
        <v>26</v>
      </c>
      <c r="B37" s="6" t="n">
        <v>0.0</v>
      </c>
      <c r="C37" s="9">
        <f si="0" t="shared"/>
        <v>0</v>
      </c>
      <c r="E37" s="371">
        <v>26</v>
      </c>
      <c r="F37" s="371" t="n">
        <v>73.0</v>
      </c>
      <c r="G37" s="9">
        <f si="1" t="shared"/>
        <v>1.1289191454424165E-3</v>
      </c>
    </row>
    <row r="38" spans="1:7" x14ac:dyDescent="0.25">
      <c r="A38">
        <v>27</v>
      </c>
      <c r="B38" s="6" t="n">
        <v>0.0</v>
      </c>
      <c r="C38" s="9">
        <f si="0" t="shared"/>
        <v>0</v>
      </c>
      <c r="E38" s="371">
        <v>27</v>
      </c>
      <c r="F38" s="371" t="n">
        <v>166.0</v>
      </c>
      <c r="G38" s="9">
        <f si="1" t="shared"/>
        <v>1.205890905358945E-3</v>
      </c>
    </row>
    <row r="39" spans="1:7" x14ac:dyDescent="0.25">
      <c r="A39">
        <v>28</v>
      </c>
      <c r="B39" s="6" t="n">
        <v>1720.55017111</v>
      </c>
      <c r="C39" s="9">
        <f si="0" t="shared"/>
        <v>1.6473066637857033E-2</v>
      </c>
      <c r="E39" s="371">
        <v>28</v>
      </c>
      <c r="F39" s="371" t="n">
        <v>86.0</v>
      </c>
      <c r="G39" s="9">
        <f si="1" t="shared"/>
        <v>7.5261276362827774E-4</v>
      </c>
    </row>
    <row r="40" spans="1:7" x14ac:dyDescent="0.25">
      <c r="A40">
        <v>29</v>
      </c>
      <c r="B40" s="6" t="n">
        <v>0.0</v>
      </c>
      <c r="C40" s="9">
        <f si="0" t="shared"/>
        <v>0</v>
      </c>
      <c r="E40" s="371">
        <v>29</v>
      </c>
      <c r="F40" s="371" t="n">
        <v>79.0</v>
      </c>
      <c r="G40" s="9">
        <f si="1" t="shared"/>
        <v>7.9537485247079345E-4</v>
      </c>
    </row>
    <row r="41" spans="1:7" x14ac:dyDescent="0.25">
      <c r="A41">
        <v>30</v>
      </c>
      <c r="B41" s="6" t="n">
        <v>0.0</v>
      </c>
      <c r="C41" s="9">
        <f si="0" t="shared"/>
        <v>0</v>
      </c>
      <c r="E41" s="371">
        <v>30</v>
      </c>
      <c r="F41" s="371" t="n">
        <v>79.0</v>
      </c>
      <c r="G41" s="9">
        <f si="1" t="shared"/>
        <v>7.5261276362827774E-4</v>
      </c>
    </row>
    <row r="42" spans="1:7" x14ac:dyDescent="0.25">
      <c r="A42">
        <v>31</v>
      </c>
      <c r="B42" s="6" t="n">
        <v>0.0</v>
      </c>
      <c r="C42" s="9">
        <f si="0" t="shared"/>
        <v>0</v>
      </c>
      <c r="E42" s="371">
        <v>31</v>
      </c>
      <c r="F42" s="371" t="n">
        <v>57.0</v>
      </c>
      <c r="G42" s="9">
        <f si="1" t="shared"/>
        <v>6.4998375040623989E-4</v>
      </c>
    </row>
    <row r="43" spans="1:7" x14ac:dyDescent="0.25">
      <c r="A43">
        <v>32</v>
      </c>
      <c r="B43" s="6" t="n">
        <v>0.0</v>
      </c>
      <c r="C43" s="9">
        <f si="0" t="shared"/>
        <v>0</v>
      </c>
      <c r="E43" s="371">
        <v>32</v>
      </c>
      <c r="F43" s="371" t="n">
        <v>28.0</v>
      </c>
      <c r="G43" s="9">
        <f si="1" t="shared"/>
        <v>1.2828626652754734E-4</v>
      </c>
    </row>
    <row r="44" spans="1:7" x14ac:dyDescent="0.25">
      <c r="A44">
        <v>33</v>
      </c>
      <c r="B44" s="6" t="n">
        <v>0.0</v>
      </c>
      <c r="C44" s="9">
        <f si="0" t="shared"/>
        <v>0</v>
      </c>
      <c r="E44" s="371">
        <v>33</v>
      </c>
      <c r="F44" s="371" t="n">
        <v>88.0</v>
      </c>
      <c r="G44" s="9">
        <f si="1" t="shared"/>
        <v>9.6642320784085661E-4</v>
      </c>
    </row>
    <row r="45" spans="1:7" x14ac:dyDescent="0.25">
      <c r="A45">
        <v>34</v>
      </c>
      <c r="B45" s="6" t="n">
        <v>0.0</v>
      </c>
      <c r="C45" s="9">
        <f si="0" t="shared"/>
        <v>0</v>
      </c>
      <c r="E45" s="371">
        <v>34</v>
      </c>
      <c r="F45" s="371" t="n">
        <v>16.0</v>
      </c>
      <c r="G45" s="9">
        <f si="1" t="shared"/>
        <v>1.8815319090706944E-4</v>
      </c>
    </row>
    <row r="46" spans="1:7" x14ac:dyDescent="0.25">
      <c r="A46">
        <v>35</v>
      </c>
      <c r="B46" s="6" t="n">
        <v>0.0</v>
      </c>
      <c r="C46" s="9">
        <f si="0" t="shared"/>
        <v>0</v>
      </c>
      <c r="E46" s="371">
        <v>35</v>
      </c>
      <c r="F46" s="371" t="n">
        <v>13.0</v>
      </c>
      <c r="G46" s="9">
        <f si="1" t="shared"/>
        <v>1.2828626652754734E-4</v>
      </c>
    </row>
    <row r="47" spans="1:7" x14ac:dyDescent="0.25">
      <c r="A47">
        <v>36</v>
      </c>
      <c r="B47" s="6" t="n">
        <v>0.0</v>
      </c>
      <c r="C47" s="9">
        <f si="0" t="shared"/>
        <v>0</v>
      </c>
      <c r="E47" s="371">
        <v>36</v>
      </c>
      <c r="F47" s="371" t="n">
        <v>38.0</v>
      </c>
      <c r="G47" s="9">
        <f si="1" t="shared"/>
        <v>3.5920154627713254E-4</v>
      </c>
    </row>
    <row r="48" spans="1:7" x14ac:dyDescent="0.25">
      <c r="A48">
        <v>37</v>
      </c>
      <c r="B48" s="6" t="n">
        <v>0.0</v>
      </c>
      <c r="C48" s="9">
        <f si="0" t="shared"/>
        <v>0</v>
      </c>
      <c r="E48" s="371">
        <v>37</v>
      </c>
      <c r="F48" s="371" t="n">
        <v>28.0</v>
      </c>
      <c r="G48" s="9">
        <f si="1" t="shared"/>
        <v>5.6445957272120825E-4</v>
      </c>
    </row>
    <row r="49" spans="1:7" x14ac:dyDescent="0.25">
      <c r="A49">
        <v>38</v>
      </c>
      <c r="B49" s="6" t="n">
        <v>0.0</v>
      </c>
      <c r="C49" s="9">
        <f si="0" t="shared"/>
        <v>0</v>
      </c>
      <c r="E49" s="371">
        <v>38</v>
      </c>
      <c r="F49" s="371" t="n">
        <v>15.0</v>
      </c>
      <c r="G49" s="9">
        <f si="1" t="shared"/>
        <v>9.4076595453534718E-5</v>
      </c>
    </row>
    <row r="50" spans="1:7" x14ac:dyDescent="0.25">
      <c r="A50">
        <v>39</v>
      </c>
      <c r="B50" s="6" t="n">
        <v>0.0</v>
      </c>
      <c r="C50" s="9">
        <f si="0" t="shared"/>
        <v>0</v>
      </c>
      <c r="E50" s="371">
        <v>39</v>
      </c>
      <c r="F50" s="371" t="n">
        <v>32.0</v>
      </c>
      <c r="G50" s="9">
        <f si="1" t="shared"/>
        <v>3.0788703966611362E-4</v>
      </c>
    </row>
    <row r="51" spans="1:7" x14ac:dyDescent="0.25">
      <c r="A51">
        <v>40</v>
      </c>
      <c r="B51" s="6" t="n">
        <v>0.0</v>
      </c>
      <c r="C51" s="9">
        <f si="0" t="shared"/>
        <v>0</v>
      </c>
      <c r="E51" s="371">
        <v>40</v>
      </c>
      <c r="F51" s="371" t="n">
        <v>16.0</v>
      </c>
      <c r="G51" s="9">
        <f si="1" t="shared"/>
        <v>2.7367736859210096E-4</v>
      </c>
    </row>
    <row r="52" spans="1:7" x14ac:dyDescent="0.25">
      <c r="A52">
        <v>41</v>
      </c>
      <c r="B52" s="6" t="n">
        <v>0.0</v>
      </c>
      <c r="C52" s="9">
        <f si="0" t="shared"/>
        <v>0</v>
      </c>
      <c r="E52" s="371">
        <v>41</v>
      </c>
      <c r="F52" s="371" t="n">
        <v>10.0</v>
      </c>
      <c r="G52" s="9">
        <f si="1" t="shared"/>
        <v>5.9866924379522091E-5</v>
      </c>
    </row>
    <row r="53" spans="1:7" x14ac:dyDescent="0.25">
      <c r="A53">
        <v>42</v>
      </c>
      <c r="B53" s="6" t="n">
        <v>0.0</v>
      </c>
      <c r="C53" s="9">
        <f si="0" t="shared"/>
        <v>0</v>
      </c>
      <c r="E53" s="371">
        <v>42</v>
      </c>
      <c r="F53" s="371" t="n">
        <v>8.0</v>
      </c>
      <c r="G53" s="9">
        <f si="1" t="shared"/>
        <v>1.0262901322203787E-4</v>
      </c>
    </row>
    <row r="54" spans="1:7" x14ac:dyDescent="0.25">
      <c r="A54">
        <v>43</v>
      </c>
      <c r="B54" s="6" t="n">
        <v>0.0</v>
      </c>
      <c r="C54" s="9">
        <f si="0" t="shared"/>
        <v>0</v>
      </c>
      <c r="E54" s="371">
        <v>43</v>
      </c>
      <c r="F54" s="371" t="n">
        <v>7.0</v>
      </c>
      <c r="G54" s="9">
        <f si="1" t="shared"/>
        <v>7.6971759916528404E-5</v>
      </c>
    </row>
    <row r="55" spans="1:7" x14ac:dyDescent="0.25">
      <c r="A55">
        <v>44</v>
      </c>
      <c r="B55" s="6" t="n">
        <v>0.0</v>
      </c>
      <c r="C55" s="9">
        <f si="0" t="shared"/>
        <v>0</v>
      </c>
      <c r="E55" s="371">
        <v>44</v>
      </c>
      <c r="F55" s="371" t="n">
        <v>3.0</v>
      </c>
      <c r="G55" s="9">
        <f si="1" t="shared"/>
        <v>2.5657253305509467E-5</v>
      </c>
    </row>
    <row r="56" spans="1:7" x14ac:dyDescent="0.25">
      <c r="A56">
        <v>45</v>
      </c>
      <c r="B56" s="6" t="n">
        <v>0.0</v>
      </c>
      <c r="C56" s="9">
        <f si="0" t="shared"/>
        <v>0</v>
      </c>
      <c r="E56" s="371">
        <v>45</v>
      </c>
      <c r="F56" s="371" t="n">
        <v>3.0</v>
      </c>
      <c r="G56" s="9">
        <f si="1" t="shared"/>
        <v>2.5657253305509467E-5</v>
      </c>
    </row>
    <row r="57" spans="1:7" x14ac:dyDescent="0.25">
      <c r="A57">
        <v>46</v>
      </c>
      <c r="B57" s="6" t="n">
        <v>0.0</v>
      </c>
      <c r="C57" s="9">
        <f si="0" t="shared"/>
        <v>0</v>
      </c>
      <c r="E57" s="371">
        <v>46</v>
      </c>
      <c r="F57" s="371" t="n">
        <v>5.0</v>
      </c>
      <c r="G57" s="9">
        <f si="1" t="shared"/>
        <v>8.5524177685031554E-5</v>
      </c>
    </row>
    <row r="58" spans="1:7" x14ac:dyDescent="0.25">
      <c r="A58">
        <v>47</v>
      </c>
      <c r="B58" s="6" t="n">
        <v>0.0</v>
      </c>
      <c r="C58" s="9">
        <f si="0" t="shared"/>
        <v>0</v>
      </c>
      <c r="E58" s="371">
        <v>47</v>
      </c>
      <c r="F58" s="371" t="n">
        <v>1.0</v>
      </c>
      <c r="G58" s="9">
        <f si="1" t="shared"/>
        <v>8.5524177685031551E-6</v>
      </c>
    </row>
    <row r="59" spans="1:7" x14ac:dyDescent="0.25">
      <c r="A59">
        <v>48</v>
      </c>
      <c r="B59" s="6" t="n">
        <v>0.0</v>
      </c>
      <c r="C59" s="9">
        <f si="0" t="shared"/>
        <v>0</v>
      </c>
      <c r="E59" s="371">
        <v>48</v>
      </c>
      <c r="F59" s="371" t="n">
        <v>4.0</v>
      </c>
      <c r="G59" s="9">
        <f si="1" t="shared"/>
        <v>1.710483553700631E-5</v>
      </c>
    </row>
    <row r="60" spans="1:7" x14ac:dyDescent="0.25">
      <c r="A60">
        <v>49</v>
      </c>
      <c r="B60" s="6" t="n">
        <v>0.0</v>
      </c>
      <c r="C60" s="9">
        <f si="0" t="shared"/>
        <v>0</v>
      </c>
      <c r="E60" s="371">
        <v>49</v>
      </c>
      <c r="F60" s="371" t="n">
        <v>5.0</v>
      </c>
      <c r="G60" s="9">
        <f si="1" t="shared"/>
        <v>7.6971759916528404E-5</v>
      </c>
    </row>
    <row r="61" spans="1:7" x14ac:dyDescent="0.25">
      <c r="A61">
        <v>50</v>
      </c>
      <c r="B61" s="6" t="n">
        <v>0.0</v>
      </c>
      <c r="C61" s="9">
        <f si="0" t="shared"/>
        <v>0</v>
      </c>
      <c r="E61" s="371">
        <v>50</v>
      </c>
      <c r="F61" s="371" t="n">
        <v>4.0</v>
      </c>
      <c r="G61" s="9">
        <f si="1" t="shared"/>
        <v>8.5524177685031551E-6</v>
      </c>
    </row>
    <row r="62" spans="1:7" x14ac:dyDescent="0.25">
      <c r="A62">
        <v>51</v>
      </c>
      <c r="B62" s="6" t="n">
        <v>0.0</v>
      </c>
      <c r="C62" s="9">
        <f si="0" t="shared"/>
        <v>0</v>
      </c>
      <c r="E62" s="371">
        <v>51</v>
      </c>
      <c r="F62" s="371" t="n">
        <v>1.0</v>
      </c>
      <c r="G62" s="9">
        <f si="1" t="shared"/>
        <v>5.1314506611018934E-5</v>
      </c>
    </row>
    <row r="63" spans="1:7" x14ac:dyDescent="0.25">
      <c r="A63">
        <v>52</v>
      </c>
      <c r="B63" s="6" t="n">
        <v>0.0</v>
      </c>
      <c r="C63" s="9">
        <f si="0" t="shared"/>
        <v>0</v>
      </c>
      <c r="E63" s="371">
        <v>52</v>
      </c>
      <c r="F63" s="371" t="n">
        <v>1.0</v>
      </c>
      <c r="G63" s="9">
        <f si="1" t="shared"/>
        <v>0</v>
      </c>
    </row>
    <row r="64" spans="1:7" x14ac:dyDescent="0.25">
      <c r="A64">
        <v>53</v>
      </c>
      <c r="B64" s="6" t="n">
        <v>0.0</v>
      </c>
      <c r="C64" s="9">
        <f si="0" t="shared"/>
        <v>0</v>
      </c>
      <c r="E64" s="371">
        <v>53</v>
      </c>
      <c r="F64" s="371" t="n">
        <v>2.0</v>
      </c>
      <c r="G64" s="9">
        <f si="1" t="shared"/>
        <v>0</v>
      </c>
    </row>
    <row r="65" spans="1:7" x14ac:dyDescent="0.25">
      <c r="A65">
        <v>54</v>
      </c>
      <c r="B65" s="6" t="n">
        <v>0.0</v>
      </c>
      <c r="C65" s="9">
        <f si="0" t="shared"/>
        <v>0</v>
      </c>
      <c r="E65" s="371">
        <v>54</v>
      </c>
      <c r="F65" s="371" t="n">
        <v>0.0</v>
      </c>
      <c r="G65" s="9">
        <f si="1" t="shared"/>
        <v>0</v>
      </c>
    </row>
    <row r="66" spans="1:7" x14ac:dyDescent="0.2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1.0</v>
      </c>
      <c r="G66" s="9">
        <f si="1" t="shared"/>
        <v>0</v>
      </c>
    </row>
    <row r="67" spans="1:7" x14ac:dyDescent="0.25">
      <c r="A67">
        <v>56</v>
      </c>
      <c r="B67" s="6" t="n">
        <v>0.0</v>
      </c>
      <c r="C67" s="9">
        <f si="0" t="shared"/>
        <v>0</v>
      </c>
      <c r="E67" s="371">
        <v>56</v>
      </c>
      <c r="F67" s="371" t="n">
        <v>4.0</v>
      </c>
      <c r="G67" s="9">
        <f si="1" t="shared"/>
        <v>1.1973384875904418E-4</v>
      </c>
    </row>
    <row r="68" spans="1:7" x14ac:dyDescent="0.2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0.0</v>
      </c>
      <c r="G68" s="9">
        <f si="1" t="shared"/>
        <v>0</v>
      </c>
    </row>
    <row r="69" spans="1:7" x14ac:dyDescent="0.2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0.0</v>
      </c>
      <c r="G69" s="9">
        <f si="1" t="shared"/>
        <v>8.5524177685031551E-6</v>
      </c>
    </row>
    <row r="70" spans="1:7" x14ac:dyDescent="0.25">
      <c r="A70">
        <v>59</v>
      </c>
      <c r="B70" s="6" t="n">
        <v>0.0</v>
      </c>
      <c r="C70" s="9">
        <f si="0" t="shared"/>
        <v>0</v>
      </c>
      <c r="E70" s="371">
        <v>59</v>
      </c>
      <c r="F70" s="371" t="n">
        <v>0.0</v>
      </c>
      <c r="G70" s="9">
        <f si="1" t="shared"/>
        <v>0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0.0</v>
      </c>
      <c r="G71" s="9">
        <f si="1" t="shared"/>
        <v>0</v>
      </c>
    </row>
    <row r="72" spans="1:7" x14ac:dyDescent="0.2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0.0</v>
      </c>
      <c r="G72" s="9">
        <f si="1" t="shared"/>
        <v>0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0.0</v>
      </c>
      <c r="G73" s="9">
        <f si="1" t="shared"/>
        <v>0</v>
      </c>
    </row>
    <row r="74" spans="1:7" x14ac:dyDescent="0.2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0.0</v>
      </c>
      <c r="G74" s="9">
        <f si="1" t="shared"/>
        <v>0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2.0</v>
      </c>
      <c r="G75" s="9">
        <f si="1" t="shared"/>
        <v>0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0.0</v>
      </c>
      <c r="G76" s="9">
        <f si="1" t="shared"/>
        <v>0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0.0</v>
      </c>
      <c r="G77" s="9">
        <f ref="G77:G102" si="3" t="shared">F77/F$102</f>
        <v>0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0.0</v>
      </c>
      <c r="G78" s="9">
        <f si="3" t="shared"/>
        <v>0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0.0</v>
      </c>
      <c r="G79" s="9">
        <f si="3" t="shared"/>
        <v>8.5524177685031551E-6</v>
      </c>
    </row>
    <row r="80" spans="1:7" x14ac:dyDescent="0.2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0.0</v>
      </c>
      <c r="G80" s="9">
        <f si="3" t="shared"/>
        <v>0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0.0</v>
      </c>
      <c r="G81" s="9">
        <f si="3" t="shared"/>
        <v>0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0.0</v>
      </c>
      <c r="G82" s="9">
        <f si="3" t="shared"/>
        <v>0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0.0</v>
      </c>
      <c r="G83" s="9">
        <f si="3" t="shared"/>
        <v>0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0.0</v>
      </c>
      <c r="G84" s="9">
        <f si="3" t="shared"/>
        <v>0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0.0</v>
      </c>
      <c r="G85" s="9">
        <f si="3" t="shared"/>
        <v>0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0.0</v>
      </c>
      <c r="G86" s="9">
        <f si="3" t="shared"/>
        <v>0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0.0</v>
      </c>
      <c r="G87" s="9">
        <f si="3" t="shared"/>
        <v>0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0.0</v>
      </c>
      <c r="G88" s="9">
        <f si="3" t="shared"/>
        <v>0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0.0</v>
      </c>
      <c r="G89" s="9">
        <f si="3" t="shared"/>
        <v>0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0.0</v>
      </c>
      <c r="G90" s="9">
        <f si="3" t="shared"/>
        <v>0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0.0</v>
      </c>
      <c r="G91" s="9">
        <f si="3" t="shared"/>
        <v>0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0.0</v>
      </c>
      <c r="G92" s="9">
        <f si="3" t="shared"/>
        <v>0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0.0</v>
      </c>
      <c r="G93" s="9">
        <f si="3" t="shared"/>
        <v>0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0.0</v>
      </c>
      <c r="G94" s="9">
        <f si="3" t="shared"/>
        <v>0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0.0</v>
      </c>
      <c r="G95" s="9">
        <f si="3" t="shared"/>
        <v>0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0.0</v>
      </c>
      <c r="G96" s="9">
        <f si="3" t="shared"/>
        <v>0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0.0</v>
      </c>
      <c r="G97" s="9">
        <f si="3" t="shared"/>
        <v>0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0.0</v>
      </c>
      <c r="G98" s="9">
        <f si="3" t="shared"/>
        <v>0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0.0</v>
      </c>
      <c r="G99" s="9">
        <f si="3" t="shared"/>
        <v>0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0.0</v>
      </c>
      <c r="G100" s="9">
        <f si="3" t="shared"/>
        <v>0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0.0</v>
      </c>
      <c r="G101" s="9">
        <f si="3" t="shared"/>
        <v>0</v>
      </c>
    </row>
    <row r="102" spans="1:7" x14ac:dyDescent="0.25">
      <c r="B102" s="6">
        <f>SUM(B11:B101)</f>
        <v>104446.25818218781</v>
      </c>
      <c r="C102" s="9">
        <f si="2" t="shared"/>
        <v>1</v>
      </c>
      <c r="F102" s="6">
        <f>SUM(F11:F101)</f>
        <v>116926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M102"/>
  <sheetViews>
    <sheetView workbookViewId="0">
      <selection activeCell="A6" sqref="A6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0.0</v>
      </c>
      <c r="C11" s="9">
        <f>B11/B$102</f>
        <v>0</v>
      </c>
      <c r="E11" s="371">
        <v>0</v>
      </c>
      <c r="F11" s="371" t="n">
        <v>100.0</v>
      </c>
      <c r="G11" s="9">
        <f>F11/F$102</f>
        <v>7.9537485247079345E-4</v>
      </c>
      <c r="K11" s="6" t="n">
        <v>11.110031611943503</v>
      </c>
      <c r="L11" s="6" t="n">
        <v>15.72257186118948</v>
      </c>
    </row>
    <row r="12" spans="1:12" x14ac:dyDescent="0.25">
      <c r="A12">
        <v>1</v>
      </c>
      <c r="B12" s="6" t="n">
        <v>6748.333125</v>
      </c>
      <c r="C12" s="9">
        <f>B12/B$102</f>
        <v>6.4610578133194027E-2</v>
      </c>
      <c r="E12" s="371">
        <v>1</v>
      </c>
      <c r="F12" s="371" t="n">
        <v>2729.0</v>
      </c>
      <c r="G12" s="9">
        <f>F12/F$102</f>
        <v>2.4648068008826095E-2</v>
      </c>
      <c r="K12" s="6"/>
      <c r="L12" s="371"/>
    </row>
    <row r="13" spans="1:12" x14ac:dyDescent="0.25">
      <c r="A13">
        <v>2</v>
      </c>
      <c r="B13" s="6" t="n">
        <v>5940.385875</v>
      </c>
      <c r="C13" s="9">
        <f ref="C13:C76" si="0" t="shared">B13/B$102</f>
        <v>5.6875047305553643E-2</v>
      </c>
      <c r="E13" s="371">
        <v>2</v>
      </c>
      <c r="F13" s="371" t="n">
        <v>4500.0</v>
      </c>
      <c r="G13" s="9">
        <f ref="G13:G76" si="1" t="shared">F13/F$102</f>
        <v>3.8357593691736656E-2</v>
      </c>
    </row>
    <row r="14" spans="1:12" x14ac:dyDescent="0.25">
      <c r="A14">
        <v>3</v>
      </c>
      <c r="B14" s="6" t="n">
        <v>12405.263875</v>
      </c>
      <c r="C14" s="9">
        <f si="0" t="shared"/>
        <v>0.1187717405190451</v>
      </c>
      <c r="E14" s="371">
        <v>3</v>
      </c>
      <c r="F14" s="371" t="n">
        <v>6210.0</v>
      </c>
      <c r="G14" s="9">
        <f si="1" t="shared"/>
        <v>5.2109881463489729E-2</v>
      </c>
    </row>
    <row r="15" spans="1:12" x14ac:dyDescent="0.25">
      <c r="A15">
        <v>4</v>
      </c>
      <c r="B15" s="6" t="n">
        <v>6999.085625</v>
      </c>
      <c r="C15" s="9">
        <f si="0" t="shared"/>
        <v>6.7011358250779529E-2</v>
      </c>
      <c r="E15" s="371">
        <v>4</v>
      </c>
      <c r="F15" s="371" t="n">
        <v>6907.0</v>
      </c>
      <c r="G15" s="9">
        <f si="1" t="shared"/>
        <v>5.9815609872911069E-2</v>
      </c>
    </row>
    <row r="16" spans="1:12" x14ac:dyDescent="0.25">
      <c r="A16">
        <v>5</v>
      </c>
      <c r="B16" s="6" t="n">
        <v>3888.8675</v>
      </c>
      <c r="C16" s="9">
        <f si="0" t="shared"/>
        <v>3.7233191190215419E-2</v>
      </c>
      <c r="E16" s="371">
        <v>5</v>
      </c>
      <c r="F16" s="371" t="n">
        <v>6758.0</v>
      </c>
      <c r="G16" s="9">
        <f si="1" t="shared"/>
        <v>5.6719634640712932E-2</v>
      </c>
    </row>
    <row r="17" spans="1:7" x14ac:dyDescent="0.25">
      <c r="A17">
        <v>6</v>
      </c>
      <c r="B17" s="6" t="n">
        <v>5063.864211842</v>
      </c>
      <c r="C17" s="9">
        <f si="0" t="shared"/>
        <v>4.848296434908176E-2</v>
      </c>
      <c r="E17" s="371">
        <v>6</v>
      </c>
      <c r="F17" s="371" t="n">
        <v>6819.0</v>
      </c>
      <c r="G17" s="9">
        <f si="1" t="shared"/>
        <v>5.9789952619605562E-2</v>
      </c>
    </row>
    <row r="18" spans="1:7" x14ac:dyDescent="0.25">
      <c r="A18">
        <v>7</v>
      </c>
      <c r="B18" s="6" t="n">
        <v>9752.628732378</v>
      </c>
      <c r="C18" s="9">
        <f si="0" t="shared"/>
        <v>9.3374611040314012E-2</v>
      </c>
      <c r="E18" s="371">
        <v>7</v>
      </c>
      <c r="F18" s="371" t="n">
        <v>6764.0</v>
      </c>
      <c r="G18" s="9">
        <f si="1" t="shared"/>
        <v>5.8566956878709608E-2</v>
      </c>
    </row>
    <row r="19" spans="1:7" x14ac:dyDescent="0.25">
      <c r="A19">
        <v>8</v>
      </c>
      <c r="B19" s="6" t="n">
        <v>1764.620653002</v>
      </c>
      <c r="C19" s="9">
        <f si="0" t="shared"/>
        <v>1.6895010732925781E-2</v>
      </c>
      <c r="E19" s="371">
        <v>8</v>
      </c>
      <c r="F19" s="371" t="n">
        <v>6303.0</v>
      </c>
      <c r="G19" s="9">
        <f si="1" t="shared"/>
        <v>5.3786155346116346E-2</v>
      </c>
    </row>
    <row r="20" spans="1:7" x14ac:dyDescent="0.25">
      <c r="A20">
        <v>9</v>
      </c>
      <c r="B20" s="6" t="n">
        <v>6252.187317224</v>
      </c>
      <c r="C20" s="9">
        <f si="0" t="shared"/>
        <v>5.9860328421896924E-2</v>
      </c>
      <c r="E20" s="371">
        <v>9</v>
      </c>
      <c r="F20" s="371" t="n">
        <v>5812.0</v>
      </c>
      <c r="G20" s="9">
        <f si="1" t="shared"/>
        <v>4.6054769683389493E-2</v>
      </c>
    </row>
    <row r="21" spans="1:7" x14ac:dyDescent="0.25">
      <c r="A21">
        <v>10</v>
      </c>
      <c r="B21" s="6" t="n">
        <v>4545.1748721597</v>
      </c>
      <c r="C21" s="9">
        <f si="0" t="shared"/>
        <v>4.351687605918305E-2</v>
      </c>
      <c r="E21" s="371">
        <v>10</v>
      </c>
      <c r="F21" s="371" t="n">
        <v>5150.0</v>
      </c>
      <c r="G21" s="9">
        <f si="1" t="shared"/>
        <v>4.420744744539281E-2</v>
      </c>
    </row>
    <row r="22" spans="1:7" x14ac:dyDescent="0.25">
      <c r="A22">
        <v>11</v>
      </c>
      <c r="B22" s="6" t="n">
        <v>5995.318267908</v>
      </c>
      <c r="C22" s="9">
        <f si="0" t="shared"/>
        <v>5.740098661505174E-2</v>
      </c>
      <c r="E22" s="371">
        <v>11</v>
      </c>
      <c r="F22" s="371" t="n">
        <v>3827.0</v>
      </c>
      <c r="G22" s="9">
        <f si="1" t="shared"/>
        <v>3.1310401450490057E-2</v>
      </c>
    </row>
    <row r="23" spans="1:7" x14ac:dyDescent="0.25">
      <c r="A23">
        <v>12</v>
      </c>
      <c r="B23" s="6" t="n">
        <v>8014.7099519991</v>
      </c>
      <c r="C23" s="9">
        <f si="0" t="shared"/>
        <v>7.6735252095090592E-2</v>
      </c>
      <c r="E23" s="371">
        <v>12</v>
      </c>
      <c r="F23" s="371" t="n">
        <v>3828.0</v>
      </c>
      <c r="G23" s="9">
        <f si="1" t="shared"/>
        <v>3.4072832389716576E-2</v>
      </c>
    </row>
    <row r="24" spans="1:7" x14ac:dyDescent="0.25">
      <c r="A24">
        <v>13</v>
      </c>
      <c r="B24" s="6" t="n">
        <v>1481.498592661</v>
      </c>
      <c r="C24" s="9">
        <f si="0" t="shared"/>
        <v>1.4184314674794677E-2</v>
      </c>
      <c r="E24" s="371">
        <v>13</v>
      </c>
      <c r="F24" s="371" t="n">
        <v>2741.0</v>
      </c>
      <c r="G24" s="9">
        <f si="1" t="shared"/>
        <v>2.298034654396798E-2</v>
      </c>
    </row>
    <row r="25" spans="1:7" x14ac:dyDescent="0.25">
      <c r="A25">
        <v>14</v>
      </c>
      <c r="B25" s="6" t="n">
        <v>3414.599957466</v>
      </c>
      <c r="C25" s="9">
        <f si="0" t="shared"/>
        <v>3.2692410593683899E-2</v>
      </c>
      <c r="E25" s="371">
        <v>14</v>
      </c>
      <c r="F25" s="371" t="n">
        <v>2336.0</v>
      </c>
      <c r="G25" s="9">
        <f si="1" t="shared"/>
        <v>2.0867899355147702E-2</v>
      </c>
    </row>
    <row r="26" spans="1:7" x14ac:dyDescent="0.25">
      <c r="A26">
        <v>15</v>
      </c>
      <c r="B26" s="6" t="n">
        <v>1366.916553396</v>
      </c>
      <c r="C26" s="9">
        <f si="0" t="shared"/>
        <v>1.308727164750755E-2</v>
      </c>
      <c r="E26" s="371">
        <v>15</v>
      </c>
      <c r="F26" s="371" t="n">
        <v>2856.0</v>
      </c>
      <c r="G26" s="9">
        <f si="1" t="shared"/>
        <v>2.3570463369994698E-2</v>
      </c>
    </row>
    <row r="27" spans="1:7" x14ac:dyDescent="0.25">
      <c r="A27">
        <v>16</v>
      </c>
      <c r="B27" s="6" t="n">
        <v>1032.539628356</v>
      </c>
      <c r="C27" s="9">
        <f si="0" t="shared"/>
        <v>9.8858460449097133E-3</v>
      </c>
      <c r="E27" s="371">
        <v>16</v>
      </c>
      <c r="F27" s="371" t="n">
        <v>2887.0</v>
      </c>
      <c r="G27" s="9">
        <f si="1" t="shared"/>
        <v>2.295468929066247E-2</v>
      </c>
    </row>
    <row r="28" spans="1:7" x14ac:dyDescent="0.25">
      <c r="A28">
        <v>17</v>
      </c>
      <c r="B28" s="6" t="n">
        <v>2599.835835307</v>
      </c>
      <c r="C28" s="9">
        <f si="0" t="shared"/>
        <v>2.4891612974512228E-2</v>
      </c>
      <c r="E28" s="371">
        <v>17</v>
      </c>
      <c r="F28" s="371" t="n">
        <v>2730.0</v>
      </c>
      <c r="G28" s="9">
        <f si="1" t="shared"/>
        <v>2.5802644407574023E-2</v>
      </c>
    </row>
    <row r="29" spans="1:7" x14ac:dyDescent="0.25">
      <c r="A29">
        <v>18</v>
      </c>
      <c r="B29" s="6" t="n">
        <v>1881.5674999999999</v>
      </c>
      <c r="C29" s="9">
        <f si="0" t="shared"/>
        <v>1.8014695143199311E-2</v>
      </c>
      <c r="E29" s="371">
        <v>18</v>
      </c>
      <c r="F29" s="371" t="n">
        <v>2576.0</v>
      </c>
      <c r="G29" s="9">
        <f si="1" t="shared"/>
        <v>2.3955322169577339E-2</v>
      </c>
    </row>
    <row r="30" spans="1:7" x14ac:dyDescent="0.25">
      <c r="A30">
        <v>19</v>
      </c>
      <c r="B30" s="6" t="n">
        <v>1256.310546378</v>
      </c>
      <c r="C30" s="9">
        <f si="0" t="shared"/>
        <v>1.2028296353006646E-2</v>
      </c>
      <c r="E30" s="371">
        <v>19</v>
      </c>
      <c r="F30" s="371" t="n">
        <v>1936.0</v>
      </c>
      <c r="G30" s="9">
        <f si="1" t="shared"/>
        <v>1.639498486222055E-2</v>
      </c>
    </row>
    <row r="31" spans="1:7" x14ac:dyDescent="0.25">
      <c r="A31">
        <v>20</v>
      </c>
      <c r="B31" s="6" t="n">
        <v>0.0</v>
      </c>
      <c r="C31" s="9">
        <f si="0" t="shared"/>
        <v>0</v>
      </c>
      <c r="E31" s="371">
        <v>20</v>
      </c>
      <c r="F31" s="371" t="n">
        <v>2373.0</v>
      </c>
      <c r="G31" s="9">
        <f si="1" t="shared"/>
        <v>2.0662641328703626E-2</v>
      </c>
    </row>
    <row r="32" spans="1:7" x14ac:dyDescent="0.25">
      <c r="A32">
        <v>21</v>
      </c>
      <c r="B32" s="6" t="n">
        <v>694.93575</v>
      </c>
      <c r="C32" s="9">
        <f si="0" t="shared"/>
        <v>6.6535246172994443E-3</v>
      </c>
      <c r="E32" s="371">
        <v>21</v>
      </c>
      <c r="F32" s="371" t="n">
        <v>1969.0</v>
      </c>
      <c r="G32" s="9">
        <f si="1" t="shared"/>
        <v>1.650616629321109E-2</v>
      </c>
    </row>
    <row r="33" spans="1:7" x14ac:dyDescent="0.25">
      <c r="A33">
        <v>22</v>
      </c>
      <c r="B33" s="6" t="n">
        <v>683.0277500000001</v>
      </c>
      <c r="C33" s="9">
        <f si="0" t="shared"/>
        <v>6.5395138312047563E-3</v>
      </c>
      <c r="E33" s="371">
        <v>22</v>
      </c>
      <c r="F33" s="371" t="n">
        <v>2212.0</v>
      </c>
      <c r="G33" s="9">
        <f si="1" t="shared"/>
        <v>2.0885004190684706E-2</v>
      </c>
    </row>
    <row r="34" spans="1:7" x14ac:dyDescent="0.25">
      <c r="A34">
        <v>23</v>
      </c>
      <c r="B34" s="6" t="n">
        <v>235.944081161</v>
      </c>
      <c r="C34" s="9">
        <f si="0" t="shared"/>
        <v>2.2589998461164384E-3</v>
      </c>
      <c r="E34" s="371">
        <v>23</v>
      </c>
      <c r="F34" s="371" t="n">
        <v>2260.0</v>
      </c>
      <c r="G34" s="9">
        <f si="1" t="shared"/>
        <v>1.8644270735336879E-2</v>
      </c>
    </row>
    <row r="35" spans="1:7" x14ac:dyDescent="0.25">
      <c r="A35">
        <v>24</v>
      </c>
      <c r="B35" s="6" t="n">
        <v>0.0</v>
      </c>
      <c r="C35" s="9">
        <f si="0" t="shared"/>
        <v>0</v>
      </c>
      <c r="E35" s="371">
        <v>24</v>
      </c>
      <c r="F35" s="371" t="n">
        <v>1965.0</v>
      </c>
      <c r="G35" s="9">
        <f si="1" t="shared"/>
        <v>1.7113387954774816E-2</v>
      </c>
    </row>
    <row r="36" spans="1:7" x14ac:dyDescent="0.25">
      <c r="A36">
        <v>25</v>
      </c>
      <c r="B36" s="6" t="n">
        <v>1310.354424496</v>
      </c>
      <c r="C36" s="9">
        <f si="0" t="shared"/>
        <v>1.25457287537321E-2</v>
      </c>
      <c r="E36" s="371">
        <v>25</v>
      </c>
      <c r="F36" s="371" t="n">
        <v>1823.0</v>
      </c>
      <c r="G36" s="9">
        <f si="1" t="shared"/>
        <v>1.7635085438653508E-2</v>
      </c>
    </row>
    <row r="37" spans="1:7" x14ac:dyDescent="0.25">
      <c r="A37">
        <v>26</v>
      </c>
      <c r="B37" s="6" t="n">
        <v>1263.24976132</v>
      </c>
      <c r="C37" s="9">
        <f si="0" t="shared"/>
        <v>1.2094734491268104E-2</v>
      </c>
      <c r="E37" s="371">
        <v>26</v>
      </c>
      <c r="F37" s="371" t="n">
        <v>1717.0</v>
      </c>
      <c r="G37" s="9">
        <f si="1" t="shared"/>
        <v>1.4761473068436446E-2</v>
      </c>
    </row>
    <row r="38" spans="1:7" x14ac:dyDescent="0.25">
      <c r="A38">
        <v>27</v>
      </c>
      <c r="B38" s="6" t="n">
        <v>5.1375</v>
      </c>
      <c r="C38" s="9">
        <f si="0" t="shared"/>
        <v>4.918797560979687E-5</v>
      </c>
      <c r="E38" s="371">
        <v>27</v>
      </c>
      <c r="F38" s="371" t="n">
        <v>1465.0</v>
      </c>
      <c r="G38" s="9">
        <f si="1" t="shared"/>
        <v>1.4829892410584472E-2</v>
      </c>
    </row>
    <row r="39" spans="1:7" x14ac:dyDescent="0.25">
      <c r="A39">
        <v>28</v>
      </c>
      <c r="B39" s="6" t="n">
        <v>5.1375</v>
      </c>
      <c r="C39" s="9">
        <f si="0" t="shared"/>
        <v>4.918797560979687E-5</v>
      </c>
      <c r="E39" s="371">
        <v>28</v>
      </c>
      <c r="F39" s="371" t="n">
        <v>1438.0</v>
      </c>
      <c r="G39" s="9">
        <f si="1" t="shared"/>
        <v>1.3204933034568872E-2</v>
      </c>
    </row>
    <row r="40" spans="1:7" x14ac:dyDescent="0.25">
      <c r="A40">
        <v>29</v>
      </c>
      <c r="B40" s="6" t="n">
        <v>25.99125</v>
      </c>
      <c r="C40" s="9">
        <f si="0" t="shared"/>
        <v>2.4884807222737379E-4</v>
      </c>
      <c r="E40" s="371">
        <v>29</v>
      </c>
      <c r="F40" s="371" t="n">
        <v>1227.0</v>
      </c>
      <c r="G40" s="9">
        <f si="1" t="shared"/>
        <v>1.1682602671775311E-2</v>
      </c>
    </row>
    <row r="41" spans="1:7" x14ac:dyDescent="0.25">
      <c r="A41">
        <v>30</v>
      </c>
      <c r="B41" s="6" t="n">
        <v>10.69125</v>
      </c>
      <c r="C41" s="9">
        <f si="0" t="shared"/>
        <v>1.0236125435294225E-4</v>
      </c>
      <c r="E41" s="371">
        <v>30</v>
      </c>
      <c r="F41" s="371" t="n">
        <v>1003.0</v>
      </c>
      <c r="G41" s="9">
        <f si="1" t="shared"/>
        <v>1.0040538460222705E-2</v>
      </c>
    </row>
    <row r="42" spans="1:7" x14ac:dyDescent="0.25">
      <c r="A42">
        <v>31</v>
      </c>
      <c r="B42" s="6" t="n">
        <v>2944.7940934860003</v>
      </c>
      <c r="C42" s="9">
        <f si="0" t="shared"/>
        <v>2.8194347454260488E-2</v>
      </c>
      <c r="E42" s="371">
        <v>31</v>
      </c>
      <c r="F42" s="371" t="n">
        <v>1103.0</v>
      </c>
      <c r="G42" s="9">
        <f si="1" t="shared"/>
        <v>1.0066195713528214E-2</v>
      </c>
    </row>
    <row r="43" spans="1:7" x14ac:dyDescent="0.25">
      <c r="A43">
        <v>32</v>
      </c>
      <c r="B43" s="6" t="n">
        <v>533.2449748060001</v>
      </c>
      <c r="C43" s="9">
        <f si="0" t="shared"/>
        <v>5.1054483337818549E-3</v>
      </c>
      <c r="E43" s="371">
        <v>32</v>
      </c>
      <c r="F43" s="371" t="n">
        <v>925.0</v>
      </c>
      <c r="G43" s="9">
        <f si="1" t="shared"/>
        <v>8.9201717325487918E-3</v>
      </c>
    </row>
    <row r="44" spans="1:7" x14ac:dyDescent="0.25">
      <c r="A44">
        <v>33</v>
      </c>
      <c r="B44" s="6" t="n">
        <v>1469.02375</v>
      </c>
      <c r="C44" s="9">
        <f si="0" t="shared"/>
        <v>1.406487676597807E-2</v>
      </c>
      <c r="E44" s="371">
        <v>33</v>
      </c>
      <c r="F44" s="371" t="n">
        <v>710.0</v>
      </c>
      <c r="G44" s="9">
        <f si="1" t="shared"/>
        <v>5.6788053982860954E-3</v>
      </c>
    </row>
    <row r="45" spans="1:7" x14ac:dyDescent="0.25">
      <c r="A45">
        <v>34</v>
      </c>
      <c r="B45" s="6" t="n">
        <v>865.888189721</v>
      </c>
      <c r="C45" s="9">
        <f si="0" t="shared"/>
        <v>8.2902748723713299E-3</v>
      </c>
      <c r="E45" s="371">
        <v>34</v>
      </c>
      <c r="F45" s="371" t="n">
        <v>635.0</v>
      </c>
      <c r="G45" s="9">
        <f si="1" t="shared"/>
        <v>6.9445632280245627E-3</v>
      </c>
    </row>
    <row r="46" spans="1:7" x14ac:dyDescent="0.25">
      <c r="A46">
        <v>35</v>
      </c>
      <c r="B46" s="6" t="n">
        <v>0.0</v>
      </c>
      <c r="C46" s="9">
        <f si="0" t="shared"/>
        <v>0</v>
      </c>
      <c r="E46" s="371">
        <v>35</v>
      </c>
      <c r="F46" s="371" t="n">
        <v>611.0</v>
      </c>
      <c r="G46" s="9">
        <f si="1" t="shared"/>
        <v>5.5932812206010638E-3</v>
      </c>
    </row>
    <row r="47" spans="1:7" x14ac:dyDescent="0.25">
      <c r="A47">
        <v>36</v>
      </c>
      <c r="B47" s="6" t="n">
        <v>0.0</v>
      </c>
      <c r="C47" s="9">
        <f si="0" t="shared"/>
        <v>0</v>
      </c>
      <c r="E47" s="371">
        <v>36</v>
      </c>
      <c r="F47" s="371" t="n">
        <v>649.0</v>
      </c>
      <c r="G47" s="9">
        <f si="1" t="shared"/>
        <v>6.5254947573679077E-3</v>
      </c>
    </row>
    <row r="48" spans="1:7" x14ac:dyDescent="0.25">
      <c r="A48">
        <v>37</v>
      </c>
      <c r="B48" s="6" t="n">
        <v>5.55375</v>
      </c>
      <c r="C48" s="9">
        <f si="0" t="shared"/>
        <v>5.3173278743145374E-5</v>
      </c>
      <c r="E48" s="371">
        <v>37</v>
      </c>
      <c r="F48" s="371" t="n">
        <v>504.0</v>
      </c>
      <c r="G48" s="9">
        <f si="1" t="shared"/>
        <v>4.0966081111130119E-3</v>
      </c>
    </row>
    <row r="49" spans="1:7" x14ac:dyDescent="0.25">
      <c r="A49">
        <v>38</v>
      </c>
      <c r="B49" s="6" t="n">
        <v>15.09625</v>
      </c>
      <c r="C49" s="9">
        <f si="0" t="shared"/>
        <v>1.4453605387822793E-4</v>
      </c>
      <c r="E49" s="371">
        <v>38</v>
      </c>
      <c r="F49" s="371" t="n">
        <v>436.0</v>
      </c>
      <c r="G49" s="9">
        <f si="1" t="shared"/>
        <v>4.1308177821870245E-3</v>
      </c>
    </row>
    <row r="50" spans="1:7" x14ac:dyDescent="0.25">
      <c r="A50">
        <v>39</v>
      </c>
      <c r="B50" s="6" t="n">
        <v>765.156650593</v>
      </c>
      <c r="C50" s="9">
        <f si="0" t="shared"/>
        <v>7.3258407137795321E-3</v>
      </c>
      <c r="E50" s="371">
        <v>39</v>
      </c>
      <c r="F50" s="371" t="n">
        <v>422.0</v>
      </c>
      <c r="G50" s="9">
        <f si="1" t="shared"/>
        <v>3.4722816140122814E-3</v>
      </c>
    </row>
    <row r="51" spans="1:7" x14ac:dyDescent="0.25">
      <c r="A51">
        <v>40</v>
      </c>
      <c r="B51" s="6" t="n">
        <v>5.1375</v>
      </c>
      <c r="C51" s="9">
        <f si="0" t="shared"/>
        <v>4.918797560979687E-5</v>
      </c>
      <c r="E51" s="371">
        <v>40</v>
      </c>
      <c r="F51" s="371" t="n">
        <v>362.0</v>
      </c>
      <c r="G51" s="9">
        <f si="1" t="shared"/>
        <v>3.6518823871508474E-3</v>
      </c>
    </row>
    <row r="52" spans="1:7" x14ac:dyDescent="0.25">
      <c r="A52">
        <v>41</v>
      </c>
      <c r="B52" s="6" t="n">
        <v>0.0</v>
      </c>
      <c r="C52" s="9">
        <f si="0" t="shared"/>
        <v>0</v>
      </c>
      <c r="E52" s="371">
        <v>41</v>
      </c>
      <c r="F52" s="371" t="n">
        <v>339.0</v>
      </c>
      <c r="G52" s="9">
        <f si="1" t="shared"/>
        <v>3.8999025024374391E-3</v>
      </c>
    </row>
    <row r="53" spans="1:7" x14ac:dyDescent="0.25">
      <c r="A53">
        <v>42</v>
      </c>
      <c r="B53" s="6" t="n">
        <v>282.532995981</v>
      </c>
      <c r="C53" s="9">
        <f si="0" t="shared"/>
        <v>2.7050561781559639E-3</v>
      </c>
      <c r="E53" s="371">
        <v>42</v>
      </c>
      <c r="F53" s="371" t="n">
        <v>320.0</v>
      </c>
      <c r="G53" s="9">
        <f si="1" t="shared"/>
        <v>3.0959752321981426E-3</v>
      </c>
    </row>
    <row r="54" spans="1:7" x14ac:dyDescent="0.25">
      <c r="A54">
        <v>43</v>
      </c>
      <c r="B54" s="6" t="n">
        <v>0.0</v>
      </c>
      <c r="C54" s="9">
        <f si="0" t="shared"/>
        <v>0</v>
      </c>
      <c r="E54" s="371">
        <v>43</v>
      </c>
      <c r="F54" s="371" t="n">
        <v>264.0</v>
      </c>
      <c r="G54" s="9">
        <f si="1" t="shared"/>
        <v>2.7538785214580161E-3</v>
      </c>
    </row>
    <row r="55" spans="1:7" x14ac:dyDescent="0.25">
      <c r="A55">
        <v>44</v>
      </c>
      <c r="B55" s="6" t="n">
        <v>212.3475</v>
      </c>
      <c r="C55" s="9">
        <f si="0" t="shared"/>
        <v>2.0330790561170491E-3</v>
      </c>
      <c r="E55" s="371">
        <v>44</v>
      </c>
      <c r="F55" s="371" t="n">
        <v>217.0</v>
      </c>
      <c r="G55" s="9">
        <f si="1" t="shared"/>
        <v>2.3433624685698646E-3</v>
      </c>
    </row>
    <row r="56" spans="1:7" x14ac:dyDescent="0.25">
      <c r="A56">
        <v>45</v>
      </c>
      <c r="B56" s="6" t="n">
        <v>0.0</v>
      </c>
      <c r="C56" s="9">
        <f si="0" t="shared"/>
        <v>0</v>
      </c>
      <c r="E56" s="371">
        <v>45</v>
      </c>
      <c r="F56" s="371" t="n">
        <v>204.0</v>
      </c>
      <c r="G56" s="9">
        <f si="1" t="shared"/>
        <v>2.026923011135248E-3</v>
      </c>
    </row>
    <row r="57" spans="1:7" x14ac:dyDescent="0.25">
      <c r="A57">
        <v>46</v>
      </c>
      <c r="B57" s="6" t="n">
        <v>1823.790175888</v>
      </c>
      <c r="C57" s="9">
        <f si="0" t="shared"/>
        <v>1.7461517603691697E-2</v>
      </c>
      <c r="E57" s="371">
        <v>46</v>
      </c>
      <c r="F57" s="371" t="n">
        <v>192.0</v>
      </c>
      <c r="G57" s="9">
        <f si="1" t="shared"/>
        <v>1.6933787181636249E-3</v>
      </c>
    </row>
    <row r="58" spans="1:7" x14ac:dyDescent="0.25">
      <c r="A58">
        <v>47</v>
      </c>
      <c r="B58" s="6" t="n">
        <v>0.0</v>
      </c>
      <c r="C58" s="9">
        <f si="0" t="shared"/>
        <v>0</v>
      </c>
      <c r="E58" s="371">
        <v>47</v>
      </c>
      <c r="F58" s="371" t="n">
        <v>190.0</v>
      </c>
      <c r="G58" s="9">
        <f si="1" t="shared"/>
        <v>1.6933787181636249E-3</v>
      </c>
    </row>
    <row r="59" spans="1:7" x14ac:dyDescent="0.25">
      <c r="A59">
        <v>48</v>
      </c>
      <c r="B59" s="6" t="n">
        <v>0.0</v>
      </c>
      <c r="C59" s="9">
        <f si="0" t="shared"/>
        <v>0</v>
      </c>
      <c r="E59" s="371">
        <v>48</v>
      </c>
      <c r="F59" s="371" t="n">
        <v>168.0</v>
      </c>
      <c r="G59" s="9">
        <f si="1" t="shared"/>
        <v>1.9157415801447069E-3</v>
      </c>
    </row>
    <row r="60" spans="1:7" x14ac:dyDescent="0.25">
      <c r="A60">
        <v>49</v>
      </c>
      <c r="B60" s="6" t="n">
        <v>195.638385269</v>
      </c>
      <c r="C60" s="9">
        <f si="0" t="shared"/>
        <v>1.8731009485063971E-3</v>
      </c>
      <c r="E60" s="371">
        <v>49</v>
      </c>
      <c r="F60" s="371" t="n">
        <v>170.0</v>
      </c>
      <c r="G60" s="9">
        <f si="1" t="shared"/>
        <v>1.4197013495715238E-3</v>
      </c>
    </row>
    <row r="61" spans="1:7" x14ac:dyDescent="0.25">
      <c r="A61">
        <v>50</v>
      </c>
      <c r="B61" s="6" t="n">
        <v>0.0</v>
      </c>
      <c r="C61" s="9">
        <f si="0" t="shared"/>
        <v>0</v>
      </c>
      <c r="E61" s="371">
        <v>50</v>
      </c>
      <c r="F61" s="371" t="n">
        <v>135.0</v>
      </c>
      <c r="G61" s="9">
        <f si="1" t="shared"/>
        <v>1.3341771718864922E-3</v>
      </c>
    </row>
    <row r="62" spans="1:7" x14ac:dyDescent="0.25">
      <c r="A62">
        <v>51</v>
      </c>
      <c r="B62" s="6" t="n">
        <v>0.0</v>
      </c>
      <c r="C62" s="9">
        <f si="0" t="shared"/>
        <v>0</v>
      </c>
      <c r="E62" s="371">
        <v>51</v>
      </c>
      <c r="F62" s="371" t="n">
        <v>102.0</v>
      </c>
      <c r="G62" s="9">
        <f si="1" t="shared"/>
        <v>8.3813694131330927E-4</v>
      </c>
    </row>
    <row r="63" spans="1:7" x14ac:dyDescent="0.25">
      <c r="A63">
        <v>52</v>
      </c>
      <c r="B63" s="6" t="n">
        <v>0.0</v>
      </c>
      <c r="C63" s="9">
        <f si="0" t="shared"/>
        <v>0</v>
      </c>
      <c r="E63" s="371">
        <v>52</v>
      </c>
      <c r="F63" s="371" t="n">
        <v>104.0</v>
      </c>
      <c r="G63" s="9">
        <f si="1" t="shared"/>
        <v>1.1887860698219386E-3</v>
      </c>
    </row>
    <row r="64" spans="1:7" x14ac:dyDescent="0.25">
      <c r="A64">
        <v>53</v>
      </c>
      <c r="B64" s="6" t="n">
        <v>0.0</v>
      </c>
      <c r="C64" s="9">
        <f si="0" t="shared"/>
        <v>0</v>
      </c>
      <c r="E64" s="371">
        <v>53</v>
      </c>
      <c r="F64" s="371" t="n">
        <v>102.0</v>
      </c>
      <c r="G64" s="9">
        <f si="1" t="shared"/>
        <v>8.8089903015582509E-4</v>
      </c>
    </row>
    <row r="65" spans="1:7" x14ac:dyDescent="0.25">
      <c r="A65">
        <v>54</v>
      </c>
      <c r="B65" s="6" t="n">
        <v>533.972612906</v>
      </c>
      <c r="C65" s="9">
        <f si="0" t="shared"/>
        <v>5.1124149605683376E-3</v>
      </c>
      <c r="E65" s="371">
        <v>54</v>
      </c>
      <c r="F65" s="371" t="n">
        <v>99.0</v>
      </c>
      <c r="G65" s="9">
        <f si="1" t="shared"/>
        <v>7.7827001693378723E-4</v>
      </c>
    </row>
    <row r="66" spans="1:7" x14ac:dyDescent="0.2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110.0</v>
      </c>
      <c r="G66" s="9">
        <f si="1" t="shared"/>
        <v>1.3683868429605049E-3</v>
      </c>
    </row>
    <row r="67" spans="1:7" x14ac:dyDescent="0.25">
      <c r="A67">
        <v>56</v>
      </c>
      <c r="B67" s="6" t="n">
        <v>0.0</v>
      </c>
      <c r="C67" s="9">
        <f si="0" t="shared"/>
        <v>0</v>
      </c>
      <c r="E67" s="371">
        <v>56</v>
      </c>
      <c r="F67" s="371" t="n">
        <v>95.0</v>
      </c>
      <c r="G67" s="9">
        <f si="1" t="shared"/>
        <v>6.6708858594324611E-4</v>
      </c>
    </row>
    <row r="68" spans="1:7" x14ac:dyDescent="0.2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67.0</v>
      </c>
      <c r="G68" s="9">
        <f si="1" t="shared"/>
        <v>7.6971759916528407E-4</v>
      </c>
    </row>
    <row r="69" spans="1:7" x14ac:dyDescent="0.2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100.0</v>
      </c>
      <c r="G69" s="9">
        <f si="1" t="shared"/>
        <v>7.2695551032276825E-4</v>
      </c>
    </row>
    <row r="70" spans="1:7" x14ac:dyDescent="0.25">
      <c r="A70">
        <v>59</v>
      </c>
      <c r="B70" s="6" t="n">
        <v>0.0</v>
      </c>
      <c r="C70" s="9">
        <f si="0" t="shared"/>
        <v>0</v>
      </c>
      <c r="E70" s="371">
        <v>59</v>
      </c>
      <c r="F70" s="371" t="n">
        <v>78.0</v>
      </c>
      <c r="G70" s="9">
        <f si="1" t="shared"/>
        <v>6.927458392487556E-4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88.0</v>
      </c>
      <c r="G71" s="9">
        <f si="1" t="shared"/>
        <v>7.6971759916528407E-4</v>
      </c>
    </row>
    <row r="72" spans="1:7" x14ac:dyDescent="0.2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74.0</v>
      </c>
      <c r="G72" s="9">
        <f si="1" t="shared"/>
        <v>5.7301199048971142E-4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67.0</v>
      </c>
      <c r="G73" s="9">
        <f si="1" t="shared"/>
        <v>5.4735473718420192E-4</v>
      </c>
    </row>
    <row r="74" spans="1:7" x14ac:dyDescent="0.2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94.0</v>
      </c>
      <c r="G74" s="9">
        <f si="1" t="shared"/>
        <v>5.9011682602671774E-4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68.0</v>
      </c>
      <c r="G75" s="9">
        <f si="1" t="shared"/>
        <v>5.4735473718420192E-4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66.0</v>
      </c>
      <c r="G76" s="9">
        <f si="1" t="shared"/>
        <v>5.0459264834168622E-4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72.0</v>
      </c>
      <c r="G77" s="9">
        <f ref="G77:G102" si="3" t="shared">F77/F$102</f>
        <v>3.6775396404563571E-4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80.0</v>
      </c>
      <c r="G78" s="9">
        <f si="3" t="shared"/>
        <v>6.5853616817474305E-4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60.0</v>
      </c>
      <c r="G79" s="9">
        <f si="3" t="shared"/>
        <v>4.1906847065665463E-4</v>
      </c>
    </row>
    <row r="80" spans="1:7" x14ac:dyDescent="0.2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61.0</v>
      </c>
      <c r="G80" s="9">
        <f si="3" t="shared"/>
        <v>4.3617330619366096E-4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104.0</v>
      </c>
      <c r="G81" s="9">
        <f si="3" t="shared"/>
        <v>7.0129825701725876E-4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43.0</v>
      </c>
      <c r="G82" s="9">
        <f si="3" t="shared"/>
        <v>4.0196363511964831E-4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43.0</v>
      </c>
      <c r="G83" s="9">
        <f si="3" t="shared"/>
        <v>3.3354429297162305E-4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42.0</v>
      </c>
      <c r="G84" s="9">
        <f si="3" t="shared"/>
        <v>4.3617330619366096E-4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44.0</v>
      </c>
      <c r="G85" s="9">
        <f si="3" t="shared"/>
        <v>3.2499187520311994E-4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37.0</v>
      </c>
      <c r="G86" s="9">
        <f si="3" t="shared"/>
        <v>3.1643945743461678E-4</v>
      </c>
    </row>
    <row r="87" spans="1:7" x14ac:dyDescent="0.25">
      <c r="A87">
        <v>76</v>
      </c>
      <c r="B87" s="6" t="n">
        <v>155.903466484</v>
      </c>
      <c r="C87" s="9">
        <f si="2" t="shared"/>
        <v>1.4926668431917813E-3</v>
      </c>
      <c r="E87" s="371">
        <v>76</v>
      </c>
      <c r="F87" s="371" t="n">
        <v>34.0</v>
      </c>
      <c r="G87" s="9">
        <f si="3" t="shared"/>
        <v>2.7367736859210096E-4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32.0</v>
      </c>
      <c r="G88" s="9">
        <f si="3" t="shared"/>
        <v>3.5920154627713254E-4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37.0</v>
      </c>
      <c r="G89" s="9">
        <f si="3" t="shared"/>
        <v>2.5657253305509469E-4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25.0</v>
      </c>
      <c r="G90" s="9">
        <f si="3" t="shared"/>
        <v>2.138104442125789E-4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29.0</v>
      </c>
      <c r="G91" s="9">
        <f si="3" t="shared"/>
        <v>1.7960077313856627E-4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30.0</v>
      </c>
      <c r="G92" s="9">
        <f si="3" t="shared"/>
        <v>2.7367736859210096E-4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27.0</v>
      </c>
      <c r="G93" s="9">
        <f si="3" t="shared"/>
        <v>2.9078220412910729E-4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23.0</v>
      </c>
      <c r="G94" s="9">
        <f si="3" t="shared"/>
        <v>2.0525802644407574E-4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55.0</v>
      </c>
      <c r="G95" s="9">
        <f si="3" t="shared"/>
        <v>3.9341121735114514E-4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25.0</v>
      </c>
      <c r="G96" s="9">
        <f si="3" t="shared"/>
        <v>2.309152797495852E-4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25.0</v>
      </c>
      <c r="G97" s="9">
        <f si="3" t="shared"/>
        <v>2.3946769751808836E-4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18.0</v>
      </c>
      <c r="G98" s="9">
        <f si="3" t="shared"/>
        <v>1.3683868429605048E-4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18.0</v>
      </c>
      <c r="G99" s="9">
        <f si="3" t="shared"/>
        <v>1.5394351983305681E-4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20.0</v>
      </c>
      <c r="G100" s="9">
        <f si="3" t="shared"/>
        <v>9.4076595453534718E-5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821.0</v>
      </c>
      <c r="G101" s="9">
        <f si="3" t="shared"/>
        <v>6.8761438858765374E-3</v>
      </c>
    </row>
    <row r="102" spans="1:7" x14ac:dyDescent="0.25">
      <c r="B102" s="6">
        <f>SUM(B11:B101)</f>
        <v>104446.2581821878</v>
      </c>
      <c r="C102" s="9">
        <f si="2" t="shared"/>
        <v>1</v>
      </c>
      <c r="F102" s="6">
        <f>SUM(F11:F101)</f>
        <v>116926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M102"/>
  <sheetViews>
    <sheetView workbookViewId="0">
      <selection activeCell="K11" sqref="K11:L11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20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30570.0032181094</v>
      </c>
      <c r="C11" s="9">
        <f>B11/B$102</f>
        <v>0.16475622835150841</v>
      </c>
      <c r="E11" s="371">
        <v>0</v>
      </c>
      <c r="F11" s="371" t="n">
        <v>21616.0</v>
      </c>
      <c r="G11" s="9">
        <f>F11/F$102</f>
        <v>9.8656794080131879E-2</v>
      </c>
      <c r="K11" s="6" t="n">
        <v>5.257551060764157</v>
      </c>
      <c r="L11" s="6" t="n">
        <v>6.8764950184948574</v>
      </c>
    </row>
    <row r="12" spans="1:12" x14ac:dyDescent="0.25">
      <c r="A12">
        <v>1</v>
      </c>
      <c r="B12" s="6" t="n">
        <v>30456.990187676998</v>
      </c>
      <c r="C12" s="9">
        <f>B12/B$102</f>
        <v>0.16414714759624091</v>
      </c>
      <c r="E12" s="371">
        <v>1</v>
      </c>
      <c r="F12" s="371" t="n">
        <v>29021.0</v>
      </c>
      <c r="G12" s="9">
        <f>F12/F$102</f>
        <v>0.13437584900099922</v>
      </c>
      <c r="K12" s="6"/>
      <c r="L12" s="371"/>
    </row>
    <row r="13" spans="1:12" x14ac:dyDescent="0.25">
      <c r="A13">
        <v>2</v>
      </c>
      <c r="B13" s="6" t="n">
        <v>18840.9997808283</v>
      </c>
      <c r="C13" s="9">
        <f ref="C13:C76" si="0" t="shared">B13/B$102</f>
        <v>0.10154307279961239</v>
      </c>
      <c r="E13" s="371">
        <v>2</v>
      </c>
      <c r="F13" s="371" t="n">
        <v>24711.0</v>
      </c>
      <c r="G13" s="9">
        <f ref="G13:G76" si="1" t="shared">F13/F$102</f>
        <v>0.11727380311004895</v>
      </c>
    </row>
    <row r="14" spans="1:12" x14ac:dyDescent="0.25">
      <c r="A14">
        <v>3</v>
      </c>
      <c r="B14" s="6" t="n">
        <v>20913.124810358</v>
      </c>
      <c r="C14" s="9">
        <f si="0" t="shared"/>
        <v>0.11271073614927901</v>
      </c>
      <c r="E14" s="371">
        <v>3</v>
      </c>
      <c r="F14" s="371" t="n">
        <v>24028.0</v>
      </c>
      <c r="G14" s="9">
        <f si="1" t="shared"/>
        <v>0.10931218831590435</v>
      </c>
    </row>
    <row r="15" spans="1:12" x14ac:dyDescent="0.25">
      <c r="A15">
        <v>4</v>
      </c>
      <c r="B15" s="6" t="n">
        <v>16719.3336531863</v>
      </c>
      <c r="C15" s="9">
        <f si="0" t="shared"/>
        <v>9.0108409004602666E-2</v>
      </c>
      <c r="E15" s="371">
        <v>4</v>
      </c>
      <c r="F15" s="371" t="n">
        <v>19030.0</v>
      </c>
      <c r="G15" s="9">
        <f si="1" t="shared"/>
        <v>8.7011378340171391E-2</v>
      </c>
    </row>
    <row r="16" spans="1:12" x14ac:dyDescent="0.25">
      <c r="A16">
        <v>5</v>
      </c>
      <c r="B16" s="6" t="n">
        <v>5276.868504404</v>
      </c>
      <c r="C16" s="9">
        <f si="0" t="shared"/>
        <v>2.8439544022600727E-2</v>
      </c>
      <c r="E16" s="371">
        <v>5</v>
      </c>
      <c r="F16" s="371" t="n">
        <v>14873.0</v>
      </c>
      <c r="G16" s="9">
        <f si="1" t="shared"/>
        <v>6.9002196466313948E-2</v>
      </c>
    </row>
    <row r="17" spans="1:7" x14ac:dyDescent="0.25">
      <c r="A17">
        <v>6</v>
      </c>
      <c r="B17" s="6" t="n">
        <v>4744.506266172</v>
      </c>
      <c r="C17" s="9">
        <f si="0" t="shared"/>
        <v>2.5570391740800742E-2</v>
      </c>
      <c r="E17" s="371">
        <v>6</v>
      </c>
      <c r="F17" s="371" t="n">
        <v>10402.0</v>
      </c>
      <c r="G17" s="9">
        <f si="1" t="shared"/>
        <v>4.801834532871016E-2</v>
      </c>
    </row>
    <row r="18" spans="1:7" x14ac:dyDescent="0.25">
      <c r="A18">
        <v>7</v>
      </c>
      <c r="B18" s="6" t="n">
        <v>9665.989095287001</v>
      </c>
      <c r="C18" s="9">
        <f si="0" t="shared"/>
        <v>5.2094594013091029E-2</v>
      </c>
      <c r="E18" s="371">
        <v>7</v>
      </c>
      <c r="F18" s="371" t="n">
        <v>8168.0</v>
      </c>
      <c r="G18" s="9">
        <f si="1" t="shared"/>
        <v>3.8629257668061905E-2</v>
      </c>
    </row>
    <row r="19" spans="1:7" x14ac:dyDescent="0.25">
      <c r="A19">
        <v>8</v>
      </c>
      <c r="B19" s="6" t="n">
        <v>5186.7004881897</v>
      </c>
      <c r="C19" s="9">
        <f si="0" t="shared"/>
        <v>2.7953585870636736E-2</v>
      </c>
      <c r="E19" s="371">
        <v>8</v>
      </c>
      <c r="F19" s="371" t="n">
        <v>7982.0</v>
      </c>
      <c r="G19" s="9">
        <f si="1" t="shared"/>
        <v>3.7680678924514314E-2</v>
      </c>
    </row>
    <row r="20" spans="1:7" x14ac:dyDescent="0.25">
      <c r="A20">
        <v>9</v>
      </c>
      <c r="B20" s="6" t="n">
        <v>4562.6388264714</v>
      </c>
      <c r="C20" s="9">
        <f si="0" t="shared"/>
        <v>2.4590221957656394E-2</v>
      </c>
      <c r="E20" s="371">
        <v>9</v>
      </c>
      <c r="F20" s="371" t="n">
        <v>5408.0</v>
      </c>
      <c r="G20" s="9">
        <f si="1" t="shared"/>
        <v>2.5906330151450267E-2</v>
      </c>
    </row>
    <row r="21" spans="1:7" x14ac:dyDescent="0.25">
      <c r="A21">
        <v>10</v>
      </c>
      <c r="B21" s="6" t="n">
        <v>5092.505994314</v>
      </c>
      <c r="C21" s="9">
        <f si="0" t="shared"/>
        <v>2.7445927123213178E-2</v>
      </c>
      <c r="E21" s="371">
        <v>10</v>
      </c>
      <c r="F21" s="371" t="n">
        <v>4850.0</v>
      </c>
      <c r="G21" s="9">
        <f si="1" t="shared"/>
        <v>2.3272412475191902E-2</v>
      </c>
    </row>
    <row r="22" spans="1:7" x14ac:dyDescent="0.25">
      <c r="A22">
        <v>11</v>
      </c>
      <c r="B22" s="6" t="n">
        <v>4994.181898075</v>
      </c>
      <c r="C22" s="9">
        <f si="0" t="shared"/>
        <v>2.6916011992461346E-2</v>
      </c>
      <c r="E22" s="371">
        <v>11</v>
      </c>
      <c r="F22" s="371" t="n">
        <v>4857.0</v>
      </c>
      <c r="G22" s="9">
        <f si="1" t="shared"/>
        <v>2.2719842333319518E-2</v>
      </c>
    </row>
    <row r="23" spans="1:7" x14ac:dyDescent="0.25">
      <c r="A23">
        <v>12</v>
      </c>
      <c r="B23" s="6" t="n">
        <v>1977.458968486</v>
      </c>
      <c r="C23" s="9">
        <f si="0" t="shared"/>
        <v>1.0657463103393376E-2</v>
      </c>
      <c r="E23" s="371">
        <v>12</v>
      </c>
      <c r="F23" s="371" t="n">
        <v>4944.0</v>
      </c>
      <c r="G23" s="9">
        <f si="1" t="shared"/>
        <v>2.3930891894256495E-2</v>
      </c>
    </row>
    <row r="24" spans="1:7" x14ac:dyDescent="0.25">
      <c r="A24">
        <v>13</v>
      </c>
      <c r="B24" s="6" t="n">
        <v>8080.630991571</v>
      </c>
      <c r="C24" s="9">
        <f si="0" t="shared"/>
        <v>4.3550348208104765E-2</v>
      </c>
      <c r="E24" s="371">
        <v>13</v>
      </c>
      <c r="F24" s="371" t="n">
        <v>4442.0</v>
      </c>
      <c r="G24" s="9">
        <f si="1" t="shared"/>
        <v>2.1181855438441383E-2</v>
      </c>
    </row>
    <row r="25" spans="1:7" x14ac:dyDescent="0.25">
      <c r="A25">
        <v>14</v>
      </c>
      <c r="B25" s="6" t="n">
        <v>1258.65601132</v>
      </c>
      <c r="C25" s="9">
        <f si="0" t="shared"/>
        <v>6.7834934702980893E-3</v>
      </c>
      <c r="E25" s="371">
        <v>14</v>
      </c>
      <c r="F25" s="371" t="n">
        <v>4070.0</v>
      </c>
      <c r="G25" s="9">
        <f si="1" t="shared"/>
        <v>1.8686080297651116E-2</v>
      </c>
    </row>
    <row r="26" spans="1:7" x14ac:dyDescent="0.25">
      <c r="A26">
        <v>15</v>
      </c>
      <c r="B26" s="6" t="n">
        <v>3968.0726254833</v>
      </c>
      <c r="C26" s="9">
        <f si="0" t="shared"/>
        <v>2.1385823054549492E-2</v>
      </c>
      <c r="E26" s="371">
        <v>15</v>
      </c>
      <c r="F26" s="371" t="n">
        <v>3872.0</v>
      </c>
      <c r="G26" s="9">
        <f si="1" t="shared"/>
        <v>1.7995367620310638E-2</v>
      </c>
    </row>
    <row r="27" spans="1:7" x14ac:dyDescent="0.25">
      <c r="A27">
        <v>16</v>
      </c>
      <c r="B27" s="6" t="n">
        <v>2733.764688891</v>
      </c>
      <c r="C27" s="9">
        <f si="0" t="shared"/>
        <v>1.4733552892640854E-2</v>
      </c>
      <c r="E27" s="371">
        <v>16</v>
      </c>
      <c r="F27" s="371" t="n">
        <v>3254.0</v>
      </c>
      <c r="G27" s="9">
        <f si="1" t="shared"/>
        <v>1.5531825737796259E-2</v>
      </c>
    </row>
    <row r="28" spans="1:7" x14ac:dyDescent="0.25">
      <c r="A28">
        <v>17</v>
      </c>
      <c r="B28" s="6" t="n">
        <v>2084.171004966</v>
      </c>
      <c r="C28" s="9">
        <f si="0" t="shared"/>
        <v>1.1232584817470864E-2</v>
      </c>
      <c r="E28" s="371">
        <v>17</v>
      </c>
      <c r="F28" s="371" t="n">
        <v>2711.0</v>
      </c>
      <c r="G28" s="9">
        <f si="1" t="shared"/>
        <v>1.2520318464591765E-2</v>
      </c>
    </row>
    <row r="29" spans="1:7" x14ac:dyDescent="0.25">
      <c r="A29">
        <v>18</v>
      </c>
      <c r="B29" s="6" t="n">
        <v>4435.863088899</v>
      </c>
      <c r="C29" s="9">
        <f si="0" t="shared"/>
        <v>2.3906967454217682E-2</v>
      </c>
      <c r="E29" s="371">
        <v>18</v>
      </c>
      <c r="F29" s="371" t="n">
        <v>2311.0</v>
      </c>
      <c r="G29" s="9">
        <f si="1" t="shared"/>
        <v>1.1069821842176758E-2</v>
      </c>
    </row>
    <row r="30" spans="1:7" x14ac:dyDescent="0.25">
      <c r="A30">
        <v>19</v>
      </c>
      <c r="B30" s="6" t="n">
        <v>205.084459563</v>
      </c>
      <c r="C30" s="9">
        <f si="0" t="shared"/>
        <v>1.1052973010840593E-3</v>
      </c>
      <c r="E30" s="371">
        <v>19</v>
      </c>
      <c r="F30" s="371" t="n">
        <v>2238.0</v>
      </c>
      <c r="G30" s="9">
        <f si="1" t="shared"/>
        <v>9.4673684307468448E-3</v>
      </c>
    </row>
    <row r="31" spans="1:7" x14ac:dyDescent="0.25">
      <c r="A31">
        <v>20</v>
      </c>
      <c r="B31" s="6" t="n">
        <v>299.9093066417</v>
      </c>
      <c r="C31" s="9">
        <f si="0" t="shared"/>
        <v>1.6163533205168687E-3</v>
      </c>
      <c r="E31" s="371">
        <v>20</v>
      </c>
      <c r="F31" s="371" t="n">
        <v>1744.0</v>
      </c>
      <c r="G31" s="9">
        <f si="1" t="shared"/>
        <v>8.2010618556226308E-3</v>
      </c>
    </row>
    <row r="32" spans="1:7" x14ac:dyDescent="0.25">
      <c r="A32">
        <v>21</v>
      </c>
      <c r="B32" s="6" t="n">
        <v>280.724871177</v>
      </c>
      <c r="C32" s="9">
        <f si="0" t="shared"/>
        <v>1.512959310131404E-3</v>
      </c>
      <c r="E32" s="371">
        <v>21</v>
      </c>
      <c r="F32" s="371" t="n">
        <v>1509.0</v>
      </c>
      <c r="G32" s="9">
        <f si="1" t="shared"/>
        <v>7.0959215718778635E-3</v>
      </c>
    </row>
    <row r="33" spans="1:7" x14ac:dyDescent="0.25">
      <c r="A33">
        <v>22</v>
      </c>
      <c r="B33" s="6" t="n">
        <v>1465.599088206</v>
      </c>
      <c r="C33" s="9">
        <f si="0" t="shared"/>
        <v>7.8988077405627369E-3</v>
      </c>
      <c r="E33" s="371">
        <v>22</v>
      </c>
      <c r="F33" s="371" t="n">
        <v>1443.0</v>
      </c>
      <c r="G33" s="9">
        <f si="1" t="shared"/>
        <v>6.4604659087246219E-3</v>
      </c>
    </row>
    <row r="34" spans="1:7" x14ac:dyDescent="0.25">
      <c r="A34">
        <v>23</v>
      </c>
      <c r="B34" s="6" t="n">
        <v>87.0697128457</v>
      </c>
      <c r="C34" s="9">
        <f si="0" t="shared"/>
        <v>4.6925992744444332E-4</v>
      </c>
      <c r="E34" s="371">
        <v>23</v>
      </c>
      <c r="F34" s="371" t="n">
        <v>1191.0</v>
      </c>
      <c r="G34" s="9">
        <f si="1" t="shared"/>
        <v>5.5855631840933473E-3</v>
      </c>
    </row>
    <row r="35" spans="1:7" x14ac:dyDescent="0.25">
      <c r="A35">
        <v>24</v>
      </c>
      <c r="B35" s="6" t="n">
        <v>0.0</v>
      </c>
      <c r="C35" s="9">
        <f si="0" t="shared"/>
        <v>0</v>
      </c>
      <c r="E35" s="371">
        <v>24</v>
      </c>
      <c r="F35" s="371" t="n">
        <v>970.0</v>
      </c>
      <c r="G35" s="9">
        <f si="1" t="shared"/>
        <v>4.208742580594658E-3</v>
      </c>
    </row>
    <row r="36" spans="1:7" x14ac:dyDescent="0.25">
      <c r="A36">
        <v>25</v>
      </c>
      <c r="B36" s="6" t="n">
        <v>0.0</v>
      </c>
      <c r="C36" s="9">
        <f si="0" t="shared"/>
        <v>0</v>
      </c>
      <c r="E36" s="371">
        <v>25</v>
      </c>
      <c r="F36" s="371" t="n">
        <v>759.0</v>
      </c>
      <c r="G36" s="9">
        <f si="1" t="shared"/>
        <v>3.6884056969981628E-3</v>
      </c>
    </row>
    <row r="37" spans="1:7" x14ac:dyDescent="0.25">
      <c r="A37">
        <v>26</v>
      </c>
      <c r="B37" s="6" t="n">
        <v>0.0</v>
      </c>
      <c r="C37" s="9">
        <f si="0" t="shared"/>
        <v>0</v>
      </c>
      <c r="E37" s="371">
        <v>26</v>
      </c>
      <c r="F37" s="371" t="n">
        <v>709.0</v>
      </c>
      <c r="G37" s="9">
        <f si="1" t="shared"/>
        <v>3.2371400811357157E-3</v>
      </c>
    </row>
    <row r="38" spans="1:7" x14ac:dyDescent="0.25">
      <c r="A38">
        <v>27</v>
      </c>
      <c r="B38" s="6" t="n">
        <v>0.0</v>
      </c>
      <c r="C38" s="9">
        <f si="0" t="shared"/>
        <v>0</v>
      </c>
      <c r="E38" s="371">
        <v>27</v>
      </c>
      <c r="F38" s="371" t="n">
        <v>562.0</v>
      </c>
      <c r="G38" s="9">
        <f si="1" t="shared"/>
        <v>2.4635418825143785E-3</v>
      </c>
    </row>
    <row r="39" spans="1:7" x14ac:dyDescent="0.25">
      <c r="A39">
        <v>28</v>
      </c>
      <c r="B39" s="6" t="n">
        <v>363.531135753</v>
      </c>
      <c r="C39" s="9">
        <f si="0" t="shared"/>
        <v>1.959241495255185E-3</v>
      </c>
      <c r="E39" s="371">
        <v>28</v>
      </c>
      <c r="F39" s="371" t="n">
        <v>422.0</v>
      </c>
      <c r="G39" s="9">
        <f si="1" t="shared"/>
        <v>1.8050624634497875E-3</v>
      </c>
    </row>
    <row r="40" spans="1:7" x14ac:dyDescent="0.25">
      <c r="A40">
        <v>29</v>
      </c>
      <c r="B40" s="6" t="n">
        <v>543.221055857</v>
      </c>
      <c r="C40" s="9">
        <f si="0" t="shared"/>
        <v>2.9276755938025209E-3</v>
      </c>
      <c r="E40" s="371">
        <v>29</v>
      </c>
      <c r="F40" s="371" t="n">
        <v>430.0</v>
      </c>
      <c r="G40" s="9">
        <f si="1" t="shared"/>
        <v>2.0859522855682495E-3</v>
      </c>
    </row>
    <row r="41" spans="1:7" x14ac:dyDescent="0.25">
      <c r="A41">
        <v>30</v>
      </c>
      <c r="B41" s="6" t="n">
        <v>0.0</v>
      </c>
      <c r="C41" s="9">
        <f si="0" t="shared"/>
        <v>0</v>
      </c>
      <c r="E41" s="371">
        <v>30</v>
      </c>
      <c r="F41" s="371" t="n">
        <v>359.0</v>
      </c>
      <c r="G41" s="9">
        <f si="1" t="shared"/>
        <v>1.71757219098666E-3</v>
      </c>
    </row>
    <row r="42" spans="1:7" x14ac:dyDescent="0.25">
      <c r="A42">
        <v>31</v>
      </c>
      <c r="B42" s="6" t="n">
        <v>368.204446166</v>
      </c>
      <c r="C42" s="9">
        <f si="0" t="shared"/>
        <v>1.9844281788177695E-3</v>
      </c>
      <c r="E42" s="371">
        <v>31</v>
      </c>
      <c r="F42" s="371" t="n">
        <v>319.0</v>
      </c>
      <c r="G42" s="9">
        <f si="1" t="shared"/>
        <v>1.2294685656660542E-3</v>
      </c>
    </row>
    <row r="43" spans="1:7" x14ac:dyDescent="0.25">
      <c r="A43">
        <v>32</v>
      </c>
      <c r="B43" s="6" t="n">
        <v>0.0</v>
      </c>
      <c r="C43" s="9">
        <f si="0" t="shared"/>
        <v>0</v>
      </c>
      <c r="E43" s="371">
        <v>32</v>
      </c>
      <c r="F43" s="371" t="n">
        <v>282.0</v>
      </c>
      <c r="G43" s="9">
        <f si="1" t="shared"/>
        <v>1.2939350822178323E-3</v>
      </c>
    </row>
    <row r="44" spans="1:7" x14ac:dyDescent="0.25">
      <c r="A44">
        <v>33</v>
      </c>
      <c r="B44" s="6" t="n">
        <v>207.401519182</v>
      </c>
      <c r="C44" s="9">
        <f si="0" t="shared"/>
        <v>1.117785032961885E-3</v>
      </c>
      <c r="E44" s="371">
        <v>33</v>
      </c>
      <c r="F44" s="371" t="n">
        <v>244.0</v>
      </c>
      <c r="G44" s="9">
        <f si="1" t="shared"/>
        <v>1.1788163026610857E-3</v>
      </c>
    </row>
    <row r="45" spans="1:7" x14ac:dyDescent="0.25">
      <c r="A45">
        <v>34</v>
      </c>
      <c r="B45" s="6" t="n">
        <v>0.0</v>
      </c>
      <c r="C45" s="9">
        <f si="0" t="shared"/>
        <v>0</v>
      </c>
      <c r="E45" s="371">
        <v>34</v>
      </c>
      <c r="F45" s="371" t="n">
        <v>169.0</v>
      </c>
      <c r="G45" s="9">
        <f si="1" t="shared"/>
        <v>8.2425046162630598E-4</v>
      </c>
    </row>
    <row r="46" spans="1:7" x14ac:dyDescent="0.25">
      <c r="A46">
        <v>35</v>
      </c>
      <c r="B46" s="6" t="n">
        <v>163.668759911</v>
      </c>
      <c r="C46" s="9">
        <f si="0" t="shared"/>
        <v>8.8208847704441293E-4</v>
      </c>
      <c r="E46" s="371">
        <v>35</v>
      </c>
      <c r="F46" s="371" t="n">
        <v>165.0</v>
      </c>
      <c r="G46" s="9">
        <f si="1" t="shared"/>
        <v>7.4596969152771831E-4</v>
      </c>
    </row>
    <row r="47" spans="1:7" x14ac:dyDescent="0.25">
      <c r="A47">
        <v>36</v>
      </c>
      <c r="B47" s="6" t="n">
        <v>0.0</v>
      </c>
      <c r="C47" s="9">
        <f si="0" t="shared"/>
        <v>0</v>
      </c>
      <c r="E47" s="371">
        <v>36</v>
      </c>
      <c r="F47" s="371" t="n">
        <v>231.0</v>
      </c>
      <c r="G47" s="9">
        <f si="1" t="shared"/>
        <v>9.3476449000078283E-4</v>
      </c>
    </row>
    <row r="48" spans="1:7" x14ac:dyDescent="0.25">
      <c r="A48">
        <v>37</v>
      </c>
      <c r="B48" s="6" t="n">
        <v>0.0</v>
      </c>
      <c r="C48" s="9">
        <f si="0" t="shared"/>
        <v>0</v>
      </c>
      <c r="E48" s="371">
        <v>37</v>
      </c>
      <c r="F48" s="371" t="n">
        <v>160.0</v>
      </c>
      <c r="G48" s="9">
        <f si="1" t="shared"/>
        <v>8.1043620807949644E-4</v>
      </c>
    </row>
    <row r="49" spans="1:7" x14ac:dyDescent="0.25">
      <c r="A49">
        <v>38</v>
      </c>
      <c r="B49" s="6" t="n">
        <v>0.0</v>
      </c>
      <c r="C49" s="9">
        <f si="0" t="shared"/>
        <v>0</v>
      </c>
      <c r="E49" s="371">
        <v>38</v>
      </c>
      <c r="F49" s="371" t="n">
        <v>137.0</v>
      </c>
      <c r="G49" s="9">
        <f si="1" t="shared"/>
        <v>7.6899344743906761E-4</v>
      </c>
    </row>
    <row r="50" spans="1:7" x14ac:dyDescent="0.25">
      <c r="A50">
        <v>39</v>
      </c>
      <c r="B50" s="6" t="n">
        <v>0.0</v>
      </c>
      <c r="C50" s="9">
        <f si="0" t="shared"/>
        <v>0</v>
      </c>
      <c r="E50" s="371">
        <v>39</v>
      </c>
      <c r="F50" s="371" t="n">
        <v>117.0</v>
      </c>
      <c r="G50" s="9">
        <f si="1" t="shared"/>
        <v>7.9662195453268679E-4</v>
      </c>
    </row>
    <row r="51" spans="1:7" x14ac:dyDescent="0.25">
      <c r="A51">
        <v>40</v>
      </c>
      <c r="B51" s="6" t="n">
        <v>0.0</v>
      </c>
      <c r="C51" s="9">
        <f si="0" t="shared"/>
        <v>0</v>
      </c>
      <c r="E51" s="371">
        <v>40</v>
      </c>
      <c r="F51" s="371" t="n">
        <v>113.0</v>
      </c>
      <c r="G51" s="9">
        <f si="1" t="shared"/>
        <v>4.0521810403974822E-4</v>
      </c>
    </row>
    <row r="52" spans="1:7" x14ac:dyDescent="0.25">
      <c r="A52">
        <v>41</v>
      </c>
      <c r="B52" s="6" t="n">
        <v>0.0</v>
      </c>
      <c r="C52" s="9">
        <f si="0" t="shared"/>
        <v>0</v>
      </c>
      <c r="E52" s="371">
        <v>41</v>
      </c>
      <c r="F52" s="371" t="n">
        <v>71.0</v>
      </c>
      <c r="G52" s="9">
        <f si="1" t="shared"/>
        <v>3.7758959694612904E-4</v>
      </c>
    </row>
    <row r="53" spans="1:7" x14ac:dyDescent="0.25">
      <c r="A53">
        <v>42</v>
      </c>
      <c r="B53" s="6" t="n">
        <v>0.0</v>
      </c>
      <c r="C53" s="9">
        <f si="0" t="shared"/>
        <v>0</v>
      </c>
      <c r="E53" s="371">
        <v>42</v>
      </c>
      <c r="F53" s="371" t="n">
        <v>54.0</v>
      </c>
      <c r="G53" s="9">
        <f si="1" t="shared"/>
        <v>2.4865656384257277E-4</v>
      </c>
    </row>
    <row r="54" spans="1:7" x14ac:dyDescent="0.25">
      <c r="A54">
        <v>43</v>
      </c>
      <c r="B54" s="6" t="n">
        <v>0.0</v>
      </c>
      <c r="C54" s="9">
        <f si="0" t="shared"/>
        <v>0</v>
      </c>
      <c r="E54" s="371">
        <v>43</v>
      </c>
      <c r="F54" s="371" t="n">
        <v>40.0</v>
      </c>
      <c r="G54" s="9">
        <f si="1" t="shared"/>
        <v>1.749805449262549E-4</v>
      </c>
    </row>
    <row r="55" spans="1:7" x14ac:dyDescent="0.25">
      <c r="A55">
        <v>44</v>
      </c>
      <c r="B55" s="6" t="n">
        <v>0.0</v>
      </c>
      <c r="C55" s="9">
        <f si="0" t="shared"/>
        <v>0</v>
      </c>
      <c r="E55" s="371">
        <v>44</v>
      </c>
      <c r="F55" s="371" t="n">
        <v>39.0</v>
      </c>
      <c r="G55" s="9">
        <f si="1" t="shared"/>
        <v>1.4735203783263571E-4</v>
      </c>
    </row>
    <row r="56" spans="1:7" x14ac:dyDescent="0.25">
      <c r="A56">
        <v>45</v>
      </c>
      <c r="B56" s="6" t="n">
        <v>0.0</v>
      </c>
      <c r="C56" s="9">
        <f si="0" t="shared"/>
        <v>0</v>
      </c>
      <c r="E56" s="371">
        <v>45</v>
      </c>
      <c r="F56" s="371" t="n">
        <v>59.0</v>
      </c>
      <c r="G56" s="9">
        <f si="1" t="shared"/>
        <v>2.7168031975392207E-4</v>
      </c>
    </row>
    <row r="57" spans="1:7" x14ac:dyDescent="0.25">
      <c r="A57">
        <v>46</v>
      </c>
      <c r="B57" s="6" t="n">
        <v>0.0</v>
      </c>
      <c r="C57" s="9">
        <f si="0" t="shared"/>
        <v>0</v>
      </c>
      <c r="E57" s="371">
        <v>46</v>
      </c>
      <c r="F57" s="371" t="n">
        <v>29.0</v>
      </c>
      <c r="G57" s="9">
        <f si="1" t="shared"/>
        <v>1.5656154019717545E-4</v>
      </c>
    </row>
    <row r="58" spans="1:7" x14ac:dyDescent="0.25">
      <c r="A58">
        <v>47</v>
      </c>
      <c r="B58" s="6" t="n">
        <v>0.0</v>
      </c>
      <c r="C58" s="9">
        <f si="0" t="shared"/>
        <v>0</v>
      </c>
      <c r="E58" s="371">
        <v>47</v>
      </c>
      <c r="F58" s="371" t="n">
        <v>37.0</v>
      </c>
      <c r="G58" s="9">
        <f si="1" t="shared"/>
        <v>1.6577104256171519E-4</v>
      </c>
    </row>
    <row r="59" spans="1:7" x14ac:dyDescent="0.25">
      <c r="A59">
        <v>48</v>
      </c>
      <c r="B59" s="6" t="n">
        <v>0.0</v>
      </c>
      <c r="C59" s="9">
        <f si="0" t="shared"/>
        <v>0</v>
      </c>
      <c r="E59" s="371">
        <v>48</v>
      </c>
      <c r="F59" s="371" t="n">
        <v>16.0</v>
      </c>
      <c r="G59" s="9">
        <f si="1" t="shared"/>
        <v>1.1511877955674665E-4</v>
      </c>
    </row>
    <row r="60" spans="1:7" x14ac:dyDescent="0.25">
      <c r="A60">
        <v>49</v>
      </c>
      <c r="B60" s="6" t="n">
        <v>0.0</v>
      </c>
      <c r="C60" s="9">
        <f si="0" t="shared"/>
        <v>0</v>
      </c>
      <c r="E60" s="371">
        <v>49</v>
      </c>
      <c r="F60" s="371" t="n">
        <v>22.0</v>
      </c>
      <c r="G60" s="9">
        <f si="1" t="shared"/>
        <v>1.1511877955674665E-4</v>
      </c>
    </row>
    <row r="61" spans="1:7" x14ac:dyDescent="0.25">
      <c r="A61">
        <v>50</v>
      </c>
      <c r="B61" s="6" t="n">
        <v>0.0</v>
      </c>
      <c r="C61" s="9">
        <f si="0" t="shared"/>
        <v>0</v>
      </c>
      <c r="E61" s="371">
        <v>50</v>
      </c>
      <c r="F61" s="371" t="n">
        <v>20.0</v>
      </c>
      <c r="G61" s="9">
        <f si="1" t="shared"/>
        <v>1.6577104256171519E-4</v>
      </c>
    </row>
    <row r="62" spans="1:7" x14ac:dyDescent="0.25">
      <c r="A62">
        <v>51</v>
      </c>
      <c r="B62" s="6" t="n">
        <v>0.0</v>
      </c>
      <c r="C62" s="9">
        <f si="0" t="shared"/>
        <v>0</v>
      </c>
      <c r="E62" s="371">
        <v>51</v>
      </c>
      <c r="F62" s="371" t="n">
        <v>18.0</v>
      </c>
      <c r="G62" s="9">
        <f si="1" t="shared"/>
        <v>8.7490272463127449E-5</v>
      </c>
    </row>
    <row r="63" spans="1:7" x14ac:dyDescent="0.25">
      <c r="A63">
        <v>52</v>
      </c>
      <c r="B63" s="6" t="n">
        <v>0.0</v>
      </c>
      <c r="C63" s="9">
        <f si="0" t="shared"/>
        <v>0</v>
      </c>
      <c r="E63" s="371">
        <v>52</v>
      </c>
      <c r="F63" s="371" t="n">
        <v>10.0</v>
      </c>
      <c r="G63" s="9">
        <f si="1" t="shared"/>
        <v>3.6838009458158929E-5</v>
      </c>
    </row>
    <row r="64" spans="1:7" x14ac:dyDescent="0.25">
      <c r="A64">
        <v>53</v>
      </c>
      <c r="B64" s="6" t="n">
        <v>0.0</v>
      </c>
      <c r="C64" s="9">
        <f si="0" t="shared"/>
        <v>0</v>
      </c>
      <c r="E64" s="371">
        <v>53</v>
      </c>
      <c r="F64" s="371" t="n">
        <v>6.0</v>
      </c>
      <c r="G64" s="9">
        <f si="1" t="shared"/>
        <v>2.3023755911349329E-5</v>
      </c>
    </row>
    <row r="65" spans="1:7" x14ac:dyDescent="0.25">
      <c r="A65">
        <v>54</v>
      </c>
      <c r="B65" s="6" t="n">
        <v>0.0</v>
      </c>
      <c r="C65" s="9">
        <f si="0" t="shared"/>
        <v>0</v>
      </c>
      <c r="E65" s="371">
        <v>54</v>
      </c>
      <c r="F65" s="371" t="n">
        <v>8.0</v>
      </c>
      <c r="G65" s="9">
        <f si="1" t="shared"/>
        <v>3.6838009458158929E-5</v>
      </c>
    </row>
    <row r="66" spans="1:7" x14ac:dyDescent="0.2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6.0</v>
      </c>
      <c r="G66" s="9">
        <f si="1" t="shared"/>
        <v>1.8419004729079464E-5</v>
      </c>
    </row>
    <row r="67" spans="1:7" x14ac:dyDescent="0.25">
      <c r="A67">
        <v>56</v>
      </c>
      <c r="B67" s="6" t="n">
        <v>0.0</v>
      </c>
      <c r="C67" s="9">
        <f si="0" t="shared"/>
        <v>0</v>
      </c>
      <c r="E67" s="371">
        <v>56</v>
      </c>
      <c r="F67" s="371" t="n">
        <v>3.0</v>
      </c>
      <c r="G67" s="9">
        <f si="1" t="shared"/>
        <v>4.1442760640428797E-5</v>
      </c>
    </row>
    <row r="68" spans="1:7" x14ac:dyDescent="0.2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0.0</v>
      </c>
      <c r="G68" s="9">
        <f si="1" t="shared"/>
        <v>9.2095023645397321E-6</v>
      </c>
    </row>
    <row r="69" spans="1:7" x14ac:dyDescent="0.2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1.0</v>
      </c>
      <c r="G69" s="9">
        <f si="1" t="shared"/>
        <v>0</v>
      </c>
    </row>
    <row r="70" spans="1:7" x14ac:dyDescent="0.25">
      <c r="A70">
        <v>59</v>
      </c>
      <c r="B70" s="6" t="n">
        <v>0.0</v>
      </c>
      <c r="C70" s="9">
        <f si="0" t="shared"/>
        <v>0</v>
      </c>
      <c r="E70" s="371">
        <v>59</v>
      </c>
      <c r="F70" s="371" t="n">
        <v>5.0</v>
      </c>
      <c r="G70" s="9">
        <f si="1" t="shared"/>
        <v>2.3023755911349329E-5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0.0</v>
      </c>
      <c r="G71" s="9">
        <f si="1" t="shared"/>
        <v>0</v>
      </c>
    </row>
    <row r="72" spans="1:7" x14ac:dyDescent="0.2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0.0</v>
      </c>
      <c r="G72" s="9">
        <f si="1" t="shared"/>
        <v>4.6047511822698661E-6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0.0</v>
      </c>
      <c r="G73" s="9">
        <f si="1" t="shared"/>
        <v>0</v>
      </c>
    </row>
    <row r="74" spans="1:7" x14ac:dyDescent="0.2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1.0</v>
      </c>
      <c r="G74" s="9">
        <f si="1" t="shared"/>
        <v>0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0.0</v>
      </c>
      <c r="G75" s="9">
        <f si="1" t="shared"/>
        <v>0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0.0</v>
      </c>
      <c r="G76" s="9">
        <f si="1" t="shared"/>
        <v>0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0.0</v>
      </c>
      <c r="G77" s="9">
        <f ref="G77:G102" si="3" t="shared">F77/F$102</f>
        <v>0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0.0</v>
      </c>
      <c r="G78" s="9">
        <f si="3" t="shared"/>
        <v>0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0.0</v>
      </c>
      <c r="G79" s="9">
        <f si="3" t="shared"/>
        <v>0</v>
      </c>
    </row>
    <row r="80" spans="1:7" x14ac:dyDescent="0.2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0.0</v>
      </c>
      <c r="G80" s="9">
        <f si="3" t="shared"/>
        <v>0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0.0</v>
      </c>
      <c r="G81" s="9">
        <f si="3" t="shared"/>
        <v>0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0.0</v>
      </c>
      <c r="G82" s="9">
        <f si="3" t="shared"/>
        <v>0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0.0</v>
      </c>
      <c r="G83" s="9">
        <f si="3" t="shared"/>
        <v>0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0.0</v>
      </c>
      <c r="G84" s="9">
        <f si="3" t="shared"/>
        <v>0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0.0</v>
      </c>
      <c r="G85" s="9">
        <f si="3" t="shared"/>
        <v>0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0.0</v>
      </c>
      <c r="G86" s="9">
        <f si="3" t="shared"/>
        <v>0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0.0</v>
      </c>
      <c r="G87" s="9">
        <f si="3" t="shared"/>
        <v>0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0.0</v>
      </c>
      <c r="G88" s="9">
        <f si="3" t="shared"/>
        <v>0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0.0</v>
      </c>
      <c r="G89" s="9">
        <f si="3" t="shared"/>
        <v>0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0.0</v>
      </c>
      <c r="G90" s="9">
        <f si="3" t="shared"/>
        <v>0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0.0</v>
      </c>
      <c r="G91" s="9">
        <f si="3" t="shared"/>
        <v>0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0.0</v>
      </c>
      <c r="G92" s="9">
        <f si="3" t="shared"/>
        <v>0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0.0</v>
      </c>
      <c r="G93" s="9">
        <f si="3" t="shared"/>
        <v>0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0.0</v>
      </c>
      <c r="G94" s="9">
        <f si="3" t="shared"/>
        <v>0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0.0</v>
      </c>
      <c r="G95" s="9">
        <f si="3" t="shared"/>
        <v>0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0.0</v>
      </c>
      <c r="G96" s="9">
        <f si="3" t="shared"/>
        <v>0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0.0</v>
      </c>
      <c r="G97" s="9">
        <f si="3" t="shared"/>
        <v>0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0.0</v>
      </c>
      <c r="G98" s="9">
        <f si="3" t="shared"/>
        <v>0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0.0</v>
      </c>
      <c r="G99" s="9">
        <f si="3" t="shared"/>
        <v>0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0.0</v>
      </c>
      <c r="G100" s="9">
        <f si="3" t="shared"/>
        <v>0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0.0</v>
      </c>
      <c r="G101" s="9">
        <f si="3" t="shared"/>
        <v>0</v>
      </c>
    </row>
    <row r="102" spans="1:7" x14ac:dyDescent="0.25">
      <c r="B102" s="6">
        <f>SUM(B11:B101)</f>
        <v>185546.87445799081</v>
      </c>
      <c r="C102" s="9">
        <f si="2" t="shared"/>
        <v>1</v>
      </c>
      <c r="F102" s="6">
        <f>SUM(F11:F101)</f>
        <v>217167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M102"/>
  <sheetViews>
    <sheetView workbookViewId="0">
      <selection activeCell="D5" sqref="D5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6421.666277464999</v>
      </c>
      <c r="C11" s="9">
        <f>B11/B$102</f>
        <v>3.4609401512278842E-2</v>
      </c>
      <c r="E11" s="371">
        <v>0</v>
      </c>
      <c r="F11" s="371" t="n">
        <v>740.0</v>
      </c>
      <c r="G11" s="9">
        <f>F11/F$102</f>
        <v>3.2601638370470653E-3</v>
      </c>
      <c r="K11" s="6" t="n">
        <v>13.006868914961755</v>
      </c>
      <c r="L11" s="6" t="n">
        <v>16.66211282108479</v>
      </c>
    </row>
    <row r="12" spans="1:12" x14ac:dyDescent="0.25">
      <c r="A12">
        <v>1</v>
      </c>
      <c r="B12" s="6" t="n">
        <v>7648.6649553169</v>
      </c>
      <c r="C12" s="9">
        <f>B12/B$102</f>
        <v>4.1222278616439935E-2</v>
      </c>
      <c r="E12" s="371">
        <v>1</v>
      </c>
      <c r="F12" s="371" t="n">
        <v>3956.0</v>
      </c>
      <c r="G12" s="9">
        <f>F12/F$102</f>
        <v>1.7898667845482968E-2</v>
      </c>
      <c r="K12" s="6"/>
      <c r="L12" s="371"/>
    </row>
    <row r="13" spans="1:12" x14ac:dyDescent="0.25">
      <c r="A13">
        <v>2</v>
      </c>
      <c r="B13" s="6" t="n">
        <v>7659.3953825730005</v>
      </c>
      <c r="C13" s="9">
        <f ref="C13:C76" si="0" t="shared">B13/B$102</f>
        <v>4.1280109971925959E-2</v>
      </c>
      <c r="E13" s="371">
        <v>2</v>
      </c>
      <c r="F13" s="371" t="n">
        <v>7185.0</v>
      </c>
      <c r="G13" s="9">
        <f ref="G13:G76" si="1" t="shared">F13/F$102</f>
        <v>3.2067487233327349E-2</v>
      </c>
    </row>
    <row r="14" spans="1:12" x14ac:dyDescent="0.25">
      <c r="A14">
        <v>3</v>
      </c>
      <c r="B14" s="6" t="n">
        <v>11138.1608098898</v>
      </c>
      <c r="C14" s="9">
        <f si="0" t="shared"/>
        <v>6.0028824750758936E-2</v>
      </c>
      <c r="E14" s="371">
        <v>3</v>
      </c>
      <c r="F14" s="371" t="n">
        <v>10914.0</v>
      </c>
      <c r="G14" s="9">
        <f si="1" t="shared"/>
        <v>4.9851036299253568E-2</v>
      </c>
    </row>
    <row r="15" spans="1:12" x14ac:dyDescent="0.25">
      <c r="A15">
        <v>4</v>
      </c>
      <c r="B15" s="6" t="n">
        <v>12092.613692835701</v>
      </c>
      <c r="C15" s="9">
        <f si="0" t="shared"/>
        <v>6.5172823461241106E-2</v>
      </c>
      <c r="E15" s="371">
        <v>4</v>
      </c>
      <c r="F15" s="371" t="n">
        <v>12970.0</v>
      </c>
      <c r="G15" s="9">
        <f si="1" t="shared"/>
        <v>6.0727458591774995E-2</v>
      </c>
    </row>
    <row r="16" spans="1:12" x14ac:dyDescent="0.25">
      <c r="A16">
        <v>5</v>
      </c>
      <c r="B16" s="6" t="n">
        <v>9955.3547071744</v>
      </c>
      <c r="C16" s="9">
        <f si="0" t="shared"/>
        <v>5.3654122368029251E-2</v>
      </c>
      <c r="E16" s="371">
        <v>5</v>
      </c>
      <c r="F16" s="371" t="n">
        <v>12642.0</v>
      </c>
      <c r="G16" s="9">
        <f si="1" t="shared"/>
        <v>5.8286940465171966E-2</v>
      </c>
    </row>
    <row r="17" spans="1:7" x14ac:dyDescent="0.25">
      <c r="A17">
        <v>6</v>
      </c>
      <c r="B17" s="6" t="n">
        <v>11678.0711846497</v>
      </c>
      <c r="C17" s="9">
        <f si="0" t="shared"/>
        <v>6.2938657515859697E-2</v>
      </c>
      <c r="E17" s="371">
        <v>6</v>
      </c>
      <c r="F17" s="371" t="n">
        <v>12419.0</v>
      </c>
      <c r="G17" s="9">
        <f si="1" t="shared"/>
        <v>5.7858698605220867E-2</v>
      </c>
    </row>
    <row r="18" spans="1:7" x14ac:dyDescent="0.25">
      <c r="A18">
        <v>7</v>
      </c>
      <c r="B18" s="6" t="n">
        <v>15849.1547037983</v>
      </c>
      <c r="C18" s="9">
        <f si="0" t="shared"/>
        <v>8.5418602442622477E-2</v>
      </c>
      <c r="E18" s="371">
        <v>7</v>
      </c>
      <c r="F18" s="371" t="n">
        <v>12536.0</v>
      </c>
      <c r="G18" s="9">
        <f si="1" t="shared"/>
        <v>5.8259311958078347E-2</v>
      </c>
    </row>
    <row r="19" spans="1:7" x14ac:dyDescent="0.25">
      <c r="A19">
        <v>8</v>
      </c>
      <c r="B19" s="6" t="n">
        <v>10534.341986551899</v>
      </c>
      <c r="C19" s="9">
        <f si="0" t="shared"/>
        <v>5.6774559082842173E-2</v>
      </c>
      <c r="E19" s="371">
        <v>8</v>
      </c>
      <c r="F19" s="371" t="n">
        <v>11421.0</v>
      </c>
      <c r="G19" s="9">
        <f si="1" t="shared"/>
        <v>5.3723632043542524E-2</v>
      </c>
    </row>
    <row r="20" spans="1:7" x14ac:dyDescent="0.25">
      <c r="A20">
        <v>9</v>
      </c>
      <c r="B20" s="6" t="n">
        <v>7623.188114451</v>
      </c>
      <c r="C20" s="9">
        <f si="0" t="shared"/>
        <v>4.1084971852635259E-2</v>
      </c>
      <c r="E20" s="371">
        <v>9</v>
      </c>
      <c r="F20" s="371" t="n">
        <v>10243.0</v>
      </c>
      <c r="G20" s="9">
        <f si="1" t="shared"/>
        <v>4.5485732178461739E-2</v>
      </c>
    </row>
    <row r="21" spans="1:7" x14ac:dyDescent="0.25">
      <c r="A21">
        <v>10</v>
      </c>
      <c r="B21" s="6" t="n">
        <v>8607.2317230995</v>
      </c>
      <c r="C21" s="9">
        <f si="0" t="shared"/>
        <v>4.6388449001054127E-2</v>
      </c>
      <c r="E21" s="371">
        <v>10</v>
      </c>
      <c r="F21" s="371" t="n">
        <v>8765.0</v>
      </c>
      <c r="G21" s="9">
        <f si="1" t="shared"/>
        <v>4.1194104076586219E-2</v>
      </c>
    </row>
    <row r="22" spans="1:7" x14ac:dyDescent="0.25">
      <c r="A22">
        <v>11</v>
      </c>
      <c r="B22" s="6" t="n">
        <v>5954.9469560686</v>
      </c>
      <c r="C22" s="9">
        <f si="0" t="shared"/>
        <v>3.209403000435259E-2</v>
      </c>
      <c r="E22" s="371">
        <v>11</v>
      </c>
      <c r="F22" s="371" t="n">
        <v>7092.0</v>
      </c>
      <c r="G22" s="9">
        <f si="1" t="shared"/>
        <v>3.1984601712046493E-2</v>
      </c>
    </row>
    <row r="23" spans="1:7" x14ac:dyDescent="0.25">
      <c r="A23">
        <v>12</v>
      </c>
      <c r="B23" s="6" t="n">
        <v>3333.701942628</v>
      </c>
      <c r="C23" s="9">
        <f si="0" t="shared"/>
        <v>1.7966898943279019E-2</v>
      </c>
      <c r="E23" s="371">
        <v>12</v>
      </c>
      <c r="F23" s="371" t="n">
        <v>6545.0</v>
      </c>
      <c r="G23" s="9">
        <f si="1" t="shared"/>
        <v>2.9921673182389589E-2</v>
      </c>
    </row>
    <row r="24" spans="1:7" x14ac:dyDescent="0.25">
      <c r="A24">
        <v>13</v>
      </c>
      <c r="B24" s="6" t="n">
        <v>2313.0008537875</v>
      </c>
      <c r="C24" s="9">
        <f si="0" t="shared"/>
        <v>1.2465857269458779E-2</v>
      </c>
      <c r="E24" s="371">
        <v>13</v>
      </c>
      <c r="F24" s="371" t="n">
        <v>5322.0</v>
      </c>
      <c r="G24" s="9">
        <f si="1" t="shared"/>
        <v>2.5224826976474327E-2</v>
      </c>
    </row>
    <row r="25" spans="1:7" x14ac:dyDescent="0.25">
      <c r="A25">
        <v>14</v>
      </c>
      <c r="B25" s="6" t="n">
        <v>4610.505112596</v>
      </c>
      <c r="C25" s="9">
        <f si="0" t="shared"/>
        <v>2.4848196047839395E-2</v>
      </c>
      <c r="E25" s="371">
        <v>14</v>
      </c>
      <c r="F25" s="371" t="n">
        <v>4361.0</v>
      </c>
      <c r="G25" s="9">
        <f si="1" t="shared"/>
        <v>2.0675332808391698E-2</v>
      </c>
    </row>
    <row r="26" spans="1:7" x14ac:dyDescent="0.25">
      <c r="A26">
        <v>15</v>
      </c>
      <c r="B26" s="6" t="n">
        <v>2316.43582566</v>
      </c>
      <c r="C26" s="9">
        <f si="0" t="shared"/>
        <v>1.2484369960025698E-2</v>
      </c>
      <c r="E26" s="371">
        <v>15</v>
      </c>
      <c r="F26" s="371" t="n">
        <v>4878.0</v>
      </c>
      <c r="G26" s="9">
        <f si="1" t="shared"/>
        <v>2.2756680342777679E-2</v>
      </c>
    </row>
    <row r="27" spans="1:7" x14ac:dyDescent="0.25">
      <c r="A27">
        <v>16</v>
      </c>
      <c r="B27" s="6" t="n">
        <v>2333.7383878250002</v>
      </c>
      <c r="C27" s="9">
        <f si="0" t="shared"/>
        <v>1.2577621663755785E-2</v>
      </c>
      <c r="E27" s="371">
        <v>16</v>
      </c>
      <c r="F27" s="371" t="n">
        <v>4869.0</v>
      </c>
      <c r="G27" s="9">
        <f si="1" t="shared"/>
        <v>2.2434347760018788E-2</v>
      </c>
    </row>
    <row r="28" spans="1:7" x14ac:dyDescent="0.25">
      <c r="A28">
        <v>17</v>
      </c>
      <c r="B28" s="6" t="n">
        <v>3229.2653198870003</v>
      </c>
      <c r="C28" s="9">
        <f si="0" t="shared"/>
        <v>1.740404051170439E-2</v>
      </c>
      <c r="E28" s="371">
        <v>17</v>
      </c>
      <c r="F28" s="371" t="n">
        <v>4632.0</v>
      </c>
      <c r="G28" s="9">
        <f si="1" t="shared"/>
        <v>2.1568654537752054E-2</v>
      </c>
    </row>
    <row r="29" spans="1:7" x14ac:dyDescent="0.25">
      <c r="A29">
        <v>18</v>
      </c>
      <c r="B29" s="6" t="n">
        <v>2122.9750474377</v>
      </c>
      <c r="C29" s="9">
        <f si="0" t="shared"/>
        <v>1.1441718183823989E-2</v>
      </c>
      <c r="E29" s="371">
        <v>18</v>
      </c>
      <c r="F29" s="371" t="n">
        <v>4026.0</v>
      </c>
      <c r="G29" s="9">
        <f si="1" t="shared"/>
        <v>1.8801199077207863E-2</v>
      </c>
    </row>
    <row r="30" spans="1:7" x14ac:dyDescent="0.25">
      <c r="A30">
        <v>19</v>
      </c>
      <c r="B30" s="6" t="n">
        <v>4025.071606212</v>
      </c>
      <c r="C30" s="9">
        <f si="0" t="shared"/>
        <v>2.1693017562111002E-2</v>
      </c>
      <c r="E30" s="371">
        <v>19</v>
      </c>
      <c r="F30" s="371" t="n">
        <v>3897.0</v>
      </c>
      <c r="G30" s="9">
        <f si="1" t="shared"/>
        <v>1.783880608011346E-2</v>
      </c>
    </row>
    <row r="31" spans="1:7" x14ac:dyDescent="0.25">
      <c r="A31">
        <v>20</v>
      </c>
      <c r="B31" s="6" t="n">
        <v>2389.414101482</v>
      </c>
      <c r="C31" s="9">
        <f si="0" t="shared"/>
        <v>1.2877684458236354E-2</v>
      </c>
      <c r="E31" s="371">
        <v>20</v>
      </c>
      <c r="F31" s="371" t="n">
        <v>3624.0</v>
      </c>
      <c r="G31" s="9">
        <f si="1" t="shared"/>
        <v>1.7009950867304884E-2</v>
      </c>
    </row>
    <row r="32" spans="1:7" x14ac:dyDescent="0.25">
      <c r="A32">
        <v>21</v>
      </c>
      <c r="B32" s="6" t="n">
        <v>1815.4745317674</v>
      </c>
      <c r="C32" s="9">
        <f si="0" t="shared"/>
        <v>9.7844522418966268E-3</v>
      </c>
      <c r="E32" s="371">
        <v>21</v>
      </c>
      <c r="F32" s="371" t="n">
        <v>3500.0</v>
      </c>
      <c r="G32" s="9">
        <f si="1" t="shared"/>
        <v>1.6922460594841756E-2</v>
      </c>
    </row>
    <row r="33" spans="1:7" x14ac:dyDescent="0.25">
      <c r="A33">
        <v>22</v>
      </c>
      <c r="B33" s="6" t="n">
        <v>6727.0156542330005</v>
      </c>
      <c r="C33" s="9">
        <f si="0" t="shared"/>
        <v>3.6255073947667318E-2</v>
      </c>
      <c r="E33" s="371">
        <v>22</v>
      </c>
      <c r="F33" s="371" t="n">
        <v>3612.0</v>
      </c>
      <c r="G33" s="9">
        <f si="1" t="shared"/>
        <v>1.827165269124683E-2</v>
      </c>
    </row>
    <row r="34" spans="1:7" x14ac:dyDescent="0.25">
      <c r="A34">
        <v>23</v>
      </c>
      <c r="B34" s="6" t="n">
        <v>852.522173685</v>
      </c>
      <c r="C34" s="9">
        <f si="0" t="shared"/>
        <v>4.5946458337028867E-3</v>
      </c>
      <c r="E34" s="371">
        <v>23</v>
      </c>
      <c r="F34" s="371" t="n">
        <v>3659.0</v>
      </c>
      <c r="G34" s="9">
        <f si="1" t="shared"/>
        <v>1.6954693853117646E-2</v>
      </c>
    </row>
    <row r="35" spans="1:7" x14ac:dyDescent="0.25">
      <c r="A35">
        <v>24</v>
      </c>
      <c r="B35" s="6" t="n">
        <v>3489.720754053</v>
      </c>
      <c r="C35" s="9">
        <f si="0" t="shared"/>
        <v>1.8807758224152132E-2</v>
      </c>
      <c r="E35" s="371">
        <v>24</v>
      </c>
      <c r="F35" s="371" t="n">
        <v>3300.0</v>
      </c>
      <c r="G35" s="9">
        <f si="1" t="shared"/>
        <v>1.5757458545727483E-2</v>
      </c>
    </row>
    <row r="36" spans="1:7" x14ac:dyDescent="0.25">
      <c r="A36">
        <v>25</v>
      </c>
      <c r="B36" s="6" t="n">
        <v>1306.877377669</v>
      </c>
      <c r="C36" s="9">
        <f si="0" t="shared"/>
        <v>7.0433812560118693E-3</v>
      </c>
      <c r="E36" s="371">
        <v>25</v>
      </c>
      <c r="F36" s="371" t="n">
        <v>3418.0</v>
      </c>
      <c r="G36" s="9">
        <f si="1" t="shared"/>
        <v>1.6351471448240295E-2</v>
      </c>
    </row>
    <row r="37" spans="1:7" x14ac:dyDescent="0.25">
      <c r="A37">
        <v>26</v>
      </c>
      <c r="B37" s="6" t="n">
        <v>8990.676427386</v>
      </c>
      <c r="C37" s="9">
        <f si="0" t="shared"/>
        <v>4.8455014150192849E-2</v>
      </c>
      <c r="E37" s="371">
        <v>26</v>
      </c>
      <c r="F37" s="371" t="n">
        <v>3148.0</v>
      </c>
      <c r="G37" s="9">
        <f si="1" t="shared"/>
        <v>1.375899653262236E-2</v>
      </c>
    </row>
    <row r="38" spans="1:7" x14ac:dyDescent="0.25">
      <c r="A38">
        <v>27</v>
      </c>
      <c r="B38" s="6" t="n">
        <v>0.0</v>
      </c>
      <c r="C38" s="9">
        <f si="0" t="shared"/>
        <v>0</v>
      </c>
      <c r="E38" s="371">
        <v>27</v>
      </c>
      <c r="F38" s="371" t="n">
        <v>3134.0</v>
      </c>
      <c r="G38" s="9">
        <f si="1" t="shared"/>
        <v>1.480427505099762E-2</v>
      </c>
    </row>
    <row r="39" spans="1:7" x14ac:dyDescent="0.25">
      <c r="A39">
        <v>28</v>
      </c>
      <c r="B39" s="6" t="n">
        <v>0.0</v>
      </c>
      <c r="C39" s="9">
        <f si="0" t="shared"/>
        <v>0</v>
      </c>
      <c r="E39" s="371">
        <v>28</v>
      </c>
      <c r="F39" s="371" t="n">
        <v>3046.0</v>
      </c>
      <c r="G39" s="9">
        <f si="1" t="shared"/>
        <v>1.5320007183411845E-2</v>
      </c>
    </row>
    <row r="40" spans="1:7" x14ac:dyDescent="0.25">
      <c r="A40">
        <v>29</v>
      </c>
      <c r="B40" s="6" t="n">
        <v>1175.161806947</v>
      </c>
      <c r="C40" s="9">
        <f si="0" t="shared"/>
        <v>6.3335036517312253E-3</v>
      </c>
      <c r="E40" s="371">
        <v>29</v>
      </c>
      <c r="F40" s="371" t="n">
        <v>2801.0</v>
      </c>
      <c r="G40" s="9">
        <f si="1" t="shared"/>
        <v>1.3335359423853532E-2</v>
      </c>
    </row>
    <row r="41" spans="1:7" x14ac:dyDescent="0.25">
      <c r="A41">
        <v>30</v>
      </c>
      <c r="B41" s="6" t="n">
        <v>1090.9683622523</v>
      </c>
      <c r="C41" s="9">
        <f si="0" t="shared"/>
        <v>5.879745295840612E-3</v>
      </c>
      <c r="E41" s="371">
        <v>30</v>
      </c>
      <c r="F41" s="371" t="n">
        <v>2524.0</v>
      </c>
      <c r="G41" s="9">
        <f si="1" t="shared"/>
        <v>1.2322314163754162E-2</v>
      </c>
    </row>
    <row r="42" spans="1:7" x14ac:dyDescent="0.25">
      <c r="A42">
        <v>31</v>
      </c>
      <c r="B42" s="6" t="n">
        <v>2591.576724362</v>
      </c>
      <c r="C42" s="9">
        <f si="0" t="shared"/>
        <v>1.3967234597361822E-2</v>
      </c>
      <c r="E42" s="371">
        <v>31</v>
      </c>
      <c r="F42" s="371" t="n">
        <v>2489.0</v>
      </c>
      <c r="G42" s="9">
        <f si="1" t="shared"/>
        <v>1.168225374941865E-2</v>
      </c>
    </row>
    <row r="43" spans="1:7" x14ac:dyDescent="0.25">
      <c r="A43">
        <v>32</v>
      </c>
      <c r="B43" s="6" t="n">
        <v>497.46684811800003</v>
      </c>
      <c r="C43" s="9">
        <f si="0" t="shared"/>
        <v>2.6810844945309507E-3</v>
      </c>
      <c r="E43" s="371">
        <v>32</v>
      </c>
      <c r="F43" s="371" t="n">
        <v>2385.0</v>
      </c>
      <c r="G43" s="9">
        <f si="1" t="shared"/>
        <v>1.1470435195034236E-2</v>
      </c>
    </row>
    <row r="44" spans="1:7" x14ac:dyDescent="0.25">
      <c r="A44">
        <v>33</v>
      </c>
      <c r="B44" s="6" t="n">
        <v>3090.989389621</v>
      </c>
      <c r="C44" s="9">
        <f si="0" t="shared"/>
        <v>1.6658806022199112E-2</v>
      </c>
      <c r="E44" s="371">
        <v>33</v>
      </c>
      <c r="F44" s="371" t="n">
        <v>2215.0</v>
      </c>
      <c r="G44" s="9">
        <f si="1" t="shared"/>
        <v>1.0116638347446895E-2</v>
      </c>
    </row>
    <row r="45" spans="1:7" x14ac:dyDescent="0.25">
      <c r="A45">
        <v>34</v>
      </c>
      <c r="B45" s="6" t="n">
        <v>479.565616742</v>
      </c>
      <c r="C45" s="9">
        <f si="0" t="shared"/>
        <v>2.5846062788332075E-3</v>
      </c>
      <c r="E45" s="371">
        <v>34</v>
      </c>
      <c r="F45" s="371" t="n">
        <v>2070.0</v>
      </c>
      <c r="G45" s="9">
        <f si="1" t="shared"/>
        <v>9.61011571739721E-3</v>
      </c>
    </row>
    <row r="46" spans="1:7" x14ac:dyDescent="0.25">
      <c r="A46">
        <v>35</v>
      </c>
      <c r="B46" s="6" t="n">
        <v>262.266729046</v>
      </c>
      <c r="C46" s="9">
        <f si="0" t="shared"/>
        <v>1.4134796385663676E-3</v>
      </c>
      <c r="E46" s="371">
        <v>35</v>
      </c>
      <c r="F46" s="371" t="n">
        <v>1892.0</v>
      </c>
      <c r="G46" s="9">
        <f si="1" t="shared"/>
        <v>8.5326039407460624E-3</v>
      </c>
    </row>
    <row r="47" spans="1:7" x14ac:dyDescent="0.25">
      <c r="A47">
        <v>36</v>
      </c>
      <c r="B47" s="6" t="n">
        <v>3215.8599660269997</v>
      </c>
      <c r="C47" s="9">
        <f si="0" t="shared"/>
        <v>1.7331792709637341E-2</v>
      </c>
      <c r="E47" s="371">
        <v>36</v>
      </c>
      <c r="F47" s="371" t="n">
        <v>1584.0</v>
      </c>
      <c r="G47" s="9">
        <f si="1" t="shared"/>
        <v>7.2202498537991501E-3</v>
      </c>
    </row>
    <row r="48" spans="1:7" x14ac:dyDescent="0.25">
      <c r="A48">
        <v>37</v>
      </c>
      <c r="B48" s="6" t="n">
        <v>419.47484465</v>
      </c>
      <c r="C48" s="9">
        <f si="0" t="shared"/>
        <v>2.2607486430334467E-3</v>
      </c>
      <c r="E48" s="371">
        <v>37</v>
      </c>
      <c r="F48" s="371" t="n">
        <v>1474.0</v>
      </c>
      <c r="G48" s="9">
        <f si="1" t="shared"/>
        <v>6.6216322001040676E-3</v>
      </c>
    </row>
    <row r="49" spans="1:7" x14ac:dyDescent="0.25">
      <c r="A49">
        <v>38</v>
      </c>
      <c r="B49" s="6" t="n">
        <v>1113.06873554</v>
      </c>
      <c r="C49" s="9">
        <f si="0" t="shared"/>
        <v>5.9988546764338357E-3</v>
      </c>
      <c r="E49" s="371">
        <v>38</v>
      </c>
      <c r="F49" s="371" t="n">
        <v>1443.0</v>
      </c>
      <c r="G49" s="9">
        <f si="1" t="shared"/>
        <v>6.055247804684874E-3</v>
      </c>
    </row>
    <row r="50" spans="1:7" x14ac:dyDescent="0.25">
      <c r="A50">
        <v>39</v>
      </c>
      <c r="B50" s="6" t="n">
        <v>290.9780584714</v>
      </c>
      <c r="C50" s="9">
        <f si="0" t="shared"/>
        <v>1.5682185933952749E-3</v>
      </c>
      <c r="E50" s="371">
        <v>39</v>
      </c>
      <c r="F50" s="371" t="n">
        <v>1233.0</v>
      </c>
      <c r="G50" s="9">
        <f si="1" t="shared"/>
        <v>5.405977887984823E-3</v>
      </c>
    </row>
    <row r="51" spans="1:7" x14ac:dyDescent="0.25">
      <c r="A51">
        <v>40</v>
      </c>
      <c r="B51" s="6" t="n">
        <v>828.5122630469999</v>
      </c>
      <c r="C51" s="9">
        <f si="0" t="shared"/>
        <v>4.4652450517811406E-3</v>
      </c>
      <c r="E51" s="371">
        <v>40</v>
      </c>
      <c r="F51" s="371" t="n">
        <v>1089.0</v>
      </c>
      <c r="G51" s="9">
        <f si="1" t="shared"/>
        <v>5.2125783383294884E-3</v>
      </c>
    </row>
    <row r="52" spans="1:7" x14ac:dyDescent="0.25">
      <c r="A52">
        <v>41</v>
      </c>
      <c r="B52" s="6" t="n">
        <v>5.1375</v>
      </c>
      <c r="C52" s="9">
        <f si="0" t="shared"/>
        <v>2.7688421133513451E-5</v>
      </c>
      <c r="E52" s="371">
        <v>41</v>
      </c>
      <c r="F52" s="371" t="n">
        <v>1135.0</v>
      </c>
      <c r="G52" s="9">
        <f si="1" t="shared"/>
        <v>4.9869455303982648E-3</v>
      </c>
    </row>
    <row r="53" spans="1:7" x14ac:dyDescent="0.25">
      <c r="A53">
        <v>42</v>
      </c>
      <c r="B53" s="6" t="n">
        <v>86.794586259</v>
      </c>
      <c r="C53" s="9">
        <f si="0" t="shared"/>
        <v>4.6777713994126556E-4</v>
      </c>
      <c r="E53" s="371">
        <v>42</v>
      </c>
      <c r="F53" s="371" t="n">
        <v>997.0</v>
      </c>
      <c r="G53" s="9">
        <f si="1" t="shared"/>
        <v>4.82577923901882E-3</v>
      </c>
    </row>
    <row r="54" spans="1:7" x14ac:dyDescent="0.25">
      <c r="A54">
        <v>43</v>
      </c>
      <c r="B54" s="6" t="n">
        <v>212.839593796</v>
      </c>
      <c r="C54" s="9">
        <f si="0" t="shared"/>
        <v>1.1470933930724254E-3</v>
      </c>
      <c r="E54" s="371">
        <v>43</v>
      </c>
      <c r="F54" s="371" t="n">
        <v>891.0</v>
      </c>
      <c r="G54" s="9">
        <f si="1" t="shared"/>
        <v>4.1534855664074194E-3</v>
      </c>
    </row>
    <row r="55" spans="1:7" x14ac:dyDescent="0.25">
      <c r="A55">
        <v>44</v>
      </c>
      <c r="B55" s="6" t="n">
        <v>1525.131380749</v>
      </c>
      <c r="C55" s="9">
        <f si="0" t="shared"/>
        <v>8.219655465521199E-3</v>
      </c>
      <c r="E55" s="371">
        <v>44</v>
      </c>
      <c r="F55" s="371" t="n">
        <v>715.0</v>
      </c>
      <c r="G55" s="9">
        <f si="1" t="shared"/>
        <v>3.6838009458158927E-3</v>
      </c>
    </row>
    <row r="56" spans="1:7" x14ac:dyDescent="0.25">
      <c r="A56">
        <v>45</v>
      </c>
      <c r="B56" s="6" t="n">
        <v>145.521851989</v>
      </c>
      <c r="C56" s="9">
        <f si="0" t="shared"/>
        <v>7.8428619406330788E-4</v>
      </c>
      <c r="E56" s="371">
        <v>45</v>
      </c>
      <c r="F56" s="371" t="n">
        <v>617.0</v>
      </c>
      <c r="G56" s="9">
        <f si="1" t="shared"/>
        <v>3.3200256024165735E-3</v>
      </c>
    </row>
    <row r="57" spans="1:7" x14ac:dyDescent="0.25">
      <c r="A57">
        <v>46</v>
      </c>
      <c r="B57" s="6" t="n">
        <v>423.619718723</v>
      </c>
      <c r="C57" s="9">
        <f si="0" t="shared"/>
        <v>2.2830873328395012E-3</v>
      </c>
      <c r="E57" s="371">
        <v>46</v>
      </c>
      <c r="F57" s="371" t="n">
        <v>580.0</v>
      </c>
      <c r="G57" s="9">
        <f si="1" t="shared"/>
        <v>2.7352222022683005E-3</v>
      </c>
    </row>
    <row r="58" spans="1:7" x14ac:dyDescent="0.25">
      <c r="A58">
        <v>47</v>
      </c>
      <c r="B58" s="6" t="n">
        <v>514.0966729920001</v>
      </c>
      <c r="C58" s="9">
        <f si="0" t="shared"/>
        <v>2.7707104983242139E-3</v>
      </c>
      <c r="E58" s="371">
        <v>47</v>
      </c>
      <c r="F58" s="371" t="n">
        <v>606.0</v>
      </c>
      <c r="G58" s="9">
        <f si="1" t="shared"/>
        <v>2.4589371313321084E-3</v>
      </c>
    </row>
    <row r="59" spans="1:7" x14ac:dyDescent="0.25">
      <c r="A59">
        <v>48</v>
      </c>
      <c r="B59" s="6" t="n">
        <v>250.75810084469998</v>
      </c>
      <c r="C59" s="9">
        <f si="0" t="shared"/>
        <v>1.3514541895529126E-3</v>
      </c>
      <c r="E59" s="371">
        <v>48</v>
      </c>
      <c r="F59" s="371" t="n">
        <v>509.0</v>
      </c>
      <c r="G59" s="9">
        <f si="1" t="shared"/>
        <v>2.376051610051251E-3</v>
      </c>
    </row>
    <row r="60" spans="1:7" x14ac:dyDescent="0.25">
      <c r="A60">
        <v>49</v>
      </c>
      <c r="B60" s="6" t="n">
        <v>224.25520624400002</v>
      </c>
      <c r="C60" s="9">
        <f si="0" t="shared"/>
        <v>1.2086175361297885E-3</v>
      </c>
      <c r="E60" s="371">
        <v>49</v>
      </c>
      <c r="F60" s="371" t="n">
        <v>439.0</v>
      </c>
      <c r="G60" s="9">
        <f si="1" t="shared"/>
        <v>2.104371290297329E-3</v>
      </c>
    </row>
    <row r="61" spans="1:7" x14ac:dyDescent="0.25">
      <c r="A61">
        <v>50</v>
      </c>
      <c r="B61" s="6" t="n">
        <v>0.0</v>
      </c>
      <c r="C61" s="9">
        <f si="0" t="shared"/>
        <v>0</v>
      </c>
      <c r="E61" s="371">
        <v>50</v>
      </c>
      <c r="F61" s="371" t="n">
        <v>398.0</v>
      </c>
      <c r="G61" s="9">
        <f si="1" t="shared"/>
        <v>1.7037579374398505E-3</v>
      </c>
    </row>
    <row r="62" spans="1:7" x14ac:dyDescent="0.25">
      <c r="A62">
        <v>51</v>
      </c>
      <c r="B62" s="6" t="n">
        <v>0.0</v>
      </c>
      <c r="C62" s="9">
        <f si="0" t="shared"/>
        <v>0</v>
      </c>
      <c r="E62" s="371">
        <v>51</v>
      </c>
      <c r="F62" s="371" t="n">
        <v>340.0</v>
      </c>
      <c r="G62" s="9">
        <f si="1" t="shared"/>
        <v>1.5103583877845161E-3</v>
      </c>
    </row>
    <row r="63" spans="1:7" x14ac:dyDescent="0.25">
      <c r="A63">
        <v>52</v>
      </c>
      <c r="B63" s="6" t="n">
        <v>363.531135753</v>
      </c>
      <c r="C63" s="9">
        <f si="0" t="shared"/>
        <v>1.959241495255185E-3</v>
      </c>
      <c r="E63" s="371">
        <v>52</v>
      </c>
      <c r="F63" s="371" t="n">
        <v>284.0</v>
      </c>
      <c r="G63" s="9">
        <f si="1" t="shared"/>
        <v>1.3906348570454996E-3</v>
      </c>
    </row>
    <row r="64" spans="1:7" x14ac:dyDescent="0.25">
      <c r="A64">
        <v>53</v>
      </c>
      <c r="B64" s="6" t="n">
        <v>0.0</v>
      </c>
      <c r="C64" s="9">
        <f si="0" t="shared"/>
        <v>0</v>
      </c>
      <c r="E64" s="371">
        <v>53</v>
      </c>
      <c r="F64" s="371" t="n">
        <v>260.0</v>
      </c>
      <c r="G64" s="9">
        <f si="1" t="shared"/>
        <v>1.2847255798532926E-3</v>
      </c>
    </row>
    <row r="65" spans="1:7" x14ac:dyDescent="0.25">
      <c r="A65">
        <v>54</v>
      </c>
      <c r="B65" s="6" t="n">
        <v>145.521851989</v>
      </c>
      <c r="C65" s="9">
        <f si="0" t="shared"/>
        <v>7.8428619406330788E-4</v>
      </c>
      <c r="E65" s="371">
        <v>54</v>
      </c>
      <c r="F65" s="371" t="n">
        <v>239.0</v>
      </c>
      <c r="G65" s="9">
        <f si="1" t="shared"/>
        <v>1.1281640396561172E-3</v>
      </c>
    </row>
    <row r="66" spans="1:7" x14ac:dyDescent="0.25">
      <c r="A66">
        <v>55</v>
      </c>
      <c r="B66" s="6" t="n">
        <v>232.100097862</v>
      </c>
      <c r="C66" s="9">
        <f si="0" t="shared"/>
        <v>1.2508973731839886E-3</v>
      </c>
      <c r="E66" s="371">
        <v>55</v>
      </c>
      <c r="F66" s="371" t="n">
        <v>192.0</v>
      </c>
      <c r="G66" s="9">
        <f si="1" t="shared"/>
        <v>1.1051402837447678E-3</v>
      </c>
    </row>
    <row r="67" spans="1:7" x14ac:dyDescent="0.25">
      <c r="A67">
        <v>56</v>
      </c>
      <c r="B67" s="6" t="n">
        <v>0.0</v>
      </c>
      <c r="C67" s="9">
        <f si="0" t="shared"/>
        <v>0</v>
      </c>
      <c r="E67" s="371">
        <v>56</v>
      </c>
      <c r="F67" s="371" t="n">
        <v>222.0</v>
      </c>
      <c r="G67" s="9">
        <f si="1" t="shared"/>
        <v>7.7359819862133749E-4</v>
      </c>
    </row>
    <row r="68" spans="1:7" x14ac:dyDescent="0.2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162.0</v>
      </c>
      <c r="G68" s="9">
        <f si="1" t="shared"/>
        <v>8.9792648054262388E-4</v>
      </c>
    </row>
    <row r="69" spans="1:7" x14ac:dyDescent="0.2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155.0</v>
      </c>
      <c r="G69" s="9">
        <f si="1" t="shared"/>
        <v>7.4136494034544843E-4</v>
      </c>
    </row>
    <row r="70" spans="1:7" x14ac:dyDescent="0.25">
      <c r="A70">
        <v>59</v>
      </c>
      <c r="B70" s="6" t="n">
        <v>0.0</v>
      </c>
      <c r="C70" s="9">
        <f si="0" t="shared"/>
        <v>0</v>
      </c>
      <c r="E70" s="371">
        <v>59</v>
      </c>
      <c r="F70" s="371" t="n">
        <v>133.0</v>
      </c>
      <c r="G70" s="9">
        <f si="1" t="shared"/>
        <v>7.3676018916317854E-4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140.0</v>
      </c>
      <c r="G71" s="9">
        <f si="1" t="shared"/>
        <v>7.1834118443409912E-4</v>
      </c>
    </row>
    <row r="72" spans="1:7" x14ac:dyDescent="0.25">
      <c r="A72">
        <v>61</v>
      </c>
      <c r="B72" s="6" t="n">
        <v>985.236238173</v>
      </c>
      <c r="C72" s="9">
        <f si="0" t="shared"/>
        <v>5.3099047938749552E-3</v>
      </c>
      <c r="E72" s="371">
        <v>61</v>
      </c>
      <c r="F72" s="371" t="n">
        <v>145.0</v>
      </c>
      <c r="G72" s="9">
        <f si="1" t="shared"/>
        <v>7.6899344743906761E-4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145.0</v>
      </c>
      <c r="G73" s="9">
        <f si="1" t="shared"/>
        <v>6.6768892142913053E-4</v>
      </c>
    </row>
    <row r="74" spans="1:7" x14ac:dyDescent="0.2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125.0</v>
      </c>
      <c r="G74" s="9">
        <f si="1" t="shared"/>
        <v>4.6968462059152635E-4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119.0</v>
      </c>
      <c r="G75" s="9">
        <f si="1" t="shared"/>
        <v>4.46660864680177E-4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94.0</v>
      </c>
      <c r="G76" s="9">
        <f si="1" t="shared"/>
        <v>5.4796539069011403E-4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95.0</v>
      </c>
      <c r="G77" s="9">
        <f ref="G77:G102" si="3" t="shared">F77/F$102</f>
        <v>4.4205611349790711E-4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103.0</v>
      </c>
      <c r="G78" s="9">
        <f si="3" t="shared"/>
        <v>4.6507986940925647E-4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109.0</v>
      </c>
      <c r="G79" s="9">
        <f si="3" t="shared"/>
        <v>4.0061335285747834E-4</v>
      </c>
    </row>
    <row r="80" spans="1:7" x14ac:dyDescent="0.2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61.0</v>
      </c>
      <c r="G80" s="9">
        <f si="3" t="shared"/>
        <v>5.3415113714330449E-4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110.0</v>
      </c>
      <c r="G81" s="9">
        <f si="3" t="shared"/>
        <v>4.8349887413833595E-4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64.0</v>
      </c>
      <c r="G82" s="9">
        <f si="3" t="shared"/>
        <v>3.1772783157662073E-4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69.0</v>
      </c>
      <c r="G83" s="9">
        <f si="3" t="shared"/>
        <v>3.0391357802981114E-4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69.0</v>
      </c>
      <c r="G84" s="9">
        <f si="3" t="shared"/>
        <v>3.131230803943509E-4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69.0</v>
      </c>
      <c r="G85" s="9">
        <f si="3" t="shared"/>
        <v>3.4535633867023997E-4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72.0</v>
      </c>
      <c r="G86" s="9">
        <f si="3" t="shared"/>
        <v>2.4865656384257277E-4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64.0</v>
      </c>
      <c r="G87" s="9">
        <f si="3" t="shared"/>
        <v>2.8088982211846184E-4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39.0</v>
      </c>
      <c r="G88" s="9">
        <f si="3" t="shared"/>
        <v>2.5326131502484265E-4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41.0</v>
      </c>
      <c r="G89" s="9">
        <f si="3" t="shared"/>
        <v>1.749805449262549E-4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47.0</v>
      </c>
      <c r="G90" s="9">
        <f si="3" t="shared"/>
        <v>1.6577104256171519E-4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51.0</v>
      </c>
      <c r="G91" s="9">
        <f si="3" t="shared"/>
        <v>1.9800430083760423E-4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44.0</v>
      </c>
      <c r="G92" s="9">
        <f si="3" t="shared"/>
        <v>1.6116629137944531E-4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38.0</v>
      </c>
      <c r="G93" s="9">
        <f si="3" t="shared"/>
        <v>2.0721380320214397E-4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34.0</v>
      </c>
      <c r="G94" s="9">
        <f si="3" t="shared"/>
        <v>1.7958529610852478E-4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58.0</v>
      </c>
      <c r="G95" s="9">
        <f si="3" t="shared"/>
        <v>3.2693733394116049E-4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29.0</v>
      </c>
      <c r="G96" s="9">
        <f si="3" t="shared"/>
        <v>1.6116629137944531E-4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46.0</v>
      </c>
      <c r="G97" s="9">
        <f si="3" t="shared"/>
        <v>1.8419004729079464E-4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35.0</v>
      </c>
      <c r="G98" s="9">
        <f si="3" t="shared"/>
        <v>1.5656154019717545E-4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28.0</v>
      </c>
      <c r="G99" s="9">
        <f si="3" t="shared"/>
        <v>1.1511877955674665E-4</v>
      </c>
    </row>
    <row r="100" spans="1:7" x14ac:dyDescent="0.25">
      <c r="A100">
        <v>89</v>
      </c>
      <c r="B100" s="6" t="n">
        <v>357.255567611</v>
      </c>
      <c r="C100" s="9">
        <f si="2" t="shared"/>
        <v>1.9254194858016071E-3</v>
      </c>
      <c r="E100" s="371">
        <v>89</v>
      </c>
      <c r="F100" s="371" t="n">
        <v>39.0</v>
      </c>
      <c r="G100" s="9">
        <f si="3" t="shared"/>
        <v>1.2432828192128638E-4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1159.0</v>
      </c>
      <c r="G101" s="9">
        <f si="3" t="shared"/>
        <v>5.3645351273443938E-3</v>
      </c>
    </row>
    <row r="102" spans="1:7" x14ac:dyDescent="0.25">
      <c r="B102" s="6">
        <f>SUM(B11:B101)</f>
        <v>185546.87445799081</v>
      </c>
      <c r="C102" s="9">
        <f si="2" t="shared"/>
        <v>1</v>
      </c>
      <c r="F102" s="6">
        <f>SUM(F11:F101)</f>
        <v>217167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M102"/>
  <sheetViews>
    <sheetView workbookViewId="0">
      <selection activeCell="U14" sqref="U14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5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34726.2377248585</v>
      </c>
      <c r="C11" s="9">
        <f>B11/B$102</f>
        <v>0.20059219556467947</v>
      </c>
      <c r="E11" s="371">
        <v>0</v>
      </c>
      <c r="F11" s="371" t="n">
        <v>40286.0</v>
      </c>
      <c r="G11" s="9">
        <f>F11/F$102</f>
        <v>0.14017434978069426</v>
      </c>
      <c r="K11" s="6" t="n">
        <v>5.088760181863778</v>
      </c>
      <c r="L11" s="6" t="n">
        <v>6.578301554020837</v>
      </c>
    </row>
    <row r="12" spans="1:12" x14ac:dyDescent="0.25">
      <c r="A12">
        <v>1</v>
      </c>
      <c r="B12" s="6" t="n">
        <v>30827.2042983888</v>
      </c>
      <c r="C12" s="9">
        <f>B12/B$102</f>
        <v>0.17806986873525268</v>
      </c>
      <c r="E12" s="371">
        <v>1</v>
      </c>
      <c r="F12" s="371" t="n">
        <v>39786.0</v>
      </c>
      <c r="G12" s="9">
        <f>F12/F$102</f>
        <v>0.13720465571392404</v>
      </c>
      <c r="K12" s="6"/>
      <c r="L12" s="371"/>
    </row>
    <row r="13" spans="1:12" x14ac:dyDescent="0.25">
      <c r="A13">
        <v>2</v>
      </c>
      <c r="B13" s="6" t="n">
        <v>14851.6721490482</v>
      </c>
      <c r="C13" s="9">
        <f ref="C13:C76" si="0" t="shared">B13/B$102</f>
        <v>8.5789009099934643E-2</v>
      </c>
      <c r="E13" s="371">
        <v>2</v>
      </c>
      <c r="F13" s="371" t="n">
        <v>30026.0</v>
      </c>
      <c r="G13" s="9">
        <f ref="G13:G76" si="1" t="shared">F13/F$102</f>
        <v>0.10528044449614418</v>
      </c>
    </row>
    <row r="14" spans="1:12" x14ac:dyDescent="0.25">
      <c r="A14">
        <v>3</v>
      </c>
      <c r="B14" s="6" t="n">
        <v>14897.6441871475</v>
      </c>
      <c r="C14" s="9">
        <f si="0" t="shared"/>
        <v>8.6054561392987131E-2</v>
      </c>
      <c r="E14" s="371">
        <v>3</v>
      </c>
      <c r="F14" s="371" t="n">
        <v>27818.0</v>
      </c>
      <c r="G14" s="9">
        <f si="1" t="shared"/>
        <v>9.5464716065771199E-2</v>
      </c>
    </row>
    <row r="15" spans="1:12" x14ac:dyDescent="0.25">
      <c r="A15">
        <v>4</v>
      </c>
      <c r="B15" s="6" t="n">
        <v>19825.6999264528</v>
      </c>
      <c r="C15" s="9">
        <f si="0" t="shared"/>
        <v>0.1145209195526198</v>
      </c>
      <c r="E15" s="371">
        <v>4</v>
      </c>
      <c r="F15" s="371" t="n">
        <v>23091.0</v>
      </c>
      <c r="G15" s="9">
        <f si="1" t="shared"/>
        <v>7.8368447342671219E-2</v>
      </c>
    </row>
    <row r="16" spans="1:12" x14ac:dyDescent="0.25">
      <c r="A16">
        <v>5</v>
      </c>
      <c r="B16" s="6" t="n">
        <v>9453.9540652196</v>
      </c>
      <c r="C16" s="9">
        <f si="0" t="shared"/>
        <v>5.4609699378764288E-2</v>
      </c>
      <c r="E16" s="371">
        <v>5</v>
      </c>
      <c r="F16" s="371" t="n">
        <v>17760.0</v>
      </c>
      <c r="G16" s="9">
        <f si="1" t="shared"/>
        <v>6.1114798519258537E-2</v>
      </c>
    </row>
    <row r="17" spans="1:7" x14ac:dyDescent="0.25">
      <c r="A17">
        <v>6</v>
      </c>
      <c r="B17" s="6" t="n">
        <v>7234.9464613845</v>
      </c>
      <c r="C17" s="9">
        <f si="0" t="shared"/>
        <v>4.1791852229449623E-2</v>
      </c>
      <c r="E17" s="371">
        <v>6</v>
      </c>
      <c r="F17" s="371" t="n">
        <v>12777.0</v>
      </c>
      <c r="G17" s="9">
        <f si="1" t="shared"/>
        <v>4.5647071703742222E-2</v>
      </c>
    </row>
    <row r="18" spans="1:7" x14ac:dyDescent="0.25">
      <c r="A18">
        <v>7</v>
      </c>
      <c r="B18" s="6" t="n">
        <v>3886.535549684</v>
      </c>
      <c r="C18" s="9">
        <f si="0" t="shared"/>
        <v>2.245013425376672E-2</v>
      </c>
      <c r="E18" s="371">
        <v>7</v>
      </c>
      <c r="F18" s="371" t="n">
        <v>10787.0</v>
      </c>
      <c r="G18" s="9">
        <f si="1" t="shared"/>
        <v>3.7281977241468971E-2</v>
      </c>
    </row>
    <row r="19" spans="1:7" x14ac:dyDescent="0.25">
      <c r="A19">
        <v>8</v>
      </c>
      <c r="B19" s="6" t="n">
        <v>3557.1853688799997</v>
      </c>
      <c r="C19" s="9">
        <f si="0" t="shared"/>
        <v>2.0547680080627014E-2</v>
      </c>
      <c r="E19" s="371">
        <v>8</v>
      </c>
      <c r="F19" s="371" t="n">
        <v>10808.0</v>
      </c>
      <c r="G19" s="9">
        <f si="1" t="shared"/>
        <v>3.8034664677747139E-2</v>
      </c>
    </row>
    <row r="20" spans="1:7" x14ac:dyDescent="0.25">
      <c r="A20">
        <v>9</v>
      </c>
      <c r="B20" s="6" t="n">
        <v>3587.923743215</v>
      </c>
      <c r="C20" s="9">
        <f si="0" t="shared"/>
        <v>2.0725236833097578E-2</v>
      </c>
      <c r="E20" s="371">
        <v>9</v>
      </c>
      <c r="F20" s="371" t="n">
        <v>7599.0</v>
      </c>
      <c r="G20" s="9">
        <f si="1" t="shared"/>
        <v>2.7616786298351615E-2</v>
      </c>
    </row>
    <row r="21" spans="1:7" x14ac:dyDescent="0.25">
      <c r="A21">
        <v>10</v>
      </c>
      <c r="B21" s="6" t="n">
        <v>1877.9888918949998</v>
      </c>
      <c r="C21" s="9">
        <f si="0" t="shared"/>
        <v>1.0847991022120794E-2</v>
      </c>
      <c r="E21" s="371">
        <v>10</v>
      </c>
      <c r="F21" s="371" t="n">
        <v>6967.0</v>
      </c>
      <c r="G21" s="9">
        <f si="1" t="shared"/>
        <v>2.4195479769814496E-2</v>
      </c>
    </row>
    <row r="22" spans="1:7" x14ac:dyDescent="0.25">
      <c r="A22">
        <v>11</v>
      </c>
      <c r="B22" s="6" t="n">
        <v>3043.479174995</v>
      </c>
      <c r="C22" s="9">
        <f si="0" t="shared"/>
        <v>1.7580314190805819E-2</v>
      </c>
      <c r="E22" s="371">
        <v>11</v>
      </c>
      <c r="F22" s="371" t="n">
        <v>7011.0</v>
      </c>
      <c r="G22" s="9">
        <f si="1" t="shared"/>
        <v>2.4198901076343034E-2</v>
      </c>
    </row>
    <row r="23" spans="1:7" x14ac:dyDescent="0.25">
      <c r="A23">
        <v>12</v>
      </c>
      <c r="B23" s="6" t="n">
        <v>1270.227402045</v>
      </c>
      <c r="C23" s="9">
        <f si="0" t="shared"/>
        <v>7.3373253233312528E-3</v>
      </c>
      <c r="E23" s="371">
        <v>12</v>
      </c>
      <c r="F23" s="371" t="n">
        <v>7237.0</v>
      </c>
      <c r="G23" s="9">
        <f si="1" t="shared"/>
        <v>2.572138248154205E-2</v>
      </c>
    </row>
    <row r="24" spans="1:7" x14ac:dyDescent="0.25">
      <c r="A24">
        <v>13</v>
      </c>
      <c r="B24" s="6" t="n">
        <v>3797.1926619478</v>
      </c>
      <c r="C24" s="9">
        <f si="0" t="shared"/>
        <v>2.193405513943571E-2</v>
      </c>
      <c r="E24" s="371">
        <v>13</v>
      </c>
      <c r="F24" s="371" t="n">
        <v>6317.0</v>
      </c>
      <c r="G24" s="9">
        <f si="1" t="shared"/>
        <v>2.2009264898079278E-2</v>
      </c>
    </row>
    <row r="25" spans="1:7" x14ac:dyDescent="0.25">
      <c r="A25">
        <v>14</v>
      </c>
      <c r="B25" s="6" t="n">
        <v>1747.7218242220001</v>
      </c>
      <c r="C25" s="9">
        <f si="0" t="shared"/>
        <v>1.0095517998082422E-2</v>
      </c>
      <c r="E25" s="371">
        <v>14</v>
      </c>
      <c r="F25" s="371" t="n">
        <v>5548.0</v>
      </c>
      <c r="G25" s="9">
        <f si="1" t="shared"/>
        <v>2.0117282387798252E-2</v>
      </c>
    </row>
    <row r="26" spans="1:7" x14ac:dyDescent="0.25">
      <c r="A26">
        <v>15</v>
      </c>
      <c r="B26" s="6" t="n">
        <v>1290.148767359</v>
      </c>
      <c r="C26" s="9">
        <f si="0" t="shared"/>
        <v>7.4523988432052685E-3</v>
      </c>
      <c r="E26" s="371">
        <v>15</v>
      </c>
      <c r="F26" s="371" t="n">
        <v>5419.0</v>
      </c>
      <c r="G26" s="9">
        <f si="1" t="shared"/>
        <v>1.8605064902184845E-2</v>
      </c>
    </row>
    <row r="27" spans="1:7" x14ac:dyDescent="0.25">
      <c r="A27">
        <v>16</v>
      </c>
      <c r="B27" s="6" t="n">
        <v>4009.3974380442</v>
      </c>
      <c r="C27" s="9">
        <f si="0" t="shared"/>
        <v>2.3159832094709419E-2</v>
      </c>
      <c r="E27" s="371">
        <v>16</v>
      </c>
      <c r="F27" s="371" t="n">
        <v>4413.0</v>
      </c>
      <c r="G27" s="9">
        <f si="1" t="shared"/>
        <v>1.6268312543193993E-2</v>
      </c>
    </row>
    <row r="28" spans="1:7" x14ac:dyDescent="0.25">
      <c r="A28">
        <v>17</v>
      </c>
      <c r="B28" s="6" t="n">
        <v>512.4768816430001</v>
      </c>
      <c r="C28" s="9">
        <f si="0" t="shared"/>
        <v>2.960264906305183E-3</v>
      </c>
      <c r="E28" s="371">
        <v>17</v>
      </c>
      <c r="F28" s="371" t="n">
        <v>3527.0</v>
      </c>
      <c r="G28" s="9">
        <f si="1" t="shared"/>
        <v>1.278542249714321E-2</v>
      </c>
    </row>
    <row r="29" spans="1:7" x14ac:dyDescent="0.25">
      <c r="A29">
        <v>18</v>
      </c>
      <c r="B29" s="6" t="n">
        <v>2837.359102758</v>
      </c>
      <c r="C29" s="9">
        <f si="0" t="shared"/>
        <v>1.6389684841103105E-2</v>
      </c>
      <c r="E29" s="371">
        <v>18</v>
      </c>
      <c r="F29" s="371" t="n">
        <v>3065.0</v>
      </c>
      <c r="G29" s="9">
        <f si="1" t="shared"/>
        <v>1.0725795966963865E-2</v>
      </c>
    </row>
    <row r="30" spans="1:7" x14ac:dyDescent="0.25">
      <c r="A30">
        <v>19</v>
      </c>
      <c r="B30" s="6" t="n">
        <v>6355.543577378</v>
      </c>
      <c r="C30" s="9">
        <f si="0" t="shared"/>
        <v>3.671208065481401E-2</v>
      </c>
      <c r="E30" s="371">
        <v>19</v>
      </c>
      <c r="F30" s="371" t="n">
        <v>2851.0</v>
      </c>
      <c r="G30" s="9">
        <f si="1" t="shared"/>
        <v>9.4633338579336677E-3</v>
      </c>
    </row>
    <row r="31" spans="1:7" x14ac:dyDescent="0.25">
      <c r="A31">
        <v>20</v>
      </c>
      <c r="B31" s="6" t="n">
        <v>0.0</v>
      </c>
      <c r="C31" s="9">
        <f si="0" t="shared"/>
        <v>0</v>
      </c>
      <c r="E31" s="371">
        <v>20</v>
      </c>
      <c r="F31" s="371" t="n">
        <v>2261.0</v>
      </c>
      <c r="G31" s="9">
        <f si="1" t="shared"/>
        <v>7.7971575785360913E-3</v>
      </c>
    </row>
    <row r="32" spans="1:7" x14ac:dyDescent="0.25">
      <c r="A32">
        <v>21</v>
      </c>
      <c r="B32" s="6" t="n">
        <v>487.756336396</v>
      </c>
      <c r="C32" s="9">
        <f si="0" t="shared"/>
        <v>2.8174694648311974E-3</v>
      </c>
      <c r="E32" s="371">
        <v>21</v>
      </c>
      <c r="F32" s="371" t="n">
        <v>1988.0</v>
      </c>
      <c r="G32" s="9">
        <f si="1" t="shared"/>
        <v>6.733131248161048E-3</v>
      </c>
    </row>
    <row r="33" spans="1:7" x14ac:dyDescent="0.25">
      <c r="A33">
        <v>22</v>
      </c>
      <c r="B33" s="6" t="n">
        <v>1310.847583535</v>
      </c>
      <c r="C33" s="9">
        <f si="0" t="shared"/>
        <v>7.571963220297618E-3</v>
      </c>
      <c r="E33" s="371">
        <v>22</v>
      </c>
      <c r="F33" s="371" t="n">
        <v>1837.0</v>
      </c>
      <c r="G33" s="9">
        <f si="1" t="shared"/>
        <v>6.0146568771682531E-3</v>
      </c>
    </row>
    <row r="34" spans="1:7" x14ac:dyDescent="0.25">
      <c r="A34">
        <v>23</v>
      </c>
      <c r="B34" s="6" t="n">
        <v>0.0</v>
      </c>
      <c r="C34" s="9">
        <f si="0" t="shared"/>
        <v>0</v>
      </c>
      <c r="E34" s="371">
        <v>23</v>
      </c>
      <c r="F34" s="371" t="n">
        <v>1473.0</v>
      </c>
      <c r="G34" s="9">
        <f si="1" t="shared"/>
        <v>5.2003859233764188E-3</v>
      </c>
    </row>
    <row r="35" spans="1:7" x14ac:dyDescent="0.25">
      <c r="A35">
        <v>24</v>
      </c>
      <c r="B35" s="6" t="n">
        <v>0.0</v>
      </c>
      <c r="C35" s="9">
        <f si="0" t="shared"/>
        <v>0</v>
      </c>
      <c r="E35" s="371">
        <v>24</v>
      </c>
      <c r="F35" s="371" t="n">
        <v>1098.0</v>
      </c>
      <c r="G35" s="9">
        <f si="1" t="shared"/>
        <v>3.8147567793188862E-3</v>
      </c>
    </row>
    <row r="36" spans="1:7" x14ac:dyDescent="0.25">
      <c r="A36">
        <v>25</v>
      </c>
      <c r="B36" s="6" t="n">
        <v>0.0</v>
      </c>
      <c r="C36" s="9">
        <f si="0" t="shared"/>
        <v>0</v>
      </c>
      <c r="E36" s="371">
        <v>25</v>
      </c>
      <c r="F36" s="371" t="n">
        <v>856.0</v>
      </c>
      <c r="G36" s="9">
        <f si="1" t="shared"/>
        <v>3.2091855237678163E-3</v>
      </c>
    </row>
    <row r="37" spans="1:7" x14ac:dyDescent="0.25">
      <c r="A37">
        <v>26</v>
      </c>
      <c r="B37" s="6" t="n">
        <v>0.0</v>
      </c>
      <c r="C37" s="9">
        <f si="0" t="shared"/>
        <v>0</v>
      </c>
      <c r="E37" s="371">
        <v>26</v>
      </c>
      <c r="F37" s="371" t="n">
        <v>779.0</v>
      </c>
      <c r="G37" s="9">
        <f si="1" t="shared"/>
        <v>2.7370452228296944E-3</v>
      </c>
    </row>
    <row r="38" spans="1:7" x14ac:dyDescent="0.25">
      <c r="A38">
        <v>27</v>
      </c>
      <c r="B38" s="6" t="n">
        <v>364.251284428</v>
      </c>
      <c r="C38" s="9">
        <f si="0" t="shared"/>
        <v>2.1040564618482519E-3</v>
      </c>
      <c r="E38" s="371">
        <v>27</v>
      </c>
      <c r="F38" s="371" t="n">
        <v>603.0</v>
      </c>
      <c r="G38" s="9">
        <f si="1" t="shared"/>
        <v>2.0801543693505678E-3</v>
      </c>
    </row>
    <row r="39" spans="1:7" x14ac:dyDescent="0.25">
      <c r="A39">
        <v>28</v>
      </c>
      <c r="B39" s="6" t="n">
        <v>0.0</v>
      </c>
      <c r="C39" s="9">
        <f si="0" t="shared"/>
        <v>0</v>
      </c>
      <c r="E39" s="371">
        <v>28</v>
      </c>
      <c r="F39" s="371" t="n">
        <v>429.0</v>
      </c>
      <c r="G39" s="9">
        <f si="1" t="shared"/>
        <v>1.5190600986704802E-3</v>
      </c>
    </row>
    <row r="40" spans="1:7" x14ac:dyDescent="0.25">
      <c r="A40">
        <v>29</v>
      </c>
      <c r="B40" s="6" t="n">
        <v>109.769290789</v>
      </c>
      <c r="C40" s="9">
        <f si="0" t="shared"/>
        <v>6.3406992774173252E-4</v>
      </c>
      <c r="E40" s="371">
        <v>29</v>
      </c>
      <c r="F40" s="371" t="n">
        <v>495.0</v>
      </c>
      <c r="G40" s="9">
        <f si="1" t="shared"/>
        <v>1.7003893446829476E-3</v>
      </c>
    </row>
    <row r="41" spans="1:7" x14ac:dyDescent="0.25">
      <c r="A41">
        <v>30</v>
      </c>
      <c r="B41" s="6" t="n">
        <v>0.0</v>
      </c>
      <c r="C41" s="9">
        <f si="0" t="shared"/>
        <v>0</v>
      </c>
      <c r="E41" s="371">
        <v>30</v>
      </c>
      <c r="F41" s="371" t="n">
        <v>386.0</v>
      </c>
      <c r="G41" s="9">
        <f si="1" t="shared"/>
        <v>1.3582586918292358E-3</v>
      </c>
    </row>
    <row r="42" spans="1:7" x14ac:dyDescent="0.25">
      <c r="A42">
        <v>31</v>
      </c>
      <c r="B42" s="6" t="n">
        <v>0.0</v>
      </c>
      <c r="C42" s="9">
        <f si="0" t="shared"/>
        <v>0</v>
      </c>
      <c r="E42" s="371">
        <v>31</v>
      </c>
      <c r="F42" s="371" t="n">
        <v>309.0</v>
      </c>
      <c r="G42" s="9">
        <f si="1" t="shared"/>
        <v>9.7507236063307853E-4</v>
      </c>
    </row>
    <row r="43" spans="1:7" x14ac:dyDescent="0.25">
      <c r="A43">
        <v>32</v>
      </c>
      <c r="B43" s="6" t="n">
        <v>0.0</v>
      </c>
      <c r="C43" s="9">
        <f si="0" t="shared"/>
        <v>0</v>
      </c>
      <c r="E43" s="371">
        <v>32</v>
      </c>
      <c r="F43" s="371" t="n">
        <v>280.0</v>
      </c>
      <c r="G43" s="9">
        <f si="1" t="shared"/>
        <v>9.6480844104746715E-4</v>
      </c>
    </row>
    <row r="44" spans="1:7" x14ac:dyDescent="0.25">
      <c r="A44">
        <v>33</v>
      </c>
      <c r="B44" s="6" t="n">
        <v>411.941406586</v>
      </c>
      <c r="C44" s="9">
        <f si="0" t="shared"/>
        <v>2.3795330736890172E-3</v>
      </c>
      <c r="E44" s="371">
        <v>33</v>
      </c>
      <c r="F44" s="371" t="n">
        <v>221.0</v>
      </c>
      <c r="G44" s="9">
        <f si="1" t="shared"/>
        <v>8.3479879296305675E-4</v>
      </c>
    </row>
    <row r="45" spans="1:7" x14ac:dyDescent="0.25">
      <c r="A45">
        <v>34</v>
      </c>
      <c r="B45" s="6" t="n">
        <v>0.0</v>
      </c>
      <c r="C45" s="9">
        <f si="0" t="shared"/>
        <v>0</v>
      </c>
      <c r="E45" s="371">
        <v>34</v>
      </c>
      <c r="F45" s="371" t="n">
        <v>154.0</v>
      </c>
      <c r="G45" s="9">
        <f si="1" t="shared"/>
        <v>5.9530733596545847E-4</v>
      </c>
    </row>
    <row r="46" spans="1:7" x14ac:dyDescent="0.25">
      <c r="A46">
        <v>35</v>
      </c>
      <c r="B46" s="6" t="n">
        <v>619.342925768</v>
      </c>
      <c r="C46" s="9">
        <f si="0" t="shared"/>
        <v>3.577564557139529E-3</v>
      </c>
      <c r="E46" s="371">
        <v>35</v>
      </c>
      <c r="F46" s="371" t="n">
        <v>146.0</v>
      </c>
      <c r="G46" s="9">
        <f si="1" t="shared"/>
        <v>4.5161246176689956E-4</v>
      </c>
    </row>
    <row r="47" spans="1:7" x14ac:dyDescent="0.25">
      <c r="A47">
        <v>36</v>
      </c>
      <c r="B47" s="6" t="n">
        <v>0.0</v>
      </c>
      <c r="C47" s="9">
        <f si="0" t="shared"/>
        <v>0</v>
      </c>
      <c r="E47" s="371">
        <v>36</v>
      </c>
      <c r="F47" s="371" t="n">
        <v>220.0</v>
      </c>
      <c r="G47" s="9">
        <f si="1" t="shared"/>
        <v>6.8083999917888647E-4</v>
      </c>
    </row>
    <row r="48" spans="1:7" x14ac:dyDescent="0.25">
      <c r="A48">
        <v>37</v>
      </c>
      <c r="B48" s="6" t="n">
        <v>0.0</v>
      </c>
      <c r="C48" s="9">
        <f si="0" t="shared"/>
        <v>0</v>
      </c>
      <c r="E48" s="371">
        <v>37</v>
      </c>
      <c r="F48" s="371" t="n">
        <v>141.0</v>
      </c>
      <c r="G48" s="9">
        <f si="1" t="shared"/>
        <v>4.858255270522707E-4</v>
      </c>
    </row>
    <row r="49" spans="1:7" x14ac:dyDescent="0.25">
      <c r="A49">
        <v>38</v>
      </c>
      <c r="B49" s="6" t="n">
        <v>0.0</v>
      </c>
      <c r="C49" s="9">
        <f si="0" t="shared"/>
        <v>0</v>
      </c>
      <c r="E49" s="371">
        <v>38</v>
      </c>
      <c r="F49" s="371" t="n">
        <v>144.0</v>
      </c>
      <c r="G49" s="9">
        <f si="1" t="shared"/>
        <v>5.2688120539471609E-4</v>
      </c>
    </row>
    <row r="50" spans="1:7" x14ac:dyDescent="0.25">
      <c r="A50">
        <v>39</v>
      </c>
      <c r="B50" s="6" t="n">
        <v>0.0</v>
      </c>
      <c r="C50" s="9">
        <f si="0" t="shared"/>
        <v>0</v>
      </c>
      <c r="E50" s="371">
        <v>39</v>
      </c>
      <c r="F50" s="371" t="n">
        <v>111.0</v>
      </c>
      <c r="G50" s="9">
        <f si="1" t="shared"/>
        <v>4.5845507482397376E-4</v>
      </c>
    </row>
    <row r="51" spans="1:7" x14ac:dyDescent="0.25">
      <c r="A51">
        <v>40</v>
      </c>
      <c r="B51" s="6" t="n">
        <v>0.0</v>
      </c>
      <c r="C51" s="9">
        <f si="0" t="shared"/>
        <v>0</v>
      </c>
      <c r="E51" s="371">
        <v>40</v>
      </c>
      <c r="F51" s="371" t="n">
        <v>85.0</v>
      </c>
      <c r="G51" s="9">
        <f si="1" t="shared"/>
        <v>3.0791758756834061E-4</v>
      </c>
    </row>
    <row r="52" spans="1:7" x14ac:dyDescent="0.25">
      <c r="A52">
        <v>41</v>
      </c>
      <c r="B52" s="6" t="n">
        <v>0.0</v>
      </c>
      <c r="C52" s="9">
        <f si="0" t="shared"/>
        <v>0</v>
      </c>
      <c r="E52" s="371">
        <v>41</v>
      </c>
      <c r="F52" s="371" t="n">
        <v>49.0</v>
      </c>
      <c r="G52" s="9">
        <f si="1" t="shared"/>
        <v>1.9159316559807859E-4</v>
      </c>
    </row>
    <row r="53" spans="1:7" x14ac:dyDescent="0.25">
      <c r="A53">
        <v>42</v>
      </c>
      <c r="B53" s="6" t="n">
        <v>0.0</v>
      </c>
      <c r="C53" s="9">
        <f si="0" t="shared"/>
        <v>0</v>
      </c>
      <c r="E53" s="371">
        <v>42</v>
      </c>
      <c r="F53" s="371" t="n">
        <v>56.0</v>
      </c>
      <c r="G53" s="9">
        <f si="1" t="shared"/>
        <v>1.6422271336978165E-4</v>
      </c>
    </row>
    <row r="54" spans="1:7" x14ac:dyDescent="0.25">
      <c r="A54">
        <v>43</v>
      </c>
      <c r="B54" s="6" t="n">
        <v>0.0</v>
      </c>
      <c r="C54" s="9">
        <f si="0" t="shared"/>
        <v>0</v>
      </c>
      <c r="E54" s="371">
        <v>43</v>
      </c>
      <c r="F54" s="371" t="n">
        <v>40.0</v>
      </c>
      <c r="G54" s="9">
        <f si="1" t="shared"/>
        <v>1.3343095461294758E-4</v>
      </c>
    </row>
    <row r="55" spans="1:7" x14ac:dyDescent="0.25">
      <c r="A55">
        <v>44</v>
      </c>
      <c r="B55" s="6" t="n">
        <v>0.0</v>
      </c>
      <c r="C55" s="9">
        <f si="0" t="shared"/>
        <v>0</v>
      </c>
      <c r="E55" s="371">
        <v>44</v>
      </c>
      <c r="F55" s="371" t="n">
        <v>37.0</v>
      </c>
      <c r="G55" s="9">
        <f si="1" t="shared"/>
        <v>1.4027356767002183E-4</v>
      </c>
    </row>
    <row r="56" spans="1:7" x14ac:dyDescent="0.25">
      <c r="A56">
        <v>45</v>
      </c>
      <c r="B56" s="6" t="n">
        <v>0.0</v>
      </c>
      <c r="C56" s="9">
        <f si="0" t="shared"/>
        <v>0</v>
      </c>
      <c r="E56" s="371">
        <v>45</v>
      </c>
      <c r="F56" s="371" t="n">
        <v>43.0</v>
      </c>
      <c r="G56" s="9">
        <f si="1" t="shared"/>
        <v>1.4027356767002183E-4</v>
      </c>
    </row>
    <row r="57" spans="1:7" x14ac:dyDescent="0.25">
      <c r="A57">
        <v>46</v>
      </c>
      <c r="B57" s="6" t="n">
        <v>0.0</v>
      </c>
      <c r="C57" s="9">
        <f si="0" t="shared"/>
        <v>0</v>
      </c>
      <c r="E57" s="371">
        <v>46</v>
      </c>
      <c r="F57" s="371" t="n">
        <v>28.0</v>
      </c>
      <c r="G57" s="9">
        <f si="1" t="shared"/>
        <v>1.0606050238465066E-4</v>
      </c>
    </row>
    <row r="58" spans="1:7" x14ac:dyDescent="0.25">
      <c r="A58">
        <v>47</v>
      </c>
      <c r="B58" s="6" t="n">
        <v>0.0</v>
      </c>
      <c r="C58" s="9">
        <f si="0" t="shared"/>
        <v>0</v>
      </c>
      <c r="E58" s="371">
        <v>47</v>
      </c>
      <c r="F58" s="371" t="n">
        <v>32.0</v>
      </c>
      <c r="G58" s="9">
        <f si="1" t="shared"/>
        <v>7.526874362781659E-5</v>
      </c>
    </row>
    <row r="59" spans="1:7" x14ac:dyDescent="0.25">
      <c r="A59">
        <v>48</v>
      </c>
      <c r="B59" s="6" t="n">
        <v>0.0</v>
      </c>
      <c r="C59" s="9">
        <f si="0" t="shared"/>
        <v>0</v>
      </c>
      <c r="E59" s="371">
        <v>48</v>
      </c>
      <c r="F59" s="371" t="n">
        <v>15.0</v>
      </c>
      <c r="G59" s="9">
        <f si="1" t="shared"/>
        <v>5.4740904456593883E-5</v>
      </c>
    </row>
    <row r="60" spans="1:7" x14ac:dyDescent="0.25">
      <c r="A60">
        <v>49</v>
      </c>
      <c r="B60" s="6" t="n">
        <v>0.0</v>
      </c>
      <c r="C60" s="9">
        <f si="0" t="shared"/>
        <v>0</v>
      </c>
      <c r="E60" s="371">
        <v>49</v>
      </c>
      <c r="F60" s="371" t="n">
        <v>14.0</v>
      </c>
      <c r="G60" s="9">
        <f si="1" t="shared"/>
        <v>7.8690050156353714E-5</v>
      </c>
    </row>
    <row r="61" spans="1:7" x14ac:dyDescent="0.25">
      <c r="A61">
        <v>50</v>
      </c>
      <c r="B61" s="6" t="n">
        <v>0.0</v>
      </c>
      <c r="C61" s="9">
        <f si="0" t="shared"/>
        <v>0</v>
      </c>
      <c r="E61" s="371">
        <v>50</v>
      </c>
      <c r="F61" s="371" t="n">
        <v>15.0</v>
      </c>
      <c r="G61" s="9">
        <f si="1" t="shared"/>
        <v>5.8162210985131001E-5</v>
      </c>
    </row>
    <row r="62" spans="1:7" x14ac:dyDescent="0.25">
      <c r="A62">
        <v>51</v>
      </c>
      <c r="B62" s="6" t="n">
        <v>0.0</v>
      </c>
      <c r="C62" s="9">
        <f si="0" t="shared"/>
        <v>0</v>
      </c>
      <c r="E62" s="371">
        <v>51</v>
      </c>
      <c r="F62" s="371" t="n">
        <v>13.0</v>
      </c>
      <c r="G62" s="9">
        <f si="1" t="shared"/>
        <v>4.1055678342445412E-5</v>
      </c>
    </row>
    <row r="63" spans="1:7" x14ac:dyDescent="0.25">
      <c r="A63">
        <v>52</v>
      </c>
      <c r="B63" s="6" t="n">
        <v>0.0</v>
      </c>
      <c r="C63" s="9">
        <f si="0" t="shared"/>
        <v>0</v>
      </c>
      <c r="E63" s="371">
        <v>52</v>
      </c>
      <c r="F63" s="371" t="n">
        <v>8.0</v>
      </c>
      <c r="G63" s="9">
        <f si="1" t="shared"/>
        <v>2.0527839171222706E-5</v>
      </c>
    </row>
    <row r="64" spans="1:7" x14ac:dyDescent="0.25">
      <c r="A64">
        <v>53</v>
      </c>
      <c r="B64" s="6" t="n">
        <v>0.0</v>
      </c>
      <c r="C64" s="9">
        <f si="0" t="shared"/>
        <v>0</v>
      </c>
      <c r="E64" s="371">
        <v>53</v>
      </c>
      <c r="F64" s="371" t="n">
        <v>7.0</v>
      </c>
      <c r="G64" s="9">
        <f si="1" t="shared"/>
        <v>1.7106532642685589E-5</v>
      </c>
    </row>
    <row r="65" spans="1:7" x14ac:dyDescent="0.25">
      <c r="A65">
        <v>54</v>
      </c>
      <c r="B65" s="6" t="n">
        <v>0.0</v>
      </c>
      <c r="C65" s="9">
        <f si="0" t="shared"/>
        <v>0</v>
      </c>
      <c r="E65" s="371">
        <v>54</v>
      </c>
      <c r="F65" s="371" t="n">
        <v>11.0</v>
      </c>
      <c r="G65" s="9">
        <f si="1" t="shared"/>
        <v>6.8426130570742354E-6</v>
      </c>
    </row>
    <row r="66" spans="1:7" x14ac:dyDescent="0.2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1.0</v>
      </c>
      <c r="G66" s="9">
        <f si="1" t="shared"/>
        <v>3.4213065285371177E-6</v>
      </c>
    </row>
    <row r="67" spans="1:7" x14ac:dyDescent="0.25">
      <c r="A67">
        <v>56</v>
      </c>
      <c r="B67" s="6" t="n">
        <v>0.0</v>
      </c>
      <c r="C67" s="9">
        <f si="0" t="shared"/>
        <v>0</v>
      </c>
      <c r="E67" s="371">
        <v>56</v>
      </c>
      <c r="F67" s="371" t="n">
        <v>1.0</v>
      </c>
      <c r="G67" s="9">
        <f si="1" t="shared"/>
        <v>3.4213065285371177E-6</v>
      </c>
    </row>
    <row r="68" spans="1:7" x14ac:dyDescent="0.2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3.0</v>
      </c>
      <c r="G68" s="9">
        <f si="1" t="shared"/>
        <v>2.0527839171222706E-5</v>
      </c>
    </row>
    <row r="69" spans="1:7" x14ac:dyDescent="0.2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3.0</v>
      </c>
      <c r="G69" s="9">
        <f si="1" t="shared"/>
        <v>0</v>
      </c>
    </row>
    <row r="70" spans="1:7" x14ac:dyDescent="0.25">
      <c r="A70">
        <v>59</v>
      </c>
      <c r="B70" s="6" t="n">
        <v>0.0</v>
      </c>
      <c r="C70" s="9">
        <f si="0" t="shared"/>
        <v>0</v>
      </c>
      <c r="E70" s="371">
        <v>59</v>
      </c>
      <c r="F70" s="371" t="n">
        <v>1.0</v>
      </c>
      <c r="G70" s="9">
        <f si="1" t="shared"/>
        <v>3.4213065285371177E-6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2.0</v>
      </c>
      <c r="G71" s="9">
        <f si="1" t="shared"/>
        <v>3.4213065285371177E-6</v>
      </c>
    </row>
    <row r="72" spans="1:7" x14ac:dyDescent="0.2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0.0</v>
      </c>
      <c r="G72" s="9">
        <f si="1" t="shared"/>
        <v>3.4213065285371177E-6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0.0</v>
      </c>
      <c r="G73" s="9">
        <f si="1" t="shared"/>
        <v>3.4213065285371177E-6</v>
      </c>
    </row>
    <row r="74" spans="1:7" x14ac:dyDescent="0.2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1.0</v>
      </c>
      <c r="G74" s="9">
        <f si="1" t="shared"/>
        <v>3.4213065285371177E-6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0.0</v>
      </c>
      <c r="G75" s="9">
        <f si="1" t="shared"/>
        <v>3.4213065285371177E-6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0.0</v>
      </c>
      <c r="G76" s="9">
        <f si="1" t="shared"/>
        <v>0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0.0</v>
      </c>
      <c r="G77" s="9">
        <f ref="G77:G102" si="3" t="shared">F77/F$102</f>
        <v>0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0.0</v>
      </c>
      <c r="G78" s="9">
        <f si="3" t="shared"/>
        <v>0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0.0</v>
      </c>
      <c r="G79" s="9">
        <f si="3" t="shared"/>
        <v>0</v>
      </c>
    </row>
    <row r="80" spans="1:7" x14ac:dyDescent="0.2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0.0</v>
      </c>
      <c r="G80" s="9">
        <f si="3" t="shared"/>
        <v>0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0.0</v>
      </c>
      <c r="G81" s="9">
        <f si="3" t="shared"/>
        <v>0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0.0</v>
      </c>
      <c r="G82" s="9">
        <f si="3" t="shared"/>
        <v>0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0.0</v>
      </c>
      <c r="G83" s="9">
        <f si="3" t="shared"/>
        <v>0</v>
      </c>
    </row>
    <row r="84" spans="1:7" x14ac:dyDescent="0.25">
      <c r="A84">
        <v>73</v>
      </c>
      <c r="B84" s="6" t="n">
        <v>224.140299381</v>
      </c>
      <c r="C84" s="9">
        <f si="2" t="shared"/>
        <v>1.294721159360564E-3</v>
      </c>
      <c r="E84" s="371">
        <v>73</v>
      </c>
      <c r="F84" s="371" t="n">
        <v>0.0</v>
      </c>
      <c r="G84" s="9">
        <f si="3" t="shared"/>
        <v>0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0.0</v>
      </c>
      <c r="G85" s="9">
        <f si="3" t="shared"/>
        <v>0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0.0</v>
      </c>
      <c r="G86" s="9">
        <f si="3" t="shared"/>
        <v>0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0.0</v>
      </c>
      <c r="G87" s="9">
        <f si="3" t="shared"/>
        <v>0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0.0</v>
      </c>
      <c r="G88" s="9">
        <f si="3" t="shared"/>
        <v>0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0.0</v>
      </c>
      <c r="G89" s="9">
        <f si="3" t="shared"/>
        <v>0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0.0</v>
      </c>
      <c r="G90" s="9">
        <f si="3" t="shared"/>
        <v>0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0.0</v>
      </c>
      <c r="G91" s="9">
        <f si="3" t="shared"/>
        <v>0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0.0</v>
      </c>
      <c r="G92" s="9">
        <f si="3" t="shared"/>
        <v>0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0.0</v>
      </c>
      <c r="G93" s="9">
        <f si="3" t="shared"/>
        <v>0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0.0</v>
      </c>
      <c r="G94" s="9">
        <f si="3" t="shared"/>
        <v>0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0.0</v>
      </c>
      <c r="G95" s="9">
        <f si="3" t="shared"/>
        <v>0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0.0</v>
      </c>
      <c r="G96" s="9">
        <f si="3" t="shared"/>
        <v>0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0.0</v>
      </c>
      <c r="G97" s="9">
        <f si="3" t="shared"/>
        <v>0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0.0</v>
      </c>
      <c r="G98" s="9">
        <f si="3" t="shared"/>
        <v>0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0.0</v>
      </c>
      <c r="G99" s="9">
        <f si="3" t="shared"/>
        <v>0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0.0</v>
      </c>
      <c r="G100" s="9">
        <f si="3" t="shared"/>
        <v>0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0.0</v>
      </c>
      <c r="G101" s="9">
        <f si="3" t="shared"/>
        <v>0</v>
      </c>
    </row>
    <row r="102" spans="1:7" x14ac:dyDescent="0.25">
      <c r="B102" s="6">
        <f>SUM(B11:B101)</f>
        <v>173118.58832344893</v>
      </c>
      <c r="C102" s="9">
        <f si="2" t="shared"/>
        <v>1</v>
      </c>
      <c r="F102" s="6">
        <f>SUM(F11:F101)</f>
        <v>292286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M102"/>
  <sheetViews>
    <sheetView workbookViewId="0">
      <selection activeCell="A6" sqref="A6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0.0</v>
      </c>
      <c r="C11" s="9">
        <f>B11/B$102</f>
        <v>0</v>
      </c>
      <c r="E11" s="371">
        <v>0</v>
      </c>
      <c r="F11" s="371" t="n">
        <v>1333.0</v>
      </c>
      <c r="G11" s="9">
        <f>F11/F$102</f>
        <v>4.259526628028712E-3</v>
      </c>
      <c r="K11" s="6" t="n">
        <v>13.746060644652028</v>
      </c>
      <c r="L11" s="6" t="n">
        <v>16.505422332825965</v>
      </c>
    </row>
    <row r="12" spans="1:12" x14ac:dyDescent="0.25">
      <c r="A12">
        <v>1</v>
      </c>
      <c r="B12" s="6" t="n">
        <v>4979.429121118999</v>
      </c>
      <c r="C12" s="9">
        <f>B12/B$102</f>
        <v>2.8763110705452392E-2</v>
      </c>
      <c r="E12" s="371">
        <v>1</v>
      </c>
      <c r="F12" s="371" t="n">
        <v>6061.0</v>
      </c>
      <c r="G12" s="9">
        <f>F12/F$102</f>
        <v>2.0948659874232771E-2</v>
      </c>
      <c r="K12" s="6"/>
      <c r="L12" s="371"/>
    </row>
    <row r="13" spans="1:12" x14ac:dyDescent="0.25">
      <c r="A13">
        <v>2</v>
      </c>
      <c r="B13" s="6" t="n">
        <v>6241.0700921912</v>
      </c>
      <c r="C13" s="9">
        <f ref="C13:C76" si="0" t="shared">B13/B$102</f>
        <v>3.6050837478703301E-2</v>
      </c>
      <c r="E13" s="371">
        <v>2</v>
      </c>
      <c r="F13" s="371" t="n">
        <v>10890.0</v>
      </c>
      <c r="G13" s="9">
        <f ref="G13:G76" si="1" t="shared">F13/F$102</f>
        <v>3.763095050737976E-2</v>
      </c>
    </row>
    <row r="14" spans="1:12" x14ac:dyDescent="0.25">
      <c r="A14">
        <v>3</v>
      </c>
      <c r="B14" s="6" t="n">
        <v>13202.451969816</v>
      </c>
      <c r="C14" s="9">
        <f si="0" t="shared"/>
        <v>7.626247474447391E-2</v>
      </c>
      <c r="E14" s="371">
        <v>3</v>
      </c>
      <c r="F14" s="371" t="n">
        <v>16771.0</v>
      </c>
      <c r="G14" s="9">
        <f si="1" t="shared"/>
        <v>5.793640475424755E-2</v>
      </c>
    </row>
    <row r="15" spans="1:12" x14ac:dyDescent="0.25">
      <c r="A15">
        <v>4</v>
      </c>
      <c r="B15" s="6" t="n">
        <v>12453.8887636233</v>
      </c>
      <c r="C15" s="9">
        <f si="0" t="shared"/>
        <v>7.1938483811772272E-2</v>
      </c>
      <c r="E15" s="371">
        <v>4</v>
      </c>
      <c r="F15" s="371" t="n">
        <v>18994.0</v>
      </c>
      <c r="G15" s="9">
        <f si="1" t="shared"/>
        <v>6.5624080523870462E-2</v>
      </c>
    </row>
    <row r="16" spans="1:12" x14ac:dyDescent="0.25">
      <c r="A16">
        <v>5</v>
      </c>
      <c r="B16" s="6" t="n">
        <v>14902.755724695</v>
      </c>
      <c r="C16" s="9">
        <f si="0" t="shared"/>
        <v>8.6084087613117519E-2</v>
      </c>
      <c r="E16" s="371">
        <v>5</v>
      </c>
      <c r="F16" s="371" t="n">
        <v>17017.0</v>
      </c>
      <c r="G16" s="9">
        <f si="1" t="shared"/>
        <v>5.8216951889587594E-2</v>
      </c>
    </row>
    <row r="17" spans="1:7" x14ac:dyDescent="0.25">
      <c r="A17">
        <v>6</v>
      </c>
      <c r="B17" s="6" t="n">
        <v>9694.0775771743</v>
      </c>
      <c r="C17" s="9">
        <f si="0" t="shared"/>
        <v>5.599674576286523E-2</v>
      </c>
      <c r="E17" s="371">
        <v>6</v>
      </c>
      <c r="F17" s="371" t="n">
        <v>15667.0</v>
      </c>
      <c r="G17" s="9">
        <f si="1" t="shared"/>
        <v>5.575703249556941E-2</v>
      </c>
    </row>
    <row r="18" spans="1:7" x14ac:dyDescent="0.25">
      <c r="A18">
        <v>7</v>
      </c>
      <c r="B18" s="6" t="n">
        <v>9929.5543552646</v>
      </c>
      <c r="C18" s="9">
        <f si="0" t="shared"/>
        <v>5.7356950812887608E-2</v>
      </c>
      <c r="E18" s="371">
        <v>7</v>
      </c>
      <c r="F18" s="371" t="n">
        <v>15631.0</v>
      </c>
      <c r="G18" s="9">
        <f si="1" t="shared"/>
        <v>5.3115783855538751E-2</v>
      </c>
    </row>
    <row r="19" spans="1:7" x14ac:dyDescent="0.25">
      <c r="A19">
        <v>8</v>
      </c>
      <c r="B19" s="6" t="n">
        <v>10947.9616569304</v>
      </c>
      <c r="C19" s="9">
        <f si="0" t="shared"/>
        <v>6.3239665728301794E-2</v>
      </c>
      <c r="E19" s="371">
        <v>8</v>
      </c>
      <c r="F19" s="371" t="n">
        <v>13666.0</v>
      </c>
      <c r="G19" s="9">
        <f si="1" t="shared"/>
        <v>4.7860657027705741E-2</v>
      </c>
    </row>
    <row r="20" spans="1:7" x14ac:dyDescent="0.25">
      <c r="A20">
        <v>9</v>
      </c>
      <c r="B20" s="6" t="n">
        <v>6359.2500272529005</v>
      </c>
      <c r="C20" s="9">
        <f si="0" t="shared"/>
        <v>3.6733490544478636E-2</v>
      </c>
      <c r="E20" s="371">
        <v>9</v>
      </c>
      <c r="F20" s="371" t="n">
        <v>12254.0</v>
      </c>
      <c r="G20" s="9">
        <f si="1" t="shared"/>
        <v>4.2034172009607032E-2</v>
      </c>
    </row>
    <row r="21" spans="1:7" x14ac:dyDescent="0.25">
      <c r="A21">
        <v>10</v>
      </c>
      <c r="B21" s="6" t="n">
        <v>8866.4957482014</v>
      </c>
      <c r="C21" s="9">
        <f si="0" t="shared"/>
        <v>5.1216312667912579E-2</v>
      </c>
      <c r="E21" s="371">
        <v>10</v>
      </c>
      <c r="F21" s="371" t="n">
        <v>11114.0</v>
      </c>
      <c r="G21" s="9">
        <f si="1" t="shared"/>
        <v>3.8034664677747139E-2</v>
      </c>
    </row>
    <row r="22" spans="1:7" x14ac:dyDescent="0.25">
      <c r="A22">
        <v>11</v>
      </c>
      <c r="B22" s="6" t="n">
        <v>8900.9570246616</v>
      </c>
      <c r="C22" s="9">
        <f si="0" t="shared"/>
        <v>5.141537434461603E-2</v>
      </c>
      <c r="E22" s="371">
        <v>11</v>
      </c>
      <c r="F22" s="371" t="n">
        <v>9033.0</v>
      </c>
      <c r="G22" s="9">
        <f si="1" t="shared"/>
        <v>3.0938874937561155E-2</v>
      </c>
    </row>
    <row r="23" spans="1:7" x14ac:dyDescent="0.25">
      <c r="A23">
        <v>12</v>
      </c>
      <c r="B23" s="6" t="n">
        <v>3402.2158881685</v>
      </c>
      <c r="C23" s="9">
        <f si="0" t="shared"/>
        <v>1.9652516353771986E-2</v>
      </c>
      <c r="E23" s="371">
        <v>12</v>
      </c>
      <c r="F23" s="371" t="n">
        <v>8274.0</v>
      </c>
      <c r="G23" s="9">
        <f si="1" t="shared"/>
        <v>2.9135846397022096E-2</v>
      </c>
    </row>
    <row r="24" spans="1:7" x14ac:dyDescent="0.25">
      <c r="A24">
        <v>13</v>
      </c>
      <c r="B24" s="6" t="n">
        <v>5237.5095203304</v>
      </c>
      <c r="C24" s="9">
        <f si="0" t="shared"/>
        <v>3.0253883023496089E-2</v>
      </c>
      <c r="E24" s="371">
        <v>13</v>
      </c>
      <c r="F24" s="371" t="n">
        <v>6904.0</v>
      </c>
      <c r="G24" s="9">
        <f si="1" t="shared"/>
        <v>2.4578666101010654E-2</v>
      </c>
    </row>
    <row r="25" spans="1:7" x14ac:dyDescent="0.25">
      <c r="A25">
        <v>14</v>
      </c>
      <c r="B25" s="6" t="n">
        <v>2249.900433663</v>
      </c>
      <c r="C25" s="9">
        <f si="0" t="shared"/>
        <v>1.2996296096519469E-2</v>
      </c>
      <c r="E25" s="371">
        <v>14</v>
      </c>
      <c r="F25" s="371" t="n">
        <v>5583.0</v>
      </c>
      <c r="G25" s="9">
        <f si="1" t="shared"/>
        <v>1.9292747514420807E-2</v>
      </c>
    </row>
    <row r="26" spans="1:7" x14ac:dyDescent="0.25">
      <c r="A26">
        <v>15</v>
      </c>
      <c r="B26" s="6" t="n">
        <v>4299.7073869057</v>
      </c>
      <c r="C26" s="9">
        <f si="0" t="shared"/>
        <v>2.4836774771246819E-2</v>
      </c>
      <c r="E26" s="371">
        <v>15</v>
      </c>
      <c r="F26" s="371" t="n">
        <v>5904.0</v>
      </c>
      <c r="G26" s="9">
        <f si="1" t="shared"/>
        <v>2.0562052236508078E-2</v>
      </c>
    </row>
    <row r="27" spans="1:7" x14ac:dyDescent="0.25">
      <c r="A27">
        <v>16</v>
      </c>
      <c r="B27" s="6" t="n">
        <v>2757.441887723</v>
      </c>
      <c r="C27" s="9">
        <f si="0" t="shared"/>
        <v>1.592805206204136E-2</v>
      </c>
      <c r="E27" s="371">
        <v>16</v>
      </c>
      <c r="F27" s="371" t="n">
        <v>6630.0</v>
      </c>
      <c r="G27" s="9">
        <f si="1" t="shared"/>
        <v>2.1800565199838515E-2</v>
      </c>
    </row>
    <row r="28" spans="1:7" x14ac:dyDescent="0.25">
      <c r="A28">
        <v>17</v>
      </c>
      <c r="B28" s="6" t="n">
        <v>2850.893275417</v>
      </c>
      <c r="C28" s="9">
        <f si="0" t="shared"/>
        <v>1.6467863462995017E-2</v>
      </c>
      <c r="E28" s="371">
        <v>17</v>
      </c>
      <c r="F28" s="371" t="n">
        <v>6034.0</v>
      </c>
      <c r="G28" s="9">
        <f si="1" t="shared"/>
        <v>2.1318160979314781E-2</v>
      </c>
    </row>
    <row r="29" spans="1:7" x14ac:dyDescent="0.25">
      <c r="A29">
        <v>18</v>
      </c>
      <c r="B29" s="6" t="n">
        <v>5316.01887555</v>
      </c>
      <c r="C29" s="9">
        <f si="0" t="shared"/>
        <v>3.0707383459121846E-2</v>
      </c>
      <c r="E29" s="371">
        <v>18</v>
      </c>
      <c r="F29" s="371" t="n">
        <v>5505.0</v>
      </c>
      <c r="G29" s="9">
        <f si="1" t="shared"/>
        <v>1.905325605742321E-2</v>
      </c>
    </row>
    <row r="30" spans="1:7" x14ac:dyDescent="0.25">
      <c r="A30">
        <v>19</v>
      </c>
      <c r="B30" s="6" t="n">
        <v>3228.341941584</v>
      </c>
      <c r="C30" s="9">
        <f si="0" t="shared"/>
        <v>1.8648153111971284E-2</v>
      </c>
      <c r="E30" s="371">
        <v>19</v>
      </c>
      <c r="F30" s="371" t="n">
        <v>5006.0</v>
      </c>
      <c r="G30" s="9">
        <f si="1" t="shared"/>
        <v>1.7534195958752729E-2</v>
      </c>
    </row>
    <row r="31" spans="1:7" x14ac:dyDescent="0.25">
      <c r="A31">
        <v>20</v>
      </c>
      <c r="B31" s="6" t="n">
        <v>851.06722683</v>
      </c>
      <c r="C31" s="9">
        <f si="0" t="shared"/>
        <v>4.9160938468369129E-3</v>
      </c>
      <c r="E31" s="371">
        <v>20</v>
      </c>
      <c r="F31" s="371" t="n">
        <v>5084.0</v>
      </c>
      <c r="G31" s="9">
        <f si="1" t="shared"/>
        <v>1.8163716360003558E-2</v>
      </c>
    </row>
    <row r="32" spans="1:7" x14ac:dyDescent="0.25">
      <c r="A32">
        <v>21</v>
      </c>
      <c r="B32" s="6" t="n">
        <v>2095.386748724</v>
      </c>
      <c r="C32" s="9">
        <f si="0" t="shared"/>
        <v>1.2103765222536646E-2</v>
      </c>
      <c r="E32" s="371">
        <v>21</v>
      </c>
      <c r="F32" s="371" t="n">
        <v>5031.0</v>
      </c>
      <c r="G32" s="9">
        <f si="1" t="shared"/>
        <v>1.77805300288074E-2</v>
      </c>
    </row>
    <row r="33" spans="1:7" x14ac:dyDescent="0.25">
      <c r="A33">
        <v>22</v>
      </c>
      <c r="B33" s="6" t="n">
        <v>429.86334112799995</v>
      </c>
      <c r="C33" s="9">
        <f si="0" t="shared"/>
        <v>2.4830571072174974E-3</v>
      </c>
      <c r="E33" s="371">
        <v>22</v>
      </c>
      <c r="F33" s="371" t="n">
        <v>5328.0</v>
      </c>
      <c r="G33" s="9">
        <f si="1" t="shared"/>
        <v>1.9388544097219847E-2</v>
      </c>
    </row>
    <row r="34" spans="1:7" x14ac:dyDescent="0.25">
      <c r="A34">
        <v>23</v>
      </c>
      <c r="B34" s="6" t="n">
        <v>4400.907532473</v>
      </c>
      <c r="C34" s="9">
        <f si="0" t="shared"/>
        <v>2.542134599809983E-2</v>
      </c>
      <c r="E34" s="371">
        <v>23</v>
      </c>
      <c r="F34" s="371" t="n">
        <v>5357.0</v>
      </c>
      <c r="G34" s="9">
        <f si="1" t="shared"/>
        <v>1.9463812840847663E-2</v>
      </c>
    </row>
    <row r="35" spans="1:7" x14ac:dyDescent="0.25">
      <c r="A35">
        <v>24</v>
      </c>
      <c r="B35" s="6" t="n">
        <v>845.500980779</v>
      </c>
      <c r="C35" s="9">
        <f si="0" t="shared"/>
        <v>4.8839410543210669E-3</v>
      </c>
      <c r="E35" s="371">
        <v>24</v>
      </c>
      <c r="F35" s="371" t="n">
        <v>4632.0</v>
      </c>
      <c r="G35" s="9">
        <f si="1" t="shared"/>
        <v>1.6695975859261136E-2</v>
      </c>
    </row>
    <row r="36" spans="1:7" x14ac:dyDescent="0.25">
      <c r="A36">
        <v>25</v>
      </c>
      <c r="B36" s="6" t="n">
        <v>765.203884592</v>
      </c>
      <c r="C36" s="9">
        <f si="0" t="shared"/>
        <v>4.4201139346302827E-3</v>
      </c>
      <c r="E36" s="371">
        <v>25</v>
      </c>
      <c r="F36" s="371" t="n">
        <v>4752.0</v>
      </c>
      <c r="G36" s="9">
        <f si="1" t="shared"/>
        <v>1.6973101688072641E-2</v>
      </c>
    </row>
    <row r="37" spans="1:7" x14ac:dyDescent="0.25">
      <c r="A37">
        <v>26</v>
      </c>
      <c r="B37" s="6" t="n">
        <v>2217.9153548738</v>
      </c>
      <c r="C37" s="9">
        <f si="0" t="shared"/>
        <v>1.2811537896380726E-2</v>
      </c>
      <c r="E37" s="371">
        <v>26</v>
      </c>
      <c r="F37" s="371" t="n">
        <v>4412.0</v>
      </c>
      <c r="G37" s="9">
        <f si="1" t="shared"/>
        <v>1.5224814051990174E-2</v>
      </c>
    </row>
    <row r="38" spans="1:7" x14ac:dyDescent="0.25">
      <c r="A38">
        <v>27</v>
      </c>
      <c r="B38" s="6" t="n">
        <v>2141.4525487712</v>
      </c>
      <c r="C38" s="9">
        <f si="0" t="shared"/>
        <v>1.2369859120906082E-2</v>
      </c>
      <c r="E38" s="371">
        <v>27</v>
      </c>
      <c r="F38" s="371" t="n">
        <v>4305.0</v>
      </c>
      <c r="G38" s="9">
        <f si="1" t="shared"/>
        <v>1.4978479981935501E-2</v>
      </c>
    </row>
    <row r="39" spans="1:7" x14ac:dyDescent="0.25">
      <c r="A39">
        <v>28</v>
      </c>
      <c r="B39" s="6" t="n">
        <v>890.282763093</v>
      </c>
      <c r="C39" s="9">
        <f si="0" t="shared"/>
        <v>5.1426179690746187E-3</v>
      </c>
      <c r="E39" s="371">
        <v>28</v>
      </c>
      <c r="F39" s="371" t="n">
        <v>4348.0</v>
      </c>
      <c r="G39" s="9">
        <f si="1" t="shared"/>
        <v>1.5173494454062117E-2</v>
      </c>
    </row>
    <row r="40" spans="1:7" x14ac:dyDescent="0.25">
      <c r="A40">
        <v>29</v>
      </c>
      <c r="B40" s="6" t="n">
        <v>1096.456545153</v>
      </c>
      <c r="C40" s="9">
        <f si="0" t="shared"/>
        <v>6.3335575675121467E-3</v>
      </c>
      <c r="E40" s="371">
        <v>29</v>
      </c>
      <c r="F40" s="371" t="n">
        <v>3851.0</v>
      </c>
      <c r="G40" s="9">
        <f si="1" t="shared"/>
        <v>1.4147102495500982E-2</v>
      </c>
    </row>
    <row r="41" spans="1:7" x14ac:dyDescent="0.25">
      <c r="A41">
        <v>30</v>
      </c>
      <c r="B41" s="6" t="n">
        <v>2648.297908525</v>
      </c>
      <c r="C41" s="9">
        <f si="0" t="shared"/>
        <v>1.5297594176178294E-2</v>
      </c>
      <c r="E41" s="371">
        <v>30</v>
      </c>
      <c r="F41" s="371" t="n">
        <v>3470.0</v>
      </c>
      <c r="G41" s="9">
        <f si="1" t="shared"/>
        <v>1.2412500085532662E-2</v>
      </c>
    </row>
    <row r="42" spans="1:7" x14ac:dyDescent="0.25">
      <c r="A42">
        <v>31</v>
      </c>
      <c r="B42" s="6" t="n">
        <v>864.943831101</v>
      </c>
      <c r="C42" s="9">
        <f si="0" t="shared"/>
        <v>4.9962504863138562E-3</v>
      </c>
      <c r="E42" s="371">
        <v>31</v>
      </c>
      <c r="F42" s="371" t="n">
        <v>3442.0</v>
      </c>
      <c r="G42" s="9">
        <f si="1" t="shared"/>
        <v>1.2518560587917314E-2</v>
      </c>
    </row>
    <row r="43" spans="1:7" x14ac:dyDescent="0.25">
      <c r="A43">
        <v>32</v>
      </c>
      <c r="B43" s="6" t="n">
        <v>2769.4971061310002</v>
      </c>
      <c r="C43" s="9">
        <f si="0" t="shared"/>
        <v>1.5997687671508533E-2</v>
      </c>
      <c r="E43" s="371">
        <v>32</v>
      </c>
      <c r="F43" s="371" t="n">
        <v>3314.0</v>
      </c>
      <c r="G43" s="9">
        <f si="1" t="shared"/>
        <v>1.1440849031428122E-2</v>
      </c>
    </row>
    <row r="44" spans="1:7" x14ac:dyDescent="0.25">
      <c r="A44">
        <v>33</v>
      </c>
      <c r="B44" s="6" t="n">
        <v>608.288957806</v>
      </c>
      <c r="C44" s="9">
        <f si="0" t="shared"/>
        <v>3.5137125579460791E-3</v>
      </c>
      <c r="E44" s="371">
        <v>33</v>
      </c>
      <c r="F44" s="371" t="n">
        <v>3173.0</v>
      </c>
      <c r="G44" s="9">
        <f si="1" t="shared"/>
        <v>1.0393929233695764E-2</v>
      </c>
    </row>
    <row r="45" spans="1:7" x14ac:dyDescent="0.25">
      <c r="A45">
        <v>34</v>
      </c>
      <c r="B45" s="6" t="n">
        <v>3626.077637285</v>
      </c>
      <c r="C45" s="9">
        <f si="0" t="shared"/>
        <v>2.0945628498946392E-2</v>
      </c>
      <c r="E45" s="371">
        <v>34</v>
      </c>
      <c r="F45" s="371" t="n">
        <v>2726.0</v>
      </c>
      <c r="G45" s="9">
        <f si="1" t="shared"/>
        <v>9.7233531541024883E-3</v>
      </c>
    </row>
    <row r="46" spans="1:7" x14ac:dyDescent="0.25">
      <c r="A46">
        <v>35</v>
      </c>
      <c r="B46" s="6" t="n">
        <v>1268.650778689</v>
      </c>
      <c r="C46" s="9">
        <f si="0" t="shared"/>
        <v>7.3282181363372462E-3</v>
      </c>
      <c r="E46" s="371">
        <v>35</v>
      </c>
      <c r="F46" s="371" t="n">
        <v>2463.0</v>
      </c>
      <c r="G46" s="9">
        <f si="1" t="shared"/>
        <v>8.8474986827969861E-3</v>
      </c>
    </row>
    <row r="47" spans="1:7" x14ac:dyDescent="0.25">
      <c r="A47">
        <v>36</v>
      </c>
      <c r="B47" s="6" t="n">
        <v>492.27082919099996</v>
      </c>
      <c r="C47" s="9">
        <f si="0" t="shared"/>
        <v>2.8435469232873929E-3</v>
      </c>
      <c r="E47" s="371">
        <v>36</v>
      </c>
      <c r="F47" s="371" t="n">
        <v>2236.0</v>
      </c>
      <c r="G47" s="9">
        <f si="1" t="shared"/>
        <v>7.7013609957370518E-3</v>
      </c>
    </row>
    <row r="48" spans="1:7" x14ac:dyDescent="0.25">
      <c r="A48">
        <v>37</v>
      </c>
      <c r="B48" s="6" t="n">
        <v>0.0</v>
      </c>
      <c r="C48" s="9">
        <f si="0" t="shared"/>
        <v>0</v>
      </c>
      <c r="E48" s="371">
        <v>37</v>
      </c>
      <c r="F48" s="371" t="n">
        <v>1896.0</v>
      </c>
      <c r="G48" s="9">
        <f si="1" t="shared"/>
        <v>6.7023394894042141E-3</v>
      </c>
    </row>
    <row r="49" spans="1:7" x14ac:dyDescent="0.25">
      <c r="A49">
        <v>38</v>
      </c>
      <c r="B49" s="6" t="n">
        <v>0.0</v>
      </c>
      <c r="C49" s="9">
        <f si="0" t="shared"/>
        <v>0</v>
      </c>
      <c r="E49" s="371">
        <v>38</v>
      </c>
      <c r="F49" s="371" t="n">
        <v>1734.0</v>
      </c>
      <c r="G49" s="9">
        <f si="1" t="shared"/>
        <v>6.0146568771682531E-3</v>
      </c>
    </row>
    <row r="50" spans="1:7" x14ac:dyDescent="0.25">
      <c r="A50">
        <v>39</v>
      </c>
      <c r="B50" s="6" t="n">
        <v>620.932142854</v>
      </c>
      <c r="C50" s="9">
        <f si="0" t="shared"/>
        <v>3.5867444903944761E-3</v>
      </c>
      <c r="E50" s="371">
        <v>39</v>
      </c>
      <c r="F50" s="371" t="n">
        <v>1600.0</v>
      </c>
      <c r="G50" s="9">
        <f si="1" t="shared"/>
        <v>5.2722333604756982E-3</v>
      </c>
    </row>
    <row r="51" spans="1:7" x14ac:dyDescent="0.25">
      <c r="A51">
        <v>40</v>
      </c>
      <c r="B51" s="6" t="n">
        <v>0.0</v>
      </c>
      <c r="C51" s="9">
        <f si="0" t="shared"/>
        <v>0</v>
      </c>
      <c r="E51" s="371">
        <v>40</v>
      </c>
      <c r="F51" s="371" t="n">
        <v>1360.0</v>
      </c>
      <c r="G51" s="9">
        <f si="1" t="shared"/>
        <v>4.8103569791231879E-3</v>
      </c>
    </row>
    <row r="52" spans="1:7" x14ac:dyDescent="0.25">
      <c r="A52">
        <v>41</v>
      </c>
      <c r="B52" s="6" t="n">
        <v>109.769290789</v>
      </c>
      <c r="C52" s="9">
        <f si="0" t="shared"/>
        <v>6.3406992774173252E-4</v>
      </c>
      <c r="E52" s="371">
        <v>41</v>
      </c>
      <c r="F52" s="371" t="n">
        <v>1311.0</v>
      </c>
      <c r="G52" s="9">
        <f si="1" t="shared"/>
        <v>4.4203280348699562E-3</v>
      </c>
    </row>
    <row r="53" spans="1:7" x14ac:dyDescent="0.25">
      <c r="A53">
        <v>42</v>
      </c>
      <c r="B53" s="6" t="n">
        <v>0.0</v>
      </c>
      <c r="C53" s="9">
        <f si="0" t="shared"/>
        <v>0</v>
      </c>
      <c r="E53" s="371">
        <v>42</v>
      </c>
      <c r="F53" s="371" t="n">
        <v>1167.0</v>
      </c>
      <c r="G53" s="9">
        <f si="1" t="shared"/>
        <v>3.8900255229467029E-3</v>
      </c>
    </row>
    <row r="54" spans="1:7" x14ac:dyDescent="0.25">
      <c r="A54">
        <v>43</v>
      </c>
      <c r="B54" s="6" t="n">
        <v>0.0</v>
      </c>
      <c r="C54" s="9">
        <f si="0" t="shared"/>
        <v>0</v>
      </c>
      <c r="E54" s="371">
        <v>43</v>
      </c>
      <c r="F54" s="371" t="n">
        <v>952.0</v>
      </c>
      <c r="G54" s="9">
        <f si="1" t="shared"/>
        <v>3.4452556742368776E-3</v>
      </c>
    </row>
    <row r="55" spans="1:7" x14ac:dyDescent="0.25">
      <c r="A55">
        <v>44</v>
      </c>
      <c r="B55" s="6" t="n">
        <v>1892.007169048</v>
      </c>
      <c r="C55" s="9">
        <f si="0" t="shared"/>
        <v>1.0928966019021814E-2</v>
      </c>
      <c r="E55" s="371">
        <v>44</v>
      </c>
      <c r="F55" s="371" t="n">
        <v>870.0</v>
      </c>
      <c r="G55" s="9">
        <f si="1" t="shared"/>
        <v>3.1681298454253712E-3</v>
      </c>
    </row>
    <row r="56" spans="1:7" x14ac:dyDescent="0.25">
      <c r="A56">
        <v>45</v>
      </c>
      <c r="B56" s="6" t="n">
        <v>187.462250712</v>
      </c>
      <c r="C56" s="9">
        <f si="0" t="shared"/>
        <v>1.0828545480150973E-3</v>
      </c>
      <c r="E56" s="371">
        <v>45</v>
      </c>
      <c r="F56" s="371" t="n">
        <v>795.0</v>
      </c>
      <c r="G56" s="9">
        <f si="1" t="shared"/>
        <v>2.8636335643855678E-3</v>
      </c>
    </row>
    <row r="57" spans="1:7" x14ac:dyDescent="0.25">
      <c r="A57">
        <v>46</v>
      </c>
      <c r="B57" s="6" t="n">
        <v>1054.116572201</v>
      </c>
      <c r="C57" s="9">
        <f si="0" t="shared"/>
        <v>6.0889854891349061E-3</v>
      </c>
      <c r="E57" s="371">
        <v>46</v>
      </c>
      <c r="F57" s="371" t="n">
        <v>676.0</v>
      </c>
      <c r="G57" s="9">
        <f si="1" t="shared"/>
        <v>2.3264884394052399E-3</v>
      </c>
    </row>
    <row r="58" spans="1:7" x14ac:dyDescent="0.25">
      <c r="A58">
        <v>47</v>
      </c>
      <c r="B58" s="6" t="n">
        <v>2072.770078423</v>
      </c>
      <c r="C58" s="9">
        <f si="0" t="shared"/>
        <v>1.1973122577399409E-2</v>
      </c>
      <c r="E58" s="371">
        <v>47</v>
      </c>
      <c r="F58" s="371" t="n">
        <v>637.0</v>
      </c>
      <c r="G58" s="9">
        <f si="1" t="shared"/>
        <v>2.2067427109064407E-3</v>
      </c>
    </row>
    <row r="59" spans="1:7" x14ac:dyDescent="0.25">
      <c r="A59">
        <v>48</v>
      </c>
      <c r="B59" s="6" t="n">
        <v>529.272159155</v>
      </c>
      <c r="C59" s="9">
        <f si="0" t="shared"/>
        <v>3.0572809325716418E-3</v>
      </c>
      <c r="E59" s="371">
        <v>48</v>
      </c>
      <c r="F59" s="371" t="n">
        <v>600.0</v>
      </c>
      <c r="G59" s="9">
        <f si="1" t="shared"/>
        <v>1.9877790930800652E-3</v>
      </c>
    </row>
    <row r="60" spans="1:7" x14ac:dyDescent="0.25">
      <c r="A60">
        <v>49</v>
      </c>
      <c r="B60" s="6" t="n">
        <v>0.0</v>
      </c>
      <c r="C60" s="9">
        <f si="0" t="shared"/>
        <v>0</v>
      </c>
      <c r="E60" s="371">
        <v>49</v>
      </c>
      <c r="F60" s="371" t="n">
        <v>486.0</v>
      </c>
      <c r="G60" s="9">
        <f si="1" t="shared"/>
        <v>1.7619728621966156E-3</v>
      </c>
    </row>
    <row r="61" spans="1:7" x14ac:dyDescent="0.25">
      <c r="A61">
        <v>50</v>
      </c>
      <c r="B61" s="6" t="n">
        <v>0.0</v>
      </c>
      <c r="C61" s="9">
        <f si="0" t="shared"/>
        <v>0</v>
      </c>
      <c r="E61" s="371">
        <v>50</v>
      </c>
      <c r="F61" s="371" t="n">
        <v>448.0</v>
      </c>
      <c r="G61" s="9">
        <f si="1" t="shared"/>
        <v>1.450633968099738E-3</v>
      </c>
    </row>
    <row r="62" spans="1:7" x14ac:dyDescent="0.25">
      <c r="A62">
        <v>51</v>
      </c>
      <c r="B62" s="6" t="n">
        <v>85.5353905136</v>
      </c>
      <c r="C62" s="9">
        <f si="0" t="shared"/>
        <v>4.9408553605918143E-4</v>
      </c>
      <c r="E62" s="371">
        <v>51</v>
      </c>
      <c r="F62" s="371" t="n">
        <v>399.0</v>
      </c>
      <c r="G62" s="9">
        <f si="1" t="shared"/>
        <v>1.306939093901179E-3</v>
      </c>
    </row>
    <row r="63" spans="1:7" x14ac:dyDescent="0.25">
      <c r="A63">
        <v>52</v>
      </c>
      <c r="B63" s="6" t="n">
        <v>0.0</v>
      </c>
      <c r="C63" s="9">
        <f si="0" t="shared"/>
        <v>0</v>
      </c>
      <c r="E63" s="371">
        <v>52</v>
      </c>
      <c r="F63" s="371" t="n">
        <v>337.0</v>
      </c>
      <c r="G63" s="9">
        <f si="1" t="shared"/>
        <v>1.2111425111021397E-3</v>
      </c>
    </row>
    <row r="64" spans="1:7" x14ac:dyDescent="0.25">
      <c r="A64">
        <v>53</v>
      </c>
      <c r="B64" s="6" t="n">
        <v>0.0</v>
      </c>
      <c r="C64" s="9">
        <f si="0" t="shared"/>
        <v>0</v>
      </c>
      <c r="E64" s="371">
        <v>53</v>
      </c>
      <c r="F64" s="371" t="n">
        <v>303.0</v>
      </c>
      <c r="G64" s="9">
        <f si="1" t="shared"/>
        <v>1.1016607021889519E-3</v>
      </c>
    </row>
    <row r="65" spans="1:7" x14ac:dyDescent="0.25">
      <c r="A65">
        <v>54</v>
      </c>
      <c r="B65" s="6" t="n">
        <v>866.290983305</v>
      </c>
      <c r="C65" s="9">
        <f si="0" t="shared"/>
        <v>5.004032159079597E-3</v>
      </c>
      <c r="E65" s="371">
        <v>54</v>
      </c>
      <c r="F65" s="371" t="n">
        <v>275.0</v>
      </c>
      <c r="G65" s="9">
        <f si="1" t="shared"/>
        <v>9.2375276270502177E-4</v>
      </c>
    </row>
    <row r="66" spans="1:7" x14ac:dyDescent="0.2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245.0</v>
      </c>
      <c r="G66" s="9">
        <f si="1" t="shared"/>
        <v>8.3479879296305675E-4</v>
      </c>
    </row>
    <row r="67" spans="1:7" x14ac:dyDescent="0.25">
      <c r="A67">
        <v>56</v>
      </c>
      <c r="B67" s="6" t="n">
        <v>0.0</v>
      </c>
      <c r="C67" s="9">
        <f si="0" t="shared"/>
        <v>0</v>
      </c>
      <c r="E67" s="371">
        <v>56</v>
      </c>
      <c r="F67" s="371" t="n">
        <v>203.0</v>
      </c>
      <c r="G67" s="9">
        <f si="1" t="shared"/>
        <v>8.0400703420622263E-4</v>
      </c>
    </row>
    <row r="68" spans="1:7" x14ac:dyDescent="0.2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214.0</v>
      </c>
      <c r="G68" s="9">
        <f si="1" t="shared"/>
        <v>6.9794653182157199E-4</v>
      </c>
    </row>
    <row r="69" spans="1:7" x14ac:dyDescent="0.2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168.0</v>
      </c>
      <c r="G69" s="9">
        <f si="1" t="shared"/>
        <v>5.9188602943692134E-4</v>
      </c>
    </row>
    <row r="70" spans="1:7" x14ac:dyDescent="0.25">
      <c r="A70">
        <v>59</v>
      </c>
      <c r="B70" s="6" t="n">
        <v>619.342925768</v>
      </c>
      <c r="C70" s="9">
        <f si="0" t="shared"/>
        <v>3.577564557139529E-3</v>
      </c>
      <c r="E70" s="371">
        <v>59</v>
      </c>
      <c r="F70" s="371" t="n">
        <v>161.0</v>
      </c>
      <c r="G70" s="9">
        <f si="1" t="shared"/>
        <v>5.4056643150886458E-4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187.0</v>
      </c>
      <c r="G71" s="9">
        <f si="1" t="shared"/>
        <v>6.842613057074236E-4</v>
      </c>
    </row>
    <row r="72" spans="1:7" x14ac:dyDescent="0.25">
      <c r="A72">
        <v>61</v>
      </c>
      <c r="B72" s="6" t="n">
        <v>519.276353903</v>
      </c>
      <c r="C72" s="9">
        <f si="0" t="shared"/>
        <v>2.9995412909259722E-3</v>
      </c>
      <c r="E72" s="371">
        <v>61</v>
      </c>
      <c r="F72" s="371" t="n">
        <v>154.0</v>
      </c>
      <c r="G72" s="9">
        <f si="1" t="shared"/>
        <v>5.5767296415155021E-4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172.0</v>
      </c>
      <c r="G73" s="9">
        <f si="1" t="shared"/>
        <v>5.5083035109447596E-4</v>
      </c>
    </row>
    <row r="74" spans="1:7" x14ac:dyDescent="0.2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150.0</v>
      </c>
      <c r="G74" s="9">
        <f si="1" t="shared"/>
        <v>4.4134854218128819E-4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137.0</v>
      </c>
      <c r="G75" s="9">
        <f si="1" t="shared"/>
        <v>4.5161246176689956E-4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108.0</v>
      </c>
      <c r="G76" s="9">
        <f si="1" t="shared"/>
        <v>4.0371417036737988E-4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121.0</v>
      </c>
      <c r="G77" s="9">
        <f ref="G77:G102" si="3" t="shared">F77/F$102</f>
        <v>4.8240422052373358E-4</v>
      </c>
    </row>
    <row r="78" spans="1:7" x14ac:dyDescent="0.25">
      <c r="A78">
        <v>67</v>
      </c>
      <c r="B78" s="6" t="n">
        <v>240.790838723</v>
      </c>
      <c r="C78" s="9">
        <f si="2" t="shared"/>
        <v>1.3909011219125386E-3</v>
      </c>
      <c r="E78" s="371">
        <v>67</v>
      </c>
      <c r="F78" s="371" t="n">
        <v>124.0</v>
      </c>
      <c r="G78" s="9">
        <f si="3" t="shared"/>
        <v>4.1055678342445412E-4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126.0</v>
      </c>
      <c r="G79" s="9">
        <f si="3" t="shared"/>
        <v>3.0107497451126636E-4</v>
      </c>
    </row>
    <row r="80" spans="1:7" x14ac:dyDescent="0.2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101.0</v>
      </c>
      <c r="G80" s="9">
        <f si="3" t="shared"/>
        <v>3.5923718549639737E-4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109.0</v>
      </c>
      <c r="G81" s="9">
        <f si="3" t="shared"/>
        <v>3.3528803979663755E-4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98.0</v>
      </c>
      <c r="G82" s="9">
        <f si="3" t="shared"/>
        <v>2.497553765832096E-4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111.0</v>
      </c>
      <c r="G83" s="9">
        <f si="3" t="shared"/>
        <v>3.5581587896786024E-4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84.0</v>
      </c>
      <c r="G84" s="9">
        <f si="3" t="shared"/>
        <v>2.4291276352613535E-4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83.0</v>
      </c>
      <c r="G85" s="9">
        <f si="3" t="shared"/>
        <v>2.6686190922589517E-4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65.0</v>
      </c>
      <c r="G86" s="9">
        <f si="3" t="shared"/>
        <v>2.7712582881150654E-4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70.0</v>
      </c>
      <c r="G87" s="9">
        <f si="3" t="shared"/>
        <v>2.8738974839711791E-4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60.0</v>
      </c>
      <c r="G88" s="9">
        <f si="3" t="shared"/>
        <v>2.1896361782637553E-4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56.0</v>
      </c>
      <c r="G89" s="9">
        <f si="3" t="shared"/>
        <v>2.0869969824076419E-4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48.0</v>
      </c>
      <c r="G90" s="9">
        <f si="3" t="shared"/>
        <v>2.1554231129783841E-4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55.0</v>
      </c>
      <c r="G91" s="9">
        <f si="3" t="shared"/>
        <v>1.7790793948393012E-4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52.0</v>
      </c>
      <c r="G92" s="9">
        <f si="3" t="shared"/>
        <v>2.2238492435491266E-4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46.0</v>
      </c>
      <c r="G93" s="9">
        <f si="3" t="shared"/>
        <v>1.4027356767002183E-4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53.0</v>
      </c>
      <c r="G94" s="9">
        <f si="3" t="shared"/>
        <v>1.5738010031270743E-4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100.0</v>
      </c>
      <c r="G95" s="9">
        <f si="3" t="shared"/>
        <v>3.284454267395633E-4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53.0</v>
      </c>
      <c r="G96" s="9">
        <f si="3" t="shared"/>
        <v>1.6764401989831877E-4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49.0</v>
      </c>
      <c r="G97" s="9">
        <f si="3" t="shared"/>
        <v>1.4711618072709605E-4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50.0</v>
      </c>
      <c r="G98" s="9">
        <f si="3" t="shared"/>
        <v>1.9159316559807859E-4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39.0</v>
      </c>
      <c r="G99" s="9">
        <f si="3" t="shared"/>
        <v>1.6080140684124453E-4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39.0</v>
      </c>
      <c r="G100" s="9">
        <f si="3" t="shared"/>
        <v>1.3343095461294758E-4</v>
      </c>
    </row>
    <row ht="15.75" r="101" spans="1:7" thickBot="1" x14ac:dyDescent="0.3">
      <c r="A101" s="1">
        <v>90</v>
      </c>
      <c r="B101" s="7" t="n">
        <v>489.03692263799996</v>
      </c>
      <c r="C101" s="9">
        <f si="2" t="shared"/>
        <v>2.8248666268251904E-3</v>
      </c>
      <c r="E101" s="372">
        <v>90</v>
      </c>
      <c r="F101" s="372" t="n">
        <v>1757.0</v>
      </c>
      <c r="G101" s="9">
        <f si="3" t="shared"/>
        <v>5.8778046160267682E-3</v>
      </c>
    </row>
    <row r="102" spans="1:7" x14ac:dyDescent="0.25">
      <c r="B102" s="6">
        <f>SUM(B11:B101)</f>
        <v>173118.58832344893</v>
      </c>
      <c r="C102" s="9">
        <f si="2" t="shared"/>
        <v>1</v>
      </c>
      <c r="F102" s="6">
        <f>SUM(F11:F101)</f>
        <v>292286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M102"/>
  <sheetViews>
    <sheetView workbookViewId="0">
      <selection activeCell="K11" sqref="K11:L11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20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35543.0140405147</v>
      </c>
      <c r="C11" s="9">
        <f>B11/B$102</f>
        <v>0.182936851148471</v>
      </c>
      <c r="E11" s="371">
        <v>0</v>
      </c>
      <c r="F11" s="371" t="n">
        <v>60796.0</v>
      </c>
      <c r="G11" s="9">
        <f>F11/F$102</f>
        <v>0.19699393908671256</v>
      </c>
      <c r="K11" s="6" t="n">
        <v>4.252759439908437</v>
      </c>
      <c r="L11" s="6" t="n">
        <v>5.622195915200412</v>
      </c>
    </row>
    <row r="12" spans="1:12" x14ac:dyDescent="0.25">
      <c r="A12">
        <v>1</v>
      </c>
      <c r="B12" s="6" t="n">
        <v>42615.6035499335</v>
      </c>
      <c r="C12" s="9">
        <f>B12/B$102</f>
        <v>0.21933886401220748</v>
      </c>
      <c r="E12" s="371">
        <v>1</v>
      </c>
      <c r="F12" s="371" t="n">
        <v>43981.0</v>
      </c>
      <c r="G12" s="9">
        <f>F12/F$102</f>
        <v>0.14177404484378811</v>
      </c>
      <c r="K12" s="6"/>
      <c r="L12" s="371"/>
    </row>
    <row r="13" spans="1:12" x14ac:dyDescent="0.25">
      <c r="A13">
        <v>2</v>
      </c>
      <c r="B13" s="6" t="n">
        <v>20164.856846628</v>
      </c>
      <c r="C13" s="9">
        <f ref="C13:C76" si="0" t="shared">B13/B$102</f>
        <v>0.10378679228432686</v>
      </c>
      <c r="E13" s="371">
        <v>2</v>
      </c>
      <c r="F13" s="371" t="n">
        <v>31187.0</v>
      </c>
      <c r="G13" s="9">
        <f ref="G13:G76" si="1" t="shared">F13/F$102</f>
        <v>0.1019044511119067</v>
      </c>
    </row>
    <row r="14" spans="1:12" x14ac:dyDescent="0.25">
      <c r="A14">
        <v>3</v>
      </c>
      <c r="B14" s="6" t="n">
        <v>19998.015379553</v>
      </c>
      <c r="C14" s="9">
        <f si="0" t="shared"/>
        <v>0.10292807353321302</v>
      </c>
      <c r="E14" s="371">
        <v>3</v>
      </c>
      <c r="F14" s="371" t="n">
        <v>28043.0</v>
      </c>
      <c r="G14" s="9">
        <f si="1" t="shared"/>
        <v>8.9456292039071184E-2</v>
      </c>
    </row>
    <row r="15" spans="1:12" x14ac:dyDescent="0.25">
      <c r="A15">
        <v>4</v>
      </c>
      <c r="B15" s="6" t="n">
        <v>14587.5544958769</v>
      </c>
      <c r="C15" s="9">
        <f si="0" t="shared"/>
        <v>7.5080894444983226E-2</v>
      </c>
      <c r="E15" s="371">
        <v>4</v>
      </c>
      <c r="F15" s="371" t="n">
        <v>24628.0</v>
      </c>
      <c r="G15" s="9">
        <f si="1" t="shared"/>
        <v>7.8750685139831897E-2</v>
      </c>
    </row>
    <row r="16" spans="1:12" x14ac:dyDescent="0.25">
      <c r="A16">
        <v>5</v>
      </c>
      <c r="B16" s="6" t="n">
        <v>11915.1580709434</v>
      </c>
      <c r="C16" s="9">
        <f si="0" t="shared"/>
        <v>6.1326298775620396E-2</v>
      </c>
      <c r="E16" s="371">
        <v>5</v>
      </c>
      <c r="F16" s="371" t="n">
        <v>18530.0</v>
      </c>
      <c r="G16" s="9">
        <f si="1" t="shared"/>
        <v>6.0602796320997118E-2</v>
      </c>
    </row>
    <row r="17" spans="1:7" x14ac:dyDescent="0.25">
      <c r="A17">
        <v>6</v>
      </c>
      <c r="B17" s="6" t="n">
        <v>9071.8939691464</v>
      </c>
      <c r="C17" s="9">
        <f si="0" t="shared"/>
        <v>4.6692261797964672E-2</v>
      </c>
      <c r="E17" s="371">
        <v>6</v>
      </c>
      <c r="F17" s="371" t="n">
        <v>12418.0</v>
      </c>
      <c r="G17" s="9">
        <f si="1" t="shared"/>
        <v>4.1089380253398769E-2</v>
      </c>
    </row>
    <row r="18" spans="1:7" x14ac:dyDescent="0.25">
      <c r="A18">
        <v>7</v>
      </c>
      <c r="B18" s="6" t="n">
        <v>5741.9641598794005</v>
      </c>
      <c r="C18" s="9">
        <f si="0" t="shared"/>
        <v>2.9553398077562191E-2</v>
      </c>
      <c r="E18" s="371">
        <v>7</v>
      </c>
      <c r="F18" s="371" t="n">
        <v>10552.0</v>
      </c>
      <c r="G18" s="9">
        <f si="1" t="shared"/>
        <v>3.553539123464574E-2</v>
      </c>
    </row>
    <row r="19" spans="1:7" x14ac:dyDescent="0.25">
      <c r="A19">
        <v>8</v>
      </c>
      <c r="B19" s="6" t="n">
        <v>5942.5314954059995</v>
      </c>
      <c r="C19" s="9">
        <f si="0" t="shared"/>
        <v>3.0585700987007389E-2</v>
      </c>
      <c r="E19" s="371">
        <v>8</v>
      </c>
      <c r="F19" s="371" t="n">
        <v>11562.0</v>
      </c>
      <c r="G19" s="9">
        <f si="1" t="shared"/>
        <v>3.8231594688700972E-2</v>
      </c>
    </row>
    <row r="20" spans="1:7" x14ac:dyDescent="0.25">
      <c r="A20">
        <v>9</v>
      </c>
      <c r="B20" s="6" t="n">
        <v>3884.065301878</v>
      </c>
      <c r="C20" s="9">
        <f si="0" t="shared"/>
        <v>1.9990951672547219E-2</v>
      </c>
      <c r="E20" s="371">
        <v>9</v>
      </c>
      <c r="F20" s="371" t="n">
        <v>7551.0</v>
      </c>
      <c r="G20" s="9">
        <f si="1" t="shared"/>
        <v>2.6537485465530735E-2</v>
      </c>
    </row>
    <row r="21" spans="1:7" x14ac:dyDescent="0.25">
      <c r="A21">
        <v>10</v>
      </c>
      <c r="B21" s="6" t="n">
        <v>1080.537911616</v>
      </c>
      <c r="C21" s="9">
        <f si="0" t="shared"/>
        <v>5.5614361481065152E-3</v>
      </c>
      <c r="E21" s="371">
        <v>10</v>
      </c>
      <c r="F21" s="371" t="n">
        <v>6622.0</v>
      </c>
      <c r="G21" s="9">
        <f si="1" t="shared"/>
        <v>2.2339518865503488E-2</v>
      </c>
    </row>
    <row r="22" spans="1:7" x14ac:dyDescent="0.25">
      <c r="A22">
        <v>11</v>
      </c>
      <c r="B22" s="6" t="n">
        <v>2300.769853712</v>
      </c>
      <c r="C22" s="9">
        <f si="0" t="shared"/>
        <v>1.1841865514714982E-2</v>
      </c>
      <c r="E22" s="371">
        <v>11</v>
      </c>
      <c r="F22" s="371" t="n">
        <v>6599.0</v>
      </c>
      <c r="G22" s="9">
        <f si="1" t="shared"/>
        <v>2.1978335324067181E-2</v>
      </c>
    </row>
    <row r="23" spans="1:7" x14ac:dyDescent="0.25">
      <c r="A23">
        <v>12</v>
      </c>
      <c r="B23" s="6" t="n">
        <v>4296.6739143963005</v>
      </c>
      <c r="C23" s="9">
        <f si="0" t="shared"/>
        <v>2.2114612886106597E-2</v>
      </c>
      <c r="E23" s="371">
        <v>12</v>
      </c>
      <c r="F23" s="371" t="n">
        <v>7172.0</v>
      </c>
      <c r="G23" s="9">
        <f si="1" t="shared"/>
        <v>2.3609997813889092E-2</v>
      </c>
    </row>
    <row r="24" spans="1:7" x14ac:dyDescent="0.25">
      <c r="A24">
        <v>13</v>
      </c>
      <c r="B24" s="6" t="n">
        <v>2495.0364803184</v>
      </c>
      <c r="C24" s="9">
        <f si="0" t="shared"/>
        <v>1.2841739214624085E-2</v>
      </c>
      <c r="E24" s="371">
        <v>13</v>
      </c>
      <c r="F24" s="371" t="n">
        <v>5802.0</v>
      </c>
      <c r="G24" s="9">
        <f si="1" t="shared"/>
        <v>1.9073025609180397E-2</v>
      </c>
    </row>
    <row r="25" spans="1:7" x14ac:dyDescent="0.25">
      <c r="A25">
        <v>14</v>
      </c>
      <c r="B25" s="6" t="n">
        <v>3565.706784913</v>
      </c>
      <c r="C25" s="9">
        <f si="0" t="shared"/>
        <v>1.8352387633957575E-2</v>
      </c>
      <c r="E25" s="371">
        <v>14</v>
      </c>
      <c r="F25" s="371" t="n">
        <v>4912.0</v>
      </c>
      <c r="G25" s="9">
        <f si="1" t="shared"/>
        <v>1.6950280234072281E-2</v>
      </c>
    </row>
    <row r="26" spans="1:7" x14ac:dyDescent="0.25">
      <c r="A26">
        <v>15</v>
      </c>
      <c r="B26" s="6" t="n">
        <v>2432.32351234</v>
      </c>
      <c r="C26" s="9">
        <f si="0" t="shared"/>
        <v>1.2518960936027168E-2</v>
      </c>
      <c r="E26" s="371">
        <v>15</v>
      </c>
      <c r="F26" s="371" t="n">
        <v>4842.0</v>
      </c>
      <c r="G26" s="9">
        <f si="1" t="shared"/>
        <v>1.524257910394799E-2</v>
      </c>
    </row>
    <row r="27" spans="1:7" x14ac:dyDescent="0.25">
      <c r="A27">
        <v>16</v>
      </c>
      <c r="B27" s="6" t="n">
        <v>1502.299402096</v>
      </c>
      <c r="C27" s="9">
        <f si="0" t="shared"/>
        <v>7.7322064411421291E-3</v>
      </c>
      <c r="E27" s="371">
        <v>16</v>
      </c>
      <c r="F27" s="371" t="n">
        <v>3783.0</v>
      </c>
      <c r="G27" s="9">
        <f si="1" t="shared"/>
        <v>1.337329586318114E-2</v>
      </c>
    </row>
    <row r="28" spans="1:7" x14ac:dyDescent="0.25">
      <c r="A28">
        <v>17</v>
      </c>
      <c r="B28" s="6" t="n">
        <v>0.0</v>
      </c>
      <c r="C28" s="9">
        <f si="0" t="shared"/>
        <v>0</v>
      </c>
      <c r="E28" s="371">
        <v>17</v>
      </c>
      <c r="F28" s="371" t="n">
        <v>2673.0</v>
      </c>
      <c r="G28" s="9">
        <f si="1" t="shared"/>
        <v>9.5016617611182741E-3</v>
      </c>
    </row>
    <row r="29" spans="1:7" x14ac:dyDescent="0.25">
      <c r="A29">
        <v>18</v>
      </c>
      <c r="B29" s="6" t="n">
        <v>989.749575976</v>
      </c>
      <c r="C29" s="9">
        <f si="0" t="shared"/>
        <v>5.0941563551193366E-3</v>
      </c>
      <c r="E29" s="371">
        <v>18</v>
      </c>
      <c r="F29" s="371" t="n">
        <v>2118.0</v>
      </c>
      <c r="G29" s="9">
        <f si="1" t="shared"/>
        <v>7.4517867496332723E-3</v>
      </c>
    </row>
    <row r="30" spans="1:7" x14ac:dyDescent="0.25">
      <c r="A30">
        <v>19</v>
      </c>
      <c r="B30" s="6" t="n">
        <v>2451.593456127</v>
      </c>
      <c r="C30" s="9">
        <f si="0" t="shared"/>
        <v>1.2618141687388984E-2</v>
      </c>
      <c r="E30" s="371">
        <v>19</v>
      </c>
      <c r="F30" s="371" t="n">
        <v>1985.0</v>
      </c>
      <c r="G30" s="9">
        <f si="1" t="shared"/>
        <v>6.3397216352109598E-3</v>
      </c>
    </row>
    <row r="31" spans="1:7" x14ac:dyDescent="0.25">
      <c r="A31">
        <v>20</v>
      </c>
      <c r="B31" s="6" t="n">
        <v>661.2145745398</v>
      </c>
      <c r="C31" s="9">
        <f si="0" t="shared"/>
        <v>3.4032148219592948E-3</v>
      </c>
      <c r="E31" s="371">
        <v>20</v>
      </c>
      <c r="F31" s="371" t="n">
        <v>1517.0</v>
      </c>
      <c r="G31" s="9">
        <f si="1" t="shared"/>
        <v>5.2371613508264449E-3</v>
      </c>
    </row>
    <row r="32" spans="1:7" x14ac:dyDescent="0.25">
      <c r="A32">
        <v>21</v>
      </c>
      <c r="B32" s="6" t="n">
        <v>941.406834074</v>
      </c>
      <c r="C32" s="9">
        <f si="0" t="shared"/>
        <v>4.8453404001934427E-3</v>
      </c>
      <c r="E32" s="371">
        <v>21</v>
      </c>
      <c r="F32" s="371" t="n">
        <v>1331.0</v>
      </c>
      <c r="G32" s="9">
        <f si="1" t="shared"/>
        <v>3.8874754854591942E-3</v>
      </c>
    </row>
    <row r="33" spans="1:7" x14ac:dyDescent="0.25">
      <c r="A33">
        <v>22</v>
      </c>
      <c r="B33" s="6" t="n">
        <v>771.128994947</v>
      </c>
      <c r="C33" s="9">
        <f si="0" t="shared"/>
        <v>3.968934936246238E-3</v>
      </c>
      <c r="E33" s="371">
        <v>22</v>
      </c>
      <c r="F33" s="371" t="n">
        <v>1369.0</v>
      </c>
      <c r="G33" s="9">
        <f si="1" t="shared"/>
        <v>4.3848949241039326E-3</v>
      </c>
    </row>
    <row r="34" spans="1:7" x14ac:dyDescent="0.25">
      <c r="A34">
        <v>23</v>
      </c>
      <c r="B34" s="6" t="n">
        <v>0.0</v>
      </c>
      <c r="C34" s="9">
        <f si="0" t="shared"/>
        <v>0</v>
      </c>
      <c r="E34" s="371">
        <v>23</v>
      </c>
      <c r="F34" s="371" t="n">
        <v>979.0</v>
      </c>
      <c r="G34" s="9">
        <f si="1" t="shared"/>
        <v>3.1936228926999735E-3</v>
      </c>
    </row>
    <row r="35" spans="1:7" x14ac:dyDescent="0.25">
      <c r="A35">
        <v>24</v>
      </c>
      <c r="B35" s="6" t="n">
        <v>701.195841893</v>
      </c>
      <c r="C35" s="9">
        <f si="0" t="shared"/>
        <v>3.6089949830391192E-3</v>
      </c>
      <c r="E35" s="371">
        <v>24</v>
      </c>
      <c r="F35" s="371" t="n">
        <v>940.0</v>
      </c>
      <c r="G35" s="9">
        <f si="1" t="shared"/>
        <v>3.2981760231157466E-3</v>
      </c>
    </row>
    <row r="36" spans="1:7" x14ac:dyDescent="0.25">
      <c r="A36">
        <v>25</v>
      </c>
      <c r="B36" s="6" t="n">
        <v>0.0</v>
      </c>
      <c r="C36" s="9">
        <f si="0" t="shared"/>
        <v>0</v>
      </c>
      <c r="E36" s="371">
        <v>25</v>
      </c>
      <c r="F36" s="371" t="n">
        <v>575.0</v>
      </c>
      <c r="G36" s="9">
        <f si="1" t="shared"/>
        <v>2.2114571221275611E-3</v>
      </c>
    </row>
    <row r="37" spans="1:7" x14ac:dyDescent="0.25">
      <c r="A37">
        <v>26</v>
      </c>
      <c r="B37" s="6" t="n">
        <v>0.0</v>
      </c>
      <c r="C37" s="9">
        <f si="0" t="shared"/>
        <v>0</v>
      </c>
      <c r="E37" s="371">
        <v>26</v>
      </c>
      <c r="F37" s="371" t="n">
        <v>552.0</v>
      </c>
      <c r="G37" s="9">
        <f si="1" t="shared"/>
        <v>1.7710666637096085E-3</v>
      </c>
    </row>
    <row r="38" spans="1:7" x14ac:dyDescent="0.25">
      <c r="A38">
        <v>27</v>
      </c>
      <c r="B38" s="6" t="n">
        <v>0.0</v>
      </c>
      <c r="C38" s="9">
        <f si="0" t="shared"/>
        <v>0</v>
      </c>
      <c r="E38" s="371">
        <v>27</v>
      </c>
      <c r="F38" s="371" t="n">
        <v>395.0</v>
      </c>
      <c r="G38" s="9">
        <f si="1" t="shared"/>
        <v>1.3528541420465166E-3</v>
      </c>
    </row>
    <row r="39" spans="1:7" x14ac:dyDescent="0.25">
      <c r="A39">
        <v>28</v>
      </c>
      <c r="B39" s="6" t="n">
        <v>0.0</v>
      </c>
      <c r="C39" s="9">
        <f si="0" t="shared"/>
        <v>0</v>
      </c>
      <c r="E39" s="371">
        <v>28</v>
      </c>
      <c r="F39" s="371" t="n">
        <v>283.0</v>
      </c>
      <c r="G39" s="9">
        <f si="1" t="shared"/>
        <v>7.7305950974086669E-4</v>
      </c>
    </row>
    <row r="40" spans="1:7" x14ac:dyDescent="0.25">
      <c r="A40">
        <v>29</v>
      </c>
      <c r="B40" s="6" t="n">
        <v>0.0</v>
      </c>
      <c r="C40" s="9">
        <f si="0" t="shared"/>
        <v>0</v>
      </c>
      <c r="E40" s="371">
        <v>29</v>
      </c>
      <c r="F40" s="371" t="n">
        <v>398.0</v>
      </c>
      <c r="G40" s="9">
        <f si="1" t="shared"/>
        <v>1.3211713752538583E-3</v>
      </c>
    </row>
    <row r="41" spans="1:7" x14ac:dyDescent="0.25">
      <c r="A41">
        <v>30</v>
      </c>
      <c r="B41" s="6" t="n">
        <v>0.0</v>
      </c>
      <c r="C41" s="9">
        <f si="0" t="shared"/>
        <v>0</v>
      </c>
      <c r="E41" s="371">
        <v>30</v>
      </c>
      <c r="F41" s="371" t="n">
        <v>280.0</v>
      </c>
      <c r="G41" s="9">
        <f si="1" t="shared"/>
        <v>8.2375193660912018E-4</v>
      </c>
    </row>
    <row r="42" spans="1:7" x14ac:dyDescent="0.25">
      <c r="A42">
        <v>31</v>
      </c>
      <c r="B42" s="6" t="n">
        <v>0.0</v>
      </c>
      <c r="C42" s="9">
        <f si="0" t="shared"/>
        <v>0</v>
      </c>
      <c r="E42" s="371">
        <v>31</v>
      </c>
      <c r="F42" s="371" t="n">
        <v>191.0</v>
      </c>
      <c r="G42" s="9">
        <f si="1" t="shared"/>
        <v>6.1781395245684011E-4</v>
      </c>
    </row>
    <row r="43" spans="1:7" x14ac:dyDescent="0.25">
      <c r="A43">
        <v>32</v>
      </c>
      <c r="B43" s="6" t="n">
        <v>464.442048857</v>
      </c>
      <c r="C43" s="9">
        <f si="0" t="shared"/>
        <v>2.390443473983264E-3</v>
      </c>
      <c r="E43" s="371">
        <v>32</v>
      </c>
      <c r="F43" s="371" t="n">
        <v>185.0</v>
      </c>
      <c r="G43" s="9">
        <f si="1" t="shared"/>
        <v>6.7801120936289124E-4</v>
      </c>
    </row>
    <row r="44" spans="1:7" x14ac:dyDescent="0.25">
      <c r="A44">
        <v>33</v>
      </c>
      <c r="B44" s="6" t="n">
        <v>0.0</v>
      </c>
      <c r="C44" s="9">
        <f si="0" t="shared"/>
        <v>0</v>
      </c>
      <c r="E44" s="371">
        <v>33</v>
      </c>
      <c r="F44" s="371" t="n">
        <v>153.0</v>
      </c>
      <c r="G44" s="9">
        <f si="1" t="shared"/>
        <v>5.1642909872033301E-4</v>
      </c>
    </row>
    <row r="45" spans="1:7" x14ac:dyDescent="0.25">
      <c r="A45">
        <v>34</v>
      </c>
      <c r="B45" s="6" t="n">
        <v>0.0</v>
      </c>
      <c r="C45" s="9">
        <f si="0" t="shared"/>
        <v>0</v>
      </c>
      <c r="E45" s="371">
        <v>34</v>
      </c>
      <c r="F45" s="371" t="n">
        <v>106.0</v>
      </c>
      <c r="G45" s="9">
        <f si="1" t="shared"/>
        <v>4.0237113826676257E-4</v>
      </c>
    </row>
    <row r="46" spans="1:7" x14ac:dyDescent="0.25">
      <c r="A46">
        <v>35</v>
      </c>
      <c r="B46" s="6" t="n">
        <v>172.429102711</v>
      </c>
      <c r="C46" s="9">
        <f si="0" t="shared"/>
        <v>8.8747783348791759E-4</v>
      </c>
      <c r="E46" s="371">
        <v>35</v>
      </c>
      <c r="F46" s="371" t="n">
        <v>108.0</v>
      </c>
      <c r="G46" s="9">
        <f si="1" t="shared"/>
        <v>3.2633249796438222E-4</v>
      </c>
    </row>
    <row r="47" spans="1:7" x14ac:dyDescent="0.25">
      <c r="A47">
        <v>36</v>
      </c>
      <c r="B47" s="6" t="n">
        <v>0.0</v>
      </c>
      <c r="C47" s="9">
        <f si="0" t="shared"/>
        <v>0</v>
      </c>
      <c r="E47" s="371">
        <v>36</v>
      </c>
      <c r="F47" s="371" t="n">
        <v>164.0</v>
      </c>
      <c r="G47" s="9">
        <f si="1" t="shared"/>
        <v>5.0058771532400384E-4</v>
      </c>
    </row>
    <row r="48" spans="1:7" x14ac:dyDescent="0.25">
      <c r="A48">
        <v>37</v>
      </c>
      <c r="B48" s="6" t="n">
        <v>0.0</v>
      </c>
      <c r="C48" s="9">
        <f si="0" t="shared"/>
        <v>0</v>
      </c>
      <c r="E48" s="371">
        <v>37</v>
      </c>
      <c r="F48" s="371" t="n">
        <v>119.0</v>
      </c>
      <c r="G48" s="9">
        <f si="1" t="shared"/>
        <v>3.7385664815336994E-4</v>
      </c>
    </row>
    <row r="49" spans="1:7" x14ac:dyDescent="0.25">
      <c r="A49">
        <v>38</v>
      </c>
      <c r="B49" s="6" t="n">
        <v>0.0</v>
      </c>
      <c r="C49" s="9">
        <f si="0" t="shared"/>
        <v>0</v>
      </c>
      <c r="E49" s="371">
        <v>38</v>
      </c>
      <c r="F49" s="371" t="n">
        <v>102.0</v>
      </c>
      <c r="G49" s="9">
        <f si="1" t="shared"/>
        <v>3.5484698807777484E-4</v>
      </c>
    </row>
    <row r="50" spans="1:7" x14ac:dyDescent="0.25">
      <c r="A50">
        <v>39</v>
      </c>
      <c r="B50" s="6" t="n">
        <v>0.0</v>
      </c>
      <c r="C50" s="9">
        <f si="0" t="shared"/>
        <v>0</v>
      </c>
      <c r="E50" s="371">
        <v>39</v>
      </c>
      <c r="F50" s="371" t="n">
        <v>93.0</v>
      </c>
      <c r="G50" s="9">
        <f si="1" t="shared"/>
        <v>3.4851043471924314E-4</v>
      </c>
    </row>
    <row r="51" spans="1:7" x14ac:dyDescent="0.25">
      <c r="A51">
        <v>40</v>
      </c>
      <c r="B51" s="6" t="n">
        <v>0.0</v>
      </c>
      <c r="C51" s="9">
        <f si="0" t="shared"/>
        <v>0</v>
      </c>
      <c r="E51" s="371">
        <v>40</v>
      </c>
      <c r="F51" s="371" t="n">
        <v>74.0</v>
      </c>
      <c r="G51" s="9">
        <f si="1" t="shared"/>
        <v>1.489090039254948E-4</v>
      </c>
    </row>
    <row r="52" spans="1:7" x14ac:dyDescent="0.25">
      <c r="A52">
        <v>41</v>
      </c>
      <c r="B52" s="6" t="n">
        <v>0.0</v>
      </c>
      <c r="C52" s="9">
        <f si="0" t="shared"/>
        <v>0</v>
      </c>
      <c r="E52" s="371">
        <v>41</v>
      </c>
      <c r="F52" s="371" t="n">
        <v>31.0</v>
      </c>
      <c r="G52" s="9">
        <f si="1" t="shared"/>
        <v>1.489090039254948E-4</v>
      </c>
    </row>
    <row r="53" spans="1:7" x14ac:dyDescent="0.25">
      <c r="A53">
        <v>42</v>
      </c>
      <c r="B53" s="6" t="n">
        <v>0.0</v>
      </c>
      <c r="C53" s="9">
        <f si="0" t="shared"/>
        <v>0</v>
      </c>
      <c r="E53" s="371">
        <v>42</v>
      </c>
      <c r="F53" s="371" t="n">
        <v>31.0</v>
      </c>
      <c r="G53" s="9">
        <f si="1" t="shared"/>
        <v>1.0455313041577295E-4</v>
      </c>
    </row>
    <row r="54" spans="1:7" x14ac:dyDescent="0.25">
      <c r="A54">
        <v>43</v>
      </c>
      <c r="B54" s="6" t="n">
        <v>0.0</v>
      </c>
      <c r="C54" s="9">
        <f si="0" t="shared"/>
        <v>0</v>
      </c>
      <c r="E54" s="371">
        <v>43</v>
      </c>
      <c r="F54" s="371" t="n">
        <v>24.0</v>
      </c>
      <c r="G54" s="9">
        <f si="1" t="shared"/>
        <v>6.0197256906051093E-5</v>
      </c>
    </row>
    <row r="55" spans="1:7" x14ac:dyDescent="0.25">
      <c r="A55">
        <v>44</v>
      </c>
      <c r="B55" s="6" t="n">
        <v>0.0</v>
      </c>
      <c r="C55" s="9">
        <f si="0" t="shared"/>
        <v>0</v>
      </c>
      <c r="E55" s="371">
        <v>44</v>
      </c>
      <c r="F55" s="371" t="n">
        <v>27.0</v>
      </c>
      <c r="G55" s="9">
        <f si="1" t="shared"/>
        <v>6.3365533585316936E-5</v>
      </c>
    </row>
    <row r="56" spans="1:7" x14ac:dyDescent="0.25">
      <c r="A56">
        <v>45</v>
      </c>
      <c r="B56" s="6" t="n">
        <v>0.0</v>
      </c>
      <c r="C56" s="9">
        <f si="0" t="shared"/>
        <v>0</v>
      </c>
      <c r="E56" s="371">
        <v>45</v>
      </c>
      <c r="F56" s="371" t="n">
        <v>18.0</v>
      </c>
      <c r="G56" s="9">
        <f si="1" t="shared"/>
        <v>9.8216577057241261E-5</v>
      </c>
    </row>
    <row r="57" spans="1:7" x14ac:dyDescent="0.25">
      <c r="A57">
        <v>46</v>
      </c>
      <c r="B57" s="6" t="n">
        <v>0.0</v>
      </c>
      <c r="C57" s="9">
        <f si="0" t="shared"/>
        <v>0</v>
      </c>
      <c r="E57" s="371">
        <v>46</v>
      </c>
      <c r="F57" s="371" t="n">
        <v>25.0</v>
      </c>
      <c r="G57" s="9">
        <f si="1" t="shared"/>
        <v>5.7028980226785243E-5</v>
      </c>
    </row>
    <row r="58" spans="1:7" x14ac:dyDescent="0.25">
      <c r="A58">
        <v>47</v>
      </c>
      <c r="B58" s="6" t="n">
        <v>0.0</v>
      </c>
      <c r="C58" s="9">
        <f si="0" t="shared"/>
        <v>0</v>
      </c>
      <c r="E58" s="371">
        <v>47</v>
      </c>
      <c r="F58" s="371" t="n">
        <v>24.0</v>
      </c>
      <c r="G58" s="9">
        <f si="1" t="shared"/>
        <v>4.4355873509721855E-5</v>
      </c>
    </row>
    <row r="59" spans="1:7" x14ac:dyDescent="0.25">
      <c r="A59">
        <v>48</v>
      </c>
      <c r="B59" s="6" t="n">
        <v>0.0</v>
      </c>
      <c r="C59" s="9">
        <f si="0" t="shared"/>
        <v>0</v>
      </c>
      <c r="E59" s="371">
        <v>48</v>
      </c>
      <c r="F59" s="371" t="n">
        <v>9.0</v>
      </c>
      <c r="G59" s="9">
        <f si="1" t="shared"/>
        <v>3.1682766792658468E-5</v>
      </c>
    </row>
    <row r="60" spans="1:7" x14ac:dyDescent="0.25">
      <c r="A60">
        <v>49</v>
      </c>
      <c r="B60" s="6" t="n">
        <v>0.0</v>
      </c>
      <c r="C60" s="9">
        <f si="0" t="shared"/>
        <v>0</v>
      </c>
      <c r="E60" s="371">
        <v>49</v>
      </c>
      <c r="F60" s="371" t="n">
        <v>5.0</v>
      </c>
      <c r="G60" s="9">
        <f si="1" t="shared"/>
        <v>2.8514490113392621E-5</v>
      </c>
    </row>
    <row r="61" spans="1:7" x14ac:dyDescent="0.25">
      <c r="A61">
        <v>50</v>
      </c>
      <c r="B61" s="6" t="n">
        <v>0.0</v>
      </c>
      <c r="C61" s="9">
        <f si="0" t="shared"/>
        <v>0</v>
      </c>
      <c r="E61" s="371">
        <v>50</v>
      </c>
      <c r="F61" s="371" t="n">
        <v>11.0</v>
      </c>
      <c r="G61" s="9">
        <f si="1" t="shared"/>
        <v>2.8514490113392621E-5</v>
      </c>
    </row>
    <row r="62" spans="1:7" x14ac:dyDescent="0.25">
      <c r="A62">
        <v>51</v>
      </c>
      <c r="B62" s="6" t="n">
        <v>0.0</v>
      </c>
      <c r="C62" s="9">
        <f si="0" t="shared"/>
        <v>0</v>
      </c>
      <c r="E62" s="371">
        <v>51</v>
      </c>
      <c r="F62" s="371" t="n">
        <v>6.0</v>
      </c>
      <c r="G62" s="9">
        <f si="1" t="shared"/>
        <v>2.8514490113392621E-5</v>
      </c>
    </row>
    <row r="63" spans="1:7" x14ac:dyDescent="0.25">
      <c r="A63">
        <v>52</v>
      </c>
      <c r="B63" s="6" t="n">
        <v>0.0</v>
      </c>
      <c r="C63" s="9">
        <f si="0" t="shared"/>
        <v>0</v>
      </c>
      <c r="E63" s="371">
        <v>52</v>
      </c>
      <c r="F63" s="371" t="n">
        <v>2.0</v>
      </c>
      <c r="G63" s="9">
        <f si="1" t="shared"/>
        <v>6.3365533585316936E-6</v>
      </c>
    </row>
    <row r="64" spans="1:7" x14ac:dyDescent="0.25">
      <c r="A64">
        <v>53</v>
      </c>
      <c r="B64" s="6" t="n">
        <v>0.0</v>
      </c>
      <c r="C64" s="9">
        <f si="0" t="shared"/>
        <v>0</v>
      </c>
      <c r="E64" s="371">
        <v>53</v>
      </c>
      <c r="F64" s="371" t="n">
        <v>2.0</v>
      </c>
      <c r="G64" s="9">
        <f si="1" t="shared"/>
        <v>0</v>
      </c>
    </row>
    <row r="65" spans="1:7" x14ac:dyDescent="0.25">
      <c r="A65">
        <v>54</v>
      </c>
      <c r="B65" s="6" t="n">
        <v>0.0</v>
      </c>
      <c r="C65" s="9">
        <f si="0" t="shared"/>
        <v>0</v>
      </c>
      <c r="E65" s="371">
        <v>54</v>
      </c>
      <c r="F65" s="371" t="n">
        <v>0.0</v>
      </c>
      <c r="G65" s="9">
        <f si="1" t="shared"/>
        <v>1.2673106717063387E-5</v>
      </c>
    </row>
    <row r="66" spans="1:7" x14ac:dyDescent="0.2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0.0</v>
      </c>
      <c r="G66" s="9">
        <f si="1" t="shared"/>
        <v>0</v>
      </c>
    </row>
    <row r="67" spans="1:7" x14ac:dyDescent="0.25">
      <c r="A67">
        <v>56</v>
      </c>
      <c r="B67" s="6" t="n">
        <v>0.0</v>
      </c>
      <c r="C67" s="9">
        <f si="0" t="shared"/>
        <v>0</v>
      </c>
      <c r="E67" s="371">
        <v>56</v>
      </c>
      <c r="F67" s="371" t="n">
        <v>1.0</v>
      </c>
      <c r="G67" s="9">
        <f si="1" t="shared"/>
        <v>9.5048300377975404E-6</v>
      </c>
    </row>
    <row r="68" spans="1:7" x14ac:dyDescent="0.2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5.0</v>
      </c>
      <c r="G68" s="9">
        <f si="1" t="shared"/>
        <v>6.3365533585316936E-6</v>
      </c>
    </row>
    <row r="69" spans="1:7" x14ac:dyDescent="0.2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2.0</v>
      </c>
      <c r="G69" s="9">
        <f si="1" t="shared"/>
        <v>0</v>
      </c>
    </row>
    <row r="70" spans="1:7" x14ac:dyDescent="0.25">
      <c r="A70">
        <v>59</v>
      </c>
      <c r="B70" s="6" t="n">
        <v>0.0</v>
      </c>
      <c r="C70" s="9">
        <f si="0" t="shared"/>
        <v>0</v>
      </c>
      <c r="E70" s="371">
        <v>59</v>
      </c>
      <c r="F70" s="371" t="n">
        <v>1.0</v>
      </c>
      <c r="G70" s="9">
        <f si="1" t="shared"/>
        <v>0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1.0</v>
      </c>
      <c r="G71" s="9">
        <f si="1" t="shared"/>
        <v>0</v>
      </c>
    </row>
    <row r="72" spans="1:7" x14ac:dyDescent="0.2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0.0</v>
      </c>
      <c r="G72" s="9">
        <f si="1" t="shared"/>
        <v>3.1682766792658468E-6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0.0</v>
      </c>
      <c r="G73" s="9">
        <f si="1" t="shared"/>
        <v>3.1682766792658468E-6</v>
      </c>
    </row>
    <row r="74" spans="1:7" x14ac:dyDescent="0.2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0.0</v>
      </c>
      <c r="G74" s="9">
        <f si="1" t="shared"/>
        <v>0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0.0</v>
      </c>
      <c r="G75" s="9">
        <f si="1" t="shared"/>
        <v>0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0.0</v>
      </c>
      <c r="G76" s="9">
        <f si="1" t="shared"/>
        <v>0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0.0</v>
      </c>
      <c r="G77" s="9">
        <f ref="G77:G102" si="3" t="shared">F77/F$102</f>
        <v>0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0.0</v>
      </c>
      <c r="G78" s="9">
        <f si="3" t="shared"/>
        <v>0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0.0</v>
      </c>
      <c r="G79" s="9">
        <f si="3" t="shared"/>
        <v>0</v>
      </c>
    </row>
    <row r="80" spans="1:7" x14ac:dyDescent="0.2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0.0</v>
      </c>
      <c r="G80" s="9">
        <f si="3" t="shared"/>
        <v>0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0.0</v>
      </c>
      <c r="G81" s="9">
        <f si="3" t="shared"/>
        <v>0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0.0</v>
      </c>
      <c r="G82" s="9">
        <f si="3" t="shared"/>
        <v>6.3365533585316936E-6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0.0</v>
      </c>
      <c r="G83" s="9">
        <f si="3" t="shared"/>
        <v>0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0.0</v>
      </c>
      <c r="G84" s="9">
        <f si="3" t="shared"/>
        <v>0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1.0</v>
      </c>
      <c r="G85" s="9">
        <f si="3" t="shared"/>
        <v>0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0.0</v>
      </c>
      <c r="G86" s="9">
        <f si="3" t="shared"/>
        <v>0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0.0</v>
      </c>
      <c r="G87" s="9">
        <f si="3" t="shared"/>
        <v>0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0.0</v>
      </c>
      <c r="G88" s="9">
        <f si="3" t="shared"/>
        <v>0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0.0</v>
      </c>
      <c r="G89" s="9">
        <f si="3" t="shared"/>
        <v>0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0.0</v>
      </c>
      <c r="G90" s="9">
        <f si="3" t="shared"/>
        <v>0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0.0</v>
      </c>
      <c r="G91" s="9">
        <f si="3" t="shared"/>
        <v>0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0.0</v>
      </c>
      <c r="G92" s="9">
        <f si="3" t="shared"/>
        <v>0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0.0</v>
      </c>
      <c r="G93" s="9">
        <f si="3" t="shared"/>
        <v>0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0.0</v>
      </c>
      <c r="G94" s="9">
        <f si="3" t="shared"/>
        <v>0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0.0</v>
      </c>
      <c r="G95" s="9">
        <f si="3" t="shared"/>
        <v>0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0.0</v>
      </c>
      <c r="G96" s="9">
        <f si="3" t="shared"/>
        <v>0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0.0</v>
      </c>
      <c r="G97" s="9">
        <f si="3" t="shared"/>
        <v>0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0.0</v>
      </c>
      <c r="G98" s="9">
        <f si="3" t="shared"/>
        <v>0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0.0</v>
      </c>
      <c r="G99" s="9">
        <f si="3" t="shared"/>
        <v>0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0.0</v>
      </c>
      <c r="G100" s="9">
        <f si="3" t="shared"/>
        <v>0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0.0</v>
      </c>
      <c r="G101" s="9">
        <f si="3" t="shared"/>
        <v>0</v>
      </c>
    </row>
    <row r="102" spans="1:7" x14ac:dyDescent="0.25">
      <c r="B102" s="6">
        <f>SUM(B11:B101)</f>
        <v>194291.16559827578</v>
      </c>
      <c r="C102" s="9">
        <f si="2" t="shared"/>
        <v>1</v>
      </c>
      <c r="F102" s="6">
        <f>SUM(F11:F101)</f>
        <v>315629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1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M102"/>
  <sheetViews>
    <sheetView workbookViewId="0">
      <selection activeCell="A6" sqref="A6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1928.2538946519999</v>
      </c>
      <c r="C11" s="9">
        <f>B11/B$102</f>
        <v>9.9245577569848711E-3</v>
      </c>
      <c r="E11" s="371">
        <v>0</v>
      </c>
      <c r="F11" s="371" t="n">
        <v>2143.0</v>
      </c>
      <c r="G11" s="9">
        <f>F11/F$102</f>
        <v>6.4125919988340741E-3</v>
      </c>
      <c r="K11" s="6" t="n">
        <v>12.812667947849283</v>
      </c>
      <c r="L11" s="6" t="n">
        <v>15.376126113502892</v>
      </c>
    </row>
    <row r="12" spans="1:12" x14ac:dyDescent="0.25">
      <c r="A12">
        <v>1</v>
      </c>
      <c r="B12" s="6" t="n">
        <v>1838.9710621157</v>
      </c>
      <c r="C12" s="9">
        <f>B12/B$102</f>
        <v>9.4650266596167879E-3</v>
      </c>
      <c r="E12" s="371">
        <v>1</v>
      </c>
      <c r="F12" s="371" t="n">
        <v>7422.0</v>
      </c>
      <c r="G12" s="9">
        <f>F12/F$102</f>
        <v>2.31822804621882E-2</v>
      </c>
      <c r="K12" s="6"/>
      <c r="L12" s="371"/>
    </row>
    <row r="13" spans="1:12" x14ac:dyDescent="0.25">
      <c r="A13">
        <v>2</v>
      </c>
      <c r="B13" s="6" t="n">
        <v>7102.1596210714</v>
      </c>
      <c r="C13" s="9">
        <f ref="C13:C76" si="0" t="shared">B13/B$102</f>
        <v>3.6554207697513698E-2</v>
      </c>
      <c r="E13" s="371">
        <v>2</v>
      </c>
      <c r="F13" s="371" t="n">
        <v>13576.0</v>
      </c>
      <c r="G13" s="9">
        <f ref="G13:G76" si="1" t="shared">F13/F$102</f>
        <v>4.3725386450547951E-2</v>
      </c>
    </row>
    <row r="14" spans="1:12" x14ac:dyDescent="0.25">
      <c r="A14">
        <v>3</v>
      </c>
      <c r="B14" s="6" t="n">
        <v>14178.5866912737</v>
      </c>
      <c r="C14" s="9">
        <f si="0" t="shared"/>
        <v>7.2975972158147009E-2</v>
      </c>
      <c r="E14" s="371">
        <v>3</v>
      </c>
      <c r="F14" s="371" t="n">
        <v>20820.0</v>
      </c>
      <c r="G14" s="9">
        <f si="1" t="shared"/>
        <v>6.8073592730705984E-2</v>
      </c>
    </row>
    <row r="15" spans="1:12" x14ac:dyDescent="0.25">
      <c r="A15">
        <v>4</v>
      </c>
      <c r="B15" s="6" t="n">
        <v>12627.4939158993</v>
      </c>
      <c r="C15" s="9">
        <f si="0" t="shared"/>
        <v>6.4992630400954085E-2</v>
      </c>
      <c r="E15" s="371">
        <v>4</v>
      </c>
      <c r="F15" s="371" t="n">
        <v>23673.0</v>
      </c>
      <c r="G15" s="9">
        <f si="1" t="shared"/>
        <v>7.6076659622531517E-2</v>
      </c>
    </row>
    <row r="16" spans="1:12" x14ac:dyDescent="0.25">
      <c r="A16">
        <v>5</v>
      </c>
      <c r="B16" s="6" t="n">
        <v>22861.6629622368</v>
      </c>
      <c r="C16" s="9">
        <f si="0" t="shared"/>
        <v>0.11766702254237588</v>
      </c>
      <c r="E16" s="371">
        <v>5</v>
      </c>
      <c r="F16" s="371" t="n">
        <v>19271.0</v>
      </c>
      <c r="G16" s="9">
        <f si="1" t="shared"/>
        <v>6.2687522375954041E-2</v>
      </c>
    </row>
    <row r="17" spans="1:7" x14ac:dyDescent="0.25">
      <c r="A17">
        <v>6</v>
      </c>
      <c r="B17" s="6" t="n">
        <v>11953.318504145</v>
      </c>
      <c r="C17" s="9">
        <f si="0" t="shared"/>
        <v>6.1522707259166705E-2</v>
      </c>
      <c r="E17" s="371">
        <v>6</v>
      </c>
      <c r="F17" s="371" t="n">
        <v>17097.0</v>
      </c>
      <c r="G17" s="9">
        <f si="1" t="shared"/>
        <v>5.4266242962465426E-2</v>
      </c>
    </row>
    <row r="18" spans="1:7" x14ac:dyDescent="0.25">
      <c r="A18">
        <v>7</v>
      </c>
      <c r="B18" s="6" t="n">
        <v>16025.6404698743</v>
      </c>
      <c r="C18" s="9">
        <f si="0" t="shared"/>
        <v>8.2482599867713807E-2</v>
      </c>
      <c r="E18" s="371">
        <v>7</v>
      </c>
      <c r="F18" s="371" t="n">
        <v>16442.0</v>
      </c>
      <c r="G18" s="9">
        <f si="1" t="shared"/>
        <v>5.3496351729403827E-2</v>
      </c>
    </row>
    <row r="19" spans="1:7" x14ac:dyDescent="0.25">
      <c r="A19">
        <v>8</v>
      </c>
      <c r="B19" s="6" t="n">
        <v>10794.3682639019</v>
      </c>
      <c r="C19" s="9">
        <f si="0" t="shared"/>
        <v>5.5557689566908937E-2</v>
      </c>
      <c r="E19" s="371">
        <v>8</v>
      </c>
      <c r="F19" s="371" t="n">
        <v>13981.0</v>
      </c>
      <c r="G19" s="9">
        <f si="1" t="shared"/>
        <v>4.6120603620072934E-2</v>
      </c>
    </row>
    <row r="20" spans="1:7" x14ac:dyDescent="0.25">
      <c r="A20">
        <v>9</v>
      </c>
      <c r="B20" s="6" t="n">
        <v>9236.2523126447</v>
      </c>
      <c r="C20" s="9">
        <f si="0" t="shared"/>
        <v>4.7538200124559171E-2</v>
      </c>
      <c r="E20" s="371">
        <v>9</v>
      </c>
      <c r="F20" s="371" t="n">
        <v>13198.0</v>
      </c>
      <c r="G20" s="9">
        <f si="1" t="shared"/>
        <v>4.1171755447059678E-2</v>
      </c>
    </row>
    <row r="21" spans="1:7" x14ac:dyDescent="0.25">
      <c r="A21">
        <v>10</v>
      </c>
      <c r="B21" s="6" t="n">
        <v>9142.1707526468</v>
      </c>
      <c r="C21" s="9">
        <f si="0" t="shared"/>
        <v>4.7053970387668169E-2</v>
      </c>
      <c r="E21" s="371">
        <v>10</v>
      </c>
      <c r="F21" s="371" t="n">
        <v>12482.0</v>
      </c>
      <c r="G21" s="9">
        <f si="1" t="shared"/>
        <v>4.063314841158449E-2</v>
      </c>
    </row>
    <row r="22" spans="1:7" x14ac:dyDescent="0.25">
      <c r="A22">
        <v>11</v>
      </c>
      <c r="B22" s="6" t="n">
        <v>5205.8307231851995</v>
      </c>
      <c r="C22" s="9">
        <f si="0" t="shared"/>
        <v>2.6793965166429571E-2</v>
      </c>
      <c r="E22" s="371">
        <v>11</v>
      </c>
      <c r="F22" s="371" t="n">
        <v>10394.0</v>
      </c>
      <c r="G22" s="9">
        <f si="1" t="shared"/>
        <v>3.3079976808214707E-2</v>
      </c>
    </row>
    <row r="23" spans="1:7" x14ac:dyDescent="0.25">
      <c r="A23">
        <v>12</v>
      </c>
      <c r="B23" s="6" t="n">
        <v>6624.150139864</v>
      </c>
      <c r="C23" s="9">
        <f si="0" t="shared"/>
        <v>3.4093933810456209E-2</v>
      </c>
      <c r="E23" s="371">
        <v>12</v>
      </c>
      <c r="F23" s="371" t="n">
        <v>8916.0</v>
      </c>
      <c r="G23" s="9">
        <f si="1" t="shared"/>
        <v>2.9499824160644301E-2</v>
      </c>
    </row>
    <row r="24" spans="1:7" x14ac:dyDescent="0.25">
      <c r="A24">
        <v>13</v>
      </c>
      <c r="B24" s="6" t="n">
        <v>4754.5338815035</v>
      </c>
      <c r="C24" s="9">
        <f si="0" t="shared"/>
        <v>2.4471178948682445E-2</v>
      </c>
      <c r="E24" s="371">
        <v>13</v>
      </c>
      <c r="F24" s="371" t="n">
        <v>7499.0</v>
      </c>
      <c r="G24" s="9">
        <f si="1" t="shared"/>
        <v>2.5070573363030646E-2</v>
      </c>
    </row>
    <row r="25" spans="1:7" x14ac:dyDescent="0.25">
      <c r="A25">
        <v>14</v>
      </c>
      <c r="B25" s="6" t="n">
        <v>2064.6482364060003</v>
      </c>
      <c r="C25" s="9">
        <f si="0" t="shared"/>
        <v>1.0626567760033671E-2</v>
      </c>
      <c r="E25" s="371">
        <v>14</v>
      </c>
      <c r="F25" s="371" t="n">
        <v>6029.0</v>
      </c>
      <c r="G25" s="9">
        <f si="1" t="shared"/>
        <v>1.9145895972803514E-2</v>
      </c>
    </row>
    <row r="26" spans="1:7" x14ac:dyDescent="0.25">
      <c r="A26">
        <v>15</v>
      </c>
      <c r="B26" s="6" t="n">
        <v>4817.256148157</v>
      </c>
      <c r="C26" s="9">
        <f si="0" t="shared"/>
        <v>2.4794005086764229E-2</v>
      </c>
      <c r="E26" s="371">
        <v>15</v>
      </c>
      <c r="F26" s="371" t="n">
        <v>6211.0</v>
      </c>
      <c r="G26" s="9">
        <f si="1" t="shared"/>
        <v>2.1002506106853298E-2</v>
      </c>
    </row>
    <row r="27" spans="1:7" x14ac:dyDescent="0.25">
      <c r="A27">
        <v>16</v>
      </c>
      <c r="B27" s="6" t="n">
        <v>4255.6834027212</v>
      </c>
      <c r="C27" s="9">
        <f si="0" t="shared"/>
        <v>2.1903638230882934E-2</v>
      </c>
      <c r="E27" s="371">
        <v>16</v>
      </c>
      <c r="F27" s="371" t="n">
        <v>7050.0</v>
      </c>
      <c r="G27" s="9">
        <f si="1" t="shared"/>
        <v>2.2979510754715188E-2</v>
      </c>
    </row>
    <row r="28" spans="1:7" x14ac:dyDescent="0.25">
      <c r="A28">
        <v>17</v>
      </c>
      <c r="B28" s="6" t="n">
        <v>1721.110428598</v>
      </c>
      <c r="C28" s="9">
        <f si="0" t="shared"/>
        <v>8.8584080665645767E-3</v>
      </c>
      <c r="E28" s="371">
        <v>17</v>
      </c>
      <c r="F28" s="371" t="n">
        <v>6466.0</v>
      </c>
      <c r="G28" s="9">
        <f si="1" t="shared"/>
        <v>2.1414382075157858E-2</v>
      </c>
    </row>
    <row r="29" spans="1:7" x14ac:dyDescent="0.25">
      <c r="A29">
        <v>18</v>
      </c>
      <c r="B29" s="6" t="n">
        <v>1623.290730663</v>
      </c>
      <c r="C29" s="9">
        <f si="0" t="shared"/>
        <v>8.3549384536576472E-3</v>
      </c>
      <c r="E29" s="371">
        <v>18</v>
      </c>
      <c r="F29" s="371" t="n">
        <v>5493.0</v>
      </c>
      <c r="G29" s="9">
        <f si="1" t="shared"/>
        <v>1.829996609943953E-2</v>
      </c>
    </row>
    <row r="30" spans="1:7" x14ac:dyDescent="0.25">
      <c r="A30">
        <v>19</v>
      </c>
      <c r="B30" s="6" t="n">
        <v>3383.02432077</v>
      </c>
      <c r="C30" s="9">
        <f si="0" t="shared"/>
        <v>1.7412136626761904E-2</v>
      </c>
      <c r="E30" s="371">
        <v>19</v>
      </c>
      <c r="F30" s="371" t="n">
        <v>5368.0</v>
      </c>
      <c r="G30" s="9">
        <f si="1" t="shared"/>
        <v>1.7206910645092815E-2</v>
      </c>
    </row>
    <row r="31" spans="1:7" x14ac:dyDescent="0.25">
      <c r="A31">
        <v>20</v>
      </c>
      <c r="B31" s="6" t="n">
        <v>6015.704121338</v>
      </c>
      <c r="C31" s="9">
        <f si="0" t="shared"/>
        <v>3.0962314229851871E-2</v>
      </c>
      <c r="E31" s="371">
        <v>20</v>
      </c>
      <c r="F31" s="371" t="n">
        <v>5046.0</v>
      </c>
      <c r="G31" s="9">
        <f si="1" t="shared"/>
        <v>1.7153049941545297E-2</v>
      </c>
    </row>
    <row r="32" spans="1:7" x14ac:dyDescent="0.25">
      <c r="A32">
        <v>21</v>
      </c>
      <c r="B32" s="6" t="n">
        <v>2875.1614626894</v>
      </c>
      <c r="C32" s="9">
        <f si="0" t="shared"/>
        <v>1.4798209964081434E-2</v>
      </c>
      <c r="E32" s="371">
        <v>21</v>
      </c>
      <c r="F32" s="371" t="n">
        <v>5330.0</v>
      </c>
      <c r="G32" s="9">
        <f si="1" t="shared"/>
        <v>1.7884921854455706E-2</v>
      </c>
    </row>
    <row r="33" spans="1:7" x14ac:dyDescent="0.25">
      <c r="A33">
        <v>22</v>
      </c>
      <c r="B33" s="6" t="n">
        <v>2537.1736604508</v>
      </c>
      <c r="C33" s="9">
        <f si="0" t="shared"/>
        <v>1.3058615674254394E-2</v>
      </c>
      <c r="E33" s="371">
        <v>22</v>
      </c>
      <c r="F33" s="371" t="n">
        <v>5202.0</v>
      </c>
      <c r="G33" s="9">
        <f si="1" t="shared"/>
        <v>1.8189076415665226E-2</v>
      </c>
    </row>
    <row r="34" spans="1:7" x14ac:dyDescent="0.25">
      <c r="A34">
        <v>23</v>
      </c>
      <c r="B34" s="6" t="n">
        <v>1241.483662166</v>
      </c>
      <c r="C34" s="9">
        <f si="0" t="shared"/>
        <v>6.3898101508791279E-3</v>
      </c>
      <c r="E34" s="371">
        <v>23</v>
      </c>
      <c r="F34" s="371" t="n">
        <v>5635.0</v>
      </c>
      <c r="G34" s="9">
        <f si="1" t="shared"/>
        <v>1.8718178621102623E-2</v>
      </c>
    </row>
    <row r="35" spans="1:7" x14ac:dyDescent="0.25">
      <c r="A35">
        <v>24</v>
      </c>
      <c r="B35" s="6" t="n">
        <v>1505.439925838</v>
      </c>
      <c r="C35" s="9">
        <f si="0" t="shared"/>
        <v>7.7483704480455287E-3</v>
      </c>
      <c r="E35" s="371">
        <v>24</v>
      </c>
      <c r="F35" s="371" t="n">
        <v>4724.0</v>
      </c>
      <c r="G35" s="9">
        <f si="1" t="shared"/>
        <v>1.6031479997085187E-2</v>
      </c>
    </row>
    <row r="36" spans="1:7" x14ac:dyDescent="0.25">
      <c r="A36">
        <v>25</v>
      </c>
      <c r="B36" s="6" t="n">
        <v>1328.1275915283</v>
      </c>
      <c r="C36" s="9">
        <f si="0" t="shared"/>
        <v>6.8357590394737249E-3</v>
      </c>
      <c r="E36" s="371">
        <v>25</v>
      </c>
      <c r="F36" s="371" t="n">
        <v>4552.0</v>
      </c>
      <c r="G36" s="9">
        <f si="1" t="shared"/>
        <v>1.5385151554514953E-2</v>
      </c>
    </row>
    <row r="37" spans="1:7" x14ac:dyDescent="0.25">
      <c r="A37">
        <v>26</v>
      </c>
      <c r="B37" s="6" t="n">
        <v>2063.211577473</v>
      </c>
      <c r="C37" s="9">
        <f si="0" t="shared"/>
        <v>1.0619173399468813E-2</v>
      </c>
      <c r="E37" s="371">
        <v>26</v>
      </c>
      <c r="F37" s="371" t="n">
        <v>4106.0</v>
      </c>
      <c r="G37" s="9">
        <f si="1" t="shared"/>
        <v>1.3249733072689772E-2</v>
      </c>
    </row>
    <row r="38" spans="1:7" x14ac:dyDescent="0.25">
      <c r="A38">
        <v>27</v>
      </c>
      <c r="B38" s="6" t="n">
        <v>1367.216298825</v>
      </c>
      <c r="C38" s="9">
        <f si="0" t="shared"/>
        <v>7.0369452703367454E-3</v>
      </c>
      <c r="E38" s="371">
        <v>27</v>
      </c>
      <c r="F38" s="371" t="n">
        <v>3864.0</v>
      </c>
      <c r="G38" s="9">
        <f si="1" t="shared"/>
        <v>1.3069141301971619E-2</v>
      </c>
    </row>
    <row r="39" spans="1:7" x14ac:dyDescent="0.25">
      <c r="A39">
        <v>28</v>
      </c>
      <c r="B39" s="6" t="n">
        <v>1648.067413211</v>
      </c>
      <c r="C39" s="9">
        <f si="0" t="shared"/>
        <v>8.4824619181018794E-3</v>
      </c>
      <c r="E39" s="371">
        <v>28</v>
      </c>
      <c r="F39" s="371" t="n">
        <v>3944.0</v>
      </c>
      <c r="G39" s="9">
        <f si="1" t="shared"/>
        <v>1.3050131641896024E-2</v>
      </c>
    </row>
    <row r="40" spans="1:7" x14ac:dyDescent="0.25">
      <c r="A40">
        <v>29</v>
      </c>
      <c r="B40" s="6" t="n">
        <v>1226.126335686</v>
      </c>
      <c r="C40" s="9">
        <f si="0" t="shared"/>
        <v>6.3107673059164624E-3</v>
      </c>
      <c r="E40" s="371">
        <v>29</v>
      </c>
      <c r="F40" s="371" t="n">
        <v>3451.0</v>
      </c>
      <c r="G40" s="9">
        <f si="1" t="shared"/>
        <v>1.2619246013515868E-2</v>
      </c>
    </row>
    <row r="41" spans="1:7" x14ac:dyDescent="0.25">
      <c r="A41">
        <v>30</v>
      </c>
      <c r="B41" s="6" t="n">
        <v>332.655036121</v>
      </c>
      <c r="C41" s="9">
        <f si="0" t="shared"/>
        <v>1.7121469990499258E-3</v>
      </c>
      <c r="E41" s="371">
        <v>30</v>
      </c>
      <c r="F41" s="371" t="n">
        <v>3033.0</v>
      </c>
      <c r="G41" s="9">
        <f si="1" t="shared"/>
        <v>1.0220860567311623E-2</v>
      </c>
    </row>
    <row r="42" spans="1:7" x14ac:dyDescent="0.25">
      <c r="A42">
        <v>31</v>
      </c>
      <c r="B42" s="6" t="n">
        <v>1947.8568313048</v>
      </c>
      <c r="C42" s="9">
        <f si="0" t="shared"/>
        <v>1.002545239412618E-2</v>
      </c>
      <c r="E42" s="371">
        <v>31</v>
      </c>
      <c r="F42" s="371" t="n">
        <v>2876.0</v>
      </c>
      <c r="G42" s="9">
        <f si="1" t="shared"/>
        <v>9.6125514448925798E-3</v>
      </c>
    </row>
    <row r="43" spans="1:7" x14ac:dyDescent="0.25">
      <c r="A43">
        <v>32</v>
      </c>
      <c r="B43" s="6" t="n">
        <v>1682.20989941</v>
      </c>
      <c r="C43" s="9">
        <f si="0" t="shared"/>
        <v>8.6581903723209168E-3</v>
      </c>
      <c r="E43" s="371">
        <v>32</v>
      </c>
      <c r="F43" s="371" t="n">
        <v>2680.0</v>
      </c>
      <c r="G43" s="9">
        <f si="1" t="shared"/>
        <v>8.9282036821711572E-3</v>
      </c>
    </row>
    <row r="44" spans="1:7" x14ac:dyDescent="0.25">
      <c r="A44">
        <v>33</v>
      </c>
      <c r="B44" s="6" t="n">
        <v>143.261123304</v>
      </c>
      <c r="C44" s="9">
        <f si="0" t="shared"/>
        <v>7.3735273996045948E-4</v>
      </c>
      <c r="E44" s="371">
        <v>33</v>
      </c>
      <c r="F44" s="371" t="n">
        <v>2559.0</v>
      </c>
      <c r="G44" s="9">
        <f si="1" t="shared"/>
        <v>8.345240773186241E-3</v>
      </c>
    </row>
    <row r="45" spans="1:7" x14ac:dyDescent="0.25">
      <c r="A45">
        <v>34</v>
      </c>
      <c r="B45" s="6" t="n">
        <v>2974.423631623</v>
      </c>
      <c r="C45" s="9">
        <f si="0" t="shared"/>
        <v>1.5309103851757409E-2</v>
      </c>
      <c r="E45" s="371">
        <v>34</v>
      </c>
      <c r="F45" s="371" t="n">
        <v>2359.0</v>
      </c>
      <c r="G45" s="9">
        <f si="1" t="shared"/>
        <v>7.5373302199734501E-3</v>
      </c>
    </row>
    <row r="46" spans="1:7" x14ac:dyDescent="0.25">
      <c r="A46">
        <v>35</v>
      </c>
      <c r="B46" s="6" t="n">
        <v>883.658374101</v>
      </c>
      <c r="C46" s="9">
        <f si="0" t="shared"/>
        <v>4.5481140193892695E-3</v>
      </c>
      <c r="E46" s="371">
        <v>35</v>
      </c>
      <c r="F46" s="371" t="n">
        <v>2068.0</v>
      </c>
      <c r="G46" s="9">
        <f si="1" t="shared"/>
        <v>6.7420927734777219E-3</v>
      </c>
    </row>
    <row r="47" spans="1:7" x14ac:dyDescent="0.25">
      <c r="A47">
        <v>36</v>
      </c>
      <c r="B47" s="6" t="n">
        <v>2987.63620063</v>
      </c>
      <c r="C47" s="9">
        <f si="0" t="shared"/>
        <v>1.5377107813575822E-2</v>
      </c>
      <c r="E47" s="371">
        <v>36</v>
      </c>
      <c r="F47" s="371" t="n">
        <v>1790.0</v>
      </c>
      <c r="G47" s="9">
        <f si="1" t="shared"/>
        <v>6.0228939672843746E-3</v>
      </c>
    </row>
    <row r="48" spans="1:7" x14ac:dyDescent="0.25">
      <c r="A48">
        <v>37</v>
      </c>
      <c r="B48" s="6" t="n">
        <v>2423.547197138</v>
      </c>
      <c r="C48" s="9">
        <f si="0" t="shared"/>
        <v>1.247378999284519E-2</v>
      </c>
      <c r="E48" s="371">
        <v>37</v>
      </c>
      <c r="F48" s="371" t="n">
        <v>1582.0</v>
      </c>
      <c r="G48" s="9">
        <f si="1" t="shared"/>
        <v>5.1737958172411282E-3</v>
      </c>
    </row>
    <row r="49" spans="1:7" x14ac:dyDescent="0.25">
      <c r="A49">
        <v>38</v>
      </c>
      <c r="B49" s="6" t="n">
        <v>0.0</v>
      </c>
      <c r="C49" s="9">
        <f si="0" t="shared"/>
        <v>0</v>
      </c>
      <c r="E49" s="371">
        <v>38</v>
      </c>
      <c r="F49" s="371" t="n">
        <v>1357.0</v>
      </c>
      <c r="G49" s="9">
        <f si="1" t="shared"/>
        <v>4.8411267659182137E-3</v>
      </c>
    </row>
    <row r="50" spans="1:7" x14ac:dyDescent="0.25">
      <c r="A50">
        <v>39</v>
      </c>
      <c r="B50" s="6" t="n">
        <v>5.1375</v>
      </c>
      <c r="C50" s="9">
        <f si="0" t="shared"/>
        <v>2.6442272782605578E-5</v>
      </c>
      <c r="E50" s="371">
        <v>39</v>
      </c>
      <c r="F50" s="371" t="n">
        <v>1223.0</v>
      </c>
      <c r="G50" s="9">
        <f si="1" t="shared"/>
        <v>3.770249248326358E-3</v>
      </c>
    </row>
    <row r="51" spans="1:7" x14ac:dyDescent="0.25">
      <c r="A51">
        <v>40</v>
      </c>
      <c r="B51" s="6" t="n">
        <v>5.1375</v>
      </c>
      <c r="C51" s="9">
        <f si="0" t="shared"/>
        <v>2.6442272782605578E-5</v>
      </c>
      <c r="E51" s="371">
        <v>40</v>
      </c>
      <c r="F51" s="371" t="n">
        <v>1216.0</v>
      </c>
      <c r="G51" s="9">
        <f si="1" t="shared"/>
        <v>3.9033168688555235E-3</v>
      </c>
    </row>
    <row r="52" spans="1:7" x14ac:dyDescent="0.25">
      <c r="A52">
        <v>41</v>
      </c>
      <c r="B52" s="6" t="n">
        <v>0.0</v>
      </c>
      <c r="C52" s="9">
        <f si="0" t="shared"/>
        <v>0</v>
      </c>
      <c r="E52" s="371">
        <v>41</v>
      </c>
      <c r="F52" s="371" t="n">
        <v>1209.0</v>
      </c>
      <c r="G52" s="9">
        <f si="1" t="shared"/>
        <v>4.106086576328538E-3</v>
      </c>
    </row>
    <row r="53" spans="1:7" x14ac:dyDescent="0.25">
      <c r="A53">
        <v>42</v>
      </c>
      <c r="B53" s="6" t="n">
        <v>643.540135043</v>
      </c>
      <c r="C53" s="9">
        <f si="0" t="shared"/>
        <v>3.3122459946203085E-3</v>
      </c>
      <c r="E53" s="371">
        <v>42</v>
      </c>
      <c r="F53" s="371" t="n">
        <v>1023.0</v>
      </c>
      <c r="G53" s="9">
        <f si="1" t="shared"/>
        <v>3.4058974302107856E-3</v>
      </c>
    </row>
    <row r="54" spans="1:7" x14ac:dyDescent="0.25">
      <c r="A54">
        <v>43</v>
      </c>
      <c r="B54" s="6" t="n">
        <v>363.531135753</v>
      </c>
      <c r="C54" s="9">
        <f si="0" t="shared"/>
        <v>1.8710636411778581E-3</v>
      </c>
      <c r="E54" s="371">
        <v>43</v>
      </c>
      <c r="F54" s="371" t="n">
        <v>732.0</v>
      </c>
      <c r="G54" s="9">
        <f si="1" t="shared"/>
        <v>2.6581841339040455E-3</v>
      </c>
    </row>
    <row r="55" spans="1:7" x14ac:dyDescent="0.25">
      <c r="A55">
        <v>44</v>
      </c>
      <c r="B55" s="6" t="n">
        <v>200.376050754</v>
      </c>
      <c r="C55" s="9">
        <f si="0" t="shared"/>
        <v>1.0313183830926497E-3</v>
      </c>
      <c r="E55" s="371">
        <v>44</v>
      </c>
      <c r="F55" s="371" t="n">
        <v>722.0</v>
      </c>
      <c r="G55" s="9">
        <f si="1" t="shared"/>
        <v>2.6360061971491848E-3</v>
      </c>
    </row>
    <row r="56" spans="1:7" x14ac:dyDescent="0.25">
      <c r="A56">
        <v>45</v>
      </c>
      <c r="B56" s="6" t="n">
        <v>0.0</v>
      </c>
      <c r="C56" s="9">
        <f si="0" t="shared"/>
        <v>0</v>
      </c>
      <c r="E56" s="371">
        <v>45</v>
      </c>
      <c r="F56" s="371" t="n">
        <v>705.0</v>
      </c>
      <c r="G56" s="9">
        <f si="1" t="shared"/>
        <v>2.1766060786556369E-3</v>
      </c>
    </row>
    <row r="57" spans="1:7" x14ac:dyDescent="0.25">
      <c r="A57">
        <v>46</v>
      </c>
      <c r="B57" s="6" t="n">
        <v>2909.7281693649998</v>
      </c>
      <c r="C57" s="9">
        <f si="0" t="shared"/>
        <v>1.49761218447846E-2</v>
      </c>
      <c r="E57" s="371">
        <v>46</v>
      </c>
      <c r="F57" s="371" t="n">
        <v>563.0</v>
      </c>
      <c r="G57" s="9">
        <f si="1" t="shared"/>
        <v>1.9548267111070276E-3</v>
      </c>
    </row>
    <row r="58" spans="1:7" x14ac:dyDescent="0.25">
      <c r="A58">
        <v>47</v>
      </c>
      <c r="B58" s="6" t="n">
        <v>579.562353225</v>
      </c>
      <c r="C58" s="9">
        <f si="0" t="shared"/>
        <v>2.9829578274460844E-3</v>
      </c>
      <c r="E58" s="371">
        <v>47</v>
      </c>
      <c r="F58" s="371" t="n">
        <v>532.0</v>
      </c>
      <c r="G58" s="9">
        <f si="1" t="shared"/>
        <v>1.8629466874083181E-3</v>
      </c>
    </row>
    <row r="59" spans="1:7" x14ac:dyDescent="0.25">
      <c r="A59">
        <v>48</v>
      </c>
      <c r="B59" s="6" t="n">
        <v>172.429102711</v>
      </c>
      <c r="C59" s="9">
        <f si="0" t="shared"/>
        <v>8.874778334879177E-4</v>
      </c>
      <c r="E59" s="371">
        <v>48</v>
      </c>
      <c r="F59" s="371" t="n">
        <v>488.0</v>
      </c>
      <c r="G59" s="9">
        <f si="1" t="shared"/>
        <v>1.5556238495195308E-3</v>
      </c>
    </row>
    <row r="60" spans="1:7" x14ac:dyDescent="0.25">
      <c r="A60">
        <v>49</v>
      </c>
      <c r="B60" s="6" t="n">
        <v>0.0</v>
      </c>
      <c r="C60" s="9">
        <f si="0" t="shared"/>
        <v>0</v>
      </c>
      <c r="E60" s="371">
        <v>49</v>
      </c>
      <c r="F60" s="371" t="n">
        <v>467.0</v>
      </c>
      <c r="G60" s="9">
        <f si="1" t="shared"/>
        <v>1.4383976123866944E-3</v>
      </c>
    </row>
    <row r="61" spans="1:7" x14ac:dyDescent="0.25">
      <c r="A61">
        <v>50</v>
      </c>
      <c r="B61" s="6" t="n">
        <v>0.0</v>
      </c>
      <c r="C61" s="9">
        <f si="0" t="shared"/>
        <v>0</v>
      </c>
      <c r="E61" s="371">
        <v>50</v>
      </c>
      <c r="F61" s="371" t="n">
        <v>397.0</v>
      </c>
      <c r="G61" s="9">
        <f si="1" t="shared"/>
        <v>1.2483010116307437E-3</v>
      </c>
    </row>
    <row r="62" spans="1:7" x14ac:dyDescent="0.25">
      <c r="A62">
        <v>51</v>
      </c>
      <c r="B62" s="6" t="n">
        <v>0.0</v>
      </c>
      <c r="C62" s="9">
        <f si="0" t="shared"/>
        <v>0</v>
      </c>
      <c r="E62" s="371">
        <v>51</v>
      </c>
      <c r="F62" s="371" t="n">
        <v>346.0</v>
      </c>
      <c r="G62" s="9">
        <f si="1" t="shared"/>
        <v>1.0930554543467173E-3</v>
      </c>
    </row>
    <row r="63" spans="1:7" x14ac:dyDescent="0.25">
      <c r="A63">
        <v>52</v>
      </c>
      <c r="B63" s="6" t="n">
        <v>0.0</v>
      </c>
      <c r="C63" s="9">
        <f si="0" t="shared"/>
        <v>0</v>
      </c>
      <c r="E63" s="371">
        <v>52</v>
      </c>
      <c r="F63" s="371" t="n">
        <v>277.0</v>
      </c>
      <c r="G63" s="9">
        <f si="1" t="shared"/>
        <v>9.4731472710048821E-4</v>
      </c>
    </row>
    <row r="64" spans="1:7" x14ac:dyDescent="0.25">
      <c r="A64">
        <v>53</v>
      </c>
      <c r="B64" s="6" t="n">
        <v>599.68197008</v>
      </c>
      <c r="C64" s="9">
        <f si="0" t="shared"/>
        <v>3.0865117733655818E-3</v>
      </c>
      <c r="E64" s="371">
        <v>53</v>
      </c>
      <c r="F64" s="371" t="n">
        <v>272.0</v>
      </c>
      <c r="G64" s="9">
        <f si="1" t="shared"/>
        <v>8.9028574687370296E-4</v>
      </c>
    </row>
    <row r="65" spans="1:7" x14ac:dyDescent="0.25">
      <c r="A65">
        <v>54</v>
      </c>
      <c r="B65" s="6" t="n">
        <v>145.521851989</v>
      </c>
      <c r="C65" s="9">
        <f si="0" t="shared"/>
        <v>7.4898851700692785E-4</v>
      </c>
      <c r="E65" s="371">
        <v>54</v>
      </c>
      <c r="F65" s="371" t="n">
        <v>298.0</v>
      </c>
      <c r="G65" s="9">
        <f si="1" t="shared"/>
        <v>8.3008848996765194E-4</v>
      </c>
    </row>
    <row r="66" spans="1:7" x14ac:dyDescent="0.2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228.0</v>
      </c>
      <c r="G66" s="9">
        <f si="1" t="shared"/>
        <v>7.4454501962747401E-4</v>
      </c>
    </row>
    <row r="67" spans="1:7" x14ac:dyDescent="0.25">
      <c r="A67">
        <v>56</v>
      </c>
      <c r="B67" s="6" t="n">
        <v>0.0</v>
      </c>
      <c r="C67" s="9">
        <f si="0" t="shared"/>
        <v>0</v>
      </c>
      <c r="E67" s="371">
        <v>56</v>
      </c>
      <c r="F67" s="371" t="n">
        <v>220.0</v>
      </c>
      <c r="G67" s="9">
        <f si="1" t="shared"/>
        <v>6.5583327260803031E-4</v>
      </c>
    </row>
    <row r="68" spans="1:7" x14ac:dyDescent="0.25">
      <c r="A68">
        <v>57</v>
      </c>
      <c r="B68" s="6" t="n">
        <v>191.566641722</v>
      </c>
      <c r="C68" s="9">
        <f si="0" t="shared"/>
        <v>9.8597710880015473E-4</v>
      </c>
      <c r="E68" s="371">
        <v>57</v>
      </c>
      <c r="F68" s="371" t="n">
        <v>182.0</v>
      </c>
      <c r="G68" s="9">
        <f si="1" t="shared"/>
        <v>5.1009254536180137E-4</v>
      </c>
    </row>
    <row r="69" spans="1:7" x14ac:dyDescent="0.2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159.0</v>
      </c>
      <c r="G69" s="9">
        <f si="1" t="shared"/>
        <v>5.7345807894711826E-4</v>
      </c>
    </row>
    <row r="70" spans="1:7" x14ac:dyDescent="0.25">
      <c r="A70">
        <v>59</v>
      </c>
      <c r="B70" s="6" t="n">
        <v>0.0</v>
      </c>
      <c r="C70" s="9">
        <f si="0" t="shared"/>
        <v>0</v>
      </c>
      <c r="E70" s="371">
        <v>59</v>
      </c>
      <c r="F70" s="371" t="n">
        <v>157.0</v>
      </c>
      <c r="G70" s="9">
        <f si="1" t="shared"/>
        <v>4.5623184181428194E-4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156.0</v>
      </c>
      <c r="G71" s="9">
        <f si="1" t="shared"/>
        <v>5.4177531215445981E-4</v>
      </c>
    </row>
    <row r="72" spans="1:7" x14ac:dyDescent="0.2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157.0</v>
      </c>
      <c r="G72" s="9">
        <f si="1" t="shared"/>
        <v>5.9563601570197919E-4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162.0</v>
      </c>
      <c r="G73" s="9">
        <f si="1" t="shared"/>
        <v>4.8791460860694044E-4</v>
      </c>
    </row>
    <row r="74" spans="1:7" x14ac:dyDescent="0.2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147.0</v>
      </c>
      <c r="G74" s="9">
        <f si="1" t="shared"/>
        <v>4.6890494853134534E-4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115.0</v>
      </c>
      <c r="G75" s="9">
        <f si="1" t="shared"/>
        <v>3.8336147819116747E-4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107.0</v>
      </c>
      <c r="G76" s="9">
        <f si="1" t="shared"/>
        <v>4.9108288528620632E-4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126.0</v>
      </c>
      <c r="G77" s="9">
        <f ref="G77:G102" si="3" t="shared">F77/F$102</f>
        <v>4.0237113826676257E-4</v>
      </c>
    </row>
    <row r="78" spans="1:7" x14ac:dyDescent="0.25">
      <c r="A78">
        <v>67</v>
      </c>
      <c r="B78" s="6" t="n">
        <v>240.790838723</v>
      </c>
      <c r="C78" s="9">
        <f si="2" t="shared"/>
        <v>1.2393298376770709E-3</v>
      </c>
      <c r="E78" s="371">
        <v>67</v>
      </c>
      <c r="F78" s="371" t="n">
        <v>140.0</v>
      </c>
      <c r="G78" s="9">
        <f si="3" t="shared"/>
        <v>3.4217388136071144E-4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105.0</v>
      </c>
      <c r="G79" s="9">
        <f si="3" t="shared"/>
        <v>3.6118354143630654E-4</v>
      </c>
    </row>
    <row r="80" spans="1:7" x14ac:dyDescent="0.2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87.0</v>
      </c>
      <c r="G80" s="9">
        <f si="3" t="shared"/>
        <v>3.5801526475704072E-4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125.0</v>
      </c>
      <c r="G81" s="9">
        <f si="3" t="shared"/>
        <v>3.8019320151190164E-4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102.0</v>
      </c>
      <c r="G82" s="9">
        <f si="3" t="shared"/>
        <v>2.7247179441686285E-4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102.0</v>
      </c>
      <c r="G83" s="9">
        <f si="3" t="shared"/>
        <v>3.4217388136071144E-4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82.0</v>
      </c>
      <c r="G84" s="9">
        <f si="3" t="shared"/>
        <v>2.4395730430347022E-4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91.0</v>
      </c>
      <c r="G85" s="9">
        <f si="3" t="shared"/>
        <v>2.8831317781319207E-4</v>
      </c>
    </row>
    <row r="86" spans="1:7" x14ac:dyDescent="0.25">
      <c r="A86">
        <v>75</v>
      </c>
      <c r="B86" s="6" t="n">
        <v>356.0060045</v>
      </c>
      <c r="C86" s="9">
        <f si="2" t="shared"/>
        <v>1.8323324346928484E-3</v>
      </c>
      <c r="E86" s="371">
        <v>75</v>
      </c>
      <c r="F86" s="371" t="n">
        <v>57.0</v>
      </c>
      <c r="G86" s="9">
        <f si="3" t="shared"/>
        <v>1.7425521735962157E-4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66.0</v>
      </c>
      <c r="G87" s="9">
        <f si="3" t="shared"/>
        <v>2.1861109086934345E-4</v>
      </c>
    </row>
    <row r="88" spans="1:7" x14ac:dyDescent="0.25">
      <c r="A88">
        <v>77</v>
      </c>
      <c r="B88" s="6" t="n">
        <v>124.302108198</v>
      </c>
      <c r="C88" s="9">
        <f si="2" t="shared"/>
        <v>6.3977231190743926E-4</v>
      </c>
      <c r="E88" s="371">
        <v>77</v>
      </c>
      <c r="F88" s="371" t="n">
        <v>62.0</v>
      </c>
      <c r="G88" s="9">
        <f si="3" t="shared"/>
        <v>1.8692832407668497E-4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54.0</v>
      </c>
      <c r="G89" s="9">
        <f si="3" t="shared"/>
        <v>1.7742349403888742E-4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46.0</v>
      </c>
      <c r="G90" s="9">
        <f si="3" t="shared"/>
        <v>1.8059177071815327E-4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54.0</v>
      </c>
      <c r="G91" s="9">
        <f si="3" t="shared"/>
        <v>1.7425521735962157E-4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65.0</v>
      </c>
      <c r="G92" s="9">
        <f si="3" t="shared"/>
        <v>2.027697074730142E-4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44.0</v>
      </c>
      <c r="G93" s="9">
        <f si="3" t="shared"/>
        <v>1.5207728060476065E-4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52.0</v>
      </c>
      <c r="G94" s="9">
        <f si="3" t="shared"/>
        <v>2.2494764422787512E-4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93.0</v>
      </c>
      <c r="G95" s="9">
        <f si="3" t="shared"/>
        <v>3.8336147819116747E-4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44.0</v>
      </c>
      <c r="G96" s="9">
        <f si="3" t="shared"/>
        <v>1.4574072724622895E-4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44.0</v>
      </c>
      <c r="G97" s="9">
        <f si="3" t="shared"/>
        <v>1.5841383396329235E-4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47.0</v>
      </c>
      <c r="G98" s="9">
        <f si="3" t="shared"/>
        <v>2.027697074730142E-4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31.0</v>
      </c>
      <c r="G99" s="9">
        <f si="3" t="shared"/>
        <v>1.1722623713283634E-4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38.0</v>
      </c>
      <c r="G100" s="9">
        <f si="3" t="shared"/>
        <v>1.2356279049136802E-4</v>
      </c>
    </row>
    <row ht="15.75" r="101" spans="1:7" thickBot="1" x14ac:dyDescent="0.3">
      <c r="A101" s="1">
        <v>90</v>
      </c>
      <c r="B101" s="7" t="n">
        <v>432.487431046</v>
      </c>
      <c r="C101" s="9">
        <f si="2" t="shared"/>
        <v>2.2259757910981317E-3</v>
      </c>
      <c r="E101" s="372">
        <v>90</v>
      </c>
      <c r="F101" s="372" t="n">
        <v>2190.0</v>
      </c>
      <c r="G101" s="9">
        <f si="3" t="shared"/>
        <v>7.4803012397466643E-3</v>
      </c>
    </row>
    <row r="102" spans="1:7" x14ac:dyDescent="0.25">
      <c r="B102" s="6">
        <f>SUM(B11:B101)</f>
        <v>194291.16559827575</v>
      </c>
      <c r="C102" s="9">
        <f si="2" t="shared"/>
        <v>1</v>
      </c>
      <c r="F102" s="6">
        <f>SUM(F11:F101)</f>
        <v>315629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1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M102"/>
  <sheetViews>
    <sheetView workbookViewId="0">
      <selection activeCell="A6" sqref="A6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20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35854.7707380932</v>
      </c>
      <c r="C11" s="9">
        <f>B11/B$102</f>
        <v>0.38361449555254917</v>
      </c>
      <c r="E11" s="371">
        <v>0</v>
      </c>
      <c r="F11" s="371" t="n">
        <v>31403.0</v>
      </c>
      <c r="G11" s="9">
        <f>F11/F$102</f>
        <v>0.19719693835333058</v>
      </c>
      <c r="K11" s="6" t="n">
        <v>3.3054569253799677</v>
      </c>
      <c r="L11" s="6" t="n">
        <v>5.975416892248475</v>
      </c>
    </row>
    <row r="12" spans="1:12" x14ac:dyDescent="0.25">
      <c r="A12">
        <v>1</v>
      </c>
      <c r="B12" s="6" t="n">
        <v>13470.1099397944</v>
      </c>
      <c r="C12" s="9">
        <f>B12/B$102</f>
        <v>0.14411832297958829</v>
      </c>
      <c r="E12" s="371">
        <v>1</v>
      </c>
      <c r="F12" s="371" t="n">
        <v>21419.0</v>
      </c>
      <c r="G12" s="9">
        <f>F12/F$102</f>
        <v>0.13837531030202729</v>
      </c>
      <c r="K12" s="6"/>
      <c r="L12" s="371"/>
    </row>
    <row r="13" spans="1:12" x14ac:dyDescent="0.25">
      <c r="A13">
        <v>2</v>
      </c>
      <c r="B13" s="6" t="n">
        <v>8984.086040013</v>
      </c>
      <c r="C13" s="9">
        <f ref="C13:C76" si="0" t="shared">B13/B$102</f>
        <v>9.6121814846209547E-2</v>
      </c>
      <c r="E13" s="371">
        <v>2</v>
      </c>
      <c r="F13" s="371" t="n">
        <v>15670.0</v>
      </c>
      <c r="G13" s="9">
        <f ref="G13:G76" si="1" t="shared">F13/F$102</f>
        <v>0.10102916839056682</v>
      </c>
    </row>
    <row r="14" spans="1:12" x14ac:dyDescent="0.25">
      <c r="A14">
        <v>3</v>
      </c>
      <c r="B14" s="6" t="n">
        <v>8881.267790696</v>
      </c>
      <c r="C14" s="9">
        <f si="0" t="shared"/>
        <v>9.5021750056130366E-2</v>
      </c>
      <c r="E14" s="371">
        <v>3</v>
      </c>
      <c r="F14" s="371" t="n">
        <v>13689.0</v>
      </c>
      <c r="G14" s="9">
        <f si="1" t="shared"/>
        <v>8.7453454695904015E-2</v>
      </c>
    </row>
    <row r="15" spans="1:12" x14ac:dyDescent="0.25">
      <c r="A15">
        <v>4</v>
      </c>
      <c r="B15" s="6" t="n">
        <v>5501.3419427591</v>
      </c>
      <c r="C15" s="9">
        <f si="0" t="shared"/>
        <v>5.8859517737522876E-2</v>
      </c>
      <c r="E15" s="371">
        <v>4</v>
      </c>
      <c r="F15" s="371" t="n">
        <v>11219.0</v>
      </c>
      <c r="G15" s="9">
        <f si="1" t="shared"/>
        <v>7.3005016549441457E-2</v>
      </c>
    </row>
    <row r="16" spans="1:12" x14ac:dyDescent="0.25">
      <c r="A16">
        <v>5</v>
      </c>
      <c r="B16" s="6" t="n">
        <v>5037.737681338</v>
      </c>
      <c r="C16" s="9">
        <f si="0" t="shared"/>
        <v>5.3899360101035215E-2</v>
      </c>
      <c r="E16" s="371">
        <v>5</v>
      </c>
      <c r="F16" s="371" t="n">
        <v>8563.0</v>
      </c>
      <c r="G16" s="9">
        <f si="1" t="shared"/>
        <v>5.6397393462970624E-2</v>
      </c>
    </row>
    <row r="17" spans="1:7" x14ac:dyDescent="0.25">
      <c r="A17">
        <v>6</v>
      </c>
      <c r="B17" s="6" t="n">
        <v>2832.3064878758</v>
      </c>
      <c r="C17" s="9">
        <f si="0" t="shared"/>
        <v>3.03031870579594E-2</v>
      </c>
      <c r="E17" s="371">
        <v>6</v>
      </c>
      <c r="F17" s="371" t="n">
        <v>5876.0</v>
      </c>
      <c r="G17" s="9">
        <f si="1" t="shared"/>
        <v>3.8975227554820024E-2</v>
      </c>
    </row>
    <row r="18" spans="1:7" x14ac:dyDescent="0.25">
      <c r="A18">
        <v>7</v>
      </c>
      <c r="B18" s="6" t="n">
        <v>615.2976346089999</v>
      </c>
      <c r="C18" s="9">
        <f si="0" t="shared"/>
        <v>6.5831432430394892E-3</v>
      </c>
      <c r="E18" s="371">
        <v>7</v>
      </c>
      <c r="F18" s="371" t="n">
        <v>5051.0</v>
      </c>
      <c r="G18" s="9">
        <f si="1" t="shared"/>
        <v>3.2879085643359535E-2</v>
      </c>
    </row>
    <row r="19" spans="1:7" x14ac:dyDescent="0.25">
      <c r="A19">
        <v>8</v>
      </c>
      <c r="B19" s="6" t="n">
        <v>461.93702145299994</v>
      </c>
      <c r="C19" s="9">
        <f si="0" t="shared"/>
        <v>4.9423196359604914E-3</v>
      </c>
      <c r="E19" s="371">
        <v>8</v>
      </c>
      <c r="F19" s="371" t="n">
        <v>5086.0</v>
      </c>
      <c r="G19" s="9">
        <f si="1" t="shared"/>
        <v>3.2827368638808439E-2</v>
      </c>
    </row>
    <row r="20" spans="1:7" x14ac:dyDescent="0.25">
      <c r="A20">
        <v>9</v>
      </c>
      <c r="B20" s="6" t="n">
        <v>1989.869787977</v>
      </c>
      <c r="C20" s="9">
        <f si="0" t="shared"/>
        <v>2.1289855693291497E-2</v>
      </c>
      <c r="E20" s="371">
        <v>9</v>
      </c>
      <c r="F20" s="371" t="n">
        <v>3345.0</v>
      </c>
      <c r="G20" s="9">
        <f si="1" t="shared"/>
        <v>2.2445179975175839E-2</v>
      </c>
    </row>
    <row r="21" spans="1:7" x14ac:dyDescent="0.25">
      <c r="A21">
        <v>10</v>
      </c>
      <c r="B21" s="6" t="n">
        <v>1005.46624736</v>
      </c>
      <c r="C21" s="9">
        <f si="0" t="shared"/>
        <v>1.0757604060380435E-2</v>
      </c>
      <c r="E21" s="371">
        <v>10</v>
      </c>
      <c r="F21" s="371" t="n">
        <v>3393.0</v>
      </c>
      <c r="G21" s="9">
        <f si="1" t="shared"/>
        <v>2.2736088125775756E-2</v>
      </c>
    </row>
    <row r="22" spans="1:7" x14ac:dyDescent="0.25">
      <c r="A22">
        <v>11</v>
      </c>
      <c r="B22" s="6" t="n">
        <v>352.515861045</v>
      </c>
      <c r="C22" s="9">
        <f si="0" t="shared"/>
        <v>3.7716095076122612E-3</v>
      </c>
      <c r="E22" s="371">
        <v>11</v>
      </c>
      <c r="F22" s="371" t="n">
        <v>3339.0</v>
      </c>
      <c r="G22" s="9">
        <f si="1" t="shared"/>
        <v>2.2697300372362433E-2</v>
      </c>
    </row>
    <row r="23" spans="1:7" x14ac:dyDescent="0.25">
      <c r="A23">
        <v>12</v>
      </c>
      <c r="B23" s="6" t="n">
        <v>716.131230855</v>
      </c>
      <c r="C23" s="9">
        <f si="0" t="shared"/>
        <v>7.6619739917064339E-3</v>
      </c>
      <c r="E23" s="371">
        <v>12</v>
      </c>
      <c r="F23" s="371" t="n">
        <v>3541.0</v>
      </c>
      <c r="G23" s="9">
        <f si="1" t="shared"/>
        <v>2.3899720728175426E-2</v>
      </c>
    </row>
    <row r="24" spans="1:7" x14ac:dyDescent="0.25">
      <c r="A24">
        <v>13</v>
      </c>
      <c r="B24" s="6" t="n">
        <v>1597.681685122</v>
      </c>
      <c r="C24" s="9">
        <f si="0" t="shared"/>
        <v>1.7093788108940987E-2</v>
      </c>
      <c r="E24" s="371">
        <v>13</v>
      </c>
      <c r="F24" s="371" t="n">
        <v>3120.0</v>
      </c>
      <c r="G24" s="9">
        <f si="1" t="shared"/>
        <v>2.0008016135705419E-2</v>
      </c>
    </row>
    <row r="25" spans="1:7" x14ac:dyDescent="0.25">
      <c r="A25">
        <v>14</v>
      </c>
      <c r="B25" s="6" t="n">
        <v>1413.348224221</v>
      </c>
      <c r="C25" s="9">
        <f si="0" t="shared"/>
        <v>1.5121582286359472E-2</v>
      </c>
      <c r="E25" s="371">
        <v>14</v>
      </c>
      <c r="F25" s="371" t="n">
        <v>2876.0</v>
      </c>
      <c r="G25" s="9">
        <f si="1" t="shared"/>
        <v>1.8941352916839058E-2</v>
      </c>
    </row>
    <row r="26" spans="1:7" x14ac:dyDescent="0.25">
      <c r="A26">
        <v>15</v>
      </c>
      <c r="B26" s="6" t="n">
        <v>647.866607633</v>
      </c>
      <c r="C26" s="9">
        <f si="0" t="shared"/>
        <v>6.9316025944750406E-3</v>
      </c>
      <c r="E26" s="371">
        <v>15</v>
      </c>
      <c r="F26" s="371" t="n">
        <v>2973.0</v>
      </c>
      <c r="G26" s="9">
        <f si="1" t="shared"/>
        <v>1.9380947455523375E-2</v>
      </c>
    </row>
    <row r="27" spans="1:7" x14ac:dyDescent="0.25">
      <c r="A27">
        <v>16</v>
      </c>
      <c r="B27" s="6" t="n">
        <v>2270.2232581020003</v>
      </c>
      <c r="C27" s="9">
        <f si="0" t="shared"/>
        <v>2.4289391119246592E-2</v>
      </c>
      <c r="E27" s="371">
        <v>16</v>
      </c>
      <c r="F27" s="371" t="n">
        <v>2405.0</v>
      </c>
      <c r="G27" s="9">
        <f si="1" t="shared"/>
        <v>1.6471865949524205E-2</v>
      </c>
    </row>
    <row r="28" spans="1:7" x14ac:dyDescent="0.25">
      <c r="A28">
        <v>17</v>
      </c>
      <c r="B28" s="6" t="n">
        <v>0.0</v>
      </c>
      <c r="C28" s="9">
        <f si="0" t="shared"/>
        <v>0</v>
      </c>
      <c r="E28" s="371">
        <v>17</v>
      </c>
      <c r="F28" s="371" t="n">
        <v>1653.0</v>
      </c>
      <c r="G28" s="9">
        <f si="1" t="shared"/>
        <v>1.1765618535374431E-2</v>
      </c>
    </row>
    <row r="29" spans="1:7" x14ac:dyDescent="0.25">
      <c r="A29">
        <v>18</v>
      </c>
      <c r="B29" s="6" t="n">
        <v>302.9559212</v>
      </c>
      <c r="C29" s="9">
        <f si="0" t="shared"/>
        <v>3.2413617628384941E-3</v>
      </c>
      <c r="E29" s="371">
        <v>18</v>
      </c>
      <c r="F29" s="371" t="n">
        <v>1371.0</v>
      </c>
      <c r="G29" s="9">
        <f si="1" t="shared"/>
        <v>8.9858295407530004E-3</v>
      </c>
    </row>
    <row r="30" spans="1:7" x14ac:dyDescent="0.25">
      <c r="A30">
        <v>19</v>
      </c>
      <c r="B30" s="6" t="n">
        <v>0.0</v>
      </c>
      <c r="C30" s="9">
        <f si="0" t="shared"/>
        <v>0</v>
      </c>
      <c r="E30" s="371">
        <v>19</v>
      </c>
      <c r="F30" s="371" t="n">
        <v>1341.0</v>
      </c>
      <c r="G30" s="9">
        <f si="1" t="shared"/>
        <v>8.7143152668597429E-3</v>
      </c>
    </row>
    <row r="31" spans="1:7" x14ac:dyDescent="0.25">
      <c r="A31">
        <v>20</v>
      </c>
      <c r="B31" s="6" t="n">
        <v>451.645852435</v>
      </c>
      <c r="C31" s="9">
        <f si="0" t="shared"/>
        <v>4.8322131834517392E-3</v>
      </c>
      <c r="E31" s="371">
        <v>20</v>
      </c>
      <c r="F31" s="371" t="n">
        <v>1020.0</v>
      </c>
      <c r="G31" s="9">
        <f si="1" t="shared"/>
        <v>7.0141187422424495E-3</v>
      </c>
    </row>
    <row r="32" spans="1:7" x14ac:dyDescent="0.25">
      <c r="A32">
        <v>21</v>
      </c>
      <c r="B32" s="6" t="n">
        <v>0.0</v>
      </c>
      <c r="C32" s="9">
        <f si="0" t="shared"/>
        <v>0</v>
      </c>
      <c r="E32" s="371">
        <v>21</v>
      </c>
      <c r="F32" s="371" t="n">
        <v>814.0</v>
      </c>
      <c r="G32" s="9">
        <f si="1" t="shared"/>
        <v>5.779375258585023E-3</v>
      </c>
    </row>
    <row r="33" spans="1:7" x14ac:dyDescent="0.25">
      <c r="A33">
        <v>22</v>
      </c>
      <c r="B33" s="6" t="n">
        <v>0.0</v>
      </c>
      <c r="C33" s="9">
        <f si="0" t="shared"/>
        <v>0</v>
      </c>
      <c r="E33" s="371">
        <v>22</v>
      </c>
      <c r="F33" s="371" t="n">
        <v>940.0</v>
      </c>
      <c r="G33" s="9">
        <f si="1" t="shared"/>
        <v>6.5615949524203557E-3</v>
      </c>
    </row>
    <row r="34" spans="1:7" x14ac:dyDescent="0.25">
      <c r="A34">
        <v>23</v>
      </c>
      <c r="B34" s="6" t="n">
        <v>0.0</v>
      </c>
      <c r="C34" s="9">
        <f si="0" t="shared"/>
        <v>0</v>
      </c>
      <c r="E34" s="371">
        <v>23</v>
      </c>
      <c r="F34" s="371" t="n">
        <v>648.0</v>
      </c>
      <c r="G34" s="9">
        <f si="1" t="shared"/>
        <v>4.9066508067852708E-3</v>
      </c>
    </row>
    <row r="35" spans="1:7" x14ac:dyDescent="0.25">
      <c r="A35">
        <v>24</v>
      </c>
      <c r="B35" s="6" t="n">
        <v>736.563073278</v>
      </c>
      <c r="C35" s="9">
        <f si="0" t="shared"/>
        <v>7.8805767260973977E-3</v>
      </c>
      <c r="E35" s="371">
        <v>24</v>
      </c>
      <c r="F35" s="371" t="n">
        <v>505.0</v>
      </c>
      <c r="G35" s="9">
        <f si="1" t="shared"/>
        <v>3.335746793545718E-3</v>
      </c>
    </row>
    <row r="36" spans="1:7" x14ac:dyDescent="0.25">
      <c r="A36">
        <v>25</v>
      </c>
      <c r="B36" s="6" t="n">
        <v>0.0</v>
      </c>
      <c r="C36" s="9">
        <f si="0" t="shared"/>
        <v>0</v>
      </c>
      <c r="E36" s="371">
        <v>25</v>
      </c>
      <c r="F36" s="371" t="n">
        <v>394.0</v>
      </c>
      <c r="G36" s="9">
        <f si="1" t="shared"/>
        <v>2.9801923872569301E-3</v>
      </c>
    </row>
    <row r="37" spans="1:7" x14ac:dyDescent="0.25">
      <c r="A37">
        <v>26</v>
      </c>
      <c r="B37" s="6" t="n">
        <v>0.0</v>
      </c>
      <c r="C37" s="9">
        <f si="0" t="shared"/>
        <v>0</v>
      </c>
      <c r="E37" s="371">
        <v>26</v>
      </c>
      <c r="F37" s="371" t="n">
        <v>303.0</v>
      </c>
      <c r="G37" s="9">
        <f si="1" t="shared"/>
        <v>2.1268618121638395E-3</v>
      </c>
    </row>
    <row r="38" spans="1:7" x14ac:dyDescent="0.25">
      <c r="A38">
        <v>27</v>
      </c>
      <c r="B38" s="6" t="n">
        <v>0.0</v>
      </c>
      <c r="C38" s="9">
        <f si="0" t="shared"/>
        <v>0</v>
      </c>
      <c r="E38" s="371">
        <v>27</v>
      </c>
      <c r="F38" s="371" t="n">
        <v>256.0</v>
      </c>
      <c r="G38" s="9">
        <f si="1" t="shared"/>
        <v>1.8747414149772445E-3</v>
      </c>
    </row>
    <row r="39" spans="1:7" x14ac:dyDescent="0.25">
      <c r="A39">
        <v>28</v>
      </c>
      <c r="B39" s="6" t="n">
        <v>342.507584498</v>
      </c>
      <c r="C39" s="9">
        <f si="0" t="shared"/>
        <v>3.6645297556045656E-3</v>
      </c>
      <c r="E39" s="371">
        <v>28</v>
      </c>
      <c r="F39" s="371" t="n">
        <v>189.0</v>
      </c>
      <c r="G39" s="9">
        <f si="1" t="shared"/>
        <v>1.3123189904840711E-3</v>
      </c>
    </row>
    <row r="40" spans="1:7" x14ac:dyDescent="0.25">
      <c r="A40">
        <v>29</v>
      </c>
      <c r="B40" s="6" t="n">
        <v>0.0</v>
      </c>
      <c r="C40" s="9">
        <f si="0" t="shared"/>
        <v>0</v>
      </c>
      <c r="E40" s="371">
        <v>29</v>
      </c>
      <c r="F40" s="371" t="n">
        <v>225.0</v>
      </c>
      <c r="G40" s="9">
        <f si="1" t="shared"/>
        <v>1.4803992552751344E-3</v>
      </c>
    </row>
    <row r="41" spans="1:7" x14ac:dyDescent="0.25">
      <c r="A41">
        <v>30</v>
      </c>
      <c r="B41" s="6" t="n">
        <v>0.0</v>
      </c>
      <c r="C41" s="9">
        <f si="0" t="shared"/>
        <v>0</v>
      </c>
      <c r="E41" s="371">
        <v>30</v>
      </c>
      <c r="F41" s="371" t="n">
        <v>193.0</v>
      </c>
      <c r="G41" s="9">
        <f si="1" t="shared"/>
        <v>1.2088849813818785E-3</v>
      </c>
    </row>
    <row r="42" spans="1:7" x14ac:dyDescent="0.25">
      <c r="A42">
        <v>31</v>
      </c>
      <c r="B42" s="6" t="n">
        <v>0.0</v>
      </c>
      <c r="C42" s="9">
        <f si="0" t="shared"/>
        <v>0</v>
      </c>
      <c r="E42" s="371">
        <v>31</v>
      </c>
      <c r="F42" s="371" t="n">
        <v>162.0</v>
      </c>
      <c r="G42" s="9">
        <f si="1" t="shared"/>
        <v>1.0408047165908151E-3</v>
      </c>
    </row>
    <row r="43" spans="1:7" x14ac:dyDescent="0.25">
      <c r="A43">
        <v>32</v>
      </c>
      <c r="B43" s="6" t="n">
        <v>0.0</v>
      </c>
      <c r="C43" s="9">
        <f si="0" t="shared"/>
        <v>0</v>
      </c>
      <c r="E43" s="371">
        <v>32</v>
      </c>
      <c r="F43" s="371" t="n">
        <v>147.0</v>
      </c>
      <c r="G43" s="9">
        <f si="1" t="shared"/>
        <v>7.4989656599089782E-4</v>
      </c>
    </row>
    <row r="44" spans="1:7" x14ac:dyDescent="0.25">
      <c r="A44">
        <v>33</v>
      </c>
      <c r="B44" s="6" t="n">
        <v>0.0</v>
      </c>
      <c r="C44" s="9">
        <f si="0" t="shared"/>
        <v>0</v>
      </c>
      <c r="E44" s="371">
        <v>33</v>
      </c>
      <c r="F44" s="371" t="n">
        <v>97.0</v>
      </c>
      <c r="G44" s="9">
        <f si="1" t="shared"/>
        <v>8.6625982623086473E-4</v>
      </c>
    </row>
    <row r="45" spans="1:7" x14ac:dyDescent="0.25">
      <c r="A45">
        <v>34</v>
      </c>
      <c r="B45" s="6" t="n">
        <v>0.0</v>
      </c>
      <c r="C45" s="9">
        <f si="0" t="shared"/>
        <v>0</v>
      </c>
      <c r="E45" s="371">
        <v>34</v>
      </c>
      <c r="F45" s="371" t="n">
        <v>72.0</v>
      </c>
      <c r="G45" s="9">
        <f si="1" t="shared"/>
        <v>5.1717004551096399E-4</v>
      </c>
    </row>
    <row r="46" spans="1:7" x14ac:dyDescent="0.25">
      <c r="A46">
        <v>35</v>
      </c>
      <c r="B46" s="6" t="n">
        <v>0.0</v>
      </c>
      <c r="C46" s="9">
        <f si="0" t="shared"/>
        <v>0</v>
      </c>
      <c r="E46" s="371">
        <v>35</v>
      </c>
      <c r="F46" s="371" t="n">
        <v>69.0</v>
      </c>
      <c r="G46" s="9">
        <f si="1" t="shared"/>
        <v>3.2323127844435248E-4</v>
      </c>
    </row>
    <row r="47" spans="1:7" x14ac:dyDescent="0.25">
      <c r="A47">
        <v>36</v>
      </c>
      <c r="B47" s="6" t="n">
        <v>0.0</v>
      </c>
      <c r="C47" s="9">
        <f si="0" t="shared"/>
        <v>0</v>
      </c>
      <c r="E47" s="371">
        <v>36</v>
      </c>
      <c r="F47" s="371" t="n">
        <v>81.0</v>
      </c>
      <c r="G47" s="9">
        <f si="1" t="shared"/>
        <v>5.8828092676872161E-4</v>
      </c>
    </row>
    <row r="48" spans="1:7" x14ac:dyDescent="0.25">
      <c r="A48">
        <v>37</v>
      </c>
      <c r="B48" s="6" t="n">
        <v>0.0</v>
      </c>
      <c r="C48" s="9">
        <f si="0" t="shared"/>
        <v>0</v>
      </c>
      <c r="E48" s="371">
        <v>37</v>
      </c>
      <c r="F48" s="371" t="n">
        <v>92.0</v>
      </c>
      <c r="G48" s="9">
        <f si="1" t="shared"/>
        <v>4.3312991311543237E-4</v>
      </c>
    </row>
    <row r="49" spans="1:7" x14ac:dyDescent="0.25">
      <c r="A49">
        <v>38</v>
      </c>
      <c r="B49" s="6" t="n">
        <v>0.0</v>
      </c>
      <c r="C49" s="9">
        <f si="0" t="shared"/>
        <v>0</v>
      </c>
      <c r="E49" s="371">
        <v>38</v>
      </c>
      <c r="F49" s="371" t="n">
        <v>79.0</v>
      </c>
      <c r="G49" s="9">
        <f si="1" t="shared"/>
        <v>6.2706868018204387E-4</v>
      </c>
    </row>
    <row r="50" spans="1:7" x14ac:dyDescent="0.25">
      <c r="A50">
        <v>39</v>
      </c>
      <c r="B50" s="6" t="n">
        <v>0.0</v>
      </c>
      <c r="C50" s="9">
        <f si="0" t="shared"/>
        <v>0</v>
      </c>
      <c r="E50" s="371">
        <v>39</v>
      </c>
      <c r="F50" s="371" t="n">
        <v>72.0</v>
      </c>
      <c r="G50" s="9">
        <f si="1" t="shared"/>
        <v>6.2706868018204387E-4</v>
      </c>
    </row>
    <row r="51" spans="1:7" x14ac:dyDescent="0.25">
      <c r="A51">
        <v>40</v>
      </c>
      <c r="B51" s="6" t="n">
        <v>0.0</v>
      </c>
      <c r="C51" s="9">
        <f si="0" t="shared"/>
        <v>0</v>
      </c>
      <c r="E51" s="371">
        <v>40</v>
      </c>
      <c r="F51" s="371" t="n">
        <v>35.0</v>
      </c>
      <c r="G51" s="9">
        <f si="1" t="shared"/>
        <v>3.1030202730657842E-4</v>
      </c>
    </row>
    <row r="52" spans="1:7" x14ac:dyDescent="0.25">
      <c r="A52">
        <v>41</v>
      </c>
      <c r="B52" s="6" t="n">
        <v>0.0</v>
      </c>
      <c r="C52" s="9">
        <f si="0" t="shared"/>
        <v>0</v>
      </c>
      <c r="E52" s="371">
        <v>41</v>
      </c>
      <c r="F52" s="371" t="n">
        <v>19.0</v>
      </c>
      <c r="G52" s="9">
        <f si="1" t="shared"/>
        <v>2.0686801820438559E-4</v>
      </c>
    </row>
    <row r="53" spans="1:7" x14ac:dyDescent="0.25">
      <c r="A53">
        <v>42</v>
      </c>
      <c r="B53" s="6" t="n">
        <v>0.0</v>
      </c>
      <c r="C53" s="9">
        <f si="0" t="shared"/>
        <v>0</v>
      </c>
      <c r="E53" s="371">
        <v>42</v>
      </c>
      <c r="F53" s="371" t="n">
        <v>20.0</v>
      </c>
      <c r="G53" s="9">
        <f si="1" t="shared"/>
        <v>1.2282788580885394E-4</v>
      </c>
    </row>
    <row r="54" spans="1:7" x14ac:dyDescent="0.25">
      <c r="A54">
        <v>43</v>
      </c>
      <c r="B54" s="6" t="n">
        <v>0.0</v>
      </c>
      <c r="C54" s="9">
        <f si="0" t="shared"/>
        <v>0</v>
      </c>
      <c r="E54" s="371">
        <v>43</v>
      </c>
      <c r="F54" s="371" t="n">
        <v>21.0</v>
      </c>
      <c r="G54" s="9">
        <f si="1" t="shared"/>
        <v>7.1110881257757552E-5</v>
      </c>
    </row>
    <row r="55" spans="1:7" x14ac:dyDescent="0.25">
      <c r="A55">
        <v>44</v>
      </c>
      <c r="B55" s="6" t="n">
        <v>0.0</v>
      </c>
      <c r="C55" s="9">
        <f si="0" t="shared"/>
        <v>0</v>
      </c>
      <c r="E55" s="371">
        <v>44</v>
      </c>
      <c r="F55" s="371" t="n">
        <v>28.0</v>
      </c>
      <c r="G55" s="9">
        <f si="1" t="shared"/>
        <v>9.05047579644187E-5</v>
      </c>
    </row>
    <row r="56" spans="1:7" x14ac:dyDescent="0.25">
      <c r="A56">
        <v>45</v>
      </c>
      <c r="B56" s="6" t="n">
        <v>0.0</v>
      </c>
      <c r="C56" s="9">
        <f si="0" t="shared"/>
        <v>0</v>
      </c>
      <c r="E56" s="371">
        <v>45</v>
      </c>
      <c r="F56" s="371" t="n">
        <v>19.0</v>
      </c>
      <c r="G56" s="9">
        <f si="1" t="shared"/>
        <v>2.0686801820438559E-4</v>
      </c>
    </row>
    <row r="57" spans="1:7" x14ac:dyDescent="0.25">
      <c r="A57">
        <v>46</v>
      </c>
      <c r="B57" s="6" t="n">
        <v>0.0</v>
      </c>
      <c r="C57" s="9">
        <f si="0" t="shared"/>
        <v>0</v>
      </c>
      <c r="E57" s="371">
        <v>46</v>
      </c>
      <c r="F57" s="371" t="n">
        <v>13.0</v>
      </c>
      <c r="G57" s="9">
        <f si="1" t="shared"/>
        <v>6.4646255688870498E-5</v>
      </c>
    </row>
    <row r="58" spans="1:7" x14ac:dyDescent="0.25">
      <c r="A58">
        <v>47</v>
      </c>
      <c r="B58" s="6" t="n">
        <v>0.0</v>
      </c>
      <c r="C58" s="9">
        <f si="0" t="shared"/>
        <v>0</v>
      </c>
      <c r="E58" s="371">
        <v>47</v>
      </c>
      <c r="F58" s="371" t="n">
        <v>18.0</v>
      </c>
      <c r="G58" s="9">
        <f si="1" t="shared"/>
        <v>9.6969383533305754E-5</v>
      </c>
    </row>
    <row r="59" spans="1:7" x14ac:dyDescent="0.25">
      <c r="A59">
        <v>48</v>
      </c>
      <c r="B59" s="6" t="n">
        <v>0.0</v>
      </c>
      <c r="C59" s="9">
        <f si="0" t="shared"/>
        <v>0</v>
      </c>
      <c r="E59" s="371">
        <v>48</v>
      </c>
      <c r="F59" s="371" t="n">
        <v>5.0</v>
      </c>
      <c r="G59" s="9">
        <f si="1" t="shared"/>
        <v>6.4646255688870498E-5</v>
      </c>
    </row>
    <row r="60" spans="1:7" x14ac:dyDescent="0.25">
      <c r="A60">
        <v>49</v>
      </c>
      <c r="B60" s="6" t="n">
        <v>0.0</v>
      </c>
      <c r="C60" s="9">
        <f si="0" t="shared"/>
        <v>0</v>
      </c>
      <c r="E60" s="371">
        <v>49</v>
      </c>
      <c r="F60" s="371" t="n">
        <v>7.0</v>
      </c>
      <c r="G60" s="9">
        <f si="1" t="shared"/>
        <v>6.4646255688870498E-5</v>
      </c>
    </row>
    <row r="61" spans="1:7" x14ac:dyDescent="0.25">
      <c r="A61">
        <v>50</v>
      </c>
      <c r="B61" s="6" t="n">
        <v>0.0</v>
      </c>
      <c r="C61" s="9">
        <f si="0" t="shared"/>
        <v>0</v>
      </c>
      <c r="E61" s="371">
        <v>50</v>
      </c>
      <c r="F61" s="371" t="n">
        <v>1.0</v>
      </c>
      <c r="G61" s="9">
        <f si="1" t="shared"/>
        <v>7.7575506826644606E-5</v>
      </c>
    </row>
    <row r="62" spans="1:7" x14ac:dyDescent="0.25">
      <c r="A62">
        <v>51</v>
      </c>
      <c r="B62" s="6" t="n">
        <v>0.0</v>
      </c>
      <c r="C62" s="9">
        <f si="0" t="shared"/>
        <v>0</v>
      </c>
      <c r="E62" s="371">
        <v>51</v>
      </c>
      <c r="F62" s="371" t="n">
        <v>5.0</v>
      </c>
      <c r="G62" s="9">
        <f si="1" t="shared"/>
        <v>1.9393876706661151E-5</v>
      </c>
    </row>
    <row r="63" spans="1:7" x14ac:dyDescent="0.25">
      <c r="A63">
        <v>52</v>
      </c>
      <c r="B63" s="6" t="n">
        <v>0.0</v>
      </c>
      <c r="C63" s="9">
        <f si="0" t="shared"/>
        <v>0</v>
      </c>
      <c r="E63" s="371">
        <v>52</v>
      </c>
      <c r="F63" s="371" t="n">
        <v>1.0</v>
      </c>
      <c r="G63" s="9">
        <f si="1" t="shared"/>
        <v>1.2929251137774099E-5</v>
      </c>
    </row>
    <row r="64" spans="1:7" x14ac:dyDescent="0.25">
      <c r="A64">
        <v>53</v>
      </c>
      <c r="B64" s="6" t="n">
        <v>0.0</v>
      </c>
      <c r="C64" s="9">
        <f si="0" t="shared"/>
        <v>0</v>
      </c>
      <c r="E64" s="371">
        <v>53</v>
      </c>
      <c r="F64" s="371" t="n">
        <v>4.0</v>
      </c>
      <c r="G64" s="9">
        <f si="1" t="shared"/>
        <v>1.9393876706661151E-5</v>
      </c>
    </row>
    <row r="65" spans="1:7" x14ac:dyDescent="0.25">
      <c r="A65">
        <v>54</v>
      </c>
      <c r="B65" s="6" t="n">
        <v>0.0</v>
      </c>
      <c r="C65" s="9">
        <f si="0" t="shared"/>
        <v>0</v>
      </c>
      <c r="E65" s="371">
        <v>54</v>
      </c>
      <c r="F65" s="371" t="n">
        <v>3.0</v>
      </c>
      <c r="G65" s="9">
        <f si="1" t="shared"/>
        <v>1.2929251137774099E-5</v>
      </c>
    </row>
    <row r="66" spans="1:7" x14ac:dyDescent="0.2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1.0</v>
      </c>
      <c r="G66" s="9">
        <f si="1" t="shared"/>
        <v>0</v>
      </c>
    </row>
    <row r="67" spans="1:7" x14ac:dyDescent="0.25">
      <c r="A67">
        <v>56</v>
      </c>
      <c r="B67" s="6" t="n">
        <v>0.0</v>
      </c>
      <c r="C67" s="9">
        <f si="0" t="shared"/>
        <v>0</v>
      </c>
      <c r="E67" s="371">
        <v>56</v>
      </c>
      <c r="F67" s="371" t="n">
        <v>0.0</v>
      </c>
      <c r="G67" s="9">
        <f si="1" t="shared"/>
        <v>0</v>
      </c>
    </row>
    <row r="68" spans="1:7" x14ac:dyDescent="0.2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1.0</v>
      </c>
      <c r="G68" s="9">
        <f si="1" t="shared"/>
        <v>1.2929251137774099E-5</v>
      </c>
    </row>
    <row r="69" spans="1:7" x14ac:dyDescent="0.2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0.0</v>
      </c>
      <c r="G69" s="9">
        <f si="1" t="shared"/>
        <v>0</v>
      </c>
    </row>
    <row r="70" spans="1:7" x14ac:dyDescent="0.25">
      <c r="A70">
        <v>59</v>
      </c>
      <c r="B70" s="6" t="n">
        <v>0.0</v>
      </c>
      <c r="C70" s="9">
        <f si="0" t="shared"/>
        <v>0</v>
      </c>
      <c r="E70" s="371">
        <v>59</v>
      </c>
      <c r="F70" s="371" t="n">
        <v>0.0</v>
      </c>
      <c r="G70" s="9">
        <f si="1" t="shared"/>
        <v>0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0.0</v>
      </c>
      <c r="G71" s="9">
        <f si="1" t="shared"/>
        <v>0</v>
      </c>
    </row>
    <row r="72" spans="1:7" x14ac:dyDescent="0.2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0.0</v>
      </c>
      <c r="G72" s="9">
        <f si="1" t="shared"/>
        <v>0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0.0</v>
      </c>
      <c r="G73" s="9">
        <f si="1" t="shared"/>
        <v>0</v>
      </c>
    </row>
    <row r="74" spans="1:7" x14ac:dyDescent="0.2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0.0</v>
      </c>
      <c r="G74" s="9">
        <f si="1" t="shared"/>
        <v>6.4646255688870497E-6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0.0</v>
      </c>
      <c r="G75" s="9">
        <f si="1" t="shared"/>
        <v>0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0.0</v>
      </c>
      <c r="G76" s="9">
        <f si="1" t="shared"/>
        <v>0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0.0</v>
      </c>
      <c r="G77" s="9">
        <f ref="G77:G102" si="3" t="shared">F77/F$102</f>
        <v>0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1.0</v>
      </c>
      <c r="G78" s="9">
        <f si="3" t="shared"/>
        <v>0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0.0</v>
      </c>
      <c r="G79" s="9">
        <f si="3" t="shared"/>
        <v>0</v>
      </c>
    </row>
    <row r="80" spans="1:7" x14ac:dyDescent="0.2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0.0</v>
      </c>
      <c r="G80" s="9">
        <f si="3" t="shared"/>
        <v>0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1.0</v>
      </c>
      <c r="G81" s="9">
        <f si="3" t="shared"/>
        <v>0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0.0</v>
      </c>
      <c r="G82" s="9">
        <f si="3" t="shared"/>
        <v>0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0.0</v>
      </c>
      <c r="G83" s="9">
        <f si="3" t="shared"/>
        <v>0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0.0</v>
      </c>
      <c r="G84" s="9">
        <f si="3" t="shared"/>
        <v>0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0.0</v>
      </c>
      <c r="G85" s="9">
        <f si="3" t="shared"/>
        <v>0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0.0</v>
      </c>
      <c r="G86" s="9">
        <f si="3" t="shared"/>
        <v>0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0.0</v>
      </c>
      <c r="G87" s="9">
        <f si="3" t="shared"/>
        <v>0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0.0</v>
      </c>
      <c r="G88" s="9">
        <f si="3" t="shared"/>
        <v>0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0.0</v>
      </c>
      <c r="G89" s="9">
        <f si="3" t="shared"/>
        <v>0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0.0</v>
      </c>
      <c r="G90" s="9">
        <f si="3" t="shared"/>
        <v>0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0.0</v>
      </c>
      <c r="G91" s="9">
        <f si="3" t="shared"/>
        <v>0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0.0</v>
      </c>
      <c r="G92" s="9">
        <f si="3" t="shared"/>
        <v>0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0.0</v>
      </c>
      <c r="G93" s="9">
        <f si="3" t="shared"/>
        <v>0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0.0</v>
      </c>
      <c r="G94" s="9">
        <f si="3" t="shared"/>
        <v>0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0.0</v>
      </c>
      <c r="G95" s="9">
        <f si="3" t="shared"/>
        <v>0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0.0</v>
      </c>
      <c r="G96" s="9">
        <f si="3" t="shared"/>
        <v>0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0.0</v>
      </c>
      <c r="G97" s="9">
        <f si="3" t="shared"/>
        <v>0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0.0</v>
      </c>
      <c r="G98" s="9">
        <f si="3" t="shared"/>
        <v>0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0.0</v>
      </c>
      <c r="G99" s="9">
        <f si="3" t="shared"/>
        <v>0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0.0</v>
      </c>
      <c r="G100" s="9">
        <f si="3" t="shared"/>
        <v>0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0.0</v>
      </c>
      <c r="G101" s="9">
        <f si="3" t="shared"/>
        <v>0</v>
      </c>
    </row>
    <row r="102" spans="1:7" x14ac:dyDescent="0.25">
      <c r="B102" s="6">
        <f>SUM(B11:B101)</f>
        <v>93465.630610357519</v>
      </c>
      <c r="C102" s="9">
        <f si="2" t="shared"/>
        <v>1</v>
      </c>
      <c r="F102" s="6">
        <f>SUM(F11:F101)</f>
        <v>154688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1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M102"/>
  <sheetViews>
    <sheetView workbookViewId="0">
      <selection activeCell="A4" sqref="A4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0.0</v>
      </c>
      <c r="C11" s="9">
        <f>B11/B$102</f>
        <v>0</v>
      </c>
      <c r="E11" s="371">
        <v>0</v>
      </c>
      <c r="F11" s="371" t="n">
        <v>708.0</v>
      </c>
      <c r="G11" s="9">
        <f>F11/F$102</f>
        <v>4.1567542407943735E-3</v>
      </c>
      <c r="K11" s="6" t="n">
        <v>13.261368913337664</v>
      </c>
      <c r="L11" s="6" t="n">
        <v>16.016892454453707</v>
      </c>
    </row>
    <row r="12" spans="1:12" x14ac:dyDescent="0.25">
      <c r="A12">
        <v>1</v>
      </c>
      <c r="B12" s="6" t="n">
        <v>193.998839214</v>
      </c>
      <c r="C12" s="9">
        <f>B12/B$102</f>
        <v>2.0756168652276957E-3</v>
      </c>
      <c r="E12" s="371">
        <v>1</v>
      </c>
      <c r="F12" s="371" t="n">
        <v>3405.0</v>
      </c>
      <c r="G12" s="9">
        <f>F12/F$102</f>
        <v>2.2070231692180389E-2</v>
      </c>
      <c r="K12" s="6"/>
      <c r="L12" s="371"/>
    </row>
    <row r="13" spans="1:12" x14ac:dyDescent="0.25">
      <c r="A13">
        <v>2</v>
      </c>
      <c r="B13" s="6" t="n">
        <v>216.908301085</v>
      </c>
      <c r="C13" s="9">
        <f ref="C13:C76" si="0" t="shared">B13/B$102</f>
        <v>2.3207279474661037E-3</v>
      </c>
      <c r="E13" s="371">
        <v>2</v>
      </c>
      <c r="F13" s="371" t="n">
        <v>6349.0</v>
      </c>
      <c r="G13" s="9">
        <f ref="G13:G76" si="1" t="shared">F13/F$102</f>
        <v>4.0268152668597436E-2</v>
      </c>
    </row>
    <row r="14" spans="1:12" x14ac:dyDescent="0.25">
      <c r="A14">
        <v>3</v>
      </c>
      <c r="B14" s="6" t="n">
        <v>5950.31126199</v>
      </c>
      <c r="C14" s="9">
        <f si="0" t="shared"/>
        <v>6.3663094370976295E-2</v>
      </c>
      <c r="E14" s="371">
        <v>3</v>
      </c>
      <c r="F14" s="371" t="n">
        <v>9990.0</v>
      </c>
      <c r="G14" s="9">
        <f si="1" t="shared"/>
        <v>6.2997776168804309E-2</v>
      </c>
    </row>
    <row r="15" spans="1:12" x14ac:dyDescent="0.25">
      <c r="A15">
        <v>4</v>
      </c>
      <c r="B15" s="6" t="n">
        <v>5887.7204785952</v>
      </c>
      <c r="C15" s="9">
        <f si="0" t="shared"/>
        <v>6.299342806705191E-2</v>
      </c>
      <c r="E15" s="371">
        <v>4</v>
      </c>
      <c r="F15" s="371" t="n">
        <v>11094.0</v>
      </c>
      <c r="G15" s="9">
        <f si="1" t="shared"/>
        <v>7.1479364915184113E-2</v>
      </c>
    </row>
    <row r="16" spans="1:12" x14ac:dyDescent="0.25">
      <c r="A16">
        <v>5</v>
      </c>
      <c r="B16" s="6" t="n">
        <v>11921.859491844</v>
      </c>
      <c r="C16" s="9">
        <f si="0" t="shared"/>
        <v>0.127553405610071</v>
      </c>
      <c r="E16" s="371">
        <v>5</v>
      </c>
      <c r="F16" s="371" t="n">
        <v>9698.0</v>
      </c>
      <c r="G16" s="9">
        <f si="1" t="shared"/>
        <v>6.1640204799338023E-2</v>
      </c>
    </row>
    <row r="17" spans="1:7" x14ac:dyDescent="0.25">
      <c r="A17">
        <v>6</v>
      </c>
      <c r="B17" s="6" t="n">
        <v>7491.845520709</v>
      </c>
      <c r="C17" s="9">
        <f si="0" t="shared"/>
        <v>8.015615442580433E-2</v>
      </c>
      <c r="E17" s="371">
        <v>6</v>
      </c>
      <c r="F17" s="371" t="n">
        <v>8782.0</v>
      </c>
      <c r="G17" s="9">
        <f si="1" t="shared"/>
        <v>5.4748913942904424E-2</v>
      </c>
    </row>
    <row r="18" spans="1:7" x14ac:dyDescent="0.25">
      <c r="A18">
        <v>7</v>
      </c>
      <c r="B18" s="6" t="n">
        <v>8687.6154356504</v>
      </c>
      <c r="C18" s="9">
        <f si="0" t="shared"/>
        <v>9.2949840266606742E-2</v>
      </c>
      <c r="E18" s="371">
        <v>7</v>
      </c>
      <c r="F18" s="371" t="n">
        <v>8421.0</v>
      </c>
      <c r="G18" s="9">
        <f si="1" t="shared"/>
        <v>5.450325817128672E-2</v>
      </c>
    </row>
    <row r="19" spans="1:7" x14ac:dyDescent="0.25">
      <c r="A19">
        <v>8</v>
      </c>
      <c r="B19" s="6" t="n">
        <v>4846.005846715</v>
      </c>
      <c r="C19" s="9">
        <f si="0" t="shared"/>
        <v>5.1847998190021137E-2</v>
      </c>
      <c r="E19" s="371">
        <v>8</v>
      </c>
      <c r="F19" s="371" t="n">
        <v>7337.0</v>
      </c>
      <c r="G19" s="9">
        <f si="1" t="shared"/>
        <v>4.7411563922217625E-2</v>
      </c>
    </row>
    <row r="20" spans="1:7" x14ac:dyDescent="0.25">
      <c r="A20">
        <v>9</v>
      </c>
      <c r="B20" s="6" t="n">
        <v>12231.682037822</v>
      </c>
      <c r="C20" s="9">
        <f si="0" t="shared"/>
        <v>0.1308682342155677</v>
      </c>
      <c r="E20" s="371">
        <v>9</v>
      </c>
      <c r="F20" s="371" t="n">
        <v>6697.0</v>
      </c>
      <c r="G20" s="9">
        <f si="1" t="shared"/>
        <v>4.2233398841539101E-2</v>
      </c>
    </row>
    <row r="21" spans="1:7" x14ac:dyDescent="0.25">
      <c r="A21">
        <v>10</v>
      </c>
      <c r="B21" s="6" t="n">
        <v>3947.6150385640003</v>
      </c>
      <c r="C21" s="9">
        <f si="0" t="shared"/>
        <v>4.2236007105338466E-2</v>
      </c>
      <c r="E21" s="371">
        <v>10</v>
      </c>
      <c r="F21" s="371" t="n">
        <v>6004.0</v>
      </c>
      <c r="G21" s="9">
        <f si="1" t="shared"/>
        <v>4.0507343814646254E-2</v>
      </c>
    </row>
    <row r="22" spans="1:7" x14ac:dyDescent="0.25">
      <c r="A22">
        <v>11</v>
      </c>
      <c r="B22" s="6" t="n">
        <v>2400.373818682</v>
      </c>
      <c r="C22" s="9">
        <f si="0" t="shared"/>
        <v>2.5681887588056351E-2</v>
      </c>
      <c r="E22" s="371">
        <v>11</v>
      </c>
      <c r="F22" s="371" t="n">
        <v>4944.0</v>
      </c>
      <c r="G22" s="9">
        <f si="1" t="shared"/>
        <v>3.203221969383533E-2</v>
      </c>
    </row>
    <row r="23" spans="1:7" x14ac:dyDescent="0.25">
      <c r="A23">
        <v>12</v>
      </c>
      <c r="B23" s="6" t="n">
        <v>2730.215854884</v>
      </c>
      <c r="C23" s="9">
        <f si="0" t="shared"/>
        <v>2.9210907122274823E-2</v>
      </c>
      <c r="E23" s="371">
        <v>12</v>
      </c>
      <c r="F23" s="371" t="n">
        <v>4317.0</v>
      </c>
      <c r="G23" s="9">
        <f si="1" t="shared"/>
        <v>2.8431423251965245E-2</v>
      </c>
    </row>
    <row r="24" spans="1:7" x14ac:dyDescent="0.25">
      <c r="A24">
        <v>13</v>
      </c>
      <c r="B24" s="6" t="n">
        <v>1535.724854239</v>
      </c>
      <c r="C24" s="9">
        <f si="0" t="shared"/>
        <v>1.6430904539029741E-2</v>
      </c>
      <c r="E24" s="371">
        <v>13</v>
      </c>
      <c r="F24" s="371" t="n">
        <v>3743.0</v>
      </c>
      <c r="G24" s="9">
        <f si="1" t="shared"/>
        <v>2.3686388084402151E-2</v>
      </c>
    </row>
    <row r="25" spans="1:7" x14ac:dyDescent="0.25">
      <c r="A25">
        <v>14</v>
      </c>
      <c r="B25" s="6" t="n">
        <v>2226.515847494</v>
      </c>
      <c r="C25" s="9">
        <f si="0" t="shared"/>
        <v>2.3821760287222264E-2</v>
      </c>
      <c r="E25" s="371">
        <v>14</v>
      </c>
      <c r="F25" s="371" t="n">
        <v>2959.0</v>
      </c>
      <c r="G25" s="9">
        <f si="1" t="shared"/>
        <v>1.9031857674803476E-2</v>
      </c>
    </row>
    <row r="26" spans="1:7" x14ac:dyDescent="0.25">
      <c r="A26">
        <v>15</v>
      </c>
      <c r="B26" s="6" t="n">
        <v>2192.040529927</v>
      </c>
      <c r="C26" s="9">
        <f si="0" t="shared"/>
        <v>2.3452904726714449E-2</v>
      </c>
      <c r="E26" s="371">
        <v>15</v>
      </c>
      <c r="F26" s="371" t="n">
        <v>3117.0</v>
      </c>
      <c r="G26" s="9">
        <f si="1" t="shared"/>
        <v>2.0408822920976417E-2</v>
      </c>
    </row>
    <row r="27" spans="1:7" x14ac:dyDescent="0.25">
      <c r="A27">
        <v>16</v>
      </c>
      <c r="B27" s="6" t="n">
        <v>617.046097455</v>
      </c>
      <c r="C27" s="9">
        <f si="0" t="shared"/>
        <v>6.6018502568859928E-3</v>
      </c>
      <c r="E27" s="371">
        <v>16</v>
      </c>
      <c r="F27" s="371" t="n">
        <v>3284.0</v>
      </c>
      <c r="G27" s="9">
        <f si="1" t="shared"/>
        <v>2.1527203144393877E-2</v>
      </c>
    </row>
    <row r="28" spans="1:7" x14ac:dyDescent="0.25">
      <c r="A28">
        <v>17</v>
      </c>
      <c r="B28" s="6" t="n">
        <v>161.271876599</v>
      </c>
      <c r="C28" s="9">
        <f si="0" t="shared"/>
        <v>1.7254671641955246E-3</v>
      </c>
      <c r="E28" s="371">
        <v>17</v>
      </c>
      <c r="F28" s="371" t="n">
        <v>3199.0</v>
      </c>
      <c r="G28" s="9">
        <f si="1" t="shared"/>
        <v>2.0208419528340918E-2</v>
      </c>
    </row>
    <row r="29" spans="1:7" x14ac:dyDescent="0.25">
      <c r="A29">
        <v>18</v>
      </c>
      <c r="B29" s="6" t="n">
        <v>2788.955118633</v>
      </c>
      <c r="C29" s="9">
        <f si="0" t="shared"/>
        <v>2.9839365555234788E-2</v>
      </c>
      <c r="E29" s="371">
        <v>18</v>
      </c>
      <c r="F29" s="371" t="n">
        <v>2615.0</v>
      </c>
      <c r="G29" s="9">
        <f si="1" t="shared"/>
        <v>1.6885601985932974E-2</v>
      </c>
    </row>
    <row r="30" spans="1:7" x14ac:dyDescent="0.25">
      <c r="A30">
        <v>19</v>
      </c>
      <c r="B30" s="6" t="n">
        <v>1043.806282151</v>
      </c>
      <c r="C30" s="9">
        <f si="0" t="shared"/>
        <v>1.1167808694325862E-2</v>
      </c>
      <c r="E30" s="371">
        <v>19</v>
      </c>
      <c r="F30" s="371" t="n">
        <v>2515.0</v>
      </c>
      <c r="G30" s="9">
        <f si="1" t="shared"/>
        <v>1.7105399255275135E-2</v>
      </c>
    </row>
    <row r="31" spans="1:7" x14ac:dyDescent="0.25">
      <c r="A31">
        <v>20</v>
      </c>
      <c r="B31" s="6" t="n">
        <v>1430.4455639100001</v>
      </c>
      <c r="C31" s="9">
        <f si="0" t="shared"/>
        <v>1.5304508775779699E-2</v>
      </c>
      <c r="E31" s="371">
        <v>20</v>
      </c>
      <c r="F31" s="371" t="n">
        <v>2483.0</v>
      </c>
      <c r="G31" s="9">
        <f si="1" t="shared"/>
        <v>1.6122776168804302E-2</v>
      </c>
    </row>
    <row r="32" spans="1:7" x14ac:dyDescent="0.25">
      <c r="A32">
        <v>21</v>
      </c>
      <c r="B32" s="6" t="n">
        <v>1989.156785753</v>
      </c>
      <c r="C32" s="9">
        <f si="0" t="shared"/>
        <v>2.128222719691969E-2</v>
      </c>
      <c r="E32" s="371">
        <v>21</v>
      </c>
      <c r="F32" s="371" t="n">
        <v>2411.0</v>
      </c>
      <c r="G32" s="9">
        <f si="1" t="shared"/>
        <v>1.6762774100124122E-2</v>
      </c>
    </row>
    <row r="33" spans="1:7" x14ac:dyDescent="0.25">
      <c r="A33">
        <v>22</v>
      </c>
      <c r="B33" s="6" t="n">
        <v>204.1357361138</v>
      </c>
      <c r="C33" s="9">
        <f si="0" t="shared"/>
        <v>2.1840727418275018E-3</v>
      </c>
      <c r="E33" s="371">
        <v>22</v>
      </c>
      <c r="F33" s="371" t="n">
        <v>2529.0</v>
      </c>
      <c r="G33" s="9">
        <f si="1" t="shared"/>
        <v>1.6517118328506414E-2</v>
      </c>
    </row>
    <row r="34" spans="1:7" x14ac:dyDescent="0.25">
      <c r="A34">
        <v>23</v>
      </c>
      <c r="B34" s="6" t="n">
        <v>137.090653895</v>
      </c>
      <c r="C34" s="9">
        <f si="0" t="shared"/>
        <v>1.466749360163287E-3</v>
      </c>
      <c r="E34" s="371">
        <v>23</v>
      </c>
      <c r="F34" s="371" t="n">
        <v>2712.0</v>
      </c>
      <c r="G34" s="9">
        <f si="1" t="shared"/>
        <v>1.7195904013239553E-2</v>
      </c>
    </row>
    <row r="35" spans="1:7" x14ac:dyDescent="0.25">
      <c r="A35">
        <v>24</v>
      </c>
      <c r="B35" s="6" t="n">
        <v>935.733726562</v>
      </c>
      <c r="C35" s="9">
        <f si="0" t="shared"/>
        <v>1.0011527450800781E-2</v>
      </c>
      <c r="E35" s="371">
        <v>24</v>
      </c>
      <c r="F35" s="371" t="n">
        <v>2296.0</v>
      </c>
      <c r="G35" s="9">
        <f si="1" t="shared"/>
        <v>1.589004964832437E-2</v>
      </c>
    </row>
    <row r="36" spans="1:7" x14ac:dyDescent="0.25">
      <c r="A36">
        <v>25</v>
      </c>
      <c r="B36" s="6" t="n">
        <v>757.635898422</v>
      </c>
      <c r="C36" s="9">
        <f si="0" t="shared"/>
        <v>8.1060374115535221E-3</v>
      </c>
      <c r="E36" s="371">
        <v>25</v>
      </c>
      <c r="F36" s="371" t="n">
        <v>2432.0</v>
      </c>
      <c r="G36" s="9">
        <f si="1" t="shared"/>
        <v>1.6071059164253207E-2</v>
      </c>
    </row>
    <row r="37" spans="1:7" x14ac:dyDescent="0.25">
      <c r="A37">
        <v>26</v>
      </c>
      <c r="B37" s="6" t="n">
        <v>667.99538554</v>
      </c>
      <c r="C37" s="9">
        <f si="0" t="shared"/>
        <v>7.1469628052343694E-3</v>
      </c>
      <c r="E37" s="371">
        <v>26</v>
      </c>
      <c r="F37" s="371" t="n">
        <v>2286.0</v>
      </c>
      <c r="G37" s="9">
        <f si="1" t="shared"/>
        <v>1.4816921803889119E-2</v>
      </c>
    </row>
    <row r="38" spans="1:7" x14ac:dyDescent="0.25">
      <c r="A38">
        <v>27</v>
      </c>
      <c r="B38" s="6" t="n">
        <v>0.0</v>
      </c>
      <c r="C38" s="9">
        <f si="0" t="shared"/>
        <v>0</v>
      </c>
      <c r="E38" s="371">
        <v>27</v>
      </c>
      <c r="F38" s="371" t="n">
        <v>2192.0</v>
      </c>
      <c r="G38" s="9">
        <f si="1" t="shared"/>
        <v>1.461651841125362E-2</v>
      </c>
    </row>
    <row r="39" spans="1:7" x14ac:dyDescent="0.25">
      <c r="A39">
        <v>28</v>
      </c>
      <c r="B39" s="6" t="n">
        <v>1123.947174556</v>
      </c>
      <c r="C39" s="9">
        <f si="0" t="shared"/>
        <v>1.2025245720981081E-2</v>
      </c>
      <c r="E39" s="371">
        <v>28</v>
      </c>
      <c r="F39" s="371" t="n">
        <v>2206.0</v>
      </c>
      <c r="G39" s="9">
        <f si="1" t="shared"/>
        <v>1.4907426561853537E-2</v>
      </c>
    </row>
    <row r="40" spans="1:7" x14ac:dyDescent="0.25">
      <c r="A40">
        <v>29</v>
      </c>
      <c r="B40" s="6" t="n">
        <v>349.274014887</v>
      </c>
      <c r="C40" s="9">
        <f si="0" t="shared"/>
        <v>3.7369246064691379E-3</v>
      </c>
      <c r="E40" s="371">
        <v>29</v>
      </c>
      <c r="F40" s="371" t="n">
        <v>2010.0</v>
      </c>
      <c r="G40" s="9">
        <f si="1" t="shared"/>
        <v>1.4474296648738104E-2</v>
      </c>
    </row>
    <row r="41" spans="1:7" x14ac:dyDescent="0.25">
      <c r="A41">
        <v>30</v>
      </c>
      <c r="B41" s="6" t="n">
        <v>263.99555716699996</v>
      </c>
      <c r="C41" s="9">
        <f si="0" t="shared"/>
        <v>2.8245201518786412E-3</v>
      </c>
      <c r="E41" s="371">
        <v>30</v>
      </c>
      <c r="F41" s="371" t="n">
        <v>1844.0</v>
      </c>
      <c r="G41" s="9">
        <f si="1" t="shared"/>
        <v>1.2179354571783202E-2</v>
      </c>
    </row>
    <row r="42" spans="1:7" x14ac:dyDescent="0.25">
      <c r="A42">
        <v>31</v>
      </c>
      <c r="B42" s="6" t="n">
        <v>1293.060874131</v>
      </c>
      <c r="C42" s="9">
        <f si="0" t="shared"/>
        <v>1.3834613490402192E-2</v>
      </c>
      <c r="E42" s="371">
        <v>31</v>
      </c>
      <c r="F42" s="371" t="n">
        <v>1731.0</v>
      </c>
      <c r="G42" s="9">
        <f si="1" t="shared"/>
        <v>1.2024203558129913E-2</v>
      </c>
    </row>
    <row r="43" spans="1:7" x14ac:dyDescent="0.25">
      <c r="A43">
        <v>32</v>
      </c>
      <c r="B43" s="6" t="n">
        <v>0.0</v>
      </c>
      <c r="C43" s="9">
        <f si="0" t="shared"/>
        <v>0</v>
      </c>
      <c r="E43" s="371">
        <v>32</v>
      </c>
      <c r="F43" s="371" t="n">
        <v>1747.0</v>
      </c>
      <c r="G43" s="9">
        <f si="1" t="shared"/>
        <v>1.0873500206868019E-2</v>
      </c>
    </row>
    <row r="44" spans="1:7" x14ac:dyDescent="0.25">
      <c r="A44">
        <v>33</v>
      </c>
      <c r="B44" s="6" t="n">
        <v>795.69322268</v>
      </c>
      <c r="C44" s="9">
        <f si="0" t="shared"/>
        <v>8.5132172915743879E-3</v>
      </c>
      <c r="E44" s="371">
        <v>33</v>
      </c>
      <c r="F44" s="371" t="n">
        <v>1504.0</v>
      </c>
      <c r="G44" s="9">
        <f si="1" t="shared"/>
        <v>9.7486553578816706E-3</v>
      </c>
    </row>
    <row r="45" spans="1:7" x14ac:dyDescent="0.25">
      <c r="A45">
        <v>34</v>
      </c>
      <c r="B45" s="6" t="n">
        <v>0.0</v>
      </c>
      <c r="C45" s="9">
        <f si="0" t="shared"/>
        <v>0</v>
      </c>
      <c r="E45" s="371">
        <v>34</v>
      </c>
      <c r="F45" s="371" t="n">
        <v>1280.0</v>
      </c>
      <c r="G45" s="9">
        <f si="1" t="shared"/>
        <v>9.6064335953661567E-3</v>
      </c>
    </row>
    <row r="46" spans="1:7" x14ac:dyDescent="0.25">
      <c r="A46">
        <v>35</v>
      </c>
      <c r="B46" s="6" t="n">
        <v>15.3</v>
      </c>
      <c r="C46" s="9">
        <f si="0" t="shared"/>
        <v>1.6369653636407941E-4</v>
      </c>
      <c r="E46" s="371">
        <v>35</v>
      </c>
      <c r="F46" s="371" t="n">
        <v>1250.0</v>
      </c>
      <c r="G46" s="9">
        <f si="1" t="shared"/>
        <v>8.1324989656599098E-3</v>
      </c>
    </row>
    <row r="47" spans="1:7" x14ac:dyDescent="0.25">
      <c r="A47">
        <v>36</v>
      </c>
      <c r="B47" s="6" t="n">
        <v>492.408600494</v>
      </c>
      <c r="C47" s="9">
        <f si="0" t="shared"/>
        <v>5.2683387174347392E-3</v>
      </c>
      <c r="E47" s="371">
        <v>36</v>
      </c>
      <c r="F47" s="371" t="n">
        <v>1072.0</v>
      </c>
      <c r="G47" s="9">
        <f si="1" t="shared"/>
        <v>7.3050268928423669E-3</v>
      </c>
    </row>
    <row r="48" spans="1:7" x14ac:dyDescent="0.25">
      <c r="A48">
        <v>37</v>
      </c>
      <c r="B48" s="6" t="n">
        <v>0.0</v>
      </c>
      <c r="C48" s="9">
        <f si="0" t="shared"/>
        <v>0</v>
      </c>
      <c r="E48" s="371">
        <v>37</v>
      </c>
      <c r="F48" s="371" t="n">
        <v>887.0</v>
      </c>
      <c r="G48" s="9">
        <f si="1" t="shared"/>
        <v>6.6844228382292098E-3</v>
      </c>
    </row>
    <row r="49" spans="1:7" x14ac:dyDescent="0.25">
      <c r="A49">
        <v>38</v>
      </c>
      <c r="B49" s="6" t="n">
        <v>0.0</v>
      </c>
      <c r="C49" s="9">
        <f si="0" t="shared"/>
        <v>0</v>
      </c>
      <c r="E49" s="371">
        <v>38</v>
      </c>
      <c r="F49" s="371" t="n">
        <v>818.0</v>
      </c>
      <c r="G49" s="9">
        <f si="1" t="shared"/>
        <v>5.4238208522962347E-3</v>
      </c>
    </row>
    <row r="50" spans="1:7" x14ac:dyDescent="0.25">
      <c r="A50">
        <v>39</v>
      </c>
      <c r="B50" s="6" t="n">
        <v>736.563073278</v>
      </c>
      <c r="C50" s="9">
        <f si="0" t="shared"/>
        <v>7.8805767260973995E-3</v>
      </c>
      <c r="E50" s="371">
        <v>39</v>
      </c>
      <c r="F50" s="371" t="n">
        <v>760.0</v>
      </c>
      <c r="G50" s="9">
        <f si="1" t="shared"/>
        <v>4.4864501448076124E-3</v>
      </c>
    </row>
    <row r="51" spans="1:7" x14ac:dyDescent="0.25">
      <c r="A51">
        <v>40</v>
      </c>
      <c r="B51" s="6" t="n">
        <v>682.04390316</v>
      </c>
      <c r="C51" s="9">
        <f si="0" t="shared"/>
        <v>7.2972695814071632E-3</v>
      </c>
      <c r="E51" s="371">
        <v>40</v>
      </c>
      <c r="F51" s="371" t="n">
        <v>682.0</v>
      </c>
      <c r="G51" s="9">
        <f si="1" t="shared"/>
        <v>4.1115018618121642E-3</v>
      </c>
    </row>
    <row r="52" spans="1:7" x14ac:dyDescent="0.25">
      <c r="A52">
        <v>41</v>
      </c>
      <c r="B52" s="6" t="n">
        <v>0.0</v>
      </c>
      <c r="C52" s="9">
        <f si="0" t="shared"/>
        <v>0</v>
      </c>
      <c r="E52" s="371">
        <v>41</v>
      </c>
      <c r="F52" s="371" t="n">
        <v>589.0</v>
      </c>
      <c r="G52" s="9">
        <f si="1" t="shared"/>
        <v>4.0597848572610671E-3</v>
      </c>
    </row>
    <row r="53" spans="1:7" x14ac:dyDescent="0.25">
      <c r="A53">
        <v>42</v>
      </c>
      <c r="B53" s="6" t="n">
        <v>196.909668413</v>
      </c>
      <c r="C53" s="9">
        <f si="0" t="shared"/>
        <v>2.1067601761965665E-3</v>
      </c>
      <c r="E53" s="371">
        <v>42</v>
      </c>
      <c r="F53" s="371" t="n">
        <v>554.0</v>
      </c>
      <c r="G53" s="9">
        <f si="1" t="shared"/>
        <v>3.7818059577989244E-3</v>
      </c>
    </row>
    <row r="54" spans="1:7" x14ac:dyDescent="0.25">
      <c r="A54">
        <v>43</v>
      </c>
      <c r="B54" s="6" t="n">
        <v>0.0</v>
      </c>
      <c r="C54" s="9">
        <f si="0" t="shared"/>
        <v>0</v>
      </c>
      <c r="E54" s="371">
        <v>43</v>
      </c>
      <c r="F54" s="371" t="n">
        <v>462.0</v>
      </c>
      <c r="G54" s="9">
        <f si="1" t="shared"/>
        <v>2.9995862639635913E-3</v>
      </c>
    </row>
    <row r="55" spans="1:7" x14ac:dyDescent="0.25">
      <c r="A55">
        <v>44</v>
      </c>
      <c r="B55" s="6" t="n">
        <v>0.0</v>
      </c>
      <c r="C55" s="9">
        <f si="0" t="shared"/>
        <v>0</v>
      </c>
      <c r="E55" s="371">
        <v>44</v>
      </c>
      <c r="F55" s="371" t="n">
        <v>365.0</v>
      </c>
      <c r="G55" s="9">
        <f si="1" t="shared"/>
        <v>3.238777410012412E-3</v>
      </c>
    </row>
    <row r="56" spans="1:7" x14ac:dyDescent="0.25">
      <c r="A56">
        <v>45</v>
      </c>
      <c r="B56" s="6" t="n">
        <v>0.0</v>
      </c>
      <c r="C56" s="9">
        <f si="0" t="shared"/>
        <v>0</v>
      </c>
      <c r="E56" s="371">
        <v>45</v>
      </c>
      <c r="F56" s="371" t="n">
        <v>376.0</v>
      </c>
      <c r="G56" s="9">
        <f si="1" t="shared"/>
        <v>2.4113053371948696E-3</v>
      </c>
    </row>
    <row r="57" spans="1:7" x14ac:dyDescent="0.25">
      <c r="A57">
        <v>46</v>
      </c>
      <c r="B57" s="6" t="n">
        <v>197.146490079</v>
      </c>
      <c r="C57" s="9">
        <f si="0" t="shared"/>
        <v>2.1092939596253362E-3</v>
      </c>
      <c r="E57" s="371">
        <v>46</v>
      </c>
      <c r="F57" s="371" t="n">
        <v>329.0</v>
      </c>
      <c r="G57" s="9">
        <f si="1" t="shared"/>
        <v>1.9846400496483243E-3</v>
      </c>
    </row>
    <row r="58" spans="1:7" x14ac:dyDescent="0.25">
      <c r="A58">
        <v>47</v>
      </c>
      <c r="B58" s="6" t="n">
        <v>342.507584498</v>
      </c>
      <c r="C58" s="9">
        <f si="0" t="shared"/>
        <v>3.664529755604566E-3</v>
      </c>
      <c r="E58" s="371">
        <v>47</v>
      </c>
      <c r="F58" s="371" t="n">
        <v>330.0</v>
      </c>
      <c r="G58" s="9">
        <f si="1" t="shared"/>
        <v>2.1203971865949526E-3</v>
      </c>
    </row>
    <row r="59" spans="1:7" x14ac:dyDescent="0.25">
      <c r="A59">
        <v>48</v>
      </c>
      <c r="B59" s="6" t="n">
        <v>0.0</v>
      </c>
      <c r="C59" s="9">
        <f si="0" t="shared"/>
        <v>0</v>
      </c>
      <c r="E59" s="371">
        <v>48</v>
      </c>
      <c r="F59" s="371" t="n">
        <v>259.0</v>
      </c>
      <c r="G59" s="9">
        <f si="1" t="shared"/>
        <v>1.8488829127016964E-3</v>
      </c>
    </row>
    <row r="60" spans="1:7" x14ac:dyDescent="0.25">
      <c r="A60">
        <v>49</v>
      </c>
      <c r="B60" s="6" t="n">
        <v>0.0</v>
      </c>
      <c r="C60" s="9">
        <f si="0" t="shared"/>
        <v>0</v>
      </c>
      <c r="E60" s="371">
        <v>49</v>
      </c>
      <c r="F60" s="371" t="n">
        <v>280.0</v>
      </c>
      <c r="G60" s="9">
        <f si="1" t="shared"/>
        <v>1.8553475382705833E-3</v>
      </c>
    </row>
    <row r="61" spans="1:7" x14ac:dyDescent="0.25">
      <c r="A61">
        <v>50</v>
      </c>
      <c r="B61" s="6" t="n">
        <v>125.900003473</v>
      </c>
      <c r="C61" s="9">
        <f si="0" t="shared"/>
        <v>1.3470192481539651E-3</v>
      </c>
      <c r="E61" s="371">
        <v>50</v>
      </c>
      <c r="F61" s="371" t="n">
        <v>205.0</v>
      </c>
      <c r="G61" s="9">
        <f si="1" t="shared"/>
        <v>1.4997931319817956E-3</v>
      </c>
    </row>
    <row r="62" spans="1:7" x14ac:dyDescent="0.25">
      <c r="A62">
        <v>51</v>
      </c>
      <c r="B62" s="6" t="n">
        <v>0.0</v>
      </c>
      <c r="C62" s="9">
        <f si="0" t="shared"/>
        <v>0</v>
      </c>
      <c r="E62" s="371">
        <v>51</v>
      </c>
      <c r="F62" s="371" t="n">
        <v>203.0</v>
      </c>
      <c r="G62" s="9">
        <f si="1" t="shared"/>
        <v>1.1119155978485725E-3</v>
      </c>
    </row>
    <row r="63" spans="1:7" x14ac:dyDescent="0.25">
      <c r="A63">
        <v>52</v>
      </c>
      <c r="B63" s="6" t="n">
        <v>1426.673692591</v>
      </c>
      <c r="C63" s="9">
        <f si="0" t="shared"/>
        <v>1.5264153071823402E-2</v>
      </c>
      <c r="E63" s="371">
        <v>52</v>
      </c>
      <c r="F63" s="371" t="n">
        <v>169.0</v>
      </c>
      <c r="G63" s="9">
        <f si="1" t="shared"/>
        <v>1.157167976830782E-3</v>
      </c>
    </row>
    <row r="64" spans="1:7" x14ac:dyDescent="0.25">
      <c r="A64">
        <v>53</v>
      </c>
      <c r="B64" s="6" t="n">
        <v>0.0</v>
      </c>
      <c r="C64" s="9">
        <f si="0" t="shared"/>
        <v>0</v>
      </c>
      <c r="E64" s="371">
        <v>53</v>
      </c>
      <c r="F64" s="371" t="n">
        <v>133.0</v>
      </c>
      <c r="G64" s="9">
        <f si="1" t="shared"/>
        <v>9.6969383533305749E-4</v>
      </c>
    </row>
    <row r="65" spans="1:7" x14ac:dyDescent="0.25">
      <c r="A65">
        <v>54</v>
      </c>
      <c r="B65" s="6" t="n">
        <v>0.0</v>
      </c>
      <c r="C65" s="9">
        <f si="0" t="shared"/>
        <v>0</v>
      </c>
      <c r="E65" s="371">
        <v>54</v>
      </c>
      <c r="F65" s="371" t="n">
        <v>128.0</v>
      </c>
      <c r="G65" s="9">
        <f si="1" t="shared"/>
        <v>9.1151220521307403E-4</v>
      </c>
    </row>
    <row r="66" spans="1:7" x14ac:dyDescent="0.2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156.0</v>
      </c>
      <c r="G66" s="9">
        <f si="1" t="shared"/>
        <v>9.5676458419528343E-4</v>
      </c>
    </row>
    <row r="67" spans="1:7" x14ac:dyDescent="0.25">
      <c r="A67">
        <v>56</v>
      </c>
      <c r="B67" s="6" t="n">
        <v>192.74388316</v>
      </c>
      <c r="C67" s="9">
        <f si="0" t="shared"/>
        <v>2.0621899397813602E-3</v>
      </c>
      <c r="E67" s="371">
        <v>56</v>
      </c>
      <c r="F67" s="371" t="n">
        <v>117.0</v>
      </c>
      <c r="G67" s="9">
        <f si="1" t="shared"/>
        <v>7.1757343814646257E-4</v>
      </c>
    </row>
    <row r="68" spans="1:7" x14ac:dyDescent="0.2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94.0</v>
      </c>
      <c r="G68" s="9">
        <f si="1" t="shared"/>
        <v>6.9817956143980139E-4</v>
      </c>
    </row>
    <row r="69" spans="1:7" x14ac:dyDescent="0.2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93.0</v>
      </c>
      <c r="G69" s="9">
        <f si="1" t="shared"/>
        <v>6.335333057509309E-4</v>
      </c>
    </row>
    <row r="70" spans="1:7" x14ac:dyDescent="0.25">
      <c r="A70">
        <v>59</v>
      </c>
      <c r="B70" s="6" t="n">
        <v>0.0</v>
      </c>
      <c r="C70" s="9">
        <f si="0" t="shared"/>
        <v>0</v>
      </c>
      <c r="E70" s="371">
        <v>59</v>
      </c>
      <c r="F70" s="371" t="n">
        <v>76.0</v>
      </c>
      <c r="G70" s="9">
        <f si="1" t="shared"/>
        <v>5.0424079437318993E-4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103.0</v>
      </c>
      <c r="G71" s="9">
        <f si="1" t="shared"/>
        <v>6.2060405461315685E-4</v>
      </c>
    </row>
    <row r="72" spans="1:7" x14ac:dyDescent="0.25">
      <c r="A72">
        <v>61</v>
      </c>
      <c r="B72" s="6" t="n">
        <v>519.276353903</v>
      </c>
      <c r="C72" s="9">
        <f si="0" t="shared"/>
        <v>5.5558000359273857E-3</v>
      </c>
      <c r="E72" s="371">
        <v>61</v>
      </c>
      <c r="F72" s="371" t="n">
        <v>108.0</v>
      </c>
      <c r="G72" s="9">
        <f si="1" t="shared"/>
        <v>6.4646255688870495E-4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91.0</v>
      </c>
      <c r="G73" s="9">
        <f si="1" t="shared"/>
        <v>5.8828092676872161E-4</v>
      </c>
    </row>
    <row r="74" spans="1:7" x14ac:dyDescent="0.2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97.0</v>
      </c>
      <c r="G74" s="9">
        <f si="1" t="shared"/>
        <v>4.7838229209764172E-4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58.0</v>
      </c>
      <c r="G75" s="9">
        <f si="1" t="shared"/>
        <v>5.2363467107985101E-4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80.0</v>
      </c>
      <c r="G76" s="9">
        <f si="1" t="shared"/>
        <v>4.7838229209764172E-4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69.0</v>
      </c>
      <c r="G77" s="9">
        <f ref="G77:G102" si="3" t="shared">F77/F$102</f>
        <v>4.4605916425320647E-4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71.0</v>
      </c>
      <c r="G78" s="9">
        <f si="3" t="shared"/>
        <v>4.7838229209764172E-4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53.0</v>
      </c>
      <c r="G79" s="9">
        <f si="3" t="shared"/>
        <v>4.1373603640877118E-4</v>
      </c>
    </row>
    <row r="80" spans="1:7" x14ac:dyDescent="0.25">
      <c r="A80">
        <v>69</v>
      </c>
      <c r="B80" s="6" t="n">
        <v>105.574432957</v>
      </c>
      <c r="C80" s="9">
        <f si="2" t="shared"/>
        <v>1.1295535296511512E-3</v>
      </c>
      <c r="E80" s="371">
        <v>69</v>
      </c>
      <c r="F80" s="371" t="n">
        <v>74.0</v>
      </c>
      <c r="G80" s="9">
        <f si="3" t="shared"/>
        <v>4.0080678527099712E-4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78.0</v>
      </c>
      <c r="G81" s="9">
        <f si="3" t="shared"/>
        <v>4.7191766652875464E-4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47.0</v>
      </c>
      <c r="G82" s="9">
        <f si="3" t="shared"/>
        <v>3.3616052958212659E-4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68.0</v>
      </c>
      <c r="G83" s="9">
        <f si="3" t="shared"/>
        <v>4.3959453868431939E-4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43.0</v>
      </c>
      <c r="G84" s="9">
        <f si="3" t="shared"/>
        <v>2.5858502275548199E-4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39.0</v>
      </c>
      <c r="G85" s="9">
        <f si="3" t="shared"/>
        <v>3.8141290856433594E-4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45.0</v>
      </c>
      <c r="G86" s="9">
        <f si="3" t="shared"/>
        <v>2.197972693421597E-4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34.0</v>
      </c>
      <c r="G87" s="9">
        <f si="3" t="shared"/>
        <v>2.9090815059991724E-4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43.0</v>
      </c>
      <c r="G88" s="9">
        <f si="3" t="shared"/>
        <v>3.0383740173769134E-4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40.0</v>
      </c>
      <c r="G89" s="9">
        <f si="3" t="shared"/>
        <v>1.6808026479106329E-4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38.0</v>
      </c>
      <c r="G90" s="9">
        <f si="3" t="shared"/>
        <v>2.5858502275548199E-4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33.0</v>
      </c>
      <c r="G91" s="9">
        <f si="3" t="shared"/>
        <v>2.0686801820438559E-4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39.0</v>
      </c>
      <c r="G92" s="9">
        <f si="3" t="shared"/>
        <v>1.6161563922217624E-4</v>
      </c>
    </row>
    <row r="93" spans="1:7" x14ac:dyDescent="0.25">
      <c r="A93">
        <v>82</v>
      </c>
      <c r="B93" s="6" t="n">
        <v>337.860426079</v>
      </c>
      <c r="C93" s="9">
        <f si="2" t="shared"/>
        <v>3.6148092499100901E-3</v>
      </c>
      <c r="E93" s="371">
        <v>82</v>
      </c>
      <c r="F93" s="371" t="n">
        <v>34.0</v>
      </c>
      <c r="G93" s="9">
        <f si="3" t="shared"/>
        <v>1.6808026479106329E-4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20.0</v>
      </c>
      <c r="G94" s="9">
        <f si="3" t="shared"/>
        <v>2.327265204799338E-4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55.0</v>
      </c>
      <c r="G95" s="9">
        <f si="3" t="shared"/>
        <v>3.9434215970211004E-4</v>
      </c>
    </row>
    <row r="96" spans="1:7" x14ac:dyDescent="0.25">
      <c r="A96">
        <v>85</v>
      </c>
      <c r="B96" s="6" t="n">
        <v>126.7069707198</v>
      </c>
      <c r="C96" s="9">
        <f si="2" t="shared"/>
        <v>1.3556530875827506E-3</v>
      </c>
      <c r="E96" s="371">
        <v>85</v>
      </c>
      <c r="F96" s="371" t="n">
        <v>28.0</v>
      </c>
      <c r="G96" s="9">
        <f si="3" t="shared"/>
        <v>1.7454489035995035E-4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34.0</v>
      </c>
      <c r="G97" s="9">
        <f si="3" t="shared"/>
        <v>2.1333264377327264E-4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31.0</v>
      </c>
      <c r="G98" s="9">
        <f si="3" t="shared"/>
        <v>1.6808026479106329E-4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18.0</v>
      </c>
      <c r="G99" s="9">
        <f si="3" t="shared"/>
        <v>1.29292511377741E-4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16.0</v>
      </c>
      <c r="G100" s="9">
        <f si="3" t="shared"/>
        <v>1.0343400910219279E-4</v>
      </c>
    </row>
    <row ht="15.75" r="101" spans="1:7" thickBot="1" x14ac:dyDescent="0.3">
      <c r="A101" s="1">
        <v>90</v>
      </c>
      <c r="B101" s="7" t="n">
        <v>948.3384016833</v>
      </c>
      <c r="C101" s="9">
        <f si="2" t="shared"/>
        <v>1.0146386382784527E-2</v>
      </c>
      <c r="E101" s="372">
        <v>90</v>
      </c>
      <c r="F101" s="372" t="n">
        <v>1079.0</v>
      </c>
      <c r="G101" s="9">
        <f si="3" t="shared"/>
        <v>7.0981588746379812E-3</v>
      </c>
    </row>
    <row r="102" spans="1:7" x14ac:dyDescent="0.25">
      <c r="B102" s="6">
        <f>SUM(B11:B101)</f>
        <v>93465.630610357504</v>
      </c>
      <c r="C102" s="9">
        <f si="2" t="shared"/>
        <v>1</v>
      </c>
      <c r="F102" s="6">
        <f>SUM(F11:F101)</f>
        <v>154688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1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M102"/>
  <sheetViews>
    <sheetView workbookViewId="0">
      <selection activeCell="H11" sqref="H11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  <col min="6" max="6" bestFit="true" customWidth="true" width="12.0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20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42096.6465675342</v>
      </c>
      <c r="C11" s="9">
        <f>B11/B$102</f>
        <v>0.21184033144131748</v>
      </c>
      <c r="E11" s="371">
        <v>0</v>
      </c>
      <c r="F11" s="371" t="n">
        <v>22661.0</v>
      </c>
      <c r="G11" s="9">
        <f>F11/F$102</f>
        <v>8.1171491232777712E-2</v>
      </c>
      <c r="K11" s="6" t="n">
        <v>5.391754889070411</v>
      </c>
      <c r="L11" s="6" t="n">
        <v>6.636715307974384</v>
      </c>
    </row>
    <row r="12" spans="1:12" x14ac:dyDescent="0.25">
      <c r="A12">
        <v>1</v>
      </c>
      <c r="B12" s="6" t="n">
        <v>35272.1459761351</v>
      </c>
      <c r="C12" s="9">
        <f>B12/B$102</f>
        <v>0.17749782235608291</v>
      </c>
      <c r="E12" s="371">
        <v>1</v>
      </c>
      <c r="F12" s="371" t="n">
        <v>24077.0</v>
      </c>
      <c r="G12" s="9">
        <f>F12/F$102</f>
        <v>8.5522008393349724E-2</v>
      </c>
      <c r="K12" s="6"/>
      <c r="L12" s="371"/>
    </row>
    <row r="13" spans="1:12" x14ac:dyDescent="0.25">
      <c r="A13">
        <v>2</v>
      </c>
      <c r="B13" s="6" t="n">
        <v>25881.9568926223</v>
      </c>
      <c r="C13" s="9">
        <f ref="C13:C76" si="0" t="shared">B13/B$102</f>
        <v>0.13024415894237715</v>
      </c>
      <c r="E13" s="371">
        <v>2</v>
      </c>
      <c r="F13" s="371" t="n">
        <v>24963.0</v>
      </c>
      <c r="G13" s="9">
        <f ref="G13:G76" si="1" t="shared">F13/F$102</f>
        <v>9.0004901487261493E-2</v>
      </c>
    </row>
    <row r="14" spans="1:12" x14ac:dyDescent="0.25">
      <c r="A14">
        <v>3</v>
      </c>
      <c r="B14" s="6" t="n">
        <v>14484.2330517082</v>
      </c>
      <c r="C14" s="9">
        <f si="0" t="shared"/>
        <v>7.288810346032458E-2</v>
      </c>
      <c r="E14" s="371">
        <v>3</v>
      </c>
      <c r="F14" s="371" t="n">
        <v>30347.0</v>
      </c>
      <c r="G14" s="9">
        <f si="1" t="shared"/>
        <v>0.10772896564307871</v>
      </c>
    </row>
    <row r="15" spans="1:12" x14ac:dyDescent="0.25">
      <c r="A15">
        <v>4</v>
      </c>
      <c r="B15" s="6" t="n">
        <v>12378.402977352</v>
      </c>
      <c r="C15" s="9">
        <f si="0" t="shared"/>
        <v>6.2291065993336586E-2</v>
      </c>
      <c r="E15" s="371">
        <v>4</v>
      </c>
      <c r="F15" s="371" t="n">
        <v>26618.0</v>
      </c>
      <c r="G15" s="9">
        <f si="1" t="shared"/>
        <v>9.6727452264165126E-2</v>
      </c>
    </row>
    <row r="16" spans="1:12" x14ac:dyDescent="0.25">
      <c r="A16">
        <v>5</v>
      </c>
      <c r="B16" s="6" t="n">
        <v>8200.0079975136</v>
      </c>
      <c r="C16" s="9">
        <f si="0" t="shared"/>
        <v>4.1264389295902169E-2</v>
      </c>
      <c r="E16" s="371">
        <v>5</v>
      </c>
      <c r="F16" s="371" t="n">
        <v>25113.0</v>
      </c>
      <c r="G16" s="9">
        <f si="1" t="shared"/>
        <v>8.9185601791726146E-2</v>
      </c>
    </row>
    <row r="17" spans="1:7" x14ac:dyDescent="0.25">
      <c r="A17">
        <v>6</v>
      </c>
      <c r="B17" s="6" t="n">
        <v>5803.782043971</v>
      </c>
      <c r="C17" s="9">
        <f si="0" t="shared"/>
        <v>2.9206010740916839E-2</v>
      </c>
      <c r="E17" s="371">
        <v>6</v>
      </c>
      <c r="F17" s="371" t="n">
        <v>21056.0</v>
      </c>
      <c r="G17" s="9">
        <f si="1" t="shared"/>
        <v>7.5711878414494088E-2</v>
      </c>
    </row>
    <row r="18" spans="1:7" x14ac:dyDescent="0.25">
      <c r="A18">
        <v>7</v>
      </c>
      <c r="B18" s="6" t="n">
        <v>10570.667439619</v>
      </c>
      <c r="C18" s="9">
        <f si="0" t="shared"/>
        <v>5.319411108845476E-2</v>
      </c>
      <c r="E18" s="371">
        <v>7</v>
      </c>
      <c r="F18" s="371" t="n">
        <v>17228.0</v>
      </c>
      <c r="G18" s="9">
        <f si="1" t="shared"/>
        <v>6.3014521997660167E-2</v>
      </c>
    </row>
    <row r="19" spans="1:7" x14ac:dyDescent="0.25">
      <c r="A19">
        <v>8</v>
      </c>
      <c r="B19" s="6" t="n">
        <v>3792.12388791</v>
      </c>
      <c r="C19" s="9">
        <f si="0" t="shared"/>
        <v>1.908286875042756E-2</v>
      </c>
      <c r="E19" s="371">
        <v>8</v>
      </c>
      <c r="F19" s="371" t="n">
        <v>16362.0</v>
      </c>
      <c r="G19" s="9">
        <f si="1" t="shared"/>
        <v>5.8935912159623911E-2</v>
      </c>
    </row>
    <row r="20" spans="1:7" x14ac:dyDescent="0.25">
      <c r="A20">
        <v>9</v>
      </c>
      <c r="B20" s="6" t="n">
        <v>3588.750185081</v>
      </c>
      <c r="C20" s="9">
        <f si="0" t="shared"/>
        <v>1.8059443938082301E-2</v>
      </c>
      <c r="E20" s="371">
        <v>9</v>
      </c>
      <c r="F20" s="371" t="n">
        <v>10666.0</v>
      </c>
      <c r="G20" s="9">
        <f si="1" t="shared"/>
        <v>3.9698469090219568E-2</v>
      </c>
    </row>
    <row r="21" spans="1:7" x14ac:dyDescent="0.25">
      <c r="A21">
        <v>10</v>
      </c>
      <c r="B21" s="6" t="n">
        <v>3730.183122435</v>
      </c>
      <c r="C21" s="9">
        <f si="0" t="shared"/>
        <v>1.8771168095913369E-2</v>
      </c>
      <c r="E21" s="371">
        <v>10</v>
      </c>
      <c r="F21" s="371" t="n">
        <v>8758.0</v>
      </c>
      <c r="G21" s="9">
        <f si="1" t="shared"/>
        <v>3.0729105174467902E-2</v>
      </c>
    </row>
    <row r="22" spans="1:7" x14ac:dyDescent="0.25">
      <c r="A22">
        <v>11</v>
      </c>
      <c r="B22" s="6" t="n">
        <v>3887.1159454441</v>
      </c>
      <c r="C22" s="9">
        <f si="0" t="shared"/>
        <v>1.9560891362514571E-2</v>
      </c>
      <c r="E22" s="371">
        <v>11</v>
      </c>
      <c r="F22" s="371" t="n">
        <v>7788.0</v>
      </c>
      <c r="G22" s="9">
        <f si="1" t="shared"/>
        <v>2.8489447491476062E-2</v>
      </c>
    </row>
    <row r="23" spans="1:7" x14ac:dyDescent="0.25">
      <c r="A23">
        <v>12</v>
      </c>
      <c r="B23" s="6" t="n">
        <v>599.22026744</v>
      </c>
      <c r="C23" s="9">
        <f si="0" t="shared"/>
        <v>3.0154188138763172E-3</v>
      </c>
      <c r="E23" s="371">
        <v>12</v>
      </c>
      <c r="F23" s="371" t="n">
        <v>8096.0</v>
      </c>
      <c r="G23" s="9">
        <f si="1" t="shared"/>
        <v>2.8925930298704505E-2</v>
      </c>
    </row>
    <row r="24" spans="1:7" x14ac:dyDescent="0.25">
      <c r="A24">
        <v>13</v>
      </c>
      <c r="B24" s="6" t="n">
        <v>4228.3027259294995</v>
      </c>
      <c r="C24" s="9">
        <f si="0" t="shared"/>
        <v>2.1277824338291427E-2</v>
      </c>
      <c r="E24" s="371">
        <v>13</v>
      </c>
      <c r="F24" s="371" t="n">
        <v>6236.0</v>
      </c>
      <c r="G24" s="9">
        <f si="1" t="shared"/>
        <v>2.3645203876825983E-2</v>
      </c>
    </row>
    <row r="25" spans="1:7" x14ac:dyDescent="0.25">
      <c r="A25">
        <v>14</v>
      </c>
      <c r="B25" s="6" t="n">
        <v>1608.77438934</v>
      </c>
      <c r="C25" s="9">
        <f si="0" t="shared"/>
        <v>8.095735115274557E-3</v>
      </c>
      <c r="E25" s="371">
        <v>14</v>
      </c>
      <c r="F25" s="371" t="n">
        <v>5022.0</v>
      </c>
      <c r="G25" s="9">
        <f si="1" t="shared"/>
        <v>1.9208821245979529E-2</v>
      </c>
    </row>
    <row r="26" spans="1:7" x14ac:dyDescent="0.25">
      <c r="A26">
        <v>15</v>
      </c>
      <c r="B26" s="6" t="n">
        <v>4556.151660363</v>
      </c>
      <c r="C26" s="9">
        <f si="0" t="shared"/>
        <v>2.2927638102474678E-2</v>
      </c>
      <c r="E26" s="371">
        <v>15</v>
      </c>
      <c r="F26" s="371" t="n">
        <v>4579.0</v>
      </c>
      <c r="G26" s="9">
        <f si="1" t="shared"/>
        <v>1.8146236051333239E-2</v>
      </c>
    </row>
    <row r="27" spans="1:7" x14ac:dyDescent="0.25">
      <c r="A27">
        <v>16</v>
      </c>
      <c r="B27" s="6" t="n">
        <v>1931.3524904800001</v>
      </c>
      <c r="C27" s="9">
        <f si="0" t="shared"/>
        <v>9.7190247935053601E-3</v>
      </c>
      <c r="E27" s="371">
        <v>16</v>
      </c>
      <c r="F27" s="371" t="n">
        <v>3731.0</v>
      </c>
      <c r="G27" s="9">
        <f si="1" t="shared"/>
        <v>1.3810029802473641E-2</v>
      </c>
    </row>
    <row r="28" spans="1:7" x14ac:dyDescent="0.25">
      <c r="A28">
        <v>17</v>
      </c>
      <c r="B28" s="6" t="n">
        <v>1839.759763416</v>
      </c>
      <c r="C28" s="9">
        <f si="0" t="shared"/>
        <v>9.258108420327647E-3</v>
      </c>
      <c r="E28" s="371">
        <v>17</v>
      </c>
      <c r="F28" s="371" t="n">
        <v>2495.0</v>
      </c>
      <c r="G28" s="9">
        <f si="1" t="shared"/>
        <v>9.7671972437184049E-3</v>
      </c>
    </row>
    <row r="29" spans="1:7" x14ac:dyDescent="0.25">
      <c r="A29">
        <v>18</v>
      </c>
      <c r="B29" s="6" t="n">
        <v>1749.508247889</v>
      </c>
      <c r="C29" s="9">
        <f si="0" t="shared"/>
        <v>8.8039413423954636E-3</v>
      </c>
      <c r="E29" s="371">
        <v>18</v>
      </c>
      <c r="F29" s="371" t="n">
        <v>2311.0</v>
      </c>
      <c r="G29" s="9">
        <f si="1" t="shared"/>
        <v>9.1983385031501903E-3</v>
      </c>
    </row>
    <row r="30" spans="1:7" x14ac:dyDescent="0.25">
      <c r="A30">
        <v>19</v>
      </c>
      <c r="B30" s="6" t="n">
        <v>114.49205282</v>
      </c>
      <c r="C30" s="9">
        <f si="0" t="shared"/>
        <v>5.761512233017354E-4</v>
      </c>
      <c r="E30" s="371">
        <v>19</v>
      </c>
      <c r="F30" s="371" t="n">
        <v>1898.0</v>
      </c>
      <c r="G30" s="9">
        <f si="1" t="shared"/>
        <v>7.0874790255700216E-3</v>
      </c>
    </row>
    <row r="31" spans="1:7" x14ac:dyDescent="0.25">
      <c r="A31">
        <v>20</v>
      </c>
      <c r="B31" s="6" t="n">
        <v>300.1269826337</v>
      </c>
      <c r="C31" s="9">
        <f si="0" t="shared"/>
        <v>1.5103103135212432E-3</v>
      </c>
      <c r="E31" s="371">
        <v>20</v>
      </c>
      <c r="F31" s="371" t="n">
        <v>1397.0</v>
      </c>
      <c r="G31" s="9">
        <f si="1" t="shared"/>
        <v>5.1555059443949523E-3</v>
      </c>
    </row>
    <row r="32" spans="1:7" x14ac:dyDescent="0.25">
      <c r="A32">
        <v>21</v>
      </c>
      <c r="B32" s="6" t="n">
        <v>920.233152728</v>
      </c>
      <c r="C32" s="9">
        <f si="0" t="shared"/>
        <v>4.6308319539051295E-3</v>
      </c>
      <c r="E32" s="371">
        <v>21</v>
      </c>
      <c r="F32" s="371" t="n">
        <v>1100.0</v>
      </c>
      <c r="G32" s="9">
        <f si="1" t="shared"/>
        <v>3.6242383911673053E-3</v>
      </c>
    </row>
    <row r="33" spans="1:7" x14ac:dyDescent="0.25">
      <c r="A33">
        <v>22</v>
      </c>
      <c r="B33" s="6" t="n">
        <v>587.332461473</v>
      </c>
      <c r="C33" s="9">
        <f si="0" t="shared"/>
        <v>2.955596548648627E-3</v>
      </c>
      <c r="E33" s="371">
        <v>22</v>
      </c>
      <c r="F33" s="371" t="n">
        <v>959.0</v>
      </c>
      <c r="G33" s="9">
        <f si="1" t="shared"/>
        <v>3.2521546866446996E-3</v>
      </c>
    </row>
    <row r="34" spans="1:7" x14ac:dyDescent="0.25">
      <c r="A34">
        <v>23</v>
      </c>
      <c r="B34" s="6" t="n">
        <v>6868.907967339001</v>
      </c>
      <c r="C34" s="9">
        <f si="0" t="shared"/>
        <v>3.4565977556112806E-2</v>
      </c>
      <c r="E34" s="371">
        <v>23</v>
      </c>
      <c r="F34" s="371" t="n">
        <v>580.0</v>
      </c>
      <c r="G34" s="9">
        <f si="1" t="shared"/>
        <v>2.3076345136257767E-3</v>
      </c>
    </row>
    <row r="35" spans="1:7" x14ac:dyDescent="0.25">
      <c r="A35">
        <v>24</v>
      </c>
      <c r="B35" s="6" t="n">
        <v>0.0</v>
      </c>
      <c r="C35" s="9">
        <f si="0" t="shared"/>
        <v>0</v>
      </c>
      <c r="E35" s="371">
        <v>24</v>
      </c>
      <c r="F35" s="371" t="n">
        <v>439.0</v>
      </c>
      <c r="G35" s="9">
        <f si="1" t="shared"/>
        <v>1.5384230090838512E-3</v>
      </c>
    </row>
    <row r="36" spans="1:7" x14ac:dyDescent="0.25">
      <c r="A36">
        <v>25</v>
      </c>
      <c r="B36" s="6" t="n">
        <v>985.236238173</v>
      </c>
      <c r="C36" s="9">
        <f si="0" t="shared"/>
        <v>4.9579429303883964E-3</v>
      </c>
      <c r="E36" s="371">
        <v>25</v>
      </c>
      <c r="F36" s="371" t="n">
        <v>321.0</v>
      </c>
      <c r="G36" s="9">
        <f si="1" t="shared"/>
        <v>1.2879820541167126E-3</v>
      </c>
    </row>
    <row r="37" spans="1:7" x14ac:dyDescent="0.25">
      <c r="A37">
        <v>26</v>
      </c>
      <c r="B37" s="6" t="n">
        <v>0.0</v>
      </c>
      <c r="C37" s="9">
        <f si="0" t="shared"/>
        <v>0</v>
      </c>
      <c r="E37" s="371">
        <v>26</v>
      </c>
      <c r="F37" s="371" t="n">
        <v>254.0</v>
      </c>
      <c r="G37" s="9">
        <f si="1" t="shared"/>
        <v>9.0874289373790284E-4</v>
      </c>
    </row>
    <row r="38" spans="1:7" x14ac:dyDescent="0.25">
      <c r="A38">
        <v>27</v>
      </c>
      <c r="B38" s="6" t="n">
        <v>315.18769892</v>
      </c>
      <c r="C38" s="9">
        <f si="0" t="shared"/>
        <v>1.5860994176418075E-3</v>
      </c>
      <c r="E38" s="371">
        <v>27</v>
      </c>
      <c r="F38" s="371" t="n">
        <v>204.0</v>
      </c>
      <c r="G38" s="9">
        <f si="1" t="shared"/>
        <v>7.978333279667414E-4</v>
      </c>
    </row>
    <row r="39" spans="1:7" x14ac:dyDescent="0.25">
      <c r="A39">
        <v>28</v>
      </c>
      <c r="B39" s="6" t="n">
        <v>0.0</v>
      </c>
      <c r="C39" s="9">
        <f si="0" t="shared"/>
        <v>0</v>
      </c>
      <c r="E39" s="371">
        <v>28</v>
      </c>
      <c r="F39" s="371" t="n">
        <v>162.0</v>
      </c>
      <c r="G39" s="9">
        <f si="1" t="shared"/>
        <v>5.5097010092770491E-4</v>
      </c>
    </row>
    <row r="40" spans="1:7" x14ac:dyDescent="0.25">
      <c r="A40">
        <v>29</v>
      </c>
      <c r="B40" s="6" t="n">
        <v>611.974694592</v>
      </c>
      <c r="C40" s="9">
        <f si="0" t="shared"/>
        <v>3.0796021228933252E-3</v>
      </c>
      <c r="E40" s="371">
        <v>29</v>
      </c>
      <c r="F40" s="371" t="n">
        <v>130.0</v>
      </c>
      <c r="G40" s="9">
        <f si="1" t="shared"/>
        <v>5.7243646849631678E-4</v>
      </c>
    </row>
    <row r="41" spans="1:7" x14ac:dyDescent="0.25">
      <c r="A41">
        <v>30</v>
      </c>
      <c r="B41" s="6" t="n">
        <v>5.55375</v>
      </c>
      <c r="C41" s="9">
        <f si="0" t="shared"/>
        <v>2.7947790065766531E-5</v>
      </c>
      <c r="E41" s="371">
        <v>30</v>
      </c>
      <c r="F41" s="371" t="n">
        <v>136.0</v>
      </c>
      <c r="G41" s="9">
        <f si="1" t="shared"/>
        <v>5.1877054957478704E-4</v>
      </c>
    </row>
    <row r="42" spans="1:7" x14ac:dyDescent="0.25">
      <c r="A42">
        <v>31</v>
      </c>
      <c r="B42" s="6" t="n">
        <v>0.0</v>
      </c>
      <c r="C42" s="9">
        <f si="0" t="shared"/>
        <v>0</v>
      </c>
      <c r="E42" s="371">
        <v>31</v>
      </c>
      <c r="F42" s="371" t="n">
        <v>137.0</v>
      </c>
      <c r="G42" s="9">
        <f si="1" t="shared"/>
        <v>4.4006053515654347E-4</v>
      </c>
    </row>
    <row r="43" spans="1:7" x14ac:dyDescent="0.25">
      <c r="A43">
        <v>32</v>
      </c>
      <c r="B43" s="6" t="n">
        <v>0.0</v>
      </c>
      <c r="C43" s="9">
        <f si="0" t="shared"/>
        <v>0</v>
      </c>
      <c r="E43" s="371">
        <v>32</v>
      </c>
      <c r="F43" s="371" t="n">
        <v>90.0</v>
      </c>
      <c r="G43" s="9">
        <f si="1" t="shared"/>
        <v>3.7566143245070785E-4</v>
      </c>
    </row>
    <row r="44" spans="1:7" x14ac:dyDescent="0.25">
      <c r="A44">
        <v>33</v>
      </c>
      <c r="B44" s="6" t="n">
        <v>0.0</v>
      </c>
      <c r="C44" s="9">
        <f si="0" t="shared"/>
        <v>0</v>
      </c>
      <c r="E44" s="371">
        <v>33</v>
      </c>
      <c r="F44" s="371" t="n">
        <v>85.0</v>
      </c>
      <c r="G44" s="9">
        <f si="1" t="shared"/>
        <v>2.7548505046385245E-4</v>
      </c>
    </row>
    <row r="45" spans="1:7" x14ac:dyDescent="0.25">
      <c r="A45">
        <v>34</v>
      </c>
      <c r="B45" s="6" t="n">
        <v>0.0</v>
      </c>
      <c r="C45" s="9">
        <f si="0" t="shared"/>
        <v>0</v>
      </c>
      <c r="E45" s="371">
        <v>34</v>
      </c>
      <c r="F45" s="371" t="n">
        <v>62.0</v>
      </c>
      <c r="G45" s="9">
        <f si="1" t="shared"/>
        <v>2.0750821982991482E-4</v>
      </c>
    </row>
    <row r="46" spans="1:7" x14ac:dyDescent="0.25">
      <c r="A46">
        <v>35</v>
      </c>
      <c r="B46" s="6" t="n">
        <v>0.0</v>
      </c>
      <c r="C46" s="9">
        <f si="0" t="shared"/>
        <v>0</v>
      </c>
      <c r="E46" s="371">
        <v>35</v>
      </c>
      <c r="F46" s="371" t="n">
        <v>52.0</v>
      </c>
      <c r="G46" s="9">
        <f si="1" t="shared"/>
        <v>1.8246412433320095E-4</v>
      </c>
    </row>
    <row r="47" spans="1:7" x14ac:dyDescent="0.25">
      <c r="A47">
        <v>36</v>
      </c>
      <c r="B47" s="6" t="n">
        <v>736.563073278</v>
      </c>
      <c r="C47" s="9">
        <f si="0" t="shared"/>
        <v>3.7065604577392495E-3</v>
      </c>
      <c r="E47" s="371">
        <v>36</v>
      </c>
      <c r="F47" s="371" t="n">
        <v>65.0</v>
      </c>
      <c r="G47" s="9">
        <f si="1" t="shared"/>
        <v>1.9319730811750689E-4</v>
      </c>
    </row>
    <row r="48" spans="1:7" x14ac:dyDescent="0.25">
      <c r="A48">
        <v>37</v>
      </c>
      <c r="B48" s="6" t="n">
        <v>0.0</v>
      </c>
      <c r="C48" s="9">
        <f si="0" t="shared"/>
        <v>0</v>
      </c>
      <c r="E48" s="371">
        <v>37</v>
      </c>
      <c r="F48" s="371" t="n">
        <v>49.0</v>
      </c>
      <c r="G48" s="9">
        <f si="1" t="shared"/>
        <v>2.110859477580168E-4</v>
      </c>
    </row>
    <row r="49" spans="1:7" x14ac:dyDescent="0.25">
      <c r="A49">
        <v>38</v>
      </c>
      <c r="B49" s="6" t="n">
        <v>69.966370625</v>
      </c>
      <c r="C49" s="9">
        <f si="0" t="shared"/>
        <v>3.5208740722774957E-4</v>
      </c>
      <c r="E49" s="371">
        <v>38</v>
      </c>
      <c r="F49" s="371" t="n">
        <v>53.0</v>
      </c>
      <c r="G49" s="9">
        <f si="1" t="shared"/>
        <v>2.2897458739852669E-4</v>
      </c>
    </row>
    <row r="50" spans="1:7" x14ac:dyDescent="0.25">
      <c r="A50">
        <v>39</v>
      </c>
      <c r="B50" s="6" t="n">
        <v>0.0</v>
      </c>
      <c r="C50" s="9">
        <f si="0" t="shared"/>
        <v>0</v>
      </c>
      <c r="E50" s="371">
        <v>39</v>
      </c>
      <c r="F50" s="371" t="n">
        <v>44.0</v>
      </c>
      <c r="G50" s="9">
        <f si="1" t="shared"/>
        <v>1.5026457298028314E-4</v>
      </c>
    </row>
    <row r="51" spans="1:7" x14ac:dyDescent="0.25">
      <c r="A51">
        <v>40</v>
      </c>
      <c r="B51" s="6" t="n">
        <v>336.097862622</v>
      </c>
      <c r="C51" s="9">
        <f si="0" t="shared"/>
        <v>1.6913243315079894E-3</v>
      </c>
      <c r="E51" s="371">
        <v>40</v>
      </c>
      <c r="F51" s="371" t="n">
        <v>38.0</v>
      </c>
      <c r="G51" s="9">
        <f si="1" t="shared"/>
        <v>7.8710014418243546E-5</v>
      </c>
    </row>
    <row r="52" spans="1:7" x14ac:dyDescent="0.25">
      <c r="A52">
        <v>41</v>
      </c>
      <c r="B52" s="6" t="n">
        <v>0.0</v>
      </c>
      <c r="C52" s="9">
        <f si="0" t="shared"/>
        <v>0</v>
      </c>
      <c r="E52" s="371">
        <v>41</v>
      </c>
      <c r="F52" s="371" t="n">
        <v>19.0</v>
      </c>
      <c r="G52" s="9">
        <f si="1" t="shared"/>
        <v>7.5132286490141572E-5</v>
      </c>
    </row>
    <row r="53" spans="1:7" x14ac:dyDescent="0.25">
      <c r="A53">
        <v>42</v>
      </c>
      <c r="B53" s="6" t="n">
        <v>0.0</v>
      </c>
      <c r="C53" s="9">
        <f si="0" t="shared"/>
        <v>0</v>
      </c>
      <c r="E53" s="371">
        <v>42</v>
      </c>
      <c r="F53" s="371" t="n">
        <v>28.0</v>
      </c>
      <c r="G53" s="9">
        <f si="1" t="shared"/>
        <v>7.5132286490141572E-5</v>
      </c>
    </row>
    <row r="54" spans="1:7" x14ac:dyDescent="0.25">
      <c r="A54">
        <v>43</v>
      </c>
      <c r="B54" s="6" t="n">
        <v>0.0</v>
      </c>
      <c r="C54" s="9">
        <f si="0" t="shared"/>
        <v>0</v>
      </c>
      <c r="E54" s="371">
        <v>43</v>
      </c>
      <c r="F54" s="371" t="n">
        <v>11.0</v>
      </c>
      <c r="G54" s="9">
        <f si="1" t="shared"/>
        <v>7.5132286490141572E-5</v>
      </c>
    </row>
    <row r="55" spans="1:7" x14ac:dyDescent="0.25">
      <c r="A55">
        <v>44</v>
      </c>
      <c r="B55" s="6" t="n">
        <v>0.0</v>
      </c>
      <c r="C55" s="9">
        <f si="0" t="shared"/>
        <v>0</v>
      </c>
      <c r="E55" s="371">
        <v>44</v>
      </c>
      <c r="F55" s="371" t="n">
        <v>10.0</v>
      </c>
      <c r="G55" s="9">
        <f si="1" t="shared"/>
        <v>5.0088190993427717E-5</v>
      </c>
    </row>
    <row r="56" spans="1:7" x14ac:dyDescent="0.25">
      <c r="A56">
        <v>45</v>
      </c>
      <c r="B56" s="6" t="n">
        <v>0.0</v>
      </c>
      <c r="C56" s="9">
        <f si="0" t="shared"/>
        <v>0</v>
      </c>
      <c r="E56" s="371">
        <v>45</v>
      </c>
      <c r="F56" s="371" t="n">
        <v>11.0</v>
      </c>
      <c r="G56" s="9">
        <f si="1" t="shared"/>
        <v>4.6510463065325736E-5</v>
      </c>
    </row>
    <row r="57" spans="1:7" x14ac:dyDescent="0.25">
      <c r="A57">
        <v>46</v>
      </c>
      <c r="B57" s="6" t="n">
        <v>0.0</v>
      </c>
      <c r="C57" s="9">
        <f si="0" t="shared"/>
        <v>0</v>
      </c>
      <c r="E57" s="371">
        <v>46</v>
      </c>
      <c r="F57" s="371" t="n">
        <v>10.0</v>
      </c>
      <c r="G57" s="9">
        <f si="1" t="shared"/>
        <v>1.7888639640509899E-5</v>
      </c>
    </row>
    <row r="58" spans="1:7" x14ac:dyDescent="0.25">
      <c r="A58">
        <v>47</v>
      </c>
      <c r="B58" s="6" t="n">
        <v>0.0</v>
      </c>
      <c r="C58" s="9">
        <f si="0" t="shared"/>
        <v>0</v>
      </c>
      <c r="E58" s="371">
        <v>47</v>
      </c>
      <c r="F58" s="371" t="n">
        <v>8.0</v>
      </c>
      <c r="G58" s="9">
        <f si="1" t="shared"/>
        <v>1.7888639640509899E-5</v>
      </c>
    </row>
    <row r="59" spans="1:7" x14ac:dyDescent="0.25">
      <c r="A59">
        <v>48</v>
      </c>
      <c r="B59" s="6" t="n">
        <v>0.0</v>
      </c>
      <c r="C59" s="9">
        <f si="0" t="shared"/>
        <v>0</v>
      </c>
      <c r="E59" s="371">
        <v>48</v>
      </c>
      <c r="F59" s="371" t="n">
        <v>3.0</v>
      </c>
      <c r="G59" s="9">
        <f si="1" t="shared"/>
        <v>2.8621823424815836E-5</v>
      </c>
    </row>
    <row r="60" spans="1:7" x14ac:dyDescent="0.25">
      <c r="A60">
        <v>49</v>
      </c>
      <c r="B60" s="6" t="n">
        <v>667.99538554</v>
      </c>
      <c r="C60" s="9">
        <f si="0" t="shared"/>
        <v>3.3615115552505419E-3</v>
      </c>
      <c r="E60" s="371">
        <v>49</v>
      </c>
      <c r="F60" s="371" t="n">
        <v>7.0</v>
      </c>
      <c r="G60" s="9">
        <f si="1" t="shared"/>
        <v>7.1554558562039591E-6</v>
      </c>
    </row>
    <row r="61" spans="1:7" x14ac:dyDescent="0.25">
      <c r="A61">
        <v>50</v>
      </c>
      <c r="B61" s="6" t="n">
        <v>0.0</v>
      </c>
      <c r="C61" s="9">
        <f si="0" t="shared"/>
        <v>0</v>
      </c>
      <c r="E61" s="371">
        <v>50</v>
      </c>
      <c r="F61" s="371" t="n">
        <v>1.0</v>
      </c>
      <c r="G61" s="9">
        <f si="1" t="shared"/>
        <v>7.1554558562039591E-6</v>
      </c>
    </row>
    <row r="62" spans="1:7" x14ac:dyDescent="0.25">
      <c r="A62">
        <v>51</v>
      </c>
      <c r="B62" s="6" t="n">
        <v>0.0</v>
      </c>
      <c r="C62" s="9">
        <f si="0" t="shared"/>
        <v>0</v>
      </c>
      <c r="E62" s="371">
        <v>51</v>
      </c>
      <c r="F62" s="371" t="n">
        <v>2.0</v>
      </c>
      <c r="G62" s="9">
        <f si="1" t="shared"/>
        <v>3.5777279281019795E-6</v>
      </c>
    </row>
    <row r="63" spans="1:7" x14ac:dyDescent="0.25">
      <c r="A63">
        <v>52</v>
      </c>
      <c r="B63" s="6" t="n">
        <v>0.0</v>
      </c>
      <c r="C63" s="9">
        <f si="0" t="shared"/>
        <v>0</v>
      </c>
      <c r="E63" s="371">
        <v>52</v>
      </c>
      <c r="F63" s="371" t="n">
        <v>5.0</v>
      </c>
      <c r="G63" s="9">
        <f si="1" t="shared"/>
        <v>0</v>
      </c>
    </row>
    <row r="64" spans="1:7" x14ac:dyDescent="0.25">
      <c r="A64">
        <v>53</v>
      </c>
      <c r="B64" s="6" t="n">
        <v>0.0</v>
      </c>
      <c r="C64" s="9">
        <f si="0" t="shared"/>
        <v>0</v>
      </c>
      <c r="E64" s="371">
        <v>53</v>
      </c>
      <c r="F64" s="371" t="n">
        <v>2.0</v>
      </c>
      <c r="G64" s="9">
        <f si="1" t="shared"/>
        <v>3.5777279281019795E-6</v>
      </c>
    </row>
    <row r="65" spans="1:7" x14ac:dyDescent="0.25">
      <c r="A65">
        <v>54</v>
      </c>
      <c r="B65" s="6" t="n">
        <v>0.0</v>
      </c>
      <c r="C65" s="9">
        <f si="0" t="shared"/>
        <v>0</v>
      </c>
      <c r="E65" s="371">
        <v>54</v>
      </c>
      <c r="F65" s="371" t="n">
        <v>0.0</v>
      </c>
      <c r="G65" s="9">
        <f si="1" t="shared"/>
        <v>3.5777279281019795E-6</v>
      </c>
    </row>
    <row r="66" spans="1:7" x14ac:dyDescent="0.2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0.0</v>
      </c>
      <c r="G66" s="9">
        <f si="1" t="shared"/>
        <v>7.1554558562039591E-6</v>
      </c>
    </row>
    <row r="67" spans="1:7" x14ac:dyDescent="0.25">
      <c r="A67">
        <v>56</v>
      </c>
      <c r="B67" s="6" t="n">
        <v>0.0</v>
      </c>
      <c r="C67" s="9">
        <f si="0" t="shared"/>
        <v>0</v>
      </c>
      <c r="E67" s="371">
        <v>56</v>
      </c>
      <c r="F67" s="371" t="n">
        <v>0.0</v>
      </c>
      <c r="G67" s="9">
        <f si="1" t="shared"/>
        <v>3.5777279281019795E-6</v>
      </c>
    </row>
    <row r="68" spans="1:7" x14ac:dyDescent="0.2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0.0</v>
      </c>
      <c r="G68" s="9">
        <f si="1" t="shared"/>
        <v>0</v>
      </c>
    </row>
    <row r="69" spans="1:7" x14ac:dyDescent="0.2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1.0</v>
      </c>
      <c r="G69" s="9">
        <f si="1" t="shared"/>
        <v>0</v>
      </c>
    </row>
    <row r="70" spans="1:7" x14ac:dyDescent="0.25">
      <c r="A70">
        <v>59</v>
      </c>
      <c r="B70" s="6" t="n">
        <v>0.0</v>
      </c>
      <c r="C70" s="9">
        <f si="0" t="shared"/>
        <v>0</v>
      </c>
      <c r="E70" s="371">
        <v>59</v>
      </c>
      <c r="F70" s="371" t="n">
        <v>0.0</v>
      </c>
      <c r="G70" s="9">
        <f si="1" t="shared"/>
        <v>0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0.0</v>
      </c>
      <c r="G71" s="9">
        <f si="1" t="shared"/>
        <v>0</v>
      </c>
    </row>
    <row r="72" spans="1:7" x14ac:dyDescent="0.2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1.0</v>
      </c>
      <c r="G72" s="9">
        <f si="1" t="shared"/>
        <v>3.5777279281019795E-6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0.0</v>
      </c>
      <c r="G73" s="9">
        <f si="1" t="shared"/>
        <v>3.5777279281019795E-6</v>
      </c>
    </row>
    <row r="74" spans="1:7" x14ac:dyDescent="0.2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0.0</v>
      </c>
      <c r="G74" s="9">
        <f si="1" t="shared"/>
        <v>0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0.0</v>
      </c>
      <c r="G75" s="9">
        <f si="1" t="shared"/>
        <v>0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0.0</v>
      </c>
      <c r="G76" s="9">
        <f si="1" t="shared"/>
        <v>0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0.0</v>
      </c>
      <c r="G77" s="9">
        <f ref="G77:G102" si="3" t="shared">F77/F$102</f>
        <v>0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1.0</v>
      </c>
      <c r="G78" s="9">
        <f si="3" t="shared"/>
        <v>0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0.0</v>
      </c>
      <c r="G79" s="9">
        <f si="3" t="shared"/>
        <v>0</v>
      </c>
    </row>
    <row r="80" spans="1:7" x14ac:dyDescent="0.2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0.0</v>
      </c>
      <c r="G80" s="9">
        <f si="3" t="shared"/>
        <v>0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0.0</v>
      </c>
      <c r="G81" s="9">
        <f si="3" t="shared"/>
        <v>0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0.0</v>
      </c>
      <c r="G82" s="9">
        <f si="3" t="shared"/>
        <v>0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0.0</v>
      </c>
      <c r="G83" s="9">
        <f si="3" t="shared"/>
        <v>3.5777279281019795E-6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0.0</v>
      </c>
      <c r="G84" s="9">
        <f si="3" t="shared"/>
        <v>0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0.0</v>
      </c>
      <c r="G85" s="9">
        <f si="3" t="shared"/>
        <v>0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0.0</v>
      </c>
      <c r="G86" s="9">
        <f si="3" t="shared"/>
        <v>0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0.0</v>
      </c>
      <c r="G87" s="9">
        <f si="3" t="shared"/>
        <v>0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0.0</v>
      </c>
      <c r="G88" s="9">
        <f si="3" t="shared"/>
        <v>0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0.0</v>
      </c>
      <c r="G89" s="9">
        <f si="3" t="shared"/>
        <v>0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0.0</v>
      </c>
      <c r="G90" s="9">
        <f si="3" t="shared"/>
        <v>0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0.0</v>
      </c>
      <c r="G91" s="9">
        <f si="3" t="shared"/>
        <v>0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0.0</v>
      </c>
      <c r="G92" s="9">
        <f si="3" t="shared"/>
        <v>0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0.0</v>
      </c>
      <c r="G93" s="9">
        <f si="3" t="shared"/>
        <v>0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0.0</v>
      </c>
      <c r="G94" s="9">
        <f si="3" t="shared"/>
        <v>0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0.0</v>
      </c>
      <c r="G95" s="9">
        <f si="3" t="shared"/>
        <v>0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0.0</v>
      </c>
      <c r="G96" s="9">
        <f si="3" t="shared"/>
        <v>0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0.0</v>
      </c>
      <c r="G97" s="9">
        <f si="3" t="shared"/>
        <v>0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0.0</v>
      </c>
      <c r="G98" s="9">
        <f si="3" t="shared"/>
        <v>0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0.0</v>
      </c>
      <c r="G99" s="9">
        <f si="3" t="shared"/>
        <v>0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0.0</v>
      </c>
      <c r="G100" s="9">
        <f si="3" t="shared"/>
        <v>0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0.0</v>
      </c>
      <c r="G101" s="9">
        <f si="3" t="shared"/>
        <v>0</v>
      </c>
    </row>
    <row r="102" spans="1:7" x14ac:dyDescent="0.25">
      <c r="B102" s="6">
        <f>SUM(B11:B101)</f>
        <v>198718.75332292667</v>
      </c>
      <c r="C102" s="9">
        <f si="2" t="shared"/>
        <v>1</v>
      </c>
      <c r="F102" s="6">
        <f>SUM(F11:F101)</f>
        <v>279507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1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M102"/>
  <sheetViews>
    <sheetView workbookViewId="0">
      <selection activeCell="H24" sqref="H24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368.29925</v>
      </c>
      <c r="C11" s="9">
        <f>B11/B$102</f>
        <v>1.8533693667124485E-3</v>
      </c>
      <c r="E11" s="371">
        <v>0</v>
      </c>
      <c r="F11" s="371" t="n">
        <v>753.0</v>
      </c>
      <c r="G11" s="9">
        <f>F11/F$102</f>
        <v>2.8335605190567678E-3</v>
      </c>
      <c r="K11" s="6" t="n">
        <v>18.335191812547684</v>
      </c>
      <c r="L11" s="6" t="n">
        <v>22.747343019705003</v>
      </c>
    </row>
    <row r="12" spans="1:12" x14ac:dyDescent="0.25">
      <c r="A12">
        <v>1</v>
      </c>
      <c r="B12" s="6" t="n">
        <v>2411.760922769</v>
      </c>
      <c r="C12" s="9">
        <f>B12/B$102</f>
        <v>1.2136554212625229E-2</v>
      </c>
      <c r="E12" s="371">
        <v>1</v>
      </c>
      <c r="F12" s="371" t="n">
        <v>3267.0</v>
      </c>
      <c r="G12" s="9">
        <f>F12/F$102</f>
        <v>1.1516706200560271E-2</v>
      </c>
      <c r="K12" s="6"/>
      <c r="L12" s="371"/>
    </row>
    <row r="13" spans="1:12" x14ac:dyDescent="0.25">
      <c r="A13">
        <v>2</v>
      </c>
      <c r="B13" s="6" t="n">
        <v>3565.0701195009997</v>
      </c>
      <c r="C13" s="9">
        <f ref="C13:C76" si="0" t="shared">B13/B$102</f>
        <v>1.7940280219590567E-2</v>
      </c>
      <c r="E13" s="371">
        <v>2</v>
      </c>
      <c r="F13" s="371" t="n">
        <v>4189.0</v>
      </c>
      <c r="G13" s="9">
        <f ref="G13:G76" si="1" t="shared">F13/F$102</f>
        <v>1.4890503636760439E-2</v>
      </c>
    </row>
    <row r="14" spans="1:12" x14ac:dyDescent="0.25">
      <c r="A14">
        <v>3</v>
      </c>
      <c r="B14" s="6" t="n">
        <v>6524.4683707464</v>
      </c>
      <c r="C14" s="9">
        <f si="0" t="shared"/>
        <v>3.2832675636525616E-2</v>
      </c>
      <c r="E14" s="371">
        <v>3</v>
      </c>
      <c r="F14" s="371" t="n">
        <v>6262.0</v>
      </c>
      <c r="G14" s="9">
        <f si="1" t="shared"/>
        <v>2.1974404934402357E-2</v>
      </c>
    </row>
    <row r="15" spans="1:12" x14ac:dyDescent="0.25">
      <c r="A15">
        <v>4</v>
      </c>
      <c r="B15" s="6" t="n">
        <v>13138.2298090838</v>
      </c>
      <c r="C15" s="9">
        <f si="0" t="shared"/>
        <v>6.6114695213156841E-2</v>
      </c>
      <c r="E15" s="371">
        <v>4</v>
      </c>
      <c r="F15" s="371" t="n">
        <v>7937.0</v>
      </c>
      <c r="G15" s="9">
        <f si="1" t="shared"/>
        <v>2.8954552122129322E-2</v>
      </c>
    </row>
    <row r="16" spans="1:12" x14ac:dyDescent="0.25">
      <c r="A16">
        <v>5</v>
      </c>
      <c r="B16" s="6" t="n">
        <v>7252.3299823002</v>
      </c>
      <c r="C16" s="9">
        <f si="0" t="shared"/>
        <v>3.6495448270626195E-2</v>
      </c>
      <c r="E16" s="371">
        <v>5</v>
      </c>
      <c r="F16" s="371" t="n">
        <v>9513.0</v>
      </c>
      <c r="G16" s="9">
        <f si="1" t="shared"/>
        <v>3.36127538845181E-2</v>
      </c>
    </row>
    <row r="17" spans="1:7" x14ac:dyDescent="0.25">
      <c r="A17">
        <v>6</v>
      </c>
      <c r="B17" s="6" t="n">
        <v>14929.974005296</v>
      </c>
      <c r="C17" s="9">
        <f si="0" t="shared"/>
        <v>7.5131177886538641E-2</v>
      </c>
      <c r="E17" s="371">
        <v>6</v>
      </c>
      <c r="F17" s="371" t="n">
        <v>10277.0</v>
      </c>
      <c r="G17" s="9">
        <f si="1" t="shared"/>
        <v>3.7430189583802911E-2</v>
      </c>
    </row>
    <row r="18" spans="1:7" x14ac:dyDescent="0.25">
      <c r="A18">
        <v>7</v>
      </c>
      <c r="B18" s="6" t="n">
        <v>17615.716951318802</v>
      </c>
      <c r="C18" s="9">
        <f si="0" t="shared"/>
        <v>8.864647476271395E-2</v>
      </c>
      <c r="E18" s="371">
        <v>7</v>
      </c>
      <c r="F18" s="371" t="n">
        <v>12245.0</v>
      </c>
      <c r="G18" s="9">
        <f si="1" t="shared"/>
        <v>4.3301241113818258E-2</v>
      </c>
    </row>
    <row r="19" spans="1:7" x14ac:dyDescent="0.25">
      <c r="A19">
        <v>8</v>
      </c>
      <c r="B19" s="6" t="n">
        <v>13205.7269029522</v>
      </c>
      <c r="C19" s="9">
        <f si="0" t="shared"/>
        <v>6.6454356632825243E-2</v>
      </c>
      <c r="E19" s="371">
        <v>8</v>
      </c>
      <c r="F19" s="371" t="n">
        <v>12791.0</v>
      </c>
      <c r="G19" s="9">
        <f si="1" t="shared"/>
        <v>4.6360198492345454E-2</v>
      </c>
    </row>
    <row r="20" spans="1:7" x14ac:dyDescent="0.25">
      <c r="A20">
        <v>9</v>
      </c>
      <c r="B20" s="6" t="n">
        <v>16082.4600236323</v>
      </c>
      <c r="C20" s="9">
        <f si="0" t="shared"/>
        <v>8.0930761464156301E-2</v>
      </c>
      <c r="E20" s="371">
        <v>9</v>
      </c>
      <c r="F20" s="371" t="n">
        <v>12102.0</v>
      </c>
      <c r="G20" s="9">
        <f si="1" t="shared"/>
        <v>4.341572840751752E-2</v>
      </c>
    </row>
    <row r="21" spans="1:7" x14ac:dyDescent="0.25">
      <c r="A21">
        <v>10</v>
      </c>
      <c r="B21" s="6" t="n">
        <v>7237.817845462</v>
      </c>
      <c r="C21" s="9">
        <f si="0" t="shared"/>
        <v>3.6422419748679817E-2</v>
      </c>
      <c r="E21" s="371">
        <v>10</v>
      </c>
      <c r="F21" s="371" t="n">
        <v>11852.0</v>
      </c>
      <c r="G21" s="9">
        <f si="1" t="shared"/>
        <v>4.2542762793060636E-2</v>
      </c>
    </row>
    <row r="22" spans="1:7" x14ac:dyDescent="0.25">
      <c r="A22">
        <v>11</v>
      </c>
      <c r="B22" s="6" t="n">
        <v>2407.874971086</v>
      </c>
      <c r="C22" s="9">
        <f si="0" t="shared"/>
        <v>1.2116999180108065E-2</v>
      </c>
      <c r="E22" s="371">
        <v>11</v>
      </c>
      <c r="F22" s="371" t="n">
        <v>10632.0</v>
      </c>
      <c r="G22" s="9">
        <f si="1" t="shared"/>
        <v>3.7759340553188289E-2</v>
      </c>
    </row>
    <row r="23" spans="1:7" x14ac:dyDescent="0.25">
      <c r="A23">
        <v>12</v>
      </c>
      <c r="B23" s="6" t="n">
        <v>4731.0028989926</v>
      </c>
      <c r="C23" s="9">
        <f si="0" t="shared"/>
        <v>2.3807531095490077E-2</v>
      </c>
      <c r="E23" s="371">
        <v>12</v>
      </c>
      <c r="F23" s="371" t="n">
        <v>9597.0</v>
      </c>
      <c r="G23" s="9">
        <f si="1" t="shared"/>
        <v>3.5745079729666875E-2</v>
      </c>
    </row>
    <row r="24" spans="1:7" x14ac:dyDescent="0.25">
      <c r="A24">
        <v>13</v>
      </c>
      <c r="B24" s="6" t="n">
        <v>2312.596078701</v>
      </c>
      <c r="C24" s="9">
        <f si="0" t="shared"/>
        <v>1.163753314687381E-2</v>
      </c>
      <c r="E24" s="371">
        <v>13</v>
      </c>
      <c r="F24" s="371" t="n">
        <v>7489.0</v>
      </c>
      <c r="G24" s="9">
        <f si="1" t="shared"/>
        <v>2.741612911304547E-2</v>
      </c>
    </row>
    <row r="25" spans="1:7" x14ac:dyDescent="0.25">
      <c r="A25">
        <v>14</v>
      </c>
      <c r="B25" s="6" t="n">
        <v>2926.824793461</v>
      </c>
      <c r="C25" s="9">
        <f si="0" t="shared"/>
        <v>1.4728478035008506E-2</v>
      </c>
      <c r="E25" s="371">
        <v>14</v>
      </c>
      <c r="F25" s="371" t="n">
        <v>6213.0</v>
      </c>
      <c r="G25" s="9">
        <f si="1" t="shared"/>
        <v>2.2045959492964399E-2</v>
      </c>
    </row>
    <row r="26" spans="1:7" x14ac:dyDescent="0.25">
      <c r="A26">
        <v>15</v>
      </c>
      <c r="B26" s="6" t="n">
        <v>4787.623131349</v>
      </c>
      <c r="C26" s="9">
        <f si="0" t="shared"/>
        <v>2.409245756271881E-2</v>
      </c>
      <c r="E26" s="371">
        <v>15</v>
      </c>
      <c r="F26" s="371" t="n">
        <v>8010.0</v>
      </c>
      <c r="G26" s="9">
        <f si="1" t="shared"/>
        <v>2.888299756356728E-2</v>
      </c>
    </row>
    <row r="27" spans="1:7" x14ac:dyDescent="0.25">
      <c r="A27">
        <v>16</v>
      </c>
      <c r="B27" s="6" t="n">
        <v>2791.044729807</v>
      </c>
      <c r="C27" s="9">
        <f si="0" t="shared"/>
        <v>1.4045200481262225E-2</v>
      </c>
      <c r="E27" s="371">
        <v>16</v>
      </c>
      <c r="F27" s="371" t="n">
        <v>8980.0</v>
      </c>
      <c r="G27" s="9">
        <f si="1" t="shared"/>
        <v>3.2571635057440422E-2</v>
      </c>
    </row>
    <row r="28" spans="1:7" x14ac:dyDescent="0.25">
      <c r="A28">
        <v>17</v>
      </c>
      <c r="B28" s="6" t="n">
        <v>2040.3149839865998</v>
      </c>
      <c r="C28" s="9">
        <f si="0" t="shared"/>
        <v>1.0267349960026158E-2</v>
      </c>
      <c r="E28" s="371">
        <v>17</v>
      </c>
      <c r="F28" s="371" t="n">
        <v>8780.0</v>
      </c>
      <c r="G28" s="9">
        <f si="1" t="shared"/>
        <v>3.1902599934885353E-2</v>
      </c>
    </row>
    <row r="29" spans="1:7" x14ac:dyDescent="0.25">
      <c r="A29">
        <v>18</v>
      </c>
      <c r="B29" s="6" t="n">
        <v>7805.3347091348</v>
      </c>
      <c r="C29" s="9">
        <f si="0" t="shared"/>
        <v>3.9278299499246487E-2</v>
      </c>
      <c r="E29" s="371">
        <v>18</v>
      </c>
      <c r="F29" s="371" t="n">
        <v>8622.0</v>
      </c>
      <c r="G29" s="9">
        <f si="1" t="shared"/>
        <v>3.1519783046578438E-2</v>
      </c>
    </row>
    <row r="30" spans="1:7" x14ac:dyDescent="0.25">
      <c r="A30">
        <v>19</v>
      </c>
      <c r="B30" s="6" t="n">
        <v>5380.3779327574</v>
      </c>
      <c r="C30" s="9">
        <f si="0" t="shared"/>
        <v>2.7075340614753401E-2</v>
      </c>
      <c r="E30" s="371">
        <v>19</v>
      </c>
      <c r="F30" s="371" t="n">
        <v>8640.0</v>
      </c>
      <c r="G30" s="9">
        <f si="1" t="shared"/>
        <v>3.003502595641612E-2</v>
      </c>
    </row>
    <row r="31" spans="1:7" x14ac:dyDescent="0.25">
      <c r="A31">
        <v>20</v>
      </c>
      <c r="B31" s="6" t="n">
        <v>3223.676783582</v>
      </c>
      <c r="C31" s="9">
        <f si="0" t="shared"/>
        <v>1.6222307807775862E-2</v>
      </c>
      <c r="E31" s="371">
        <v>20</v>
      </c>
      <c r="F31" s="371" t="n">
        <v>7169.0</v>
      </c>
      <c r="G31" s="9">
        <f si="1" t="shared"/>
        <v>2.6099525235503941E-2</v>
      </c>
    </row>
    <row r="32" spans="1:7" x14ac:dyDescent="0.25">
      <c r="A32">
        <v>21</v>
      </c>
      <c r="B32" s="6" t="n">
        <v>3416.4324801732</v>
      </c>
      <c r="C32" s="9">
        <f si="0" t="shared"/>
        <v>1.7192300288948303E-2</v>
      </c>
      <c r="E32" s="371">
        <v>21</v>
      </c>
      <c r="F32" s="371" t="n">
        <v>7583.0</v>
      </c>
      <c r="G32" s="9">
        <f si="1" t="shared"/>
        <v>2.6432253932817423E-2</v>
      </c>
    </row>
    <row r="33" spans="1:7" x14ac:dyDescent="0.25">
      <c r="A33">
        <v>22</v>
      </c>
      <c r="B33" s="6" t="n">
        <v>1142.1005758004</v>
      </c>
      <c r="C33" s="9">
        <f si="0" t="shared"/>
        <v>5.7473215622706542E-3</v>
      </c>
      <c r="E33" s="371">
        <v>22</v>
      </c>
      <c r="F33" s="371" t="n">
        <v>7317.0</v>
      </c>
      <c r="G33" s="9">
        <f si="1" t="shared"/>
        <v>2.6131724786856859E-2</v>
      </c>
    </row>
    <row r="34" spans="1:7" x14ac:dyDescent="0.25">
      <c r="A34">
        <v>23</v>
      </c>
      <c r="B34" s="6" t="n">
        <v>1367.242138795</v>
      </c>
      <c r="C34" s="9">
        <f si="0" t="shared"/>
        <v>6.8802874209520195E-3</v>
      </c>
      <c r="E34" s="371">
        <v>23</v>
      </c>
      <c r="F34" s="371" t="n">
        <v>6920.0</v>
      </c>
      <c r="G34" s="9">
        <f si="1" t="shared"/>
        <v>2.3487783847989496E-2</v>
      </c>
    </row>
    <row r="35" spans="1:7" x14ac:dyDescent="0.25">
      <c r="A35">
        <v>24</v>
      </c>
      <c r="B35" s="6" t="n">
        <v>1050.2164423473</v>
      </c>
      <c r="C35" s="9">
        <f si="0" t="shared"/>
        <v>5.2849387628788715E-3</v>
      </c>
      <c r="E35" s="371">
        <v>24</v>
      </c>
      <c r="F35" s="371" t="n">
        <v>5705.0</v>
      </c>
      <c r="G35" s="9">
        <f si="1" t="shared"/>
        <v>2.1069239768592558E-2</v>
      </c>
    </row>
    <row r="36" spans="1:7" x14ac:dyDescent="0.25">
      <c r="A36">
        <v>25</v>
      </c>
      <c r="B36" s="6" t="n">
        <v>1969.1016206259999</v>
      </c>
      <c r="C36" s="9">
        <f si="0" t="shared"/>
        <v>9.9089873889563057E-3</v>
      </c>
      <c r="E36" s="371">
        <v>25</v>
      </c>
      <c r="F36" s="371" t="n">
        <v>5780.0</v>
      </c>
      <c r="G36" s="9">
        <f si="1" t="shared"/>
        <v>2.2643440056957429E-2</v>
      </c>
    </row>
    <row r="37" spans="1:7" x14ac:dyDescent="0.25">
      <c r="A37">
        <v>26</v>
      </c>
      <c r="B37" s="6" t="n">
        <v>3530.24631584</v>
      </c>
      <c r="C37" s="9">
        <f si="0" t="shared"/>
        <v>1.7765038562330322E-2</v>
      </c>
      <c r="E37" s="371">
        <v>26</v>
      </c>
      <c r="F37" s="371" t="n">
        <v>5113.0</v>
      </c>
      <c r="G37" s="9">
        <f si="1" t="shared"/>
        <v>1.8300078352241626E-2</v>
      </c>
    </row>
    <row r="38" spans="1:7" x14ac:dyDescent="0.25">
      <c r="A38">
        <v>27</v>
      </c>
      <c r="B38" s="6" t="n">
        <v>1078.0509626835</v>
      </c>
      <c r="C38" s="9">
        <f si="0" t="shared"/>
        <v>5.425008685172354E-3</v>
      </c>
      <c r="E38" s="371">
        <v>27</v>
      </c>
      <c r="F38" s="371" t="n">
        <v>4872.0</v>
      </c>
      <c r="G38" s="9">
        <f si="1" t="shared"/>
        <v>1.7498667296346783E-2</v>
      </c>
    </row>
    <row r="39" spans="1:7" x14ac:dyDescent="0.25">
      <c r="A39">
        <v>28</v>
      </c>
      <c r="B39" s="6" t="n">
        <v>1260.441340047</v>
      </c>
      <c r="C39" s="9">
        <f si="0" t="shared"/>
        <v>6.3428404162677457E-3</v>
      </c>
      <c r="E39" s="371">
        <v>28</v>
      </c>
      <c r="F39" s="371" t="n">
        <v>4843.0</v>
      </c>
      <c r="G39" s="9">
        <f si="1" t="shared"/>
        <v>1.9895745008175109E-2</v>
      </c>
    </row>
    <row r="40" spans="1:7" x14ac:dyDescent="0.25">
      <c r="A40">
        <v>29</v>
      </c>
      <c r="B40" s="6" t="n">
        <v>4465.172615655</v>
      </c>
      <c r="C40" s="9">
        <f si="0" t="shared"/>
        <v>2.2469809924777949E-2</v>
      </c>
      <c r="E40" s="371">
        <v>29</v>
      </c>
      <c r="F40" s="371" t="n">
        <v>3923.0</v>
      </c>
      <c r="G40" s="9">
        <f si="1" t="shared"/>
        <v>1.4922703188113357E-2</v>
      </c>
    </row>
    <row r="41" spans="1:7" x14ac:dyDescent="0.25">
      <c r="A41">
        <v>30</v>
      </c>
      <c r="B41" s="6" t="n">
        <v>1962.4915236000002</v>
      </c>
      <c r="C41" s="9">
        <f si="0" t="shared"/>
        <v>9.8757238095735483E-3</v>
      </c>
      <c r="E41" s="371">
        <v>30</v>
      </c>
      <c r="F41" s="371" t="n">
        <v>3431.0</v>
      </c>
      <c r="G41" s="9">
        <f si="1" t="shared"/>
        <v>1.2793955070892678E-2</v>
      </c>
    </row>
    <row r="42" spans="1:7" x14ac:dyDescent="0.25">
      <c r="A42">
        <v>31</v>
      </c>
      <c r="B42" s="6" t="n">
        <v>1724.198910251</v>
      </c>
      <c r="C42" s="9">
        <f si="0" t="shared"/>
        <v>8.6765787396476911E-3</v>
      </c>
      <c r="E42" s="371">
        <v>31</v>
      </c>
      <c r="F42" s="371" t="n">
        <v>3113.0</v>
      </c>
      <c r="G42" s="9">
        <f si="1" t="shared"/>
        <v>1.1581105303266108E-2</v>
      </c>
    </row>
    <row r="43" spans="1:7" x14ac:dyDescent="0.25">
      <c r="A43">
        <v>32</v>
      </c>
      <c r="B43" s="6" t="n">
        <v>6283.679861881</v>
      </c>
      <c r="C43" s="9">
        <f si="0" t="shared"/>
        <v>3.1620970627114109E-2</v>
      </c>
      <c r="E43" s="371">
        <v>32</v>
      </c>
      <c r="F43" s="371" t="n">
        <v>2872.0</v>
      </c>
      <c r="G43" s="9">
        <f si="1" t="shared"/>
        <v>1.0142858676169111E-2</v>
      </c>
    </row>
    <row r="44" spans="1:7" x14ac:dyDescent="0.25">
      <c r="A44">
        <v>33</v>
      </c>
      <c r="B44" s="6" t="n">
        <v>888.0753137720001</v>
      </c>
      <c r="C44" s="9">
        <f si="0" t="shared"/>
        <v>4.4690060647111576E-3</v>
      </c>
      <c r="E44" s="371">
        <v>33</v>
      </c>
      <c r="F44" s="371" t="n">
        <v>2732.0</v>
      </c>
      <c r="G44" s="9">
        <f si="1" t="shared"/>
        <v>9.5310672004636741E-3</v>
      </c>
    </row>
    <row r="45" spans="1:7" x14ac:dyDescent="0.25">
      <c r="A45">
        <v>34</v>
      </c>
      <c r="B45" s="6" t="n">
        <v>827.9237001710001</v>
      </c>
      <c r="C45" s="9">
        <f si="0" t="shared"/>
        <v>4.166308847688812E-3</v>
      </c>
      <c r="E45" s="371">
        <v>34</v>
      </c>
      <c r="F45" s="371" t="n">
        <v>2126.0</v>
      </c>
      <c r="G45" s="9">
        <f si="1" t="shared"/>
        <v>7.8352241625433347E-3</v>
      </c>
    </row>
    <row r="46" spans="1:7" x14ac:dyDescent="0.25">
      <c r="A46">
        <v>35</v>
      </c>
      <c r="B46" s="6" t="n">
        <v>579.566932155</v>
      </c>
      <c r="C46" s="9">
        <f si="0" t="shared"/>
        <v>2.9165185593388772E-3</v>
      </c>
      <c r="E46" s="371">
        <v>35</v>
      </c>
      <c r="F46" s="371" t="n">
        <v>2008.0</v>
      </c>
      <c r="G46" s="9">
        <f si="1" t="shared"/>
        <v>7.4595627300926273E-3</v>
      </c>
    </row>
    <row r="47" spans="1:7" x14ac:dyDescent="0.25">
      <c r="A47">
        <v>36</v>
      </c>
      <c r="B47" s="6" t="n">
        <v>1837.943988124</v>
      </c>
      <c r="C47" s="9">
        <f si="0" t="shared"/>
        <v>9.2489710074683297E-3</v>
      </c>
      <c r="E47" s="371">
        <v>36</v>
      </c>
      <c r="F47" s="371" t="n">
        <v>1536.0</v>
      </c>
      <c r="G47" s="9">
        <f si="1" t="shared"/>
        <v>5.8531628903748384E-3</v>
      </c>
    </row>
    <row r="48" spans="1:7" x14ac:dyDescent="0.25">
      <c r="A48">
        <v>37</v>
      </c>
      <c r="B48" s="6" t="n">
        <v>2634.421708174</v>
      </c>
      <c r="C48" s="9">
        <f si="0" t="shared"/>
        <v>1.3257036208821965E-2</v>
      </c>
      <c r="E48" s="371">
        <v>37</v>
      </c>
      <c r="F48" s="371" t="n">
        <v>1423.0</v>
      </c>
      <c r="G48" s="9">
        <f si="1" t="shared"/>
        <v>5.2055941353883802E-3</v>
      </c>
    </row>
    <row r="49" spans="1:7" x14ac:dyDescent="0.25">
      <c r="A49">
        <v>38</v>
      </c>
      <c r="B49" s="6" t="n">
        <v>541.706288837</v>
      </c>
      <c r="C49" s="9">
        <f si="0" t="shared"/>
        <v>2.7259948031009605E-3</v>
      </c>
      <c r="E49" s="371">
        <v>38</v>
      </c>
      <c r="F49" s="371" t="n">
        <v>1359.0</v>
      </c>
      <c r="G49" s="9">
        <f si="1" t="shared"/>
        <v>5.1877054957478706E-3</v>
      </c>
    </row>
    <row r="50" spans="1:7" x14ac:dyDescent="0.25">
      <c r="A50">
        <v>39</v>
      </c>
      <c r="B50" s="6" t="n">
        <v>1265.3659462537</v>
      </c>
      <c r="C50" s="9">
        <f si="0" t="shared"/>
        <v>6.3676222052250131E-3</v>
      </c>
      <c r="E50" s="371">
        <v>39</v>
      </c>
      <c r="F50" s="371" t="n">
        <v>1149.0</v>
      </c>
      <c r="G50" s="9">
        <f si="1" t="shared"/>
        <v>4.2789626020099678E-3</v>
      </c>
    </row>
    <row r="51" spans="1:7" x14ac:dyDescent="0.25">
      <c r="A51">
        <v>40</v>
      </c>
      <c r="B51" s="6" t="n">
        <v>121.887169181</v>
      </c>
      <c r="C51" s="9">
        <f si="0" t="shared"/>
        <v>6.1336520656874284E-4</v>
      </c>
      <c r="E51" s="371">
        <v>40</v>
      </c>
      <c r="F51" s="371" t="n">
        <v>987.0</v>
      </c>
      <c r="G51" s="9">
        <f si="1" t="shared"/>
        <v>3.8317466109972203E-3</v>
      </c>
    </row>
    <row r="52" spans="1:7" x14ac:dyDescent="0.25">
      <c r="A52">
        <v>41</v>
      </c>
      <c r="B52" s="6" t="n">
        <v>281.047236581</v>
      </c>
      <c r="C52" s="9">
        <f si="0" t="shared"/>
        <v>1.4142964963366385E-3</v>
      </c>
      <c r="E52" s="371">
        <v>41</v>
      </c>
      <c r="F52" s="371" t="n">
        <v>924.0</v>
      </c>
      <c r="G52" s="9">
        <f si="1" t="shared"/>
        <v>3.6385493028797131E-3</v>
      </c>
    </row>
    <row r="53" spans="1:7" x14ac:dyDescent="0.25">
      <c r="A53">
        <v>42</v>
      </c>
      <c r="B53" s="6" t="n">
        <v>335.783407707</v>
      </c>
      <c r="C53" s="9">
        <f si="0" t="shared"/>
        <v>1.6897419196332073E-3</v>
      </c>
      <c r="E53" s="371">
        <v>42</v>
      </c>
      <c r="F53" s="371" t="n">
        <v>1041.0</v>
      </c>
      <c r="G53" s="9">
        <f si="1" t="shared"/>
        <v>3.2414215028603935E-3</v>
      </c>
    </row>
    <row r="54" spans="1:7" x14ac:dyDescent="0.25">
      <c r="A54">
        <v>43</v>
      </c>
      <c r="B54" s="6" t="n">
        <v>315.18769892</v>
      </c>
      <c r="C54" s="9">
        <f si="0" t="shared"/>
        <v>1.5860994176418071E-3</v>
      </c>
      <c r="E54" s="371">
        <v>43</v>
      </c>
      <c r="F54" s="371" t="n">
        <v>763.0</v>
      </c>
      <c r="G54" s="9">
        <f si="1" t="shared"/>
        <v>2.965936452396541E-3</v>
      </c>
    </row>
    <row r="55" spans="1:7" x14ac:dyDescent="0.25">
      <c r="A55">
        <v>44</v>
      </c>
      <c r="B55" s="6" t="n">
        <v>571.937256006</v>
      </c>
      <c r="C55" s="9">
        <f si="0" t="shared"/>
        <v>2.8781242154663519E-3</v>
      </c>
      <c r="E55" s="371">
        <v>44</v>
      </c>
      <c r="F55" s="371" t="n">
        <v>749.0</v>
      </c>
      <c r="G55" s="9">
        <f si="1" t="shared"/>
        <v>2.8764932541939917E-3</v>
      </c>
    </row>
    <row r="56" spans="1:7" x14ac:dyDescent="0.25">
      <c r="A56">
        <v>45</v>
      </c>
      <c r="B56" s="6" t="n">
        <v>588.153133837</v>
      </c>
      <c r="C56" s="9">
        <f si="0" t="shared"/>
        <v>2.9597263670491395E-3</v>
      </c>
      <c r="E56" s="371">
        <v>45</v>
      </c>
      <c r="F56" s="371" t="n">
        <v>683.0</v>
      </c>
      <c r="G56" s="9">
        <f si="1" t="shared"/>
        <v>2.5616531965210174E-3</v>
      </c>
    </row>
    <row r="57" spans="1:7" x14ac:dyDescent="0.25">
      <c r="A57">
        <v>46</v>
      </c>
      <c r="B57" s="6" t="n">
        <v>1473.974146907</v>
      </c>
      <c r="C57" s="9">
        <f si="0" t="shared"/>
        <v>7.4173882548051566E-3</v>
      </c>
      <c r="E57" s="371">
        <v>46</v>
      </c>
      <c r="F57" s="371" t="n">
        <v>569.0</v>
      </c>
      <c r="G57" s="9">
        <f si="1" t="shared"/>
        <v>2.1788363082141057E-3</v>
      </c>
    </row>
    <row r="58" spans="1:7" x14ac:dyDescent="0.25">
      <c r="A58">
        <v>47</v>
      </c>
      <c r="B58" s="6" t="n">
        <v>363.531135753</v>
      </c>
      <c r="C58" s="9">
        <f si="0" t="shared"/>
        <v>1.829375082492823E-3</v>
      </c>
      <c r="E58" s="371">
        <v>47</v>
      </c>
      <c r="F58" s="371" t="n">
        <v>626.0</v>
      </c>
      <c r="G58" s="9">
        <f si="1" t="shared"/>
        <v>2.3326786091224906E-3</v>
      </c>
    </row>
    <row r="59" spans="1:7" x14ac:dyDescent="0.25">
      <c r="A59">
        <v>48</v>
      </c>
      <c r="B59" s="6" t="n">
        <v>6443.8113651290005</v>
      </c>
      <c r="C59" s="9">
        <f si="0" t="shared"/>
        <v>3.2426790412968844E-2</v>
      </c>
      <c r="E59" s="371">
        <v>48</v>
      </c>
      <c r="F59" s="371" t="n">
        <v>537.0</v>
      </c>
      <c r="G59" s="9">
        <f si="1" t="shared"/>
        <v>1.9105067136064571E-3</v>
      </c>
    </row>
    <row r="60" spans="1:7" x14ac:dyDescent="0.25">
      <c r="A60">
        <v>49</v>
      </c>
      <c r="B60" s="6" t="n">
        <v>1284.35033123</v>
      </c>
      <c r="C60" s="9">
        <f si="0" t="shared"/>
        <v>6.4631561428068847E-3</v>
      </c>
      <c r="E60" s="371">
        <v>49</v>
      </c>
      <c r="F60" s="371" t="n">
        <v>446.0</v>
      </c>
      <c r="G60" s="9">
        <f si="1" t="shared"/>
        <v>1.7208871334170521E-3</v>
      </c>
    </row>
    <row r="61" spans="1:7" x14ac:dyDescent="0.25">
      <c r="A61">
        <v>50</v>
      </c>
      <c r="B61" s="6" t="n">
        <v>0.0</v>
      </c>
      <c r="C61" s="9">
        <f si="0" t="shared"/>
        <v>0</v>
      </c>
      <c r="E61" s="371">
        <v>50</v>
      </c>
      <c r="F61" s="371" t="n">
        <v>355.0</v>
      </c>
      <c r="G61" s="9">
        <f si="1" t="shared"/>
        <v>1.4310911712407917E-3</v>
      </c>
    </row>
    <row r="62" spans="1:7" x14ac:dyDescent="0.25">
      <c r="A62">
        <v>51</v>
      </c>
      <c r="B62" s="6" t="n">
        <v>938.7504983305</v>
      </c>
      <c r="C62" s="9">
        <f si="0" t="shared"/>
        <v>4.724015638347877E-3</v>
      </c>
      <c r="E62" s="371">
        <v>51</v>
      </c>
      <c r="F62" s="371" t="n">
        <v>367.0</v>
      </c>
      <c r="G62" s="9">
        <f si="1" t="shared"/>
        <v>1.2414715910513869E-3</v>
      </c>
    </row>
    <row r="63" spans="1:7" x14ac:dyDescent="0.25">
      <c r="A63">
        <v>52</v>
      </c>
      <c r="B63" s="6" t="n">
        <v>214.090971612</v>
      </c>
      <c r="C63" s="9">
        <f si="0" t="shared"/>
        <v>1.0773566562391459E-3</v>
      </c>
      <c r="E63" s="371">
        <v>52</v>
      </c>
      <c r="F63" s="371" t="n">
        <v>315.0</v>
      </c>
      <c r="G63" s="9">
        <f si="1" t="shared"/>
        <v>1.2307384072670811E-3</v>
      </c>
    </row>
    <row r="64" spans="1:7" x14ac:dyDescent="0.25">
      <c r="A64">
        <v>53</v>
      </c>
      <c r="B64" s="6" t="n">
        <v>566.550207579</v>
      </c>
      <c r="C64" s="9">
        <f si="0" t="shared"/>
        <v>2.8510153073390662E-3</v>
      </c>
      <c r="E64" s="371">
        <v>53</v>
      </c>
      <c r="F64" s="371" t="n">
        <v>349.0</v>
      </c>
      <c r="G64" s="9">
        <f si="1" t="shared"/>
        <v>1.3273370613258344E-3</v>
      </c>
    </row>
    <row r="65" spans="1:7" x14ac:dyDescent="0.25">
      <c r="A65">
        <v>54</v>
      </c>
      <c r="B65" s="6" t="n">
        <v>481.619714611</v>
      </c>
      <c r="C65" s="9">
        <f si="0" t="shared"/>
        <v>2.4236248796727644E-3</v>
      </c>
      <c r="E65" s="371">
        <v>54</v>
      </c>
      <c r="F65" s="371" t="n">
        <v>344.0</v>
      </c>
      <c r="G65" s="9">
        <f si="1" t="shared"/>
        <v>1.1019402018554098E-3</v>
      </c>
    </row>
    <row r="66" spans="1:7" x14ac:dyDescent="0.2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302.0</v>
      </c>
      <c r="G66" s="9">
        <f si="1" t="shared"/>
        <v>1.0375410991495741E-3</v>
      </c>
    </row>
    <row r="67" spans="1:7" x14ac:dyDescent="0.25">
      <c r="A67">
        <v>56</v>
      </c>
      <c r="B67" s="6" t="n">
        <v>248.443558839</v>
      </c>
      <c r="C67" s="9">
        <f si="0" t="shared"/>
        <v>1.2502270404005013E-3</v>
      </c>
      <c r="E67" s="371">
        <v>56</v>
      </c>
      <c r="F67" s="371" t="n">
        <v>250.0</v>
      </c>
      <c r="G67" s="9">
        <f si="1" t="shared"/>
        <v>1.0339633712214721E-3</v>
      </c>
    </row>
    <row r="68" spans="1:7" x14ac:dyDescent="0.2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225.0</v>
      </c>
      <c r="G68" s="9">
        <f si="1" t="shared"/>
        <v>8.9443198202549489E-4</v>
      </c>
    </row>
    <row r="69" spans="1:7" x14ac:dyDescent="0.25">
      <c r="A69">
        <v>58</v>
      </c>
      <c r="B69" s="6" t="n">
        <v>855.3551815000001</v>
      </c>
      <c r="C69" s="9">
        <f si="0" t="shared"/>
        <v>4.3043505819000899E-3</v>
      </c>
      <c r="E69" s="371">
        <v>58</v>
      </c>
      <c r="F69" s="371" t="n">
        <v>215.0</v>
      </c>
      <c r="G69" s="9">
        <f si="1" t="shared"/>
        <v>6.5830193877076427E-4</v>
      </c>
    </row>
    <row r="70" spans="1:7" x14ac:dyDescent="0.25">
      <c r="A70">
        <v>59</v>
      </c>
      <c r="B70" s="6" t="n">
        <v>0.0</v>
      </c>
      <c r="C70" s="9">
        <f si="0" t="shared"/>
        <v>0</v>
      </c>
      <c r="E70" s="371">
        <v>59</v>
      </c>
      <c r="F70" s="371" t="n">
        <v>208.0</v>
      </c>
      <c r="G70" s="9">
        <f si="1" t="shared"/>
        <v>7.1196785769229391E-4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305.0</v>
      </c>
      <c r="G71" s="9">
        <f si="1" t="shared"/>
        <v>1.0876292901430018E-3</v>
      </c>
    </row>
    <row r="72" spans="1:7" x14ac:dyDescent="0.2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332.0</v>
      </c>
      <c r="G72" s="9">
        <f si="1" t="shared"/>
        <v>1.2414715910513869E-3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293.0</v>
      </c>
      <c r="G73" s="9">
        <f si="1" t="shared"/>
        <v>1.1090956577116137E-3</v>
      </c>
    </row>
    <row r="74" spans="1:7" x14ac:dyDescent="0.2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288.0</v>
      </c>
      <c r="G74" s="9">
        <f si="1" t="shared"/>
        <v>9.7671972437184031E-4</v>
      </c>
    </row>
    <row r="75" spans="1:7" x14ac:dyDescent="0.25">
      <c r="A75">
        <v>64</v>
      </c>
      <c r="B75" s="6" t="n">
        <v>291.448588849</v>
      </c>
      <c r="C75" s="9">
        <f si="0" t="shared"/>
        <v>1.4666385732371378E-3</v>
      </c>
      <c r="E75" s="371">
        <v>64</v>
      </c>
      <c r="F75" s="371" t="n">
        <v>305.0</v>
      </c>
      <c r="G75" s="9">
        <f si="1" t="shared"/>
        <v>9.5167562887512659E-4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295.0</v>
      </c>
      <c r="G76" s="9">
        <f si="1" t="shared"/>
        <v>1.1412952090645314E-3</v>
      </c>
    </row>
    <row r="77" spans="1:7" x14ac:dyDescent="0.25">
      <c r="A77">
        <v>66</v>
      </c>
      <c r="B77" s="6" t="n">
        <v>1008.17381248</v>
      </c>
      <c r="C77" s="9">
        <f ref="C77:C102" si="2" t="shared">B77/B$102</f>
        <v>5.0733702563123132E-3</v>
      </c>
      <c r="E77" s="371">
        <v>66</v>
      </c>
      <c r="F77" s="371" t="n">
        <v>312.0</v>
      </c>
      <c r="G77" s="9">
        <f ref="G77:G102" si="3" t="shared">F77/F$102</f>
        <v>1.0053415477966562E-3</v>
      </c>
    </row>
    <row r="78" spans="1:7" x14ac:dyDescent="0.25">
      <c r="A78">
        <v>67</v>
      </c>
      <c r="B78" s="6" t="n">
        <v>69.966370625</v>
      </c>
      <c r="C78" s="9">
        <f si="2" t="shared"/>
        <v>3.5208740722774947E-4</v>
      </c>
      <c r="E78" s="371">
        <v>67</v>
      </c>
      <c r="F78" s="371" t="n">
        <v>352.0</v>
      </c>
      <c r="G78" s="9">
        <f si="3" t="shared"/>
        <v>1.212849767626571E-3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310.0</v>
      </c>
      <c r="G79" s="9">
        <f si="3" t="shared"/>
        <v>1.0053415477966562E-3</v>
      </c>
    </row>
    <row r="80" spans="1:7" x14ac:dyDescent="0.2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289.0</v>
      </c>
      <c r="G80" s="9">
        <f si="3" t="shared"/>
        <v>9.6240881265943247E-4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430.0</v>
      </c>
      <c r="G81" s="9">
        <f si="3" t="shared"/>
        <v>1.3488034288944462E-3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216.0</v>
      </c>
      <c r="G82" s="9">
        <f si="3" t="shared"/>
        <v>8.550769748163731E-4</v>
      </c>
    </row>
    <row r="83" spans="1:7" x14ac:dyDescent="0.25">
      <c r="A83">
        <v>72</v>
      </c>
      <c r="B83" s="6" t="n">
        <v>667.99538554</v>
      </c>
      <c r="C83" s="9">
        <f si="2" t="shared"/>
        <v>3.361511555250541E-3</v>
      </c>
      <c r="E83" s="371">
        <v>72</v>
      </c>
      <c r="F83" s="371" t="n">
        <v>454.0</v>
      </c>
      <c r="G83" s="9">
        <f si="3" t="shared"/>
        <v>1.574200288364871E-3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272.0</v>
      </c>
      <c r="G84" s="9">
        <f si="3" t="shared"/>
        <v>9.5525335680322855E-4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228.0</v>
      </c>
      <c r="G85" s="9">
        <f si="3" t="shared"/>
        <v>8.8727652616929097E-4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210.0</v>
      </c>
      <c r="G86" s="9">
        <f si="3" t="shared"/>
        <v>7.1554558562039587E-4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252.0</v>
      </c>
      <c r="G87" s="9">
        <f si="3" t="shared"/>
        <v>7.799446883262316E-4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232.0</v>
      </c>
      <c r="G88" s="9">
        <f si="3" t="shared"/>
        <v>8.9443198202549489E-4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199.0</v>
      </c>
      <c r="G89" s="9">
        <f si="3" t="shared"/>
        <v>8.1929969553535327E-4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163.0</v>
      </c>
      <c r="G90" s="9">
        <f si="3" t="shared"/>
        <v>6.5472421084266221E-4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141.0</v>
      </c>
      <c r="G91" s="9">
        <f si="3" t="shared"/>
        <v>5.9748056399303061E-4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230.0</v>
      </c>
      <c r="G92" s="9">
        <f si="3" t="shared"/>
        <v>7.7278923247002757E-4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196.0</v>
      </c>
      <c r="G93" s="9">
        <f si="3" t="shared"/>
        <v>8.3361060724776123E-4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193.0</v>
      </c>
      <c r="G94" s="9">
        <f si="3" t="shared"/>
        <v>7.4416740904521177E-4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335.0</v>
      </c>
      <c r="G95" s="9">
        <f si="3" t="shared"/>
        <v>1.0339633712214721E-3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176.0</v>
      </c>
      <c r="G96" s="9">
        <f si="3" t="shared"/>
        <v>5.1877054957478704E-4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160.0</v>
      </c>
      <c r="G97" s="9">
        <f si="3" t="shared"/>
        <v>5.795919243525207E-4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188.0</v>
      </c>
      <c r="G98" s="9">
        <f si="3" t="shared"/>
        <v>7.5490059282951765E-4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159.0</v>
      </c>
      <c r="G99" s="9">
        <f si="3" t="shared"/>
        <v>5.4023691714339891E-4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153.0</v>
      </c>
      <c r="G100" s="9">
        <f si="3" t="shared"/>
        <v>5.4023691714339891E-4</v>
      </c>
    </row>
    <row ht="15.75" r="101" spans="1:7" thickBot="1" x14ac:dyDescent="0.3">
      <c r="A101" s="1">
        <v>90</v>
      </c>
      <c r="B101" s="7" t="n">
        <v>3033.7922906050003</v>
      </c>
      <c r="C101" s="9">
        <f si="2" t="shared"/>
        <v>1.5266763905643844E-2</v>
      </c>
      <c r="E101" s="372">
        <v>90</v>
      </c>
      <c r="F101" s="372" t="n">
        <v>9434.0</v>
      </c>
      <c r="G101" s="9">
        <f si="3" t="shared"/>
        <v>3.3916860758406768E-2</v>
      </c>
    </row>
    <row r="102" spans="1:7" x14ac:dyDescent="0.25">
      <c r="B102" s="6">
        <f>SUM(B11:B101)</f>
        <v>198718.75332292673</v>
      </c>
      <c r="C102" s="9">
        <f si="2" t="shared"/>
        <v>1</v>
      </c>
      <c r="F102" s="6">
        <f>SUM(F11:F101)</f>
        <v>279507</v>
      </c>
      <c r="G102" s="9">
        <f si="3" t="shared"/>
        <v>1</v>
      </c>
    </row>
  </sheetData>
  <pageMargins bottom="0.75" footer="0.3" header="0.3" left="0.7" right="0.7" top="0.7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baseType="lpstr" size="36">
      <vt:lpstr>TLFD_Home</vt:lpstr>
      <vt:lpstr>TDFD_Home</vt:lpstr>
      <vt:lpstr>TLFD_Work</vt:lpstr>
      <vt:lpstr>TDFD_Work</vt:lpstr>
      <vt:lpstr>TLFD_School</vt:lpstr>
      <vt:lpstr>TDFD_School</vt:lpstr>
      <vt:lpstr>TLFD_Escort</vt:lpstr>
      <vt:lpstr>TDFD_Escort</vt:lpstr>
      <vt:lpstr>TLFD_PerBus</vt:lpstr>
      <vt:lpstr>TDFD_PerBus</vt:lpstr>
      <vt:lpstr>TLFD_Shop</vt:lpstr>
      <vt:lpstr>TDFD_Shop</vt:lpstr>
      <vt:lpstr>TLFD_Meal</vt:lpstr>
      <vt:lpstr>TDFD_Meal</vt:lpstr>
      <vt:lpstr>TLFD_SocRec</vt:lpstr>
      <vt:lpstr>TDFD_SocRec</vt:lpstr>
      <vt:lpstr>AVGD</vt:lpstr>
      <vt:lpstr>AVGT</vt:lpstr>
      <vt:lpstr>out_1</vt:lpstr>
      <vt:lpstr>out_2</vt:lpstr>
      <vt:lpstr>out_3</vt:lpstr>
      <vt:lpstr>out_4</vt:lpstr>
      <vt:lpstr>out_5</vt:lpstr>
      <vt:lpstr>out_6</vt:lpstr>
      <vt:lpstr>out_7</vt:lpstr>
      <vt:lpstr>out_8</vt:lpstr>
      <vt:lpstr>out1</vt:lpstr>
      <vt:lpstr>out2</vt:lpstr>
      <vt:lpstr>out3</vt:lpstr>
      <vt:lpstr>out4</vt:lpstr>
      <vt:lpstr>out5</vt:lpstr>
      <vt:lpstr>out6</vt:lpstr>
      <vt:lpstr>out7</vt:lpstr>
      <vt:lpstr>out8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Dong, Hu</cp:lastModifiedBy>
  <dcterms:modified xsi:type="dcterms:W3CDTF">2019-10-07T21:08:26Z</dcterms:modified>
</cp:coreProperties>
</file>