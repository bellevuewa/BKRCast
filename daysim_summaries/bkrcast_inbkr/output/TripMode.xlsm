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2E5C683A-DD84-47BC-B5BD-148D52923FBA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Q30" i="17" s="1"/>
  <c r="P16" i="17"/>
  <c r="P30" i="17" s="1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F30" i="17" s="1"/>
  <c r="E16" i="17"/>
  <c r="E30" i="17" s="1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Q30" i="16" s="1"/>
  <c r="P16" i="16"/>
  <c r="P30" i="16" s="1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F30" i="16" s="1"/>
  <c r="E16" i="16"/>
  <c r="E30" i="16" s="1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Q30" i="15" s="1"/>
  <c r="P16" i="15"/>
  <c r="P30" i="15" s="1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F30" i="15" s="1"/>
  <c r="E16" i="15"/>
  <c r="E30" i="15" s="1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Q30" i="14" s="1"/>
  <c r="P16" i="14"/>
  <c r="P30" i="14" s="1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F30" i="14" s="1"/>
  <c r="E16" i="14"/>
  <c r="E30" i="14" s="1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Q30" i="13" s="1"/>
  <c r="P16" i="13"/>
  <c r="P30" i="13" s="1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F30" i="13" s="1"/>
  <c r="E16" i="13"/>
  <c r="E30" i="13" s="1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Q30" i="12" s="1"/>
  <c r="P16" i="12"/>
  <c r="P30" i="12" s="1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F30" i="12" s="1"/>
  <c r="E16" i="12"/>
  <c r="E30" i="12" s="1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Q30" i="11" s="1"/>
  <c r="P16" i="11"/>
  <c r="P31" i="11" s="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F30" i="11" s="1"/>
  <c r="E16" i="11"/>
  <c r="E31" i="11" s="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Q30" i="7" s="1"/>
  <c r="P16" i="7"/>
  <c r="P31" i="7" s="1"/>
  <c r="O16" i="7"/>
  <c r="O32" i="7" s="1"/>
  <c r="N16" i="7"/>
  <c r="N33" i="7" s="1"/>
  <c r="M16" i="7"/>
  <c r="M30" i="7" s="1"/>
  <c r="I16" i="7"/>
  <c r="I31" i="7" s="1"/>
  <c r="H16" i="7"/>
  <c r="H32" i="7" s="1"/>
  <c r="F16" i="7"/>
  <c r="F30" i="7" s="1"/>
  <c r="E16" i="7"/>
  <c r="E31" i="7" s="1"/>
  <c r="D16" i="7"/>
  <c r="D32" i="7" s="1"/>
  <c r="C16" i="7"/>
  <c r="C33" i="7" s="1"/>
  <c r="B16" i="7"/>
  <c r="B29" i="7" s="1"/>
  <c r="I16" i="18" l="1"/>
  <c r="I33" i="18" s="1"/>
  <c r="R16" i="18"/>
  <c r="R33" i="18" s="1"/>
  <c r="U13" i="18"/>
  <c r="N16" i="18"/>
  <c r="N33" i="18" s="1"/>
  <c r="F16" i="18"/>
  <c r="F33" i="18" s="1"/>
  <c r="M16" i="18"/>
  <c r="M33" i="18" s="1"/>
  <c r="E16" i="18"/>
  <c r="E30" i="18" s="1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1"/>
  <c r="Q47" i="12"/>
  <c r="Q47" i="13"/>
  <c r="Q47" i="14"/>
  <c r="Q47" i="15"/>
  <c r="Q47" i="16"/>
  <c r="Q47" i="17"/>
  <c r="S47" i="16"/>
  <c r="S47" i="14"/>
  <c r="S47" i="12"/>
  <c r="P47" i="12"/>
  <c r="T47" i="12"/>
  <c r="P47" i="13"/>
  <c r="T47" i="13"/>
  <c r="P47" i="14"/>
  <c r="T47" i="14"/>
  <c r="P47" i="15"/>
  <c r="T47" i="15"/>
  <c r="P47" i="16"/>
  <c r="T47" i="16"/>
  <c r="P47" i="17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Q33" i="18" s="1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U14" i="18"/>
  <c r="P16" i="18"/>
  <c r="P33" i="18" s="1"/>
  <c r="D16" i="18"/>
  <c r="D33" i="18" s="1"/>
  <c r="U6" i="18"/>
  <c r="U7" i="18"/>
  <c r="U8" i="18"/>
  <c r="U9" i="18"/>
  <c r="U10" i="18"/>
  <c r="U15" i="18"/>
  <c r="J6" i="18"/>
  <c r="J7" i="18"/>
  <c r="J8" i="18"/>
  <c r="J9" i="18"/>
  <c r="J10" i="18"/>
  <c r="J14" i="18"/>
  <c r="J15" i="18"/>
  <c r="H16" i="18"/>
  <c r="H33" i="18" s="1"/>
  <c r="J5" i="18"/>
  <c r="J16" i="17"/>
  <c r="J28" i="17" s="1"/>
  <c r="U16" i="17"/>
  <c r="U26" i="17" s="1"/>
  <c r="J16" i="16"/>
  <c r="J29" i="16" s="1"/>
  <c r="U16" i="16"/>
  <c r="J16" i="15"/>
  <c r="U16" i="15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J16" i="11"/>
  <c r="J22" i="11" s="1"/>
  <c r="U16" i="11"/>
  <c r="U30" i="11" s="1"/>
  <c r="U16" i="7"/>
  <c r="U30" i="7" s="1"/>
  <c r="S45" i="13" l="1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P47" i="18" s="1"/>
  <c r="AA47" i="18" s="1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J16" i="18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P48" i="18" l="1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U43" i="18" l="1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<sst xmlns="http://schemas.openxmlformats.org/spreadsheetml/2006/main" count="1105" uniqueCount="60">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</sst>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  <col min="24" max="24" customWidth="true" width="25.0" collapsed="true"/>
    <col min="25" max="33" customWidth="true" width="10.73046875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>
        <f>SUM(Work!B5,Workbased!B5,School!B5,Escort!B5,Personal_Business!B5,Shop!B5,Meal!B5,SocRec!B5)</f>
        <v>575094.55024312914</v>
      </c>
      <c r="C5" s="6">
        <f>SUM(Work!C5,Workbased!C5,School!C5,Escort!C5,Personal_Business!C5,Shop!C5,Meal!C5,SocRec!C5)</f>
        <v>130021.9640610826</v>
      </c>
      <c r="D5" s="6">
        <f>SUM(Work!D5,Workbased!D5,School!D5,Escort!D5,Personal_Business!D5,Shop!D5,Meal!D5,SocRec!D5)</f>
        <v>48087.806438316795</v>
      </c>
      <c r="E5" s="6">
        <f>SUM(Work!E5,Workbased!E5,School!E5,Escort!E5,Personal_Business!E5,Shop!E5,Meal!E5,SocRec!E5)</f>
        <v>11152.673759817</v>
      </c>
      <c r="F5" s="6">
        <f>SUM(Work!F5,Workbased!F5,School!F5,Escort!F5,Personal_Business!F5,Shop!F5,Meal!F5,SocRec!F5)</f>
        <v>3484.3174220500005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461.112895342</v>
      </c>
      <c r="J5" s="6">
        <f>SUM(B5:I5)</f>
        <v>768302.42481973767</v>
      </c>
      <c r="K5" s="6"/>
      <c r="L5" t="s">
        <v>1</v>
      </c>
      <c r="M5" s="6">
        <f>SUM(Work!M5,Workbased!M5,School!M5,Escort!M5,Personal_Business!M5,Shop!M5,Meal!M5,SocRec!M5)</f>
        <v>742537</v>
      </c>
      <c r="N5" s="6">
        <f>SUM(Work!N5,Workbased!N5,School!N5,Escort!N5,Personal_Business!N5,Shop!N5,Meal!N5,SocRec!N5)</f>
        <v>128298</v>
      </c>
      <c r="O5" s="6">
        <f>SUM(Work!O5,Workbased!O5,School!O5,Escort!O5,Personal_Business!O5,Shop!O5,Meal!O5,SocRec!O5)</f>
        <v>48312</v>
      </c>
      <c r="P5" s="6">
        <f>SUM(Work!P5,Workbased!P5,School!P5,Escort!P5,Personal_Business!P5,Shop!P5,Meal!P5,SocRec!P5)</f>
        <v>29069</v>
      </c>
      <c r="Q5" s="6">
        <f>SUM(Work!Q5,Workbased!Q5,School!Q5,Escort!Q5,Personal_Business!Q5,Shop!Q5,Meal!Q5,SocRec!Q5)</f>
        <v>1252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129</v>
      </c>
      <c r="U5" s="6">
        <f t="shared" ref="U5:U15" si="0">SUM(M5:T5)</f>
        <v>949597</v>
      </c>
    </row>
    <row r="6" spans="1:21" x14ac:dyDescent="0.4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417398.87121917441</v>
      </c>
      <c r="D6" s="6">
        <f>SUM(Work!D6,Workbased!D6,School!D6,Escort!D6,Personal_Business!D6,Shop!D6,Meal!D6,SocRec!D6)</f>
        <v>67986.862961393999</v>
      </c>
      <c r="E6" s="6">
        <f>SUM(Work!E6,Workbased!E6,School!E6,Escort!E6,Personal_Business!E6,Shop!E6,Meal!E6,SocRec!E6)</f>
        <v>1091.0953829300001</v>
      </c>
      <c r="F6" s="6">
        <f>SUM(Work!F6,Workbased!F6,School!F6,Escort!F6,Personal_Business!F6,Shop!F6,Meal!F6,SocRec!F6)</f>
        <v>5814.0274972161005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3607.0436249999998</v>
      </c>
      <c r="J6" s="6">
        <f t="shared" ref="J6:J15" si="1">SUM(B6:I6)</f>
        <v>495897.90068571456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427789</v>
      </c>
      <c r="O6" s="6">
        <f>SUM(Work!O6,Workbased!O6,School!O6,Escort!O6,Personal_Business!O6,Shop!O6,Meal!O6,SocRec!O6)</f>
        <v>76800</v>
      </c>
      <c r="P6" s="6">
        <f>SUM(Work!P6,Workbased!P6,School!P6,Escort!P6,Personal_Business!P6,Shop!P6,Meal!P6,SocRec!P6)</f>
        <v>1530</v>
      </c>
      <c r="Q6" s="6">
        <f>SUM(Work!Q6,Workbased!Q6,School!Q6,Escort!Q6,Personal_Business!Q6,Shop!Q6,Meal!Q6,SocRec!Q6)</f>
        <v>2826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8296</v>
      </c>
      <c r="U6" s="6">
        <f t="shared" si="0"/>
        <v>517241</v>
      </c>
    </row>
    <row r="7" spans="1:21" x14ac:dyDescent="0.4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262566.81522792793</v>
      </c>
      <c r="E7" s="6">
        <f>SUM(Work!E7,Workbased!E7,School!E7,Escort!E7,Personal_Business!E7,Shop!E7,Meal!E7,SocRec!E7)</f>
        <v>665.41619533800008</v>
      </c>
      <c r="F7" s="6">
        <f>SUM(Work!F7,Workbased!F7,School!F7,Escort!F7,Personal_Business!F7,Shop!F7,Meal!F7,SocRec!F7)</f>
        <v>4228.3871660909999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4928.2512500000003</v>
      </c>
      <c r="J7" s="6">
        <f t="shared" si="1"/>
        <v>272388.86983935692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326286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1241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7923</v>
      </c>
      <c r="U7" s="6">
        <f t="shared" si="0"/>
        <v>335450</v>
      </c>
    </row>
    <row r="8" spans="1:21" x14ac:dyDescent="0.4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12324.113908806001</v>
      </c>
      <c r="F8" s="6">
        <f>SUM(Work!F8,Workbased!F8,School!F8,Escort!F8,Personal_Business!F8,Shop!F8,Meal!F8,SocRec!F8)</f>
        <v>88115.347499130294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367.92750000000001</v>
      </c>
      <c r="J8" s="6">
        <f t="shared" si="1"/>
        <v>100807.3889079363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22618</v>
      </c>
      <c r="Q8" s="6">
        <f>SUM(Work!Q8,Workbased!Q8,School!Q8,Escort!Q8,Personal_Business!Q8,Shop!Q8,Meal!Q8,SocRec!Q8)</f>
        <v>17234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55</v>
      </c>
      <c r="U8" s="6">
        <f t="shared" si="0"/>
        <v>39907</v>
      </c>
    </row>
    <row r="9" spans="1:21" x14ac:dyDescent="0.4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4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4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4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4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34069.988872052003</v>
      </c>
      <c r="J13" s="6">
        <f t="shared" si="1"/>
        <v>34069.988872052003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46128</v>
      </c>
      <c r="U13" s="6">
        <f t="shared" si="0"/>
        <v>46128</v>
      </c>
    </row>
    <row r="14" spans="1:21" x14ac:dyDescent="0.45">
      <c r="A14" t="s">
        <v>4</v>
      </c>
      <c r="B14" s="6">
        <f>SUM(Work!B14,Workbased!B14,School!B14,Escort!B14,Personal_Business!B14,Shop!B14,Meal!B14,SocRec!B14)</f>
        <v>1008.17381248</v>
      </c>
      <c r="C14" s="6">
        <f>SUM(Work!C14,Workbased!C14,School!C14,Escort!C14,Personal_Business!C14,Shop!C14,Meal!C14,SocRec!C14)</f>
        <v>625.9179386088</v>
      </c>
      <c r="D14" s="6">
        <f>SUM(Work!D14,Workbased!D14,School!D14,Escort!D14,Personal_Business!D14,Shop!D14,Meal!D14,SocRec!D14)</f>
        <v>406.51049999999998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603.67342905399994</v>
      </c>
      <c r="G14" s="6">
        <f>SUM(Work!G14,Workbased!G14,School!G14,Escort!G14,Personal_Business!G14,Shop!G14,Meal!G14,SocRec!G14)</f>
        <v>18156.369856281002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0</v>
      </c>
      <c r="J14" s="6">
        <f t="shared" si="1"/>
        <v>20800.645536423803</v>
      </c>
      <c r="K14" s="6"/>
      <c r="L14" t="s">
        <v>4</v>
      </c>
      <c r="M14" s="6">
        <f>SUM(Work!M14,Workbased!M14,School!M14,Escort!M14,Personal_Business!M14,Shop!M14,Meal!M14,SocRec!M14)</f>
        <v>727</v>
      </c>
      <c r="N14" s="6">
        <f>SUM(Work!N14,Workbased!N14,School!N14,Escort!N14,Personal_Business!N14,Shop!N14,Meal!N14,SocRec!N14)</f>
        <v>2104</v>
      </c>
      <c r="O14" s="6">
        <f>SUM(Work!O14,Workbased!O14,School!O14,Escort!O14,Personal_Business!O14,Shop!O14,Meal!O14,SocRec!O14)</f>
        <v>1629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284</v>
      </c>
      <c r="R14" s="6">
        <f>SUM(Work!R14,Workbased!R14,School!R14,Escort!R14,Personal_Business!R14,Shop!R14,Meal!R14,SocRec!R14)</f>
        <v>20884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384</v>
      </c>
      <c r="U14" s="6">
        <f t="shared" si="0"/>
        <v>26012</v>
      </c>
    </row>
    <row r="15" spans="1:21" x14ac:dyDescent="0.45">
      <c r="A15" s="4" t="s">
        <v>5</v>
      </c>
      <c r="B15" s="6">
        <f>SUM(Work!B15,Workbased!B15,School!B15,Escort!B15,Personal_Business!B15,Shop!B15,Meal!B15,SocRec!B15)</f>
        <v>10983.906232606598</v>
      </c>
      <c r="C15" s="6">
        <f>SUM(Work!C15,Workbased!C15,School!C15,Escort!C15,Personal_Business!C15,Shop!C15,Meal!C15,SocRec!C15)</f>
        <v>12239.306168224801</v>
      </c>
      <c r="D15" s="6">
        <f>SUM(Work!D15,Workbased!D15,School!D15,Escort!D15,Personal_Business!D15,Shop!D15,Meal!D15,SocRec!D15)</f>
        <v>22879.417446959</v>
      </c>
      <c r="E15" s="6">
        <f>SUM(Work!E15,Workbased!E15,School!E15,Escort!E15,Personal_Business!E15,Shop!E15,Meal!E15,SocRec!E15)</f>
        <v>1062.5102455659999</v>
      </c>
      <c r="F15" s="6">
        <f>SUM(Work!F15,Workbased!F15,School!F15,Escort!F15,Personal_Business!F15,Shop!F15,Meal!F15,SocRec!F15)</f>
        <v>10940.805689868999</v>
      </c>
      <c r="G15" s="6">
        <f>SUM(Work!G15,Workbased!G15,School!G15,Escort!G15,Personal_Business!G15,Shop!G15,Meal!G15,SocRec!G15)</f>
        <v>294.71183288700001</v>
      </c>
      <c r="H15" s="6">
        <f>SUM(Work!H15,Workbased!H15,School!H15,Escort!H15,Personal_Business!H15,Shop!H15,Meal!H15,SocRec!H15)</f>
        <v>142468.16717003699</v>
      </c>
      <c r="I15" s="6">
        <f>SUM(Work!I15,Workbased!I15,School!I15,Escort!I15,Personal_Business!I15,Shop!I15,Meal!I15,SocRec!I15)</f>
        <v>1013.776875</v>
      </c>
      <c r="J15" s="6">
        <f t="shared" si="1"/>
        <v>201882.60166114938</v>
      </c>
      <c r="K15" s="6"/>
      <c r="L15" s="4" t="s">
        <v>5</v>
      </c>
      <c r="M15" s="6">
        <f>SUM(Work!M15,Workbased!M15,School!M15,Escort!M15,Personal_Business!M15,Shop!M15,Meal!M15,SocRec!M15)</f>
        <v>33530</v>
      </c>
      <c r="N15" s="6">
        <f>SUM(Work!N15,Workbased!N15,School!N15,Escort!N15,Personal_Business!N15,Shop!N15,Meal!N15,SocRec!N15)</f>
        <v>22215</v>
      </c>
      <c r="O15" s="6">
        <f>SUM(Work!O15,Workbased!O15,School!O15,Escort!O15,Personal_Business!O15,Shop!O15,Meal!O15,SocRec!O15)</f>
        <v>13228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4809</v>
      </c>
      <c r="R15" s="6">
        <f>SUM(Work!R15,Workbased!R15,School!R15,Escort!R15,Personal_Business!R15,Shop!R15,Meal!R15,SocRec!R15)</f>
        <v>4688</v>
      </c>
      <c r="S15" s="6">
        <f>SUM(Work!S15,Workbased!S15,School!S15,Escort!S15,Personal_Business!S15,Shop!S15,Meal!S15,SocRec!S15)</f>
        <v>148873</v>
      </c>
      <c r="T15" s="6">
        <f>SUM(Work!T15,Workbased!T15,School!T15,Escort!T15,Personal_Business!T15,Shop!T15,Meal!T15,SocRec!T15)</f>
        <v>2206</v>
      </c>
      <c r="U15" s="6">
        <f t="shared" si="0"/>
        <v>229549</v>
      </c>
    </row>
    <row r="16" spans="1:21" ht="14.65" thickBot="1" x14ac:dyDescent="0.5">
      <c r="A16" s="12" t="s">
        <v>7</v>
      </c>
      <c r="B16" s="16">
        <f t="shared" ref="B16:J16" si="2">SUM(B5:B15)</f>
        <v>587086.6302882157</v>
      </c>
      <c r="C16" s="16">
        <f t="shared" si="2"/>
        <v>560286.05938709062</v>
      </c>
      <c r="D16" s="16">
        <f t="shared" si="2"/>
        <v>401927.41257459769</v>
      </c>
      <c r="E16" s="16">
        <f t="shared" si="2"/>
        <v>26295.809492457003</v>
      </c>
      <c r="F16" s="16">
        <f t="shared" si="2"/>
        <v>113186.5587034104</v>
      </c>
      <c r="G16" s="16">
        <f t="shared" si="2"/>
        <v>18451.081689168001</v>
      </c>
      <c r="H16" s="16">
        <f t="shared" si="2"/>
        <v>142468.16717003699</v>
      </c>
      <c r="I16" s="16">
        <f t="shared" si="2"/>
        <v>44448.101017394009</v>
      </c>
      <c r="J16" s="16">
        <f t="shared" si="2"/>
        <v>1894149.8203223709</v>
      </c>
      <c r="L16" s="9" t="s">
        <v>7</v>
      </c>
      <c r="M16" s="16">
        <f t="shared" ref="M16:U16" si="3">SUM(M5:M15)</f>
        <v>776794</v>
      </c>
      <c r="N16" s="16">
        <f t="shared" si="3"/>
        <v>580406</v>
      </c>
      <c r="O16" s="16">
        <f t="shared" si="3"/>
        <v>466255</v>
      </c>
      <c r="P16" s="16">
        <f t="shared" si="3"/>
        <v>53217</v>
      </c>
      <c r="Q16" s="16">
        <f t="shared" si="3"/>
        <v>27646</v>
      </c>
      <c r="R16" s="16">
        <f t="shared" si="3"/>
        <v>25572</v>
      </c>
      <c r="S16" s="16">
        <f t="shared" si="3"/>
        <v>148873</v>
      </c>
      <c r="T16" s="16">
        <f t="shared" si="3"/>
        <v>65121</v>
      </c>
      <c r="U16" s="16">
        <f t="shared" si="3"/>
        <v>2143884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D33" si="4">B5/B$16</f>
        <v>0.97957357666414691</v>
      </c>
      <c r="C22" s="13">
        <f t="shared" si="4"/>
        <v>0.23206353590756215</v>
      </c>
      <c r="D22" s="13">
        <f t="shared" si="4"/>
        <v>0.11964301247900502</v>
      </c>
      <c r="E22" s="13">
        <f t="shared" ref="E22:E33" si="5">IF(E$16&gt;0,E5/E$16,0)</f>
        <v>0.42412361418332312</v>
      </c>
      <c r="F22" s="13">
        <f t="shared" ref="F22:J33" si="6">F5/F$16</f>
        <v>3.0783844495000229E-2</v>
      </c>
      <c r="G22" s="13">
        <f t="shared" si="6"/>
        <v>0</v>
      </c>
      <c r="H22" s="13">
        <f t="shared" si="6"/>
        <v>0</v>
      </c>
      <c r="I22" s="13">
        <f t="shared" si="6"/>
        <v>1.0374186630865317E-2</v>
      </c>
      <c r="J22" s="13">
        <f t="shared" si="6"/>
        <v>0.40561861399589716</v>
      </c>
      <c r="K22" s="6"/>
      <c r="L22" t="s">
        <v>1</v>
      </c>
      <c r="M22" s="13">
        <f t="shared" ref="M22:P22" si="7">M5/M$16</f>
        <v>0.95589950488803976</v>
      </c>
      <c r="N22" s="13">
        <f t="shared" si="7"/>
        <v>0.22104871417593891</v>
      </c>
      <c r="O22" s="13">
        <f t="shared" si="7"/>
        <v>0.10361711938745966</v>
      </c>
      <c r="P22" s="13">
        <f t="shared" si="7"/>
        <v>0.54623522558580906</v>
      </c>
      <c r="Q22" s="13">
        <f t="shared" ref="Q22:U33" si="8">Q5/Q$16</f>
        <v>4.5286840772625334E-2</v>
      </c>
      <c r="R22" s="13">
        <f t="shared" si="8"/>
        <v>0</v>
      </c>
      <c r="S22" s="13">
        <f t="shared" si="8"/>
        <v>0</v>
      </c>
      <c r="T22" s="13">
        <f t="shared" si="8"/>
        <v>1.980927811305109E-3</v>
      </c>
      <c r="U22" s="13">
        <f t="shared" si="8"/>
        <v>0.44293301316675715</v>
      </c>
    </row>
    <row r="23" spans="1:21" x14ac:dyDescent="0.45">
      <c r="A23" t="s">
        <v>12</v>
      </c>
      <c r="B23" s="13">
        <f t="shared" si="4"/>
        <v>0</v>
      </c>
      <c r="C23" s="13">
        <f t="shared" si="4"/>
        <v>0.74497457901375652</v>
      </c>
      <c r="D23" s="13">
        <f t="shared" si="4"/>
        <v>0.16915209272713053</v>
      </c>
      <c r="E23" s="13">
        <f t="shared" si="5"/>
        <v>4.1493127764063803E-2</v>
      </c>
      <c r="F23" s="13">
        <f t="shared" si="6"/>
        <v>5.1366766193951967E-2</v>
      </c>
      <c r="G23" s="13">
        <f t="shared" si="6"/>
        <v>0</v>
      </c>
      <c r="H23" s="13">
        <f t="shared" si="6"/>
        <v>0</v>
      </c>
      <c r="I23" s="13">
        <f t="shared" si="6"/>
        <v>8.1151804968865704E-2</v>
      </c>
      <c r="J23" s="13">
        <f t="shared" si="6"/>
        <v>0.261805003683033</v>
      </c>
      <c r="K23" s="6"/>
      <c r="L23" t="s">
        <v>12</v>
      </c>
      <c r="M23" s="13">
        <f t="shared" ref="M23:P23" si="9">M6/M$16</f>
        <v>0</v>
      </c>
      <c r="N23" s="13">
        <f t="shared" si="9"/>
        <v>0.73705130546548447</v>
      </c>
      <c r="O23" s="13">
        <f t="shared" si="9"/>
        <v>0.16471673226024386</v>
      </c>
      <c r="P23" s="13">
        <f t="shared" si="9"/>
        <v>2.8750211398613224E-2</v>
      </c>
      <c r="Q23" s="13">
        <f t="shared" si="8"/>
        <v>0.10222093612095783</v>
      </c>
      <c r="R23" s="13">
        <f t="shared" si="8"/>
        <v>0</v>
      </c>
      <c r="S23" s="13">
        <f t="shared" si="8"/>
        <v>0</v>
      </c>
      <c r="T23" s="13">
        <f t="shared" si="8"/>
        <v>0.12739362110532701</v>
      </c>
      <c r="U23" s="13">
        <f t="shared" si="8"/>
        <v>0.241263519854619</v>
      </c>
    </row>
    <row r="24" spans="1:21" x14ac:dyDescent="0.45">
      <c r="A24" t="s">
        <v>56</v>
      </c>
      <c r="B24" s="13">
        <f t="shared" si="4"/>
        <v>0</v>
      </c>
      <c r="C24" s="13">
        <f t="shared" si="4"/>
        <v>0</v>
      </c>
      <c r="D24" s="13">
        <f t="shared" si="4"/>
        <v>0.65326923970182194</v>
      </c>
      <c r="E24" s="13">
        <f t="shared" si="5"/>
        <v>2.5305027994246606E-2</v>
      </c>
      <c r="F24" s="13">
        <f t="shared" si="6"/>
        <v>3.7357679343983763E-2</v>
      </c>
      <c r="G24" s="13">
        <f t="shared" si="6"/>
        <v>0</v>
      </c>
      <c r="H24" s="13">
        <f t="shared" si="6"/>
        <v>0</v>
      </c>
      <c r="I24" s="13">
        <f t="shared" si="6"/>
        <v>0.11087653099221073</v>
      </c>
      <c r="J24" s="13">
        <f t="shared" si="6"/>
        <v>0.14380534576351425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0.69980161070658764</v>
      </c>
      <c r="P24" s="13">
        <f t="shared" si="10"/>
        <v>0</v>
      </c>
      <c r="Q24" s="13">
        <f t="shared" si="8"/>
        <v>4.4888953193952107E-2</v>
      </c>
      <c r="R24" s="13">
        <f t="shared" si="8"/>
        <v>0</v>
      </c>
      <c r="S24" s="13">
        <f t="shared" si="8"/>
        <v>0</v>
      </c>
      <c r="T24" s="13">
        <f t="shared" si="8"/>
        <v>0.12166582208504169</v>
      </c>
      <c r="U24" s="13">
        <f t="shared" si="8"/>
        <v>0.15646835369824114</v>
      </c>
    </row>
    <row r="25" spans="1:21" x14ac:dyDescent="0.45">
      <c r="A25" t="s">
        <v>51</v>
      </c>
      <c r="B25" s="13">
        <f t="shared" si="4"/>
        <v>0</v>
      </c>
      <c r="C25" s="13">
        <f t="shared" si="4"/>
        <v>0</v>
      </c>
      <c r="D25" s="13">
        <f t="shared" si="4"/>
        <v>0</v>
      </c>
      <c r="E25" s="13">
        <f t="shared" si="5"/>
        <v>0.46867216285321789</v>
      </c>
      <c r="F25" s="13">
        <f t="shared" si="6"/>
        <v>0.77849656804236167</v>
      </c>
      <c r="G25" s="13">
        <f t="shared" si="6"/>
        <v>0</v>
      </c>
      <c r="H25" s="13">
        <f t="shared" si="6"/>
        <v>0</v>
      </c>
      <c r="I25" s="13">
        <f t="shared" si="6"/>
        <v>8.2776877206973999E-3</v>
      </c>
      <c r="J25" s="13">
        <f t="shared" si="6"/>
        <v>5.3220388285220015E-2</v>
      </c>
      <c r="K25" s="6"/>
      <c r="L25" t="s">
        <v>51</v>
      </c>
      <c r="M25" s="13">
        <f t="shared" ref="M25:P25" si="11">M8/M$16</f>
        <v>0</v>
      </c>
      <c r="N25" s="13">
        <f t="shared" si="11"/>
        <v>0</v>
      </c>
      <c r="O25" s="13">
        <f t="shared" si="11"/>
        <v>0</v>
      </c>
      <c r="P25" s="13">
        <f t="shared" si="11"/>
        <v>0.42501456301557772</v>
      </c>
      <c r="Q25" s="13">
        <f t="shared" si="8"/>
        <v>0.62338132098676124</v>
      </c>
      <c r="R25" s="13">
        <f t="shared" si="8"/>
        <v>0</v>
      </c>
      <c r="S25" s="13">
        <f t="shared" si="8"/>
        <v>0</v>
      </c>
      <c r="T25" s="13">
        <f t="shared" si="8"/>
        <v>8.445816249750465E-4</v>
      </c>
      <c r="U25" s="13">
        <f t="shared" si="8"/>
        <v>1.8614346671741569E-2</v>
      </c>
    </row>
    <row r="26" spans="1:21" x14ac:dyDescent="0.45">
      <c r="A26" t="s">
        <v>52</v>
      </c>
      <c r="B26" s="13">
        <f t="shared" si="4"/>
        <v>0</v>
      </c>
      <c r="C26" s="13">
        <f t="shared" si="4"/>
        <v>0</v>
      </c>
      <c r="D26" s="13">
        <f t="shared" si="4"/>
        <v>0</v>
      </c>
      <c r="E26" s="13">
        <f t="shared" si="5"/>
        <v>0</v>
      </c>
      <c r="F26" s="13">
        <f t="shared" si="6"/>
        <v>0</v>
      </c>
      <c r="G26" s="13">
        <f t="shared" si="6"/>
        <v>0</v>
      </c>
      <c r="H26" s="13">
        <f t="shared" si="6"/>
        <v>0</v>
      </c>
      <c r="I26" s="13">
        <f t="shared" si="6"/>
        <v>0</v>
      </c>
      <c r="J26" s="13">
        <f t="shared" si="6"/>
        <v>0</v>
      </c>
      <c r="K26" s="6"/>
      <c r="L26" t="s">
        <v>52</v>
      </c>
      <c r="M26" s="13">
        <f t="shared" ref="M26:P26" si="12">M9/M$16</f>
        <v>0</v>
      </c>
      <c r="N26" s="13">
        <f t="shared" si="12"/>
        <v>0</v>
      </c>
      <c r="O26" s="13">
        <f t="shared" si="12"/>
        <v>0</v>
      </c>
      <c r="P26" s="13">
        <f t="shared" si="12"/>
        <v>0</v>
      </c>
      <c r="Q26" s="13">
        <f t="shared" si="8"/>
        <v>0</v>
      </c>
      <c r="R26" s="13">
        <f t="shared" si="8"/>
        <v>0</v>
      </c>
      <c r="S26" s="13">
        <f t="shared" si="8"/>
        <v>0</v>
      </c>
      <c r="T26" s="13">
        <f t="shared" si="8"/>
        <v>0</v>
      </c>
      <c r="U26" s="13">
        <f t="shared" si="8"/>
        <v>0</v>
      </c>
    </row>
    <row r="27" spans="1:21" x14ac:dyDescent="0.45">
      <c r="A27" t="s">
        <v>53</v>
      </c>
      <c r="B27" s="13">
        <f t="shared" si="4"/>
        <v>0</v>
      </c>
      <c r="C27" s="13">
        <f t="shared" si="4"/>
        <v>0</v>
      </c>
      <c r="D27" s="13">
        <f t="shared" si="4"/>
        <v>0</v>
      </c>
      <c r="E27" s="13">
        <f t="shared" si="5"/>
        <v>0</v>
      </c>
      <c r="F27" s="13">
        <f t="shared" si="6"/>
        <v>0</v>
      </c>
      <c r="G27" s="13">
        <f t="shared" si="6"/>
        <v>0</v>
      </c>
      <c r="H27" s="13">
        <f t="shared" si="6"/>
        <v>0</v>
      </c>
      <c r="I27" s="13">
        <f t="shared" si="6"/>
        <v>0</v>
      </c>
      <c r="J27" s="13">
        <f t="shared" si="6"/>
        <v>0</v>
      </c>
      <c r="K27" s="6"/>
      <c r="L27" t="s">
        <v>53</v>
      </c>
      <c r="M27" s="13">
        <f t="shared" ref="M27:P27" si="13">M10/M$16</f>
        <v>0</v>
      </c>
      <c r="N27" s="13">
        <f t="shared" si="13"/>
        <v>0</v>
      </c>
      <c r="O27" s="13">
        <f t="shared" si="13"/>
        <v>0</v>
      </c>
      <c r="P27" s="13">
        <f t="shared" si="13"/>
        <v>0</v>
      </c>
      <c r="Q27" s="13">
        <f t="shared" si="8"/>
        <v>0</v>
      </c>
      <c r="R27" s="13">
        <f t="shared" si="8"/>
        <v>0</v>
      </c>
      <c r="S27" s="13">
        <f t="shared" si="8"/>
        <v>0</v>
      </c>
      <c r="T27" s="13">
        <f t="shared" si="8"/>
        <v>0</v>
      </c>
      <c r="U27" s="13">
        <f t="shared" si="8"/>
        <v>0</v>
      </c>
    </row>
    <row r="28" spans="1:21" x14ac:dyDescent="0.45">
      <c r="A28" t="s">
        <v>54</v>
      </c>
      <c r="B28" s="13">
        <f t="shared" si="4"/>
        <v>0</v>
      </c>
      <c r="C28" s="13">
        <f t="shared" si="4"/>
        <v>0</v>
      </c>
      <c r="D28" s="13">
        <f t="shared" si="4"/>
        <v>0</v>
      </c>
      <c r="E28" s="13">
        <f t="shared" si="5"/>
        <v>0</v>
      </c>
      <c r="F28" s="13">
        <f t="shared" si="6"/>
        <v>0</v>
      </c>
      <c r="G28" s="13">
        <f t="shared" si="6"/>
        <v>0</v>
      </c>
      <c r="H28" s="13">
        <f t="shared" si="6"/>
        <v>0</v>
      </c>
      <c r="I28" s="13">
        <f t="shared" si="6"/>
        <v>0</v>
      </c>
      <c r="J28" s="13">
        <f t="shared" si="6"/>
        <v>0</v>
      </c>
      <c r="K28" s="6"/>
      <c r="L28" t="s">
        <v>54</v>
      </c>
      <c r="M28" s="13">
        <f t="shared" ref="M28:P28" si="14">M11/M$16</f>
        <v>0</v>
      </c>
      <c r="N28" s="13">
        <f t="shared" si="14"/>
        <v>0</v>
      </c>
      <c r="O28" s="13">
        <f t="shared" si="14"/>
        <v>0</v>
      </c>
      <c r="P28" s="13">
        <f t="shared" si="14"/>
        <v>0</v>
      </c>
      <c r="Q28" s="13">
        <f t="shared" si="8"/>
        <v>0</v>
      </c>
      <c r="R28" s="13">
        <f t="shared" si="8"/>
        <v>0</v>
      </c>
      <c r="S28" s="13">
        <f t="shared" si="8"/>
        <v>0</v>
      </c>
      <c r="T28" s="13">
        <f t="shared" si="8"/>
        <v>0</v>
      </c>
      <c r="U28" s="13">
        <f t="shared" si="8"/>
        <v>0</v>
      </c>
    </row>
    <row r="29" spans="1:21" x14ac:dyDescent="0.45">
      <c r="A29" t="s">
        <v>55</v>
      </c>
      <c r="B29" s="13">
        <f t="shared" si="4"/>
        <v>0</v>
      </c>
      <c r="C29" s="13">
        <f t="shared" si="4"/>
        <v>0</v>
      </c>
      <c r="D29" s="13">
        <f t="shared" si="4"/>
        <v>0</v>
      </c>
      <c r="E29" s="13">
        <f t="shared" si="5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6"/>
      <c r="L29" t="s">
        <v>55</v>
      </c>
      <c r="M29" s="13">
        <f t="shared" ref="M29:P29" si="15">M12/M$16</f>
        <v>0</v>
      </c>
      <c r="N29" s="13">
        <f t="shared" si="15"/>
        <v>0</v>
      </c>
      <c r="O29" s="13">
        <f t="shared" si="15"/>
        <v>0</v>
      </c>
      <c r="P29" s="13">
        <f t="shared" si="15"/>
        <v>0</v>
      </c>
      <c r="Q29" s="13">
        <f t="shared" si="8"/>
        <v>0</v>
      </c>
      <c r="R29" s="13">
        <f t="shared" si="8"/>
        <v>0</v>
      </c>
      <c r="S29" s="13">
        <f t="shared" si="8"/>
        <v>0</v>
      </c>
      <c r="T29" s="13">
        <f t="shared" si="8"/>
        <v>0</v>
      </c>
      <c r="U29" s="13">
        <f t="shared" si="8"/>
        <v>0</v>
      </c>
    </row>
    <row r="30" spans="1:21" x14ac:dyDescent="0.45">
      <c r="A30" t="s">
        <v>24</v>
      </c>
      <c r="B30" s="13">
        <f t="shared" si="4"/>
        <v>0</v>
      </c>
      <c r="C30" s="13">
        <f t="shared" si="4"/>
        <v>0</v>
      </c>
      <c r="D30" s="13">
        <f t="shared" si="4"/>
        <v>0</v>
      </c>
      <c r="E30" s="13">
        <f t="shared" si="5"/>
        <v>0</v>
      </c>
      <c r="F30" s="13">
        <f t="shared" si="6"/>
        <v>0</v>
      </c>
      <c r="G30" s="13">
        <f t="shared" si="6"/>
        <v>0</v>
      </c>
      <c r="H30" s="13">
        <f t="shared" si="6"/>
        <v>0</v>
      </c>
      <c r="I30" s="13">
        <f t="shared" si="6"/>
        <v>0.76651168648845747</v>
      </c>
      <c r="J30" s="13">
        <f t="shared" si="6"/>
        <v>1.7986955681390363E-2</v>
      </c>
      <c r="K30" s="6"/>
      <c r="L30" t="s">
        <v>24</v>
      </c>
      <c r="M30" s="13">
        <f t="shared" ref="M30:P30" si="16">M13/M$16</f>
        <v>0</v>
      </c>
      <c r="N30" s="13">
        <f t="shared" si="16"/>
        <v>0</v>
      </c>
      <c r="O30" s="13">
        <f t="shared" si="16"/>
        <v>0</v>
      </c>
      <c r="P30" s="13">
        <f t="shared" si="16"/>
        <v>0</v>
      </c>
      <c r="Q30" s="13">
        <f t="shared" si="8"/>
        <v>0</v>
      </c>
      <c r="R30" s="13">
        <f t="shared" si="8"/>
        <v>0</v>
      </c>
      <c r="S30" s="13">
        <f t="shared" si="8"/>
        <v>0</v>
      </c>
      <c r="T30" s="13">
        <f t="shared" si="8"/>
        <v>0.708342930851799</v>
      </c>
      <c r="U30" s="13">
        <f t="shared" si="8"/>
        <v>2.1516089489916432E-2</v>
      </c>
    </row>
    <row r="31" spans="1:21" x14ac:dyDescent="0.45">
      <c r="A31" t="s">
        <v>4</v>
      </c>
      <c r="B31" s="13">
        <f t="shared" si="4"/>
        <v>1.7172488019103109E-3</v>
      </c>
      <c r="C31" s="13">
        <f t="shared" si="4"/>
        <v>1.1171399468576919E-3</v>
      </c>
      <c r="D31" s="13">
        <f t="shared" si="4"/>
        <v>1.0114027739388182E-3</v>
      </c>
      <c r="E31" s="13">
        <f t="shared" si="5"/>
        <v>0</v>
      </c>
      <c r="F31" s="13">
        <f t="shared" si="6"/>
        <v>5.3334374325828037E-3</v>
      </c>
      <c r="G31" s="13">
        <f t="shared" si="6"/>
        <v>0.98402739536620154</v>
      </c>
      <c r="H31" s="13">
        <f t="shared" si="6"/>
        <v>0</v>
      </c>
      <c r="I31" s="13">
        <f t="shared" si="6"/>
        <v>0</v>
      </c>
      <c r="J31" s="13">
        <f t="shared" si="6"/>
        <v>1.0981520739940033E-2</v>
      </c>
      <c r="K31" s="6"/>
      <c r="L31" t="s">
        <v>4</v>
      </c>
      <c r="M31" s="13">
        <f t="shared" ref="M31:P31" si="17">M14/M$16</f>
        <v>9.358980630643388E-4</v>
      </c>
      <c r="N31" s="13">
        <f t="shared" si="17"/>
        <v>3.625048672825574E-3</v>
      </c>
      <c r="O31" s="13">
        <f t="shared" si="17"/>
        <v>3.4937963131762661E-3</v>
      </c>
      <c r="P31" s="13">
        <f t="shared" si="17"/>
        <v>0</v>
      </c>
      <c r="Q31" s="13">
        <f t="shared" si="8"/>
        <v>1.0272733849381465E-2</v>
      </c>
      <c r="R31" s="13">
        <f t="shared" si="8"/>
        <v>0.81667448772094475</v>
      </c>
      <c r="S31" s="13">
        <f t="shared" si="8"/>
        <v>0</v>
      </c>
      <c r="T31" s="13">
        <f t="shared" si="8"/>
        <v>5.8967153452803246E-3</v>
      </c>
      <c r="U31" s="13">
        <f t="shared" si="8"/>
        <v>1.213311914264018E-2</v>
      </c>
    </row>
    <row r="32" spans="1:21" x14ac:dyDescent="0.45">
      <c r="A32" s="4" t="s">
        <v>5</v>
      </c>
      <c r="B32" s="14">
        <f t="shared" si="4"/>
        <v>1.8709174533942836E-2</v>
      </c>
      <c r="C32" s="14">
        <f t="shared" si="4"/>
        <v>2.1844745131823644E-2</v>
      </c>
      <c r="D32" s="14">
        <f t="shared" si="4"/>
        <v>5.6924252318103788E-2</v>
      </c>
      <c r="E32" s="13">
        <f t="shared" si="5"/>
        <v>4.0406067205148513E-2</v>
      </c>
      <c r="F32" s="14">
        <f t="shared" si="6"/>
        <v>9.6661704492119568E-2</v>
      </c>
      <c r="G32" s="14">
        <f t="shared" si="6"/>
        <v>1.5972604633798529E-2</v>
      </c>
      <c r="H32" s="14">
        <f t="shared" si="6"/>
        <v>1</v>
      </c>
      <c r="I32" s="14">
        <f t="shared" si="6"/>
        <v>2.2808103198903272E-2</v>
      </c>
      <c r="J32" s="14">
        <f t="shared" si="6"/>
        <v>0.10658217185100512</v>
      </c>
      <c r="K32" s="6"/>
      <c r="L32" s="4" t="s">
        <v>5</v>
      </c>
      <c r="M32" s="14">
        <f t="shared" ref="M32:P32" si="18">M15/M$16</f>
        <v>4.3164597048895845E-2</v>
      </c>
      <c r="N32" s="14">
        <f t="shared" si="18"/>
        <v>3.827493168575101E-2</v>
      </c>
      <c r="O32" s="14">
        <f t="shared" si="18"/>
        <v>2.8370741332532628E-2</v>
      </c>
      <c r="P32" s="14">
        <f t="shared" si="18"/>
        <v>0</v>
      </c>
      <c r="Q32" s="14">
        <f t="shared" si="8"/>
        <v>0.17394921507632208</v>
      </c>
      <c r="R32" s="14">
        <f t="shared" si="8"/>
        <v>0.18332551227905522</v>
      </c>
      <c r="S32" s="14">
        <f t="shared" si="8"/>
        <v>1</v>
      </c>
      <c r="T32" s="14">
        <f t="shared" si="8"/>
        <v>3.3875401176271865E-2</v>
      </c>
      <c r="U32" s="14">
        <f t="shared" si="8"/>
        <v>0.10707155797608453</v>
      </c>
    </row>
    <row r="33" spans="1:32" ht="14.65" thickBot="1" x14ac:dyDescent="0.5">
      <c r="A33" s="12" t="s">
        <v>7</v>
      </c>
      <c r="B33" s="15">
        <f t="shared" si="4"/>
        <v>1</v>
      </c>
      <c r="C33" s="15">
        <f t="shared" si="4"/>
        <v>1</v>
      </c>
      <c r="D33" s="15">
        <f t="shared" si="4"/>
        <v>1</v>
      </c>
      <c r="E33" s="15">
        <f t="shared" si="5"/>
        <v>1</v>
      </c>
      <c r="F33" s="15">
        <f t="shared" si="6"/>
        <v>1</v>
      </c>
      <c r="G33" s="15">
        <f t="shared" si="6"/>
        <v>1</v>
      </c>
      <c r="H33" s="15">
        <f t="shared" si="6"/>
        <v>1</v>
      </c>
      <c r="I33" s="15">
        <f t="shared" si="6"/>
        <v>1</v>
      </c>
      <c r="J33" s="15">
        <f t="shared" si="6"/>
        <v>1</v>
      </c>
      <c r="L33" s="9" t="s">
        <v>7</v>
      </c>
      <c r="M33" s="15">
        <f t="shared" ref="M33:P33" si="19">M16/M$16</f>
        <v>1</v>
      </c>
      <c r="N33" s="15">
        <f t="shared" si="19"/>
        <v>1</v>
      </c>
      <c r="O33" s="15">
        <f t="shared" si="19"/>
        <v>1</v>
      </c>
      <c r="P33" s="15">
        <f t="shared" si="19"/>
        <v>1</v>
      </c>
      <c r="Q33" s="15">
        <f t="shared" si="8"/>
        <v>1</v>
      </c>
      <c r="R33" s="15">
        <f t="shared" si="8"/>
        <v>1</v>
      </c>
      <c r="S33" s="15">
        <f t="shared" si="8"/>
        <v>1</v>
      </c>
      <c r="T33" s="15">
        <f t="shared" si="8"/>
        <v>1</v>
      </c>
      <c r="U33" s="15">
        <f t="shared" si="8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4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45">
      <c r="L39" t="s">
        <v>1</v>
      </c>
      <c r="M39" s="13">
        <f t="shared" ref="M39:P44" si="20">M22-B22</f>
        <v>-2.3674071776107142E-2</v>
      </c>
      <c r="N39" s="13">
        <f t="shared" si="20"/>
        <v>-1.1014821731623242E-2</v>
      </c>
      <c r="O39" s="13">
        <f t="shared" si="20"/>
        <v>-1.6025893091545368E-2</v>
      </c>
      <c r="P39" s="13">
        <f t="shared" si="20"/>
        <v>0.12211161140248594</v>
      </c>
      <c r="Q39" s="13">
        <f t="shared" ref="Q39:Q50" si="21">Q22-F22</f>
        <v>1.4502996277625104E-2</v>
      </c>
      <c r="R39" s="13">
        <f t="shared" ref="R39:R50" si="22">R22-G22</f>
        <v>0</v>
      </c>
      <c r="S39" s="13">
        <f t="shared" ref="S39:S50" si="23">S22-H22</f>
        <v>0</v>
      </c>
      <c r="T39" s="13">
        <f t="shared" ref="T39:T50" si="24">T22-I22</f>
        <v>-8.3932588195602086E-3</v>
      </c>
      <c r="U39" s="13">
        <f t="shared" ref="U39:U50" si="25">U22-J22</f>
        <v>3.7314399170859991E-2</v>
      </c>
      <c r="W39" s="21" t="s">
        <v>1</v>
      </c>
      <c r="X39" s="22">
        <f>M39</f>
        <v>-2.3674071776107142E-2</v>
      </c>
      <c r="Y39" s="22">
        <f t="shared" ref="Y39:AF39" si="26">N39</f>
        <v>-1.1014821731623242E-2</v>
      </c>
      <c r="Z39" s="22">
        <f t="shared" si="26"/>
        <v>-1.6025893091545368E-2</v>
      </c>
      <c r="AA39" s="22">
        <f t="shared" si="26"/>
        <v>0.12211161140248594</v>
      </c>
      <c r="AB39" s="22">
        <f t="shared" si="26"/>
        <v>1.4502996277625104E-2</v>
      </c>
      <c r="AC39" s="22">
        <f t="shared" si="26"/>
        <v>0</v>
      </c>
      <c r="AD39" s="22">
        <f t="shared" si="26"/>
        <v>0</v>
      </c>
      <c r="AE39" s="22">
        <f t="shared" si="26"/>
        <v>-8.3932588195602086E-3</v>
      </c>
      <c r="AF39" s="22">
        <f t="shared" si="26"/>
        <v>3.7314399170859991E-2</v>
      </c>
    </row>
    <row r="40" spans="1:32" x14ac:dyDescent="0.45">
      <c r="L40" t="s">
        <v>9</v>
      </c>
      <c r="M40" s="13">
        <f t="shared" si="20"/>
        <v>0</v>
      </c>
      <c r="N40" s="13">
        <f t="shared" si="20"/>
        <v>-7.9232735482720473E-3</v>
      </c>
      <c r="O40" s="13">
        <f t="shared" si="20"/>
        <v>-4.4353604668866675E-3</v>
      </c>
      <c r="P40" s="13">
        <f t="shared" si="20"/>
        <v>-1.2742916365450579E-2</v>
      </c>
      <c r="Q40" s="13">
        <f t="shared" si="21"/>
        <v>5.0854169927005859E-2</v>
      </c>
      <c r="R40" s="13">
        <f t="shared" si="22"/>
        <v>0</v>
      </c>
      <c r="S40" s="13">
        <f t="shared" si="23"/>
        <v>0</v>
      </c>
      <c r="T40" s="13">
        <f t="shared" si="24"/>
        <v>4.6241816136461306E-2</v>
      </c>
      <c r="U40" s="13">
        <f t="shared" si="25"/>
        <v>-2.0541483828414003E-2</v>
      </c>
      <c r="W40" s="27" t="s">
        <v>9</v>
      </c>
      <c r="X40" s="22">
        <f t="shared" ref="X40:X49" si="27">M40</f>
        <v>0</v>
      </c>
      <c r="Y40" s="22">
        <f t="shared" ref="Y40:Y50" si="28">N40</f>
        <v>-7.9232735482720473E-3</v>
      </c>
      <c r="Z40" s="22">
        <f t="shared" ref="Z40:Z50" si="29">O40</f>
        <v>-4.4353604668866675E-3</v>
      </c>
      <c r="AA40" s="22">
        <f t="shared" ref="AA40:AA50" si="30">P40</f>
        <v>-1.2742916365450579E-2</v>
      </c>
      <c r="AB40" s="22">
        <f t="shared" ref="AB40:AB50" si="31">Q40</f>
        <v>5.0854169927005859E-2</v>
      </c>
      <c r="AC40" s="22">
        <f t="shared" ref="AC40:AC50" si="32">R40</f>
        <v>0</v>
      </c>
      <c r="AD40" s="22">
        <f t="shared" ref="AD40:AD50" si="33">S40</f>
        <v>0</v>
      </c>
      <c r="AE40" s="22">
        <f t="shared" ref="AE40:AE50" si="34">T40</f>
        <v>4.6241816136461306E-2</v>
      </c>
      <c r="AF40" s="22">
        <f t="shared" ref="AF40:AF50" si="35">U40</f>
        <v>-2.0541483828414003E-2</v>
      </c>
    </row>
    <row r="41" spans="1:32" x14ac:dyDescent="0.45">
      <c r="L41" t="s">
        <v>10</v>
      </c>
      <c r="M41" s="13">
        <f t="shared" si="20"/>
        <v>0</v>
      </c>
      <c r="N41" s="13">
        <f t="shared" si="20"/>
        <v>0</v>
      </c>
      <c r="O41" s="13">
        <f t="shared" si="20"/>
        <v>4.6532371004765705E-2</v>
      </c>
      <c r="P41" s="13">
        <f t="shared" si="20"/>
        <v>-2.5305027994246606E-2</v>
      </c>
      <c r="Q41" s="13">
        <f t="shared" si="21"/>
        <v>7.5312738499683438E-3</v>
      </c>
      <c r="R41" s="13">
        <f t="shared" si="22"/>
        <v>0</v>
      </c>
      <c r="S41" s="13">
        <f t="shared" si="23"/>
        <v>0</v>
      </c>
      <c r="T41" s="13">
        <f t="shared" si="24"/>
        <v>1.0789291092830958E-2</v>
      </c>
      <c r="U41" s="13">
        <f t="shared" si="25"/>
        <v>1.2663007934726883E-2</v>
      </c>
      <c r="W41" s="27" t="s">
        <v>10</v>
      </c>
      <c r="X41" s="22">
        <f t="shared" si="27"/>
        <v>0</v>
      </c>
      <c r="Y41" s="22">
        <f t="shared" si="28"/>
        <v>0</v>
      </c>
      <c r="Z41" s="22">
        <f t="shared" si="29"/>
        <v>4.6532371004765705E-2</v>
      </c>
      <c r="AA41" s="22">
        <f t="shared" si="30"/>
        <v>-2.5305027994246606E-2</v>
      </c>
      <c r="AB41" s="22">
        <f t="shared" si="31"/>
        <v>7.5312738499683438E-3</v>
      </c>
      <c r="AC41" s="22">
        <f t="shared" si="32"/>
        <v>0</v>
      </c>
      <c r="AD41" s="22">
        <f t="shared" si="33"/>
        <v>0</v>
      </c>
      <c r="AE41" s="22">
        <f t="shared" si="34"/>
        <v>1.0789291092830958E-2</v>
      </c>
      <c r="AF41" s="22">
        <f t="shared" si="35"/>
        <v>1.2663007934726883E-2</v>
      </c>
    </row>
    <row r="42" spans="1:32" x14ac:dyDescent="0.45">
      <c r="L42" t="s">
        <v>51</v>
      </c>
      <c r="M42" s="13">
        <f t="shared" si="20"/>
        <v>0</v>
      </c>
      <c r="N42" s="13">
        <f t="shared" si="20"/>
        <v>0</v>
      </c>
      <c r="O42" s="13">
        <f t="shared" si="20"/>
        <v>0</v>
      </c>
      <c r="P42" s="13">
        <f t="shared" si="20"/>
        <v>-4.3657599837640171E-2</v>
      </c>
      <c r="Q42" s="13">
        <f t="shared" si="21"/>
        <v>-0.15511524705560042</v>
      </c>
      <c r="R42" s="13">
        <f t="shared" si="22"/>
        <v>0</v>
      </c>
      <c r="S42" s="13">
        <f t="shared" si="23"/>
        <v>0</v>
      </c>
      <c r="T42" s="13">
        <f t="shared" si="24"/>
        <v>-7.4331060957223537E-3</v>
      </c>
      <c r="U42" s="13">
        <f t="shared" si="25"/>
        <v>-3.4606041613478446E-2</v>
      </c>
      <c r="W42" t="s">
        <v>51</v>
      </c>
      <c r="X42" s="22">
        <f t="shared" si="27"/>
        <v>0</v>
      </c>
      <c r="Y42" s="22">
        <f t="shared" si="28"/>
        <v>0</v>
      </c>
      <c r="Z42" s="22">
        <f t="shared" si="29"/>
        <v>0</v>
      </c>
      <c r="AA42" s="22">
        <f t="shared" si="30"/>
        <v>-4.3657599837640171E-2</v>
      </c>
      <c r="AB42" s="22">
        <f t="shared" si="31"/>
        <v>-0.15511524705560042</v>
      </c>
      <c r="AC42" s="22">
        <f t="shared" si="32"/>
        <v>0</v>
      </c>
      <c r="AD42" s="22">
        <f t="shared" si="33"/>
        <v>0</v>
      </c>
      <c r="AE42" s="22">
        <f t="shared" si="34"/>
        <v>-7.4331060957223537E-3</v>
      </c>
      <c r="AF42" s="22">
        <f t="shared" si="35"/>
        <v>-3.4606041613478446E-2</v>
      </c>
    </row>
    <row r="43" spans="1:32" x14ac:dyDescent="0.45">
      <c r="L43" t="s">
        <v>52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P43" s="13">
        <f t="shared" si="20"/>
        <v>0</v>
      </c>
      <c r="Q43" s="13">
        <f t="shared" si="21"/>
        <v>0</v>
      </c>
      <c r="R43" s="13">
        <f t="shared" si="22"/>
        <v>0</v>
      </c>
      <c r="S43" s="13">
        <f t="shared" si="23"/>
        <v>0</v>
      </c>
      <c r="T43" s="13">
        <f t="shared" si="24"/>
        <v>0</v>
      </c>
      <c r="U43" s="13">
        <f t="shared" si="25"/>
        <v>0</v>
      </c>
      <c r="W43" t="s">
        <v>52</v>
      </c>
      <c r="X43" s="22">
        <f t="shared" si="27"/>
        <v>0</v>
      </c>
      <c r="Y43" s="22">
        <f t="shared" si="28"/>
        <v>0</v>
      </c>
      <c r="Z43" s="22">
        <f t="shared" si="29"/>
        <v>0</v>
      </c>
      <c r="AA43" s="22">
        <f t="shared" si="30"/>
        <v>0</v>
      </c>
      <c r="AB43" s="22">
        <f t="shared" si="31"/>
        <v>0</v>
      </c>
      <c r="AC43" s="22">
        <f t="shared" si="32"/>
        <v>0</v>
      </c>
      <c r="AD43" s="22">
        <f t="shared" si="33"/>
        <v>0</v>
      </c>
      <c r="AE43" s="22">
        <f t="shared" si="34"/>
        <v>0</v>
      </c>
      <c r="AF43" s="22">
        <f t="shared" si="35"/>
        <v>0</v>
      </c>
    </row>
    <row r="44" spans="1:32" x14ac:dyDescent="0.45">
      <c r="L44" t="s">
        <v>53</v>
      </c>
      <c r="M44" s="13">
        <f t="shared" si="20"/>
        <v>0</v>
      </c>
      <c r="N44" s="13">
        <f t="shared" si="20"/>
        <v>0</v>
      </c>
      <c r="O44" s="13">
        <f t="shared" si="20"/>
        <v>0</v>
      </c>
      <c r="P44" s="13">
        <f t="shared" si="20"/>
        <v>0</v>
      </c>
      <c r="Q44" s="13">
        <f t="shared" si="21"/>
        <v>0</v>
      </c>
      <c r="R44" s="13">
        <f t="shared" si="22"/>
        <v>0</v>
      </c>
      <c r="S44" s="13">
        <f t="shared" si="23"/>
        <v>0</v>
      </c>
      <c r="T44" s="13">
        <f t="shared" si="24"/>
        <v>0</v>
      </c>
      <c r="U44" s="13">
        <f t="shared" si="25"/>
        <v>0</v>
      </c>
      <c r="W44" t="s">
        <v>53</v>
      </c>
      <c r="X44" s="22">
        <f t="shared" si="27"/>
        <v>0</v>
      </c>
      <c r="Y44" s="22">
        <f t="shared" si="28"/>
        <v>0</v>
      </c>
      <c r="Z44" s="22">
        <f t="shared" si="29"/>
        <v>0</v>
      </c>
      <c r="AA44" s="22">
        <f t="shared" si="30"/>
        <v>0</v>
      </c>
      <c r="AB44" s="22">
        <f t="shared" si="31"/>
        <v>0</v>
      </c>
      <c r="AC44" s="22">
        <f t="shared" si="32"/>
        <v>0</v>
      </c>
      <c r="AD44" s="22">
        <f t="shared" si="33"/>
        <v>0</v>
      </c>
      <c r="AE44" s="22">
        <f t="shared" si="34"/>
        <v>0</v>
      </c>
      <c r="AF44" s="22">
        <f t="shared" si="35"/>
        <v>0</v>
      </c>
    </row>
    <row r="45" spans="1:32" x14ac:dyDescent="0.45">
      <c r="L45" t="s">
        <v>54</v>
      </c>
      <c r="M45" s="13">
        <f t="shared" ref="M45:M47" si="36">M28-B28</f>
        <v>0</v>
      </c>
      <c r="N45" s="13">
        <f t="shared" ref="N45:N47" si="37">N28-C28</f>
        <v>0</v>
      </c>
      <c r="O45" s="13">
        <f t="shared" ref="O45:O47" si="38">O28-D28</f>
        <v>0</v>
      </c>
      <c r="P45" s="13">
        <f t="shared" ref="P45:P47" si="39">P28-E28</f>
        <v>0</v>
      </c>
      <c r="Q45" s="13">
        <f t="shared" si="21"/>
        <v>0</v>
      </c>
      <c r="R45" s="13">
        <f t="shared" si="22"/>
        <v>0</v>
      </c>
      <c r="S45" s="13">
        <f t="shared" si="23"/>
        <v>0</v>
      </c>
      <c r="T45" s="13">
        <f t="shared" si="24"/>
        <v>0</v>
      </c>
      <c r="U45" s="13">
        <f t="shared" si="25"/>
        <v>0</v>
      </c>
      <c r="W45" t="s">
        <v>54</v>
      </c>
      <c r="X45" s="22">
        <f t="shared" si="27"/>
        <v>0</v>
      </c>
      <c r="Y45" s="22">
        <f t="shared" si="28"/>
        <v>0</v>
      </c>
      <c r="Z45" s="22">
        <f t="shared" si="29"/>
        <v>0</v>
      </c>
      <c r="AA45" s="22">
        <f t="shared" si="30"/>
        <v>0</v>
      </c>
      <c r="AB45" s="22">
        <f t="shared" si="31"/>
        <v>0</v>
      </c>
      <c r="AC45" s="22">
        <f t="shared" si="32"/>
        <v>0</v>
      </c>
      <c r="AD45" s="22">
        <f t="shared" si="33"/>
        <v>0</v>
      </c>
      <c r="AE45" s="22">
        <f t="shared" si="34"/>
        <v>0</v>
      </c>
      <c r="AF45" s="22">
        <f t="shared" si="35"/>
        <v>0</v>
      </c>
    </row>
    <row r="46" spans="1:32" x14ac:dyDescent="0.45">
      <c r="L46" t="s">
        <v>55</v>
      </c>
      <c r="M46" s="13">
        <f t="shared" si="36"/>
        <v>0</v>
      </c>
      <c r="N46" s="13">
        <f t="shared" si="37"/>
        <v>0</v>
      </c>
      <c r="O46" s="13">
        <f t="shared" si="38"/>
        <v>0</v>
      </c>
      <c r="P46" s="13">
        <f t="shared" si="39"/>
        <v>0</v>
      </c>
      <c r="Q46" s="13">
        <f t="shared" si="21"/>
        <v>0</v>
      </c>
      <c r="R46" s="13">
        <f t="shared" si="22"/>
        <v>0</v>
      </c>
      <c r="S46" s="13">
        <f t="shared" si="23"/>
        <v>0</v>
      </c>
      <c r="T46" s="13">
        <f t="shared" si="24"/>
        <v>0</v>
      </c>
      <c r="U46" s="13">
        <f t="shared" si="25"/>
        <v>0</v>
      </c>
      <c r="W46" t="s">
        <v>55</v>
      </c>
      <c r="X46" s="22">
        <f t="shared" si="27"/>
        <v>0</v>
      </c>
      <c r="Y46" s="22">
        <f t="shared" si="28"/>
        <v>0</v>
      </c>
      <c r="Z46" s="22">
        <f t="shared" si="29"/>
        <v>0</v>
      </c>
      <c r="AA46" s="22">
        <f t="shared" si="30"/>
        <v>0</v>
      </c>
      <c r="AB46" s="22">
        <f t="shared" si="31"/>
        <v>0</v>
      </c>
      <c r="AC46" s="22">
        <f t="shared" si="32"/>
        <v>0</v>
      </c>
      <c r="AD46" s="22">
        <f t="shared" si="33"/>
        <v>0</v>
      </c>
      <c r="AE46" s="22">
        <f t="shared" si="34"/>
        <v>0</v>
      </c>
      <c r="AF46" s="22">
        <f t="shared" si="35"/>
        <v>0</v>
      </c>
    </row>
    <row r="47" spans="1:32" x14ac:dyDescent="0.45">
      <c r="L47" t="s">
        <v>24</v>
      </c>
      <c r="M47" s="13">
        <f t="shared" si="36"/>
        <v>0</v>
      </c>
      <c r="N47" s="13">
        <f t="shared" si="37"/>
        <v>0</v>
      </c>
      <c r="O47" s="13">
        <f t="shared" si="38"/>
        <v>0</v>
      </c>
      <c r="P47" s="13">
        <f t="shared" si="39"/>
        <v>0</v>
      </c>
      <c r="Q47" s="13">
        <f t="shared" si="21"/>
        <v>0</v>
      </c>
      <c r="R47" s="13">
        <f t="shared" si="22"/>
        <v>0</v>
      </c>
      <c r="S47" s="13">
        <f t="shared" si="23"/>
        <v>0</v>
      </c>
      <c r="T47" s="13">
        <f t="shared" si="24"/>
        <v>-5.8168755636658465E-2</v>
      </c>
      <c r="U47" s="13">
        <f t="shared" si="25"/>
        <v>3.5291338085260693E-3</v>
      </c>
      <c r="W47" s="21" t="s">
        <v>24</v>
      </c>
      <c r="X47" s="22">
        <f t="shared" si="27"/>
        <v>0</v>
      </c>
      <c r="Y47" s="22">
        <f t="shared" si="28"/>
        <v>0</v>
      </c>
      <c r="Z47" s="22">
        <f t="shared" si="29"/>
        <v>0</v>
      </c>
      <c r="AA47" s="22">
        <f t="shared" si="30"/>
        <v>0</v>
      </c>
      <c r="AB47" s="22">
        <f t="shared" si="31"/>
        <v>0</v>
      </c>
      <c r="AC47" s="22">
        <f t="shared" si="32"/>
        <v>0</v>
      </c>
      <c r="AD47" s="22">
        <f t="shared" si="33"/>
        <v>0</v>
      </c>
      <c r="AE47" s="22">
        <f t="shared" si="34"/>
        <v>-5.8168755636658465E-2</v>
      </c>
      <c r="AF47" s="22">
        <f t="shared" si="35"/>
        <v>3.5291338085260693E-3</v>
      </c>
    </row>
    <row r="48" spans="1:32" x14ac:dyDescent="0.45">
      <c r="L48" t="s">
        <v>4</v>
      </c>
      <c r="M48" s="13">
        <f t="shared" ref="M48:P50" si="40">M31-B31</f>
        <v>-7.8135073884597213E-4</v>
      </c>
      <c r="N48" s="13">
        <f t="shared" si="40"/>
        <v>2.5079087259678818E-3</v>
      </c>
      <c r="O48" s="13">
        <f t="shared" si="40"/>
        <v>2.4823935392374479E-3</v>
      </c>
      <c r="P48" s="13">
        <f t="shared" si="40"/>
        <v>0</v>
      </c>
      <c r="Q48" s="13">
        <f t="shared" si="21"/>
        <v>4.9392964167986617E-3</v>
      </c>
      <c r="R48" s="13">
        <f t="shared" si="22"/>
        <v>-0.16735290764525679</v>
      </c>
      <c r="S48" s="13">
        <f t="shared" si="23"/>
        <v>0</v>
      </c>
      <c r="T48" s="13">
        <f t="shared" si="24"/>
        <v>5.8967153452803246E-3</v>
      </c>
      <c r="U48" s="13">
        <f t="shared" si="25"/>
        <v>1.1515984027001477E-3</v>
      </c>
      <c r="W48" s="27" t="s">
        <v>4</v>
      </c>
      <c r="X48" s="22">
        <f t="shared" si="27"/>
        <v>-7.8135073884597213E-4</v>
      </c>
      <c r="Y48" s="22">
        <f t="shared" si="28"/>
        <v>2.5079087259678818E-3</v>
      </c>
      <c r="Z48" s="22">
        <f t="shared" si="29"/>
        <v>2.4823935392374479E-3</v>
      </c>
      <c r="AA48" s="22">
        <f t="shared" si="30"/>
        <v>0</v>
      </c>
      <c r="AB48" s="22">
        <f t="shared" si="31"/>
        <v>4.9392964167986617E-3</v>
      </c>
      <c r="AC48" s="22">
        <f t="shared" si="32"/>
        <v>-0.16735290764525679</v>
      </c>
      <c r="AD48" s="22">
        <f t="shared" si="33"/>
        <v>0</v>
      </c>
      <c r="AE48" s="22">
        <f t="shared" si="34"/>
        <v>5.8967153452803246E-3</v>
      </c>
      <c r="AF48" s="22">
        <f t="shared" si="35"/>
        <v>1.1515984027001477E-3</v>
      </c>
    </row>
    <row r="49" spans="12:32" x14ac:dyDescent="0.45">
      <c r="L49" s="4" t="s">
        <v>5</v>
      </c>
      <c r="M49" s="17">
        <f t="shared" si="40"/>
        <v>2.4455422514953008E-2</v>
      </c>
      <c r="N49" s="17">
        <f t="shared" si="40"/>
        <v>1.6430186553927365E-2</v>
      </c>
      <c r="O49" s="17">
        <f t="shared" si="40"/>
        <v>-2.855351098557116E-2</v>
      </c>
      <c r="P49" s="17">
        <f t="shared" si="40"/>
        <v>-4.0406067205148513E-2</v>
      </c>
      <c r="Q49" s="17">
        <f t="shared" si="21"/>
        <v>7.728751058420251E-2</v>
      </c>
      <c r="R49" s="17">
        <f t="shared" si="22"/>
        <v>0.16735290764525668</v>
      </c>
      <c r="S49" s="17">
        <f t="shared" si="23"/>
        <v>0</v>
      </c>
      <c r="T49" s="17">
        <f t="shared" si="24"/>
        <v>1.1067297977368593E-2</v>
      </c>
      <c r="U49" s="13">
        <f t="shared" si="25"/>
        <v>4.8938612507941348E-4</v>
      </c>
      <c r="W49" s="20" t="s">
        <v>5</v>
      </c>
      <c r="X49" s="22">
        <f t="shared" si="27"/>
        <v>2.4455422514953008E-2</v>
      </c>
      <c r="Y49" s="22">
        <f t="shared" si="28"/>
        <v>1.6430186553927365E-2</v>
      </c>
      <c r="Z49" s="22">
        <f t="shared" si="29"/>
        <v>-2.855351098557116E-2</v>
      </c>
      <c r="AA49" s="22">
        <f t="shared" si="30"/>
        <v>-4.0406067205148513E-2</v>
      </c>
      <c r="AB49" s="22">
        <f t="shared" si="31"/>
        <v>7.728751058420251E-2</v>
      </c>
      <c r="AC49" s="22">
        <f t="shared" si="32"/>
        <v>0.16735290764525668</v>
      </c>
      <c r="AD49" s="22">
        <f t="shared" si="33"/>
        <v>0</v>
      </c>
      <c r="AE49" s="22">
        <f t="shared" si="34"/>
        <v>1.1067297977368593E-2</v>
      </c>
      <c r="AF49" s="22">
        <f t="shared" si="35"/>
        <v>4.8938612507941348E-4</v>
      </c>
    </row>
    <row r="50" spans="12:32" ht="14.65" thickBot="1" x14ac:dyDescent="0.5">
      <c r="L50" s="9" t="s">
        <v>7</v>
      </c>
      <c r="M50" s="15">
        <f t="shared" si="40"/>
        <v>0</v>
      </c>
      <c r="N50" s="15">
        <f t="shared" si="40"/>
        <v>0</v>
      </c>
      <c r="O50" s="15">
        <f t="shared" si="40"/>
        <v>0</v>
      </c>
      <c r="P50" s="15">
        <f t="shared" si="40"/>
        <v>0</v>
      </c>
      <c r="Q50" s="15">
        <f t="shared" si="21"/>
        <v>0</v>
      </c>
      <c r="R50" s="15">
        <f t="shared" si="22"/>
        <v>0</v>
      </c>
      <c r="S50" s="15">
        <f t="shared" si="23"/>
        <v>0</v>
      </c>
      <c r="T50" s="15">
        <f t="shared" si="24"/>
        <v>0</v>
      </c>
      <c r="U50" s="15">
        <f t="shared" si="25"/>
        <v>0</v>
      </c>
      <c r="W50" s="28" t="s">
        <v>7</v>
      </c>
      <c r="X50" s="29">
        <f>M50</f>
        <v>0</v>
      </c>
      <c r="Y50" s="29">
        <f t="shared" si="28"/>
        <v>0</v>
      </c>
      <c r="Z50" s="29">
        <f t="shared" si="29"/>
        <v>0</v>
      </c>
      <c r="AA50" s="29">
        <f t="shared" si="30"/>
        <v>0</v>
      </c>
      <c r="AB50" s="29">
        <f t="shared" si="31"/>
        <v>0</v>
      </c>
      <c r="AC50" s="29">
        <f t="shared" si="32"/>
        <v>0</v>
      </c>
      <c r="AD50" s="29">
        <f t="shared" si="33"/>
        <v>0</v>
      </c>
      <c r="AE50" s="29">
        <f t="shared" si="34"/>
        <v>0</v>
      </c>
      <c r="AF50" s="29">
        <f t="shared" si="35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14464.562866402</v>
      </c>
      <c r="C5" s="6" t="n">
        <v>264.716510956</v>
      </c>
      <c r="D5" s="6" t="n">
        <v>902.133763915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15631.413141273</v>
      </c>
      <c r="K5" s="6"/>
      <c r="L5" t="s">
        <v>1</v>
      </c>
      <c r="M5" s="6" t="n">
        <v>32149.0</v>
      </c>
      <c r="N5" s="6" t="n">
        <v>685.0</v>
      </c>
      <c r="O5" s="6" t="n">
        <v>142.0</v>
      </c>
      <c r="P5" s="6" t="n">
        <v>0.0</v>
      </c>
      <c r="Q5" s="6" t="n">
        <v>15.0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32152</v>
      </c>
    </row>
    <row r="6" spans="1:21" x14ac:dyDescent="0.45">
      <c r="A6" t="s">
        <v>12</v>
      </c>
      <c r="B6" s="6" t="n">
        <v>0.0</v>
      </c>
      <c r="C6" s="6" t="n">
        <v>7877.8738421856</v>
      </c>
      <c r="D6" s="6" t="n">
        <v>131.188344677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8009.0621868625994</v>
      </c>
      <c r="K6" s="6"/>
      <c r="L6" t="s">
        <v>12</v>
      </c>
      <c r="M6" s="6" t="n">
        <v>0.0</v>
      </c>
      <c r="N6" s="6" t="n">
        <v>6766.0</v>
      </c>
      <c r="O6" s="6" t="n">
        <v>405.0</v>
      </c>
      <c r="P6" s="6" t="n">
        <v>0.0</v>
      </c>
      <c r="Q6" s="6" t="n">
        <v>75.0</v>
      </c>
      <c r="R6" s="6" t="n">
        <v>0.0</v>
      </c>
      <c r="S6" s="6" t="n">
        <v>0.0</v>
      </c>
      <c r="T6" s="6" t="n">
        <v>0.0</v>
      </c>
      <c r="U6" s="6">
        <f t="shared" si="0"/>
        <v>7367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4330.241217024</v>
      </c>
      <c r="E7" s="6" t="n">
        <v>0.0</v>
      </c>
      <c r="F7" s="6" t="n">
        <v>1345.57431748</v>
      </c>
      <c r="G7" s="6" t="n">
        <v>0.0</v>
      </c>
      <c r="H7" s="6" t="n">
        <v>0.0</v>
      </c>
      <c r="I7" s="6" t="n">
        <v>0.0</v>
      </c>
      <c r="J7" s="6">
        <f t="shared" si="1"/>
        <v>5675.8155345040004</v>
      </c>
      <c r="K7" s="6"/>
      <c r="L7" t="s">
        <v>56</v>
      </c>
      <c r="M7" s="6" t="n">
        <v>0.0</v>
      </c>
      <c r="N7" s="6" t="n">
        <v>0.0</v>
      </c>
      <c r="O7" s="6" t="n">
        <v>2363.0</v>
      </c>
      <c r="P7" s="6" t="n">
        <v>0.0</v>
      </c>
      <c r="Q7" s="6" t="n">
        <v>36.0</v>
      </c>
      <c r="R7" s="6" t="n">
        <v>0.0</v>
      </c>
      <c r="S7" s="6" t="n">
        <v>0.0</v>
      </c>
      <c r="T7" s="6" t="n">
        <v>0.0</v>
      </c>
      <c r="U7" s="6">
        <f t="shared" si="0"/>
        <v>2213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1345.57431748</v>
      </c>
      <c r="G8" s="6" t="n">
        <v>0.0</v>
      </c>
      <c r="H8" s="6" t="n">
        <v>0.0</v>
      </c>
      <c r="I8" s="6" t="n">
        <v>0.0</v>
      </c>
      <c r="J8" s="6">
        <f t="shared" si="1"/>
        <v>1345.57431748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347.0</v>
      </c>
      <c r="R8" s="6" t="n">
        <v>0.0</v>
      </c>
      <c r="S8" s="6" t="n">
        <v>0.0</v>
      </c>
      <c r="T8" s="6" t="n">
        <v>0.0</v>
      </c>
      <c r="U8" s="6">
        <f t="shared" si="0"/>
        <v>376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t="shared" si="1"/>
        <v>0</v>
      </c>
      <c r="K14" s="6"/>
      <c r="L14" t="s">
        <v>4</v>
      </c>
      <c r="M14" s="6" t="n">
        <v>21.0</v>
      </c>
      <c r="N14" s="6" t="n">
        <v>10.0</v>
      </c>
      <c r="O14" s="6" t="n">
        <v>0.0</v>
      </c>
      <c r="P14" s="6" t="n">
        <v>0.0</v>
      </c>
      <c r="Q14" s="6" t="n">
        <v>2.0</v>
      </c>
      <c r="R14" s="6" t="n">
        <v>154.0</v>
      </c>
      <c r="S14" s="6" t="n">
        <v>0.0</v>
      </c>
      <c r="T14" s="6" t="n">
        <v>0.0</v>
      </c>
      <c r="U14" s="6">
        <f t="shared" si="0"/>
        <v>158</v>
      </c>
    </row>
    <row r="15" spans="1:21" x14ac:dyDescent="0.45">
      <c r="A15" s="4" t="s">
        <v>5</v>
      </c>
      <c r="B15" s="10" t="n">
        <v>0.0</v>
      </c>
      <c r="C15" s="10" t="n">
        <v>85.5353905136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17473.443469488</v>
      </c>
      <c r="I15" s="10" t="n">
        <v>0.0</v>
      </c>
      <c r="J15" s="6">
        <f t="shared" si="1"/>
        <v>17558.9788600016</v>
      </c>
      <c r="K15" s="6"/>
      <c r="L15" s="4" t="s">
        <v>5</v>
      </c>
      <c r="M15" s="8" t="n">
        <v>299.0</v>
      </c>
      <c r="N15" s="8" t="n">
        <v>56.0</v>
      </c>
      <c r="O15" s="8" t="n">
        <v>28.0</v>
      </c>
      <c r="P15" s="8" t="n">
        <v>0.0</v>
      </c>
      <c r="Q15" s="8" t="n">
        <v>28.0</v>
      </c>
      <c r="R15" s="8" t="n">
        <v>12.0</v>
      </c>
      <c r="S15" s="8" t="n">
        <v>20157.0</v>
      </c>
      <c r="T15" s="8" t="n">
        <v>0.0</v>
      </c>
      <c r="U15" s="6">
        <f t="shared" si="0"/>
        <v>20835</v>
      </c>
    </row>
    <row r="16" spans="1:21" ht="14.65" thickBot="1" x14ac:dyDescent="0.5">
      <c r="A16" s="12" t="s">
        <v>7</v>
      </c>
      <c r="B16" s="16">
        <f t="shared" ref="B16:J16" si="2">SUM(B5:B15)</f>
        <v>14464.562866402001</v>
      </c>
      <c r="C16" s="16">
        <f t="shared" si="2"/>
        <v>8228.1257436552005</v>
      </c>
      <c r="D16" s="16">
        <f t="shared" si="2"/>
        <v>5363.5633256159999</v>
      </c>
      <c r="E16" s="16">
        <f t="shared" si="2"/>
        <v>0</v>
      </c>
      <c r="F16" s="16">
        <f t="shared" si="2"/>
        <v>2691.14863496</v>
      </c>
      <c r="G16" s="16">
        <f t="shared" si="2"/>
        <v>0</v>
      </c>
      <c r="H16" s="16">
        <f t="shared" si="2"/>
        <v>17473.443469488</v>
      </c>
      <c r="I16" s="16">
        <f t="shared" si="2"/>
        <v>0</v>
      </c>
      <c r="J16" s="16">
        <f t="shared" si="2"/>
        <v>48220.844040121199</v>
      </c>
      <c r="L16" s="9" t="s">
        <v>7</v>
      </c>
      <c r="M16" s="16">
        <f t="shared" ref="M16:U16" si="3">SUM(M5:M15)</f>
        <v>31613</v>
      </c>
      <c r="N16" s="16">
        <f t="shared" si="3"/>
        <v>7685</v>
      </c>
      <c r="O16" s="16">
        <f t="shared" si="3"/>
        <v>2724</v>
      </c>
      <c r="P16" s="16">
        <f t="shared" si="3"/>
        <v>0</v>
      </c>
      <c r="Q16" s="16">
        <f t="shared" si="3"/>
        <v>521</v>
      </c>
      <c r="R16" s="16">
        <f t="shared" si="3"/>
        <v>127</v>
      </c>
      <c r="S16" s="16">
        <f t="shared" si="3"/>
        <v>20431</v>
      </c>
      <c r="T16" s="16">
        <f t="shared" si="3"/>
        <v>0</v>
      </c>
      <c r="U16" s="16">
        <f t="shared" si="3"/>
        <v>63101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1</v>
      </c>
      <c r="C22" s="13">
        <f t="shared" si="4"/>
        <v>3.2172151860966128E-2</v>
      </c>
      <c r="D22" s="13">
        <f t="shared" si="4"/>
        <v>0.16819672093857321</v>
      </c>
      <c r="E22" s="13" t="e">
        <f t="shared" si="4"/>
        <v>#DIV/0!</v>
      </c>
      <c r="F22" s="13">
        <f t="shared" si="4"/>
        <v>0</v>
      </c>
      <c r="G22" s="13" t="e">
        <f t="shared" si="4"/>
        <v>#DIV/0!</v>
      </c>
      <c r="H22" s="13">
        <f t="shared" si="4"/>
        <v>0</v>
      </c>
      <c r="I22" s="13" t="e">
        <f t="shared" si="4"/>
        <v>#DIV/0!</v>
      </c>
      <c r="J22" s="13">
        <f t="shared" si="4"/>
        <v>0.32416299325385495</v>
      </c>
      <c r="K22" s="6"/>
      <c r="L22" t="s">
        <v>1</v>
      </c>
      <c r="M22" s="13">
        <f t="shared" ref="M22:P22" si="5">M5/M$16</f>
        <v>0.98949799133267957</v>
      </c>
      <c r="N22" s="13">
        <f t="shared" si="5"/>
        <v>9.5250487963565389E-2</v>
      </c>
      <c r="O22" s="13">
        <f t="shared" si="5"/>
        <v>4.5154185022026429E-2</v>
      </c>
      <c r="P22" s="13" t="e">
        <f t="shared" si="5"/>
        <v>#DIV/0!</v>
      </c>
      <c r="Q22" s="13">
        <f t="shared" ref="Q22:U33" si="6">Q5/Q$16</f>
        <v>3.0710172744721688E-2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0.50953233704695644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0.95743235915667868</v>
      </c>
      <c r="D23" s="13">
        <f t="shared" si="7"/>
        <v>2.4459176989754874E-2</v>
      </c>
      <c r="E23" s="13" t="e">
        <f t="shared" si="7"/>
        <v>#DIV/0!</v>
      </c>
      <c r="F23" s="13">
        <f t="shared" si="7"/>
        <v>0</v>
      </c>
      <c r="G23" s="13" t="e">
        <f t="shared" si="7"/>
        <v>#DIV/0!</v>
      </c>
      <c r="H23" s="13">
        <f t="shared" si="7"/>
        <v>0</v>
      </c>
      <c r="I23" s="13" t="e">
        <f t="shared" si="7"/>
        <v>#DIV/0!</v>
      </c>
      <c r="J23" s="13">
        <f t="shared" si="7"/>
        <v>0.16609128990356986</v>
      </c>
      <c r="K23" s="6"/>
      <c r="L23" t="s">
        <v>12</v>
      </c>
      <c r="M23" s="13">
        <f t="shared" ref="M23:P23" si="8">M6/M$16</f>
        <v>0</v>
      </c>
      <c r="N23" s="13">
        <f t="shared" si="8"/>
        <v>0.89785296031229667</v>
      </c>
      <c r="O23" s="13">
        <f t="shared" si="8"/>
        <v>0.14464023494860501</v>
      </c>
      <c r="P23" s="13" t="e">
        <f t="shared" si="8"/>
        <v>#DIV/0!</v>
      </c>
      <c r="Q23" s="13">
        <f t="shared" si="6"/>
        <v>0.14011516314779271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0.11674933836230805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0.80734410207167207</v>
      </c>
      <c r="E24" s="13" t="e">
        <f t="shared" si="9"/>
        <v>#DIV/0!</v>
      </c>
      <c r="F24" s="13">
        <f t="shared" si="9"/>
        <v>0.5</v>
      </c>
      <c r="G24" s="13" t="e">
        <f t="shared" si="9"/>
        <v>#DIV/0!</v>
      </c>
      <c r="H24" s="13">
        <f t="shared" si="9"/>
        <v>0</v>
      </c>
      <c r="I24" s="13" t="e">
        <f t="shared" si="9"/>
        <v>#DIV/0!</v>
      </c>
      <c r="J24" s="13">
        <f t="shared" si="9"/>
        <v>0.11770460777877613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0.80249632892804701</v>
      </c>
      <c r="P24" s="13" t="e">
        <f t="shared" si="10"/>
        <v>#DIV/0!</v>
      </c>
      <c r="Q24" s="13">
        <f t="shared" si="6"/>
        <v>5.1823416506717852E-2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3.5070759575917973E-2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0.5</v>
      </c>
      <c r="G25" s="13" t="e">
        <f t="shared" si="11"/>
        <v>#DIV/0!</v>
      </c>
      <c r="H25" s="13">
        <f t="shared" si="11"/>
        <v>0</v>
      </c>
      <c r="I25" s="13" t="e">
        <f t="shared" si="11"/>
        <v>#DIV/0!</v>
      </c>
      <c r="J25" s="13">
        <f t="shared" si="11"/>
        <v>2.790441238150957E-2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0.72168905950095974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5.9587011299345495E-3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 t="e">
        <f t="shared" si="13"/>
        <v>#DIV/0!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 t="e">
        <f t="shared" si="15"/>
        <v>#DIV/0!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 t="e">
        <f t="shared" si="17"/>
        <v>#DIV/0!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 t="e">
        <f t="shared" si="19"/>
        <v>#DIV/0!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 t="e">
        <f t="shared" si="21"/>
        <v>#DIV/0!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 t="e">
        <f t="shared" si="23"/>
        <v>#DIV/0!</v>
      </c>
      <c r="H31" s="13">
        <f t="shared" si="23"/>
        <v>0</v>
      </c>
      <c r="I31" s="13" t="e">
        <f t="shared" si="23"/>
        <v>#DIV/0!</v>
      </c>
      <c r="J31" s="13">
        <f t="shared" si="23"/>
        <v>0</v>
      </c>
      <c r="K31" s="6"/>
      <c r="L31" t="s">
        <v>4</v>
      </c>
      <c r="M31" s="13">
        <f t="shared" ref="M31:P31" si="24">M14/M$16</f>
        <v>1.0122417992597982E-3</v>
      </c>
      <c r="N31" s="13">
        <f t="shared" si="24"/>
        <v>7.8074170461938839E-4</v>
      </c>
      <c r="O31" s="13">
        <f t="shared" si="24"/>
        <v>7.3421439060205576E-4</v>
      </c>
      <c r="P31" s="13" t="e">
        <f t="shared" si="24"/>
        <v>#DIV/0!</v>
      </c>
      <c r="Q31" s="13">
        <f t="shared" si="6"/>
        <v>3.838771593090211E-3</v>
      </c>
      <c r="R31" s="13">
        <f t="shared" si="6"/>
        <v>0.91338582677165359</v>
      </c>
      <c r="S31" s="13">
        <f t="shared" si="6"/>
        <v>0</v>
      </c>
      <c r="T31" s="13" t="e">
        <f t="shared" si="6"/>
        <v>#DIV/0!</v>
      </c>
      <c r="U31" s="13">
        <f t="shared" si="6"/>
        <v>2.5039222833235608E-3</v>
      </c>
    </row>
    <row r="32" spans="1:21" x14ac:dyDescent="0.45">
      <c r="A32" s="4" t="s">
        <v>5</v>
      </c>
      <c r="B32" s="14">
        <f t="shared" ref="B32:J32" si="25">B15/B$16</f>
        <v>0</v>
      </c>
      <c r="C32" s="14">
        <f t="shared" si="25"/>
        <v>1.0395488982355101E-2</v>
      </c>
      <c r="D32" s="14">
        <f t="shared" si="25"/>
        <v>0</v>
      </c>
      <c r="E32" s="14" t="e">
        <f t="shared" si="25"/>
        <v>#DIV/0!</v>
      </c>
      <c r="F32" s="14">
        <f t="shared" si="25"/>
        <v>0</v>
      </c>
      <c r="G32" s="14" t="e">
        <f t="shared" si="25"/>
        <v>#DIV/0!</v>
      </c>
      <c r="H32" s="14">
        <f t="shared" si="25"/>
        <v>1</v>
      </c>
      <c r="I32" s="14" t="e">
        <f t="shared" si="25"/>
        <v>#DIV/0!</v>
      </c>
      <c r="J32" s="14">
        <f t="shared" si="25"/>
        <v>0.36413669668228948</v>
      </c>
      <c r="K32" s="6"/>
      <c r="L32" s="4" t="s">
        <v>5</v>
      </c>
      <c r="M32" s="14">
        <f t="shared" ref="M32:P32" si="26">M15/M$16</f>
        <v>9.4897668680606079E-3</v>
      </c>
      <c r="N32" s="14">
        <f t="shared" si="26"/>
        <v>6.1158100195185423E-3</v>
      </c>
      <c r="O32" s="14">
        <f t="shared" si="26"/>
        <v>6.9750367107195305E-3</v>
      </c>
      <c r="P32" s="14" t="e">
        <f t="shared" si="26"/>
        <v>#DIV/0!</v>
      </c>
      <c r="Q32" s="14">
        <f t="shared" si="6"/>
        <v>5.1823416506717852E-2</v>
      </c>
      <c r="R32" s="14">
        <f t="shared" si="6"/>
        <v>8.6614173228346455E-2</v>
      </c>
      <c r="S32" s="14">
        <f t="shared" si="6"/>
        <v>1</v>
      </c>
      <c r="T32" s="14" t="e">
        <f t="shared" si="6"/>
        <v>#DIV/0!</v>
      </c>
      <c r="U32" s="14">
        <f t="shared" si="6"/>
        <v>0.33018494160155942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 t="e">
        <f t="shared" si="27"/>
        <v>#DIV/0!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1" si="29">M22-B22</f>
        <v>-1.0502008667320428E-2</v>
      </c>
      <c r="N39" s="13">
        <f t="shared" si="29"/>
        <v>6.3078336102599261E-2</v>
      </c>
      <c r="O39" s="13">
        <f t="shared" si="29"/>
        <v>-0.12304253591654679</v>
      </c>
      <c r="P39" s="13" t="e">
        <f t="shared" si="29"/>
        <v>#DIV/0!</v>
      </c>
      <c r="Q39" s="13">
        <f t="shared" ref="Q39:Q50" si="30">Q22-F22</f>
        <v>3.0710172744721688E-2</v>
      </c>
      <c r="R39" s="13" t="e">
        <f t="shared" ref="R39:R50" si="31">R22-G22</f>
        <v>#DIV/0!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0.18536934379310149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-5.9579398844382014E-2</v>
      </c>
      <c r="O40" s="13">
        <f t="shared" si="29"/>
        <v>0.12018105795885013</v>
      </c>
      <c r="P40" s="13" t="e">
        <f t="shared" si="29"/>
        <v>#DIV/0!</v>
      </c>
      <c r="Q40" s="13">
        <f t="shared" si="30"/>
        <v>0.14011516314779271</v>
      </c>
      <c r="R40" s="13" t="e">
        <f t="shared" si="31"/>
        <v>#DIV/0!</v>
      </c>
      <c r="S40" s="13">
        <f t="shared" si="32"/>
        <v>0</v>
      </c>
      <c r="T40" s="13" t="e">
        <f t="shared" si="33"/>
        <v>#DIV/0!</v>
      </c>
      <c r="U40" s="13">
        <f t="shared" si="34"/>
        <v>-4.9341951541261808E-2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-4.847773143625056E-3</v>
      </c>
      <c r="P41" s="13" t="e">
        <f t="shared" si="29"/>
        <v>#DIV/0!</v>
      </c>
      <c r="Q41" s="13">
        <f t="shared" si="30"/>
        <v>-0.44817658349328215</v>
      </c>
      <c r="R41" s="13" t="e">
        <f t="shared" si="31"/>
        <v>#DIV/0!</v>
      </c>
      <c r="S41" s="13">
        <f t="shared" si="32"/>
        <v>0</v>
      </c>
      <c r="T41" s="13" t="e">
        <f t="shared" si="33"/>
        <v>#DIV/0!</v>
      </c>
      <c r="U41" s="13">
        <f t="shared" si="34"/>
        <v>-8.2633848202858157E-2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0.22168905950095974</v>
      </c>
      <c r="R42" s="13" t="e">
        <f t="shared" si="31"/>
        <v>#DIV/0!</v>
      </c>
      <c r="S42" s="13">
        <f t="shared" si="32"/>
        <v>0</v>
      </c>
      <c r="T42" s="13" t="e">
        <f t="shared" si="33"/>
        <v>#DIV/0!</v>
      </c>
      <c r="U42" s="13">
        <f t="shared" si="34"/>
        <v>-2.1945711251575021E-2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0</v>
      </c>
      <c r="R43" s="13" t="e">
        <f t="shared" si="31"/>
        <v>#DIV/0!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0</v>
      </c>
      <c r="R44" s="13" t="e">
        <f t="shared" si="31"/>
        <v>#DIV/0!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 t="e">
        <f t="shared" si="31"/>
        <v>#DIV/0!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</v>
      </c>
      <c r="R46" s="13" t="e">
        <f t="shared" si="31"/>
        <v>#DIV/0!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 t="e">
        <f t="shared" si="31"/>
        <v>#DIV/0!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48" si="42">M31-B31</f>
        <v>1.0122417992597982E-3</v>
      </c>
      <c r="N48" s="13">
        <f t="shared" si="42"/>
        <v>7.8074170461938839E-4</v>
      </c>
      <c r="O48" s="13">
        <f t="shared" si="42"/>
        <v>7.3421439060205576E-4</v>
      </c>
      <c r="P48" s="13" t="e">
        <f t="shared" si="42"/>
        <v>#DIV/0!</v>
      </c>
      <c r="Q48" s="13">
        <f t="shared" si="30"/>
        <v>3.838771593090211E-3</v>
      </c>
      <c r="R48" s="13" t="e">
        <f t="shared" si="31"/>
        <v>#DIV/0!</v>
      </c>
      <c r="S48" s="13">
        <f t="shared" si="32"/>
        <v>0</v>
      </c>
      <c r="T48" s="13" t="e">
        <f t="shared" si="33"/>
        <v>#DIV/0!</v>
      </c>
      <c r="U48" s="13">
        <f t="shared" si="34"/>
        <v>2.5039222833235608E-3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ref="M49:P49" si="43">M32-B32</f>
        <v>9.4897668680606079E-3</v>
      </c>
      <c r="N49" s="17">
        <f t="shared" si="43"/>
        <v>-4.279678962836559E-3</v>
      </c>
      <c r="O49" s="17">
        <f t="shared" si="43"/>
        <v>6.9750367107195305E-3</v>
      </c>
      <c r="P49" s="17" t="e">
        <f t="shared" si="43"/>
        <v>#DIV/0!</v>
      </c>
      <c r="Q49" s="17">
        <f t="shared" si="30"/>
        <v>5.1823416506717852E-2</v>
      </c>
      <c r="R49" s="17" t="e">
        <f t="shared" si="31"/>
        <v>#DIV/0!</v>
      </c>
      <c r="S49" s="17">
        <f t="shared" si="32"/>
        <v>0</v>
      </c>
      <c r="T49" s="17" t="e">
        <f t="shared" si="33"/>
        <v>#DIV/0!</v>
      </c>
      <c r="U49" s="13">
        <f t="shared" si="34"/>
        <v>-3.3951755080730062E-2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 t="e">
        <f t="shared" si="31"/>
        <v>#DIV/0!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324571.5574111833</v>
      </c>
      <c r="C5" s="6" t="n">
        <v>61731.2190417949</v>
      </c>
      <c r="D5" s="6" t="n">
        <v>15034.0090534548</v>
      </c>
      <c r="E5" s="6" t="n">
        <v>9687.246350757001</v>
      </c>
      <c r="F5" s="6" t="n">
        <v>2094.75313051</v>
      </c>
      <c r="G5" s="6" t="n">
        <v>0.0</v>
      </c>
      <c r="H5" s="6" t="n">
        <v>0.0</v>
      </c>
      <c r="I5" s="6" t="n">
        <v>461.112895342</v>
      </c>
      <c r="J5" s="6">
        <f>SUM(B5:I5)</f>
        <v>413579.89788304199</v>
      </c>
      <c r="K5" s="6"/>
      <c r="L5" t="s">
        <v>1</v>
      </c>
      <c r="M5" s="6" t="n">
        <v>456564.0</v>
      </c>
      <c r="N5" s="6" t="n">
        <v>67319.0</v>
      </c>
      <c r="O5" s="6" t="n">
        <v>24468.0</v>
      </c>
      <c r="P5" s="6" t="n">
        <v>29826.0</v>
      </c>
      <c r="Q5" s="6" t="n">
        <v>800.0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572606</v>
      </c>
    </row>
    <row r="6" spans="1:21" x14ac:dyDescent="0.45">
      <c r="A6" t="s">
        <v>12</v>
      </c>
      <c r="B6" s="6" t="n">
        <v>0.0</v>
      </c>
      <c r="C6" s="6" t="n">
        <v>56219.7153373955</v>
      </c>
      <c r="D6" s="6" t="n">
        <v>9747.501732915</v>
      </c>
      <c r="E6" s="6" t="n">
        <v>1091.0953829300001</v>
      </c>
      <c r="F6" s="6" t="n">
        <v>4975.723286728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72034.035739968487</v>
      </c>
      <c r="K6" s="6"/>
      <c r="L6" t="s">
        <v>12</v>
      </c>
      <c r="M6" s="6" t="n">
        <v>0.0</v>
      </c>
      <c r="N6" s="6" t="n">
        <v>78610.0</v>
      </c>
      <c r="O6" s="6" t="n">
        <v>12723.0</v>
      </c>
      <c r="P6" s="6" t="n">
        <v>1495.0</v>
      </c>
      <c r="Q6" s="6" t="n">
        <v>1318.0</v>
      </c>
      <c r="R6" s="6" t="n">
        <v>0.0</v>
      </c>
      <c r="S6" s="6" t="n">
        <v>0.0</v>
      </c>
      <c r="T6" s="6" t="n">
        <v>0.0</v>
      </c>
      <c r="U6" s="6">
        <f t="shared" si="0"/>
        <v>92924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20435.2079517749</v>
      </c>
      <c r="E7" s="6" t="n">
        <v>665.4161953380001</v>
      </c>
      <c r="F7" s="6" t="n">
        <v>894.97630254</v>
      </c>
      <c r="G7" s="6" t="n">
        <v>0.0</v>
      </c>
      <c r="H7" s="6" t="n">
        <v>0.0</v>
      </c>
      <c r="I7" s="6" t="n">
        <v>0.0</v>
      </c>
      <c r="J7" s="6">
        <f t="shared" si="1"/>
        <v>21995.600449652899</v>
      </c>
      <c r="K7" s="6"/>
      <c r="L7" t="s">
        <v>56</v>
      </c>
      <c r="M7" s="6" t="n">
        <v>0.0</v>
      </c>
      <c r="N7" s="6" t="n">
        <v>0.0</v>
      </c>
      <c r="O7" s="6" t="n">
        <v>41112.0</v>
      </c>
      <c r="P7" s="6" t="n">
        <v>0.0</v>
      </c>
      <c r="Q7" s="6" t="n">
        <v>532.0</v>
      </c>
      <c r="R7" s="6" t="n">
        <v>0.0</v>
      </c>
      <c r="S7" s="6" t="n">
        <v>0.0</v>
      </c>
      <c r="T7" s="6" t="n">
        <v>0.0</v>
      </c>
      <c r="U7" s="6">
        <f t="shared" si="0"/>
        <v>41450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10477.034606338</v>
      </c>
      <c r="F8" s="6" t="n">
        <v>52115.2140593656</v>
      </c>
      <c r="G8" s="6" t="n">
        <v>0.0</v>
      </c>
      <c r="H8" s="6" t="n">
        <v>0.0</v>
      </c>
      <c r="I8" s="6" t="n">
        <v>0.0</v>
      </c>
      <c r="J8" s="6">
        <f t="shared" si="1"/>
        <v>62592.248665703599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23240.0</v>
      </c>
      <c r="Q8" s="6" t="n">
        <v>9210.0</v>
      </c>
      <c r="R8" s="6" t="n">
        <v>0.0</v>
      </c>
      <c r="S8" s="6" t="n">
        <v>0.0</v>
      </c>
      <c r="T8" s="6" t="n">
        <v>0.0</v>
      </c>
      <c r="U8" s="6">
        <f t="shared" si="0"/>
        <v>31924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2766.677372052</v>
      </c>
      <c r="J13" s="6">
        <f t="shared" si="1"/>
        <v>2766.677372052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67.7305671088</v>
      </c>
      <c r="D14" s="6" t="n">
        <v>0.0</v>
      </c>
      <c r="E14" s="6" t="n">
        <v>0.0</v>
      </c>
      <c r="F14" s="6" t="n">
        <v>422.305368585</v>
      </c>
      <c r="G14" s="6" t="n">
        <v>9626.018685031</v>
      </c>
      <c r="H14" s="6" t="n">
        <v>0.0</v>
      </c>
      <c r="I14" s="6" t="n">
        <v>0.0</v>
      </c>
      <c r="J14" s="6">
        <f t="shared" si="1"/>
        <v>10116.054620724801</v>
      </c>
      <c r="K14" s="6"/>
      <c r="L14" t="s">
        <v>4</v>
      </c>
      <c r="M14" s="6" t="n">
        <v>287.0</v>
      </c>
      <c r="N14" s="6" t="n">
        <v>423.0</v>
      </c>
      <c r="O14" s="6" t="n">
        <v>245.0</v>
      </c>
      <c r="P14" s="6" t="n">
        <v>0.0</v>
      </c>
      <c r="Q14" s="6" t="n">
        <v>120.0</v>
      </c>
      <c r="R14" s="6" t="n">
        <v>8861.0</v>
      </c>
      <c r="S14" s="6" t="n">
        <v>0.0</v>
      </c>
      <c r="T14" s="6" t="n">
        <v>0.0</v>
      </c>
      <c r="U14" s="6">
        <f t="shared" si="0"/>
        <v>9565</v>
      </c>
    </row>
    <row r="15" spans="1:21" x14ac:dyDescent="0.45">
      <c r="A15" s="4" t="s">
        <v>5</v>
      </c>
      <c r="B15" s="10" t="n">
        <v>7051.7407680964</v>
      </c>
      <c r="C15" s="10" t="n">
        <v>544.991294167</v>
      </c>
      <c r="D15" s="10" t="n">
        <v>379.107286504</v>
      </c>
      <c r="E15" s="10" t="n">
        <v>675.720852158</v>
      </c>
      <c r="F15" s="10" t="n">
        <v>7398.622242348</v>
      </c>
      <c r="G15" s="10" t="n">
        <v>294.711832887</v>
      </c>
      <c r="H15" s="10" t="n">
        <v>6148.3804042316</v>
      </c>
      <c r="I15" s="10" t="n">
        <v>0.0</v>
      </c>
      <c r="J15" s="6">
        <f t="shared" si="1"/>
        <v>22493.274680391998</v>
      </c>
      <c r="K15" s="6"/>
      <c r="L15" s="4" t="s">
        <v>5</v>
      </c>
      <c r="M15" s="8" t="n">
        <v>29792.0</v>
      </c>
      <c r="N15" s="8" t="n">
        <v>15558.0</v>
      </c>
      <c r="O15" s="8" t="n">
        <v>7989.0</v>
      </c>
      <c r="P15" s="8" t="n">
        <v>0.0</v>
      </c>
      <c r="Q15" s="8" t="n">
        <v>3026.0</v>
      </c>
      <c r="R15" s="8" t="n">
        <v>3923.0</v>
      </c>
      <c r="S15" s="8" t="n">
        <v>5517.0</v>
      </c>
      <c r="T15" s="8" t="n">
        <v>0.0</v>
      </c>
      <c r="U15" s="6">
        <f t="shared" si="0"/>
        <v>65052</v>
      </c>
    </row>
    <row r="16" spans="1:21" ht="14.65" thickBot="1" x14ac:dyDescent="0.5">
      <c r="A16" s="12" t="s">
        <v>7</v>
      </c>
      <c r="B16" s="16">
        <f t="shared" ref="B16:J16" si="2">SUM(B5:B15)</f>
        <v>331623.29817927972</v>
      </c>
      <c r="C16" s="16">
        <f t="shared" si="2"/>
        <v>118563.65624046621</v>
      </c>
      <c r="D16" s="16">
        <f t="shared" si="2"/>
        <v>45595.826024648697</v>
      </c>
      <c r="E16" s="16">
        <f t="shared" si="2"/>
        <v>22596.513387521001</v>
      </c>
      <c r="F16" s="16">
        <f t="shared" si="2"/>
        <v>67901.5943900766</v>
      </c>
      <c r="G16" s="16">
        <f t="shared" si="2"/>
        <v>9920.7305179180003</v>
      </c>
      <c r="H16" s="16">
        <f t="shared" si="2"/>
        <v>6148.3804042315996</v>
      </c>
      <c r="I16" s="16">
        <f t="shared" si="2"/>
        <v>3227.7902673939998</v>
      </c>
      <c r="J16" s="16">
        <f t="shared" si="2"/>
        <v>605577.78941153572</v>
      </c>
      <c r="L16" s="9" t="s">
        <v>7</v>
      </c>
      <c r="M16" s="16">
        <f t="shared" ref="M16:U16" si="3">SUM(M5:M15)</f>
        <v>483418</v>
      </c>
      <c r="N16" s="16">
        <f t="shared" si="3"/>
        <v>158607</v>
      </c>
      <c r="O16" s="16">
        <f t="shared" si="3"/>
        <v>85475</v>
      </c>
      <c r="P16" s="16">
        <f t="shared" si="3"/>
        <v>53217</v>
      </c>
      <c r="Q16" s="16">
        <f t="shared" si="3"/>
        <v>15139</v>
      </c>
      <c r="R16" s="16">
        <f t="shared" si="3"/>
        <v>12270</v>
      </c>
      <c r="S16" s="16">
        <f t="shared" si="3"/>
        <v>5395</v>
      </c>
      <c r="T16" s="16">
        <f t="shared" si="3"/>
        <v>0</v>
      </c>
      <c r="U16" s="16">
        <f t="shared" si="3"/>
        <v>813521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0.9787356895404733</v>
      </c>
      <c r="C22" s="13">
        <f t="shared" si="4"/>
        <v>0.52065886798053895</v>
      </c>
      <c r="D22" s="13">
        <f t="shared" si="4"/>
        <v>0.32972336207545727</v>
      </c>
      <c r="E22" s="13">
        <f t="shared" si="4"/>
        <v>0.42870535753125588</v>
      </c>
      <c r="F22" s="13">
        <f t="shared" si="4"/>
        <v>3.084983716989325E-2</v>
      </c>
      <c r="G22" s="13">
        <f t="shared" si="4"/>
        <v>0</v>
      </c>
      <c r="H22" s="13">
        <f t="shared" si="4"/>
        <v>0</v>
      </c>
      <c r="I22" s="13">
        <f t="shared" si="4"/>
        <v>0.14285714285714288</v>
      </c>
      <c r="J22" s="13">
        <f t="shared" si="4"/>
        <v>0.68295090261638258</v>
      </c>
      <c r="K22" s="6"/>
      <c r="L22" t="s">
        <v>1</v>
      </c>
      <c r="M22" s="13">
        <f t="shared" ref="M22:P22" si="5">M5/M$16</f>
        <v>0.93742475456023566</v>
      </c>
      <c r="N22" s="13">
        <f t="shared" si="5"/>
        <v>0.41380266949125827</v>
      </c>
      <c r="O22" s="13">
        <f t="shared" si="5"/>
        <v>0.27908745247148287</v>
      </c>
      <c r="P22" s="13">
        <f t="shared" si="5"/>
        <v>0.54623522558580906</v>
      </c>
      <c r="Q22" s="13">
        <f t="shared" ref="Q22:U33" si="6">Q5/Q$16</f>
        <v>5.8260122861483583E-2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0.70386136313629277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0.47417325949676226</v>
      </c>
      <c r="D23" s="13">
        <f t="shared" si="7"/>
        <v>0.21378057122258487</v>
      </c>
      <c r="E23" s="13">
        <f t="shared" si="7"/>
        <v>4.8286006085016688E-2</v>
      </c>
      <c r="F23" s="13">
        <f t="shared" si="7"/>
        <v>7.3278445541997042E-2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0.11895092092126902</v>
      </c>
      <c r="K23" s="6"/>
      <c r="L23" t="s">
        <v>12</v>
      </c>
      <c r="M23" s="13">
        <f t="shared" ref="M23:P23" si="8">M6/M$16</f>
        <v>0</v>
      </c>
      <c r="N23" s="13">
        <f t="shared" si="8"/>
        <v>0.48940462905168119</v>
      </c>
      <c r="O23" s="13">
        <f t="shared" si="8"/>
        <v>0.14628838841766598</v>
      </c>
      <c r="P23" s="13">
        <f t="shared" si="8"/>
        <v>2.8750211398613224E-2</v>
      </c>
      <c r="Q23" s="13">
        <f t="shared" si="6"/>
        <v>8.3691128872448645E-2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0.11422446378151271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0.44818154935339499</v>
      </c>
      <c r="E24" s="13">
        <f t="shared" si="9"/>
        <v>2.9447737530404951E-2</v>
      </c>
      <c r="F24" s="13">
        <f t="shared" si="9"/>
        <v>1.3180490245907912E-2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3.6321676313503685E-2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0.47823340157940919</v>
      </c>
      <c r="P24" s="13">
        <f t="shared" si="10"/>
        <v>0</v>
      </c>
      <c r="Q24" s="13">
        <f t="shared" si="6"/>
        <v>3.7849263491644101E-2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5.0951358354609164E-2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0.46365713270278136</v>
      </c>
      <c r="F25" s="13">
        <f t="shared" si="11"/>
        <v>0.76751090349922502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0.10335955142365277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0.42501456301557772</v>
      </c>
      <c r="Q25" s="13">
        <f t="shared" si="6"/>
        <v>0.61470374529361249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3.9241765117311048E-2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0.85714285714285721</v>
      </c>
      <c r="J30" s="13">
        <f t="shared" si="21"/>
        <v>4.5686572731481641E-3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5.7125909622280453E-4</v>
      </c>
      <c r="D31" s="13">
        <f t="shared" si="23"/>
        <v>0</v>
      </c>
      <c r="E31" s="13">
        <f t="shared" si="23"/>
        <v>0</v>
      </c>
      <c r="F31" s="13">
        <f t="shared" si="23"/>
        <v>6.2193733796436059E-3</v>
      </c>
      <c r="G31" s="13">
        <f t="shared" si="23"/>
        <v>0.97029333350455227</v>
      </c>
      <c r="H31" s="13">
        <f t="shared" si="23"/>
        <v>0</v>
      </c>
      <c r="I31" s="13">
        <f t="shared" si="23"/>
        <v>0</v>
      </c>
      <c r="J31" s="13">
        <f t="shared" si="23"/>
        <v>1.6704797959243151E-2</v>
      </c>
      <c r="K31" s="6"/>
      <c r="L31" t="s">
        <v>4</v>
      </c>
      <c r="M31" s="13">
        <f t="shared" ref="M31:P31" si="24">M14/M$16</f>
        <v>6.7643323169596498E-4</v>
      </c>
      <c r="N31" s="13">
        <f t="shared" si="24"/>
        <v>2.4652127585793816E-3</v>
      </c>
      <c r="O31" s="13">
        <f t="shared" si="24"/>
        <v>2.6557472945305644E-3</v>
      </c>
      <c r="P31" s="13">
        <f t="shared" si="24"/>
        <v>0</v>
      </c>
      <c r="Q31" s="13">
        <f t="shared" si="6"/>
        <v>6.6054561067441708E-3</v>
      </c>
      <c r="R31" s="13">
        <f t="shared" si="6"/>
        <v>0.69437652811735939</v>
      </c>
      <c r="S31" s="13">
        <f t="shared" si="6"/>
        <v>0</v>
      </c>
      <c r="T31" s="13" t="e">
        <f t="shared" si="6"/>
        <v>#DIV/0!</v>
      </c>
      <c r="U31" s="13">
        <f t="shared" si="6"/>
        <v>1.1757532995460474E-2</v>
      </c>
    </row>
    <row r="32" spans="1:21" x14ac:dyDescent="0.45">
      <c r="A32" s="4" t="s">
        <v>5</v>
      </c>
      <c r="B32" s="14">
        <f t="shared" ref="B32:J32" si="25">B15/B$16</f>
        <v>2.1264310459526699E-2</v>
      </c>
      <c r="C32" s="14">
        <f t="shared" si="25"/>
        <v>4.5966134264758991E-3</v>
      </c>
      <c r="D32" s="14">
        <f t="shared" si="25"/>
        <v>8.3145173485629584E-3</v>
      </c>
      <c r="E32" s="14">
        <f t="shared" si="25"/>
        <v>2.9903766150541126E-2</v>
      </c>
      <c r="F32" s="14">
        <f t="shared" si="25"/>
        <v>0.10896095016333318</v>
      </c>
      <c r="G32" s="14">
        <f t="shared" si="25"/>
        <v>2.9706666495447686E-2</v>
      </c>
      <c r="H32" s="14">
        <f t="shared" si="25"/>
        <v>1</v>
      </c>
      <c r="I32" s="14">
        <f t="shared" si="25"/>
        <v>0</v>
      </c>
      <c r="J32" s="14">
        <f t="shared" si="25"/>
        <v>3.7143493492800682E-2</v>
      </c>
      <c r="K32" s="6"/>
      <c r="L32" s="4" t="s">
        <v>5</v>
      </c>
      <c r="M32" s="14">
        <f t="shared" ref="M32:P32" si="26">M15/M$16</f>
        <v>6.1898812208068379E-2</v>
      </c>
      <c r="N32" s="14">
        <f t="shared" si="26"/>
        <v>9.4327488698481149E-2</v>
      </c>
      <c r="O32" s="14">
        <f t="shared" si="26"/>
        <v>9.3735010236911373E-2</v>
      </c>
      <c r="P32" s="14">
        <f t="shared" si="26"/>
        <v>0</v>
      </c>
      <c r="Q32" s="14">
        <f t="shared" si="6"/>
        <v>0.19889028337406697</v>
      </c>
      <c r="R32" s="14">
        <f t="shared" si="6"/>
        <v>0.30562347188264061</v>
      </c>
      <c r="S32" s="14">
        <f t="shared" si="6"/>
        <v>1</v>
      </c>
      <c r="T32" s="14" t="e">
        <f t="shared" si="6"/>
        <v>#DIV/0!</v>
      </c>
      <c r="U32" s="14">
        <f t="shared" si="6"/>
        <v>7.9963516614813879E-2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-4.1310934980237635E-2</v>
      </c>
      <c r="N39" s="13">
        <f t="shared" si="29"/>
        <v>-0.10685619848928068</v>
      </c>
      <c r="O39" s="13">
        <f t="shared" si="29"/>
        <v>-5.0635909603974405E-2</v>
      </c>
      <c r="P39" s="13">
        <f t="shared" si="29"/>
        <v>0.11752986805455318</v>
      </c>
      <c r="Q39" s="13">
        <f t="shared" ref="Q39:Q50" si="30">Q22-F22</f>
        <v>2.7410285691590333E-2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2.091046051991019E-2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9</v>
      </c>
      <c r="M40" s="13">
        <f t="shared" si="29"/>
        <v>0</v>
      </c>
      <c r="N40" s="13">
        <f t="shared" si="29"/>
        <v>1.5231369554918939E-2</v>
      </c>
      <c r="O40" s="13">
        <f t="shared" si="29"/>
        <v>-6.7492182804918893E-2</v>
      </c>
      <c r="P40" s="13">
        <f t="shared" si="29"/>
        <v>-1.9535794686403464E-2</v>
      </c>
      <c r="Q40" s="13">
        <f t="shared" si="30"/>
        <v>1.0412683330451603E-2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-4.7264571397563071E-3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3.0051852226014197E-2</v>
      </c>
      <c r="P41" s="13">
        <f t="shared" si="29"/>
        <v>-2.9447737530404951E-2</v>
      </c>
      <c r="Q41" s="13">
        <f t="shared" si="30"/>
        <v>2.466877324573619E-2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1.4629682041105478E-2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-3.8642569687203643E-2</v>
      </c>
      <c r="Q42" s="13">
        <f t="shared" si="30"/>
        <v>-0.15280715820561253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-6.4117786306341726E-2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0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0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0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-4.5686572731481641E-3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6.7643323169596498E-4</v>
      </c>
      <c r="N48" s="13">
        <f t="shared" si="39"/>
        <v>1.893953662356577E-3</v>
      </c>
      <c r="O48" s="13">
        <f t="shared" si="39"/>
        <v>2.6557472945305644E-3</v>
      </c>
      <c r="P48" s="13">
        <f t="shared" si="39"/>
        <v>0</v>
      </c>
      <c r="Q48" s="13">
        <f t="shared" si="30"/>
        <v>3.8608272710056492E-4</v>
      </c>
      <c r="R48" s="13">
        <f t="shared" si="31"/>
        <v>-0.27591680538719288</v>
      </c>
      <c r="S48" s="13">
        <f t="shared" si="32"/>
        <v>0</v>
      </c>
      <c r="T48" s="13" t="e">
        <f t="shared" si="33"/>
        <v>#DIV/0!</v>
      </c>
      <c r="U48" s="13">
        <f t="shared" si="34"/>
        <v>-4.9472649637826768E-3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4.0634501748541677E-2</v>
      </c>
      <c r="N49" s="17">
        <f t="shared" si="39"/>
        <v>8.9730875272005253E-2</v>
      </c>
      <c r="O49" s="17">
        <f t="shared" si="39"/>
        <v>8.5420492888348409E-2</v>
      </c>
      <c r="P49" s="17">
        <f t="shared" si="39"/>
        <v>-2.9903766150541126E-2</v>
      </c>
      <c r="Q49" s="17">
        <f t="shared" si="30"/>
        <v>8.9929333210733792E-2</v>
      </c>
      <c r="R49" s="17">
        <f t="shared" si="31"/>
        <v>0.27591680538719293</v>
      </c>
      <c r="S49" s="17">
        <f t="shared" si="32"/>
        <v>0</v>
      </c>
      <c r="T49" s="17" t="e">
        <f t="shared" si="33"/>
        <v>#DIV/0!</v>
      </c>
      <c r="U49" s="13">
        <f t="shared" si="34"/>
        <v>4.2820023122013197E-2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31305.6296479824</v>
      </c>
      <c r="C5" s="6" t="n">
        <v>333.625875</v>
      </c>
      <c r="D5" s="6" t="n">
        <v>424.695</v>
      </c>
      <c r="E5" s="6" t="n">
        <v>445.245</v>
      </c>
      <c r="F5" s="6" t="n">
        <v>20.4375</v>
      </c>
      <c r="G5" s="6" t="n">
        <v>0.0</v>
      </c>
      <c r="H5" s="6" t="n">
        <v>0.0</v>
      </c>
      <c r="I5" s="6" t="n">
        <v>0.0</v>
      </c>
      <c r="J5" s="6">
        <f>SUM(B5:I5)</f>
        <v>32529.633022982402</v>
      </c>
      <c r="K5" s="6"/>
      <c r="L5" t="s">
        <v>1</v>
      </c>
      <c r="M5" s="6" t="n">
        <v>28872.0</v>
      </c>
      <c r="N5" s="6" t="n">
        <v>1784.0</v>
      </c>
      <c r="O5" s="6" t="n">
        <v>1494.0</v>
      </c>
      <c r="P5" s="6" t="n">
        <v>0.0</v>
      </c>
      <c r="Q5" s="6" t="n">
        <v>268.0</v>
      </c>
      <c r="R5" s="6" t="n">
        <v>0.0</v>
      </c>
      <c r="S5" s="6" t="n">
        <v>0.0</v>
      </c>
      <c r="T5" s="6" t="n">
        <v>148.0</v>
      </c>
      <c r="U5" s="6">
        <f t="shared" ref="U5:U15" si="0">SUM(M5:T5)</f>
        <v>31663</v>
      </c>
    </row>
    <row r="6" spans="1:21" x14ac:dyDescent="0.45">
      <c r="A6" t="s">
        <v>12</v>
      </c>
      <c r="B6" s="6" t="n">
        <v>0.0</v>
      </c>
      <c r="C6" s="6" t="n">
        <v>44745.612625174</v>
      </c>
      <c r="D6" s="6" t="n">
        <v>18707.83560396</v>
      </c>
      <c r="E6" s="6" t="n">
        <v>0.0</v>
      </c>
      <c r="F6" s="6" t="n">
        <v>419.3737753601</v>
      </c>
      <c r="G6" s="6" t="n">
        <v>0.0</v>
      </c>
      <c r="H6" s="6" t="n">
        <v>0.0</v>
      </c>
      <c r="I6" s="6" t="n">
        <v>3607.043625</v>
      </c>
      <c r="J6" s="6">
        <f t="shared" ref="J6:J15" si="1">SUM(B6:I6)</f>
        <v>67479.865629494103</v>
      </c>
      <c r="K6" s="6"/>
      <c r="L6" t="s">
        <v>12</v>
      </c>
      <c r="M6" s="6" t="n">
        <v>0.0</v>
      </c>
      <c r="N6" s="6" t="n">
        <v>39701.0</v>
      </c>
      <c r="O6" s="6" t="n">
        <v>13494.0</v>
      </c>
      <c r="P6" s="6" t="n">
        <v>0.0</v>
      </c>
      <c r="Q6" s="6" t="n">
        <v>875.0</v>
      </c>
      <c r="R6" s="6" t="n">
        <v>0.0</v>
      </c>
      <c r="S6" s="6" t="n">
        <v>0.0</v>
      </c>
      <c r="T6" s="6" t="n">
        <v>8086.0</v>
      </c>
      <c r="U6" s="6">
        <f t="shared" si="0"/>
        <v>62360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56068.65294852</v>
      </c>
      <c r="E7" s="6" t="n">
        <v>0.0</v>
      </c>
      <c r="F7" s="6" t="n">
        <v>1272.43726132</v>
      </c>
      <c r="G7" s="6" t="n">
        <v>0.0</v>
      </c>
      <c r="H7" s="6" t="n">
        <v>0.0</v>
      </c>
      <c r="I7" s="6" t="n">
        <v>4928.25125</v>
      </c>
      <c r="J7" s="6">
        <f t="shared" si="1"/>
        <v>62269.341459840005</v>
      </c>
      <c r="K7" s="6"/>
      <c r="L7" t="s">
        <v>56</v>
      </c>
      <c r="M7" s="6" t="n">
        <v>0.0</v>
      </c>
      <c r="N7" s="6" t="n">
        <v>0.0</v>
      </c>
      <c r="O7" s="6" t="n">
        <v>55881.0</v>
      </c>
      <c r="P7" s="6" t="n">
        <v>0.0</v>
      </c>
      <c r="Q7" s="6" t="n">
        <v>390.0</v>
      </c>
      <c r="R7" s="6" t="n">
        <v>0.0</v>
      </c>
      <c r="S7" s="6" t="n">
        <v>0.0</v>
      </c>
      <c r="T7" s="6" t="n">
        <v>7834.0</v>
      </c>
      <c r="U7" s="6">
        <f t="shared" si="0"/>
        <v>63718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657.5925</v>
      </c>
      <c r="F8" s="6" t="n">
        <v>12973.4640500081</v>
      </c>
      <c r="G8" s="6" t="n">
        <v>0.0</v>
      </c>
      <c r="H8" s="6" t="n">
        <v>0.0</v>
      </c>
      <c r="I8" s="6" t="n">
        <v>367.9275</v>
      </c>
      <c r="J8" s="6">
        <f t="shared" si="1"/>
        <v>13998.984050008101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4266.0</v>
      </c>
      <c r="R8" s="6" t="n">
        <v>0.0</v>
      </c>
      <c r="S8" s="6" t="n">
        <v>0.0</v>
      </c>
      <c r="T8" s="6" t="n">
        <v>73.0</v>
      </c>
      <c r="U8" s="6">
        <f t="shared" si="0"/>
        <v>4876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31303.3115</v>
      </c>
      <c r="J13" s="6">
        <f t="shared" si="1"/>
        <v>31303.3115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46387.0</v>
      </c>
      <c r="U13" s="6">
        <f t="shared" si="0"/>
        <v>46128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406.5105</v>
      </c>
      <c r="E14" s="6" t="n">
        <v>0.0</v>
      </c>
      <c r="F14" s="6" t="n">
        <v>52.736250000000005</v>
      </c>
      <c r="G14" s="6" t="n">
        <v>3418.6885</v>
      </c>
      <c r="H14" s="6" t="n">
        <v>0.0</v>
      </c>
      <c r="I14" s="6" t="n">
        <v>0.0</v>
      </c>
      <c r="J14" s="6">
        <f t="shared" si="1"/>
        <v>3877.93525</v>
      </c>
      <c r="K14" s="6"/>
      <c r="L14" t="s">
        <v>4</v>
      </c>
      <c r="M14" s="6" t="n">
        <v>65.0</v>
      </c>
      <c r="N14" s="6" t="n">
        <v>374.0</v>
      </c>
      <c r="O14" s="6" t="n">
        <v>396.0</v>
      </c>
      <c r="P14" s="6" t="n">
        <v>0.0</v>
      </c>
      <c r="Q14" s="6" t="n">
        <v>131.0</v>
      </c>
      <c r="R14" s="6" t="n">
        <v>2751.0</v>
      </c>
      <c r="S14" s="6" t="n">
        <v>0.0</v>
      </c>
      <c r="T14" s="6" t="n">
        <v>364.0</v>
      </c>
      <c r="U14" s="6">
        <f t="shared" si="0"/>
        <v>4057</v>
      </c>
    </row>
    <row r="15" spans="1:21" x14ac:dyDescent="0.45">
      <c r="A15" s="4" t="s">
        <v>5</v>
      </c>
      <c r="B15" s="10" t="n">
        <v>1437.100442642</v>
      </c>
      <c r="C15" s="10" t="n">
        <v>5060.518125</v>
      </c>
      <c r="D15" s="10" t="n">
        <v>4843.695125</v>
      </c>
      <c r="E15" s="10" t="n">
        <v>217.48499999999999</v>
      </c>
      <c r="F15" s="10" t="n">
        <v>582.372921687</v>
      </c>
      <c r="G15" s="10" t="n">
        <v>0.0</v>
      </c>
      <c r="H15" s="10" t="n">
        <v>3568.292256712</v>
      </c>
      <c r="I15" s="10" t="n">
        <v>1013.776875</v>
      </c>
      <c r="J15" s="6">
        <f t="shared" si="1"/>
        <v>16723.240746041</v>
      </c>
      <c r="K15" s="6"/>
      <c r="L15" s="4" t="s">
        <v>5</v>
      </c>
      <c r="M15" s="8" t="n">
        <v>392.0</v>
      </c>
      <c r="N15" s="8" t="n">
        <v>1394.0</v>
      </c>
      <c r="O15" s="8" t="n">
        <v>1761.0</v>
      </c>
      <c r="P15" s="8" t="n">
        <v>0.0</v>
      </c>
      <c r="Q15" s="8" t="n">
        <v>1067.0</v>
      </c>
      <c r="R15" s="8" t="n">
        <v>183.0</v>
      </c>
      <c r="S15" s="8" t="n">
        <v>7136.0</v>
      </c>
      <c r="T15" s="8" t="n">
        <v>2174.0</v>
      </c>
      <c r="U15" s="6">
        <f t="shared" si="0"/>
        <v>13847</v>
      </c>
    </row>
    <row r="16" spans="1:21" ht="14.65" thickBot="1" x14ac:dyDescent="0.5">
      <c r="A16" s="12" t="s">
        <v>7</v>
      </c>
      <c r="B16" s="16">
        <f t="shared" ref="B16:J16" si="2">SUM(B5:B15)</f>
        <v>32742.730090624402</v>
      </c>
      <c r="C16" s="16">
        <f t="shared" si="2"/>
        <v>50139.756625173999</v>
      </c>
      <c r="D16" s="16">
        <f t="shared" si="2"/>
        <v>80451.389177479999</v>
      </c>
      <c r="E16" s="16">
        <f t="shared" si="2"/>
        <v>1320.3225</v>
      </c>
      <c r="F16" s="16">
        <f t="shared" si="2"/>
        <v>15320.821758375201</v>
      </c>
      <c r="G16" s="16">
        <f t="shared" si="2"/>
        <v>3418.6885000000002</v>
      </c>
      <c r="H16" s="16">
        <f t="shared" si="2"/>
        <v>3568.2922567119999</v>
      </c>
      <c r="I16" s="16">
        <f t="shared" si="2"/>
        <v>41220.310750000004</v>
      </c>
      <c r="J16" s="16">
        <f t="shared" si="2"/>
        <v>228182.31165836562</v>
      </c>
      <c r="L16" s="9" t="s">
        <v>7</v>
      </c>
      <c r="M16" s="16">
        <f t="shared" ref="M16:U16" si="3">SUM(M5:M15)</f>
        <v>28255</v>
      </c>
      <c r="N16" s="16">
        <f t="shared" si="3"/>
        <v>43508</v>
      </c>
      <c r="O16" s="16">
        <f t="shared" si="3"/>
        <v>72150</v>
      </c>
      <c r="P16" s="16">
        <f t="shared" si="3"/>
        <v>0</v>
      </c>
      <c r="Q16" s="16">
        <f t="shared" si="3"/>
        <v>7760</v>
      </c>
      <c r="R16" s="16">
        <f t="shared" si="3"/>
        <v>2922</v>
      </c>
      <c r="S16" s="16">
        <f t="shared" si="3"/>
        <v>6933</v>
      </c>
      <c r="T16" s="16">
        <f t="shared" si="3"/>
        <v>65121</v>
      </c>
      <c r="U16" s="16">
        <f t="shared" si="3"/>
        <v>226649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0.95610932751592692</v>
      </c>
      <c r="C22" s="13">
        <f t="shared" si="4"/>
        <v>6.6539189149652607E-3</v>
      </c>
      <c r="D22" s="13">
        <f t="shared" si="4"/>
        <v>5.2789020095489027E-3</v>
      </c>
      <c r="E22" s="13">
        <f t="shared" si="4"/>
        <v>0.33722442812267456</v>
      </c>
      <c r="F22" s="13">
        <f t="shared" si="4"/>
        <v>1.3339689164406435E-3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0.14255983641574174</v>
      </c>
      <c r="K22" s="6"/>
      <c r="L22" t="s">
        <v>1</v>
      </c>
      <c r="M22" s="13">
        <f t="shared" ref="M22:P22" si="5">M5/M$16</f>
        <v>0.98428596708547156</v>
      </c>
      <c r="N22" s="13">
        <f t="shared" si="5"/>
        <v>4.2658821366185526E-2</v>
      </c>
      <c r="O22" s="13">
        <f t="shared" si="5"/>
        <v>2.1510741510741511E-2</v>
      </c>
      <c r="P22" s="13" t="e">
        <f t="shared" si="5"/>
        <v>#DIV/0!</v>
      </c>
      <c r="Q22" s="13">
        <f t="shared" ref="Q22:U33" si="6">Q5/Q$16</f>
        <v>4.0592783505154641E-2</v>
      </c>
      <c r="R22" s="13">
        <f t="shared" si="6"/>
        <v>0</v>
      </c>
      <c r="S22" s="13">
        <f t="shared" si="6"/>
        <v>0</v>
      </c>
      <c r="T22" s="13">
        <f t="shared" si="6"/>
        <v>1.980927811305109E-3</v>
      </c>
      <c r="U22" s="13">
        <f t="shared" si="6"/>
        <v>0.13970059431102719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0.89241782643014012</v>
      </c>
      <c r="D23" s="13">
        <f t="shared" si="7"/>
        <v>0.23253589273256089</v>
      </c>
      <c r="E23" s="13">
        <f t="shared" si="7"/>
        <v>0</v>
      </c>
      <c r="F23" s="13">
        <f t="shared" si="7"/>
        <v>2.7372799055693425E-2</v>
      </c>
      <c r="G23" s="13">
        <f t="shared" si="7"/>
        <v>0</v>
      </c>
      <c r="H23" s="13">
        <f t="shared" si="7"/>
        <v>0</v>
      </c>
      <c r="I23" s="13">
        <f t="shared" si="7"/>
        <v>8.7506463667307494E-2</v>
      </c>
      <c r="J23" s="13">
        <f t="shared" si="7"/>
        <v>0.29572785523588219</v>
      </c>
      <c r="K23" s="6"/>
      <c r="L23" t="s">
        <v>12</v>
      </c>
      <c r="M23" s="13">
        <f t="shared" ref="M23:P23" si="8">M6/M$16</f>
        <v>0</v>
      </c>
      <c r="N23" s="13">
        <f t="shared" si="8"/>
        <v>0.91744047071802892</v>
      </c>
      <c r="O23" s="13">
        <f t="shared" si="8"/>
        <v>0.18275814275814276</v>
      </c>
      <c r="P23" s="13" t="e">
        <f t="shared" si="8"/>
        <v>#DIV/0!</v>
      </c>
      <c r="Q23" s="13">
        <f t="shared" si="6"/>
        <v>0.12396907216494846</v>
      </c>
      <c r="R23" s="13">
        <f t="shared" si="6"/>
        <v>0</v>
      </c>
      <c r="S23" s="13">
        <f t="shared" si="6"/>
        <v>0</v>
      </c>
      <c r="T23" s="13">
        <f t="shared" si="6"/>
        <v>0.12739362110532701</v>
      </c>
      <c r="U23" s="13">
        <f t="shared" si="6"/>
        <v>0.27513909172332551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0.69692585201766499</v>
      </c>
      <c r="E24" s="13">
        <f t="shared" si="9"/>
        <v>0</v>
      </c>
      <c r="F24" s="13">
        <f t="shared" si="9"/>
        <v>8.3052807570482709E-2</v>
      </c>
      <c r="G24" s="13">
        <f t="shared" si="9"/>
        <v>0</v>
      </c>
      <c r="H24" s="13">
        <f t="shared" si="9"/>
        <v>0</v>
      </c>
      <c r="I24" s="13">
        <f t="shared" si="9"/>
        <v>0.11955880876031484</v>
      </c>
      <c r="J24" s="13">
        <f t="shared" si="9"/>
        <v>0.27289293813917359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0.7675121275121275</v>
      </c>
      <c r="P24" s="13" t="e">
        <f t="shared" si="10"/>
        <v>#DIV/0!</v>
      </c>
      <c r="Q24" s="13">
        <f t="shared" si="6"/>
        <v>5.3994845360824745E-2</v>
      </c>
      <c r="R24" s="13">
        <f t="shared" si="6"/>
        <v>0</v>
      </c>
      <c r="S24" s="13">
        <f t="shared" si="6"/>
        <v>0</v>
      </c>
      <c r="T24" s="13">
        <f t="shared" si="6"/>
        <v>0.12166582208504169</v>
      </c>
      <c r="U24" s="13">
        <f t="shared" si="6"/>
        <v>0.28113073518965448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0.49805445260532938</v>
      </c>
      <c r="F25" s="13">
        <f t="shared" si="11"/>
        <v>0.84678643578084145</v>
      </c>
      <c r="G25" s="13">
        <f t="shared" si="11"/>
        <v>0</v>
      </c>
      <c r="H25" s="13">
        <f t="shared" si="11"/>
        <v>0</v>
      </c>
      <c r="I25" s="13">
        <f t="shared" si="11"/>
        <v>8.9258788520899246E-3</v>
      </c>
      <c r="J25" s="13">
        <f t="shared" si="11"/>
        <v>6.1349996624485814E-2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0.62126288659793816</v>
      </c>
      <c r="R25" s="13">
        <f t="shared" si="6"/>
        <v>0</v>
      </c>
      <c r="S25" s="13">
        <f t="shared" si="6"/>
        <v>0</v>
      </c>
      <c r="T25" s="13">
        <f t="shared" si="6"/>
        <v>8.445816249750465E-4</v>
      </c>
      <c r="U25" s="13">
        <f t="shared" si="6"/>
        <v>2.1513441488821922E-2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0.75941473827923522</v>
      </c>
      <c r="J30" s="13">
        <f t="shared" si="21"/>
        <v>0.13718553060706692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0.708342930851799</v>
      </c>
      <c r="U30" s="13">
        <f t="shared" si="6"/>
        <v>0.20352174507718984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5.0528711083312238E-3</v>
      </c>
      <c r="E31" s="13">
        <f t="shared" si="23"/>
        <v>0</v>
      </c>
      <c r="F31" s="13">
        <f t="shared" si="23"/>
        <v>3.4421293342944532E-3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1.6994898604612445E-2</v>
      </c>
      <c r="K31" s="6"/>
      <c r="L31" t="s">
        <v>4</v>
      </c>
      <c r="M31" s="13">
        <f t="shared" ref="M31:P31" si="24">M14/M$16</f>
        <v>1.6280304370907804E-3</v>
      </c>
      <c r="N31" s="13">
        <f t="shared" si="24"/>
        <v>7.6997333823664617E-3</v>
      </c>
      <c r="O31" s="13">
        <f t="shared" si="24"/>
        <v>5.738045738045738E-3</v>
      </c>
      <c r="P31" s="13" t="e">
        <f t="shared" si="24"/>
        <v>#DIV/0!</v>
      </c>
      <c r="Q31" s="13">
        <f t="shared" si="6"/>
        <v>1.8427835051546392E-2</v>
      </c>
      <c r="R31" s="13">
        <f t="shared" si="6"/>
        <v>0.93600273785078714</v>
      </c>
      <c r="S31" s="13">
        <f t="shared" si="6"/>
        <v>0</v>
      </c>
      <c r="T31" s="13">
        <f t="shared" si="6"/>
        <v>5.8967153452803246E-3</v>
      </c>
      <c r="U31" s="13">
        <f t="shared" si="6"/>
        <v>1.7899924552943099E-2</v>
      </c>
    </row>
    <row r="32" spans="1:21" x14ac:dyDescent="0.45">
      <c r="A32" s="4" t="s">
        <v>5</v>
      </c>
      <c r="B32" s="14">
        <f t="shared" ref="B32:J32" si="25">B15/B$16</f>
        <v>4.3890672484073079E-2</v>
      </c>
      <c r="C32" s="14">
        <f t="shared" si="25"/>
        <v>0.10092825465489459</v>
      </c>
      <c r="D32" s="14">
        <f t="shared" si="25"/>
        <v>6.0206482131894001E-2</v>
      </c>
      <c r="E32" s="14">
        <f t="shared" si="25"/>
        <v>0.16472111927199604</v>
      </c>
      <c r="F32" s="14">
        <f t="shared" si="25"/>
        <v>3.8011859342247295E-2</v>
      </c>
      <c r="G32" s="14">
        <f t="shared" si="25"/>
        <v>0</v>
      </c>
      <c r="H32" s="14">
        <f t="shared" si="25"/>
        <v>1</v>
      </c>
      <c r="I32" s="14">
        <f t="shared" si="25"/>
        <v>2.4594110441052409E-2</v>
      </c>
      <c r="J32" s="14">
        <f t="shared" si="25"/>
        <v>7.3288944373037221E-2</v>
      </c>
      <c r="K32" s="6"/>
      <c r="L32" s="4" t="s">
        <v>5</v>
      </c>
      <c r="M32" s="14">
        <f t="shared" ref="M32:P32" si="26">M15/M$16</f>
        <v>1.4086002477437621E-2</v>
      </c>
      <c r="N32" s="14">
        <f t="shared" si="26"/>
        <v>3.2200974533419142E-2</v>
      </c>
      <c r="O32" s="14">
        <f t="shared" si="26"/>
        <v>2.2480942480942481E-2</v>
      </c>
      <c r="P32" s="14" t="e">
        <f t="shared" si="26"/>
        <v>#DIV/0!</v>
      </c>
      <c r="Q32" s="14">
        <f t="shared" si="6"/>
        <v>0.14175257731958762</v>
      </c>
      <c r="R32" s="14">
        <f t="shared" si="6"/>
        <v>6.3997262149212863E-2</v>
      </c>
      <c r="S32" s="14">
        <f t="shared" si="6"/>
        <v>1</v>
      </c>
      <c r="T32" s="14">
        <f t="shared" si="6"/>
        <v>3.3875401176271865E-2</v>
      </c>
      <c r="U32" s="14">
        <f t="shared" si="6"/>
        <v>6.1094467657037972E-2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4.65" thickBot="1" x14ac:dyDescent="0.5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2.8176639569544637E-2</v>
      </c>
      <c r="N39" s="13">
        <f t="shared" si="29"/>
        <v>3.6004902451220268E-2</v>
      </c>
      <c r="O39" s="13">
        <f t="shared" si="29"/>
        <v>1.623183950119261E-2</v>
      </c>
      <c r="P39" s="13" t="e">
        <f t="shared" si="29"/>
        <v>#DIV/0!</v>
      </c>
      <c r="Q39" s="13">
        <f t="shared" ref="Q39:Q50" si="30">Q22-F22</f>
        <v>3.9258814588713997E-2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1.980927811305109E-3</v>
      </c>
      <c r="U39" s="13">
        <f t="shared" ref="U39:U50" si="34">U22-J22</f>
        <v>-2.8592421047145544E-3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2.5022644287888807E-2</v>
      </c>
      <c r="O40" s="13">
        <f t="shared" si="29"/>
        <v>-4.977774997441814E-2</v>
      </c>
      <c r="P40" s="13" t="e">
        <f t="shared" si="29"/>
        <v>#DIV/0!</v>
      </c>
      <c r="Q40" s="13">
        <f t="shared" si="30"/>
        <v>9.6596273109255032E-2</v>
      </c>
      <c r="R40" s="13">
        <f t="shared" si="31"/>
        <v>0</v>
      </c>
      <c r="S40" s="13">
        <f t="shared" si="32"/>
        <v>0</v>
      </c>
      <c r="T40" s="13">
        <f t="shared" si="33"/>
        <v>3.9887157438019516E-2</v>
      </c>
      <c r="U40" s="13">
        <f t="shared" si="34"/>
        <v>-2.0588763512556674E-2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7.0586275494462503E-2</v>
      </c>
      <c r="P41" s="13" t="e">
        <f t="shared" si="29"/>
        <v>#DIV/0!</v>
      </c>
      <c r="Q41" s="13">
        <f t="shared" si="30"/>
        <v>-2.9057962209657964E-2</v>
      </c>
      <c r="R41" s="13">
        <f t="shared" si="31"/>
        <v>0</v>
      </c>
      <c r="S41" s="13">
        <f t="shared" si="32"/>
        <v>0</v>
      </c>
      <c r="T41" s="13">
        <f t="shared" si="33"/>
        <v>2.1070133247268474E-3</v>
      </c>
      <c r="U41" s="13">
        <f t="shared" si="34"/>
        <v>8.2377970504808884E-3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-0.22552354918290329</v>
      </c>
      <c r="R42" s="13">
        <f t="shared" si="31"/>
        <v>0</v>
      </c>
      <c r="S42" s="13">
        <f t="shared" si="32"/>
        <v>0</v>
      </c>
      <c r="T42" s="13">
        <f t="shared" si="33"/>
        <v>-8.0812972271148784E-3</v>
      </c>
      <c r="U42" s="13">
        <f t="shared" si="34"/>
        <v>-3.9836555135663893E-2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>
        <f t="shared" si="33"/>
        <v>0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>
        <f t="shared" si="33"/>
        <v>0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>
        <f t="shared" si="33"/>
        <v>0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-5.1071807427436222E-2</v>
      </c>
      <c r="U47" s="13">
        <f t="shared" si="34"/>
        <v>6.6336214470122917E-2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1.6280304370907804E-3</v>
      </c>
      <c r="N48" s="13">
        <f t="shared" si="39"/>
        <v>7.6997333823664617E-3</v>
      </c>
      <c r="O48" s="13">
        <f t="shared" si="39"/>
        <v>6.8517462971451424E-4</v>
      </c>
      <c r="P48" s="13" t="e">
        <f t="shared" si="39"/>
        <v>#DIV/0!</v>
      </c>
      <c r="Q48" s="13">
        <f t="shared" si="30"/>
        <v>1.4985705717251939E-2</v>
      </c>
      <c r="R48" s="13">
        <f t="shared" si="31"/>
        <v>-6.3997262149212863E-2</v>
      </c>
      <c r="S48" s="13">
        <f t="shared" si="32"/>
        <v>0</v>
      </c>
      <c r="T48" s="13">
        <f t="shared" si="33"/>
        <v>5.8967153452803246E-3</v>
      </c>
      <c r="U48" s="13">
        <f t="shared" si="34"/>
        <v>9.0502594833065386E-4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-2.9804670006635458E-2</v>
      </c>
      <c r="N49" s="17">
        <f t="shared" si="39"/>
        <v>-6.8727280121475443E-2</v>
      </c>
      <c r="O49" s="17">
        <f t="shared" si="39"/>
        <v>-3.7725539650951517E-2</v>
      </c>
      <c r="P49" s="17" t="e">
        <f t="shared" si="39"/>
        <v>#DIV/0!</v>
      </c>
      <c r="Q49" s="17">
        <f t="shared" si="30"/>
        <v>0.10374071797734033</v>
      </c>
      <c r="R49" s="17">
        <f t="shared" si="31"/>
        <v>6.3997262149212863E-2</v>
      </c>
      <c r="S49" s="17">
        <f t="shared" si="32"/>
        <v>0</v>
      </c>
      <c r="T49" s="17">
        <f t="shared" si="33"/>
        <v>9.2812907352194558E-3</v>
      </c>
      <c r="U49" s="13">
        <f t="shared" si="34"/>
        <v>-1.2194476715999249E-2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F50"/>
  <sheetViews>
    <sheetView zoomScaleNormal="100"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5910.2703807670005</v>
      </c>
      <c r="C5" s="6" t="n">
        <v>58007.3461174507</v>
      </c>
      <c r="D5" s="6" t="n">
        <v>31358.764174781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95276.380672998697</v>
      </c>
      <c r="K5" s="6"/>
      <c r="L5" t="s">
        <v>1</v>
      </c>
      <c r="M5" s="6" t="n">
        <v>4.0</v>
      </c>
      <c r="N5" s="6" t="n">
        <v>43529.0</v>
      </c>
      <c r="O5" s="6" t="n">
        <v>17756.0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61563</v>
      </c>
    </row>
    <row r="6" spans="1:21" x14ac:dyDescent="0.45">
      <c r="A6" t="s">
        <v>12</v>
      </c>
      <c r="B6" s="6" t="n">
        <v>0.0</v>
      </c>
      <c r="C6" s="6" t="n">
        <v>67622.9692503649</v>
      </c>
      <c r="D6" s="6" t="n">
        <v>32442.534029841998</v>
      </c>
      <c r="E6" s="6" t="n">
        <v>0.0</v>
      </c>
      <c r="F6" s="6" t="n">
        <v>224.931595914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100290.4348761209</v>
      </c>
      <c r="K6" s="6"/>
      <c r="L6" t="s">
        <v>12</v>
      </c>
      <c r="M6" s="6" t="n">
        <v>0.0</v>
      </c>
      <c r="N6" s="6" t="n">
        <v>83490.0</v>
      </c>
      <c r="O6" s="6" t="n">
        <v>15388.0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98438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83880.395199966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83880.395199966006</v>
      </c>
      <c r="K7" s="6"/>
      <c r="L7" t="s">
        <v>56</v>
      </c>
      <c r="M7" s="6" t="n">
        <v>0.0</v>
      </c>
      <c r="N7" s="6" t="n">
        <v>0.0</v>
      </c>
      <c r="O7" s="6" t="n">
        <v>57939.0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57163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224.931595914</v>
      </c>
      <c r="G8" s="6" t="n">
        <v>0.0</v>
      </c>
      <c r="H8" s="6" t="n">
        <v>0.0</v>
      </c>
      <c r="I8" s="6" t="n">
        <v>0.0</v>
      </c>
      <c r="J8" s="6">
        <f t="shared" si="1"/>
        <v>224.93159591400001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278.127651608</v>
      </c>
      <c r="D14" s="6" t="n">
        <v>0.0</v>
      </c>
      <c r="E14" s="6" t="n">
        <v>0.0</v>
      </c>
      <c r="F14" s="6" t="n">
        <v>0.0</v>
      </c>
      <c r="G14" s="6" t="n">
        <v>1597.264160492</v>
      </c>
      <c r="H14" s="6" t="n">
        <v>0.0</v>
      </c>
      <c r="I14" s="6" t="n">
        <v>0.0</v>
      </c>
      <c r="J14" s="6">
        <f t="shared" si="1"/>
        <v>1875.3918120999999</v>
      </c>
      <c r="K14" s="6"/>
      <c r="L14" t="s">
        <v>4</v>
      </c>
      <c r="M14" s="6" t="n">
        <v>0.0</v>
      </c>
      <c r="N14" s="6" t="n">
        <v>966.0</v>
      </c>
      <c r="O14" s="6" t="n">
        <v>751.0</v>
      </c>
      <c r="P14" s="6" t="n">
        <v>0.0</v>
      </c>
      <c r="Q14" s="6" t="n">
        <v>0.0</v>
      </c>
      <c r="R14" s="6" t="n">
        <v>154.0</v>
      </c>
      <c r="S14" s="6" t="n">
        <v>0.0</v>
      </c>
      <c r="T14" s="6" t="n">
        <v>0.0</v>
      </c>
      <c r="U14" s="6">
        <f t="shared" si="0"/>
        <v>1852</v>
      </c>
    </row>
    <row r="15" spans="1:21" x14ac:dyDescent="0.45">
      <c r="A15" s="4" t="s">
        <v>5</v>
      </c>
      <c r="B15" s="10" t="n">
        <v>304.976055362</v>
      </c>
      <c r="C15" s="10" t="n">
        <v>624.392874372</v>
      </c>
      <c r="D15" s="10" t="n">
        <v>17109.916160455</v>
      </c>
      <c r="E15" s="10" t="n">
        <v>0.0</v>
      </c>
      <c r="F15" s="10" t="n">
        <v>0.0</v>
      </c>
      <c r="G15" s="10" t="n">
        <v>0.0</v>
      </c>
      <c r="H15" s="10" t="n">
        <v>3839.3946044748</v>
      </c>
      <c r="I15" s="10" t="n">
        <v>0.0</v>
      </c>
      <c r="J15" s="6">
        <f t="shared" si="1"/>
        <v>21878.679694663799</v>
      </c>
      <c r="K15" s="6"/>
      <c r="L15" s="4" t="s">
        <v>5</v>
      </c>
      <c r="M15" s="8" t="n">
        <v>0.0</v>
      </c>
      <c r="N15" s="8" t="n">
        <v>4155.0</v>
      </c>
      <c r="O15" s="8" t="n">
        <v>2706.0</v>
      </c>
      <c r="P15" s="8" t="n">
        <v>0.0</v>
      </c>
      <c r="Q15" s="8" t="n">
        <v>0.0</v>
      </c>
      <c r="R15" s="8" t="n">
        <v>4.0</v>
      </c>
      <c r="S15" s="8" t="n">
        <v>4.0</v>
      </c>
      <c r="T15" s="8" t="n">
        <v>0.0</v>
      </c>
      <c r="U15" s="6">
        <f t="shared" si="0"/>
        <v>6785</v>
      </c>
    </row>
    <row r="16" spans="1:21" ht="14.65" thickBot="1" x14ac:dyDescent="0.5">
      <c r="A16" s="12" t="s">
        <v>7</v>
      </c>
      <c r="B16" s="16">
        <f t="shared" ref="B16:J16" si="2">SUM(B5:B15)</f>
        <v>6215.2464361290004</v>
      </c>
      <c r="C16" s="16">
        <f t="shared" si="2"/>
        <v>126532.83589379561</v>
      </c>
      <c r="D16" s="16">
        <f t="shared" si="2"/>
        <v>164791.60956504403</v>
      </c>
      <c r="E16" s="16">
        <f t="shared" si="2"/>
        <v>0</v>
      </c>
      <c r="F16" s="16">
        <f t="shared" si="2"/>
        <v>449.86319182800003</v>
      </c>
      <c r="G16" s="16">
        <f t="shared" si="2"/>
        <v>1597.264160492</v>
      </c>
      <c r="H16" s="16">
        <f t="shared" si="2"/>
        <v>3839.3946044748</v>
      </c>
      <c r="I16" s="16">
        <f t="shared" si="2"/>
        <v>0</v>
      </c>
      <c r="J16" s="16">
        <f t="shared" si="2"/>
        <v>303426.21385176346</v>
      </c>
      <c r="L16" s="9" t="s">
        <v>7</v>
      </c>
      <c r="M16" s="16">
        <f t="shared" ref="M16:U16" si="3">SUM(M5:M15)</f>
        <v>14</v>
      </c>
      <c r="N16" s="16">
        <f t="shared" si="3"/>
        <v>132284</v>
      </c>
      <c r="O16" s="16">
        <f t="shared" si="3"/>
        <v>93352</v>
      </c>
      <c r="P16" s="16">
        <f t="shared" si="3"/>
        <v>0</v>
      </c>
      <c r="Q16" s="16">
        <f t="shared" si="3"/>
        <v>0</v>
      </c>
      <c r="R16" s="16">
        <f t="shared" si="3"/>
        <v>147</v>
      </c>
      <c r="S16" s="16">
        <f t="shared" si="3"/>
        <v>4</v>
      </c>
      <c r="T16" s="16">
        <f t="shared" si="3"/>
        <v>0</v>
      </c>
      <c r="U16" s="16">
        <f t="shared" si="3"/>
        <v>225801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0.95093097940748006</v>
      </c>
      <c r="C22" s="13">
        <f t="shared" si="4"/>
        <v>0.45843709822593987</v>
      </c>
      <c r="D22" s="13">
        <f t="shared" si="4"/>
        <v>0.19029345157529728</v>
      </c>
      <c r="E22" s="13" t="e">
        <f t="shared" si="4"/>
        <v>#DIV/0!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0.31400181106153618</v>
      </c>
      <c r="K22" s="6"/>
      <c r="L22" t="s">
        <v>1</v>
      </c>
      <c r="M22" s="13">
        <f t="shared" ref="M22:P22" si="5">M5/M$16</f>
        <v>1</v>
      </c>
      <c r="N22" s="13">
        <f t="shared" si="5"/>
        <v>0.33160472921895318</v>
      </c>
      <c r="O22" s="13">
        <f t="shared" si="5"/>
        <v>0.18942282971977034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0.27264272523150918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0.53443020361231552</v>
      </c>
      <c r="D23" s="13">
        <f t="shared" si="7"/>
        <v>0.19687005980141711</v>
      </c>
      <c r="E23" s="13" t="e">
        <f t="shared" si="7"/>
        <v>#DIV/0!</v>
      </c>
      <c r="F23" s="13">
        <f t="shared" si="7"/>
        <v>0.5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0.33052660020045932</v>
      </c>
      <c r="K23" s="6"/>
      <c r="L23" t="s">
        <v>12</v>
      </c>
      <c r="M23" s="13">
        <f t="shared" ref="M23:P23" si="8">M6/M$16</f>
        <v>0</v>
      </c>
      <c r="N23" s="13">
        <f t="shared" si="8"/>
        <v>0.62909346557406787</v>
      </c>
      <c r="O23" s="13">
        <f t="shared" si="8"/>
        <v>0.16302810866398149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0.43595023937006477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0.50900889566745822</v>
      </c>
      <c r="E24" s="13" t="e">
        <f t="shared" si="9"/>
        <v>#DIV/0!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0.27644412832750542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0.61233824663638703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0.25315654049362046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0.5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7.4130574632516296E-4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2.1980670048480093E-3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6.1807178367792844E-3</v>
      </c>
      <c r="K31" s="6"/>
      <c r="L31" t="s">
        <v>4</v>
      </c>
      <c r="M31" s="13">
        <f t="shared" ref="M31:P31" si="24">M14/M$16</f>
        <v>0</v>
      </c>
      <c r="N31" s="13">
        <f t="shared" si="24"/>
        <v>7.5368147319403705E-3</v>
      </c>
      <c r="O31" s="13">
        <f t="shared" si="24"/>
        <v>7.6484703059388126E-3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0.95918367346938771</v>
      </c>
      <c r="S31" s="13">
        <f t="shared" si="6"/>
        <v>0</v>
      </c>
      <c r="T31" s="13" t="e">
        <f t="shared" si="6"/>
        <v>#DIV/0!</v>
      </c>
      <c r="U31" s="13">
        <f t="shared" si="6"/>
        <v>8.2019123033113227E-3</v>
      </c>
    </row>
    <row r="32" spans="1:21" x14ac:dyDescent="0.45">
      <c r="A32" s="4" t="s">
        <v>5</v>
      </c>
      <c r="B32" s="14">
        <f t="shared" ref="B32:J32" si="25">B15/B$16</f>
        <v>4.9069020592519927E-2</v>
      </c>
      <c r="C32" s="14">
        <f t="shared" si="25"/>
        <v>4.9346311568965349E-3</v>
      </c>
      <c r="D32" s="14">
        <f t="shared" si="25"/>
        <v>0.10382759295582725</v>
      </c>
      <c r="E32" s="14" t="e">
        <f t="shared" si="25"/>
        <v>#DIV/0!</v>
      </c>
      <c r="F32" s="14">
        <f t="shared" si="25"/>
        <v>0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7.2105436827394412E-2</v>
      </c>
      <c r="K32" s="6"/>
      <c r="L32" s="4" t="s">
        <v>5</v>
      </c>
      <c r="M32" s="14">
        <f t="shared" ref="M32:P32" si="26">M15/M$16</f>
        <v>0</v>
      </c>
      <c r="N32" s="14">
        <f t="shared" si="26"/>
        <v>3.176499047503855E-2</v>
      </c>
      <c r="O32" s="14">
        <f t="shared" si="26"/>
        <v>2.7562344673922358E-2</v>
      </c>
      <c r="P32" s="14" t="e">
        <f t="shared" si="26"/>
        <v>#DIV/0!</v>
      </c>
      <c r="Q32" s="14" t="e">
        <f t="shared" si="6"/>
        <v>#DIV/0!</v>
      </c>
      <c r="R32" s="14">
        <f t="shared" si="6"/>
        <v>4.0816326530612242E-2</v>
      </c>
      <c r="S32" s="14">
        <f t="shared" si="6"/>
        <v>1</v>
      </c>
      <c r="T32" s="14" t="e">
        <f t="shared" si="6"/>
        <v>#DIV/0!</v>
      </c>
      <c r="U32" s="14">
        <f t="shared" si="6"/>
        <v>3.0048582601494237E-2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4.9069020592519941E-2</v>
      </c>
      <c r="N39" s="13">
        <f t="shared" si="29"/>
        <v>-0.12683236900698669</v>
      </c>
      <c r="O39" s="13">
        <f t="shared" si="29"/>
        <v>-8.7062185552694293E-4</v>
      </c>
      <c r="P39" s="13" t="e">
        <f t="shared" si="29"/>
        <v>#DIV/0!</v>
      </c>
      <c r="Q39" s="13" t="e">
        <f t="shared" ref="Q39:Q50" si="30">Q22-F22</f>
        <v>#DIV/0!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-4.1359085830027009E-2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9.4663261961752343E-2</v>
      </c>
      <c r="O40" s="13">
        <f t="shared" si="29"/>
        <v>-3.3841951137435627E-2</v>
      </c>
      <c r="P40" s="13" t="e">
        <f t="shared" si="29"/>
        <v>#DIV/0!</v>
      </c>
      <c r="Q40" s="13" t="e">
        <f t="shared" si="30"/>
        <v>#DIV/0!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0.10542363916960545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0.10332935096892881</v>
      </c>
      <c r="P41" s="13" t="e">
        <f t="shared" si="29"/>
        <v>#DIV/0!</v>
      </c>
      <c r="Q41" s="13" t="e">
        <f t="shared" si="30"/>
        <v>#DIV/0!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-2.328758783388496E-2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-7.4130574632516296E-4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0</v>
      </c>
      <c r="N48" s="13">
        <f t="shared" si="39"/>
        <v>5.3387477270923616E-3</v>
      </c>
      <c r="O48" s="13">
        <f t="shared" si="39"/>
        <v>7.6484703059388126E-3</v>
      </c>
      <c r="P48" s="13" t="e">
        <f t="shared" si="39"/>
        <v>#DIV/0!</v>
      </c>
      <c r="Q48" s="13" t="e">
        <f t="shared" si="30"/>
        <v>#DIV/0!</v>
      </c>
      <c r="R48" s="13">
        <f t="shared" si="31"/>
        <v>-4.081632653061229E-2</v>
      </c>
      <c r="S48" s="13">
        <f t="shared" si="32"/>
        <v>0</v>
      </c>
      <c r="T48" s="13" t="e">
        <f t="shared" si="33"/>
        <v>#DIV/0!</v>
      </c>
      <c r="U48" s="13">
        <f t="shared" si="34"/>
        <v>2.0211944665320383E-3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-4.9069020592519927E-2</v>
      </c>
      <c r="N49" s="17">
        <f t="shared" si="39"/>
        <v>2.6830359318142014E-2</v>
      </c>
      <c r="O49" s="17">
        <f t="shared" si="39"/>
        <v>-7.6265248281904896E-2</v>
      </c>
      <c r="P49" s="17" t="e">
        <f t="shared" si="39"/>
        <v>#DIV/0!</v>
      </c>
      <c r="Q49" s="17" t="e">
        <f t="shared" si="30"/>
        <v>#DIV/0!</v>
      </c>
      <c r="R49" s="17">
        <f t="shared" si="31"/>
        <v>4.0816326530612242E-2</v>
      </c>
      <c r="S49" s="17">
        <f t="shared" si="32"/>
        <v>0</v>
      </c>
      <c r="T49" s="17" t="e">
        <f t="shared" si="33"/>
        <v>#DIV/0!</v>
      </c>
      <c r="U49" s="13">
        <f t="shared" si="34"/>
        <v>-4.2056854225900178E-2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57965.1269265472</v>
      </c>
      <c r="C5" s="6" t="n">
        <v>678.801410544</v>
      </c>
      <c r="D5" s="6" t="n">
        <v>0.0</v>
      </c>
      <c r="E5" s="6" t="n">
        <v>0.0</v>
      </c>
      <c r="F5" s="6" t="n">
        <v>456.37559718</v>
      </c>
      <c r="G5" s="6" t="n">
        <v>0.0</v>
      </c>
      <c r="H5" s="6" t="n">
        <v>0.0</v>
      </c>
      <c r="I5" s="6" t="n">
        <v>0.0</v>
      </c>
      <c r="J5" s="6">
        <f>SUM(B5:I5)</f>
        <v>59100.3039342712</v>
      </c>
      <c r="K5" s="6"/>
      <c r="L5" t="s">
        <v>1</v>
      </c>
      <c r="M5" s="6" t="n">
        <v>71129.0</v>
      </c>
      <c r="N5" s="6" t="n">
        <v>5169.0</v>
      </c>
      <c r="O5" s="6" t="n">
        <v>1516.0</v>
      </c>
      <c r="P5" s="6" t="n">
        <v>0.0</v>
      </c>
      <c r="Q5" s="6" t="n">
        <v>17.0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77653</v>
      </c>
    </row>
    <row r="6" spans="1:21" x14ac:dyDescent="0.45">
      <c r="A6" t="s">
        <v>12</v>
      </c>
      <c r="B6" s="6" t="n">
        <v>0.0</v>
      </c>
      <c r="C6" s="6" t="n">
        <v>38308.521477606</v>
      </c>
      <c r="D6" s="6" t="n">
        <v>4318.127875</v>
      </c>
      <c r="E6" s="6" t="n">
        <v>0.0</v>
      </c>
      <c r="F6" s="6" t="n">
        <v>193.998839214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42820.648191820001</v>
      </c>
      <c r="K6" s="6"/>
      <c r="L6" t="s">
        <v>12</v>
      </c>
      <c r="M6" s="6" t="n">
        <v>0.0</v>
      </c>
      <c r="N6" s="6" t="n">
        <v>61774.0</v>
      </c>
      <c r="O6" s="6" t="n">
        <v>10527.0</v>
      </c>
      <c r="P6" s="6" t="n">
        <v>0.0</v>
      </c>
      <c r="Q6" s="6" t="n">
        <v>293.0</v>
      </c>
      <c r="R6" s="6" t="n">
        <v>0.0</v>
      </c>
      <c r="S6" s="6" t="n">
        <v>0.0</v>
      </c>
      <c r="T6" s="6" t="n">
        <v>0.0</v>
      </c>
      <c r="U6" s="6">
        <f t="shared" si="0"/>
        <v>72374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41749.473304118</v>
      </c>
      <c r="E7" s="6" t="n">
        <v>0.0</v>
      </c>
      <c r="F7" s="6" t="n">
        <v>261.652913556</v>
      </c>
      <c r="G7" s="6" t="n">
        <v>0.0</v>
      </c>
      <c r="H7" s="6" t="n">
        <v>0.0</v>
      </c>
      <c r="I7" s="6" t="n">
        <v>0.0</v>
      </c>
      <c r="J7" s="6">
        <f t="shared" si="1"/>
        <v>42011.126217673998</v>
      </c>
      <c r="K7" s="6"/>
      <c r="L7" t="s">
        <v>56</v>
      </c>
      <c r="M7" s="6" t="n">
        <v>0.0</v>
      </c>
      <c r="N7" s="6" t="n">
        <v>0.0</v>
      </c>
      <c r="O7" s="6" t="n">
        <v>47223.0</v>
      </c>
      <c r="P7" s="6" t="n">
        <v>0.0</v>
      </c>
      <c r="Q7" s="6" t="n">
        <v>115.0</v>
      </c>
      <c r="R7" s="6" t="n">
        <v>0.0</v>
      </c>
      <c r="S7" s="6" t="n">
        <v>0.0</v>
      </c>
      <c r="T7" s="6" t="n">
        <v>0.0</v>
      </c>
      <c r="U7" s="6">
        <f t="shared" si="0"/>
        <v>47261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11913.868929869</v>
      </c>
      <c r="G8" s="6" t="n">
        <v>0.0</v>
      </c>
      <c r="H8" s="6" t="n">
        <v>0.0</v>
      </c>
      <c r="I8" s="6" t="n">
        <v>0.0</v>
      </c>
      <c r="J8" s="6">
        <f t="shared" si="1"/>
        <v>11913.868929869001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1660.0</v>
      </c>
      <c r="R8" s="6" t="n">
        <v>0.0</v>
      </c>
      <c r="S8" s="6" t="n">
        <v>0.0</v>
      </c>
      <c r="T8" s="6" t="n">
        <v>0.0</v>
      </c>
      <c r="U8" s="6">
        <f t="shared" si="0"/>
        <v>1513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280.059719892</v>
      </c>
      <c r="D14" s="6" t="n">
        <v>0.0</v>
      </c>
      <c r="E14" s="6" t="n">
        <v>0.0</v>
      </c>
      <c r="F14" s="6" t="n">
        <v>128.631810469</v>
      </c>
      <c r="G14" s="6" t="n">
        <v>2760.10350428</v>
      </c>
      <c r="H14" s="6" t="n">
        <v>0.0</v>
      </c>
      <c r="I14" s="6" t="n">
        <v>0.0</v>
      </c>
      <c r="J14" s="6">
        <f t="shared" si="1"/>
        <v>3168.7950346409998</v>
      </c>
      <c r="K14" s="6"/>
      <c r="L14" t="s">
        <v>4</v>
      </c>
      <c r="M14" s="6" t="n">
        <v>102.0</v>
      </c>
      <c r="N14" s="6" t="n">
        <v>120.0</v>
      </c>
      <c r="O14" s="6" t="n">
        <v>102.0</v>
      </c>
      <c r="P14" s="6" t="n">
        <v>0.0</v>
      </c>
      <c r="Q14" s="6" t="n">
        <v>37.0</v>
      </c>
      <c r="R14" s="6" t="n">
        <v>2977.0</v>
      </c>
      <c r="S14" s="6" t="n">
        <v>0.0</v>
      </c>
      <c r="T14" s="6" t="n">
        <v>0.0</v>
      </c>
      <c r="U14" s="6">
        <f t="shared" si="0"/>
        <v>3159</v>
      </c>
    </row>
    <row r="15" spans="1:21" x14ac:dyDescent="0.45">
      <c r="A15" s="4" t="s">
        <v>5</v>
      </c>
      <c r="B15" s="10" t="n">
        <v>1038.552707806</v>
      </c>
      <c r="C15" s="10" t="n">
        <v>529.272159155</v>
      </c>
      <c r="D15" s="10" t="n">
        <v>0.0</v>
      </c>
      <c r="E15" s="10" t="n">
        <v>0.0</v>
      </c>
      <c r="F15" s="10" t="n">
        <v>1037.6482704119999</v>
      </c>
      <c r="G15" s="10" t="n">
        <v>0.0</v>
      </c>
      <c r="H15" s="10" t="n">
        <v>19965.852757387</v>
      </c>
      <c r="I15" s="10" t="n">
        <v>0.0</v>
      </c>
      <c r="J15" s="6">
        <f t="shared" si="1"/>
        <v>22571.325894760001</v>
      </c>
      <c r="K15" s="6"/>
      <c r="L15" s="4" t="s">
        <v>5</v>
      </c>
      <c r="M15" s="8" t="n">
        <v>1009.0</v>
      </c>
      <c r="N15" s="8" t="n">
        <v>669.0</v>
      </c>
      <c r="O15" s="8" t="n">
        <v>393.0</v>
      </c>
      <c r="P15" s="8" t="n">
        <v>0.0</v>
      </c>
      <c r="Q15" s="8" t="n">
        <v>438.0</v>
      </c>
      <c r="R15" s="8" t="n">
        <v>279.0</v>
      </c>
      <c r="S15" s="8" t="n">
        <v>8558.0</v>
      </c>
      <c r="T15" s="8" t="n">
        <v>0.0</v>
      </c>
      <c r="U15" s="6">
        <f t="shared" si="0"/>
        <v>11170</v>
      </c>
    </row>
    <row r="16" spans="1:21" ht="14.65" thickBot="1" x14ac:dyDescent="0.5">
      <c r="A16" s="12" t="s">
        <v>7</v>
      </c>
      <c r="B16" s="16">
        <f t="shared" ref="B16:J16" si="2">SUM(B5:B15)</f>
        <v>59003.679634353197</v>
      </c>
      <c r="C16" s="16">
        <f t="shared" si="2"/>
        <v>39796.654767197004</v>
      </c>
      <c r="D16" s="16">
        <f t="shared" si="2"/>
        <v>46067.601179117999</v>
      </c>
      <c r="E16" s="16">
        <f t="shared" si="2"/>
        <v>0</v>
      </c>
      <c r="F16" s="16">
        <f t="shared" si="2"/>
        <v>13992.176360699999</v>
      </c>
      <c r="G16" s="16">
        <f t="shared" si="2"/>
        <v>2760.1035042799999</v>
      </c>
      <c r="H16" s="16">
        <f t="shared" si="2"/>
        <v>19965.852757387001</v>
      </c>
      <c r="I16" s="16">
        <f t="shared" si="2"/>
        <v>0</v>
      </c>
      <c r="J16" s="16">
        <f t="shared" si="2"/>
        <v>181586.06820303519</v>
      </c>
      <c r="L16" s="9" t="s">
        <v>7</v>
      </c>
      <c r="M16" s="16">
        <f t="shared" ref="M16:U16" si="3">SUM(M5:M15)</f>
        <v>71987</v>
      </c>
      <c r="N16" s="16">
        <f t="shared" si="3"/>
        <v>67569</v>
      </c>
      <c r="O16" s="16">
        <f t="shared" si="3"/>
        <v>59803</v>
      </c>
      <c r="P16" s="16">
        <f t="shared" si="3"/>
        <v>0</v>
      </c>
      <c r="Q16" s="16">
        <f t="shared" si="3"/>
        <v>2293</v>
      </c>
      <c r="R16" s="16">
        <f t="shared" si="3"/>
        <v>3070</v>
      </c>
      <c r="S16" s="16">
        <f t="shared" si="3"/>
        <v>8408</v>
      </c>
      <c r="T16" s="16">
        <f t="shared" si="3"/>
        <v>0</v>
      </c>
      <c r="U16" s="16">
        <f t="shared" si="3"/>
        <v>213130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0.98239850947869822</v>
      </c>
      <c r="C22" s="13">
        <f t="shared" si="4"/>
        <v>1.7056745460513237E-2</v>
      </c>
      <c r="D22" s="13">
        <f t="shared" si="4"/>
        <v>0</v>
      </c>
      <c r="E22" s="13" t="e">
        <f t="shared" si="4"/>
        <v>#DIV/0!</v>
      </c>
      <c r="F22" s="13">
        <f t="shared" si="4"/>
        <v>3.2616484056177841E-2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0.32546717112785278</v>
      </c>
      <c r="K22" s="6"/>
      <c r="L22" t="s">
        <v>1</v>
      </c>
      <c r="M22" s="13">
        <f t="shared" ref="M22:P22" si="5">M5/M$16</f>
        <v>0.98466389764818651</v>
      </c>
      <c r="N22" s="13">
        <f t="shared" si="5"/>
        <v>7.6765972561381693E-2</v>
      </c>
      <c r="O22" s="13">
        <f t="shared" si="5"/>
        <v>2.6135812584652945E-2</v>
      </c>
      <c r="P22" s="13" t="e">
        <f t="shared" si="5"/>
        <v>#DIV/0!</v>
      </c>
      <c r="Q22" s="13">
        <f t="shared" ref="Q22:U33" si="6">Q5/Q$16</f>
        <v>8.7221979938944608E-3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0.36434570449960119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0.96260657338421274</v>
      </c>
      <c r="D23" s="13">
        <f t="shared" si="7"/>
        <v>9.3734593607564837E-2</v>
      </c>
      <c r="E23" s="13" t="e">
        <f t="shared" si="7"/>
        <v>#DIV/0!</v>
      </c>
      <c r="F23" s="13">
        <f t="shared" si="7"/>
        <v>1.3864808033644212E-2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0.23581461185635308</v>
      </c>
      <c r="K23" s="6"/>
      <c r="L23" t="s">
        <v>12</v>
      </c>
      <c r="M23" s="13">
        <f t="shared" ref="M23:P23" si="8">M6/M$16</f>
        <v>0</v>
      </c>
      <c r="N23" s="13">
        <f t="shared" si="8"/>
        <v>0.91142387781379031</v>
      </c>
      <c r="O23" s="13">
        <f t="shared" si="8"/>
        <v>0.17642927612327142</v>
      </c>
      <c r="P23" s="13" t="e">
        <f t="shared" si="8"/>
        <v>#DIV/0!</v>
      </c>
      <c r="Q23" s="13">
        <f t="shared" si="6"/>
        <v>0.10423026602703882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0.33957678412236664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0.90626540639243525</v>
      </c>
      <c r="E24" s="13" t="e">
        <f t="shared" si="9"/>
        <v>#DIV/0!</v>
      </c>
      <c r="F24" s="13">
        <f t="shared" si="9"/>
        <v>1.8699943940880263E-2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0.23135654972550249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0.7886560874872498</v>
      </c>
      <c r="P24" s="13" t="e">
        <f t="shared" si="10"/>
        <v>#DIV/0!</v>
      </c>
      <c r="Q24" s="13">
        <f t="shared" si="6"/>
        <v>4.2302660270388134E-2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0.22174729038614929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0.8514664640256846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6.5610038522051453E-2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0.65983427823811602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7.0989536902360062E-3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7.0372678691286248E-3</v>
      </c>
      <c r="D31" s="13">
        <f t="shared" si="23"/>
        <v>0</v>
      </c>
      <c r="E31" s="13" t="e">
        <f t="shared" si="23"/>
        <v>#DIV/0!</v>
      </c>
      <c r="F31" s="13">
        <f t="shared" si="23"/>
        <v>9.193123868156048E-3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1.7450650625343699E-2</v>
      </c>
      <c r="K31" s="6"/>
      <c r="L31" t="s">
        <v>4</v>
      </c>
      <c r="M31" s="13">
        <f t="shared" ref="M31:P31" si="24">M14/M$16</f>
        <v>1.4308138969536166E-3</v>
      </c>
      <c r="N31" s="13">
        <f t="shared" si="24"/>
        <v>2.1607541920111292E-3</v>
      </c>
      <c r="O31" s="13">
        <f t="shared" si="24"/>
        <v>1.7557647609651691E-3</v>
      </c>
      <c r="P31" s="13" t="e">
        <f t="shared" si="24"/>
        <v>#DIV/0!</v>
      </c>
      <c r="Q31" s="13">
        <f t="shared" si="6"/>
        <v>9.1583078935891845E-3</v>
      </c>
      <c r="R31" s="13">
        <f t="shared" si="6"/>
        <v>0.90684039087947887</v>
      </c>
      <c r="S31" s="13">
        <f t="shared" si="6"/>
        <v>0</v>
      </c>
      <c r="T31" s="13" t="e">
        <f t="shared" si="6"/>
        <v>#DIV/0!</v>
      </c>
      <c r="U31" s="13">
        <f t="shared" si="6"/>
        <v>1.482193966123962E-2</v>
      </c>
    </row>
    <row r="32" spans="1:21" x14ac:dyDescent="0.45">
      <c r="A32" s="4" t="s">
        <v>5</v>
      </c>
      <c r="B32" s="14">
        <f t="shared" ref="B32:J32" si="25">B15/B$16</f>
        <v>1.7601490521301871E-2</v>
      </c>
      <c r="C32" s="14">
        <f t="shared" si="25"/>
        <v>1.3299413286145364E-2</v>
      </c>
      <c r="D32" s="14">
        <f t="shared" si="25"/>
        <v>0</v>
      </c>
      <c r="E32" s="14" t="e">
        <f t="shared" si="25"/>
        <v>#DIV/0!</v>
      </c>
      <c r="F32" s="14">
        <f t="shared" si="25"/>
        <v>7.4159176075457106E-2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0.12430097814289656</v>
      </c>
      <c r="K32" s="6"/>
      <c r="L32" s="4" t="s">
        <v>5</v>
      </c>
      <c r="M32" s="14">
        <f t="shared" ref="M32:P32" si="26">M15/M$16</f>
        <v>1.3905288454859905E-2</v>
      </c>
      <c r="N32" s="14">
        <f t="shared" si="26"/>
        <v>9.6493954328168239E-3</v>
      </c>
      <c r="O32" s="14">
        <f t="shared" si="26"/>
        <v>7.0230590438606763E-3</v>
      </c>
      <c r="P32" s="14" t="e">
        <f t="shared" si="26"/>
        <v>#DIV/0!</v>
      </c>
      <c r="Q32" s="14">
        <f t="shared" si="6"/>
        <v>0.17575228957697339</v>
      </c>
      <c r="R32" s="14">
        <f t="shared" si="6"/>
        <v>9.3159609120521167E-2</v>
      </c>
      <c r="S32" s="14">
        <f t="shared" si="6"/>
        <v>1</v>
      </c>
      <c r="T32" s="14" t="e">
        <f t="shared" si="6"/>
        <v>#DIV/0!</v>
      </c>
      <c r="U32" s="14">
        <f t="shared" si="6"/>
        <v>5.2409327640407261E-2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2.2653881694882916E-3</v>
      </c>
      <c r="N39" s="13">
        <f t="shared" si="29"/>
        <v>5.9709227100868456E-2</v>
      </c>
      <c r="O39" s="13">
        <f t="shared" si="29"/>
        <v>2.6135812584652945E-2</v>
      </c>
      <c r="P39" s="13" t="e">
        <f t="shared" si="29"/>
        <v>#DIV/0!</v>
      </c>
      <c r="Q39" s="13">
        <f t="shared" ref="Q39:Q50" si="30">Q22-F22</f>
        <v>-2.3894286062283381E-2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3.8878533371748403E-2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-5.1182695570422432E-2</v>
      </c>
      <c r="O40" s="13">
        <f t="shared" si="29"/>
        <v>8.269468251570658E-2</v>
      </c>
      <c r="P40" s="13" t="e">
        <f t="shared" si="29"/>
        <v>#DIV/0!</v>
      </c>
      <c r="Q40" s="13">
        <f t="shared" si="30"/>
        <v>9.0365457993394599E-2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0.10376217226601356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-0.11760931890518544</v>
      </c>
      <c r="P41" s="13" t="e">
        <f t="shared" si="29"/>
        <v>#DIV/0!</v>
      </c>
      <c r="Q41" s="13">
        <f t="shared" si="30"/>
        <v>2.3602716329507872E-2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-9.6092593393531933E-3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-0.19163218578756858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-5.8511084831815448E-2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1.4308138969536166E-3</v>
      </c>
      <c r="N48" s="13">
        <f t="shared" si="39"/>
        <v>-4.8765136771174956E-3</v>
      </c>
      <c r="O48" s="13">
        <f t="shared" si="39"/>
        <v>1.7557647609651691E-3</v>
      </c>
      <c r="P48" s="13" t="e">
        <f t="shared" si="39"/>
        <v>#DIV/0!</v>
      </c>
      <c r="Q48" s="13">
        <f t="shared" si="30"/>
        <v>-3.4815974566863514E-5</v>
      </c>
      <c r="R48" s="13">
        <f t="shared" si="31"/>
        <v>-9.3159609120521125E-2</v>
      </c>
      <c r="S48" s="13">
        <f t="shared" si="32"/>
        <v>0</v>
      </c>
      <c r="T48" s="13" t="e">
        <f t="shared" si="33"/>
        <v>#DIV/0!</v>
      </c>
      <c r="U48" s="13">
        <f t="shared" si="34"/>
        <v>-2.6287109641040789E-3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-3.6962020664419656E-3</v>
      </c>
      <c r="N49" s="17">
        <f t="shared" si="39"/>
        <v>-3.65001785332854E-3</v>
      </c>
      <c r="O49" s="17">
        <f t="shared" si="39"/>
        <v>7.0230590438606763E-3</v>
      </c>
      <c r="P49" s="17" t="e">
        <f t="shared" si="39"/>
        <v>#DIV/0!</v>
      </c>
      <c r="Q49" s="17">
        <f t="shared" si="30"/>
        <v>0.10159311350151629</v>
      </c>
      <c r="R49" s="17">
        <f t="shared" si="31"/>
        <v>9.3159609120521167E-2</v>
      </c>
      <c r="S49" s="17">
        <f t="shared" si="32"/>
        <v>0</v>
      </c>
      <c r="T49" s="17" t="e">
        <f t="shared" si="33"/>
        <v>#DIV/0!</v>
      </c>
      <c r="U49" s="13">
        <f t="shared" si="34"/>
        <v>-7.1891650502489302E-2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F50"/>
  <sheetViews>
    <sheetView tabSelected="1"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70390.5050563902</v>
      </c>
      <c r="C5" s="6" t="n">
        <v>2880.825704432</v>
      </c>
      <c r="D5" s="6" t="n">
        <v>0.0</v>
      </c>
      <c r="E5" s="6" t="n">
        <v>338.608786816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73609.939547638205</v>
      </c>
      <c r="K5" s="6"/>
      <c r="L5" t="s">
        <v>1</v>
      </c>
      <c r="M5" s="6" t="n">
        <v>71703.0</v>
      </c>
      <c r="N5" s="6" t="n">
        <v>2617.0</v>
      </c>
      <c r="O5" s="6" t="n">
        <v>867.0</v>
      </c>
      <c r="P5" s="6" t="n">
        <v>0.0</v>
      </c>
      <c r="Q5" s="6" t="n">
        <v>14.0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75133</v>
      </c>
    </row>
    <row r="6" spans="1:21" x14ac:dyDescent="0.45">
      <c r="A6" t="s">
        <v>12</v>
      </c>
      <c r="B6" s="6" t="n">
        <v>0.0</v>
      </c>
      <c r="C6" s="6" t="n">
        <v>70964.3242826802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70964.324282680202</v>
      </c>
      <c r="K6" s="6"/>
      <c r="L6" t="s">
        <v>12</v>
      </c>
      <c r="M6" s="6" t="n">
        <v>0.0</v>
      </c>
      <c r="N6" s="6" t="n">
        <v>42137.0</v>
      </c>
      <c r="O6" s="6" t="n">
        <v>7497.0</v>
      </c>
      <c r="P6" s="6" t="n">
        <v>0.0</v>
      </c>
      <c r="Q6" s="6" t="n">
        <v>139.0</v>
      </c>
      <c r="R6" s="6" t="n">
        <v>0.0</v>
      </c>
      <c r="S6" s="6" t="n">
        <v>0.0</v>
      </c>
      <c r="T6" s="6" t="n">
        <v>0.0</v>
      </c>
      <c r="U6" s="6">
        <f t="shared" si="0"/>
        <v>50183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8215.285375942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8215.2853759419995</v>
      </c>
      <c r="K7" s="6"/>
      <c r="L7" t="s">
        <v>56</v>
      </c>
      <c r="M7" s="6" t="n">
        <v>0.0</v>
      </c>
      <c r="N7" s="6" t="n">
        <v>0.0</v>
      </c>
      <c r="O7" s="6" t="n">
        <v>32172.0</v>
      </c>
      <c r="P7" s="6" t="n">
        <v>0.0</v>
      </c>
      <c r="Q7" s="6" t="n">
        <v>61.0</v>
      </c>
      <c r="R7" s="6" t="n">
        <v>0.0</v>
      </c>
      <c r="S7" s="6" t="n">
        <v>0.0</v>
      </c>
      <c r="T7" s="6" t="n">
        <v>0.0</v>
      </c>
      <c r="U7" s="6">
        <f t="shared" si="0"/>
        <v>31926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507.91318022400003</v>
      </c>
      <c r="F8" s="6" t="n">
        <v>3014.0735232026</v>
      </c>
      <c r="G8" s="6" t="n">
        <v>0.0</v>
      </c>
      <c r="H8" s="6" t="n">
        <v>0.0</v>
      </c>
      <c r="I8" s="6" t="n">
        <v>0.0</v>
      </c>
      <c r="J8" s="6">
        <f t="shared" si="1"/>
        <v>3521.9867034265999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597.0</v>
      </c>
      <c r="R8" s="6" t="n">
        <v>0.0</v>
      </c>
      <c r="S8" s="6" t="n">
        <v>0.0</v>
      </c>
      <c r="T8" s="6" t="n">
        <v>0.0</v>
      </c>
      <c r="U8" s="6">
        <f t="shared" si="0"/>
        <v>547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t="shared" si="1"/>
        <v>0</v>
      </c>
      <c r="K14" s="6"/>
      <c r="L14" t="s">
        <v>4</v>
      </c>
      <c r="M14" s="6" t="n">
        <v>127.0</v>
      </c>
      <c r="N14" s="6" t="n">
        <v>74.0</v>
      </c>
      <c r="O14" s="6" t="n">
        <v>38.0</v>
      </c>
      <c r="P14" s="6" t="n">
        <v>0.0</v>
      </c>
      <c r="Q14" s="6" t="n">
        <v>18.0</v>
      </c>
      <c r="R14" s="6" t="n">
        <v>3111.0</v>
      </c>
      <c r="S14" s="6" t="n">
        <v>0.0</v>
      </c>
      <c r="T14" s="6" t="n">
        <v>0.0</v>
      </c>
      <c r="U14" s="6">
        <f t="shared" si="0"/>
        <v>3301</v>
      </c>
    </row>
    <row r="15" spans="1:21" x14ac:dyDescent="0.45">
      <c r="A15" s="4" t="s">
        <v>5</v>
      </c>
      <c r="B15" s="10" t="n">
        <v>248.604216396</v>
      </c>
      <c r="C15" s="10" t="n">
        <v>2034.1071405280002</v>
      </c>
      <c r="D15" s="10" t="n">
        <v>0.0</v>
      </c>
      <c r="E15" s="10" t="n">
        <v>169.304393408</v>
      </c>
      <c r="F15" s="10" t="n">
        <v>1922.162255422</v>
      </c>
      <c r="G15" s="10" t="n">
        <v>0.0</v>
      </c>
      <c r="H15" s="10" t="n">
        <v>10779.3437579284</v>
      </c>
      <c r="I15" s="10" t="n">
        <v>0.0</v>
      </c>
      <c r="J15" s="6">
        <f t="shared" si="1"/>
        <v>15153.5217636824</v>
      </c>
      <c r="K15" s="6"/>
      <c r="L15" s="4" t="s">
        <v>5</v>
      </c>
      <c r="M15" s="8" t="n">
        <v>1457.0</v>
      </c>
      <c r="N15" s="8" t="n">
        <v>458.0</v>
      </c>
      <c r="O15" s="8" t="n">
        <v>256.0</v>
      </c>
      <c r="P15" s="8" t="n">
        <v>0.0</v>
      </c>
      <c r="Q15" s="8" t="n">
        <v>181.0</v>
      </c>
      <c r="R15" s="8" t="n">
        <v>357.0</v>
      </c>
      <c r="S15" s="8" t="n">
        <v>12914.0</v>
      </c>
      <c r="T15" s="8" t="n">
        <v>0.0</v>
      </c>
      <c r="U15" s="6">
        <f t="shared" si="0"/>
        <v>15236</v>
      </c>
    </row>
    <row r="16" spans="1:21" ht="14.65" thickBot="1" x14ac:dyDescent="0.5">
      <c r="A16" s="12" t="s">
        <v>7</v>
      </c>
      <c r="B16" s="16">
        <f t="shared" ref="B16:J16" si="2">SUM(B5:B15)</f>
        <v>70639.109272786198</v>
      </c>
      <c r="C16" s="16">
        <f t="shared" si="2"/>
        <v>75879.257127640201</v>
      </c>
      <c r="D16" s="16">
        <f t="shared" si="2"/>
        <v>8215.2853759419995</v>
      </c>
      <c r="E16" s="16">
        <f t="shared" si="2"/>
        <v>1015.8263604480001</v>
      </c>
      <c r="F16" s="16">
        <f t="shared" si="2"/>
        <v>4936.2357786246002</v>
      </c>
      <c r="G16" s="16">
        <f t="shared" si="2"/>
        <v>0</v>
      </c>
      <c r="H16" s="16">
        <f t="shared" si="2"/>
        <v>10779.3437579284</v>
      </c>
      <c r="I16" s="16">
        <f t="shared" si="2"/>
        <v>0</v>
      </c>
      <c r="J16" s="16">
        <f t="shared" si="2"/>
        <v>171465.05767336942</v>
      </c>
      <c r="L16" s="9" t="s">
        <v>7</v>
      </c>
      <c r="M16" s="16">
        <f t="shared" ref="M16:U16" si="3">SUM(M5:M15)</f>
        <v>73216</v>
      </c>
      <c r="N16" s="16">
        <f t="shared" si="3"/>
        <v>45794</v>
      </c>
      <c r="O16" s="16">
        <f t="shared" si="3"/>
        <v>40413</v>
      </c>
      <c r="P16" s="16">
        <f t="shared" si="3"/>
        <v>0</v>
      </c>
      <c r="Q16" s="16">
        <f t="shared" si="3"/>
        <v>932</v>
      </c>
      <c r="R16" s="16">
        <f t="shared" si="3"/>
        <v>3421</v>
      </c>
      <c r="S16" s="16">
        <f t="shared" si="3"/>
        <v>12550</v>
      </c>
      <c r="T16" s="16">
        <f t="shared" si="3"/>
        <v>0</v>
      </c>
      <c r="U16" s="16">
        <f t="shared" si="3"/>
        <v>176326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0.99648064338642828</v>
      </c>
      <c r="C22" s="13">
        <f t="shared" si="4"/>
        <v>3.7965918664517526E-2</v>
      </c>
      <c r="D22" s="13">
        <f t="shared" si="4"/>
        <v>0</v>
      </c>
      <c r="E22" s="13">
        <f t="shared" si="4"/>
        <v>0.33333333333333331</v>
      </c>
      <c r="F22" s="13">
        <f t="shared" si="4"/>
        <v>0</v>
      </c>
      <c r="G22" s="13" t="e">
        <f t="shared" si="4"/>
        <v>#DIV/0!</v>
      </c>
      <c r="H22" s="13">
        <f t="shared" si="4"/>
        <v>0</v>
      </c>
      <c r="I22" s="13" t="e">
        <f t="shared" si="4"/>
        <v>#DIV/0!</v>
      </c>
      <c r="J22" s="13">
        <f t="shared" si="4"/>
        <v>0.42929994336140892</v>
      </c>
      <c r="K22" s="6"/>
      <c r="L22" t="s">
        <v>1</v>
      </c>
      <c r="M22" s="13">
        <f t="shared" ref="M22:P22" si="5">M5/M$16</f>
        <v>0.97880244755244761</v>
      </c>
      <c r="N22" s="13">
        <f t="shared" si="5"/>
        <v>5.6644975324278292E-2</v>
      </c>
      <c r="O22" s="13">
        <f t="shared" si="5"/>
        <v>2.14782372009007E-2</v>
      </c>
      <c r="P22" s="13" t="e">
        <f t="shared" si="5"/>
        <v>#DIV/0!</v>
      </c>
      <c r="Q22" s="13">
        <f t="shared" ref="Q22:U33" si="6">Q5/Q$16</f>
        <v>7.5107296137339056E-3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0.42610278688338643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0.93522692457712975</v>
      </c>
      <c r="D23" s="13">
        <f t="shared" si="7"/>
        <v>0</v>
      </c>
      <c r="E23" s="13">
        <f t="shared" si="7"/>
        <v>0</v>
      </c>
      <c r="F23" s="13">
        <f t="shared" si="7"/>
        <v>0</v>
      </c>
      <c r="G23" s="13" t="e">
        <f t="shared" si="7"/>
        <v>#DIV/0!</v>
      </c>
      <c r="H23" s="13">
        <f t="shared" si="7"/>
        <v>0</v>
      </c>
      <c r="I23" s="13" t="e">
        <f t="shared" si="7"/>
        <v>#DIV/0!</v>
      </c>
      <c r="J23" s="13">
        <f t="shared" si="7"/>
        <v>0.41387047160280876</v>
      </c>
      <c r="K23" s="6"/>
      <c r="L23" t="s">
        <v>12</v>
      </c>
      <c r="M23" s="13">
        <f t="shared" ref="M23:P23" si="8">M6/M$16</f>
        <v>0</v>
      </c>
      <c r="N23" s="13">
        <f t="shared" si="8"/>
        <v>0.93228370528890248</v>
      </c>
      <c r="O23" s="13">
        <f t="shared" si="8"/>
        <v>0.18184742533343232</v>
      </c>
      <c r="P23" s="13" t="e">
        <f t="shared" si="8"/>
        <v>#DIV/0!</v>
      </c>
      <c r="Q23" s="13">
        <f t="shared" si="6"/>
        <v>0.15128755364806867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0.28460351848281024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1</v>
      </c>
      <c r="E24" s="13">
        <f t="shared" si="9"/>
        <v>0</v>
      </c>
      <c r="F24" s="13">
        <f t="shared" si="9"/>
        <v>0</v>
      </c>
      <c r="G24" s="13" t="e">
        <f t="shared" si="9"/>
        <v>#DIV/0!</v>
      </c>
      <c r="H24" s="13">
        <f t="shared" si="9"/>
        <v>0</v>
      </c>
      <c r="I24" s="13" t="e">
        <f t="shared" si="9"/>
        <v>#DIV/0!</v>
      </c>
      <c r="J24" s="13">
        <f t="shared" si="9"/>
        <v>4.791230054342397E-2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0.78855813723306856</v>
      </c>
      <c r="P24" s="13" t="e">
        <f t="shared" si="10"/>
        <v>#DIV/0!</v>
      </c>
      <c r="Q24" s="13">
        <f t="shared" si="6"/>
        <v>6.2231759656652362E-2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0.18106235041911006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</v>
      </c>
      <c r="F25" s="13">
        <f t="shared" si="11"/>
        <v>0.6106016119113381</v>
      </c>
      <c r="G25" s="13" t="e">
        <f t="shared" si="11"/>
        <v>#DIV/0!</v>
      </c>
      <c r="H25" s="13">
        <f t="shared" si="11"/>
        <v>0</v>
      </c>
      <c r="I25" s="13" t="e">
        <f t="shared" si="11"/>
        <v>#DIV/0!</v>
      </c>
      <c r="J25" s="13">
        <f t="shared" si="11"/>
        <v>2.0540550659223944E-2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0.58690987124463523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3.1022084094234543E-3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 t="e">
        <f t="shared" si="13"/>
        <v>#DIV/0!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 t="e">
        <f t="shared" si="15"/>
        <v>#DIV/0!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 t="e">
        <f t="shared" si="17"/>
        <v>#DIV/0!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 t="e">
        <f t="shared" si="19"/>
        <v>#DIV/0!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 t="e">
        <f t="shared" si="21"/>
        <v>#DIV/0!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 t="e">
        <f t="shared" si="23"/>
        <v>#DIV/0!</v>
      </c>
      <c r="H31" s="13">
        <f t="shared" si="23"/>
        <v>0</v>
      </c>
      <c r="I31" s="13" t="e">
        <f t="shared" si="23"/>
        <v>#DIV/0!</v>
      </c>
      <c r="J31" s="13">
        <f t="shared" si="23"/>
        <v>0</v>
      </c>
      <c r="K31" s="6"/>
      <c r="L31" t="s">
        <v>4</v>
      </c>
      <c r="M31" s="13">
        <f t="shared" ref="M31:P31" si="24">M14/M$16</f>
        <v>1.5843531468531468E-3</v>
      </c>
      <c r="N31" s="13">
        <f t="shared" si="24"/>
        <v>1.5067476088570556E-3</v>
      </c>
      <c r="O31" s="13">
        <f t="shared" si="24"/>
        <v>1.1135030806918567E-3</v>
      </c>
      <c r="P31" s="13" t="e">
        <f t="shared" si="24"/>
        <v>#DIV/0!</v>
      </c>
      <c r="Q31" s="13">
        <f t="shared" si="6"/>
        <v>7.5107296137339056E-3</v>
      </c>
      <c r="R31" s="13">
        <f t="shared" si="6"/>
        <v>0.89564454837766738</v>
      </c>
      <c r="S31" s="13">
        <f t="shared" si="6"/>
        <v>0</v>
      </c>
      <c r="T31" s="13" t="e">
        <f t="shared" si="6"/>
        <v>#DIV/0!</v>
      </c>
      <c r="U31" s="13">
        <f t="shared" si="6"/>
        <v>1.8721005410432947E-2</v>
      </c>
    </row>
    <row r="32" spans="1:21" x14ac:dyDescent="0.45">
      <c r="A32" s="4" t="s">
        <v>5</v>
      </c>
      <c r="B32" s="14">
        <f t="shared" ref="B32:J32" si="25">B15/B$16</f>
        <v>3.5193566135717836E-3</v>
      </c>
      <c r="C32" s="14">
        <f t="shared" si="25"/>
        <v>2.6807156758352671E-2</v>
      </c>
      <c r="D32" s="14">
        <f t="shared" si="25"/>
        <v>0</v>
      </c>
      <c r="E32" s="14">
        <f t="shared" si="25"/>
        <v>0.16666666666666666</v>
      </c>
      <c r="F32" s="14">
        <f t="shared" si="25"/>
        <v>0.38939838808866184</v>
      </c>
      <c r="G32" s="14" t="e">
        <f t="shared" si="25"/>
        <v>#DIV/0!</v>
      </c>
      <c r="H32" s="14">
        <f t="shared" si="25"/>
        <v>1</v>
      </c>
      <c r="I32" s="14" t="e">
        <f t="shared" si="25"/>
        <v>#DIV/0!</v>
      </c>
      <c r="J32" s="14">
        <f t="shared" si="25"/>
        <v>8.8376733833134352E-2</v>
      </c>
      <c r="K32" s="6"/>
      <c r="L32" s="4" t="s">
        <v>5</v>
      </c>
      <c r="M32" s="14">
        <f t="shared" ref="M32:P32" si="26">M15/M$16</f>
        <v>1.96131993006993E-2</v>
      </c>
      <c r="N32" s="14">
        <f t="shared" si="26"/>
        <v>9.5645717779621782E-3</v>
      </c>
      <c r="O32" s="14">
        <f t="shared" si="26"/>
        <v>7.002697151906565E-3</v>
      </c>
      <c r="P32" s="14" t="e">
        <f t="shared" si="26"/>
        <v>#DIV/0!</v>
      </c>
      <c r="Q32" s="14">
        <f t="shared" si="6"/>
        <v>0.18454935622317598</v>
      </c>
      <c r="R32" s="14">
        <f t="shared" si="6"/>
        <v>0.10435545162233265</v>
      </c>
      <c r="S32" s="14">
        <f t="shared" si="6"/>
        <v>1</v>
      </c>
      <c r="T32" s="14" t="e">
        <f t="shared" si="6"/>
        <v>#DIV/0!</v>
      </c>
      <c r="U32" s="14">
        <f t="shared" si="6"/>
        <v>8.640813039483683E-2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 t="e">
        <f t="shared" si="27"/>
        <v>#DIV/0!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-1.767819583398067E-2</v>
      </c>
      <c r="N39" s="13">
        <f t="shared" si="29"/>
        <v>1.8679056659760766E-2</v>
      </c>
      <c r="O39" s="13">
        <f t="shared" si="29"/>
        <v>2.14782372009007E-2</v>
      </c>
      <c r="P39" s="13" t="e">
        <f t="shared" si="29"/>
        <v>#DIV/0!</v>
      </c>
      <c r="Q39" s="13">
        <f t="shared" ref="Q39:Q50" si="30">Q22-F22</f>
        <v>7.5107296137339056E-3</v>
      </c>
      <c r="R39" s="13" t="e">
        <f t="shared" ref="R39:R50" si="31">R22-G22</f>
        <v>#DIV/0!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-3.1971564780224893E-3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-2.9432192882272723E-3</v>
      </c>
      <c r="O40" s="13">
        <f t="shared" si="29"/>
        <v>0.18184742533343232</v>
      </c>
      <c r="P40" s="13" t="e">
        <f t="shared" si="29"/>
        <v>#DIV/0!</v>
      </c>
      <c r="Q40" s="13">
        <f t="shared" si="30"/>
        <v>0.15128755364806867</v>
      </c>
      <c r="R40" s="13" t="e">
        <f t="shared" si="31"/>
        <v>#DIV/0!</v>
      </c>
      <c r="S40" s="13">
        <f t="shared" si="32"/>
        <v>0</v>
      </c>
      <c r="T40" s="13" t="e">
        <f t="shared" si="33"/>
        <v>#DIV/0!</v>
      </c>
      <c r="U40" s="13">
        <f t="shared" si="34"/>
        <v>-0.12926695311999853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-0.21144186276693144</v>
      </c>
      <c r="P41" s="13" t="e">
        <f t="shared" si="29"/>
        <v>#DIV/0!</v>
      </c>
      <c r="Q41" s="13">
        <f t="shared" si="30"/>
        <v>6.2231759656652362E-2</v>
      </c>
      <c r="R41" s="13" t="e">
        <f t="shared" si="31"/>
        <v>#DIV/0!</v>
      </c>
      <c r="S41" s="13">
        <f t="shared" si="32"/>
        <v>0</v>
      </c>
      <c r="T41" s="13" t="e">
        <f t="shared" si="33"/>
        <v>#DIV/0!</v>
      </c>
      <c r="U41" s="13">
        <f t="shared" si="34"/>
        <v>0.1331500498756861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-2.3691740666702876E-2</v>
      </c>
      <c r="R42" s="13" t="e">
        <f t="shared" si="31"/>
        <v>#DIV/0!</v>
      </c>
      <c r="S42" s="13">
        <f t="shared" si="32"/>
        <v>0</v>
      </c>
      <c r="T42" s="13" t="e">
        <f t="shared" si="33"/>
        <v>#DIV/0!</v>
      </c>
      <c r="U42" s="13">
        <f t="shared" si="34"/>
        <v>-1.7438342249800488E-2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 t="e">
        <f t="shared" si="31"/>
        <v>#DIV/0!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 t="e">
        <f t="shared" si="31"/>
        <v>#DIV/0!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 t="e">
        <f t="shared" si="31"/>
        <v>#DIV/0!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 t="e">
        <f t="shared" si="31"/>
        <v>#DIV/0!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 t="e">
        <f t="shared" si="31"/>
        <v>#DIV/0!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1.5843531468531468E-3</v>
      </c>
      <c r="N48" s="13">
        <f t="shared" si="39"/>
        <v>1.5067476088570556E-3</v>
      </c>
      <c r="O48" s="13">
        <f t="shared" si="39"/>
        <v>1.1135030806918567E-3</v>
      </c>
      <c r="P48" s="13" t="e">
        <f t="shared" si="39"/>
        <v>#DIV/0!</v>
      </c>
      <c r="Q48" s="13">
        <f t="shared" si="30"/>
        <v>7.5107296137339056E-3</v>
      </c>
      <c r="R48" s="13" t="e">
        <f t="shared" si="31"/>
        <v>#DIV/0!</v>
      </c>
      <c r="S48" s="13">
        <f t="shared" si="32"/>
        <v>0</v>
      </c>
      <c r="T48" s="13" t="e">
        <f t="shared" si="33"/>
        <v>#DIV/0!</v>
      </c>
      <c r="U48" s="13">
        <f t="shared" si="34"/>
        <v>1.8721005410432947E-2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1.6093842687127515E-2</v>
      </c>
      <c r="N49" s="17">
        <f t="shared" si="39"/>
        <v>-1.7242584980390493E-2</v>
      </c>
      <c r="O49" s="17">
        <f t="shared" si="39"/>
        <v>7.002697151906565E-3</v>
      </c>
      <c r="P49" s="17" t="e">
        <f t="shared" si="39"/>
        <v>#DIV/0!</v>
      </c>
      <c r="Q49" s="17">
        <f t="shared" si="30"/>
        <v>-0.20484903186548586</v>
      </c>
      <c r="R49" s="17" t="e">
        <f t="shared" si="31"/>
        <v>#DIV/0!</v>
      </c>
      <c r="S49" s="17">
        <f t="shared" si="32"/>
        <v>0</v>
      </c>
      <c r="T49" s="17" t="e">
        <f t="shared" si="33"/>
        <v>#DIV/0!</v>
      </c>
      <c r="U49" s="13">
        <f t="shared" si="34"/>
        <v>-1.9686034382975226E-3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 t="e">
        <f t="shared" si="31"/>
        <v>#DIV/0!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12230.9611689472</v>
      </c>
      <c r="C5" s="6" t="n">
        <v>2946.252293112</v>
      </c>
      <c r="D5" s="6" t="n">
        <v>368.204446166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15545.417908225201</v>
      </c>
      <c r="K5" s="6"/>
      <c r="L5" t="s">
        <v>1</v>
      </c>
      <c r="M5" s="6" t="n">
        <v>14154.0</v>
      </c>
      <c r="N5" s="6" t="n">
        <v>1970.0</v>
      </c>
      <c r="O5" s="6" t="n">
        <v>582.0</v>
      </c>
      <c r="P5" s="6" t="n">
        <v>0.0</v>
      </c>
      <c r="Q5" s="6" t="n">
        <v>5.0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16640</v>
      </c>
    </row>
    <row r="6" spans="1:21" x14ac:dyDescent="0.45">
      <c r="A6" t="s">
        <v>12</v>
      </c>
      <c r="B6" s="6" t="n">
        <v>0.0</v>
      </c>
      <c r="C6" s="6" t="n">
        <v>31173.873735776</v>
      </c>
      <c r="D6" s="6" t="n">
        <v>0.0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31173.873735776</v>
      </c>
      <c r="K6" s="6"/>
      <c r="L6" t="s">
        <v>12</v>
      </c>
      <c r="M6" s="6" t="n">
        <v>0.0</v>
      </c>
      <c r="N6" s="6" t="n">
        <v>27923.0</v>
      </c>
      <c r="O6" s="6" t="n">
        <v>4031.0</v>
      </c>
      <c r="P6" s="6" t="n">
        <v>0.0</v>
      </c>
      <c r="Q6" s="6" t="n">
        <v>39.0</v>
      </c>
      <c r="R6" s="6" t="n">
        <v>0.0</v>
      </c>
      <c r="S6" s="6" t="n">
        <v>0.0</v>
      </c>
      <c r="T6" s="6" t="n">
        <v>0.0</v>
      </c>
      <c r="U6" s="6">
        <f t="shared" si="0"/>
        <v>31459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18287.527457179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18287.527457179</v>
      </c>
      <c r="K7" s="6"/>
      <c r="L7" t="s">
        <v>56</v>
      </c>
      <c r="M7" s="6" t="n">
        <v>0.0</v>
      </c>
      <c r="N7" s="6" t="n">
        <v>0.0</v>
      </c>
      <c r="O7" s="6" t="n">
        <v>19137.0</v>
      </c>
      <c r="P7" s="6" t="n">
        <v>0.0</v>
      </c>
      <c r="Q7" s="6" t="n">
        <v>26.0</v>
      </c>
      <c r="R7" s="6" t="n">
        <v>0.0</v>
      </c>
      <c r="S7" s="6" t="n">
        <v>0.0</v>
      </c>
      <c r="T7" s="6" t="n">
        <v>0.0</v>
      </c>
      <c r="U7" s="6">
        <f t="shared" si="0"/>
        <v>18799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3104.0145244200003</v>
      </c>
      <c r="G8" s="6" t="n">
        <v>0.0</v>
      </c>
      <c r="H8" s="6" t="n">
        <v>0.0</v>
      </c>
      <c r="I8" s="6" t="n">
        <v>0.0</v>
      </c>
      <c r="J8" s="6">
        <f t="shared" si="1"/>
        <v>3104.0145244200003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187.0</v>
      </c>
      <c r="R8" s="6" t="n">
        <v>0.0</v>
      </c>
      <c r="S8" s="6" t="n">
        <v>0.0</v>
      </c>
      <c r="T8" s="6" t="n">
        <v>0.0</v>
      </c>
      <c r="U8" s="6">
        <f t="shared" si="0"/>
        <v>213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t="shared" si="1"/>
        <v>0</v>
      </c>
      <c r="K14" s="6"/>
      <c r="L14" t="s">
        <v>4</v>
      </c>
      <c r="M14" s="6" t="n">
        <v>24.0</v>
      </c>
      <c r="N14" s="6" t="n">
        <v>45.0</v>
      </c>
      <c r="O14" s="6" t="n">
        <v>22.0</v>
      </c>
      <c r="P14" s="6" t="n">
        <v>0.0</v>
      </c>
      <c r="Q14" s="6" t="n">
        <v>1.0</v>
      </c>
      <c r="R14" s="6" t="n">
        <v>317.0</v>
      </c>
      <c r="S14" s="6" t="n">
        <v>0.0</v>
      </c>
      <c r="T14" s="6" t="n">
        <v>0.0</v>
      </c>
      <c r="U14" s="6">
        <f t="shared" si="0"/>
        <v>443</v>
      </c>
    </row>
    <row r="15" spans="1:21" x14ac:dyDescent="0.45">
      <c r="A15" s="4" t="s">
        <v>5</v>
      </c>
      <c r="B15" s="10" t="n">
        <v>126.546846217</v>
      </c>
      <c r="C15" s="10" t="n">
        <v>1473.126146556</v>
      </c>
      <c r="D15" s="10" t="n">
        <v>0.0</v>
      </c>
      <c r="E15" s="10" t="n">
        <v>0.0</v>
      </c>
      <c r="F15" s="10" t="n">
        <v>0.0</v>
      </c>
      <c r="G15" s="10" t="n">
        <v>0.0</v>
      </c>
      <c r="H15" s="10" t="n">
        <v>5628.92965652</v>
      </c>
      <c r="I15" s="10" t="n">
        <v>0.0</v>
      </c>
      <c r="J15" s="6">
        <f t="shared" si="1"/>
        <v>7228.6026492930005</v>
      </c>
      <c r="K15" s="6"/>
      <c r="L15" s="4" t="s">
        <v>5</v>
      </c>
      <c r="M15" s="8" t="n">
        <v>204.0</v>
      </c>
      <c r="N15" s="8" t="n">
        <v>193.0</v>
      </c>
      <c r="O15" s="8" t="n">
        <v>115.0</v>
      </c>
      <c r="P15" s="8" t="n">
        <v>0.0</v>
      </c>
      <c r="Q15" s="8" t="n">
        <v>27.0</v>
      </c>
      <c r="R15" s="8" t="n">
        <v>16.0</v>
      </c>
      <c r="S15" s="8" t="n">
        <v>9256.0</v>
      </c>
      <c r="T15" s="8" t="n">
        <v>0.0</v>
      </c>
      <c r="U15" s="6">
        <f t="shared" si="0"/>
        <v>9962</v>
      </c>
    </row>
    <row r="16" spans="1:21" ht="14.65" thickBot="1" x14ac:dyDescent="0.5">
      <c r="A16" s="12" t="s">
        <v>7</v>
      </c>
      <c r="B16" s="16">
        <f t="shared" ref="B16:J16" si="2">SUM(B5:B15)</f>
        <v>12357.5080151642</v>
      </c>
      <c r="C16" s="16">
        <f t="shared" si="2"/>
        <v>35593.252175444002</v>
      </c>
      <c r="D16" s="16">
        <f t="shared" si="2"/>
        <v>18655.731903345</v>
      </c>
      <c r="E16" s="16">
        <f t="shared" si="2"/>
        <v>0</v>
      </c>
      <c r="F16" s="16">
        <f t="shared" si="2"/>
        <v>3104.0145244200003</v>
      </c>
      <c r="G16" s="16">
        <f t="shared" si="2"/>
        <v>0</v>
      </c>
      <c r="H16" s="16">
        <f t="shared" si="2"/>
        <v>5628.9296565200002</v>
      </c>
      <c r="I16" s="16">
        <f t="shared" si="2"/>
        <v>0</v>
      </c>
      <c r="J16" s="16">
        <f t="shared" si="2"/>
        <v>75339.436274893204</v>
      </c>
      <c r="L16" s="9" t="s">
        <v>7</v>
      </c>
      <c r="M16" s="16">
        <f t="shared" ref="M16:U16" si="3">SUM(M5:M15)</f>
        <v>14380</v>
      </c>
      <c r="N16" s="16">
        <f t="shared" si="3"/>
        <v>29711</v>
      </c>
      <c r="O16" s="16">
        <f t="shared" si="3"/>
        <v>23347</v>
      </c>
      <c r="P16" s="16">
        <f t="shared" si="3"/>
        <v>0</v>
      </c>
      <c r="Q16" s="16">
        <f t="shared" si="3"/>
        <v>327</v>
      </c>
      <c r="R16" s="16">
        <f t="shared" si="3"/>
        <v>376</v>
      </c>
      <c r="S16" s="16">
        <f t="shared" si="3"/>
        <v>9375</v>
      </c>
      <c r="T16" s="16">
        <f t="shared" si="3"/>
        <v>0</v>
      </c>
      <c r="U16" s="16">
        <f t="shared" si="3"/>
        <v>77516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0.98975951736695533</v>
      </c>
      <c r="C22" s="13">
        <f t="shared" si="4"/>
        <v>8.2775585624756065E-2</v>
      </c>
      <c r="D22" s="13">
        <f t="shared" si="4"/>
        <v>1.9736799825043606E-2</v>
      </c>
      <c r="E22" s="13" t="e">
        <f t="shared" si="4"/>
        <v>#DIV/0!</v>
      </c>
      <c r="F22" s="13">
        <f t="shared" si="4"/>
        <v>0</v>
      </c>
      <c r="G22" s="13" t="e">
        <f t="shared" si="4"/>
        <v>#DIV/0!</v>
      </c>
      <c r="H22" s="13">
        <f t="shared" si="4"/>
        <v>0</v>
      </c>
      <c r="I22" s="13" t="e">
        <f t="shared" si="4"/>
        <v>#DIV/0!</v>
      </c>
      <c r="J22" s="13">
        <f t="shared" si="4"/>
        <v>0.20633838898799536</v>
      </c>
      <c r="K22" s="6"/>
      <c r="L22" t="s">
        <v>1</v>
      </c>
      <c r="M22" s="13">
        <f t="shared" ref="M22:P22" si="5">M5/M$16</f>
        <v>0.98560500695410291</v>
      </c>
      <c r="N22" s="13">
        <f t="shared" si="5"/>
        <v>6.4386927400626029E-2</v>
      </c>
      <c r="O22" s="13">
        <f t="shared" si="5"/>
        <v>2.3643294641709854E-2</v>
      </c>
      <c r="P22" s="13" t="e">
        <f t="shared" si="5"/>
        <v>#DIV/0!</v>
      </c>
      <c r="Q22" s="13">
        <f t="shared" ref="Q22:U33" si="6">Q5/Q$16</f>
        <v>6.1162079510703364E-3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0.21466535940967027</v>
      </c>
    </row>
    <row r="23" spans="1:21" x14ac:dyDescent="0.45">
      <c r="A23" t="s">
        <v>9</v>
      </c>
      <c r="B23" s="13">
        <f t="shared" ref="B23:J23" si="7">B6/B$16</f>
        <v>0</v>
      </c>
      <c r="C23" s="13">
        <f t="shared" si="7"/>
        <v>0.8758366215628659</v>
      </c>
      <c r="D23" s="13">
        <f t="shared" si="7"/>
        <v>0</v>
      </c>
      <c r="E23" s="13" t="e">
        <f t="shared" si="7"/>
        <v>#DIV/0!</v>
      </c>
      <c r="F23" s="13">
        <f t="shared" si="7"/>
        <v>0</v>
      </c>
      <c r="G23" s="13" t="e">
        <f t="shared" si="7"/>
        <v>#DIV/0!</v>
      </c>
      <c r="H23" s="13">
        <f t="shared" si="7"/>
        <v>0</v>
      </c>
      <c r="I23" s="13" t="e">
        <f t="shared" si="7"/>
        <v>#DIV/0!</v>
      </c>
      <c r="J23" s="13">
        <f t="shared" si="7"/>
        <v>0.41377896195069708</v>
      </c>
      <c r="K23" s="6"/>
      <c r="L23" t="s">
        <v>12</v>
      </c>
      <c r="M23" s="13">
        <f t="shared" ref="M23:P23" si="8">M6/M$16</f>
        <v>0</v>
      </c>
      <c r="N23" s="13">
        <f t="shared" si="8"/>
        <v>0.9269967352159133</v>
      </c>
      <c r="O23" s="13">
        <f t="shared" si="8"/>
        <v>0.16537456632543795</v>
      </c>
      <c r="P23" s="13" t="e">
        <f t="shared" si="8"/>
        <v>#DIV/0!</v>
      </c>
      <c r="Q23" s="13">
        <f t="shared" si="6"/>
        <v>0.17125382262996941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0.40583879457144334</v>
      </c>
    </row>
    <row r="24" spans="1:21" x14ac:dyDescent="0.4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0.98026320017495638</v>
      </c>
      <c r="E24" s="13" t="e">
        <f t="shared" si="9"/>
        <v>#DIV/0!</v>
      </c>
      <c r="F24" s="13">
        <f t="shared" si="9"/>
        <v>0</v>
      </c>
      <c r="G24" s="13" t="e">
        <f t="shared" si="9"/>
        <v>#DIV/0!</v>
      </c>
      <c r="H24" s="13">
        <f t="shared" si="9"/>
        <v>0</v>
      </c>
      <c r="I24" s="13" t="e">
        <f t="shared" si="9"/>
        <v>#DIV/0!</v>
      </c>
      <c r="J24" s="13">
        <f t="shared" si="9"/>
        <v>0.24273512467564481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0.80434317042874892</v>
      </c>
      <c r="P24" s="13" t="e">
        <f t="shared" si="10"/>
        <v>#DIV/0!</v>
      </c>
      <c r="Q24" s="13">
        <f t="shared" si="6"/>
        <v>6.1162079510703363E-2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0.2425176737705764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1</v>
      </c>
      <c r="G25" s="13" t="e">
        <f t="shared" si="11"/>
        <v>#DIV/0!</v>
      </c>
      <c r="H25" s="13">
        <f t="shared" si="11"/>
        <v>0</v>
      </c>
      <c r="I25" s="13" t="e">
        <f t="shared" si="11"/>
        <v>#DIV/0!</v>
      </c>
      <c r="J25" s="13">
        <f t="shared" si="11"/>
        <v>4.1200394878112598E-2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0.65137614678899081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2.7478198049434954E-3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 t="e">
        <f t="shared" si="13"/>
        <v>#DIV/0!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 t="e">
        <f t="shared" si="15"/>
        <v>#DIV/0!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 t="e">
        <f t="shared" si="17"/>
        <v>#DIV/0!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 t="e">
        <f t="shared" si="19"/>
        <v>#DIV/0!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 t="e">
        <f t="shared" si="21"/>
        <v>#DIV/0!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 t="e">
        <f t="shared" si="23"/>
        <v>#DIV/0!</v>
      </c>
      <c r="H31" s="13">
        <f t="shared" si="23"/>
        <v>0</v>
      </c>
      <c r="I31" s="13" t="e">
        <f t="shared" si="23"/>
        <v>#DIV/0!</v>
      </c>
      <c r="J31" s="13">
        <f t="shared" si="23"/>
        <v>0</v>
      </c>
      <c r="K31" s="6"/>
      <c r="L31" t="s">
        <v>4</v>
      </c>
      <c r="M31" s="13">
        <f t="shared" ref="M31:P31" si="24">M14/M$16</f>
        <v>9.0403337969401944E-4</v>
      </c>
      <c r="N31" s="13">
        <f t="shared" si="24"/>
        <v>1.5145905556864462E-3</v>
      </c>
      <c r="O31" s="13">
        <f t="shared" si="24"/>
        <v>1.499121942862038E-3</v>
      </c>
      <c r="P31" s="13" t="e">
        <f t="shared" si="24"/>
        <v>#DIV/0!</v>
      </c>
      <c r="Q31" s="13">
        <f t="shared" si="6"/>
        <v>9.1743119266055051E-3</v>
      </c>
      <c r="R31" s="13">
        <f t="shared" si="6"/>
        <v>0.9228723404255319</v>
      </c>
      <c r="S31" s="13">
        <f t="shared" si="6"/>
        <v>0</v>
      </c>
      <c r="T31" s="13" t="e">
        <f t="shared" si="6"/>
        <v>#DIV/0!</v>
      </c>
      <c r="U31" s="13">
        <f t="shared" si="6"/>
        <v>5.7149491717838896E-3</v>
      </c>
    </row>
    <row r="32" spans="1:21" x14ac:dyDescent="0.45">
      <c r="A32" s="4" t="s">
        <v>5</v>
      </c>
      <c r="B32" s="14">
        <f t="shared" ref="B32:J32" si="25">B15/B$16</f>
        <v>1.0240482633044726E-2</v>
      </c>
      <c r="C32" s="14">
        <f t="shared" si="25"/>
        <v>4.1387792812378033E-2</v>
      </c>
      <c r="D32" s="14">
        <f t="shared" si="25"/>
        <v>0</v>
      </c>
      <c r="E32" s="14" t="e">
        <f t="shared" si="25"/>
        <v>#DIV/0!</v>
      </c>
      <c r="F32" s="14">
        <f t="shared" si="25"/>
        <v>0</v>
      </c>
      <c r="G32" s="14" t="e">
        <f t="shared" si="25"/>
        <v>#DIV/0!</v>
      </c>
      <c r="H32" s="14">
        <f t="shared" si="25"/>
        <v>1</v>
      </c>
      <c r="I32" s="14" t="e">
        <f t="shared" si="25"/>
        <v>#DIV/0!</v>
      </c>
      <c r="J32" s="14">
        <f t="shared" si="25"/>
        <v>9.5947129507550161E-2</v>
      </c>
      <c r="K32" s="6"/>
      <c r="L32" s="4" t="s">
        <v>5</v>
      </c>
      <c r="M32" s="14">
        <f t="shared" ref="M32:P32" si="26">M15/M$16</f>
        <v>1.349095966620306E-2</v>
      </c>
      <c r="N32" s="14">
        <f t="shared" si="26"/>
        <v>7.101746827774225E-3</v>
      </c>
      <c r="O32" s="14">
        <f t="shared" si="26"/>
        <v>5.1398466612412727E-3</v>
      </c>
      <c r="P32" s="14" t="e">
        <f t="shared" si="26"/>
        <v>#DIV/0!</v>
      </c>
      <c r="Q32" s="14">
        <f t="shared" si="6"/>
        <v>0.10091743119266056</v>
      </c>
      <c r="R32" s="14">
        <f t="shared" si="6"/>
        <v>7.7127659574468085E-2</v>
      </c>
      <c r="S32" s="14">
        <f t="shared" si="6"/>
        <v>1</v>
      </c>
      <c r="T32" s="14" t="e">
        <f t="shared" si="6"/>
        <v>#DIV/0!</v>
      </c>
      <c r="U32" s="14">
        <f t="shared" si="6"/>
        <v>0.12851540327158265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 t="e">
        <f t="shared" si="27"/>
        <v>#DIV/0!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-4.1545104128524191E-3</v>
      </c>
      <c r="N39" s="13">
        <f t="shared" si="29"/>
        <v>-1.8388658224130036E-2</v>
      </c>
      <c r="O39" s="13">
        <f t="shared" si="29"/>
        <v>3.9064948166662485E-3</v>
      </c>
      <c r="P39" s="13" t="e">
        <f t="shared" si="29"/>
        <v>#DIV/0!</v>
      </c>
      <c r="Q39" s="13">
        <f t="shared" ref="Q39:Q50" si="30">Q22-F22</f>
        <v>6.1162079510703364E-3</v>
      </c>
      <c r="R39" s="13" t="e">
        <f t="shared" ref="R39:R50" si="31">R22-G22</f>
        <v>#DIV/0!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8.3269704216749063E-3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5.1160113653047401E-2</v>
      </c>
      <c r="O40" s="13">
        <f t="shared" si="29"/>
        <v>0.16537456632543795</v>
      </c>
      <c r="P40" s="13" t="e">
        <f t="shared" si="29"/>
        <v>#DIV/0!</v>
      </c>
      <c r="Q40" s="13">
        <f t="shared" si="30"/>
        <v>0.17125382262996941</v>
      </c>
      <c r="R40" s="13" t="e">
        <f t="shared" si="31"/>
        <v>#DIV/0!</v>
      </c>
      <c r="S40" s="13">
        <f t="shared" si="32"/>
        <v>0</v>
      </c>
      <c r="T40" s="13" t="e">
        <f t="shared" si="33"/>
        <v>#DIV/0!</v>
      </c>
      <c r="U40" s="13">
        <f t="shared" si="34"/>
        <v>-7.9401673792537375E-3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-0.17592002974620746</v>
      </c>
      <c r="P41" s="13" t="e">
        <f t="shared" si="29"/>
        <v>#DIV/0!</v>
      </c>
      <c r="Q41" s="13">
        <f t="shared" si="30"/>
        <v>6.1162079510703363E-2</v>
      </c>
      <c r="R41" s="13" t="e">
        <f t="shared" si="31"/>
        <v>#DIV/0!</v>
      </c>
      <c r="S41" s="13">
        <f t="shared" si="32"/>
        <v>0</v>
      </c>
      <c r="T41" s="13" t="e">
        <f t="shared" si="33"/>
        <v>#DIV/0!</v>
      </c>
      <c r="U41" s="13">
        <f t="shared" si="34"/>
        <v>-2.1745090506841702E-4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-0.34862385321100919</v>
      </c>
      <c r="R42" s="13" t="e">
        <f t="shared" si="31"/>
        <v>#DIV/0!</v>
      </c>
      <c r="S42" s="13">
        <f t="shared" si="32"/>
        <v>0</v>
      </c>
      <c r="T42" s="13" t="e">
        <f t="shared" si="33"/>
        <v>#DIV/0!</v>
      </c>
      <c r="U42" s="13">
        <f t="shared" si="34"/>
        <v>-3.8452575073169105E-2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 t="e">
        <f t="shared" si="31"/>
        <v>#DIV/0!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 t="e">
        <f t="shared" si="31"/>
        <v>#DIV/0!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 t="e">
        <f t="shared" si="31"/>
        <v>#DIV/0!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 t="e">
        <f t="shared" si="31"/>
        <v>#DIV/0!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 t="e">
        <f t="shared" si="31"/>
        <v>#DIV/0!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9.0403337969401944E-4</v>
      </c>
      <c r="N48" s="13">
        <f t="shared" si="39"/>
        <v>1.5145905556864462E-3</v>
      </c>
      <c r="O48" s="13">
        <f t="shared" si="39"/>
        <v>1.499121942862038E-3</v>
      </c>
      <c r="P48" s="13" t="e">
        <f t="shared" si="39"/>
        <v>#DIV/0!</v>
      </c>
      <c r="Q48" s="13">
        <f t="shared" si="30"/>
        <v>9.1743119266055051E-3</v>
      </c>
      <c r="R48" s="13" t="e">
        <f t="shared" si="31"/>
        <v>#DIV/0!</v>
      </c>
      <c r="S48" s="13">
        <f t="shared" si="32"/>
        <v>0</v>
      </c>
      <c r="T48" s="13" t="e">
        <f t="shared" si="33"/>
        <v>#DIV/0!</v>
      </c>
      <c r="U48" s="13">
        <f t="shared" si="34"/>
        <v>5.7149491717838896E-3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3.2504770331583336E-3</v>
      </c>
      <c r="N49" s="17">
        <f t="shared" si="39"/>
        <v>-3.4286045984603809E-2</v>
      </c>
      <c r="O49" s="17">
        <f t="shared" si="39"/>
        <v>5.1398466612412727E-3</v>
      </c>
      <c r="P49" s="17" t="e">
        <f t="shared" si="39"/>
        <v>#DIV/0!</v>
      </c>
      <c r="Q49" s="17">
        <f t="shared" si="30"/>
        <v>0.10091743119266056</v>
      </c>
      <c r="R49" s="17" t="e">
        <f t="shared" si="31"/>
        <v>#DIV/0!</v>
      </c>
      <c r="S49" s="17">
        <f t="shared" si="32"/>
        <v>0</v>
      </c>
      <c r="T49" s="17" t="e">
        <f t="shared" si="33"/>
        <v>#DIV/0!</v>
      </c>
      <c r="U49" s="13">
        <f t="shared" si="34"/>
        <v>3.2568273764032485E-2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 t="e">
        <f t="shared" si="31"/>
        <v>#DIV/0!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F50"/>
  <sheetViews>
    <sheetView workbookViewId="0"/>
  </sheetViews>
  <sheetFormatPr defaultRowHeight="14.25" x14ac:dyDescent="0.45"/>
  <cols>
    <col min="1" max="1" customWidth="true" width="25.0" collapsed="true"/>
    <col min="2" max="10" customWidth="true" width="10.73046875" collapsed="true"/>
    <col min="11" max="11" customWidth="true" width="3.73046875" collapsed="true"/>
    <col min="12" max="12" customWidth="true" width="25.0" collapsed="true"/>
    <col min="13" max="22" customWidth="true" width="10.73046875" collapsed="true"/>
    <col min="23" max="23" customWidth="true" width="17.0" collapsed="true"/>
  </cols>
  <sheetData>
    <row r="2" spans="1:21" ht="14.65" thickBot="1" x14ac:dyDescent="0.5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4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4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45">
      <c r="A5" t="s">
        <v>1</v>
      </c>
      <c r="B5" s="6" t="n">
        <v>58255.9367849098</v>
      </c>
      <c r="C5" s="6" t="n">
        <v>3179.1771077930002</v>
      </c>
      <c r="D5" s="6" t="n">
        <v>0.0</v>
      </c>
      <c r="E5" s="6" t="n">
        <v>681.573622244</v>
      </c>
      <c r="F5" s="6" t="n">
        <v>912.75119436</v>
      </c>
      <c r="G5" s="6" t="n">
        <v>0.0</v>
      </c>
      <c r="H5" s="6" t="n">
        <v>0.0</v>
      </c>
      <c r="I5" s="6" t="n">
        <v>0.0</v>
      </c>
      <c r="J5" s="6">
        <f>SUM(B5:I5)</f>
        <v>63029.4387093068</v>
      </c>
      <c r="K5" s="6"/>
      <c r="L5" t="s">
        <v>1</v>
      </c>
      <c r="M5" s="6" t="n">
        <v>73625.0</v>
      </c>
      <c r="N5" s="6" t="n">
        <v>6552.0</v>
      </c>
      <c r="O5" s="6" t="n">
        <v>2142.0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82187</v>
      </c>
    </row>
    <row r="6" spans="1:21" x14ac:dyDescent="0.45">
      <c r="A6" t="s">
        <v>12</v>
      </c>
      <c r="B6" s="6" t="n">
        <v>0.0</v>
      </c>
      <c r="C6" s="6" t="n">
        <v>100485.9806679922</v>
      </c>
      <c r="D6" s="6" t="n">
        <v>2639.675375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103125.65604299221</v>
      </c>
      <c r="K6" s="6"/>
      <c r="L6" t="s">
        <v>12</v>
      </c>
      <c r="M6" s="6" t="n">
        <v>0.0</v>
      </c>
      <c r="N6" s="6" t="n">
        <v>88382.0</v>
      </c>
      <c r="O6" s="6" t="n">
        <v>14130.0</v>
      </c>
      <c r="P6" s="6" t="n">
        <v>0.0</v>
      </c>
      <c r="Q6" s="6" t="n">
        <v>63.0</v>
      </c>
      <c r="R6" s="6" t="n">
        <v>0.0</v>
      </c>
      <c r="S6" s="6" t="n">
        <v>0.0</v>
      </c>
      <c r="T6" s="6" t="n">
        <v>0.0</v>
      </c>
      <c r="U6" s="6">
        <f t="shared" si="0"/>
        <v>102136</v>
      </c>
    </row>
    <row r="7" spans="1:21" x14ac:dyDescent="0.45">
      <c r="A7" t="s">
        <v>56</v>
      </c>
      <c r="B7" s="6" t="n">
        <v>0.0</v>
      </c>
      <c r="C7" s="6" t="n">
        <v>0.0</v>
      </c>
      <c r="D7" s="6" t="n">
        <v>29600.031773404</v>
      </c>
      <c r="E7" s="6" t="n">
        <v>0.0</v>
      </c>
      <c r="F7" s="6" t="n">
        <v>453.746371195</v>
      </c>
      <c r="G7" s="6" t="n">
        <v>0.0</v>
      </c>
      <c r="H7" s="6" t="n">
        <v>0.0</v>
      </c>
      <c r="I7" s="6" t="n">
        <v>0.0</v>
      </c>
      <c r="J7" s="6">
        <f t="shared" si="1"/>
        <v>30053.778144599</v>
      </c>
      <c r="K7" s="6"/>
      <c r="L7" t="s">
        <v>56</v>
      </c>
      <c r="M7" s="6" t="n">
        <v>0.0</v>
      </c>
      <c r="N7" s="6" t="n">
        <v>0.0</v>
      </c>
      <c r="O7" s="6" t="n">
        <v>73144.0</v>
      </c>
      <c r="P7" s="6" t="n">
        <v>0.0</v>
      </c>
      <c r="Q7" s="6" t="n">
        <v>32.0</v>
      </c>
      <c r="R7" s="6" t="n">
        <v>0.0</v>
      </c>
      <c r="S7" s="6" t="n">
        <v>0.0</v>
      </c>
      <c r="T7" s="6" t="n">
        <v>0.0</v>
      </c>
      <c r="U7" s="6">
        <f t="shared" si="0"/>
        <v>72920</v>
      </c>
    </row>
    <row r="8" spans="1:21" x14ac:dyDescent="0.45">
      <c r="A8" t="s">
        <v>51</v>
      </c>
      <c r="B8" s="6" t="n">
        <v>0.0</v>
      </c>
      <c r="C8" s="6" t="n">
        <v>0.0</v>
      </c>
      <c r="D8" s="6" t="n">
        <v>0.0</v>
      </c>
      <c r="E8" s="6" t="n">
        <v>681.573622244</v>
      </c>
      <c r="F8" s="6" t="n">
        <v>3424.206498871</v>
      </c>
      <c r="G8" s="6" t="n">
        <v>0.0</v>
      </c>
      <c r="H8" s="6" t="n">
        <v>0.0</v>
      </c>
      <c r="I8" s="6" t="n">
        <v>0.0</v>
      </c>
      <c r="J8" s="6">
        <f t="shared" si="1"/>
        <v>4105.7801211149999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365.0</v>
      </c>
      <c r="R8" s="6" t="n">
        <v>0.0</v>
      </c>
      <c r="S8" s="6" t="n">
        <v>0.0</v>
      </c>
      <c r="T8" s="6" t="n">
        <v>0.0</v>
      </c>
      <c r="U8" s="6">
        <f t="shared" si="0"/>
        <v>458</v>
      </c>
    </row>
    <row r="9" spans="1:21" x14ac:dyDescent="0.4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4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4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4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4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45">
      <c r="A14" t="s">
        <v>4</v>
      </c>
      <c r="B14" s="6" t="n">
        <v>1008.17381248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754.295006478</v>
      </c>
      <c r="H14" s="6" t="n">
        <v>0.0</v>
      </c>
      <c r="I14" s="6" t="n">
        <v>0.0</v>
      </c>
      <c r="J14" s="6">
        <f t="shared" si="1"/>
        <v>1762.4688189580002</v>
      </c>
      <c r="K14" s="6"/>
      <c r="L14" t="s">
        <v>4</v>
      </c>
      <c r="M14" s="6" t="n">
        <v>70.0</v>
      </c>
      <c r="N14" s="6" t="n">
        <v>111.0</v>
      </c>
      <c r="O14" s="6" t="n">
        <v>97.0</v>
      </c>
      <c r="P14" s="6" t="n">
        <v>0.0</v>
      </c>
      <c r="Q14" s="6" t="n">
        <v>7.0</v>
      </c>
      <c r="R14" s="6" t="n">
        <v>3150.0</v>
      </c>
      <c r="S14" s="6" t="n">
        <v>0.0</v>
      </c>
      <c r="T14" s="6" t="n">
        <v>0.0</v>
      </c>
      <c r="U14" s="6">
        <f t="shared" si="0"/>
        <v>3477</v>
      </c>
    </row>
    <row r="15" spans="1:21" x14ac:dyDescent="0.45">
      <c r="A15" s="4" t="s">
        <v>5</v>
      </c>
      <c r="B15" s="10" t="n">
        <v>776.3851960872</v>
      </c>
      <c r="C15" s="10" t="n">
        <v>1887.3630379332</v>
      </c>
      <c r="D15" s="10" t="n">
        <v>546.698875</v>
      </c>
      <c r="E15" s="10" t="n">
        <v>0.0</v>
      </c>
      <c r="F15" s="10" t="n">
        <v>0.0</v>
      </c>
      <c r="G15" s="10" t="n">
        <v>0.0</v>
      </c>
      <c r="H15" s="10" t="n">
        <v>75064.53026329521</v>
      </c>
      <c r="I15" s="10" t="n">
        <v>0.0</v>
      </c>
      <c r="J15" s="6">
        <f t="shared" si="1"/>
        <v>78274.97737231561</v>
      </c>
      <c r="K15" s="6"/>
      <c r="L15" s="4" t="s">
        <v>5</v>
      </c>
      <c r="M15" s="8" t="n">
        <v>253.0</v>
      </c>
      <c r="N15" s="8" t="n">
        <v>326.0</v>
      </c>
      <c r="O15" s="8" t="n">
        <v>187.0</v>
      </c>
      <c r="P15" s="8" t="n">
        <v>0.0</v>
      </c>
      <c r="Q15" s="8" t="n">
        <v>63.0</v>
      </c>
      <c r="R15" s="8" t="n">
        <v>73.0</v>
      </c>
      <c r="S15" s="8" t="n">
        <v>86838.0</v>
      </c>
      <c r="T15" s="8" t="n">
        <v>0.0</v>
      </c>
      <c r="U15" s="6">
        <f t="shared" si="0"/>
        <v>86662</v>
      </c>
    </row>
    <row r="16" spans="1:21" ht="14.65" thickBot="1" x14ac:dyDescent="0.5">
      <c r="A16" s="12" t="s">
        <v>7</v>
      </c>
      <c r="B16" s="16">
        <f t="shared" ref="B16:J16" si="2">SUM(B5:B15)</f>
        <v>60040.495793476999</v>
      </c>
      <c r="C16" s="16">
        <f t="shared" si="2"/>
        <v>105552.52081371841</v>
      </c>
      <c r="D16" s="16">
        <f t="shared" si="2"/>
        <v>32786.406023404001</v>
      </c>
      <c r="E16" s="16">
        <f t="shared" si="2"/>
        <v>1363.1472444880001</v>
      </c>
      <c r="F16" s="16">
        <f t="shared" si="2"/>
        <v>4790.7040644259996</v>
      </c>
      <c r="G16" s="16">
        <f t="shared" si="2"/>
        <v>754.295006478</v>
      </c>
      <c r="H16" s="16">
        <f t="shared" si="2"/>
        <v>75064.530263295208</v>
      </c>
      <c r="I16" s="16">
        <f t="shared" si="2"/>
        <v>0</v>
      </c>
      <c r="J16" s="16">
        <f t="shared" si="2"/>
        <v>280352.09920928662</v>
      </c>
      <c r="L16" s="9" t="s">
        <v>7</v>
      </c>
      <c r="M16" s="16">
        <f t="shared" ref="M16:U16" si="3">SUM(M5:M15)</f>
        <v>73911</v>
      </c>
      <c r="N16" s="16">
        <f t="shared" si="3"/>
        <v>95248</v>
      </c>
      <c r="O16" s="16">
        <f t="shared" si="3"/>
        <v>88991</v>
      </c>
      <c r="P16" s="16">
        <f t="shared" si="3"/>
        <v>0</v>
      </c>
      <c r="Q16" s="16">
        <f t="shared" si="3"/>
        <v>674</v>
      </c>
      <c r="R16" s="16">
        <f t="shared" si="3"/>
        <v>3239</v>
      </c>
      <c r="S16" s="16">
        <f t="shared" si="3"/>
        <v>85777</v>
      </c>
      <c r="T16" s="16">
        <f t="shared" si="3"/>
        <v>0</v>
      </c>
      <c r="U16" s="16">
        <f t="shared" si="3"/>
        <v>347840</v>
      </c>
    </row>
    <row r="19" spans="1:21" ht="14.65" thickBot="1" x14ac:dyDescent="0.5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4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4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45">
      <c r="A22" t="s">
        <v>1</v>
      </c>
      <c r="B22" s="13">
        <f t="shared" ref="B22:J22" si="4">B5/B$16</f>
        <v>0.97027741052129879</v>
      </c>
      <c r="C22" s="13">
        <f t="shared" si="4"/>
        <v>3.0119385906507031E-2</v>
      </c>
      <c r="D22" s="13">
        <f t="shared" si="4"/>
        <v>0</v>
      </c>
      <c r="E22" s="13">
        <f t="shared" si="4"/>
        <v>0.5</v>
      </c>
      <c r="F22" s="13">
        <f t="shared" si="4"/>
        <v>0.19052548061520927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0.22482242468337815</v>
      </c>
      <c r="K22" s="6"/>
      <c r="L22" t="s">
        <v>1</v>
      </c>
      <c r="M22" s="13">
        <f t="shared" ref="M22:P22" si="5">M5/M$16</f>
        <v>0.99502103881695558</v>
      </c>
      <c r="N22" s="13">
        <f t="shared" si="5"/>
        <v>6.8431883084159248E-2</v>
      </c>
      <c r="O22" s="13">
        <f t="shared" si="5"/>
        <v>2.3777685383915226E-2</v>
      </c>
      <c r="P22" s="13" t="e">
        <f t="shared" si="5"/>
        <v>#DIV/0!</v>
      </c>
      <c r="Q22" s="13">
        <f t="shared" ref="Q22:U33" si="6">Q5/Q$16</f>
        <v>1.483679525222552E-2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0.23627817387304509</v>
      </c>
    </row>
    <row r="23" spans="1:21" x14ac:dyDescent="0.45">
      <c r="A23" t="s">
        <v>12</v>
      </c>
      <c r="B23" s="13">
        <f t="shared" ref="B23:J23" si="7">B6/B$16</f>
        <v>0</v>
      </c>
      <c r="C23" s="13">
        <f t="shared" si="7"/>
        <v>0.95199981860530114</v>
      </c>
      <c r="D23" s="13">
        <f t="shared" si="7"/>
        <v>8.0511275713346375E-2</v>
      </c>
      <c r="E23" s="13">
        <f t="shared" si="7"/>
        <v>0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0.36784335246231747</v>
      </c>
      <c r="K23" s="6"/>
      <c r="L23" t="s">
        <v>12</v>
      </c>
      <c r="M23" s="13">
        <f t="shared" ref="M23:P23" si="8">M6/M$16</f>
        <v>0</v>
      </c>
      <c r="N23" s="13">
        <f t="shared" si="8"/>
        <v>0.92717957332437428</v>
      </c>
      <c r="O23" s="13">
        <f t="shared" si="8"/>
        <v>0.15435268735040622</v>
      </c>
      <c r="P23" s="13" t="e">
        <f t="shared" si="8"/>
        <v>#DIV/0!</v>
      </c>
      <c r="Q23" s="13">
        <f t="shared" si="6"/>
        <v>0.13056379821958458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0.29362925482980679</v>
      </c>
    </row>
    <row r="24" spans="1:21" x14ac:dyDescent="0.4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0.90281416487902144</v>
      </c>
      <c r="E24" s="13">
        <f t="shared" si="9"/>
        <v>0</v>
      </c>
      <c r="F24" s="13">
        <f t="shared" si="9"/>
        <v>9.4713922023352076E-2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0.10720011809921726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0.81888056095560224</v>
      </c>
      <c r="P24" s="13" t="e">
        <f t="shared" si="10"/>
        <v>#DIV/0!</v>
      </c>
      <c r="Q24" s="13">
        <f t="shared" si="6"/>
        <v>6.9732937685459948E-2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0.20963661453541857</v>
      </c>
    </row>
    <row r="25" spans="1:21" x14ac:dyDescent="0.4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</v>
      </c>
      <c r="F25" s="13">
        <f t="shared" si="11"/>
        <v>0.71476059736143871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1.4645084280428305E-2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0.67952522255192882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1.3166973321067157E-3</v>
      </c>
    </row>
    <row r="26" spans="1:21" x14ac:dyDescent="0.4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4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4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4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4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45">
      <c r="A31" t="s">
        <v>4</v>
      </c>
      <c r="B31" s="13">
        <f t="shared" ref="B31:J31" si="23">B14/B$16</f>
        <v>1.6791563746372851E-2</v>
      </c>
      <c r="C31" s="13">
        <f t="shared" si="23"/>
        <v>0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6.2866260817340744E-3</v>
      </c>
      <c r="K31" s="6"/>
      <c r="L31" t="s">
        <v>4</v>
      </c>
      <c r="M31" s="13">
        <f t="shared" ref="M31:P31" si="24">M14/M$16</f>
        <v>1.2176807241141372E-3</v>
      </c>
      <c r="N31" s="13">
        <f t="shared" si="24"/>
        <v>1.2073744330589619E-3</v>
      </c>
      <c r="O31" s="13">
        <f t="shared" si="24"/>
        <v>9.7762695103999274E-4</v>
      </c>
      <c r="P31" s="13" t="e">
        <f t="shared" si="24"/>
        <v>#DIV/0!</v>
      </c>
      <c r="Q31" s="13">
        <f t="shared" si="6"/>
        <v>1.1869436201780416E-2</v>
      </c>
      <c r="R31" s="13">
        <f t="shared" si="6"/>
        <v>0.98085828959555421</v>
      </c>
      <c r="S31" s="13">
        <f t="shared" si="6"/>
        <v>0</v>
      </c>
      <c r="T31" s="13" t="e">
        <f t="shared" si="6"/>
        <v>#DIV/0!</v>
      </c>
      <c r="U31" s="13">
        <f t="shared" si="6"/>
        <v>9.9959751609935595E-3</v>
      </c>
    </row>
    <row r="32" spans="1:21" x14ac:dyDescent="0.45">
      <c r="A32" s="4" t="s">
        <v>5</v>
      </c>
      <c r="B32" s="14">
        <f t="shared" ref="B32:J32" si="25">B15/B$16</f>
        <v>1.2931025732328299E-2</v>
      </c>
      <c r="C32" s="14">
        <f t="shared" si="25"/>
        <v>1.7880795488191732E-2</v>
      </c>
      <c r="D32" s="14">
        <f t="shared" si="25"/>
        <v>1.6674559407632194E-2</v>
      </c>
      <c r="E32" s="14">
        <f t="shared" si="25"/>
        <v>0</v>
      </c>
      <c r="F32" s="14">
        <f t="shared" si="25"/>
        <v>0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0.27920239439292477</v>
      </c>
      <c r="K32" s="6"/>
      <c r="L32" s="4" t="s">
        <v>5</v>
      </c>
      <c r="M32" s="14">
        <f t="shared" ref="M32:P32" si="26">M15/M$16</f>
        <v>3.7612804589303352E-3</v>
      </c>
      <c r="N32" s="14">
        <f t="shared" si="26"/>
        <v>3.1811691584075256E-3</v>
      </c>
      <c r="O32" s="14">
        <f t="shared" si="26"/>
        <v>2.011439359036307E-3</v>
      </c>
      <c r="P32" s="14" t="e">
        <f t="shared" si="26"/>
        <v>#DIV/0!</v>
      </c>
      <c r="Q32" s="14">
        <f t="shared" si="6"/>
        <v>9.3471810089020765E-2</v>
      </c>
      <c r="R32" s="14">
        <f t="shared" si="6"/>
        <v>1.9141710404445816E-2</v>
      </c>
      <c r="S32" s="14">
        <f t="shared" si="6"/>
        <v>1</v>
      </c>
      <c r="T32" s="14" t="e">
        <f t="shared" si="6"/>
        <v>#DIV/0!</v>
      </c>
      <c r="U32" s="14">
        <f t="shared" si="6"/>
        <v>0.24914328426862925</v>
      </c>
    </row>
    <row r="33" spans="1:32" ht="14.65" thickBot="1" x14ac:dyDescent="0.5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4.65" thickBot="1" x14ac:dyDescent="0.5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4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4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45">
      <c r="L39" t="s">
        <v>1</v>
      </c>
      <c r="M39" s="13">
        <f t="shared" ref="M39:P44" si="29">M22-B22</f>
        <v>2.4743628295656794E-2</v>
      </c>
      <c r="N39" s="13">
        <f t="shared" si="29"/>
        <v>3.8312497177652213E-2</v>
      </c>
      <c r="O39" s="13">
        <f t="shared" si="29"/>
        <v>2.3777685383915226E-2</v>
      </c>
      <c r="P39" s="13" t="e">
        <f t="shared" si="29"/>
        <v>#DIV/0!</v>
      </c>
      <c r="Q39" s="13">
        <f t="shared" ref="Q39:Q50" si="30">Q22-F22</f>
        <v>-0.17568868536298374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1.1455749189666936E-2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45">
      <c r="L40" t="s">
        <v>12</v>
      </c>
      <c r="M40" s="13">
        <f t="shared" si="29"/>
        <v>0</v>
      </c>
      <c r="N40" s="13">
        <f t="shared" si="29"/>
        <v>-2.4820245280926856E-2</v>
      </c>
      <c r="O40" s="13">
        <f t="shared" si="29"/>
        <v>7.3841411637059845E-2</v>
      </c>
      <c r="P40" s="13" t="e">
        <f t="shared" si="29"/>
        <v>#DIV/0!</v>
      </c>
      <c r="Q40" s="13">
        <f t="shared" si="30"/>
        <v>0.13056379821958458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-7.4214097632510689E-2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4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-8.3933603923419198E-2</v>
      </c>
      <c r="P41" s="13" t="e">
        <f t="shared" si="29"/>
        <v>#DIV/0!</v>
      </c>
      <c r="Q41" s="13">
        <f t="shared" si="30"/>
        <v>-2.4980984337892129E-2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0.10243649643620131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4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-3.523537480950989E-2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-1.3328386948321589E-2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4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4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4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4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4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45">
      <c r="L48" t="s">
        <v>4</v>
      </c>
      <c r="M48" s="13">
        <f t="shared" ref="M48:P50" si="39">M31-B31</f>
        <v>-1.5573883022258714E-2</v>
      </c>
      <c r="N48" s="13">
        <f t="shared" si="39"/>
        <v>1.2073744330589619E-3</v>
      </c>
      <c r="O48" s="13">
        <f t="shared" si="39"/>
        <v>9.7762695103999274E-4</v>
      </c>
      <c r="P48" s="13" t="e">
        <f t="shared" si="39"/>
        <v>#DIV/0!</v>
      </c>
      <c r="Q48" s="13">
        <f t="shared" si="30"/>
        <v>1.1869436201780416E-2</v>
      </c>
      <c r="R48" s="13">
        <f t="shared" si="31"/>
        <v>-1.9141710404445789E-2</v>
      </c>
      <c r="S48" s="13">
        <f t="shared" si="32"/>
        <v>0</v>
      </c>
      <c r="T48" s="13" t="e">
        <f t="shared" si="33"/>
        <v>#DIV/0!</v>
      </c>
      <c r="U48" s="13">
        <f t="shared" si="34"/>
        <v>3.7093490792594851E-3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45">
      <c r="L49" s="4" t="s">
        <v>5</v>
      </c>
      <c r="M49" s="17">
        <f t="shared" si="39"/>
        <v>-9.169745273397964E-3</v>
      </c>
      <c r="N49" s="17">
        <f t="shared" si="39"/>
        <v>-1.4699626329784206E-2</v>
      </c>
      <c r="O49" s="17">
        <f t="shared" si="39"/>
        <v>-1.4663120048595886E-2</v>
      </c>
      <c r="P49" s="17" t="e">
        <f t="shared" si="39"/>
        <v>#DIV/0!</v>
      </c>
      <c r="Q49" s="17">
        <f t="shared" si="30"/>
        <v>9.3471810089020765E-2</v>
      </c>
      <c r="R49" s="17">
        <f t="shared" si="31"/>
        <v>1.9141710404445816E-2</v>
      </c>
      <c r="S49" s="17">
        <f t="shared" si="32"/>
        <v>0</v>
      </c>
      <c r="T49" s="17" t="e">
        <f t="shared" si="33"/>
        <v>#DIV/0!</v>
      </c>
      <c r="U49" s="13">
        <f t="shared" si="34"/>
        <v>-3.0059110124295518E-2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4.65" thickBot="1" x14ac:dyDescent="0.5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50</v>
      </c>
    </row>
    <row r="3" spans="2:2" x14ac:dyDescent="0.4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2022-01-21T23:38:56Z</dcterms:modified>
</cp:coreProperties>
</file>