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inbkr\output\"/>
    </mc:Choice>
  </mc:AlternateContent>
  <bookViews>
    <workbookView activeTab="6" windowHeight="7320" windowWidth="18885" xWindow="240" yWindow="30"/>
  </bookViews>
  <sheets>
    <sheet name="All Purposes" r:id="rId1" sheetId="18"/>
    <sheet name="Workbased" r:id="rId2" sheetId="7"/>
    <sheet name="Work" r:id="rId3" sheetId="11"/>
    <sheet name="School" r:id="rId4" sheetId="12"/>
    <sheet name="Escort" r:id="rId5" sheetId="13"/>
    <sheet name="Personal_Business" r:id="rId6" sheetId="14"/>
    <sheet name="Shop" r:id="rId7" sheetId="15"/>
    <sheet name="Meal" r:id="rId8" sheetId="16"/>
    <sheet name="SocRec" r:id="rId9" sheetId="17"/>
    <sheet name="Documentation" r:id="rId10" sheetId="19"/>
  </sheets>
  <definedNames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1">Work!$B$5:$I$15</definedName>
    <definedName name="out3">School!$B$5:$I$15</definedName>
    <definedName name="out5">Escort!$B$5:$I$15</definedName>
    <definedName name="out7">Personal_Business!$B$5:$I$15</definedName>
    <definedName name="out9">Shop!$B$5:$I$15</definedName>
    <definedName name="out11">Meal!$B$5:$I$15</definedName>
    <definedName name="out13">SocRec!$B$5:$I$15</definedName>
    <definedName name="out15">Workbased!$B$5:$I$15</definedName>
    <definedName name="out2">Work!$M$5:$T$15</definedName>
    <definedName name="out4">School!$M$5:$T$15</definedName>
    <definedName name="out6">Escort!$M$5:$T$15</definedName>
    <definedName name="out8">Personal_Business!$M$5:$T$15</definedName>
    <definedName name="out10">Shop!$M$5:$T$15</definedName>
    <definedName name="out12">Meal!$M$5:$T$15</definedName>
    <definedName name="out14">SocRec!$M$5:$T$15</definedName>
    <definedName name="out16">Workbased!$M$5:$T$15</definedName>
  </definedNames>
  <calcPr calcId="171027"/>
</workbook>
</file>

<file path=xl/calcChain.xml><?xml version="1.0" encoding="utf-8"?>
<calcChain xmlns="http://schemas.openxmlformats.org/spreadsheetml/2006/main">
  <c i="18" l="1" r="B6"/>
  <c i="7" l="1" r="J11"/>
  <c i="7" r="J12"/>
  <c i="7" r="J13"/>
  <c i="11" r="J11"/>
  <c i="11" r="J12"/>
  <c i="11" r="J13"/>
  <c i="12" r="J11"/>
  <c i="12" r="J12"/>
  <c i="12" r="J13"/>
  <c i="13" r="J11"/>
  <c i="13" r="J12"/>
  <c i="13" r="J13"/>
  <c i="14" r="J11"/>
  <c i="14" r="J12"/>
  <c i="14" r="J13"/>
  <c i="15" r="J11"/>
  <c i="15" r="J12"/>
  <c i="15" r="J13"/>
  <c i="16" r="J11"/>
  <c i="16" r="J12"/>
  <c i="16" r="J13"/>
  <c i="17" r="J11"/>
  <c i="17" r="J12"/>
  <c i="17" r="J13"/>
  <c i="18" r="I13"/>
  <c i="18" r="H13"/>
  <c i="18" r="G13"/>
  <c i="18" r="F13"/>
  <c i="18" r="E13"/>
  <c i="18" r="D13"/>
  <c i="18" r="C13"/>
  <c i="18" r="B13"/>
  <c i="18" r="I12"/>
  <c i="18" r="H12"/>
  <c i="18" r="G12"/>
  <c i="18" r="F12"/>
  <c i="18" r="E12"/>
  <c i="18" r="D12"/>
  <c i="18" r="C12"/>
  <c i="18" r="B12"/>
  <c i="18" r="I11"/>
  <c i="18" r="H11"/>
  <c i="18" r="G11"/>
  <c i="18" r="F11"/>
  <c i="18" r="E11"/>
  <c i="18" r="D11"/>
  <c i="18" r="C11"/>
  <c i="18" r="B11"/>
  <c i="18" r="T13"/>
  <c i="18" r="S13"/>
  <c i="18" r="R13"/>
  <c i="18" r="Q13"/>
  <c i="18" r="P13"/>
  <c i="18" r="O13"/>
  <c i="18" r="N13"/>
  <c i="18" r="M13"/>
  <c i="18" r="T12"/>
  <c i="18" r="S12"/>
  <c i="18" r="R12"/>
  <c i="18" r="Q12"/>
  <c i="18" r="P12"/>
  <c i="18" r="O12"/>
  <c i="18" r="N12"/>
  <c i="18" r="M12"/>
  <c i="7" r="U11"/>
  <c i="7" r="U12"/>
  <c i="7" r="U13"/>
  <c i="11" r="U11"/>
  <c i="11" r="U12"/>
  <c i="11" r="U13"/>
  <c i="12" r="U11"/>
  <c i="12" r="U12"/>
  <c i="12" r="U13"/>
  <c i="13" r="U11"/>
  <c i="13" r="U12"/>
  <c i="13" r="U13"/>
  <c i="14" r="U11"/>
  <c i="14" r="U12"/>
  <c i="14" r="U13"/>
  <c i="15" r="U11"/>
  <c i="15" r="U12"/>
  <c i="15" r="U13"/>
  <c i="16" r="U11"/>
  <c i="16" r="U12"/>
  <c i="16" r="U13"/>
  <c i="17" r="U11"/>
  <c i="17" r="U12"/>
  <c i="17" r="U13"/>
  <c i="18" r="O11"/>
  <c i="18" r="P11"/>
  <c i="18" r="Q11"/>
  <c i="18" r="R11"/>
  <c i="18" r="S11"/>
  <c i="18" r="T11"/>
  <c i="18" r="N11"/>
  <c i="18" r="M11"/>
  <c i="18" r="T15"/>
  <c i="18" r="S15"/>
  <c i="18" r="R15"/>
  <c i="18" r="Q15"/>
  <c i="18" r="P15"/>
  <c i="18" r="O15"/>
  <c i="18" r="N15"/>
  <c i="18" r="M15"/>
  <c i="18" r="T14"/>
  <c i="18" r="S14"/>
  <c i="18" r="R14"/>
  <c i="18" r="Q14"/>
  <c i="18" r="P14"/>
  <c i="18" r="O14"/>
  <c i="18" r="N14"/>
  <c i="18" r="M14"/>
  <c i="18" r="T10"/>
  <c i="18" r="S10"/>
  <c i="18" r="R10"/>
  <c i="18" r="Q10"/>
  <c i="18" r="P10"/>
  <c i="18" r="O10"/>
  <c i="18" r="N10"/>
  <c i="18" r="M10"/>
  <c i="18" r="T9"/>
  <c i="18" r="S9"/>
  <c i="18" r="R9"/>
  <c i="18" r="Q9"/>
  <c i="18" r="P9"/>
  <c i="18" r="O9"/>
  <c i="18" r="N9"/>
  <c i="18" r="M9"/>
  <c i="18" r="T8"/>
  <c i="18" r="S8"/>
  <c i="18" r="R8"/>
  <c i="18" r="Q8"/>
  <c i="18" r="P8"/>
  <c i="18" r="O8"/>
  <c i="18" r="N8"/>
  <c i="18" r="M8"/>
  <c i="18" r="T7"/>
  <c i="18" r="S7"/>
  <c i="18" r="R7"/>
  <c i="18" r="Q7"/>
  <c i="18" r="P7"/>
  <c i="18" r="O7"/>
  <c i="18" r="N7"/>
  <c i="18" r="M7"/>
  <c i="18" r="T6"/>
  <c i="18" r="S6"/>
  <c i="18" r="R6"/>
  <c i="18" r="Q6"/>
  <c i="18" r="P6"/>
  <c i="18" r="O6"/>
  <c i="18" r="N6"/>
  <c i="18" r="M6"/>
  <c i="18" r="T5"/>
  <c i="18" r="S5"/>
  <c i="18" r="R5"/>
  <c i="18" r="Q5"/>
  <c i="18" r="P5"/>
  <c i="18" r="O5"/>
  <c i="18" r="N5"/>
  <c i="18" r="M5"/>
  <c i="18" r="I15"/>
  <c i="18" r="H15"/>
  <c i="18" r="G15"/>
  <c i="18" r="F15"/>
  <c i="18" r="E15"/>
  <c i="18" r="D15"/>
  <c i="18" r="C15"/>
  <c i="18" r="B15"/>
  <c i="18" r="I14"/>
  <c i="18" r="H14"/>
  <c i="18" r="G14"/>
  <c i="18" r="F14"/>
  <c i="18" r="E14"/>
  <c i="18" r="D14"/>
  <c i="18" r="C14"/>
  <c i="18" r="B14"/>
  <c i="18" r="I10"/>
  <c i="18" r="H10"/>
  <c i="18" r="G10"/>
  <c i="18" r="F10"/>
  <c i="18" r="E10"/>
  <c i="18" r="D10"/>
  <c i="18" r="C10"/>
  <c i="18" r="B10"/>
  <c i="18" r="I9"/>
  <c i="18" r="H9"/>
  <c i="18" r="G9"/>
  <c i="18" r="F9"/>
  <c i="18" r="E9"/>
  <c i="18" r="D9"/>
  <c i="18" r="C9"/>
  <c i="18" r="B9"/>
  <c i="18" r="I8"/>
  <c i="18" r="H8"/>
  <c i="18" r="G8"/>
  <c i="18" r="F8"/>
  <c i="18" r="E8"/>
  <c i="18" r="D8"/>
  <c i="18" r="C8"/>
  <c i="18" r="B8"/>
  <c i="18" r="I7"/>
  <c i="18" r="H7"/>
  <c i="18" r="G7"/>
  <c i="18" r="F7"/>
  <c i="18" r="E7"/>
  <c i="18" r="D7"/>
  <c i="18" r="C7"/>
  <c i="18" r="B7"/>
  <c i="18" r="I6"/>
  <c i="18" r="H6"/>
  <c i="18" r="G6"/>
  <c i="18" r="F6"/>
  <c i="18" r="E6"/>
  <c i="18" r="D6"/>
  <c i="18" r="C6"/>
  <c i="18" r="I5"/>
  <c i="18" r="H5"/>
  <c i="18" r="G5"/>
  <c i="18" r="F5"/>
  <c i="18" r="E5"/>
  <c i="18" r="D5"/>
  <c i="18" r="C5"/>
  <c i="18" r="B5"/>
  <c i="17" r="T16"/>
  <c i="17" r="T30" s="1"/>
  <c i="17" r="S16"/>
  <c i="17" r="S29" s="1"/>
  <c i="17" r="R16"/>
  <c i="17" r="R30" s="1"/>
  <c i="17" r="Q16"/>
  <c i="17" r="Q30" s="1"/>
  <c i="17" r="P16"/>
  <c i="17" r="P30" s="1"/>
  <c i="17" r="O16"/>
  <c i="17" r="O30" s="1"/>
  <c i="17" r="N16"/>
  <c i="17" r="N30" s="1"/>
  <c i="17" r="M16"/>
  <c i="17" r="M30" s="1"/>
  <c i="17" r="I16"/>
  <c i="17" r="I30" s="1"/>
  <c i="17" r="H16"/>
  <c i="17" r="H30" s="1"/>
  <c i="17" r="G16"/>
  <c i="17" r="G30" s="1"/>
  <c i="17" r="F16"/>
  <c i="17" r="F30" s="1"/>
  <c i="17" r="E16"/>
  <c i="17" r="E30" s="1"/>
  <c i="17" r="D16"/>
  <c i="17" r="D30" s="1"/>
  <c i="17" r="C16"/>
  <c i="17" r="C30" s="1"/>
  <c i="17" r="B16"/>
  <c i="17" r="B29" s="1"/>
  <c i="17" r="U15"/>
  <c i="17" r="J15"/>
  <c i="17" r="U14"/>
  <c i="17" r="J14"/>
  <c i="17" r="U10"/>
  <c i="17" r="J10"/>
  <c i="17" r="U9"/>
  <c i="17" r="J9"/>
  <c i="17" r="U8"/>
  <c i="17" r="J8"/>
  <c i="17" r="U7"/>
  <c i="17" r="J7"/>
  <c i="17" r="U6"/>
  <c i="17" r="J6"/>
  <c i="17" r="U5"/>
  <c i="17" r="J5"/>
  <c i="16" r="T16"/>
  <c i="16" r="T30" s="1"/>
  <c i="16" r="S16"/>
  <c i="16" r="S30" s="1"/>
  <c i="16" r="R16"/>
  <c i="16" r="R30" s="1"/>
  <c i="16" r="Q16"/>
  <c i="16" r="Q30" s="1"/>
  <c i="16" r="P16"/>
  <c i="16" r="P30" s="1"/>
  <c i="16" r="O16"/>
  <c i="16" r="O29" s="1"/>
  <c i="16" r="N16"/>
  <c i="16" r="N30" s="1"/>
  <c i="16" r="M16"/>
  <c i="16" r="M30" s="1"/>
  <c i="16" r="I16"/>
  <c i="16" r="I30" s="1"/>
  <c i="16" r="H16"/>
  <c i="16" r="H30" s="1"/>
  <c i="16" r="G16"/>
  <c i="16" r="G30" s="1"/>
  <c i="16" r="F16"/>
  <c i="16" r="F30" s="1"/>
  <c i="16" r="E16"/>
  <c i="16" r="E30" s="1"/>
  <c i="16" r="D16"/>
  <c i="16" r="D30" s="1"/>
  <c i="16" r="C16"/>
  <c i="16" r="C30" s="1"/>
  <c i="16" r="B16"/>
  <c i="16" r="B29" s="1"/>
  <c i="16" r="U15"/>
  <c i="16" r="J15"/>
  <c i="16" r="U14"/>
  <c i="16" r="J14"/>
  <c i="16" r="U10"/>
  <c i="16" r="J10"/>
  <c i="16" r="U9"/>
  <c i="16" r="J9"/>
  <c i="16" r="U8"/>
  <c i="16" r="J8"/>
  <c i="16" r="U7"/>
  <c i="16" r="J7"/>
  <c i="16" r="U6"/>
  <c i="16" r="J6"/>
  <c i="16" r="U5"/>
  <c i="16" r="J5"/>
  <c i="15" r="T16"/>
  <c i="15" r="T30" s="1"/>
  <c i="15" r="S16"/>
  <c i="15" r="S29" s="1"/>
  <c i="15" r="R16"/>
  <c i="15" r="R30" s="1"/>
  <c i="15" r="Q16"/>
  <c i="15" r="Q30" s="1"/>
  <c i="15" r="P16"/>
  <c i="15" r="P30" s="1"/>
  <c i="15" r="O16"/>
  <c i="15" r="O30" s="1"/>
  <c i="15" r="N16"/>
  <c i="15" r="N30" s="1"/>
  <c i="15" r="M16"/>
  <c i="15" r="M30" s="1"/>
  <c i="15" r="I16"/>
  <c i="15" r="I30" s="1"/>
  <c i="15" r="H16"/>
  <c i="15" r="H30" s="1"/>
  <c i="15" r="G16"/>
  <c i="15" r="G30" s="1"/>
  <c i="15" r="F16"/>
  <c i="15" r="F30" s="1"/>
  <c i="15" r="E16"/>
  <c i="15" r="E30" s="1"/>
  <c i="15" r="D16"/>
  <c i="15" r="D30" s="1"/>
  <c i="15" r="C16"/>
  <c i="15" r="C30" s="1"/>
  <c i="15" r="B16"/>
  <c i="15" r="B29" s="1"/>
  <c i="15" r="U15"/>
  <c i="15" r="J15"/>
  <c i="15" r="U14"/>
  <c i="15" r="J14"/>
  <c i="15" r="U10"/>
  <c i="15" r="J10"/>
  <c i="15" r="U9"/>
  <c i="15" r="J9"/>
  <c i="15" r="U8"/>
  <c i="15" r="J8"/>
  <c i="15" r="U7"/>
  <c i="15" r="J7"/>
  <c i="15" r="U6"/>
  <c i="15" r="J6"/>
  <c i="15" r="U5"/>
  <c i="15" r="J5"/>
  <c i="14" r="T16"/>
  <c i="14" r="T30" s="1"/>
  <c i="14" r="S16"/>
  <c i="14" r="S30" s="1"/>
  <c i="14" r="R16"/>
  <c i="14" r="R30" s="1"/>
  <c i="14" r="Q16"/>
  <c i="14" r="Q30" s="1"/>
  <c i="14" r="P16"/>
  <c i="14" r="P30" s="1"/>
  <c i="14" r="O16"/>
  <c i="14" r="O29" s="1"/>
  <c i="14" r="N16"/>
  <c i="14" r="N30" s="1"/>
  <c i="14" r="M16"/>
  <c i="14" r="M30" s="1"/>
  <c i="14" r="I16"/>
  <c i="14" r="I30" s="1"/>
  <c i="14" r="H16"/>
  <c i="14" r="H30" s="1"/>
  <c i="14" r="G16"/>
  <c i="14" r="G30" s="1"/>
  <c i="14" r="F16"/>
  <c i="14" r="F30" s="1"/>
  <c i="14" r="E16"/>
  <c i="14" r="E30" s="1"/>
  <c i="14" r="D16"/>
  <c i="14" r="D30" s="1"/>
  <c i="14" r="C16"/>
  <c i="14" r="C30" s="1"/>
  <c i="14" r="B16"/>
  <c i="14" r="B29" s="1"/>
  <c i="14" r="U15"/>
  <c i="14" r="J15"/>
  <c i="14" r="U14"/>
  <c i="14" r="J14"/>
  <c i="14" r="U10"/>
  <c i="14" r="J10"/>
  <c i="14" r="U9"/>
  <c i="14" r="J9"/>
  <c i="14" r="U8"/>
  <c i="14" r="J8"/>
  <c i="14" r="U7"/>
  <c i="14" r="J7"/>
  <c i="14" r="U6"/>
  <c i="14" r="J6"/>
  <c i="14" r="U5"/>
  <c i="14" r="J5"/>
  <c i="13" r="T16"/>
  <c i="13" r="T30" s="1"/>
  <c i="13" r="S16"/>
  <c i="13" r="S29" s="1"/>
  <c i="13" r="R16"/>
  <c i="13" r="R30" s="1"/>
  <c i="13" r="Q16"/>
  <c i="13" r="Q30" s="1"/>
  <c i="13" r="P16"/>
  <c i="13" r="P30" s="1"/>
  <c i="13" r="O16"/>
  <c i="13" r="O30" s="1"/>
  <c i="13" r="N16"/>
  <c i="13" r="N30" s="1"/>
  <c i="13" r="M16"/>
  <c i="13" r="M30" s="1"/>
  <c i="13" r="I16"/>
  <c i="13" r="I30" s="1"/>
  <c i="13" r="H16"/>
  <c i="13" r="H30" s="1"/>
  <c i="13" r="G16"/>
  <c i="13" r="G30" s="1"/>
  <c i="13" r="F16"/>
  <c i="13" r="F30" s="1"/>
  <c i="13" r="E16"/>
  <c i="13" r="E30" s="1"/>
  <c i="13" r="D16"/>
  <c i="13" r="D30" s="1"/>
  <c i="13" r="C16"/>
  <c i="13" r="C30" s="1"/>
  <c i="13" r="B16"/>
  <c i="13" r="B29" s="1"/>
  <c i="13" r="U15"/>
  <c i="13" r="J15"/>
  <c i="13" r="U14"/>
  <c i="13" r="J14"/>
  <c i="13" r="U10"/>
  <c i="13" r="J10"/>
  <c i="13" r="U9"/>
  <c i="13" r="J9"/>
  <c i="13" r="U8"/>
  <c i="13" r="J8"/>
  <c i="13" r="U7"/>
  <c i="13" r="J7"/>
  <c i="13" r="U6"/>
  <c i="13" r="J6"/>
  <c i="13" r="U5"/>
  <c i="13" r="J5"/>
  <c i="12" r="T16"/>
  <c i="12" r="T30" s="1"/>
  <c i="12" r="S16"/>
  <c i="12" r="S30" s="1"/>
  <c i="12" r="R16"/>
  <c i="12" r="R30" s="1"/>
  <c i="12" r="Q16"/>
  <c i="12" r="Q30" s="1"/>
  <c i="12" r="P16"/>
  <c i="12" r="P30" s="1"/>
  <c i="12" r="O16"/>
  <c i="12" r="O29" s="1"/>
  <c i="12" r="N16"/>
  <c i="12" r="N30" s="1"/>
  <c i="12" r="M16"/>
  <c i="12" r="M30" s="1"/>
  <c i="12" r="I16"/>
  <c i="12" r="I30" s="1"/>
  <c i="12" r="H16"/>
  <c i="12" r="H30" s="1"/>
  <c i="12" r="G16"/>
  <c i="12" r="G30" s="1"/>
  <c i="12" r="F16"/>
  <c i="12" r="F30" s="1"/>
  <c i="12" r="E16"/>
  <c i="12" r="E30" s="1"/>
  <c i="12" r="D16"/>
  <c i="12" r="D30" s="1"/>
  <c i="12" r="C16"/>
  <c i="12" r="C30" s="1"/>
  <c i="12" r="B16"/>
  <c i="12" r="B29" s="1"/>
  <c i="12" r="U15"/>
  <c i="12" r="J15"/>
  <c i="12" r="U14"/>
  <c i="12" r="J14"/>
  <c i="12" r="U10"/>
  <c i="12" r="J10"/>
  <c i="12" r="U9"/>
  <c i="12" r="J9"/>
  <c i="12" r="U8"/>
  <c i="12" r="J8"/>
  <c i="12" r="U7"/>
  <c i="12" r="J7"/>
  <c i="12" r="U6"/>
  <c i="12" r="J6"/>
  <c i="12" r="U5"/>
  <c i="12" r="J5"/>
  <c i="11" r="T16"/>
  <c i="11" r="T31" s="1"/>
  <c i="11" r="S16"/>
  <c i="11" r="S32" s="1"/>
  <c i="11" r="R16"/>
  <c i="11" r="R33" s="1"/>
  <c i="11" r="Q16"/>
  <c i="11" r="Q30" s="1"/>
  <c i="11" r="P16"/>
  <c i="11" r="P31" s="1"/>
  <c i="11" r="O16"/>
  <c i="11" r="O32" s="1"/>
  <c i="11" r="N16"/>
  <c i="11" r="N33" s="1"/>
  <c i="11" r="M16"/>
  <c i="11" r="M30" s="1"/>
  <c i="11" r="I16"/>
  <c i="11" r="I31" s="1"/>
  <c i="11" r="H16"/>
  <c i="11" r="H32" s="1"/>
  <c i="11" r="G16"/>
  <c i="11" r="G33" s="1"/>
  <c i="11" r="F16"/>
  <c i="11" r="F30" s="1"/>
  <c i="11" r="E16"/>
  <c i="11" r="E31" s="1"/>
  <c i="11" r="D16"/>
  <c i="11" r="D32" s="1"/>
  <c i="11" r="C16"/>
  <c i="11" r="C33" s="1"/>
  <c i="11" r="B16"/>
  <c i="11" r="B29" s="1"/>
  <c i="11" r="U15"/>
  <c i="11" r="J15"/>
  <c i="11" r="U14"/>
  <c i="11" r="J14"/>
  <c i="11" r="U10"/>
  <c i="11" r="J10"/>
  <c i="11" r="U9"/>
  <c i="11" r="J9"/>
  <c i="11" r="U8"/>
  <c i="11" r="J8"/>
  <c i="11" r="U7"/>
  <c i="11" r="J7"/>
  <c i="11" r="U6"/>
  <c i="11" r="J6"/>
  <c i="11" r="U5"/>
  <c i="11" r="J5"/>
  <c i="7" r="R16"/>
  <c i="7" r="R33" s="1"/>
  <c i="7" r="U8"/>
  <c i="7" r="U7"/>
  <c i="7" r="J8"/>
  <c i="7" r="J7"/>
  <c i="7" r="G16"/>
  <c i="7" r="G33" s="1"/>
  <c i="7" r="J15"/>
  <c i="7" r="J14"/>
  <c i="7" r="J10"/>
  <c i="7" r="J9"/>
  <c i="7" r="J6"/>
  <c i="7" r="J5"/>
  <c i="7" r="U15"/>
  <c i="7" r="U14"/>
  <c i="7" r="U10"/>
  <c i="7" r="U9"/>
  <c i="7" r="U6"/>
  <c i="7" r="U5"/>
  <c i="7" r="T16"/>
  <c i="7" r="T31" s="1"/>
  <c i="7" r="S16"/>
  <c i="7" r="S32" s="1"/>
  <c i="7" r="Q16"/>
  <c i="7" r="Q30" s="1"/>
  <c i="7" r="P16"/>
  <c i="7" r="P31" s="1"/>
  <c i="7" r="O16"/>
  <c i="7" r="O32" s="1"/>
  <c i="7" r="N16"/>
  <c i="7" r="N33" s="1"/>
  <c i="7" r="M16"/>
  <c i="7" r="M30" s="1"/>
  <c i="7" r="I16"/>
  <c i="7" r="I31" s="1"/>
  <c i="7" r="H16"/>
  <c i="7" r="H32" s="1"/>
  <c i="7" r="F16"/>
  <c i="7" r="F30" s="1"/>
  <c i="7" r="E16"/>
  <c i="7" r="E31" s="1"/>
  <c i="7" r="D16"/>
  <c i="7" r="D32" s="1"/>
  <c i="7" r="C16"/>
  <c i="7" r="C33" s="1"/>
  <c i="7" r="B16"/>
  <c i="7" r="B29" s="1"/>
  <c i="18" l="1" r="I16"/>
  <c i="18" r="I33" s="1"/>
  <c i="18" r="R16"/>
  <c i="18" r="R33" s="1"/>
  <c i="18" r="U13"/>
  <c i="18" r="N16"/>
  <c i="18" r="N33" s="1"/>
  <c i="18" r="F16"/>
  <c i="18" r="F33" s="1"/>
  <c i="18" r="M16"/>
  <c i="18" r="M33" s="1"/>
  <c i="18" r="E16"/>
  <c i="18" r="E30" s="1"/>
  <c i="18" r="B16"/>
  <c i="18" r="B33" s="1"/>
  <c i="17" r="O29"/>
  <c i="14" r="O28"/>
  <c i="12" r="O30"/>
  <c i="12" r="O47" s="1"/>
  <c i="15" r="O29"/>
  <c i="12" r="O28"/>
  <c i="7" r="Q47"/>
  <c i="16" r="O30"/>
  <c i="16" r="O47" s="1"/>
  <c i="13" r="O29"/>
  <c i="7" r="O28"/>
  <c i="16" r="O28"/>
  <c i="14" r="O30"/>
  <c i="14" r="O47" s="1"/>
  <c i="11" r="O29"/>
  <c i="18" r="C16"/>
  <c i="18" r="C33" s="1"/>
  <c i="18" r="G16"/>
  <c i="18" r="G33" s="1"/>
  <c i="17" r="S28"/>
  <c i="17" r="S30"/>
  <c i="17" r="S47" s="1"/>
  <c i="16" r="S29"/>
  <c i="15" r="S28"/>
  <c i="15" r="S30"/>
  <c i="15" r="S47" s="1"/>
  <c i="14" r="S29"/>
  <c i="13" r="S28"/>
  <c i="13" r="S30"/>
  <c i="13" r="S47" s="1"/>
  <c i="12" r="S29"/>
  <c i="11" r="S28"/>
  <c i="11" r="S30"/>
  <c i="18" r="J11"/>
  <c i="18" r="J12"/>
  <c i="18" r="J13"/>
  <c i="18" r="U11"/>
  <c i="17" r="O28"/>
  <c i="15" r="O28"/>
  <c i="13" r="O28"/>
  <c i="11" r="O28"/>
  <c i="11" r="O30"/>
  <c i="7" r="O30"/>
  <c i="16" r="S28"/>
  <c i="14" r="S28"/>
  <c i="12" r="S28"/>
  <c i="11" r="S29"/>
  <c i="7" r="O29"/>
  <c i="11" r="Q47"/>
  <c i="12" r="Q47"/>
  <c i="13" r="Q47"/>
  <c i="14" r="Q47"/>
  <c i="15" r="Q47"/>
  <c i="16" r="Q47"/>
  <c i="17" r="Q47"/>
  <c i="16" r="S47"/>
  <c i="14" r="S47"/>
  <c i="12" r="S47"/>
  <c i="12" r="P47"/>
  <c i="12" r="T47"/>
  <c i="13" r="P47"/>
  <c i="13" r="T47"/>
  <c i="14" r="P47"/>
  <c i="14" r="T47"/>
  <c i="15" r="P47"/>
  <c i="15" r="T47"/>
  <c i="16" r="P47"/>
  <c i="16" r="T47"/>
  <c i="17" r="P47"/>
  <c i="17" r="T47"/>
  <c i="12" r="N47"/>
  <c i="12" r="R47"/>
  <c i="13" r="N47"/>
  <c i="13" r="R47"/>
  <c i="14" r="N47"/>
  <c i="14" r="R47"/>
  <c i="15" r="N47"/>
  <c i="15" r="R47"/>
  <c i="16" r="N47"/>
  <c i="16" r="R47"/>
  <c i="17" r="N47"/>
  <c i="17" r="R47"/>
  <c i="17" r="O47"/>
  <c i="15" r="O47"/>
  <c i="13" r="O47"/>
  <c i="18" r="S16"/>
  <c i="18" r="S33" s="1"/>
  <c i="7" r="S29"/>
  <c i="17" r="F28"/>
  <c i="17" r="B30"/>
  <c i="17" r="M47" s="1"/>
  <c i="16" r="F28"/>
  <c i="16" r="B30"/>
  <c i="16" r="M47" s="1"/>
  <c i="15" r="F28"/>
  <c i="15" r="B30"/>
  <c i="15" r="M47" s="1"/>
  <c i="14" r="F28"/>
  <c i="14" r="B30"/>
  <c i="14" r="M47" s="1"/>
  <c i="13" r="F28"/>
  <c i="13" r="B30"/>
  <c i="13" r="M47" s="1"/>
  <c i="12" r="F28"/>
  <c i="12" r="B30"/>
  <c i="12" r="M47" s="1"/>
  <c i="11" r="F28"/>
  <c i="11" r="B30"/>
  <c i="11" r="M47" s="1"/>
  <c i="7" r="F28"/>
  <c i="7" r="B30"/>
  <c i="7" r="M47" s="1"/>
  <c i="17" r="M28"/>
  <c i="17" r="Q28"/>
  <c i="17" r="M29"/>
  <c i="17" r="M46" s="1"/>
  <c i="17" r="Q29"/>
  <c i="16" r="M28"/>
  <c i="16" r="Q28"/>
  <c i="16" r="M29"/>
  <c i="16" r="M46" s="1"/>
  <c i="16" r="Q29"/>
  <c i="15" r="M28"/>
  <c i="15" r="Q28"/>
  <c i="15" r="M29"/>
  <c i="15" r="M46" s="1"/>
  <c i="15" r="Q29"/>
  <c i="14" r="M28"/>
  <c i="14" r="Q28"/>
  <c i="14" r="M29"/>
  <c i="14" r="M46" s="1"/>
  <c i="14" r="Q29"/>
  <c i="13" r="M28"/>
  <c i="13" r="Q28"/>
  <c i="13" r="M29"/>
  <c i="13" r="M46" s="1"/>
  <c i="13" r="Q29"/>
  <c i="12" r="M28"/>
  <c i="12" r="Q28"/>
  <c i="12" r="M29"/>
  <c i="12" r="M46" s="1"/>
  <c i="12" r="Q29"/>
  <c i="11" r="M28"/>
  <c i="11" r="Q28"/>
  <c i="11" r="M29"/>
  <c i="11" r="M46" s="1"/>
  <c i="11" r="Q29"/>
  <c i="7" r="M28"/>
  <c i="7" r="Q28"/>
  <c i="7" r="M29"/>
  <c i="7" r="M46" s="1"/>
  <c i="7" r="Q29"/>
  <c i="17" r="D28"/>
  <c i="17" r="H28"/>
  <c i="17" r="D29"/>
  <c i="17" r="H29"/>
  <c i="17" r="S46" s="1"/>
  <c i="16" r="D28"/>
  <c i="16" r="H28"/>
  <c i="16" r="D29"/>
  <c i="16" r="O46" s="1"/>
  <c i="16" r="H29"/>
  <c i="15" r="D28"/>
  <c i="15" r="H28"/>
  <c i="15" r="D29"/>
  <c i="15" r="H29"/>
  <c i="15" r="S46" s="1"/>
  <c i="14" r="D28"/>
  <c i="14" r="H28"/>
  <c i="14" r="D29"/>
  <c i="14" r="O46" s="1"/>
  <c i="14" r="H29"/>
  <c i="13" r="D28"/>
  <c i="13" r="H28"/>
  <c i="13" r="D29"/>
  <c i="13" r="H29"/>
  <c i="13" r="S46" s="1"/>
  <c i="12" r="D28"/>
  <c i="12" r="H28"/>
  <c i="12" r="D29"/>
  <c i="12" r="O46" s="1"/>
  <c i="12" r="H29"/>
  <c i="11" r="D28"/>
  <c i="11" r="H28"/>
  <c i="11" r="D29"/>
  <c i="11" r="H29"/>
  <c i="11" r="D30"/>
  <c i="11" r="H30"/>
  <c i="7" r="D28"/>
  <c i="7" r="H28"/>
  <c i="7" r="D29"/>
  <c i="7" r="H29"/>
  <c i="7" r="D30"/>
  <c i="7" r="H30"/>
  <c i="7" r="S28"/>
  <c i="17" r="B28"/>
  <c i="17" r="F29"/>
  <c i="16" r="B28"/>
  <c i="16" r="F29"/>
  <c i="15" r="B28"/>
  <c i="15" r="F29"/>
  <c i="14" r="B28"/>
  <c i="14" r="F29"/>
  <c i="13" r="B28"/>
  <c i="13" r="F29"/>
  <c i="12" r="B28"/>
  <c i="12" r="F29"/>
  <c i="11" r="B28"/>
  <c i="11" r="F29"/>
  <c i="7" r="B28"/>
  <c i="7" r="F29"/>
  <c i="18" r="U12"/>
  <c i="17" r="P28"/>
  <c i="17" r="T28"/>
  <c i="17" r="P29"/>
  <c i="17" r="T29"/>
  <c i="16" r="P28"/>
  <c i="16" r="T28"/>
  <c i="16" r="P29"/>
  <c i="16" r="T29"/>
  <c i="15" r="P28"/>
  <c i="15" r="T28"/>
  <c i="15" r="P29"/>
  <c i="15" r="T29"/>
  <c i="14" r="P28"/>
  <c i="14" r="T28"/>
  <c i="14" r="P29"/>
  <c i="14" r="T29"/>
  <c i="13" r="P28"/>
  <c i="13" r="T28"/>
  <c i="13" r="P29"/>
  <c i="13" r="T29"/>
  <c i="12" r="P28"/>
  <c i="12" r="T28"/>
  <c i="12" r="P29"/>
  <c i="12" r="T29"/>
  <c i="11" r="P28"/>
  <c i="11" r="T28"/>
  <c i="11" r="P29"/>
  <c i="11" r="T29"/>
  <c i="11" r="P30"/>
  <c i="11" r="T30"/>
  <c i="7" r="P28"/>
  <c i="7" r="T28"/>
  <c i="7" r="P29"/>
  <c i="7" r="T29"/>
  <c i="7" r="P30"/>
  <c i="7" r="T30"/>
  <c i="17" r="C28"/>
  <c i="17" r="G28"/>
  <c i="17" r="C29"/>
  <c i="17" r="G29"/>
  <c i="16" r="C28"/>
  <c i="16" r="G28"/>
  <c i="16" r="C29"/>
  <c i="16" r="G29"/>
  <c i="15" r="C28"/>
  <c i="15" r="G28"/>
  <c i="15" r="C29"/>
  <c i="15" r="G29"/>
  <c i="14" r="C28"/>
  <c i="14" r="G28"/>
  <c i="14" r="C29"/>
  <c i="14" r="G29"/>
  <c i="13" r="C28"/>
  <c i="13" r="G28"/>
  <c i="13" r="C29"/>
  <c i="13" r="G29"/>
  <c i="12" r="C28"/>
  <c i="12" r="G28"/>
  <c i="12" r="C29"/>
  <c i="12" r="G29"/>
  <c i="11" r="C28"/>
  <c i="11" r="G28"/>
  <c i="11" r="C29"/>
  <c i="11" r="G29"/>
  <c i="11" r="C30"/>
  <c i="11" r="G30"/>
  <c i="7" r="C28"/>
  <c i="7" r="G28"/>
  <c i="7" r="C29"/>
  <c i="7" r="G29"/>
  <c i="7" r="C30"/>
  <c i="7" r="G30"/>
  <c i="7" r="S30"/>
  <c i="17" r="N28"/>
  <c i="17" r="R28"/>
  <c i="17" r="N29"/>
  <c i="17" r="R29"/>
  <c i="16" r="N28"/>
  <c i="16" r="R28"/>
  <c i="16" r="N29"/>
  <c i="16" r="R29"/>
  <c i="15" r="N28"/>
  <c i="15" r="R28"/>
  <c i="15" r="N29"/>
  <c i="15" r="R29"/>
  <c i="14" r="N28"/>
  <c i="14" r="R28"/>
  <c i="14" r="N29"/>
  <c i="14" r="R29"/>
  <c i="13" r="N28"/>
  <c i="13" r="R28"/>
  <c i="13" r="N29"/>
  <c i="13" r="R29"/>
  <c i="12" r="N28"/>
  <c i="12" r="R28"/>
  <c i="12" r="N29"/>
  <c i="12" r="R29"/>
  <c i="11" r="N28"/>
  <c i="11" r="R28"/>
  <c i="11" r="N29"/>
  <c i="11" r="R29"/>
  <c i="11" r="N30"/>
  <c i="11" r="R30"/>
  <c i="7" r="N28"/>
  <c i="7" r="R28"/>
  <c i="7" r="N29"/>
  <c i="7" r="R29"/>
  <c i="7" r="N30"/>
  <c i="7" r="R30"/>
  <c i="17" r="E28"/>
  <c i="17" r="I28"/>
  <c i="17" r="E29"/>
  <c i="17" r="I29"/>
  <c i="16" r="E28"/>
  <c i="16" r="I28"/>
  <c i="16" r="E29"/>
  <c i="16" r="I29"/>
  <c i="15" r="E28"/>
  <c i="15" r="I28"/>
  <c i="15" r="E29"/>
  <c i="15" r="I29"/>
  <c i="14" r="E28"/>
  <c i="14" r="I28"/>
  <c i="14" r="E29"/>
  <c i="14" r="I29"/>
  <c i="13" r="E28"/>
  <c i="13" r="I28"/>
  <c i="13" r="E29"/>
  <c i="13" r="I29"/>
  <c i="12" r="E28"/>
  <c i="12" r="I28"/>
  <c i="12" r="E29"/>
  <c i="12" r="I29"/>
  <c i="11" r="E28"/>
  <c i="11" r="I28"/>
  <c i="11" r="E29"/>
  <c i="11" r="I29"/>
  <c i="11" r="E30"/>
  <c i="11" r="I30"/>
  <c i="7" r="E28"/>
  <c i="7" r="I28"/>
  <c i="7" r="E29"/>
  <c i="7" r="I29"/>
  <c i="7" r="E30"/>
  <c i="7" r="I30"/>
  <c i="18" r="T16"/>
  <c i="18" r="T33" s="1"/>
  <c i="18" r="Q16"/>
  <c i="18" r="Q33" s="1"/>
  <c i="18" r="O16"/>
  <c i="18" r="O33" s="1"/>
  <c i="12" r="C31"/>
  <c i="12" r="C25"/>
  <c i="12" r="C23"/>
  <c i="12" r="C32"/>
  <c i="12" r="C26"/>
  <c i="12" r="C33"/>
  <c i="12" r="C27"/>
  <c i="12" r="C24"/>
  <c i="12" r="C22"/>
  <c i="12" r="G31"/>
  <c i="12" r="G25"/>
  <c i="12" r="G23"/>
  <c i="12" r="G22"/>
  <c i="12" r="G32"/>
  <c i="12" r="G26"/>
  <c i="12" r="G33"/>
  <c i="12" r="G27"/>
  <c i="12" r="G24"/>
  <c i="12" r="N31"/>
  <c i="12" r="N25"/>
  <c i="12" r="N23"/>
  <c i="12" r="N32"/>
  <c i="12" r="N26"/>
  <c i="12" r="N33"/>
  <c i="12" r="N27"/>
  <c i="12" r="N24"/>
  <c i="12" r="N22"/>
  <c i="12" r="R31"/>
  <c i="12" r="R25"/>
  <c i="12" r="R23"/>
  <c i="12" r="R32"/>
  <c i="12" r="R26"/>
  <c i="12" r="R33"/>
  <c i="12" r="R27"/>
  <c i="12" r="R24"/>
  <c i="12" r="R22"/>
  <c i="13" r="C33"/>
  <c i="13" r="C27"/>
  <c i="13" r="C32"/>
  <c i="13" r="C25"/>
  <c i="13" r="C23"/>
  <c i="13" r="C31"/>
  <c i="13" r="C26"/>
  <c i="13" r="C24"/>
  <c i="13" r="C22"/>
  <c i="13" r="G33"/>
  <c i="13" r="G27"/>
  <c i="13" r="G31"/>
  <c i="13" r="G26"/>
  <c i="13" r="G25"/>
  <c i="13" r="G23"/>
  <c i="13" r="G24"/>
  <c i="13" r="G32"/>
  <c i="13" r="G22"/>
  <c i="13" r="N33"/>
  <c i="13" r="N27"/>
  <c i="13" r="N24"/>
  <c i="13" r="N23"/>
  <c i="13" r="N32"/>
  <c i="13" r="N22"/>
  <c i="13" r="N31"/>
  <c i="13" r="N26"/>
  <c i="13" r="N25"/>
  <c i="13" r="R33"/>
  <c i="13" r="R27"/>
  <c i="13" r="R24"/>
  <c i="13" r="R32"/>
  <c i="13" r="R22"/>
  <c i="13" r="R31"/>
  <c i="13" r="R26"/>
  <c i="13" r="R25"/>
  <c i="13" r="R23"/>
  <c i="14" r="C33"/>
  <c i="14" r="C27"/>
  <c i="14" r="C24"/>
  <c i="14" r="C31"/>
  <c i="14" r="C25"/>
  <c i="14" r="C32"/>
  <c i="14" r="C23"/>
  <c i="14" r="C22"/>
  <c i="14" r="C26"/>
  <c i="14" r="G33"/>
  <c i="14" r="G27"/>
  <c i="14" r="G24"/>
  <c i="14" r="G31"/>
  <c i="14" r="G25"/>
  <c i="14" r="G23"/>
  <c i="14" r="G26"/>
  <c i="14" r="G22"/>
  <c i="14" r="G32"/>
  <c i="14" r="N33"/>
  <c i="14" r="N27"/>
  <c i="14" r="N24"/>
  <c i="14" r="N31"/>
  <c i="14" r="N25"/>
  <c i="14" r="N23"/>
  <c i="14" r="N26"/>
  <c i="14" r="N22"/>
  <c i="14" r="N32"/>
  <c i="14" r="R33"/>
  <c i="14" r="R27"/>
  <c i="14" r="R24"/>
  <c i="14" r="R31"/>
  <c i="14" r="R25"/>
  <c i="14" r="R23"/>
  <c i="14" r="R22"/>
  <c i="14" r="R32"/>
  <c i="14" r="R26"/>
  <c i="15" r="C33"/>
  <c i="15" r="C27"/>
  <c i="15" r="C24"/>
  <c i="15" r="C31"/>
  <c i="15" r="C25"/>
  <c i="15" r="C23"/>
  <c i="15" r="C22"/>
  <c i="15" r="C32"/>
  <c i="15" r="C26"/>
  <c i="15" r="G33"/>
  <c i="15" r="G27"/>
  <c i="15" r="G24"/>
  <c i="15" r="G31"/>
  <c i="15" r="G25"/>
  <c i="15" r="G23"/>
  <c i="15" r="G26"/>
  <c i="15" r="G22"/>
  <c i="15" r="G32"/>
  <c i="15" r="N24"/>
  <c i="15" r="N32"/>
  <c i="15" r="N26"/>
  <c i="15" r="N23"/>
  <c i="15" r="N25"/>
  <c i="15" r="N27"/>
  <c i="15" r="N31"/>
  <c i="15" r="N22"/>
  <c i="15" r="N33"/>
  <c i="15" r="R24"/>
  <c i="15" r="R32"/>
  <c i="15" r="R26"/>
  <c i="15" r="R23"/>
  <c i="15" r="R31"/>
  <c i="15" r="R22"/>
  <c i="15" r="R33"/>
  <c i="15" r="R25"/>
  <c i="15" r="R27"/>
  <c i="16" r="C33"/>
  <c i="16" r="C27"/>
  <c i="16" r="C24"/>
  <c i="16" r="C31"/>
  <c i="16" r="C25"/>
  <c i="16" r="C23"/>
  <c i="16" r="C22"/>
  <c i="16" r="C32"/>
  <c i="16" r="C26"/>
  <c i="16" r="G33"/>
  <c i="16" r="G27"/>
  <c i="16" r="G24"/>
  <c i="16" r="G31"/>
  <c i="16" r="G25"/>
  <c i="16" r="G23"/>
  <c i="16" r="G26"/>
  <c i="16" r="G22"/>
  <c i="16" r="G32"/>
  <c i="16" r="N33"/>
  <c i="16" r="N27"/>
  <c i="16" r="N24"/>
  <c i="16" r="N31"/>
  <c i="16" r="N25"/>
  <c i="16" r="N23"/>
  <c i="16" r="N26"/>
  <c i="16" r="N22"/>
  <c i="16" r="N32"/>
  <c i="16" r="R33"/>
  <c i="16" r="R27"/>
  <c i="16" r="R24"/>
  <c i="16" r="R31"/>
  <c i="16" r="R25"/>
  <c i="16" r="R23"/>
  <c i="16" r="R22"/>
  <c i="16" r="R32"/>
  <c i="16" r="R26"/>
  <c i="17" r="C33"/>
  <c i="17" r="C27"/>
  <c i="17" r="C24"/>
  <c i="17" r="C31"/>
  <c i="17" r="C25"/>
  <c i="17" r="C23"/>
  <c i="17" r="C22"/>
  <c i="17" r="C32"/>
  <c i="17" r="C26"/>
  <c i="17" r="G33"/>
  <c i="17" r="G27"/>
  <c i="17" r="G24"/>
  <c i="17" r="G31"/>
  <c i="17" r="G25"/>
  <c i="17" r="G23"/>
  <c i="17" r="G26"/>
  <c i="17" r="G22"/>
  <c i="17" r="G32"/>
  <c i="17" r="N33"/>
  <c i="17" r="N27"/>
  <c i="17" r="N24"/>
  <c i="17" r="N31"/>
  <c i="17" r="N25"/>
  <c i="17" r="N23"/>
  <c i="17" r="N26"/>
  <c i="17" r="N22"/>
  <c i="17" r="N32"/>
  <c i="17" r="R33"/>
  <c i="17" r="R27"/>
  <c i="17" r="R24"/>
  <c i="17" r="R31"/>
  <c i="17" r="R25"/>
  <c i="17" r="R23"/>
  <c i="17" r="R22"/>
  <c i="17" r="R32"/>
  <c i="17" r="R26"/>
  <c i="7" r="E22"/>
  <c i="7" r="I22"/>
  <c i="7" r="D23"/>
  <c i="7" r="H23"/>
  <c i="7" r="B24"/>
  <c i="7" r="F24"/>
  <c i="7" r="D25"/>
  <c i="7" r="H25"/>
  <c i="7" r="C26"/>
  <c i="7" r="G26"/>
  <c i="7" r="B27"/>
  <c i="7" r="F27"/>
  <c i="7" r="D31"/>
  <c i="7" r="H31"/>
  <c i="7" r="C32"/>
  <c i="7" r="G32"/>
  <c i="7" r="B33"/>
  <c i="7" r="F33"/>
  <c i="7" r="P22"/>
  <c i="7" r="T22"/>
  <c i="7" r="O23"/>
  <c i="7" r="S23"/>
  <c i="7" r="M24"/>
  <c i="7" r="Q24"/>
  <c i="7" r="O25"/>
  <c i="7" r="S25"/>
  <c i="7" r="N26"/>
  <c i="7" r="R26"/>
  <c i="7" r="M27"/>
  <c i="7" r="Q27"/>
  <c i="7" r="O31"/>
  <c i="7" r="S31"/>
  <c i="7" r="N32"/>
  <c i="7" r="R32"/>
  <c i="7" r="M33"/>
  <c i="7" r="Q33"/>
  <c i="11" r="E22"/>
  <c i="11" r="I22"/>
  <c i="11" r="D23"/>
  <c i="11" r="H23"/>
  <c i="11" r="B24"/>
  <c i="11" r="F24"/>
  <c i="11" r="D25"/>
  <c i="11" r="H25"/>
  <c i="11" r="C26"/>
  <c i="11" r="G26"/>
  <c i="11" r="B27"/>
  <c i="11" r="F27"/>
  <c i="11" r="D31"/>
  <c i="11" r="H31"/>
  <c i="11" r="C32"/>
  <c i="11" r="G32"/>
  <c i="11" r="B33"/>
  <c i="11" r="F33"/>
  <c i="11" r="P22"/>
  <c i="11" r="T22"/>
  <c i="11" r="O23"/>
  <c i="11" r="S23"/>
  <c i="11" r="M24"/>
  <c i="11" r="Q24"/>
  <c i="11" r="O25"/>
  <c i="11" r="S25"/>
  <c i="11" r="N26"/>
  <c i="11" r="R26"/>
  <c i="11" r="M27"/>
  <c i="11" r="Q27"/>
  <c i="11" r="O31"/>
  <c i="11" r="S31"/>
  <c i="11" r="N32"/>
  <c i="11" r="R32"/>
  <c i="11" r="M33"/>
  <c i="11" r="Q33"/>
  <c i="12" r="F32"/>
  <c i="12" r="F26"/>
  <c i="12" r="F33"/>
  <c i="12" r="F27"/>
  <c i="12" r="F24"/>
  <c i="12" r="F23"/>
  <c i="12" r="F22"/>
  <c i="12" r="F25"/>
  <c i="12" r="F31"/>
  <c i="12" r="M32"/>
  <c i="12" r="M26"/>
  <c i="12" r="M33"/>
  <c i="12" r="M27"/>
  <c i="12" r="M24"/>
  <c i="12" r="M22"/>
  <c i="12" r="M31"/>
  <c i="12" r="M25"/>
  <c i="12" r="M23"/>
  <c i="12" r="Q32"/>
  <c i="12" r="Q26"/>
  <c i="12" r="Q33"/>
  <c i="12" r="Q27"/>
  <c i="12" r="Q24"/>
  <c i="12" r="Q22"/>
  <c i="12" r="Q31"/>
  <c i="12" r="Q25"/>
  <c i="12" r="Q23"/>
  <c i="13" r="B31"/>
  <c i="13" r="B26"/>
  <c i="13" r="B24"/>
  <c i="13" r="B33"/>
  <c i="13" r="B22"/>
  <c i="13" r="B32"/>
  <c i="13" r="B27"/>
  <c i="13" r="B25"/>
  <c i="13" r="B23"/>
  <c i="13" r="F33"/>
  <c i="13" r="F24"/>
  <c i="13" r="F32"/>
  <c i="13" r="F27"/>
  <c i="13" r="F22"/>
  <c i="13" r="F31"/>
  <c i="13" r="F26"/>
  <c i="13" r="F25"/>
  <c i="13" r="F23"/>
  <c i="13" r="M22"/>
  <c i="13" r="M32"/>
  <c i="13" r="M27"/>
  <c i="13" r="M31"/>
  <c i="13" r="M26"/>
  <c i="13" r="M24"/>
  <c i="13" r="M25"/>
  <c i="13" r="M33"/>
  <c i="13" r="M23"/>
  <c i="13" r="Q22"/>
  <c i="13" r="Q31"/>
  <c i="13" r="Q26"/>
  <c i="13" r="Q24"/>
  <c i="13" r="Q25"/>
  <c i="13" r="Q33"/>
  <c i="13" r="Q23"/>
  <c i="13" r="Q32"/>
  <c i="13" r="Q27"/>
  <c i="14" r="B22"/>
  <c i="14" r="B32"/>
  <c i="14" r="B26"/>
  <c i="14" r="B31"/>
  <c i="14" r="B23"/>
  <c i="14" r="B33"/>
  <c i="14" r="B25"/>
  <c i="14" r="B24"/>
  <c i="14" r="B27"/>
  <c i="14" r="F22"/>
  <c i="14" r="F32"/>
  <c i="14" r="F26"/>
  <c i="14" r="F25"/>
  <c i="14" r="F27"/>
  <c i="14" r="F24"/>
  <c i="14" r="F31"/>
  <c i="14" r="F33"/>
  <c i="14" r="F23"/>
  <c i="14" r="M22"/>
  <c i="14" r="M32"/>
  <c i="14" r="M26"/>
  <c i="14" r="M25"/>
  <c i="14" r="M27"/>
  <c i="14" r="M31"/>
  <c i="14" r="M23"/>
  <c i="14" r="M33"/>
  <c i="14" r="M24"/>
  <c i="14" r="Q22"/>
  <c i="14" r="Q32"/>
  <c i="14" r="Q26"/>
  <c i="14" r="Q31"/>
  <c i="14" r="Q23"/>
  <c i="14" r="Q33"/>
  <c i="14" r="Q24"/>
  <c i="14" r="Q25"/>
  <c i="14" r="Q27"/>
  <c i="15" r="B22"/>
  <c i="15" r="B32"/>
  <c i="15" r="B26"/>
  <c i="15" r="B31"/>
  <c i="15" r="B23"/>
  <c i="15" r="B33"/>
  <c i="15" r="B24"/>
  <c i="15" r="B25"/>
  <c i="15" r="B27"/>
  <c i="15" r="F22"/>
  <c i="15" r="F32"/>
  <c i="15" r="F26"/>
  <c i="15" r="F25"/>
  <c i="15" r="F27"/>
  <c i="15" r="F31"/>
  <c i="15" r="F23"/>
  <c i="15" r="F33"/>
  <c i="15" r="F24"/>
  <c i="15" r="M31"/>
  <c i="15" r="M25"/>
  <c i="15" r="M22"/>
  <c i="15" r="M33"/>
  <c i="15" r="M27"/>
  <c i="15" r="M26"/>
  <c i="15" r="M32"/>
  <c i="15" r="M23"/>
  <c i="15" r="M24"/>
  <c i="15" r="Q31"/>
  <c i="15" r="Q25"/>
  <c i="15" r="Q22"/>
  <c i="15" r="Q33"/>
  <c i="15" r="Q27"/>
  <c i="15" r="Q32"/>
  <c i="15" r="Q23"/>
  <c i="15" r="Q24"/>
  <c i="15" r="Q26"/>
  <c i="16" r="B22"/>
  <c i="16" r="B32"/>
  <c i="16" r="B26"/>
  <c i="16" r="B31"/>
  <c i="16" r="B23"/>
  <c i="16" r="B33"/>
  <c i="16" r="B24"/>
  <c i="16" r="B25"/>
  <c i="16" r="B27"/>
  <c i="16" r="F22"/>
  <c i="16" r="F32"/>
  <c i="16" r="F26"/>
  <c i="16" r="F25"/>
  <c i="16" r="F27"/>
  <c i="16" r="F31"/>
  <c i="16" r="F23"/>
  <c i="16" r="F33"/>
  <c i="16" r="F24"/>
  <c i="16" r="M22"/>
  <c i="16" r="M32"/>
  <c i="16" r="M26"/>
  <c i="16" r="M25"/>
  <c i="16" r="M27"/>
  <c i="16" r="M31"/>
  <c i="16" r="M23"/>
  <c i="16" r="M33"/>
  <c i="16" r="M24"/>
  <c i="16" r="Q22"/>
  <c i="16" r="Q32"/>
  <c i="16" r="Q26"/>
  <c i="16" r="Q31"/>
  <c i="16" r="Q23"/>
  <c i="16" r="Q33"/>
  <c i="16" r="Q24"/>
  <c i="16" r="Q25"/>
  <c i="16" r="Q27"/>
  <c i="17" r="B22"/>
  <c i="17" r="B32"/>
  <c i="17" r="B26"/>
  <c i="17" r="B31"/>
  <c i="17" r="B23"/>
  <c i="17" r="B33"/>
  <c i="17" r="B24"/>
  <c i="17" r="B25"/>
  <c i="17" r="B27"/>
  <c i="17" r="F22"/>
  <c i="17" r="F32"/>
  <c i="17" r="F26"/>
  <c i="17" r="F25"/>
  <c i="17" r="F27"/>
  <c i="17" r="F31"/>
  <c i="17" r="F23"/>
  <c i="17" r="F33"/>
  <c i="17" r="F24"/>
  <c i="17" r="M22"/>
  <c i="17" r="M32"/>
  <c i="17" r="M26"/>
  <c i="17" r="M25"/>
  <c i="17" r="M27"/>
  <c i="17" r="M31"/>
  <c i="17" r="M23"/>
  <c i="17" r="M33"/>
  <c i="17" r="M24"/>
  <c i="17" r="Q22"/>
  <c i="17" r="Q32"/>
  <c i="17" r="Q26"/>
  <c i="17" r="Q31"/>
  <c i="17" r="Q23"/>
  <c i="17" r="Q33"/>
  <c i="17" r="Q24"/>
  <c i="17" r="Q25"/>
  <c i="17" r="Q27"/>
  <c i="7" r="D22"/>
  <c i="7" r="H22"/>
  <c i="7" r="C23"/>
  <c i="7" r="G23"/>
  <c i="7" r="E24"/>
  <c i="7" r="I24"/>
  <c i="7" r="C25"/>
  <c i="7" r="G25"/>
  <c i="7" r="B26"/>
  <c i="7" r="F26"/>
  <c i="7" r="E27"/>
  <c i="7" r="I27"/>
  <c i="7" r="C31"/>
  <c i="7" r="G31"/>
  <c i="7" r="B32"/>
  <c i="7" r="F32"/>
  <c i="7" r="E33"/>
  <c i="7" r="I33"/>
  <c i="7" r="O22"/>
  <c i="7" r="S22"/>
  <c i="7" r="N23"/>
  <c i="7" r="R23"/>
  <c i="7" r="P24"/>
  <c i="7" r="T24"/>
  <c i="7" r="N25"/>
  <c i="7" r="R25"/>
  <c i="7" r="M26"/>
  <c i="7" r="Q26"/>
  <c i="7" r="P27"/>
  <c i="7" r="T27"/>
  <c i="7" r="N31"/>
  <c i="7" r="R31"/>
  <c i="7" r="M32"/>
  <c i="7" r="Q32"/>
  <c i="7" r="P33"/>
  <c i="7" r="T33"/>
  <c i="11" r="D22"/>
  <c i="11" r="H22"/>
  <c i="11" r="C23"/>
  <c i="11" r="G23"/>
  <c i="11" r="E24"/>
  <c i="11" r="I24"/>
  <c i="11" r="C25"/>
  <c i="11" r="G25"/>
  <c i="11" r="B26"/>
  <c i="11" r="F26"/>
  <c i="11" r="E27"/>
  <c i="11" r="I27"/>
  <c i="11" r="C31"/>
  <c i="11" r="G31"/>
  <c i="11" r="B32"/>
  <c i="11" r="F32"/>
  <c i="11" r="E33"/>
  <c i="11" r="I33"/>
  <c i="11" r="O22"/>
  <c i="11" r="S22"/>
  <c i="11" r="N23"/>
  <c i="11" r="R23"/>
  <c i="11" r="P24"/>
  <c i="11" r="T24"/>
  <c i="11" r="N25"/>
  <c i="11" r="R25"/>
  <c i="11" r="M26"/>
  <c i="11" r="Q26"/>
  <c i="11" r="P27"/>
  <c i="11" r="T27"/>
  <c i="11" r="N31"/>
  <c i="11" r="R31"/>
  <c i="11" r="M32"/>
  <c i="11" r="Q32"/>
  <c i="11" r="P33"/>
  <c i="11" r="T33"/>
  <c i="12" r="B32"/>
  <c i="12" r="B26"/>
  <c i="12" r="B24"/>
  <c i="12" r="B33"/>
  <c i="12" r="B27"/>
  <c i="12" r="B22"/>
  <c i="12" r="B23"/>
  <c i="12" r="B31"/>
  <c i="12" r="B25"/>
  <c i="12" r="E33"/>
  <c i="12" r="E27"/>
  <c i="12" r="E24"/>
  <c i="12" r="E22"/>
  <c i="12" r="E31"/>
  <c i="12" r="E25"/>
  <c i="12" r="E23"/>
  <c i="12" r="E32"/>
  <c i="12" r="E26"/>
  <c i="12" r="I33"/>
  <c i="12" r="I27"/>
  <c i="12" r="I24"/>
  <c i="12" r="I22"/>
  <c i="12" r="I31"/>
  <c i="12" r="I25"/>
  <c i="12" r="I23"/>
  <c i="12" r="I26"/>
  <c i="12" r="I32"/>
  <c i="12" r="P33"/>
  <c i="12" r="P27"/>
  <c i="12" r="P24"/>
  <c i="12" r="P22"/>
  <c i="12" r="P31"/>
  <c i="12" r="P25"/>
  <c i="12" r="P23"/>
  <c i="12" r="P32"/>
  <c i="12" r="P26"/>
  <c i="12" r="T33"/>
  <c i="12" r="T27"/>
  <c i="12" r="T24"/>
  <c i="12" r="T22"/>
  <c i="12" r="T31"/>
  <c i="12" r="T25"/>
  <c i="12" r="T23"/>
  <c i="12" r="T32"/>
  <c i="12" r="T26"/>
  <c i="13" r="E31"/>
  <c i="13" r="E33"/>
  <c i="13" r="E24"/>
  <c i="13" r="E32"/>
  <c i="13" r="E27"/>
  <c i="13" r="E22"/>
  <c i="13" r="E26"/>
  <c i="13" r="E25"/>
  <c i="13" r="E23"/>
  <c i="13" r="I31"/>
  <c i="13" r="I32"/>
  <c i="13" r="I27"/>
  <c i="13" r="I24"/>
  <c i="13" r="I26"/>
  <c i="13" r="I22"/>
  <c i="13" r="I25"/>
  <c i="13" r="I23"/>
  <c i="13" r="I33"/>
  <c i="13" r="P31"/>
  <c i="13" r="P25"/>
  <c i="13" r="P23"/>
  <c i="13" r="P33"/>
  <c i="13" r="P32"/>
  <c i="13" r="P27"/>
  <c i="13" r="P26"/>
  <c i="13" r="P24"/>
  <c i="13" r="P22"/>
  <c i="13" r="T31"/>
  <c i="13" r="T25"/>
  <c i="13" r="T23"/>
  <c i="13" r="T33"/>
  <c i="13" r="T32"/>
  <c i="13" r="T27"/>
  <c i="13" r="T26"/>
  <c i="13" r="T24"/>
  <c i="13" r="T22"/>
  <c i="14" r="E31"/>
  <c i="14" r="E25"/>
  <c i="14" r="E23"/>
  <c i="14" r="E33"/>
  <c i="14" r="E27"/>
  <c i="14" r="E26"/>
  <c i="14" r="E24"/>
  <c i="14" r="E22"/>
  <c i="14" r="E32"/>
  <c i="14" r="I31"/>
  <c i="14" r="I25"/>
  <c i="14" r="I23"/>
  <c i="14" r="I33"/>
  <c i="14" r="I27"/>
  <c i="14" r="I32"/>
  <c i="14" r="I26"/>
  <c i="14" r="I24"/>
  <c i="14" r="I22"/>
  <c i="14" r="P31"/>
  <c i="14" r="P25"/>
  <c i="14" r="P23"/>
  <c i="14" r="P33"/>
  <c i="14" r="P27"/>
  <c i="14" r="P24"/>
  <c i="14" r="P32"/>
  <c i="14" r="P26"/>
  <c i="14" r="P22"/>
  <c i="14" r="T31"/>
  <c i="14" r="T25"/>
  <c i="14" r="T23"/>
  <c i="14" r="T33"/>
  <c i="14" r="T27"/>
  <c i="14" r="T24"/>
  <c i="14" r="T26"/>
  <c i="14" r="T22"/>
  <c i="14" r="T32"/>
  <c i="15" r="E31"/>
  <c i="15" r="E25"/>
  <c i="15" r="E23"/>
  <c i="15" r="E33"/>
  <c i="15" r="E27"/>
  <c i="15" r="E24"/>
  <c i="15" r="E26"/>
  <c i="15" r="E22"/>
  <c i="15" r="E32"/>
  <c i="15" r="I31"/>
  <c i="15" r="I25"/>
  <c i="15" r="I23"/>
  <c i="15" r="I33"/>
  <c i="15" r="I27"/>
  <c i="15" r="I24"/>
  <c i="15" r="I32"/>
  <c i="15" r="I26"/>
  <c i="15" r="I22"/>
  <c i="15" r="P32"/>
  <c i="15" r="P26"/>
  <c i="15" r="P23"/>
  <c i="15" r="P24"/>
  <c i="15" r="P33"/>
  <c i="15" r="P25"/>
  <c i="15" r="P27"/>
  <c i="15" r="P31"/>
  <c i="15" r="P22"/>
  <c i="15" r="T32"/>
  <c i="15" r="T26"/>
  <c i="15" r="T23"/>
  <c i="15" r="T24"/>
  <c i="15" r="T27"/>
  <c i="15" r="T31"/>
  <c i="15" r="T22"/>
  <c i="15" r="T33"/>
  <c i="15" r="T25"/>
  <c i="16" r="E31"/>
  <c i="16" r="E25"/>
  <c i="16" r="E23"/>
  <c i="16" r="E33"/>
  <c i="16" r="E27"/>
  <c i="16" r="E24"/>
  <c i="16" r="E26"/>
  <c i="16" r="E22"/>
  <c i="16" r="E32"/>
  <c i="16" r="I31"/>
  <c i="16" r="I25"/>
  <c i="16" r="I23"/>
  <c i="16" r="I33"/>
  <c i="16" r="I27"/>
  <c i="16" r="I24"/>
  <c i="16" r="I32"/>
  <c i="16" r="I26"/>
  <c i="16" r="I22"/>
  <c i="16" r="P31"/>
  <c i="16" r="P25"/>
  <c i="16" r="P23"/>
  <c i="16" r="P33"/>
  <c i="16" r="P27"/>
  <c i="16" r="P24"/>
  <c i="16" r="P32"/>
  <c i="16" r="P26"/>
  <c i="16" r="P22"/>
  <c i="16" r="T31"/>
  <c i="16" r="T25"/>
  <c i="16" r="T23"/>
  <c i="16" r="T33"/>
  <c i="16" r="T27"/>
  <c i="16" r="T24"/>
  <c i="16" r="T26"/>
  <c i="16" r="T22"/>
  <c i="16" r="T32"/>
  <c i="17" r="E31"/>
  <c i="17" r="E25"/>
  <c i="17" r="E23"/>
  <c i="17" r="E33"/>
  <c i="17" r="E27"/>
  <c i="17" r="E24"/>
  <c i="17" r="E26"/>
  <c i="17" r="E22"/>
  <c i="17" r="E32"/>
  <c i="17" r="I31"/>
  <c i="17" r="I25"/>
  <c i="17" r="I23"/>
  <c i="17" r="I33"/>
  <c i="17" r="I27"/>
  <c i="17" r="I24"/>
  <c i="17" r="I32"/>
  <c i="17" r="I26"/>
  <c i="17" r="I22"/>
  <c i="17" r="P31"/>
  <c i="17" r="P25"/>
  <c i="17" r="P23"/>
  <c i="17" r="P33"/>
  <c i="17" r="P27"/>
  <c i="17" r="P24"/>
  <c i="17" r="P32"/>
  <c i="17" r="P26"/>
  <c i="17" r="P22"/>
  <c i="17" r="T31"/>
  <c i="17" r="T25"/>
  <c i="17" r="T23"/>
  <c i="17" r="T33"/>
  <c i="17" r="T27"/>
  <c i="17" r="T24"/>
  <c i="17" r="T26"/>
  <c i="17" r="T22"/>
  <c i="17" r="T32"/>
  <c i="7" r="C22"/>
  <c i="7" r="G22"/>
  <c i="7" r="B23"/>
  <c i="7" r="F23"/>
  <c i="7" r="D24"/>
  <c i="7" r="H24"/>
  <c i="7" r="B25"/>
  <c i="7" r="F25"/>
  <c i="7" r="E26"/>
  <c i="7" r="I26"/>
  <c i="7" r="D27"/>
  <c i="7" r="H27"/>
  <c i="7" r="B31"/>
  <c i="7" r="F31"/>
  <c i="7" r="E32"/>
  <c i="7" r="I32"/>
  <c i="7" r="D33"/>
  <c i="7" r="H33"/>
  <c i="7" r="N22"/>
  <c i="7" r="R22"/>
  <c i="7" r="M23"/>
  <c i="7" r="Q23"/>
  <c i="7" r="O24"/>
  <c i="7" r="S24"/>
  <c i="7" r="M25"/>
  <c i="7" r="Q25"/>
  <c i="7" r="P26"/>
  <c i="7" r="T26"/>
  <c i="7" r="O27"/>
  <c i="7" r="S27"/>
  <c i="7" r="M31"/>
  <c i="7" r="Q31"/>
  <c i="7" r="P32"/>
  <c i="7" r="T32"/>
  <c i="7" r="O33"/>
  <c i="7" r="S33"/>
  <c i="11" r="C22"/>
  <c i="11" r="G22"/>
  <c i="11" r="B23"/>
  <c i="11" r="F23"/>
  <c i="11" r="D24"/>
  <c i="11" r="H24"/>
  <c i="11" r="B25"/>
  <c i="11" r="F25"/>
  <c i="11" r="E26"/>
  <c i="11" r="I26"/>
  <c i="11" r="D27"/>
  <c i="11" r="H27"/>
  <c i="11" r="B31"/>
  <c i="11" r="F31"/>
  <c i="11" r="E32"/>
  <c i="11" r="I32"/>
  <c i="11" r="D33"/>
  <c i="11" r="H33"/>
  <c i="11" r="N22"/>
  <c i="11" r="R22"/>
  <c i="11" r="M23"/>
  <c i="11" r="Q23"/>
  <c i="11" r="O24"/>
  <c i="11" r="S24"/>
  <c i="11" r="M25"/>
  <c i="11" r="Q25"/>
  <c i="11" r="P26"/>
  <c i="11" r="T26"/>
  <c i="11" r="O27"/>
  <c i="11" r="S27"/>
  <c i="11" r="M31"/>
  <c i="11" r="Q31"/>
  <c i="11" r="P32"/>
  <c i="11" r="T32"/>
  <c i="11" r="O33"/>
  <c i="11" r="S33"/>
  <c i="12" r="D22"/>
  <c i="12" r="D31"/>
  <c i="12" r="D25"/>
  <c i="12" r="D23"/>
  <c i="12" r="D32"/>
  <c i="12" r="D26"/>
  <c i="12" r="D33"/>
  <c i="12" r="D27"/>
  <c i="12" r="D24"/>
  <c i="12" r="H22"/>
  <c i="12" r="H23"/>
  <c i="12" r="H31"/>
  <c i="12" r="H25"/>
  <c i="12" r="H24"/>
  <c i="12" r="H32"/>
  <c i="12" r="H26"/>
  <c i="12" r="H33"/>
  <c i="12" r="H27"/>
  <c i="12" r="O22"/>
  <c i="12" r="O31"/>
  <c i="12" r="O25"/>
  <c i="12" r="O23"/>
  <c i="12" r="O32"/>
  <c i="12" r="O26"/>
  <c i="12" r="O33"/>
  <c i="12" r="O27"/>
  <c i="12" r="O24"/>
  <c i="12" r="S22"/>
  <c i="12" r="S31"/>
  <c i="12" r="S25"/>
  <c i="12" r="S23"/>
  <c i="12" r="S32"/>
  <c i="12" r="S26"/>
  <c i="12" r="S33"/>
  <c i="12" r="S27"/>
  <c i="12" r="S24"/>
  <c i="13" r="D32"/>
  <c i="13" r="D26"/>
  <c i="13" r="D27"/>
  <c i="13" r="D22"/>
  <c i="13" r="D25"/>
  <c i="13" r="D23"/>
  <c i="13" r="D31"/>
  <c i="13" r="D33"/>
  <c i="13" r="D24"/>
  <c i="13" r="H32"/>
  <c i="13" r="H26"/>
  <c i="13" r="H22"/>
  <c i="13" r="H31"/>
  <c i="13" r="H25"/>
  <c i="13" r="H23"/>
  <c i="13" r="H33"/>
  <c i="13" r="H27"/>
  <c i="13" r="H24"/>
  <c i="13" r="O32"/>
  <c i="13" r="O26"/>
  <c i="13" r="O33"/>
  <c i="13" r="O25"/>
  <c i="13" r="O27"/>
  <c i="13" r="O23"/>
  <c i="13" r="O24"/>
  <c i="13" r="O22"/>
  <c i="13" r="O31"/>
  <c i="13" r="S32"/>
  <c i="13" r="S26"/>
  <c i="13" r="S27"/>
  <c i="13" r="S23"/>
  <c i="13" r="S24"/>
  <c i="13" r="S22"/>
  <c i="13" r="S31"/>
  <c i="13" r="S33"/>
  <c i="13" r="S25"/>
  <c i="14" r="D32"/>
  <c i="14" r="D26"/>
  <c i="14" r="D27"/>
  <c i="14" r="D31"/>
  <c i="14" r="D33"/>
  <c i="14" r="D23"/>
  <c i="14" r="D25"/>
  <c i="14" r="D24"/>
  <c i="14" r="D22"/>
  <c i="14" r="H32"/>
  <c i="14" r="H26"/>
  <c i="14" r="H33"/>
  <c i="14" r="H25"/>
  <c i="14" r="H23"/>
  <c i="14" r="H27"/>
  <c i="14" r="H24"/>
  <c i="14" r="H22"/>
  <c i="14" r="H31"/>
  <c i="14" r="O32"/>
  <c i="14" r="O26"/>
  <c i="14" r="O22"/>
  <c i="14" r="O33"/>
  <c i="14" r="O24"/>
  <c i="14" r="O25"/>
  <c i="14" r="O27"/>
  <c i="14" r="O31"/>
  <c i="14" r="O23"/>
  <c i="14" r="S32"/>
  <c i="14" r="S26"/>
  <c i="14" r="S22"/>
  <c i="14" r="S27"/>
  <c i="14" r="S31"/>
  <c i="14" r="S23"/>
  <c i="14" r="S33"/>
  <c i="14" r="S24"/>
  <c i="14" r="S25"/>
  <c i="15" r="D32"/>
  <c i="15" r="D26"/>
  <c i="15" r="D22"/>
  <c i="15" r="D27"/>
  <c i="15" r="D31"/>
  <c i="15" r="D23"/>
  <c i="15" r="D33"/>
  <c i="15" r="D24"/>
  <c i="15" r="D25"/>
  <c i="15" r="H32"/>
  <c i="15" r="H26"/>
  <c i="15" r="H22"/>
  <c i="15" r="H33"/>
  <c i="15" r="H24"/>
  <c i="15" r="H25"/>
  <c i="15" r="H27"/>
  <c i="15" r="H31"/>
  <c i="15" r="H23"/>
  <c i="15" r="O33"/>
  <c i="15" r="O27"/>
  <c i="15" r="O31"/>
  <c i="15" r="O25"/>
  <c i="15" r="O22"/>
  <c i="15" r="O24"/>
  <c i="15" r="O26"/>
  <c i="15" r="O32"/>
  <c i="15" r="O23"/>
  <c i="15" r="S33"/>
  <c i="15" r="S27"/>
  <c i="15" r="S31"/>
  <c i="15" r="S25"/>
  <c i="15" r="S22"/>
  <c i="15" r="S32"/>
  <c i="15" r="S23"/>
  <c i="15" r="S24"/>
  <c i="15" r="S26"/>
  <c i="16" r="D32"/>
  <c i="16" r="D26"/>
  <c i="16" r="D22"/>
  <c i="16" r="D27"/>
  <c i="16" r="D31"/>
  <c i="16" r="D23"/>
  <c i="16" r="D33"/>
  <c i="16" r="D24"/>
  <c i="16" r="D25"/>
  <c i="16" r="H32"/>
  <c i="16" r="H26"/>
  <c i="16" r="H22"/>
  <c i="16" r="H33"/>
  <c i="16" r="H24"/>
  <c i="16" r="H25"/>
  <c i="16" r="H27"/>
  <c i="16" r="H31"/>
  <c i="16" r="H23"/>
  <c i="16" r="O32"/>
  <c i="16" r="O26"/>
  <c i="16" r="O22"/>
  <c i="16" r="O33"/>
  <c i="16" r="O24"/>
  <c i="16" r="O25"/>
  <c i="16" r="O27"/>
  <c i="16" r="O31"/>
  <c i="16" r="O23"/>
  <c i="16" r="S32"/>
  <c i="16" r="S26"/>
  <c i="16" r="S22"/>
  <c i="16" r="S27"/>
  <c i="16" r="S31"/>
  <c i="16" r="S23"/>
  <c i="16" r="S33"/>
  <c i="16" r="S24"/>
  <c i="16" r="S25"/>
  <c i="17" r="D32"/>
  <c i="17" r="D26"/>
  <c i="17" r="D22"/>
  <c i="17" r="D27"/>
  <c i="17" r="D31"/>
  <c i="17" r="D23"/>
  <c i="17" r="D33"/>
  <c i="17" r="D24"/>
  <c i="17" r="D25"/>
  <c i="17" r="H32"/>
  <c i="17" r="H26"/>
  <c i="17" r="H22"/>
  <c i="17" r="H33"/>
  <c i="17" r="H24"/>
  <c i="17" r="H25"/>
  <c i="17" r="H27"/>
  <c i="17" r="H31"/>
  <c i="17" r="H23"/>
  <c i="17" r="O32"/>
  <c i="17" r="O26"/>
  <c i="17" r="O22"/>
  <c i="17" r="O33"/>
  <c i="17" r="O24"/>
  <c i="17" r="O25"/>
  <c i="17" r="O27"/>
  <c i="17" r="O31"/>
  <c i="17" r="O23"/>
  <c i="17" r="S32"/>
  <c i="17" r="S26"/>
  <c i="17" r="S22"/>
  <c i="17" r="S27"/>
  <c i="17" r="S31"/>
  <c i="17" r="S23"/>
  <c i="17" r="S33"/>
  <c i="17" r="S24"/>
  <c i="17" r="S25"/>
  <c i="7" r="B22"/>
  <c i="7" r="F22"/>
  <c i="7" r="E23"/>
  <c i="7" r="I23"/>
  <c i="7" r="C24"/>
  <c i="7" r="G24"/>
  <c i="7" r="E25"/>
  <c i="7" r="I25"/>
  <c i="7" r="D26"/>
  <c i="7" r="H26"/>
  <c i="7" r="C27"/>
  <c i="7" r="G27"/>
  <c i="7" r="M22"/>
  <c i="7" r="Q22"/>
  <c i="7" r="P23"/>
  <c i="7" r="T23"/>
  <c i="7" r="N24"/>
  <c i="7" r="R24"/>
  <c i="7" r="P25"/>
  <c i="7" r="T25"/>
  <c i="7" r="O26"/>
  <c i="7" r="S26"/>
  <c i="7" r="N27"/>
  <c i="7" r="R27"/>
  <c i="11" r="B22"/>
  <c i="11" r="F22"/>
  <c i="11" r="E23"/>
  <c i="11" r="I23"/>
  <c i="11" r="C24"/>
  <c i="11" r="G24"/>
  <c i="11" r="E25"/>
  <c i="11" r="I25"/>
  <c i="11" r="D26"/>
  <c i="11" r="H26"/>
  <c i="11" r="C27"/>
  <c i="11" r="G27"/>
  <c i="11" r="M22"/>
  <c i="11" r="Q22"/>
  <c i="11" r="P23"/>
  <c i="11" r="T23"/>
  <c i="11" r="N24"/>
  <c i="11" r="R24"/>
  <c i="11" r="P25"/>
  <c i="11" r="T25"/>
  <c i="11" r="O26"/>
  <c i="11" r="S26"/>
  <c i="11" r="N27"/>
  <c i="11" r="R27"/>
  <c i="7" r="J16"/>
  <c i="7" r="J29" s="1"/>
  <c i="18" r="U5"/>
  <c i="18" r="U14"/>
  <c i="18" r="P16"/>
  <c i="18" r="P33" s="1"/>
  <c i="18" r="D16"/>
  <c i="18" r="D33" s="1"/>
  <c i="18" r="U6"/>
  <c i="18" r="U7"/>
  <c i="18" r="U8"/>
  <c i="18" r="U9"/>
  <c i="18" r="U10"/>
  <c i="18" r="U15"/>
  <c i="18" r="J6"/>
  <c i="18" r="J7"/>
  <c i="18" r="J8"/>
  <c i="18" r="J9"/>
  <c i="18" r="J10"/>
  <c i="18" r="J14"/>
  <c i="18" r="J15"/>
  <c i="18" r="H16"/>
  <c i="18" r="H33" s="1"/>
  <c i="18" r="J5"/>
  <c i="17" r="J16"/>
  <c i="17" r="J28" s="1"/>
  <c i="17" r="U16"/>
  <c i="17" r="U26" s="1"/>
  <c i="16" r="J16"/>
  <c i="16" r="J29" s="1"/>
  <c i="16" r="U16"/>
  <c i="15" r="J16"/>
  <c i="15" r="U16"/>
  <c i="14" r="J16"/>
  <c i="14" r="J29" s="1"/>
  <c i="14" r="U16"/>
  <c i="14" r="U30" s="1"/>
  <c i="13" r="J16"/>
  <c i="13" r="J30" s="1"/>
  <c i="13" r="U16"/>
  <c i="13" r="U26" s="1"/>
  <c i="12" r="J16"/>
  <c i="12" r="J30" s="1"/>
  <c i="12" r="U16"/>
  <c i="11" r="J16"/>
  <c i="11" r="J22" s="1"/>
  <c i="11" r="U16"/>
  <c i="11" r="U30" s="1"/>
  <c i="7" r="U16"/>
  <c i="7" r="U30" s="1"/>
  <c i="13" l="1" r="S45"/>
  <c i="18" r="N32"/>
  <c i="18" r="N22"/>
  <c i="18" r="G27"/>
  <c i="18" r="M31"/>
  <c i="18" r="M25"/>
  <c i="18" r="N25"/>
  <c i="18" r="B32"/>
  <c i="18" r="E23"/>
  <c i="18" r="E24"/>
  <c i="18" r="I22"/>
  <c i="18" r="F26"/>
  <c i="18" r="M23"/>
  <c i="18" r="R32"/>
  <c i="18" r="G32"/>
  <c i="18" r="M27"/>
  <c i="18" r="R27"/>
  <c i="18" r="R22"/>
  <c i="18" r="B31"/>
  <c i="18" r="N31"/>
  <c i="18" r="Q23"/>
  <c i="18" r="B23"/>
  <c i="18" r="N23"/>
  <c i="18" r="B22"/>
  <c i="18" r="Q25"/>
  <c i="18" r="B25"/>
  <c i="18" r="N27"/>
  <c i="18" r="N24"/>
  <c i="18" r="E22"/>
  <c i="18" r="E27"/>
  <c i="18" r="S32"/>
  <c i="18" r="M26"/>
  <c i="18" r="M22"/>
  <c i="18" r="E26"/>
  <c i="12" r="S45"/>
  <c i="12" r="Q45"/>
  <c i="18" r="F22"/>
  <c i="18" r="M32"/>
  <c i="18" r="S23"/>
  <c i="18" r="F32"/>
  <c i="18" r="F25"/>
  <c i="18" r="F23"/>
  <c i="18" r="R31"/>
  <c i="18" r="R25"/>
  <c i="18" r="R24"/>
  <c i="18" r="R23"/>
  <c i="18" r="I32"/>
  <c i="18" r="E33"/>
  <c i="18" r="P50" s="1"/>
  <c i="18" r="AA50" s="1"/>
  <c i="18" r="E31"/>
  <c i="18" r="B24"/>
  <c i="18" r="F31"/>
  <c i="18" r="I31"/>
  <c i="18" r="F27"/>
  <c i="18" r="I26"/>
  <c i="18" r="B27"/>
  <c i="18" r="I25"/>
  <c i="18" r="B26"/>
  <c i="18" r="I27"/>
  <c i="18" r="I30"/>
  <c i="18" r="I29"/>
  <c i="18" r="I28"/>
  <c i="18" r="F24"/>
  <c i="18" r="I24"/>
  <c i="18" r="I23"/>
  <c i="18" r="C27"/>
  <c i="18" r="C24"/>
  <c i="7" r="O45"/>
  <c i="18" r="O22"/>
  <c i="11" r="S47"/>
  <c i="7" r="Q45"/>
  <c i="18" r="Q32"/>
  <c i="18" r="Q26"/>
  <c i="18" r="R30"/>
  <c i="18" r="R29"/>
  <c i="16" r="Q45"/>
  <c i="18" r="E29"/>
  <c i="18" r="F29"/>
  <c i="18" r="R26"/>
  <c i="18" r="E25"/>
  <c i="18" r="R28"/>
  <c i="18" r="M24"/>
  <c i="18" r="N26"/>
  <c i="18" r="E32"/>
  <c i="18" r="B29"/>
  <c i="18" r="E28"/>
  <c i="17" r="S45"/>
  <c i="17" r="O45"/>
  <c i="18" r="N30"/>
  <c i="18" r="M28"/>
  <c i="18" r="N29"/>
  <c i="18" r="N28"/>
  <c i="11" r="O47"/>
  <c i="11" r="S46"/>
  <c i="12" r="S46"/>
  <c i="18" r="M30"/>
  <c i="12" r="O45"/>
  <c i="18" r="M29"/>
  <c i="18" r="B30"/>
  <c i="18" r="B28"/>
  <c i="14" r="S45"/>
  <c i="14" r="Q45"/>
  <c i="18" r="F30"/>
  <c i="14" r="O45"/>
  <c i="18" r="F28"/>
  <c i="15" r="S45"/>
  <c i="11" r="O46"/>
  <c i="13" r="O46"/>
  <c i="15" r="O46"/>
  <c i="17" r="O46"/>
  <c i="11" r="N46"/>
  <c i="12" r="N46"/>
  <c i="13" r="N46"/>
  <c i="14" r="N46"/>
  <c i="15" r="N46"/>
  <c i="16" r="N46"/>
  <c i="17" r="N46"/>
  <c i="11" r="T46"/>
  <c i="12" r="T46"/>
  <c i="13" r="T46"/>
  <c i="14" r="T46"/>
  <c i="15" r="T46"/>
  <c i="16" r="T46"/>
  <c i="17" r="T46"/>
  <c i="7" r="N47"/>
  <c i="7" r="N45"/>
  <c i="7" r="T47"/>
  <c i="7" r="T45"/>
  <c i="18" r="G22"/>
  <c i="18" r="S31"/>
  <c i="18" r="S25"/>
  <c i="18" r="G31"/>
  <c i="18" r="G23"/>
  <c i="7" r="N46"/>
  <c i="11" r="N47"/>
  <c i="11" r="N45"/>
  <c i="12" r="N45"/>
  <c i="13" r="N45"/>
  <c i="14" r="N45"/>
  <c i="16" r="S46"/>
  <c i="18" r="S30"/>
  <c i="11" r="O45"/>
  <c i="18" r="G29"/>
  <c i="18" r="S27"/>
  <c i="18" r="G25"/>
  <c i="18" r="G24"/>
  <c i="15" r="O45"/>
  <c i="16" r="O45"/>
  <c i="18" r="S26"/>
  <c i="18" r="S24"/>
  <c i="18" r="S22"/>
  <c i="18" r="G26"/>
  <c i="7" r="O47"/>
  <c i="18" r="T25"/>
  <c i="15" r="N45"/>
  <c i="16" r="N45"/>
  <c i="17" r="N45"/>
  <c i="7" r="O46"/>
  <c i="13" r="O45"/>
  <c i="11" r="U28"/>
  <c i="17" r="U28"/>
  <c i="17" r="U45" s="1"/>
  <c i="18" r="D28"/>
  <c i="13" r="U29"/>
  <c i="18" r="C29"/>
  <c i="18" r="P29"/>
  <c i="18" r="C22"/>
  <c i="18" r="C32"/>
  <c i="18" r="C25"/>
  <c i="18" r="C23"/>
  <c i="18" r="C31"/>
  <c i="7" r="R46"/>
  <c i="11" r="R47"/>
  <c i="11" r="R45"/>
  <c i="12" r="R45"/>
  <c i="13" r="R45"/>
  <c i="14" r="R45"/>
  <c i="15" r="R45"/>
  <c i="16" r="R45"/>
  <c i="17" r="R45"/>
  <c i="11" r="S45"/>
  <c i="16" r="S45"/>
  <c i="18" r="S29"/>
  <c i="18" r="D30"/>
  <c i="18" r="G28"/>
  <c i="18" r="C28"/>
  <c i="18" r="G30"/>
  <c i="15" r="J29"/>
  <c i="18" r="C26"/>
  <c i="14" r="S46"/>
  <c i="7" r="Q46"/>
  <c i="12" r="Q46"/>
  <c i="14" r="Q46"/>
  <c i="16" r="Q46"/>
  <c i="7" r="J28"/>
  <c i="18" r="S28"/>
  <c i="18" r="C30"/>
  <c i="12" r="U30"/>
  <c i="12" r="U47" s="1"/>
  <c i="16" r="U30"/>
  <c i="11" r="U26"/>
  <c i="11" r="U29"/>
  <c i="15" r="U29"/>
  <c i="18" r="T27"/>
  <c i="7" r="T46"/>
  <c i="11" r="T47"/>
  <c i="11" r="T45"/>
  <c i="12" r="T45"/>
  <c i="13" r="T45"/>
  <c i="14" r="T45"/>
  <c i="15" r="T45"/>
  <c i="16" r="T45"/>
  <c i="17" r="T45"/>
  <c i="7" r="S45"/>
  <c i="11" r="Q45"/>
  <c i="13" r="Q45"/>
  <c i="15" r="Q45"/>
  <c i="17" r="Q45"/>
  <c i="18" r="Q30"/>
  <c i="13" r="U30"/>
  <c i="13" r="U47" s="1"/>
  <c i="17" r="U29"/>
  <c i="18" r="O29"/>
  <c i="14" r="U29"/>
  <c i="14" r="U46" s="1"/>
  <c i="18" r="T28"/>
  <c i="11" r="J30"/>
  <c i="11" r="U47" s="1"/>
  <c i="18" r="D29"/>
  <c i="18" r="T29"/>
  <c i="18" r="Q28"/>
  <c i="7" r="U26"/>
  <c i="7" r="U28"/>
  <c i="12" r="J31"/>
  <c i="12" r="J28"/>
  <c i="14" r="J30"/>
  <c i="14" r="U47" s="1"/>
  <c i="16" r="J22"/>
  <c i="16" r="J28"/>
  <c i="18" r="T30"/>
  <c i="18" r="T32"/>
  <c i="18" r="T26"/>
  <c i="18" r="T24"/>
  <c i="7" r="P47"/>
  <c i="7" r="P45"/>
  <c i="11" r="P46"/>
  <c i="12" r="P46"/>
  <c i="13" r="P46"/>
  <c i="14" r="P46"/>
  <c i="15" r="P46"/>
  <c i="16" r="P46"/>
  <c i="17" r="P46"/>
  <c i="7" r="S46"/>
  <c i="11" r="J29"/>
  <c i="16" r="J30"/>
  <c i="12" r="U29"/>
  <c i="17" r="U30"/>
  <c i="15" r="J28"/>
  <c i="13" r="U28"/>
  <c i="18" r="P28"/>
  <c i="15" r="J30"/>
  <c i="18" r="H29"/>
  <c i="18" r="P30"/>
  <c i="18" r="P47" s="1"/>
  <c i="18" r="AA47" s="1"/>
  <c i="16" r="U28"/>
  <c i="14" r="U28"/>
  <c i="13" r="J22"/>
  <c i="13" r="J29"/>
  <c i="17" r="J22"/>
  <c i="17" r="J29"/>
  <c i="7" r="J27"/>
  <c i="7" r="J30"/>
  <c i="7" r="U47" s="1"/>
  <c i="11" r="Q46"/>
  <c i="13" r="Q46"/>
  <c i="15" r="Q46"/>
  <c i="17" r="Q46"/>
  <c i="16" r="U29"/>
  <c i="16" r="U46" s="1"/>
  <c i="12" r="U28"/>
  <c i="18" r="T23"/>
  <c i="7" r="R47"/>
  <c i="7" r="R45"/>
  <c i="11" r="R46"/>
  <c i="12" r="R46"/>
  <c i="13" r="R46"/>
  <c i="14" r="R46"/>
  <c i="15" r="R46"/>
  <c i="16" r="R46"/>
  <c i="17" r="R46"/>
  <c i="7" r="S47"/>
  <c i="7" r="P46"/>
  <c i="11" r="P47"/>
  <c i="11" r="P45"/>
  <c i="12" r="P45"/>
  <c i="13" r="P45"/>
  <c i="14" r="P45"/>
  <c i="15" r="P45"/>
  <c i="16" r="P45"/>
  <c i="17" r="P45"/>
  <c i="18" r="O30"/>
  <c i="7" r="M45"/>
  <c i="11" r="M45"/>
  <c i="12" r="M45"/>
  <c i="13" r="M45"/>
  <c i="14" r="M45"/>
  <c i="15" r="M45"/>
  <c i="16" r="M45"/>
  <c i="17" r="M45"/>
  <c i="14" r="J28"/>
  <c i="18" r="Q29"/>
  <c i="15" r="U28"/>
  <c i="11" r="J28"/>
  <c i="17" r="J30"/>
  <c i="12" r="J29"/>
  <c i="7" r="U29"/>
  <c i="7" r="U46" s="1"/>
  <c i="15" r="U30"/>
  <c i="13" r="J28"/>
  <c i="18" r="H30"/>
  <c i="18" r="H28"/>
  <c i="18" r="O28"/>
  <c i="18" r="Q31"/>
  <c i="18" r="Q22"/>
  <c i="18" r="Q27"/>
  <c i="18" r="Q24"/>
  <c i="18" r="T31"/>
  <c i="18" r="T22"/>
  <c i="18" r="O32"/>
  <c i="18" r="O31"/>
  <c i="18" r="O27"/>
  <c i="18" r="O26"/>
  <c i="18" r="O25"/>
  <c i="18" r="O24"/>
  <c i="18" r="O23"/>
  <c i="15" r="J24"/>
  <c i="12" r="J23"/>
  <c i="13" r="U25"/>
  <c i="15" r="J26"/>
  <c i="16" r="J23"/>
  <c i="12" r="J32"/>
  <c i="15" r="U23"/>
  <c i="16" r="J32"/>
  <c i="13" r="J27"/>
  <c i="15" r="U32"/>
  <c i="14" r="J22"/>
  <c i="17" r="J27"/>
  <c i="14" r="J25"/>
  <c i="17" r="U25"/>
  <c i="12" r="J22"/>
  <c i="14" r="J31"/>
  <c i="17" r="J24"/>
  <c i="16" r="J25"/>
  <c i="15" r="J27"/>
  <c i="14" r="J32"/>
  <c i="14" r="J23"/>
  <c i="13" r="J24"/>
  <c i="12" r="J25"/>
  <c i="17" r="U32"/>
  <c i="17" r="U23"/>
  <c i="16" r="U24"/>
  <c i="15" r="U25"/>
  <c i="14" r="U27"/>
  <c i="13" r="U32"/>
  <c i="13" r="U23"/>
  <c i="12" r="U24"/>
  <c i="17" r="J26"/>
  <c i="17" r="U43" s="1"/>
  <c i="16" r="J31"/>
  <c i="13" r="J26"/>
  <c i="16" r="U31"/>
  <c i="16" r="U22"/>
  <c i="12" r="U31"/>
  <c i="12" r="U22"/>
  <c i="11" r="J24"/>
  <c i="7" r="J31"/>
  <c i="11" r="U32"/>
  <c i="11" r="U23"/>
  <c i="7" r="U31"/>
  <c i="7" r="J26"/>
  <c i="14" r="U33"/>
  <c i="11" r="U33"/>
  <c i="13" r="U33"/>
  <c i="15" r="U33"/>
  <c i="17" r="U33"/>
  <c i="7" r="U33"/>
  <c i="12" r="J33"/>
  <c i="14" r="J33"/>
  <c i="16" r="J33"/>
  <c i="17" r="J25"/>
  <c i="16" r="J27"/>
  <c i="15" r="J32"/>
  <c i="15" r="J23"/>
  <c i="14" r="J24"/>
  <c i="13" r="J25"/>
  <c i="12" r="J27"/>
  <c i="12" r="J26"/>
  <c i="17" r="U24"/>
  <c i="16" r="U25"/>
  <c i="15" r="U27"/>
  <c i="14" r="U32"/>
  <c i="14" r="U23"/>
  <c i="13" r="U24"/>
  <c i="12" r="U25"/>
  <c i="17" r="J31"/>
  <c i="14" r="J26"/>
  <c i="13" r="J31"/>
  <c i="17" r="U31"/>
  <c i="17" r="U22"/>
  <c i="14" r="U26"/>
  <c i="13" r="U31"/>
  <c i="13" r="U22"/>
  <c i="11" r="J25"/>
  <c i="7" r="U22"/>
  <c i="11" r="U24"/>
  <c i="11" r="J26"/>
  <c i="7" r="U24"/>
  <c i="11" r="U31"/>
  <c i="11" r="U22"/>
  <c i="11" r="U39" s="1"/>
  <c i="7" r="J22"/>
  <c i="12" r="U33"/>
  <c i="16" r="U27"/>
  <c i="14" r="U24"/>
  <c i="12" r="U27"/>
  <c i="15" r="U26"/>
  <c i="14" r="U31"/>
  <c i="14" r="U22"/>
  <c i="11" r="J27"/>
  <c i="7" r="U25"/>
  <c i="7" r="U27"/>
  <c i="11" r="U25"/>
  <c i="7" r="J32"/>
  <c i="11" r="J31"/>
  <c i="16" r="U33"/>
  <c i="11" r="J33"/>
  <c i="13" r="J33"/>
  <c i="15" r="J33"/>
  <c i="17" r="J33"/>
  <c i="7" r="J33"/>
  <c i="17" r="J32"/>
  <c i="17" r="J23"/>
  <c i="16" r="J24"/>
  <c i="15" r="J25"/>
  <c i="14" r="J27"/>
  <c i="13" r="J32"/>
  <c i="13" r="J23"/>
  <c i="12" r="J24"/>
  <c i="17" r="U27"/>
  <c i="16" r="U32"/>
  <c i="16" r="U23"/>
  <c i="15" r="U24"/>
  <c i="14" r="U25"/>
  <c i="13" r="U27"/>
  <c i="12" r="U32"/>
  <c i="12" r="U23"/>
  <c i="16" r="J26"/>
  <c i="15" r="J31"/>
  <c i="15" r="J22"/>
  <c i="16" r="U26"/>
  <c i="15" r="U31"/>
  <c i="15" r="U22"/>
  <c i="12" r="U26"/>
  <c i="11" r="J32"/>
  <c i="11" r="J23"/>
  <c i="7" r="J23"/>
  <c i="11" r="U27"/>
  <c i="7" r="J25"/>
  <c i="7" r="U23"/>
  <c i="7" r="U32"/>
  <c i="7" r="J24"/>
  <c i="18" r="D26"/>
  <c i="18" r="D27"/>
  <c i="18" r="D25"/>
  <c i="18" r="H31"/>
  <c i="18" r="P26"/>
  <c i="18" r="P22"/>
  <c i="18" r="H24"/>
  <c i="18" r="H23"/>
  <c i="18" r="D32"/>
  <c i="18" r="H27"/>
  <c i="18" r="P32"/>
  <c i="18" r="P27"/>
  <c i="18" r="P25"/>
  <c i="18" r="P24"/>
  <c i="18" r="P23"/>
  <c i="18" r="D31"/>
  <c i="18" r="H26"/>
  <c i="18" r="H25"/>
  <c i="18" r="D24"/>
  <c i="18" r="D23"/>
  <c i="18" r="D22"/>
  <c i="18" r="H32"/>
  <c i="18" r="P31"/>
  <c i="18" r="H22"/>
  <c i="7" r="R50"/>
  <c i="7" r="O40"/>
  <c i="7" r="R43"/>
  <c i="7" r="Q48"/>
  <c i="7" r="S43"/>
  <c i="7" r="P48"/>
  <c i="7" r="N50"/>
  <c i="7" r="M41"/>
  <c i="7" r="P40"/>
  <c i="7" r="O50"/>
  <c i="7" r="N41"/>
  <c i="7" r="O49"/>
  <c i="7" r="S42"/>
  <c i="7" r="P49"/>
  <c i="7" r="T42"/>
  <c i="7" r="Q44"/>
  <c i="7" r="P39"/>
  <c i="7" r="M42"/>
  <c i="7" r="O41"/>
  <c i="7" r="M43"/>
  <c i="7" r="N42"/>
  <c i="7" r="P41"/>
  <c i="7" r="S49"/>
  <c i="7" r="O42"/>
  <c i="7" r="S50"/>
  <c i="7" r="M48"/>
  <c i="7" r="N44"/>
  <c i="7" r="O43"/>
  <c i="7" r="P42"/>
  <c i="7" r="T40"/>
  <c i="7" r="T50"/>
  <c i="7" r="M49"/>
  <c i="7" r="N48"/>
  <c i="7" r="O44"/>
  <c i="7" r="P43"/>
  <c i="7" r="M40"/>
  <c i="7" r="N39"/>
  <c i="7" r="N49"/>
  <c i="7" r="O48"/>
  <c i="7" r="P44"/>
  <c i="7" r="N40"/>
  <c i="7" r="O39"/>
  <c i="17" r="M50"/>
  <c i="14" r="S50"/>
  <c i="18" r="U16"/>
  <c i="18" r="J16"/>
  <c i="17" r="S50"/>
  <c i="17" r="O49"/>
  <c i="17" r="M49"/>
  <c i="17" r="O48"/>
  <c i="17" r="M48"/>
  <c i="17" r="O44"/>
  <c i="17" r="M44"/>
  <c i="17" r="O43"/>
  <c i="17" r="M43"/>
  <c i="17" r="O42"/>
  <c i="17" r="M42"/>
  <c i="17" r="O41"/>
  <c i="17" r="M41"/>
  <c i="17" r="O40"/>
  <c i="17" r="M40"/>
  <c i="17" r="O39"/>
  <c i="17" r="M39"/>
  <c i="17" r="T49"/>
  <c i="17" r="P49"/>
  <c i="17" r="N49"/>
  <c i="17" r="T48"/>
  <c i="17" r="P48"/>
  <c i="17" r="N48"/>
  <c i="17" r="T44"/>
  <c i="17" r="P44"/>
  <c i="17" r="N44"/>
  <c i="17" r="T43"/>
  <c i="17" r="P43"/>
  <c i="17" r="N43"/>
  <c i="17" r="T42"/>
  <c i="17" r="P42"/>
  <c i="17" r="N42"/>
  <c i="17" r="T41"/>
  <c i="17" r="P41"/>
  <c i="17" r="N41"/>
  <c i="17" r="T40"/>
  <c i="17" r="P40"/>
  <c i="17" r="N40"/>
  <c i="17" r="T39"/>
  <c i="17" r="P39"/>
  <c i="17" r="N39"/>
  <c i="17" r="N50"/>
  <c i="17" r="O50"/>
  <c i="16" r="S49"/>
  <c i="16" r="Q49"/>
  <c i="16" r="O49"/>
  <c i="16" r="S48"/>
  <c i="16" r="Q48"/>
  <c i="16" r="O48"/>
  <c i="16" r="S44"/>
  <c i="16" r="Q44"/>
  <c i="16" r="O44"/>
  <c i="16" r="S43"/>
  <c i="16" r="Q43"/>
  <c i="16" r="O43"/>
  <c i="16" r="S42"/>
  <c i="16" r="Q42"/>
  <c i="16" r="O42"/>
  <c i="16" r="S41"/>
  <c i="16" r="Q41"/>
  <c i="16" r="O41"/>
  <c i="16" r="S40"/>
  <c i="16" r="Q40"/>
  <c i="16" r="O40"/>
  <c i="16" r="S39"/>
  <c i="16" r="Q39"/>
  <c i="16" r="O39"/>
  <c i="16" r="R49"/>
  <c i="16" r="P49"/>
  <c i="16" r="N49"/>
  <c i="16" r="R48"/>
  <c i="16" r="P48"/>
  <c i="16" r="N48"/>
  <c i="16" r="R44"/>
  <c i="16" r="P44"/>
  <c i="16" r="N44"/>
  <c i="16" r="R43"/>
  <c i="16" r="P43"/>
  <c i="16" r="N43"/>
  <c i="16" r="R42"/>
  <c i="16" r="P42"/>
  <c i="16" r="N42"/>
  <c i="16" r="R41"/>
  <c i="16" r="P41"/>
  <c i="16" r="N41"/>
  <c i="16" r="R40"/>
  <c i="16" r="P40"/>
  <c i="16" r="N40"/>
  <c i="16" r="R39"/>
  <c i="16" r="P39"/>
  <c i="16" r="N39"/>
  <c i="16" r="S50"/>
  <c i="16" r="O50"/>
  <c i="16" r="T50"/>
  <c i="15" r="O49"/>
  <c i="15" r="O48"/>
  <c i="15" r="O44"/>
  <c i="15" r="O43"/>
  <c i="15" r="O42"/>
  <c i="15" r="O41"/>
  <c i="15" r="O40"/>
  <c i="15" r="O39"/>
  <c i="15" r="P49"/>
  <c i="15" r="N49"/>
  <c i="15" r="P48"/>
  <c i="15" r="N48"/>
  <c i="15" r="P44"/>
  <c i="15" r="N44"/>
  <c i="15" r="P43"/>
  <c i="15" r="N43"/>
  <c i="15" r="P42"/>
  <c i="15" r="N42"/>
  <c i="15" r="P41"/>
  <c i="15" r="N41"/>
  <c i="15" r="P40"/>
  <c i="15" r="N40"/>
  <c i="15" r="P39"/>
  <c i="15" r="N39"/>
  <c i="15" r="S50"/>
  <c i="15" r="O50"/>
  <c i="15" r="T50"/>
  <c i="15" r="P50"/>
  <c i="14" r="S49"/>
  <c i="14" r="S48"/>
  <c i="14" r="S44"/>
  <c i="14" r="S43"/>
  <c i="14" r="S42"/>
  <c i="14" r="S41"/>
  <c i="14" r="S40"/>
  <c i="14" r="S39"/>
  <c i="14" r="R49"/>
  <c i="14" r="R48"/>
  <c i="14" r="R44"/>
  <c i="14" r="R43"/>
  <c i="14" r="R42"/>
  <c i="14" r="R41"/>
  <c i="14" r="R40"/>
  <c i="14" r="R39"/>
  <c i="14" r="R50"/>
  <c i="14" r="N50"/>
  <c i="14" r="M50"/>
  <c i="13" r="T50"/>
  <c i="13" r="P50"/>
  <c i="13" r="S50"/>
  <c i="12" r="S49"/>
  <c i="12" r="O49"/>
  <c i="12" r="S48"/>
  <c i="12" r="O48"/>
  <c i="12" r="S44"/>
  <c i="12" r="O44"/>
  <c i="12" r="S43"/>
  <c i="12" r="O43"/>
  <c i="12" r="S42"/>
  <c i="12" r="O42"/>
  <c i="12" r="S41"/>
  <c i="12" r="O41"/>
  <c i="12" r="S40"/>
  <c i="12" r="O40"/>
  <c i="12" r="S39"/>
  <c i="12" r="O39"/>
  <c i="12" r="R49"/>
  <c i="12" r="R48"/>
  <c i="12" r="R44"/>
  <c i="12" r="R43"/>
  <c i="12" r="R42"/>
  <c i="12" r="R41"/>
  <c i="12" r="R40"/>
  <c i="12" r="R39"/>
  <c i="12" r="S50"/>
  <c i="12" r="O50"/>
  <c i="12" r="T50"/>
  <c i="12" r="P50"/>
  <c i="11" r="Q49"/>
  <c i="11" r="M49"/>
  <c i="11" r="Q48"/>
  <c i="11" r="M48"/>
  <c i="11" r="Q44"/>
  <c i="11" r="M44"/>
  <c i="11" r="Q43"/>
  <c i="11" r="M43"/>
  <c i="11" r="Q42"/>
  <c i="11" r="M42"/>
  <c i="11" r="Q41"/>
  <c i="11" r="M41"/>
  <c i="11" r="Q40"/>
  <c i="11" r="M40"/>
  <c i="11" r="Q39"/>
  <c i="11" r="M39"/>
  <c i="11" r="S50"/>
  <c i="11" r="O50"/>
  <c i="11" r="R50"/>
  <c i="7" r="M39"/>
  <c i="18" l="1" r="P48"/>
  <c i="18" r="AA48" s="1"/>
  <c i="18" r="P41"/>
  <c i="18" r="AA41" s="1"/>
  <c i="11" r="U45"/>
  <c i="18" r="T46"/>
  <c i="18" r="AE46" s="1"/>
  <c i="18" r="R45"/>
  <c i="18" r="AC45" s="1"/>
  <c i="18" r="P40"/>
  <c i="18" r="AA40" s="1"/>
  <c i="18" r="P43"/>
  <c i="18" r="AA43" s="1"/>
  <c i="18" r="P39"/>
  <c i="18" r="AA39" s="1"/>
  <c i="18" r="P44"/>
  <c i="18" r="AA44" s="1"/>
  <c i="18" r="R47"/>
  <c i="18" r="AC47" s="1"/>
  <c i="18" r="M45"/>
  <c i="18" r="X45" s="1"/>
  <c i="15" r="U41"/>
  <c i="18" r="T47"/>
  <c i="18" r="AE47" s="1"/>
  <c i="18" r="T45"/>
  <c i="18" r="AE45" s="1"/>
  <c i="18" r="Q45"/>
  <c i="18" r="AB45" s="1"/>
  <c i="18" r="Q46"/>
  <c i="18" r="AB46" s="1"/>
  <c i="18" r="P46"/>
  <c i="18" r="AA46" s="1"/>
  <c i="18" r="P42"/>
  <c i="18" r="AA42" s="1"/>
  <c i="18" r="M46"/>
  <c i="18" r="X46" s="1"/>
  <c i="18" r="R46"/>
  <c i="18" r="AC46" s="1"/>
  <c i="18" r="P45"/>
  <c i="18" r="AA45" s="1"/>
  <c i="18" r="N46"/>
  <c i="18" r="Y46" s="1"/>
  <c i="17" r="U48"/>
  <c i="18" r="P49"/>
  <c i="18" r="AA49" s="1"/>
  <c i="18" r="O45"/>
  <c i="18" r="Z45" s="1"/>
  <c i="18" r="M47"/>
  <c i="18" r="X47" s="1"/>
  <c i="18" r="N45"/>
  <c i="18" r="Y45" s="1"/>
  <c i="16" r="U49"/>
  <c i="16" r="U45"/>
  <c i="18" r="N47"/>
  <c i="18" r="Y47" s="1"/>
  <c i="18" r="Q47"/>
  <c i="18" r="AB47" s="1"/>
  <c i="12" r="U42"/>
  <c i="12" r="U39"/>
  <c i="15" r="U47"/>
  <c i="18" r="S47"/>
  <c i="18" r="AD47" s="1"/>
  <c i="18" r="S45"/>
  <c i="18" r="AD45" s="1"/>
  <c i="18" r="S46"/>
  <c i="18" r="AD46" s="1"/>
  <c i="7" r="U44"/>
  <c i="7" r="U45"/>
  <c i="13" r="U46"/>
  <c i="15" r="U46"/>
  <c i="17" r="U47"/>
  <c i="11" r="U46"/>
  <c i="15" r="U45"/>
  <c i="15" r="U42"/>
  <c i="18" r="O47"/>
  <c i="18" r="Z47" s="1"/>
  <c i="12" r="U46"/>
  <c i="18" r="U33"/>
  <c i="18" r="U30"/>
  <c i="18" r="U28"/>
  <c i="18" r="J33"/>
  <c i="18" r="J29"/>
  <c i="18" r="J28"/>
  <c i="18" r="J30"/>
  <c i="11" r="U40"/>
  <c i="17" r="U39"/>
  <c i="16" r="U39"/>
  <c i="13" r="U49"/>
  <c i="13" r="U45"/>
  <c i="18" r="O46"/>
  <c i="18" r="Z46" s="1"/>
  <c i="16" r="U47"/>
  <c i="18" r="U29"/>
  <c i="11" r="U43"/>
  <c i="13" r="U44"/>
  <c i="12" r="U45"/>
  <c i="14" r="U45"/>
  <c i="17" r="U46"/>
  <c i="14" r="U42"/>
  <c i="7" r="U50"/>
  <c i="17" r="U50"/>
  <c i="11" r="U50"/>
  <c i="16" r="U40"/>
  <c i="16" r="U44"/>
  <c i="14" r="U43"/>
  <c i="17" r="U49"/>
  <c i="15" r="U40"/>
  <c i="12" r="U44"/>
  <c i="14" r="U41"/>
  <c i="11" r="U49"/>
  <c i="13" r="U40"/>
  <c i="16" r="U41"/>
  <c i="13" r="U41"/>
  <c i="16" r="U42"/>
  <c i="17" r="U42"/>
  <c i="7" r="U40"/>
  <c i="15" r="U39"/>
  <c i="7" r="U48"/>
  <c i="16" r="U48"/>
  <c i="17" r="U41"/>
  <c i="18" r="U24"/>
  <c i="18" r="J26"/>
  <c i="18" r="U22"/>
  <c i="18" r="U27"/>
  <c i="18" r="J24"/>
  <c i="18" r="J27"/>
  <c i="18" r="J22"/>
  <c i="18" r="U23"/>
  <c i="18" r="U32"/>
  <c i="18" r="J31"/>
  <c i="18" r="U31"/>
  <c i="18" r="U25"/>
  <c i="18" r="J23"/>
  <c i="18" r="J25"/>
  <c i="18" r="J32"/>
  <c i="18" r="U26"/>
  <c i="7" r="U49"/>
  <c i="7" r="U43"/>
  <c i="7" r="T39"/>
  <c i="7" r="U42"/>
  <c i="7" r="Q43"/>
  <c i="7" r="M50"/>
  <c i="7" r="S40"/>
  <c i="7" r="Q50"/>
  <c i="7" r="T43"/>
  <c i="7" r="P50"/>
  <c i="7" r="M44"/>
  <c i="7" r="S48"/>
  <c i="7" r="R48"/>
  <c i="7" r="N43"/>
  <c i="7" r="S39"/>
  <c i="7" r="R39"/>
  <c i="7" r="Q39"/>
  <c i="7" r="R42"/>
  <c i="7" r="Q42"/>
  <c i="7" r="U39"/>
  <c i="7" r="R49"/>
  <c i="7" r="Q49"/>
  <c i="7" r="R44"/>
  <c i="7" r="T48"/>
  <c i="7" r="R41"/>
  <c i="7" r="Q41"/>
  <c i="7" r="R40"/>
  <c i="7" r="Q40"/>
  <c i="7" r="T41"/>
  <c i="7" r="S41"/>
  <c i="7" r="T49"/>
  <c i="7" r="T44"/>
  <c i="7" r="S44"/>
  <c i="7" r="U41"/>
  <c i="17" r="Q50"/>
  <c i="17" r="S39"/>
  <c i="17" r="S40"/>
  <c i="17" r="S41"/>
  <c i="17" r="S42"/>
  <c i="17" r="S43"/>
  <c i="17" r="S44"/>
  <c i="17" r="S48"/>
  <c i="17" r="S49"/>
  <c i="17" r="U44"/>
  <c i="17" r="R50"/>
  <c i="17" r="R39"/>
  <c i="17" r="R40"/>
  <c i="17" r="R41"/>
  <c i="17" r="R42"/>
  <c i="17" r="R43"/>
  <c i="17" r="R44"/>
  <c i="17" r="R48"/>
  <c i="17" r="R49"/>
  <c i="17" r="Q39"/>
  <c i="17" r="Q40"/>
  <c i="17" r="Q41"/>
  <c i="17" r="Q42"/>
  <c i="17" r="Q43"/>
  <c i="17" r="Q44"/>
  <c i="17" r="Q48"/>
  <c i="17" r="Q49"/>
  <c i="16" r="P50"/>
  <c i="16" r="M39"/>
  <c i="16" r="M40"/>
  <c i="16" r="M41"/>
  <c i="16" r="M42"/>
  <c i="16" r="M43"/>
  <c i="16" r="M44"/>
  <c i="16" r="M48"/>
  <c i="16" r="M49"/>
  <c i="16" r="U50"/>
  <c i="16" r="T39"/>
  <c i="16" r="T40"/>
  <c i="16" r="T41"/>
  <c i="16" r="T42"/>
  <c i="16" r="T43"/>
  <c i="16" r="T44"/>
  <c i="16" r="T48"/>
  <c i="16" r="T49"/>
  <c i="15" r="U48"/>
  <c i="15" r="S39"/>
  <c i="15" r="S40"/>
  <c i="15" r="S41"/>
  <c i="15" r="S42"/>
  <c i="15" r="S43"/>
  <c i="15" r="S44"/>
  <c i="15" r="S48"/>
  <c i="15" r="S49"/>
  <c i="15" r="U44"/>
  <c i="15" r="R39"/>
  <c i="15" r="R40"/>
  <c i="15" r="R41"/>
  <c i="15" r="R42"/>
  <c i="15" r="R43"/>
  <c i="15" r="R44"/>
  <c i="15" r="R48"/>
  <c i="15" r="R49"/>
  <c i="15" r="Q39"/>
  <c i="15" r="Q40"/>
  <c i="15" r="Q41"/>
  <c i="15" r="Q42"/>
  <c i="15" r="Q43"/>
  <c i="15" r="Q44"/>
  <c i="15" r="Q48"/>
  <c i="15" r="Q49"/>
  <c i="15" r="M39"/>
  <c i="15" r="M40"/>
  <c i="15" r="M41"/>
  <c i="15" r="M42"/>
  <c i="15" r="M43"/>
  <c i="15" r="M44"/>
  <c i="15" r="M48"/>
  <c i="15" r="M49"/>
  <c i="15" r="U50"/>
  <c i="15" r="U49"/>
  <c i="15" r="T39"/>
  <c i="15" r="T40"/>
  <c i="15" r="T41"/>
  <c i="15" r="T42"/>
  <c i="15" r="T43"/>
  <c i="15" r="T44"/>
  <c i="15" r="T48"/>
  <c i="15" r="T49"/>
  <c i="14" r="U39"/>
  <c i="14" r="M39"/>
  <c i="14" r="M40"/>
  <c i="14" r="M41"/>
  <c i="14" r="M42"/>
  <c i="14" r="M43"/>
  <c i="14" r="M44"/>
  <c i="14" r="M48"/>
  <c i="14" r="M49"/>
  <c i="14" r="U50"/>
  <c i="14" r="Q39"/>
  <c i="14" r="Q40"/>
  <c i="14" r="Q41"/>
  <c i="14" r="Q42"/>
  <c i="14" r="Q43"/>
  <c i="14" r="Q44"/>
  <c i="14" r="Q48"/>
  <c i="14" r="Q49"/>
  <c i="14" r="U48"/>
  <c i="14" r="N39"/>
  <c i="14" r="N40"/>
  <c i="14" r="N41"/>
  <c i="14" r="N42"/>
  <c i="14" r="N43"/>
  <c i="14" r="N44"/>
  <c i="14" r="N48"/>
  <c i="14" r="N49"/>
  <c i="14" r="U44"/>
  <c i="14" r="O39"/>
  <c i="14" r="O40"/>
  <c i="14" r="O41"/>
  <c i="14" r="O42"/>
  <c i="14" r="O43"/>
  <c i="14" r="O44"/>
  <c i="14" r="O48"/>
  <c i="14" r="O49"/>
  <c i="14" r="U49"/>
  <c i="13" r="U39"/>
  <c i="13" r="U48"/>
  <c i="13" r="O39"/>
  <c i="13" r="O40"/>
  <c i="13" r="O41"/>
  <c i="13" r="O42"/>
  <c i="13" r="O43"/>
  <c i="13" r="O44"/>
  <c i="13" r="O48"/>
  <c i="13" r="O49"/>
  <c i="13" r="S39"/>
  <c i="13" r="S40"/>
  <c i="13" r="S41"/>
  <c i="13" r="S42"/>
  <c i="13" r="S43"/>
  <c i="13" r="S44"/>
  <c i="13" r="S48"/>
  <c i="13" r="S49"/>
  <c i="13" r="O50"/>
  <c i="13" r="U42"/>
  <c i="12" r="U49"/>
  <c i="12" r="U41"/>
  <c i="12" r="N39"/>
  <c i="12" r="N40"/>
  <c i="12" r="N41"/>
  <c i="12" r="N42"/>
  <c i="12" r="N43"/>
  <c i="12" r="N44"/>
  <c i="12" r="N48"/>
  <c i="12" r="N49"/>
  <c i="12" r="U48"/>
  <c i="12" r="Q39"/>
  <c i="12" r="Q40"/>
  <c i="12" r="Q41"/>
  <c i="12" r="Q42"/>
  <c i="12" r="Q43"/>
  <c i="12" r="Q44"/>
  <c i="12" r="Q48"/>
  <c i="12" r="Q49"/>
  <c i="12" r="U40"/>
  <c i="12" r="P39"/>
  <c i="12" r="P40"/>
  <c i="12" r="P41"/>
  <c i="12" r="P42"/>
  <c i="12" r="P43"/>
  <c i="12" r="P44"/>
  <c i="12" r="P48"/>
  <c i="12" r="P49"/>
  <c i="12" r="M39"/>
  <c i="12" r="M40"/>
  <c i="12" r="M41"/>
  <c i="12" r="M42"/>
  <c i="12" r="M43"/>
  <c i="12" r="M44"/>
  <c i="12" r="M48"/>
  <c i="12" r="M49"/>
  <c i="12" r="U50"/>
  <c i="12" r="T39"/>
  <c i="12" r="T40"/>
  <c i="12" r="T41"/>
  <c i="12" r="T42"/>
  <c i="12" r="T43"/>
  <c i="12" r="T44"/>
  <c i="12" r="T48"/>
  <c i="12" r="T49"/>
  <c i="11" r="U41"/>
  <c i="18" r="S39"/>
  <c i="18" r="AD39" s="1"/>
  <c i="11" r="O39"/>
  <c i="11" r="O40"/>
  <c i="11" r="O41"/>
  <c i="11" r="O42"/>
  <c i="11" r="O43"/>
  <c i="11" r="O44"/>
  <c i="11" r="O48"/>
  <c i="11" r="O49"/>
  <c i="11" r="N39"/>
  <c i="11" r="N40"/>
  <c i="11" r="N41"/>
  <c i="11" r="N42"/>
  <c i="11" r="N43"/>
  <c i="11" r="N44"/>
  <c i="11" r="N48"/>
  <c i="11" r="N49"/>
  <c i="18" r="O50"/>
  <c i="18" r="Z50" s="1"/>
  <c i="11" r="R39"/>
  <c i="11" r="R40"/>
  <c i="11" r="R41"/>
  <c i="11" r="R42"/>
  <c i="11" r="R43"/>
  <c i="11" r="R44"/>
  <c i="11" r="R48"/>
  <c i="11" r="R49"/>
  <c i="11" r="N50"/>
  <c i="11" r="U44"/>
  <c i="11" r="U48"/>
  <c i="11" r="S39"/>
  <c i="11" r="S40"/>
  <c i="11" r="S41"/>
  <c i="11" r="S42"/>
  <c i="11" r="S43"/>
  <c i="11" r="S44"/>
  <c i="11" r="S48"/>
  <c i="11" r="S49"/>
  <c i="11" r="P50"/>
  <c i="11" r="M50"/>
  <c i="17" r="U40"/>
  <c i="17" r="T50"/>
  <c i="17" r="P50"/>
  <c i="16" r="U43"/>
  <c i="16" r="N50"/>
  <c i="16" r="Q50"/>
  <c i="16" r="R50"/>
  <c i="16" r="M50"/>
  <c i="15" r="U43"/>
  <c i="15" r="N50"/>
  <c i="15" r="Q50"/>
  <c i="15" r="R50"/>
  <c i="15" r="M50"/>
  <c i="14" r="P50"/>
  <c i="14" r="Q50"/>
  <c i="14" r="P39"/>
  <c i="14" r="T39"/>
  <c i="14" r="P40"/>
  <c i="14" r="T40"/>
  <c i="14" r="P41"/>
  <c i="14" r="T41"/>
  <c i="14" r="P42"/>
  <c i="14" r="T42"/>
  <c i="14" r="P43"/>
  <c i="14" r="T43"/>
  <c i="14" r="P44"/>
  <c i="14" r="T44"/>
  <c i="14" r="P48"/>
  <c i="14" r="T48"/>
  <c i="14" r="P49"/>
  <c i="14" r="T49"/>
  <c i="14" r="U40"/>
  <c i="14" r="T50"/>
  <c i="14" r="O50"/>
  <c i="13" r="M50"/>
  <c i="13" r="R50"/>
  <c i="13" r="P39"/>
  <c i="13" r="T39"/>
  <c i="13" r="P40"/>
  <c i="13" r="T40"/>
  <c i="13" r="P41"/>
  <c i="13" r="T41"/>
  <c i="13" r="P42"/>
  <c i="13" r="T42"/>
  <c i="13" r="P43"/>
  <c i="13" r="T43"/>
  <c i="13" r="P44"/>
  <c i="13" r="T44"/>
  <c i="13" r="P48"/>
  <c i="13" r="T48"/>
  <c i="13" r="P49"/>
  <c i="13" r="T49"/>
  <c i="13" r="Q50"/>
  <c i="13" r="U43"/>
  <c i="13" r="N50"/>
  <c i="13" r="N39"/>
  <c i="13" r="R39"/>
  <c i="13" r="N40"/>
  <c i="13" r="R40"/>
  <c i="13" r="N41"/>
  <c i="13" r="R41"/>
  <c i="13" r="N42"/>
  <c i="13" r="R42"/>
  <c i="13" r="N43"/>
  <c i="13" r="R43"/>
  <c i="13" r="N44"/>
  <c i="13" r="R44"/>
  <c i="13" r="N48"/>
  <c i="13" r="R48"/>
  <c i="13" r="N49"/>
  <c i="13" r="R49"/>
  <c i="13" r="M39"/>
  <c i="13" r="Q39"/>
  <c i="13" r="M40"/>
  <c i="13" r="Q40"/>
  <c i="13" r="M41"/>
  <c i="13" r="Q41"/>
  <c i="13" r="M42"/>
  <c i="13" r="Q42"/>
  <c i="13" r="M43"/>
  <c i="13" r="Q43"/>
  <c i="13" r="M44"/>
  <c i="13" r="Q44"/>
  <c i="13" r="M48"/>
  <c i="13" r="Q48"/>
  <c i="13" r="M49"/>
  <c i="13" r="Q49"/>
  <c i="13" r="U50"/>
  <c i="12" r="U43"/>
  <c i="12" r="N50"/>
  <c i="12" r="Q50"/>
  <c i="12" r="R50"/>
  <c i="12" r="M50"/>
  <c i="11" r="P39"/>
  <c i="11" r="T39"/>
  <c i="11" r="P40"/>
  <c i="11" r="T40"/>
  <c i="11" r="P41"/>
  <c i="11" r="T41"/>
  <c i="11" r="P42"/>
  <c i="11" r="T42"/>
  <c i="11" r="P43"/>
  <c i="11" r="T43"/>
  <c i="11" r="P44"/>
  <c i="11" r="T44"/>
  <c i="11" r="P48"/>
  <c i="11" r="T48"/>
  <c i="11" r="P49"/>
  <c i="11" r="T49"/>
  <c i="11" r="U42"/>
  <c i="11" r="T50"/>
  <c i="11" r="Q50"/>
  <c i="18" l="1" r="U43"/>
  <c i="18" r="AF43" s="1"/>
  <c i="18" r="U46"/>
  <c i="18" r="AF46" s="1"/>
  <c i="18" r="U50"/>
  <c i="18" r="AF50" s="1"/>
  <c i="18" r="U47"/>
  <c i="18" r="AF47" s="1"/>
  <c i="18" r="U45"/>
  <c i="18" r="AF45" s="1"/>
  <c i="18" r="M50"/>
  <c i="18" r="X50" s="1"/>
  <c i="18" r="T42"/>
  <c i="18" r="AE42" s="1"/>
  <c i="18" r="N41"/>
  <c i="18" r="Y41" s="1"/>
  <c i="18" r="T50"/>
  <c i="18" r="AE50" s="1"/>
  <c i="18" r="U40"/>
  <c i="18" r="AF40" s="1"/>
  <c i="18" r="U41"/>
  <c i="18" r="AF41" s="1"/>
  <c i="18" r="T43"/>
  <c i="18" r="AE43" s="1"/>
  <c i="18" r="M40"/>
  <c i="18" r="X40" s="1"/>
  <c i="18" r="T41"/>
  <c i="18" r="AE41" s="1"/>
  <c i="18" r="M39"/>
  <c i="18" r="X39" s="1"/>
  <c i="18" r="U39"/>
  <c i="18" r="AF39" s="1"/>
  <c i="18" r="T48"/>
  <c i="18" r="AE48" s="1"/>
  <c i="18" r="O40"/>
  <c i="18" r="Z40" s="1"/>
  <c i="18" r="T39"/>
  <c i="18" r="AE39" s="1"/>
  <c i="18" r="M48"/>
  <c i="18" r="X48" s="1"/>
  <c i="18" r="U42"/>
  <c i="18" r="AF42" s="1"/>
  <c i="18" r="Q48"/>
  <c i="18" r="AB48" s="1"/>
  <c i="18" r="Q49"/>
  <c i="18" r="AB49" s="1"/>
  <c i="18" r="S49"/>
  <c i="18" r="AD49" s="1"/>
  <c i="18" r="U49"/>
  <c i="18" r="AF49" s="1"/>
  <c i="18" r="T44"/>
  <c i="18" r="AE44" s="1"/>
  <c i="18" r="T49"/>
  <c i="18" r="AE49" s="1"/>
  <c i="18" r="N42"/>
  <c i="18" r="Y42" s="1"/>
  <c i="18" r="N43"/>
  <c i="18" r="Y43" s="1"/>
  <c i="18" r="Q39"/>
  <c i="18" r="AB39" s="1"/>
  <c i="18" r="M41"/>
  <c i="18" r="X41" s="1"/>
  <c i="18" r="T40"/>
  <c i="18" r="AE40" s="1"/>
  <c i="18" r="U48"/>
  <c i="18" r="AF48" s="1"/>
  <c i="18" r="U44"/>
  <c i="18" r="AF44" s="1"/>
  <c i="18" r="M43"/>
  <c i="18" r="X43" s="1"/>
  <c i="18" r="Q42"/>
  <c i="18" r="AB42" s="1"/>
  <c i="18" r="S40"/>
  <c i="18" r="AD40" s="1"/>
  <c i="18" r="N49"/>
  <c i="18" r="Y49" s="1"/>
  <c i="18" r="N40"/>
  <c i="18" r="Y40" s="1"/>
  <c i="18" r="R48"/>
  <c i="18" r="AC48" s="1"/>
  <c i="18" r="R39"/>
  <c i="18" r="AC39" s="1"/>
  <c i="18" r="S43"/>
  <c i="18" r="AD43" s="1"/>
  <c i="18" r="N50"/>
  <c i="18" r="Y50" s="1"/>
  <c i="18" r="O48"/>
  <c i="18" r="Z48" s="1"/>
  <c i="18" r="S50"/>
  <c i="18" r="AD50" s="1"/>
  <c i="18" r="R40"/>
  <c i="18" r="AC40" s="1"/>
  <c i="18" r="S44"/>
  <c i="18" r="AD44" s="1"/>
  <c i="18" r="R50"/>
  <c i="18" r="AC50" s="1"/>
  <c i="18" r="O39"/>
  <c i="18" r="Z39" s="1"/>
  <c i="18" r="Q43"/>
  <c i="18" r="AB43" s="1"/>
  <c i="18" r="N44"/>
  <c i="18" r="Y44" s="1"/>
  <c i="18" r="R41"/>
  <c i="18" r="AC41" s="1"/>
  <c i="18" r="S42"/>
  <c i="18" r="AD42" s="1"/>
  <c i="18" r="M44"/>
  <c i="18" r="X44" s="1"/>
  <c i="18" r="N48"/>
  <c i="18" r="Y48" s="1"/>
  <c i="18" r="N39"/>
  <c i="18" r="Y39" s="1"/>
  <c i="18" r="Q40"/>
  <c i="18" r="AB40" s="1"/>
  <c i="18" r="M49"/>
  <c i="18" r="X49" s="1"/>
  <c i="18" r="S41"/>
  <c i="18" r="AD41" s="1"/>
  <c i="18" r="R49"/>
  <c i="18" r="AC49" s="1"/>
  <c i="18" r="R42"/>
  <c i="18" r="AC42" s="1"/>
  <c i="18" r="O49"/>
  <c i="18" r="Z49" s="1"/>
  <c i="18" r="O42"/>
  <c i="18" r="Z42" s="1"/>
  <c i="18" r="R43"/>
  <c i="18" r="AC43" s="1"/>
  <c i="18" r="S48"/>
  <c i="18" r="AD48" s="1"/>
  <c i="18" r="O43"/>
  <c i="18" r="Z43" s="1"/>
  <c i="18" r="Q44"/>
  <c i="18" r="AB44" s="1"/>
  <c i="18" r="Q41"/>
  <c i="18" r="AB41" s="1"/>
  <c i="18" r="Q50"/>
  <c i="18" r="AB50" s="1"/>
  <c i="18" r="R44"/>
  <c i="18" r="AC44" s="1"/>
  <c i="18" r="M42"/>
  <c i="18" r="X42" s="1"/>
  <c i="18" r="O44"/>
  <c i="18" r="Z44" s="1"/>
  <c i="18" r="O41"/>
  <c i="18" r="Z41" s="1"/>
</calcChain>
</file>

<file path=xl/sharedStrings.xml><?xml version="1.0" encoding="utf-8"?>
<sst xmlns="http://schemas.openxmlformats.org/spreadsheetml/2006/main" count="1105" uniqueCount="60">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</sst>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mm/dd/yyyy\ hh:mm:ss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5" fontId="5" numFmtId="0">
      <alignment wrapText="1"/>
    </xf>
    <xf borderId="0" fillId="0" fontId="5" numFmtId="165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165">
      <alignment wrapText="1"/>
    </xf>
  </cellStyleXfs>
  <cellXfs count="33">
    <xf borderId="0" fillId="0" fontId="0" numFmtId="0" xfId="0"/>
    <xf applyBorder="1" applyFont="1" borderId="1" fillId="0" fontId="1" numFmtId="0" xfId="0"/>
    <xf applyBorder="1" borderId="1" fillId="0" fontId="0" numFmtId="0" xfId="0"/>
    <xf applyBorder="1" applyFont="1" borderId="0" fillId="0" fontId="1" numFmtId="0" xfId="0"/>
    <xf applyBorder="1" borderId="2" fillId="0" fontId="0" numFmtId="0" xfId="0"/>
    <xf applyAlignment="1" applyBorder="1" borderId="2" fillId="0" fontId="0" numFmtId="0" xfId="0">
      <alignment horizontal="center"/>
    </xf>
    <xf applyNumberFormat="1" borderId="0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2" fillId="0" fontId="0" numFmtId="3" xfId="0"/>
    <xf applyAlignment="1" applyBorder="1" borderId="0" fillId="0" fontId="0" numFmtId="0" xfId="0">
      <alignment horizontal="center"/>
    </xf>
    <xf applyBorder="1" applyFill="1" borderId="3" fillId="0" fontId="0" numFmtId="0" xfId="0"/>
    <xf applyNumberFormat="1" borderId="0" fillId="0" fontId="0" numFmtId="164" xfId="0"/>
    <xf applyBorder="1" applyNumberFormat="1" borderId="2" fillId="0" fontId="0" numFmtId="164" xfId="0"/>
    <xf applyBorder="1" applyNumberFormat="1" borderId="3" fillId="0" fontId="0" numFmtId="164" xfId="0"/>
    <xf applyBorder="1" applyNumberFormat="1" borderId="3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applyFont="1" borderId="0" fillId="3" fontId="3" numFmtId="0" xfId="0"/>
    <xf applyAlignment="1" applyBorder="1" applyFill="1" applyFont="1" borderId="0" fillId="3" fontId="4" numFmtId="0" xfId="0">
      <alignment horizontal="center"/>
    </xf>
    <xf applyBorder="1" applyFill="1" applyFont="1" borderId="2" fillId="3" fontId="4" numFmtId="0" xfId="0"/>
    <xf applyAlignment="1" applyBorder="1" applyFill="1" applyFont="1" borderId="2" fillId="3" fontId="4" numFmtId="0" xfId="0">
      <alignment horizontal="center"/>
    </xf>
    <xf applyFill="1" borderId="0" fillId="4" fontId="0" numFmtId="0" xfId="0"/>
    <xf applyBorder="1" applyFill="1" applyNumberFormat="1" borderId="1" fillId="4" fontId="0" numFmtId="3" xfId="0"/>
    <xf applyBorder="1" applyFill="1" applyNumberFormat="1" borderId="3" fillId="4" fontId="0" numFmtId="164" xfId="0"/>
    <xf applyAlignment="1" applyBorder="1" applyFill="1" applyFont="1" borderId="0" fillId="3" fontId="4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theme/theme1.xml" Type="http://schemas.openxmlformats.org/officeDocument/2006/relationships/theme"/>
<Relationship Id="rId12" Target="styles.xml" Type="http://schemas.openxmlformats.org/officeDocument/2006/relationships/styles"/>
<Relationship Id="rId13" Target="sharedStrings.xml" Type="http://schemas.openxmlformats.org/officeDocument/2006/relationships/sharedStrings"/>
<Relationship Id="rId14" Target="calcChain.xml" Type="http://schemas.openxmlformats.org/officeDocument/2006/relationships/calcChain"/>
<Relationship Id="rId15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AG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  <col min="24" max="24" customWidth="true" width="25.0" collapsed="true"/>
    <col min="25" max="33" customWidth="true" width="10.7109375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47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f>SUM(Work!B5,Workbased!B5,School!B5,Escort!B5,Personal_Business!B5,Shop!B5,Meal!B5,SocRec!B5)</f>
        <v>575094.55024312914</v>
      </c>
      <c r="C5" s="6">
        <f>SUM(Work!C5,Workbased!C5,School!C5,Escort!C5,Personal_Business!C5,Shop!C5,Meal!C5,SocRec!C5)</f>
        <v>130021.9640610826</v>
      </c>
      <c r="D5" s="6">
        <f>SUM(Work!D5,Workbased!D5,School!D5,Escort!D5,Personal_Business!D5,Shop!D5,Meal!D5,SocRec!D5)</f>
        <v>48087.806438316795</v>
      </c>
      <c r="E5" s="6">
        <f>SUM(Work!E5,Workbased!E5,School!E5,Escort!E5,Personal_Business!E5,Shop!E5,Meal!E5,SocRec!E5)</f>
        <v>11152.673759817</v>
      </c>
      <c r="F5" s="6">
        <f>SUM(Work!F5,Workbased!F5,School!F5,Escort!F5,Personal_Business!F5,Shop!F5,Meal!F5,SocRec!F5)</f>
        <v>3484.3174220500005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461.112895342</v>
      </c>
      <c r="J5" s="6">
        <f>SUM(B5:I5)</f>
        <v>768302.42481973767</v>
      </c>
      <c r="K5" s="6"/>
      <c r="L5" t="s">
        <v>1</v>
      </c>
      <c r="M5" s="6">
        <f>SUM(Work!M5,Workbased!M5,School!M5,Escort!M5,Personal_Business!M5,Shop!M5,Meal!M5,SocRec!M5)</f>
        <v>717041</v>
      </c>
      <c r="N5" s="6">
        <f>SUM(Work!N5,Workbased!N5,School!N5,Escort!N5,Personal_Business!N5,Shop!N5,Meal!N5,SocRec!N5)</f>
        <v>108523</v>
      </c>
      <c r="O5" s="6">
        <f>SUM(Work!O5,Workbased!O5,School!O5,Escort!O5,Personal_Business!O5,Shop!O5,Meal!O5,SocRec!O5)</f>
        <v>44706</v>
      </c>
      <c r="P5" s="6">
        <f>SUM(Work!P5,Workbased!P5,School!P5,Escort!P5,Personal_Business!P5,Shop!P5,Meal!P5,SocRec!P5)</f>
        <v>16098</v>
      </c>
      <c r="Q5" s="6">
        <f>SUM(Work!Q5,Workbased!Q5,School!Q5,Escort!Q5,Personal_Business!Q5,Shop!Q5,Meal!Q5,SocRec!Q5)</f>
        <v>1266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162</v>
      </c>
      <c r="U5" s="6">
        <f ref="U5:U15" si="0" t="shared">SUM(M5:T5)</f>
        <v>887796</v>
      </c>
    </row>
    <row r="6" spans="1:21" x14ac:dyDescent="0.2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417398.87121917441</v>
      </c>
      <c r="D6" s="6">
        <f>SUM(Work!D6,Workbased!D6,School!D6,Escort!D6,Personal_Business!D6,Shop!D6,Meal!D6,SocRec!D6)</f>
        <v>67986.862961393999</v>
      </c>
      <c r="E6" s="6">
        <f>SUM(Work!E6,Workbased!E6,School!E6,Escort!E6,Personal_Business!E6,Shop!E6,Meal!E6,SocRec!E6)</f>
        <v>1091.0953829300001</v>
      </c>
      <c r="F6" s="6">
        <f>SUM(Work!F6,Workbased!F6,School!F6,Escort!F6,Personal_Business!F6,Shop!F6,Meal!F6,SocRec!F6)</f>
        <v>5814.0274972161005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3607.0436249999998</v>
      </c>
      <c r="J6" s="6">
        <f ref="J6:J15" si="1" t="shared">SUM(B6:I6)</f>
        <v>495897.90068571456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360126</v>
      </c>
      <c r="O6" s="6">
        <f>SUM(Work!O6,Workbased!O6,School!O6,Escort!O6,Personal_Business!O6,Shop!O6,Meal!O6,SocRec!O6)</f>
        <v>64636</v>
      </c>
      <c r="P6" s="6">
        <f>SUM(Work!P6,Workbased!P6,School!P6,Escort!P6,Personal_Business!P6,Shop!P6,Meal!P6,SocRec!P6)</f>
        <v>752</v>
      </c>
      <c r="Q6" s="6">
        <f>SUM(Work!Q6,Workbased!Q6,School!Q6,Escort!Q6,Personal_Business!Q6,Shop!Q6,Meal!Q6,SocRec!Q6)</f>
        <v>3144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7233</v>
      </c>
      <c r="U6" s="6">
        <f si="0" t="shared"/>
        <v>435891</v>
      </c>
    </row>
    <row r="7" spans="1:21" x14ac:dyDescent="0.2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262566.81522792793</v>
      </c>
      <c r="E7" s="6">
        <f>SUM(Work!E7,Workbased!E7,School!E7,Escort!E7,Personal_Business!E7,Shop!E7,Meal!E7,SocRec!E7)</f>
        <v>665.41619533800008</v>
      </c>
      <c r="F7" s="6">
        <f>SUM(Work!F7,Workbased!F7,School!F7,Escort!F7,Personal_Business!F7,Shop!F7,Meal!F7,SocRec!F7)</f>
        <v>4228.3871660909999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4928.2512500000003</v>
      </c>
      <c r="J7" s="6">
        <f si="1" t="shared"/>
        <v>272388.86983935692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274957</v>
      </c>
      <c r="P7" s="6">
        <f>SUM(Work!P7,Workbased!P7,School!P7,Escort!P7,Personal_Business!P7,Shop!P7,Meal!P7,SocRec!P7)</f>
        <v>0</v>
      </c>
      <c r="Q7" s="6">
        <f>SUM(Work!Q7,Workbased!Q7,School!Q7,Escort!Q7,Personal_Business!Q7,Shop!Q7,Meal!Q7,SocRec!Q7)</f>
        <v>1407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1</v>
      </c>
      <c r="T7" s="6">
        <f>SUM(Work!T7,Workbased!T7,School!T7,Escort!T7,Personal_Business!T7,Shop!T7,Meal!T7,SocRec!T7)</f>
        <v>7078</v>
      </c>
      <c r="U7" s="6">
        <f si="0" t="shared"/>
        <v>283443</v>
      </c>
    </row>
    <row r="8" spans="1:21" x14ac:dyDescent="0.2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12324.113908806001</v>
      </c>
      <c r="F8" s="6">
        <f>SUM(Work!F8,Workbased!F8,School!F8,Escort!F8,Personal_Business!F8,Shop!F8,Meal!F8,SocRec!F8)</f>
        <v>88115.347499130294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367.92750000000001</v>
      </c>
      <c r="J8" s="6">
        <f si="1" t="shared"/>
        <v>100807.3889079363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12472</v>
      </c>
      <c r="Q8" s="6">
        <f>SUM(Work!Q8,Workbased!Q8,School!Q8,Escort!Q8,Personal_Business!Q8,Shop!Q8,Meal!Q8,SocRec!Q8)</f>
        <v>20249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50</v>
      </c>
      <c r="U8" s="6">
        <f si="0" t="shared"/>
        <v>32771</v>
      </c>
    </row>
    <row r="9" spans="1:21" x14ac:dyDescent="0.2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0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si="1" t="shared"/>
        <v>0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si="0" t="shared"/>
        <v>0</v>
      </c>
    </row>
    <row r="10" spans="1:21" x14ac:dyDescent="0.2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0</v>
      </c>
      <c r="F10" s="6">
        <f>SUM(Work!F10,Workbased!F10,School!F10,Escort!F10,Personal_Business!F10,Shop!F10,Meal!F10,SocRec!F10)</f>
        <v>0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si="1" t="shared"/>
        <v>0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0</v>
      </c>
      <c r="Q10" s="6">
        <f>SUM(Work!Q10,Workbased!Q10,School!Q10,Escort!Q10,Personal_Business!Q10,Shop!Q10,Meal!Q10,SocRec!Q10)</f>
        <v>0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0</v>
      </c>
      <c r="U10" s="6">
        <f si="0" t="shared"/>
        <v>0</v>
      </c>
    </row>
    <row r="11" spans="1:21" x14ac:dyDescent="0.2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0</v>
      </c>
      <c r="F11" s="6">
        <f>SUM(Work!F11,Workbased!F11,School!F11,Escort!F11,Personal_Business!F11,Shop!F11,Meal!F11,SocRec!F11)</f>
        <v>0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si="1" t="shared"/>
        <v>0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0</v>
      </c>
      <c r="Q11" s="6">
        <f>SUM(Work!Q11,Workbased!Q11,School!Q11,Escort!Q11,Personal_Business!Q11,Shop!Q11,Meal!Q11,SocRec!Q11)</f>
        <v>0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0</v>
      </c>
      <c r="U11" s="6">
        <f si="0" t="shared"/>
        <v>0</v>
      </c>
    </row>
    <row r="12" spans="1:21" x14ac:dyDescent="0.2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si="1" t="shared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0</v>
      </c>
      <c r="Q12" s="6">
        <f>SUM(Work!Q12,Workbased!Q12,School!Q12,Escort!Q12,Personal_Business!Q12,Shop!Q12,Meal!Q12,SocRec!Q12)</f>
        <v>0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0</v>
      </c>
      <c r="U12" s="6">
        <f si="0" t="shared"/>
        <v>0</v>
      </c>
    </row>
    <row r="13" spans="1:21" x14ac:dyDescent="0.2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34069.988872052003</v>
      </c>
      <c r="J13" s="6">
        <f si="1" t="shared"/>
        <v>34069.988872052003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42226</v>
      </c>
      <c r="U13" s="6">
        <f si="0" t="shared"/>
        <v>42226</v>
      </c>
    </row>
    <row r="14" spans="1:21" x14ac:dyDescent="0.25">
      <c r="A14" t="s">
        <v>4</v>
      </c>
      <c r="B14" s="6">
        <f>SUM(Work!B14,Workbased!B14,School!B14,Escort!B14,Personal_Business!B14,Shop!B14,Meal!B14,SocRec!B14)</f>
        <v>1008.17381248</v>
      </c>
      <c r="C14" s="6">
        <f>SUM(Work!C14,Workbased!C14,School!C14,Escort!C14,Personal_Business!C14,Shop!C14,Meal!C14,SocRec!C14)</f>
        <v>625.9179386088</v>
      </c>
      <c r="D14" s="6">
        <f>SUM(Work!D14,Workbased!D14,School!D14,Escort!D14,Personal_Business!D14,Shop!D14,Meal!D14,SocRec!D14)</f>
        <v>406.51049999999998</v>
      </c>
      <c r="E14" s="6">
        <f>SUM(Work!E14,Workbased!E14,School!E14,Escort!E14,Personal_Business!E14,Shop!E14,Meal!E14,SocRec!E14)</f>
        <v>0</v>
      </c>
      <c r="F14" s="6">
        <f>SUM(Work!F14,Workbased!F14,School!F14,Escort!F14,Personal_Business!F14,Shop!F14,Meal!F14,SocRec!F14)</f>
        <v>603.67342905399994</v>
      </c>
      <c r="G14" s="6">
        <f>SUM(Work!G14,Workbased!G14,School!G14,Escort!G14,Personal_Business!G14,Shop!G14,Meal!G14,SocRec!G14)</f>
        <v>18156.369856281002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0</v>
      </c>
      <c r="J14" s="6">
        <f si="1" t="shared"/>
        <v>20800.645536423803</v>
      </c>
      <c r="K14" s="6"/>
      <c r="L14" t="s">
        <v>4</v>
      </c>
      <c r="M14" s="6">
        <f>SUM(Work!M14,Workbased!M14,School!M14,Escort!M14,Personal_Business!M14,Shop!M14,Meal!M14,SocRec!M14)</f>
        <v>825</v>
      </c>
      <c r="N14" s="6">
        <f>SUM(Work!N14,Workbased!N14,School!N14,Escort!N14,Personal_Business!N14,Shop!N14,Meal!N14,SocRec!N14)</f>
        <v>1830</v>
      </c>
      <c r="O14" s="6">
        <f>SUM(Work!O14,Workbased!O14,School!O14,Escort!O14,Personal_Business!O14,Shop!O14,Meal!O14,SocRec!O14)</f>
        <v>1619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334</v>
      </c>
      <c r="R14" s="6">
        <f>SUM(Work!R14,Workbased!R14,School!R14,Escort!R14,Personal_Business!R14,Shop!R14,Meal!R14,SocRec!R14)</f>
        <v>22236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345</v>
      </c>
      <c r="U14" s="6">
        <f si="0" t="shared"/>
        <v>27189</v>
      </c>
    </row>
    <row r="15" spans="1:21" x14ac:dyDescent="0.25">
      <c r="A15" s="4" t="s">
        <v>5</v>
      </c>
      <c r="B15" s="6">
        <f>SUM(Work!B15,Workbased!B15,School!B15,Escort!B15,Personal_Business!B15,Shop!B15,Meal!B15,SocRec!B15)</f>
        <v>10983.906232606598</v>
      </c>
      <c r="C15" s="6">
        <f>SUM(Work!C15,Workbased!C15,School!C15,Escort!C15,Personal_Business!C15,Shop!C15,Meal!C15,SocRec!C15)</f>
        <v>12239.306168224801</v>
      </c>
      <c r="D15" s="6">
        <f>SUM(Work!D15,Workbased!D15,School!D15,Escort!D15,Personal_Business!D15,Shop!D15,Meal!D15,SocRec!D15)</f>
        <v>22879.417446959</v>
      </c>
      <c r="E15" s="6">
        <f>SUM(Work!E15,Workbased!E15,School!E15,Escort!E15,Personal_Business!E15,Shop!E15,Meal!E15,SocRec!E15)</f>
        <v>1062.5102455659999</v>
      </c>
      <c r="F15" s="6">
        <f>SUM(Work!F15,Workbased!F15,School!F15,Escort!F15,Personal_Business!F15,Shop!F15,Meal!F15,SocRec!F15)</f>
        <v>10940.805689868999</v>
      </c>
      <c r="G15" s="6">
        <f>SUM(Work!G15,Workbased!G15,School!G15,Escort!G15,Personal_Business!G15,Shop!G15,Meal!G15,SocRec!G15)</f>
        <v>294.71183288700001</v>
      </c>
      <c r="H15" s="6">
        <f>SUM(Work!H15,Workbased!H15,School!H15,Escort!H15,Personal_Business!H15,Shop!H15,Meal!H15,SocRec!H15)</f>
        <v>142468.16717003699</v>
      </c>
      <c r="I15" s="6">
        <f>SUM(Work!I15,Workbased!I15,School!I15,Escort!I15,Personal_Business!I15,Shop!I15,Meal!I15,SocRec!I15)</f>
        <v>1013.776875</v>
      </c>
      <c r="J15" s="6">
        <f si="1" t="shared"/>
        <v>201882.60166114938</v>
      </c>
      <c r="K15" s="6"/>
      <c r="L15" s="4" t="s">
        <v>5</v>
      </c>
      <c r="M15" s="6">
        <f>SUM(Work!M15,Workbased!M15,School!M15,Escort!M15,Personal_Business!M15,Shop!M15,Meal!M15,SocRec!M15)</f>
        <v>12086</v>
      </c>
      <c r="N15" s="6">
        <f>SUM(Work!N15,Workbased!N15,School!N15,Escort!N15,Personal_Business!N15,Shop!N15,Meal!N15,SocRec!N15)</f>
        <v>13180</v>
      </c>
      <c r="O15" s="6">
        <f>SUM(Work!O15,Workbased!O15,School!O15,Escort!O15,Personal_Business!O15,Shop!O15,Meal!O15,SocRec!O15)</f>
        <v>10215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5593</v>
      </c>
      <c r="R15" s="6">
        <f>SUM(Work!R15,Workbased!R15,School!R15,Escort!R15,Personal_Business!R15,Shop!R15,Meal!R15,SocRec!R15)</f>
        <v>2372</v>
      </c>
      <c r="S15" s="6">
        <f>SUM(Work!S15,Workbased!S15,School!S15,Escort!S15,Personal_Business!S15,Shop!S15,Meal!S15,SocRec!S15)</f>
        <v>159740</v>
      </c>
      <c r="T15" s="6">
        <f>SUM(Work!T15,Workbased!T15,School!T15,Escort!T15,Personal_Business!T15,Shop!T15,Meal!T15,SocRec!T15)</f>
        <v>3529</v>
      </c>
      <c r="U15" s="6">
        <f si="0" t="shared"/>
        <v>206715</v>
      </c>
    </row>
    <row ht="15.75" r="16" spans="1:21" thickBot="1" x14ac:dyDescent="0.3">
      <c r="A16" s="12" t="s">
        <v>7</v>
      </c>
      <c r="B16" s="16">
        <f ref="B16:J16" si="2" t="shared">SUM(B5:B15)</f>
        <v>587086.6302882157</v>
      </c>
      <c r="C16" s="16">
        <f si="2" t="shared"/>
        <v>560286.05938709062</v>
      </c>
      <c r="D16" s="16">
        <f si="2" t="shared"/>
        <v>401927.41257459769</v>
      </c>
      <c r="E16" s="16">
        <f si="2" t="shared"/>
        <v>26295.809492457003</v>
      </c>
      <c r="F16" s="16">
        <f si="2" t="shared"/>
        <v>113186.5587034104</v>
      </c>
      <c r="G16" s="16">
        <f si="2" t="shared"/>
        <v>18451.081689168001</v>
      </c>
      <c r="H16" s="16">
        <f si="2" t="shared"/>
        <v>142468.16717003699</v>
      </c>
      <c r="I16" s="16">
        <f si="2" t="shared"/>
        <v>44448.101017394009</v>
      </c>
      <c r="J16" s="16">
        <f si="2" t="shared"/>
        <v>1894149.8203223709</v>
      </c>
      <c r="L16" s="9" t="s">
        <v>7</v>
      </c>
      <c r="M16" s="16">
        <f ref="M16:U16" si="3" t="shared">SUM(M5:M15)</f>
        <v>729952</v>
      </c>
      <c r="N16" s="16">
        <f si="3" t="shared"/>
        <v>483659</v>
      </c>
      <c r="O16" s="16">
        <f si="3" t="shared"/>
        <v>396133</v>
      </c>
      <c r="P16" s="16">
        <f si="3" t="shared"/>
        <v>29322</v>
      </c>
      <c r="Q16" s="16">
        <f si="3" t="shared"/>
        <v>31993</v>
      </c>
      <c r="R16" s="16">
        <f si="3" t="shared"/>
        <v>24608</v>
      </c>
      <c r="S16" s="16">
        <f si="3" t="shared"/>
        <v>159741</v>
      </c>
      <c r="T16" s="16">
        <f si="3" t="shared"/>
        <v>60623</v>
      </c>
      <c r="U16" s="16">
        <f si="3" t="shared"/>
        <v>1916031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47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D33" si="4" t="shared">B5/B$16</f>
        <v>0.97957357666414691</v>
      </c>
      <c r="C22" s="13">
        <f si="4" t="shared"/>
        <v>0.23206353590756215</v>
      </c>
      <c r="D22" s="13">
        <f si="4" t="shared"/>
        <v>0.11964301247900502</v>
      </c>
      <c r="E22" s="13">
        <f ref="E22:E33" si="5" t="shared">IF(E$16&gt;0,E5/E$16,0)</f>
        <v>0.42412361418332312</v>
      </c>
      <c r="F22" s="13">
        <f ref="F22:J33" si="6" t="shared">F5/F$16</f>
        <v>3.0783844495000229E-2</v>
      </c>
      <c r="G22" s="13">
        <f si="6" t="shared"/>
        <v>0</v>
      </c>
      <c r="H22" s="13">
        <f si="6" t="shared"/>
        <v>0</v>
      </c>
      <c r="I22" s="13">
        <f si="6" t="shared"/>
        <v>1.0374186630865317E-2</v>
      </c>
      <c r="J22" s="13">
        <f si="6" t="shared"/>
        <v>0.40561861399589716</v>
      </c>
      <c r="K22" s="6"/>
      <c r="L22" t="s">
        <v>1</v>
      </c>
      <c r="M22" s="13">
        <f ref="M22:P22" si="7" t="shared">M5/M$16</f>
        <v>0.9823125356187804</v>
      </c>
      <c r="N22" s="13">
        <f si="7" t="shared"/>
        <v>0.22437915969722469</v>
      </c>
      <c r="O22" s="13">
        <f si="7" t="shared"/>
        <v>0.11285603572537506</v>
      </c>
      <c r="P22" s="13">
        <f si="7" t="shared"/>
        <v>0.54900757110701859</v>
      </c>
      <c r="Q22" s="13">
        <f ref="Q22:U33" si="8" t="shared">Q5/Q$16</f>
        <v>3.9571156190416651E-2</v>
      </c>
      <c r="R22" s="13">
        <f si="8" t="shared"/>
        <v>0</v>
      </c>
      <c r="S22" s="13">
        <f si="8" t="shared"/>
        <v>0</v>
      </c>
      <c r="T22" s="13">
        <f si="8" t="shared"/>
        <v>2.6722531052570807E-3</v>
      </c>
      <c r="U22" s="13">
        <f si="8" t="shared"/>
        <v>0.46335158460379816</v>
      </c>
    </row>
    <row r="23" spans="1:21" x14ac:dyDescent="0.25">
      <c r="A23" t="s">
        <v>12</v>
      </c>
      <c r="B23" s="13">
        <f si="4" t="shared"/>
        <v>0</v>
      </c>
      <c r="C23" s="13">
        <f si="4" t="shared"/>
        <v>0.74497457901375652</v>
      </c>
      <c r="D23" s="13">
        <f si="4" t="shared"/>
        <v>0.16915209272713053</v>
      </c>
      <c r="E23" s="13">
        <f si="5" t="shared"/>
        <v>4.1493127764063803E-2</v>
      </c>
      <c r="F23" s="13">
        <f si="6" t="shared"/>
        <v>5.1366766193951967E-2</v>
      </c>
      <c r="G23" s="13">
        <f si="6" t="shared"/>
        <v>0</v>
      </c>
      <c r="H23" s="13">
        <f si="6" t="shared"/>
        <v>0</v>
      </c>
      <c r="I23" s="13">
        <f si="6" t="shared"/>
        <v>8.1151804968865704E-2</v>
      </c>
      <c r="J23" s="13">
        <f si="6" t="shared"/>
        <v>0.261805003683033</v>
      </c>
      <c r="K23" s="6"/>
      <c r="L23" t="s">
        <v>12</v>
      </c>
      <c r="M23" s="13">
        <f ref="M23:P23" si="9" t="shared">M6/M$16</f>
        <v>0</v>
      </c>
      <c r="N23" s="13">
        <f si="9" t="shared"/>
        <v>0.74458657856051469</v>
      </c>
      <c r="O23" s="13">
        <f si="9" t="shared"/>
        <v>0.16316742104293255</v>
      </c>
      <c r="P23" s="13">
        <f si="9" t="shared"/>
        <v>2.5646272423436329E-2</v>
      </c>
      <c r="Q23" s="13">
        <f si="8" t="shared"/>
        <v>9.8271496889944673E-2</v>
      </c>
      <c r="R23" s="13">
        <f si="8" t="shared"/>
        <v>0</v>
      </c>
      <c r="S23" s="13">
        <f si="8" t="shared"/>
        <v>0</v>
      </c>
      <c r="T23" s="13">
        <f si="8" t="shared"/>
        <v>0.11931115253286706</v>
      </c>
      <c r="U23" s="13">
        <f si="8" t="shared"/>
        <v>0.2274968411262657</v>
      </c>
    </row>
    <row r="24" spans="1:21" x14ac:dyDescent="0.25">
      <c r="A24" t="s">
        <v>56</v>
      </c>
      <c r="B24" s="13">
        <f si="4" t="shared"/>
        <v>0</v>
      </c>
      <c r="C24" s="13">
        <f si="4" t="shared"/>
        <v>0</v>
      </c>
      <c r="D24" s="13">
        <f si="4" t="shared"/>
        <v>0.65326923970182194</v>
      </c>
      <c r="E24" s="13">
        <f si="5" t="shared"/>
        <v>2.5305027994246606E-2</v>
      </c>
      <c r="F24" s="13">
        <f si="6" t="shared"/>
        <v>3.7357679343983763E-2</v>
      </c>
      <c r="G24" s="13">
        <f si="6" t="shared"/>
        <v>0</v>
      </c>
      <c r="H24" s="13">
        <f si="6" t="shared"/>
        <v>0</v>
      </c>
      <c r="I24" s="13">
        <f si="6" t="shared"/>
        <v>0.11087653099221073</v>
      </c>
      <c r="J24" s="13">
        <f si="6" t="shared"/>
        <v>0.14380534576351425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0.69410273822175883</v>
      </c>
      <c r="P24" s="13">
        <f si="10" t="shared"/>
        <v>0</v>
      </c>
      <c r="Q24" s="13">
        <f si="8" t="shared"/>
        <v>4.3978370268496235E-2</v>
      </c>
      <c r="R24" s="13">
        <f si="8" t="shared"/>
        <v>0</v>
      </c>
      <c r="S24" s="13">
        <f si="8" t="shared"/>
        <v>6.2601335912508369E-6</v>
      </c>
      <c r="T24" s="13">
        <f si="8" t="shared"/>
        <v>0.11675436715438035</v>
      </c>
      <c r="U24" s="13">
        <f si="8" t="shared"/>
        <v>0.1479323664387476</v>
      </c>
    </row>
    <row r="25" spans="1:21" x14ac:dyDescent="0.25">
      <c r="A25" t="s">
        <v>51</v>
      </c>
      <c r="B25" s="13">
        <f si="4" t="shared"/>
        <v>0</v>
      </c>
      <c r="C25" s="13">
        <f si="4" t="shared"/>
        <v>0</v>
      </c>
      <c r="D25" s="13">
        <f si="4" t="shared"/>
        <v>0</v>
      </c>
      <c r="E25" s="13">
        <f si="5" t="shared"/>
        <v>0.46867216285321789</v>
      </c>
      <c r="F25" s="13">
        <f si="6" t="shared"/>
        <v>0.77849656804236167</v>
      </c>
      <c r="G25" s="13">
        <f si="6" t="shared"/>
        <v>0</v>
      </c>
      <c r="H25" s="13">
        <f si="6" t="shared"/>
        <v>0</v>
      </c>
      <c r="I25" s="13">
        <f si="6" t="shared"/>
        <v>8.2776877206973999E-3</v>
      </c>
      <c r="J25" s="13">
        <f si="6" t="shared"/>
        <v>5.3220388285220015E-2</v>
      </c>
      <c r="K25" s="6"/>
      <c r="L25" t="s">
        <v>51</v>
      </c>
      <c r="M25" s="13">
        <f ref="M25:P25" si="11" t="shared">M8/M$16</f>
        <v>0</v>
      </c>
      <c r="N25" s="13">
        <f si="11" t="shared"/>
        <v>0</v>
      </c>
      <c r="O25" s="13">
        <f si="11" t="shared"/>
        <v>0</v>
      </c>
      <c r="P25" s="13">
        <f si="11" t="shared"/>
        <v>0.42534615646954504</v>
      </c>
      <c r="Q25" s="13">
        <f si="8" t="shared"/>
        <v>0.63291970118463414</v>
      </c>
      <c r="R25" s="13">
        <f si="8" t="shared"/>
        <v>0</v>
      </c>
      <c r="S25" s="13">
        <f si="8" t="shared"/>
        <v>0</v>
      </c>
      <c r="T25" s="13">
        <f si="8" t="shared"/>
        <v>8.247694769311977E-4</v>
      </c>
      <c r="U25" s="13">
        <f si="8" t="shared"/>
        <v>1.7103585484785997E-2</v>
      </c>
    </row>
    <row r="26" spans="1:21" x14ac:dyDescent="0.25">
      <c r="A26" t="s">
        <v>52</v>
      </c>
      <c r="B26" s="13">
        <f si="4" t="shared"/>
        <v>0</v>
      </c>
      <c r="C26" s="13">
        <f si="4" t="shared"/>
        <v>0</v>
      </c>
      <c r="D26" s="13">
        <f si="4" t="shared"/>
        <v>0</v>
      </c>
      <c r="E26" s="13">
        <f si="5" t="shared"/>
        <v>0</v>
      </c>
      <c r="F26" s="13">
        <f si="6" t="shared"/>
        <v>0</v>
      </c>
      <c r="G26" s="13">
        <f si="6" t="shared"/>
        <v>0</v>
      </c>
      <c r="H26" s="13">
        <f si="6" t="shared"/>
        <v>0</v>
      </c>
      <c r="I26" s="13">
        <f si="6" t="shared"/>
        <v>0</v>
      </c>
      <c r="J26" s="13">
        <f si="6" t="shared"/>
        <v>0</v>
      </c>
      <c r="K26" s="6"/>
      <c r="L26" t="s">
        <v>52</v>
      </c>
      <c r="M26" s="13">
        <f ref="M26:P26" si="12" t="shared">M9/M$16</f>
        <v>0</v>
      </c>
      <c r="N26" s="13">
        <f si="12" t="shared"/>
        <v>0</v>
      </c>
      <c r="O26" s="13">
        <f si="12" t="shared"/>
        <v>0</v>
      </c>
      <c r="P26" s="13">
        <f si="12" t="shared"/>
        <v>0</v>
      </c>
      <c r="Q26" s="13">
        <f si="8" t="shared"/>
        <v>0</v>
      </c>
      <c r="R26" s="13">
        <f si="8" t="shared"/>
        <v>0</v>
      </c>
      <c r="S26" s="13">
        <f si="8" t="shared"/>
        <v>0</v>
      </c>
      <c r="T26" s="13">
        <f si="8" t="shared"/>
        <v>0</v>
      </c>
      <c r="U26" s="13">
        <f si="8" t="shared"/>
        <v>0</v>
      </c>
    </row>
    <row r="27" spans="1:21" x14ac:dyDescent="0.25">
      <c r="A27" t="s">
        <v>53</v>
      </c>
      <c r="B27" s="13">
        <f si="4" t="shared"/>
        <v>0</v>
      </c>
      <c r="C27" s="13">
        <f si="4" t="shared"/>
        <v>0</v>
      </c>
      <c r="D27" s="13">
        <f si="4" t="shared"/>
        <v>0</v>
      </c>
      <c r="E27" s="13">
        <f si="5" t="shared"/>
        <v>0</v>
      </c>
      <c r="F27" s="13">
        <f si="6" t="shared"/>
        <v>0</v>
      </c>
      <c r="G27" s="13">
        <f si="6" t="shared"/>
        <v>0</v>
      </c>
      <c r="H27" s="13">
        <f si="6" t="shared"/>
        <v>0</v>
      </c>
      <c r="I27" s="13">
        <f si="6" t="shared"/>
        <v>0</v>
      </c>
      <c r="J27" s="13">
        <f si="6" t="shared"/>
        <v>0</v>
      </c>
      <c r="K27" s="6"/>
      <c r="L27" t="s">
        <v>53</v>
      </c>
      <c r="M27" s="13">
        <f ref="M27:P27" si="13" t="shared">M10/M$16</f>
        <v>0</v>
      </c>
      <c r="N27" s="13">
        <f si="13" t="shared"/>
        <v>0</v>
      </c>
      <c r="O27" s="13">
        <f si="13" t="shared"/>
        <v>0</v>
      </c>
      <c r="P27" s="13">
        <f si="13" t="shared"/>
        <v>0</v>
      </c>
      <c r="Q27" s="13">
        <f si="8" t="shared"/>
        <v>0</v>
      </c>
      <c r="R27" s="13">
        <f si="8" t="shared"/>
        <v>0</v>
      </c>
      <c r="S27" s="13">
        <f si="8" t="shared"/>
        <v>0</v>
      </c>
      <c r="T27" s="13">
        <f si="8" t="shared"/>
        <v>0</v>
      </c>
      <c r="U27" s="13">
        <f si="8" t="shared"/>
        <v>0</v>
      </c>
    </row>
    <row r="28" spans="1:21" x14ac:dyDescent="0.25">
      <c r="A28" t="s">
        <v>54</v>
      </c>
      <c r="B28" s="13">
        <f si="4" t="shared"/>
        <v>0</v>
      </c>
      <c r="C28" s="13">
        <f si="4" t="shared"/>
        <v>0</v>
      </c>
      <c r="D28" s="13">
        <f si="4" t="shared"/>
        <v>0</v>
      </c>
      <c r="E28" s="13">
        <f si="5" t="shared"/>
        <v>0</v>
      </c>
      <c r="F28" s="13">
        <f si="6" t="shared"/>
        <v>0</v>
      </c>
      <c r="G28" s="13">
        <f si="6" t="shared"/>
        <v>0</v>
      </c>
      <c r="H28" s="13">
        <f si="6" t="shared"/>
        <v>0</v>
      </c>
      <c r="I28" s="13">
        <f si="6" t="shared"/>
        <v>0</v>
      </c>
      <c r="J28" s="13">
        <f si="6" t="shared"/>
        <v>0</v>
      </c>
      <c r="K28" s="6"/>
      <c r="L28" t="s">
        <v>54</v>
      </c>
      <c r="M28" s="13">
        <f ref="M28:P28" si="14" t="shared">M11/M$16</f>
        <v>0</v>
      </c>
      <c r="N28" s="13">
        <f si="14" t="shared"/>
        <v>0</v>
      </c>
      <c r="O28" s="13">
        <f si="14" t="shared"/>
        <v>0</v>
      </c>
      <c r="P28" s="13">
        <f si="14" t="shared"/>
        <v>0</v>
      </c>
      <c r="Q28" s="13">
        <f si="8" t="shared"/>
        <v>0</v>
      </c>
      <c r="R28" s="13">
        <f si="8" t="shared"/>
        <v>0</v>
      </c>
      <c r="S28" s="13">
        <f si="8" t="shared"/>
        <v>0</v>
      </c>
      <c r="T28" s="13">
        <f si="8" t="shared"/>
        <v>0</v>
      </c>
      <c r="U28" s="13">
        <f si="8" t="shared"/>
        <v>0</v>
      </c>
    </row>
    <row r="29" spans="1:21" x14ac:dyDescent="0.25">
      <c r="A29" t="s">
        <v>55</v>
      </c>
      <c r="B29" s="13">
        <f si="4" t="shared"/>
        <v>0</v>
      </c>
      <c r="C29" s="13">
        <f si="4" t="shared"/>
        <v>0</v>
      </c>
      <c r="D29" s="13">
        <f si="4" t="shared"/>
        <v>0</v>
      </c>
      <c r="E29" s="13">
        <f si="5" t="shared"/>
        <v>0</v>
      </c>
      <c r="F29" s="13">
        <f si="6" t="shared"/>
        <v>0</v>
      </c>
      <c r="G29" s="13">
        <f si="6" t="shared"/>
        <v>0</v>
      </c>
      <c r="H29" s="13">
        <f si="6" t="shared"/>
        <v>0</v>
      </c>
      <c r="I29" s="13">
        <f si="6" t="shared"/>
        <v>0</v>
      </c>
      <c r="J29" s="13">
        <f si="6" t="shared"/>
        <v>0</v>
      </c>
      <c r="K29" s="6"/>
      <c r="L29" t="s">
        <v>55</v>
      </c>
      <c r="M29" s="13">
        <f ref="M29:P29" si="15" t="shared">M12/M$16</f>
        <v>0</v>
      </c>
      <c r="N29" s="13">
        <f si="15" t="shared"/>
        <v>0</v>
      </c>
      <c r="O29" s="13">
        <f si="15" t="shared"/>
        <v>0</v>
      </c>
      <c r="P29" s="13">
        <f si="15" t="shared"/>
        <v>0</v>
      </c>
      <c r="Q29" s="13">
        <f si="8" t="shared"/>
        <v>0</v>
      </c>
      <c r="R29" s="13">
        <f si="8" t="shared"/>
        <v>0</v>
      </c>
      <c r="S29" s="13">
        <f si="8" t="shared"/>
        <v>0</v>
      </c>
      <c r="T29" s="13">
        <f si="8" t="shared"/>
        <v>0</v>
      </c>
      <c r="U29" s="13">
        <f si="8" t="shared"/>
        <v>0</v>
      </c>
    </row>
    <row r="30" spans="1:21" x14ac:dyDescent="0.25">
      <c r="A30" t="s">
        <v>24</v>
      </c>
      <c r="B30" s="13">
        <f si="4" t="shared"/>
        <v>0</v>
      </c>
      <c r="C30" s="13">
        <f si="4" t="shared"/>
        <v>0</v>
      </c>
      <c r="D30" s="13">
        <f si="4" t="shared"/>
        <v>0</v>
      </c>
      <c r="E30" s="13">
        <f si="5" t="shared"/>
        <v>0</v>
      </c>
      <c r="F30" s="13">
        <f si="6" t="shared"/>
        <v>0</v>
      </c>
      <c r="G30" s="13">
        <f si="6" t="shared"/>
        <v>0</v>
      </c>
      <c r="H30" s="13">
        <f si="6" t="shared"/>
        <v>0</v>
      </c>
      <c r="I30" s="13">
        <f si="6" t="shared"/>
        <v>0.76651168648845747</v>
      </c>
      <c r="J30" s="13">
        <f si="6" t="shared"/>
        <v>1.7986955681390363E-2</v>
      </c>
      <c r="K30" s="6"/>
      <c r="L30" t="s">
        <v>24</v>
      </c>
      <c r="M30" s="13">
        <f ref="M30:P30" si="16" t="shared">M13/M$16</f>
        <v>0</v>
      </c>
      <c r="N30" s="13">
        <f si="16" t="shared"/>
        <v>0</v>
      </c>
      <c r="O30" s="13">
        <f si="16" t="shared"/>
        <v>0</v>
      </c>
      <c r="P30" s="13">
        <f si="16" t="shared"/>
        <v>0</v>
      </c>
      <c r="Q30" s="13">
        <f si="8" t="shared"/>
        <v>0</v>
      </c>
      <c r="R30" s="13">
        <f si="8" t="shared"/>
        <v>0</v>
      </c>
      <c r="S30" s="13">
        <f si="8" t="shared"/>
        <v>0</v>
      </c>
      <c r="T30" s="13">
        <f si="8" t="shared"/>
        <v>0.69653431865793514</v>
      </c>
      <c r="U30" s="13">
        <f si="8" t="shared"/>
        <v>2.2038265560421516E-2</v>
      </c>
    </row>
    <row r="31" spans="1:21" x14ac:dyDescent="0.25">
      <c r="A31" t="s">
        <v>4</v>
      </c>
      <c r="B31" s="13">
        <f si="4" t="shared"/>
        <v>1.7172488019103109E-3</v>
      </c>
      <c r="C31" s="13">
        <f si="4" t="shared"/>
        <v>1.1171399468576919E-3</v>
      </c>
      <c r="D31" s="13">
        <f si="4" t="shared"/>
        <v>1.0114027739388182E-3</v>
      </c>
      <c r="E31" s="13">
        <f si="5" t="shared"/>
        <v>0</v>
      </c>
      <c r="F31" s="13">
        <f si="6" t="shared"/>
        <v>5.3334374325828037E-3</v>
      </c>
      <c r="G31" s="13">
        <f si="6" t="shared"/>
        <v>0.98402739536620154</v>
      </c>
      <c r="H31" s="13">
        <f si="6" t="shared"/>
        <v>0</v>
      </c>
      <c r="I31" s="13">
        <f si="6" t="shared"/>
        <v>0</v>
      </c>
      <c r="J31" s="13">
        <f si="6" t="shared"/>
        <v>1.0981520739940033E-2</v>
      </c>
      <c r="K31" s="6"/>
      <c r="L31" t="s">
        <v>4</v>
      </c>
      <c r="M31" s="13">
        <f ref="M31:P31" si="17" t="shared">M14/M$16</f>
        <v>1.1302113015650343E-3</v>
      </c>
      <c r="N31" s="13">
        <f si="17" t="shared"/>
        <v>3.7836574942263041E-3</v>
      </c>
      <c r="O31" s="13">
        <f si="17" t="shared"/>
        <v>4.0870111805883375E-3</v>
      </c>
      <c r="P31" s="13">
        <f si="17" t="shared"/>
        <v>0</v>
      </c>
      <c r="Q31" s="13">
        <f si="8" t="shared"/>
        <v>1.0439783702684962E-2</v>
      </c>
      <c r="R31" s="13">
        <f si="8" t="shared"/>
        <v>0.90360858257477239</v>
      </c>
      <c r="S31" s="13">
        <f si="8" t="shared"/>
        <v>0</v>
      </c>
      <c r="T31" s="13">
        <f si="8" t="shared"/>
        <v>5.6909093908252646E-3</v>
      </c>
      <c r="U31" s="13">
        <f si="8" t="shared"/>
        <v>1.41902714517667E-2</v>
      </c>
    </row>
    <row r="32" spans="1:21" x14ac:dyDescent="0.25">
      <c r="A32" s="4" t="s">
        <v>5</v>
      </c>
      <c r="B32" s="14">
        <f si="4" t="shared"/>
        <v>1.8709174533942836E-2</v>
      </c>
      <c r="C32" s="14">
        <f si="4" t="shared"/>
        <v>2.1844745131823644E-2</v>
      </c>
      <c r="D32" s="14">
        <f si="4" t="shared"/>
        <v>5.6924252318103788E-2</v>
      </c>
      <c r="E32" s="13">
        <f si="5" t="shared"/>
        <v>4.0406067205148513E-2</v>
      </c>
      <c r="F32" s="14">
        <f si="6" t="shared"/>
        <v>9.6661704492119568E-2</v>
      </c>
      <c r="G32" s="14">
        <f si="6" t="shared"/>
        <v>1.5972604633798529E-2</v>
      </c>
      <c r="H32" s="14">
        <f si="6" t="shared"/>
        <v>1</v>
      </c>
      <c r="I32" s="14">
        <f si="6" t="shared"/>
        <v>2.2808103198903272E-2</v>
      </c>
      <c r="J32" s="14">
        <f si="6" t="shared"/>
        <v>0.10658217185100512</v>
      </c>
      <c r="K32" s="6"/>
      <c r="L32" s="4" t="s">
        <v>5</v>
      </c>
      <c r="M32" s="14">
        <f ref="M32:P32" si="18" t="shared">M15/M$16</f>
        <v>1.6557253079654551E-2</v>
      </c>
      <c r="N32" s="14">
        <f si="18" t="shared"/>
        <v>2.7250604248034254E-2</v>
      </c>
      <c r="O32" s="14">
        <f si="18" t="shared"/>
        <v>2.5786793829345196E-2</v>
      </c>
      <c r="P32" s="14">
        <f si="18" t="shared"/>
        <v>0</v>
      </c>
      <c r="Q32" s="14">
        <f si="8" t="shared"/>
        <v>0.17481949176382333</v>
      </c>
      <c r="R32" s="14">
        <f si="8" t="shared"/>
        <v>9.6391417425227569E-2</v>
      </c>
      <c r="S32" s="14">
        <f si="8" t="shared"/>
        <v>0.99999373986640872</v>
      </c>
      <c r="T32" s="14">
        <f si="8" t="shared"/>
        <v>5.8212229681803937E-2</v>
      </c>
      <c r="U32" s="14">
        <f si="8" t="shared"/>
        <v>0.10788708533421432</v>
      </c>
    </row>
    <row ht="15.75" r="33" spans="1:32" thickBot="1" x14ac:dyDescent="0.3">
      <c r="A33" s="12" t="s">
        <v>7</v>
      </c>
      <c r="B33" s="15">
        <f si="4" t="shared"/>
        <v>1</v>
      </c>
      <c r="C33" s="15">
        <f si="4" t="shared"/>
        <v>1</v>
      </c>
      <c r="D33" s="15">
        <f si="4" t="shared"/>
        <v>1</v>
      </c>
      <c r="E33" s="15">
        <f si="5" t="shared"/>
        <v>1</v>
      </c>
      <c r="F33" s="15">
        <f si="6" t="shared"/>
        <v>1</v>
      </c>
      <c r="G33" s="15">
        <f si="6" t="shared"/>
        <v>1</v>
      </c>
      <c r="H33" s="15">
        <f si="6" t="shared"/>
        <v>1</v>
      </c>
      <c r="I33" s="15">
        <f si="6" t="shared"/>
        <v>1</v>
      </c>
      <c r="J33" s="15">
        <f si="6" t="shared"/>
        <v>1</v>
      </c>
      <c r="L33" s="9" t="s">
        <v>7</v>
      </c>
      <c r="M33" s="15">
        <f ref="M33:P33" si="19" t="shared">M16/M$16</f>
        <v>1</v>
      </c>
      <c r="N33" s="15">
        <f si="19" t="shared"/>
        <v>1</v>
      </c>
      <c r="O33" s="15">
        <f si="19" t="shared"/>
        <v>1</v>
      </c>
      <c r="P33" s="15">
        <f si="19" t="shared"/>
        <v>1</v>
      </c>
      <c r="Q33" s="15">
        <f si="8" t="shared"/>
        <v>1</v>
      </c>
      <c r="R33" s="15">
        <f si="8" t="shared"/>
        <v>1</v>
      </c>
      <c r="S33" s="15">
        <f si="8" t="shared"/>
        <v>1</v>
      </c>
      <c r="T33" s="15">
        <f si="8" t="shared"/>
        <v>1</v>
      </c>
      <c r="U33" s="15">
        <f si="8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25">
      <c r="L37" s="3"/>
      <c r="M37" s="31" t="s">
        <v>47</v>
      </c>
      <c r="N37" s="32"/>
      <c r="O37" s="32"/>
      <c r="P37" s="32"/>
      <c r="Q37" s="32"/>
      <c r="R37" s="32"/>
      <c r="S37" s="32"/>
      <c r="T37" s="32"/>
      <c r="U37" s="32"/>
      <c r="W37" s="23"/>
      <c r="X37" s="30" t="s">
        <v>47</v>
      </c>
      <c r="Y37" s="30"/>
      <c r="Z37" s="30"/>
      <c r="AA37" s="30"/>
      <c r="AB37" s="30"/>
      <c r="AC37" s="30"/>
      <c r="AD37" s="30"/>
      <c r="AE37" s="30"/>
      <c r="AF37" s="24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25">
      <c r="L39" t="s">
        <v>1</v>
      </c>
      <c r="M39" s="13">
        <f ref="M39:P44" si="20" t="shared">M22-B22</f>
        <v>2.7389589546334969E-3</v>
      </c>
      <c r="N39" s="13">
        <f si="20" t="shared"/>
        <v>-7.6843762103374624E-3</v>
      </c>
      <c r="O39" s="13">
        <f si="20" t="shared"/>
        <v>-6.7869767536299641E-3</v>
      </c>
      <c r="P39" s="13">
        <f si="20" t="shared"/>
        <v>0.12488395692369547</v>
      </c>
      <c r="Q39" s="13">
        <f ref="Q39:Q50" si="21" t="shared">Q22-F22</f>
        <v>8.7873116954164214E-3</v>
      </c>
      <c r="R39" s="13">
        <f ref="R39:R50" si="22" t="shared">R22-G22</f>
        <v>0</v>
      </c>
      <c r="S39" s="13">
        <f ref="S39:S50" si="23" t="shared">S22-H22</f>
        <v>0</v>
      </c>
      <c r="T39" s="13">
        <f ref="T39:T50" si="24" t="shared">T22-I22</f>
        <v>-7.7019335256082368E-3</v>
      </c>
      <c r="U39" s="13">
        <f ref="U39:U50" si="25" t="shared">U22-J22</f>
        <v>5.7732970607901002E-2</v>
      </c>
      <c r="W39" s="21" t="s">
        <v>1</v>
      </c>
      <c r="X39" s="22">
        <f>M39</f>
        <v>2.7389589546334969E-3</v>
      </c>
      <c r="Y39" s="22">
        <f ref="Y39:AF39" si="26" t="shared">N39</f>
        <v>-7.6843762103374624E-3</v>
      </c>
      <c r="Z39" s="22">
        <f si="26" t="shared"/>
        <v>-6.7869767536299641E-3</v>
      </c>
      <c r="AA39" s="22">
        <f si="26" t="shared"/>
        <v>0.12488395692369547</v>
      </c>
      <c r="AB39" s="22">
        <f si="26" t="shared"/>
        <v>8.7873116954164214E-3</v>
      </c>
      <c r="AC39" s="22">
        <f si="26" t="shared"/>
        <v>0</v>
      </c>
      <c r="AD39" s="22">
        <f si="26" t="shared"/>
        <v>0</v>
      </c>
      <c r="AE39" s="22">
        <f si="26" t="shared"/>
        <v>-7.7019335256082368E-3</v>
      </c>
      <c r="AF39" s="22">
        <f si="26" t="shared"/>
        <v>5.7732970607901002E-2</v>
      </c>
    </row>
    <row r="40" spans="1:32" x14ac:dyDescent="0.25">
      <c r="L40" t="s">
        <v>9</v>
      </c>
      <c r="M40" s="13">
        <f si="20" t="shared"/>
        <v>0</v>
      </c>
      <c r="N40" s="13">
        <f si="20" t="shared"/>
        <v>-3.8800045324183241E-4</v>
      </c>
      <c r="O40" s="13">
        <f si="20" t="shared"/>
        <v>-5.984671684197973E-3</v>
      </c>
      <c r="P40" s="13">
        <f si="20" t="shared"/>
        <v>-1.5846855340627474E-2</v>
      </c>
      <c r="Q40" s="13">
        <f si="21" t="shared"/>
        <v>4.6904730695992707E-2</v>
      </c>
      <c r="R40" s="13">
        <f si="22" t="shared"/>
        <v>0</v>
      </c>
      <c r="S40" s="13">
        <f si="23" t="shared"/>
        <v>0</v>
      </c>
      <c r="T40" s="13">
        <f si="24" t="shared"/>
        <v>3.8159347564001356E-2</v>
      </c>
      <c r="U40" s="13">
        <f si="25" t="shared"/>
        <v>-3.4308162556767302E-2</v>
      </c>
      <c r="W40" s="27" t="s">
        <v>9</v>
      </c>
      <c r="X40" s="22">
        <f ref="X40:X49" si="27" t="shared">M40</f>
        <v>0</v>
      </c>
      <c r="Y40" s="22">
        <f ref="Y40:Y50" si="28" t="shared">N40</f>
        <v>-3.8800045324183241E-4</v>
      </c>
      <c r="Z40" s="22">
        <f ref="Z40:Z50" si="29" t="shared">O40</f>
        <v>-5.984671684197973E-3</v>
      </c>
      <c r="AA40" s="22">
        <f ref="AA40:AA50" si="30" t="shared">P40</f>
        <v>-1.5846855340627474E-2</v>
      </c>
      <c r="AB40" s="22">
        <f ref="AB40:AB50" si="31" t="shared">Q40</f>
        <v>4.6904730695992707E-2</v>
      </c>
      <c r="AC40" s="22">
        <f ref="AC40:AC50" si="32" t="shared">R40</f>
        <v>0</v>
      </c>
      <c r="AD40" s="22">
        <f ref="AD40:AD50" si="33" t="shared">S40</f>
        <v>0</v>
      </c>
      <c r="AE40" s="22">
        <f ref="AE40:AE50" si="34" t="shared">T40</f>
        <v>3.8159347564001356E-2</v>
      </c>
      <c r="AF40" s="22">
        <f ref="AF40:AF50" si="35" t="shared">U40</f>
        <v>-3.4308162556767302E-2</v>
      </c>
    </row>
    <row r="41" spans="1:32" x14ac:dyDescent="0.25">
      <c r="L41" t="s">
        <v>10</v>
      </c>
      <c r="M41" s="13">
        <f si="20" t="shared"/>
        <v>0</v>
      </c>
      <c r="N41" s="13">
        <f si="20" t="shared"/>
        <v>0</v>
      </c>
      <c r="O41" s="13">
        <f si="20" t="shared"/>
        <v>4.0833498519936895E-2</v>
      </c>
      <c r="P41" s="13">
        <f si="20" t="shared"/>
        <v>-2.5305027994246606E-2</v>
      </c>
      <c r="Q41" s="13">
        <f si="21" t="shared"/>
        <v>6.620690924512472E-3</v>
      </c>
      <c r="R41" s="13">
        <f si="22" t="shared"/>
        <v>0</v>
      </c>
      <c r="S41" s="13">
        <f si="23" t="shared"/>
        <v>6.2601335912508369E-6</v>
      </c>
      <c r="T41" s="13">
        <f si="24" t="shared"/>
        <v>5.8778361621696223E-3</v>
      </c>
      <c r="U41" s="13">
        <f si="25" t="shared"/>
        <v>4.1270206752333505E-3</v>
      </c>
      <c r="W41" s="27" t="s">
        <v>10</v>
      </c>
      <c r="X41" s="22">
        <f si="27" t="shared"/>
        <v>0</v>
      </c>
      <c r="Y41" s="22">
        <f si="28" t="shared"/>
        <v>0</v>
      </c>
      <c r="Z41" s="22">
        <f si="29" t="shared"/>
        <v>4.0833498519936895E-2</v>
      </c>
      <c r="AA41" s="22">
        <f si="30" t="shared"/>
        <v>-2.5305027994246606E-2</v>
      </c>
      <c r="AB41" s="22">
        <f si="31" t="shared"/>
        <v>6.620690924512472E-3</v>
      </c>
      <c r="AC41" s="22">
        <f si="32" t="shared"/>
        <v>0</v>
      </c>
      <c r="AD41" s="22">
        <f si="33" t="shared"/>
        <v>6.2601335912508369E-6</v>
      </c>
      <c r="AE41" s="22">
        <f si="34" t="shared"/>
        <v>5.8778361621696223E-3</v>
      </c>
      <c r="AF41" s="22">
        <f si="35" t="shared"/>
        <v>4.1270206752333505E-3</v>
      </c>
    </row>
    <row r="42" spans="1:32" x14ac:dyDescent="0.25">
      <c r="L42" t="s">
        <v>51</v>
      </c>
      <c r="M42" s="13">
        <f si="20" t="shared"/>
        <v>0</v>
      </c>
      <c r="N42" s="13">
        <f si="20" t="shared"/>
        <v>0</v>
      </c>
      <c r="O42" s="13">
        <f si="20" t="shared"/>
        <v>0</v>
      </c>
      <c r="P42" s="13">
        <f si="20" t="shared"/>
        <v>-4.3326006383672844E-2</v>
      </c>
      <c r="Q42" s="13">
        <f si="21" t="shared"/>
        <v>-0.14557686685772753</v>
      </c>
      <c r="R42" s="13">
        <f si="22" t="shared"/>
        <v>0</v>
      </c>
      <c r="S42" s="13">
        <f si="23" t="shared"/>
        <v>0</v>
      </c>
      <c r="T42" s="13">
        <f si="24" t="shared"/>
        <v>-7.4529182437662019E-3</v>
      </c>
      <c r="U42" s="13">
        <f si="25" t="shared"/>
        <v>-3.6116802800434014E-2</v>
      </c>
      <c r="W42" t="s">
        <v>51</v>
      </c>
      <c r="X42" s="22">
        <f si="27" t="shared"/>
        <v>0</v>
      </c>
      <c r="Y42" s="22">
        <f si="28" t="shared"/>
        <v>0</v>
      </c>
      <c r="Z42" s="22">
        <f si="29" t="shared"/>
        <v>0</v>
      </c>
      <c r="AA42" s="22">
        <f si="30" t="shared"/>
        <v>-4.3326006383672844E-2</v>
      </c>
      <c r="AB42" s="22">
        <f si="31" t="shared"/>
        <v>-0.14557686685772753</v>
      </c>
      <c r="AC42" s="22">
        <f si="32" t="shared"/>
        <v>0</v>
      </c>
      <c r="AD42" s="22">
        <f si="33" t="shared"/>
        <v>0</v>
      </c>
      <c r="AE42" s="22">
        <f si="34" t="shared"/>
        <v>-7.4529182437662019E-3</v>
      </c>
      <c r="AF42" s="22">
        <f si="35" t="shared"/>
        <v>-3.6116802800434014E-2</v>
      </c>
    </row>
    <row r="43" spans="1:32" x14ac:dyDescent="0.25">
      <c r="L43" t="s">
        <v>52</v>
      </c>
      <c r="M43" s="13">
        <f si="20" t="shared"/>
        <v>0</v>
      </c>
      <c r="N43" s="13">
        <f si="20" t="shared"/>
        <v>0</v>
      </c>
      <c r="O43" s="13">
        <f si="20" t="shared"/>
        <v>0</v>
      </c>
      <c r="P43" s="13">
        <f si="20" t="shared"/>
        <v>0</v>
      </c>
      <c r="Q43" s="13">
        <f si="21" t="shared"/>
        <v>0</v>
      </c>
      <c r="R43" s="13">
        <f si="22" t="shared"/>
        <v>0</v>
      </c>
      <c r="S43" s="13">
        <f si="23" t="shared"/>
        <v>0</v>
      </c>
      <c r="T43" s="13">
        <f si="24" t="shared"/>
        <v>0</v>
      </c>
      <c r="U43" s="13">
        <f si="25" t="shared"/>
        <v>0</v>
      </c>
      <c r="W43" t="s">
        <v>52</v>
      </c>
      <c r="X43" s="22">
        <f si="27" t="shared"/>
        <v>0</v>
      </c>
      <c r="Y43" s="22">
        <f si="28" t="shared"/>
        <v>0</v>
      </c>
      <c r="Z43" s="22">
        <f si="29" t="shared"/>
        <v>0</v>
      </c>
      <c r="AA43" s="22">
        <f si="30" t="shared"/>
        <v>0</v>
      </c>
      <c r="AB43" s="22">
        <f si="31" t="shared"/>
        <v>0</v>
      </c>
      <c r="AC43" s="22">
        <f si="32" t="shared"/>
        <v>0</v>
      </c>
      <c r="AD43" s="22">
        <f si="33" t="shared"/>
        <v>0</v>
      </c>
      <c r="AE43" s="22">
        <f si="34" t="shared"/>
        <v>0</v>
      </c>
      <c r="AF43" s="22">
        <f si="35" t="shared"/>
        <v>0</v>
      </c>
    </row>
    <row r="44" spans="1:32" x14ac:dyDescent="0.25">
      <c r="L44" t="s">
        <v>53</v>
      </c>
      <c r="M44" s="13">
        <f si="20" t="shared"/>
        <v>0</v>
      </c>
      <c r="N44" s="13">
        <f si="20" t="shared"/>
        <v>0</v>
      </c>
      <c r="O44" s="13">
        <f si="20" t="shared"/>
        <v>0</v>
      </c>
      <c r="P44" s="13">
        <f si="20" t="shared"/>
        <v>0</v>
      </c>
      <c r="Q44" s="13">
        <f si="21" t="shared"/>
        <v>0</v>
      </c>
      <c r="R44" s="13">
        <f si="22" t="shared"/>
        <v>0</v>
      </c>
      <c r="S44" s="13">
        <f si="23" t="shared"/>
        <v>0</v>
      </c>
      <c r="T44" s="13">
        <f si="24" t="shared"/>
        <v>0</v>
      </c>
      <c r="U44" s="13">
        <f si="25" t="shared"/>
        <v>0</v>
      </c>
      <c r="W44" t="s">
        <v>53</v>
      </c>
      <c r="X44" s="22">
        <f si="27" t="shared"/>
        <v>0</v>
      </c>
      <c r="Y44" s="22">
        <f si="28" t="shared"/>
        <v>0</v>
      </c>
      <c r="Z44" s="22">
        <f si="29" t="shared"/>
        <v>0</v>
      </c>
      <c r="AA44" s="22">
        <f si="30" t="shared"/>
        <v>0</v>
      </c>
      <c r="AB44" s="22">
        <f si="31" t="shared"/>
        <v>0</v>
      </c>
      <c r="AC44" s="22">
        <f si="32" t="shared"/>
        <v>0</v>
      </c>
      <c r="AD44" s="22">
        <f si="33" t="shared"/>
        <v>0</v>
      </c>
      <c r="AE44" s="22">
        <f si="34" t="shared"/>
        <v>0</v>
      </c>
      <c r="AF44" s="22">
        <f si="35" t="shared"/>
        <v>0</v>
      </c>
    </row>
    <row r="45" spans="1:32" x14ac:dyDescent="0.25">
      <c r="L45" t="s">
        <v>54</v>
      </c>
      <c r="M45" s="13">
        <f ref="M45:M47" si="36" t="shared">M28-B28</f>
        <v>0</v>
      </c>
      <c r="N45" s="13">
        <f ref="N45:N47" si="37" t="shared">N28-C28</f>
        <v>0</v>
      </c>
      <c r="O45" s="13">
        <f ref="O45:O47" si="38" t="shared">O28-D28</f>
        <v>0</v>
      </c>
      <c r="P45" s="13">
        <f ref="P45:P47" si="39" t="shared">P28-E28</f>
        <v>0</v>
      </c>
      <c r="Q45" s="13">
        <f si="21" t="shared"/>
        <v>0</v>
      </c>
      <c r="R45" s="13">
        <f si="22" t="shared"/>
        <v>0</v>
      </c>
      <c r="S45" s="13">
        <f si="23" t="shared"/>
        <v>0</v>
      </c>
      <c r="T45" s="13">
        <f si="24" t="shared"/>
        <v>0</v>
      </c>
      <c r="U45" s="13">
        <f si="25" t="shared"/>
        <v>0</v>
      </c>
      <c r="W45" t="s">
        <v>54</v>
      </c>
      <c r="X45" s="22">
        <f si="27" t="shared"/>
        <v>0</v>
      </c>
      <c r="Y45" s="22">
        <f si="28" t="shared"/>
        <v>0</v>
      </c>
      <c r="Z45" s="22">
        <f si="29" t="shared"/>
        <v>0</v>
      </c>
      <c r="AA45" s="22">
        <f si="30" t="shared"/>
        <v>0</v>
      </c>
      <c r="AB45" s="22">
        <f si="31" t="shared"/>
        <v>0</v>
      </c>
      <c r="AC45" s="22">
        <f si="32" t="shared"/>
        <v>0</v>
      </c>
      <c r="AD45" s="22">
        <f si="33" t="shared"/>
        <v>0</v>
      </c>
      <c r="AE45" s="22">
        <f si="34" t="shared"/>
        <v>0</v>
      </c>
      <c r="AF45" s="22">
        <f si="35" t="shared"/>
        <v>0</v>
      </c>
    </row>
    <row r="46" spans="1:32" x14ac:dyDescent="0.25">
      <c r="L46" t="s">
        <v>55</v>
      </c>
      <c r="M46" s="13">
        <f si="36" t="shared"/>
        <v>0</v>
      </c>
      <c r="N46" s="13">
        <f si="37" t="shared"/>
        <v>0</v>
      </c>
      <c r="O46" s="13">
        <f si="38" t="shared"/>
        <v>0</v>
      </c>
      <c r="P46" s="13">
        <f si="39" t="shared"/>
        <v>0</v>
      </c>
      <c r="Q46" s="13">
        <f si="21" t="shared"/>
        <v>0</v>
      </c>
      <c r="R46" s="13">
        <f si="22" t="shared"/>
        <v>0</v>
      </c>
      <c r="S46" s="13">
        <f si="23" t="shared"/>
        <v>0</v>
      </c>
      <c r="T46" s="13">
        <f si="24" t="shared"/>
        <v>0</v>
      </c>
      <c r="U46" s="13">
        <f si="25" t="shared"/>
        <v>0</v>
      </c>
      <c r="W46" t="s">
        <v>55</v>
      </c>
      <c r="X46" s="22">
        <f si="27" t="shared"/>
        <v>0</v>
      </c>
      <c r="Y46" s="22">
        <f si="28" t="shared"/>
        <v>0</v>
      </c>
      <c r="Z46" s="22">
        <f si="29" t="shared"/>
        <v>0</v>
      </c>
      <c r="AA46" s="22">
        <f si="30" t="shared"/>
        <v>0</v>
      </c>
      <c r="AB46" s="22">
        <f si="31" t="shared"/>
        <v>0</v>
      </c>
      <c r="AC46" s="22">
        <f si="32" t="shared"/>
        <v>0</v>
      </c>
      <c r="AD46" s="22">
        <f si="33" t="shared"/>
        <v>0</v>
      </c>
      <c r="AE46" s="22">
        <f si="34" t="shared"/>
        <v>0</v>
      </c>
      <c r="AF46" s="22">
        <f si="35" t="shared"/>
        <v>0</v>
      </c>
    </row>
    <row r="47" spans="1:32" x14ac:dyDescent="0.25">
      <c r="L47" t="s">
        <v>24</v>
      </c>
      <c r="M47" s="13">
        <f si="36" t="shared"/>
        <v>0</v>
      </c>
      <c r="N47" s="13">
        <f si="37" t="shared"/>
        <v>0</v>
      </c>
      <c r="O47" s="13">
        <f si="38" t="shared"/>
        <v>0</v>
      </c>
      <c r="P47" s="13">
        <f si="39" t="shared"/>
        <v>0</v>
      </c>
      <c r="Q47" s="13">
        <f si="21" t="shared"/>
        <v>0</v>
      </c>
      <c r="R47" s="13">
        <f si="22" t="shared"/>
        <v>0</v>
      </c>
      <c r="S47" s="13">
        <f si="23" t="shared"/>
        <v>0</v>
      </c>
      <c r="T47" s="13">
        <f si="24" t="shared"/>
        <v>-6.997736783052233E-2</v>
      </c>
      <c r="U47" s="13">
        <f si="25" t="shared"/>
        <v>4.0513098790311529E-3</v>
      </c>
      <c r="W47" s="21" t="s">
        <v>24</v>
      </c>
      <c r="X47" s="22">
        <f si="27" t="shared"/>
        <v>0</v>
      </c>
      <c r="Y47" s="22">
        <f si="28" t="shared"/>
        <v>0</v>
      </c>
      <c r="Z47" s="22">
        <f si="29" t="shared"/>
        <v>0</v>
      </c>
      <c r="AA47" s="22">
        <f si="30" t="shared"/>
        <v>0</v>
      </c>
      <c r="AB47" s="22">
        <f si="31" t="shared"/>
        <v>0</v>
      </c>
      <c r="AC47" s="22">
        <f si="32" t="shared"/>
        <v>0</v>
      </c>
      <c r="AD47" s="22">
        <f si="33" t="shared"/>
        <v>0</v>
      </c>
      <c r="AE47" s="22">
        <f si="34" t="shared"/>
        <v>-6.997736783052233E-2</v>
      </c>
      <c r="AF47" s="22">
        <f si="35" t="shared"/>
        <v>4.0513098790311529E-3</v>
      </c>
    </row>
    <row r="48" spans="1:32" x14ac:dyDescent="0.25">
      <c r="L48" t="s">
        <v>4</v>
      </c>
      <c r="M48" s="13">
        <f ref="M48:P50" si="40" t="shared">M31-B31</f>
        <v>-5.870375003452766E-4</v>
      </c>
      <c r="N48" s="13">
        <f si="40" t="shared"/>
        <v>2.6665175473686124E-3</v>
      </c>
      <c r="O48" s="13">
        <f si="40" t="shared"/>
        <v>3.0756084066495193E-3</v>
      </c>
      <c r="P48" s="13">
        <f si="40" t="shared"/>
        <v>0</v>
      </c>
      <c r="Q48" s="13">
        <f si="21" t="shared"/>
        <v>5.106346270102158E-3</v>
      </c>
      <c r="R48" s="13">
        <f si="22" t="shared"/>
        <v>-8.0418812791429151E-2</v>
      </c>
      <c r="S48" s="13">
        <f si="23" t="shared"/>
        <v>0</v>
      </c>
      <c r="T48" s="13">
        <f si="24" t="shared"/>
        <v>5.6909093908252646E-3</v>
      </c>
      <c r="U48" s="13">
        <f si="25" t="shared"/>
        <v>3.2087507118266669E-3</v>
      </c>
      <c r="W48" s="27" t="s">
        <v>4</v>
      </c>
      <c r="X48" s="22">
        <f si="27" t="shared"/>
        <v>-5.870375003452766E-4</v>
      </c>
      <c r="Y48" s="22">
        <f si="28" t="shared"/>
        <v>2.6665175473686124E-3</v>
      </c>
      <c r="Z48" s="22">
        <f si="29" t="shared"/>
        <v>3.0756084066495193E-3</v>
      </c>
      <c r="AA48" s="22">
        <f si="30" t="shared"/>
        <v>0</v>
      </c>
      <c r="AB48" s="22">
        <f si="31" t="shared"/>
        <v>5.106346270102158E-3</v>
      </c>
      <c r="AC48" s="22">
        <f si="32" t="shared"/>
        <v>-8.0418812791429151E-2</v>
      </c>
      <c r="AD48" s="22">
        <f si="33" t="shared"/>
        <v>0</v>
      </c>
      <c r="AE48" s="22">
        <f si="34" t="shared"/>
        <v>5.6909093908252646E-3</v>
      </c>
      <c r="AF48" s="22">
        <f si="35" t="shared"/>
        <v>3.2087507118266669E-3</v>
      </c>
    </row>
    <row r="49" spans="12:32" x14ac:dyDescent="0.25">
      <c r="L49" s="4" t="s">
        <v>5</v>
      </c>
      <c r="M49" s="17">
        <f si="40" t="shared"/>
        <v>-2.1519214542882852E-3</v>
      </c>
      <c r="N49" s="17">
        <f si="40" t="shared"/>
        <v>5.4058591162106095E-3</v>
      </c>
      <c r="O49" s="17">
        <f si="40" t="shared"/>
        <v>-3.1137458488758592E-2</v>
      </c>
      <c r="P49" s="17">
        <f si="40" t="shared"/>
        <v>-4.0406067205148513E-2</v>
      </c>
      <c r="Q49" s="17">
        <f si="21" t="shared"/>
        <v>7.8157787271703763E-2</v>
      </c>
      <c r="R49" s="17">
        <f si="22" t="shared"/>
        <v>8.041881279142904E-2</v>
      </c>
      <c r="S49" s="17">
        <f si="23" t="shared"/>
        <v>-6.2601335912848555E-6</v>
      </c>
      <c r="T49" s="17">
        <f si="24" t="shared"/>
        <v>3.5404126482900665E-2</v>
      </c>
      <c r="U49" s="13">
        <f si="25" t="shared"/>
        <v>1.3049134832091996E-3</v>
      </c>
      <c r="W49" s="20" t="s">
        <v>5</v>
      </c>
      <c r="X49" s="22">
        <f si="27" t="shared"/>
        <v>-2.1519214542882852E-3</v>
      </c>
      <c r="Y49" s="22">
        <f si="28" t="shared"/>
        <v>5.4058591162106095E-3</v>
      </c>
      <c r="Z49" s="22">
        <f si="29" t="shared"/>
        <v>-3.1137458488758592E-2</v>
      </c>
      <c r="AA49" s="22">
        <f si="30" t="shared"/>
        <v>-4.0406067205148513E-2</v>
      </c>
      <c r="AB49" s="22">
        <f si="31" t="shared"/>
        <v>7.8157787271703763E-2</v>
      </c>
      <c r="AC49" s="22">
        <f si="32" t="shared"/>
        <v>8.041881279142904E-2</v>
      </c>
      <c r="AD49" s="22">
        <f si="33" t="shared"/>
        <v>-6.2601335912848555E-6</v>
      </c>
      <c r="AE49" s="22">
        <f si="34" t="shared"/>
        <v>3.5404126482900665E-2</v>
      </c>
      <c r="AF49" s="22">
        <f si="35" t="shared"/>
        <v>1.3049134832091996E-3</v>
      </c>
    </row>
    <row ht="15.75" r="50" spans="12:32" thickBot="1" x14ac:dyDescent="0.3">
      <c r="L50" s="9" t="s">
        <v>7</v>
      </c>
      <c r="M50" s="15">
        <f si="40" t="shared"/>
        <v>0</v>
      </c>
      <c r="N50" s="15">
        <f si="40" t="shared"/>
        <v>0</v>
      </c>
      <c r="O50" s="15">
        <f si="40" t="shared"/>
        <v>0</v>
      </c>
      <c r="P50" s="15">
        <f si="40" t="shared"/>
        <v>0</v>
      </c>
      <c r="Q50" s="15">
        <f si="21" t="shared"/>
        <v>0</v>
      </c>
      <c r="R50" s="15">
        <f si="22" t="shared"/>
        <v>0</v>
      </c>
      <c r="S50" s="15">
        <f si="23" t="shared"/>
        <v>0</v>
      </c>
      <c r="T50" s="15">
        <f si="24" t="shared"/>
        <v>0</v>
      </c>
      <c r="U50" s="15">
        <f si="25" t="shared"/>
        <v>0</v>
      </c>
      <c r="W50" s="28" t="s">
        <v>7</v>
      </c>
      <c r="X50" s="29">
        <f>M50</f>
        <v>0</v>
      </c>
      <c r="Y50" s="29">
        <f si="28" t="shared"/>
        <v>0</v>
      </c>
      <c r="Z50" s="29">
        <f si="29" t="shared"/>
        <v>0</v>
      </c>
      <c r="AA50" s="29">
        <f si="30" t="shared"/>
        <v>0</v>
      </c>
      <c r="AB50" s="29">
        <f si="31" t="shared"/>
        <v>0</v>
      </c>
      <c r="AC50" s="29">
        <f si="32" t="shared"/>
        <v>0</v>
      </c>
      <c r="AD50" s="29">
        <f si="33" t="shared"/>
        <v>0</v>
      </c>
      <c r="AE50" s="29">
        <f si="34" t="shared"/>
        <v>0</v>
      </c>
      <c r="AF50" s="29">
        <f si="35" t="shared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41</v>
      </c>
      <c r="C3" s="31"/>
      <c r="D3" s="31"/>
      <c r="E3" s="31"/>
      <c r="F3" s="31"/>
      <c r="G3" s="31"/>
      <c r="H3" s="31"/>
      <c r="I3" s="31"/>
      <c r="J3" s="7"/>
      <c r="L3" s="3"/>
      <c r="M3" s="31" t="s">
        <v>41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14464.562866402</v>
      </c>
      <c r="C5" s="6" t="n">
        <v>264.716510956</v>
      </c>
      <c r="D5" s="6" t="n">
        <v>902.133763915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15631.413141273</v>
      </c>
      <c r="K5" s="6"/>
      <c r="L5" t="s">
        <v>1</v>
      </c>
      <c r="M5" s="6" t="n">
        <v>24275.0</v>
      </c>
      <c r="N5" s="6" t="n">
        <v>522.0</v>
      </c>
      <c r="O5" s="6" t="n">
        <v>125.0</v>
      </c>
      <c r="P5" s="6" t="n">
        <v>0.0</v>
      </c>
      <c r="Q5" s="6" t="n">
        <v>11.0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24816</v>
      </c>
    </row>
    <row r="6" spans="1:21" x14ac:dyDescent="0.25">
      <c r="A6" t="s">
        <v>12</v>
      </c>
      <c r="B6" s="6" t="n">
        <v>0.0</v>
      </c>
      <c r="C6" s="6" t="n">
        <v>7877.8738421856</v>
      </c>
      <c r="D6" s="6" t="n">
        <v>131.188344677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8009.0621868625994</v>
      </c>
      <c r="K6" s="6"/>
      <c r="L6" t="s">
        <v>12</v>
      </c>
      <c r="M6" s="6" t="n">
        <v>0.0</v>
      </c>
      <c r="N6" s="6" t="n">
        <v>5117.0</v>
      </c>
      <c r="O6" s="6" t="n">
        <v>334.0</v>
      </c>
      <c r="P6" s="6" t="n">
        <v>0.0</v>
      </c>
      <c r="Q6" s="6" t="n">
        <v>50.0</v>
      </c>
      <c r="R6" s="6" t="n">
        <v>0.0</v>
      </c>
      <c r="S6" s="6" t="n">
        <v>0.0</v>
      </c>
      <c r="T6" s="6" t="n">
        <v>0.0</v>
      </c>
      <c r="U6" s="6">
        <f si="0" t="shared"/>
        <v>5651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4330.241217024</v>
      </c>
      <c r="E7" s="6" t="n">
        <v>0.0</v>
      </c>
      <c r="F7" s="6" t="n">
        <v>1345.57431748</v>
      </c>
      <c r="G7" s="6" t="n">
        <v>0.0</v>
      </c>
      <c r="H7" s="6" t="n">
        <v>0.0</v>
      </c>
      <c r="I7" s="6" t="n">
        <v>0.0</v>
      </c>
      <c r="J7" s="6">
        <f si="1" t="shared"/>
        <v>5675.8155345040004</v>
      </c>
      <c r="K7" s="6"/>
      <c r="L7" t="s">
        <v>56</v>
      </c>
      <c r="M7" s="6" t="n">
        <v>0.0</v>
      </c>
      <c r="N7" s="6" t="n">
        <v>0.0</v>
      </c>
      <c r="O7" s="6" t="n">
        <v>1783.0</v>
      </c>
      <c r="P7" s="6" t="n">
        <v>0.0</v>
      </c>
      <c r="Q7" s="6" t="n">
        <v>24.0</v>
      </c>
      <c r="R7" s="6" t="n">
        <v>0.0</v>
      </c>
      <c r="S7" s="6" t="n">
        <v>0.0</v>
      </c>
      <c r="T7" s="6" t="n">
        <v>0.0</v>
      </c>
      <c r="U7" s="6">
        <f si="0" t="shared"/>
        <v>1826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1345.57431748</v>
      </c>
      <c r="G8" s="6" t="n">
        <v>0.0</v>
      </c>
      <c r="H8" s="6" t="n">
        <v>0.0</v>
      </c>
      <c r="I8" s="6" t="n">
        <v>0.0</v>
      </c>
      <c r="J8" s="6">
        <f si="1" t="shared"/>
        <v>1345.57431748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315.0</v>
      </c>
      <c r="R8" s="6" t="n">
        <v>0.0</v>
      </c>
      <c r="S8" s="6" t="n">
        <v>0.0</v>
      </c>
      <c r="T8" s="6" t="n">
        <v>0.0</v>
      </c>
      <c r="U8" s="6">
        <f si="0" t="shared"/>
        <v>345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1" t="shared"/>
        <v>0</v>
      </c>
      <c r="K14" s="6"/>
      <c r="L14" t="s">
        <v>4</v>
      </c>
      <c r="M14" s="6" t="n">
        <v>19.0</v>
      </c>
      <c r="N14" s="6" t="n">
        <v>4.0</v>
      </c>
      <c r="O14" s="6" t="n">
        <v>2.0</v>
      </c>
      <c r="P14" s="6" t="n">
        <v>0.0</v>
      </c>
      <c r="Q14" s="6" t="n">
        <v>3.0</v>
      </c>
      <c r="R14" s="6" t="n">
        <v>93.0</v>
      </c>
      <c r="S14" s="6" t="n">
        <v>0.0</v>
      </c>
      <c r="T14" s="6" t="n">
        <v>0.0</v>
      </c>
      <c r="U14" s="6">
        <f si="0" t="shared"/>
        <v>128</v>
      </c>
    </row>
    <row r="15" spans="1:21" x14ac:dyDescent="0.25">
      <c r="A15" s="4" t="s">
        <v>5</v>
      </c>
      <c r="B15" s="10" t="n">
        <v>0.0</v>
      </c>
      <c r="C15" s="10" t="n">
        <v>85.5353905136</v>
      </c>
      <c r="D15" s="10" t="n">
        <v>0.0</v>
      </c>
      <c r="E15" s="10" t="n">
        <v>0.0</v>
      </c>
      <c r="F15" s="10" t="n">
        <v>0.0</v>
      </c>
      <c r="G15" s="10" t="n">
        <v>0.0</v>
      </c>
      <c r="H15" s="10" t="n">
        <v>17473.443469488</v>
      </c>
      <c r="I15" s="10" t="n">
        <v>0.0</v>
      </c>
      <c r="J15" s="6">
        <f si="1" t="shared"/>
        <v>17558.9788600016</v>
      </c>
      <c r="K15" s="6"/>
      <c r="L15" s="4" t="s">
        <v>5</v>
      </c>
      <c r="M15" s="8" t="n">
        <v>280.0</v>
      </c>
      <c r="N15" s="8" t="n">
        <v>46.0</v>
      </c>
      <c r="O15" s="8" t="n">
        <v>13.0</v>
      </c>
      <c r="P15" s="8" t="n">
        <v>0.0</v>
      </c>
      <c r="Q15" s="8" t="n">
        <v>24.0</v>
      </c>
      <c r="R15" s="8" t="n">
        <v>12.0</v>
      </c>
      <c r="S15" s="8" t="n">
        <v>22441.0</v>
      </c>
      <c r="T15" s="8" t="n">
        <v>0.0</v>
      </c>
      <c r="U15" s="6">
        <f si="0" t="shared"/>
        <v>22425</v>
      </c>
    </row>
    <row ht="15.75" r="16" spans="1:21" thickBot="1" x14ac:dyDescent="0.3">
      <c r="A16" s="12" t="s">
        <v>7</v>
      </c>
      <c r="B16" s="16">
        <f ref="B16:J16" si="2" t="shared">SUM(B5:B15)</f>
        <v>14464.562866402001</v>
      </c>
      <c r="C16" s="16">
        <f si="2" t="shared"/>
        <v>8228.1257436552005</v>
      </c>
      <c r="D16" s="16">
        <f si="2" t="shared"/>
        <v>5363.5633256159999</v>
      </c>
      <c r="E16" s="16">
        <f si="2" t="shared"/>
        <v>0</v>
      </c>
      <c r="F16" s="16">
        <f si="2" t="shared"/>
        <v>2691.14863496</v>
      </c>
      <c r="G16" s="16">
        <f si="2" t="shared"/>
        <v>0</v>
      </c>
      <c r="H16" s="16">
        <f si="2" t="shared"/>
        <v>17473.443469488</v>
      </c>
      <c r="I16" s="16">
        <f si="2" t="shared"/>
        <v>0</v>
      </c>
      <c r="J16" s="16">
        <f si="2" t="shared"/>
        <v>48220.844040121199</v>
      </c>
      <c r="L16" s="9" t="s">
        <v>7</v>
      </c>
      <c r="M16" s="16">
        <f ref="M16:U16" si="3" t="shared">SUM(M5:M15)</f>
        <v>24516</v>
      </c>
      <c r="N16" s="16">
        <f si="3" t="shared"/>
        <v>5799</v>
      </c>
      <c r="O16" s="16">
        <f si="3" t="shared"/>
        <v>2266</v>
      </c>
      <c r="P16" s="16">
        <f si="3" t="shared"/>
        <v>0</v>
      </c>
      <c r="Q16" s="16">
        <f si="3" t="shared"/>
        <v>469</v>
      </c>
      <c r="R16" s="16">
        <f si="3" t="shared"/>
        <v>103</v>
      </c>
      <c r="S16" s="16">
        <f si="3" t="shared"/>
        <v>22038</v>
      </c>
      <c r="T16" s="16">
        <f si="3" t="shared"/>
        <v>0</v>
      </c>
      <c r="U16" s="16">
        <f si="3" t="shared"/>
        <v>55191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41</v>
      </c>
      <c r="C20" s="31"/>
      <c r="D20" s="31"/>
      <c r="E20" s="31"/>
      <c r="F20" s="31"/>
      <c r="G20" s="31"/>
      <c r="H20" s="31"/>
      <c r="I20" s="31"/>
      <c r="J20" s="7"/>
      <c r="L20" s="3"/>
      <c r="M20" s="31" t="s">
        <v>41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1</v>
      </c>
      <c r="C22" s="13">
        <f si="4" t="shared"/>
        <v>3.2172151860966128E-2</v>
      </c>
      <c r="D22" s="13">
        <f si="4" t="shared"/>
        <v>0.16819672093857321</v>
      </c>
      <c r="E22" s="13" t="e">
        <f si="4" t="shared"/>
        <v>#DIV/0!</v>
      </c>
      <c r="F22" s="13">
        <f si="4" t="shared"/>
        <v>0</v>
      </c>
      <c r="G22" s="13" t="e">
        <f si="4" t="shared"/>
        <v>#DIV/0!</v>
      </c>
      <c r="H22" s="13">
        <f si="4" t="shared"/>
        <v>0</v>
      </c>
      <c r="I22" s="13" t="e">
        <f si="4" t="shared"/>
        <v>#DIV/0!</v>
      </c>
      <c r="J22" s="13">
        <f si="4" t="shared"/>
        <v>0.32416299325385495</v>
      </c>
      <c r="K22" s="6"/>
      <c r="L22" t="s">
        <v>1</v>
      </c>
      <c r="M22" s="13">
        <f ref="M22:P22" si="5" t="shared">M5/M$16</f>
        <v>0.98735519660629789</v>
      </c>
      <c r="N22" s="13">
        <f si="5" t="shared"/>
        <v>8.380755302638386E-2</v>
      </c>
      <c r="O22" s="13">
        <f si="5" t="shared"/>
        <v>4.9867608120035302E-2</v>
      </c>
      <c r="P22" s="13" t="e">
        <f si="5" t="shared"/>
        <v>#DIV/0!</v>
      </c>
      <c r="Q22" s="13">
        <f ref="Q22:U33" si="6" t="shared">Q5/Q$16</f>
        <v>2.3454157782515993E-2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0.44963852802087295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0.95743235915667868</v>
      </c>
      <c r="D23" s="13">
        <f si="7" t="shared"/>
        <v>2.4459176989754874E-2</v>
      </c>
      <c r="E23" s="13" t="e">
        <f si="7" t="shared"/>
        <v>#DIV/0!</v>
      </c>
      <c r="F23" s="13">
        <f si="7" t="shared"/>
        <v>0</v>
      </c>
      <c r="G23" s="13" t="e">
        <f si="7" t="shared"/>
        <v>#DIV/0!</v>
      </c>
      <c r="H23" s="13">
        <f si="7" t="shared"/>
        <v>0</v>
      </c>
      <c r="I23" s="13" t="e">
        <f si="7" t="shared"/>
        <v>#DIV/0!</v>
      </c>
      <c r="J23" s="13">
        <f si="7" t="shared"/>
        <v>0.16609128990356986</v>
      </c>
      <c r="K23" s="6"/>
      <c r="L23" t="s">
        <v>12</v>
      </c>
      <c r="M23" s="13">
        <f ref="M23:P23" si="8" t="shared">M6/M$16</f>
        <v>0</v>
      </c>
      <c r="N23" s="13">
        <f si="8" t="shared"/>
        <v>0.90584583548887743</v>
      </c>
      <c r="O23" s="13">
        <f si="8" t="shared"/>
        <v>0.15225066195939982</v>
      </c>
      <c r="P23" s="13" t="e">
        <f si="8" t="shared"/>
        <v>#DIV/0!</v>
      </c>
      <c r="Q23" s="13">
        <f si="6" t="shared"/>
        <v>0.11300639658848614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0.10238988240836368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0.80734410207167207</v>
      </c>
      <c r="E24" s="13" t="e">
        <f si="9" t="shared"/>
        <v>#DIV/0!</v>
      </c>
      <c r="F24" s="13">
        <f si="9" t="shared"/>
        <v>0.5</v>
      </c>
      <c r="G24" s="13" t="e">
        <f si="9" t="shared"/>
        <v>#DIV/0!</v>
      </c>
      <c r="H24" s="13">
        <f si="9" t="shared"/>
        <v>0</v>
      </c>
      <c r="I24" s="13" t="e">
        <f si="9" t="shared"/>
        <v>#DIV/0!</v>
      </c>
      <c r="J24" s="13">
        <f si="9" t="shared"/>
        <v>0.11770460777877613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0.79037952338923212</v>
      </c>
      <c r="P24" s="13" t="e">
        <f si="10" t="shared"/>
        <v>#DIV/0!</v>
      </c>
      <c r="Q24" s="13">
        <f si="6" t="shared"/>
        <v>7.4626865671641784E-2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3.3085104455436574E-2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0.5</v>
      </c>
      <c r="G25" s="13" t="e">
        <f si="11" t="shared"/>
        <v>#DIV/0!</v>
      </c>
      <c r="H25" s="13">
        <f si="11" t="shared"/>
        <v>0</v>
      </c>
      <c r="I25" s="13" t="e">
        <f si="11" t="shared"/>
        <v>#DIV/0!</v>
      </c>
      <c r="J25" s="13">
        <f si="11" t="shared"/>
        <v>2.790441238150957E-2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0.73560767590618337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6.2510191879110721E-3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 t="e">
        <f si="13" t="shared"/>
        <v>#DIV/0!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 t="e">
        <f si="15" t="shared"/>
        <v>#DIV/0!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 t="e">
        <f si="17" t="shared"/>
        <v>#DIV/0!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 t="e">
        <f si="19" t="shared"/>
        <v>#DIV/0!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 t="e">
        <f si="21" t="shared"/>
        <v>#DIV/0!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 t="e">
        <f si="23" t="shared"/>
        <v>#DIV/0!</v>
      </c>
      <c r="H31" s="13">
        <f si="23" t="shared"/>
        <v>0</v>
      </c>
      <c r="I31" s="13" t="e">
        <f si="23" t="shared"/>
        <v>#DIV/0!</v>
      </c>
      <c r="J31" s="13">
        <f si="23" t="shared"/>
        <v>0</v>
      </c>
      <c r="K31" s="6"/>
      <c r="L31" t="s">
        <v>4</v>
      </c>
      <c r="M31" s="13">
        <f ref="M31:P31" si="24" t="shared">M14/M$16</f>
        <v>8.565834557023984E-4</v>
      </c>
      <c r="N31" s="13">
        <f si="24" t="shared"/>
        <v>8.6221762372822898E-4</v>
      </c>
      <c r="O31" s="13">
        <f si="24" t="shared"/>
        <v>1.76522506619594E-3</v>
      </c>
      <c r="P31" s="13" t="e">
        <f si="24" t="shared"/>
        <v>#DIV/0!</v>
      </c>
      <c r="Q31" s="13">
        <f si="6" t="shared"/>
        <v>6.3965884861407248E-3</v>
      </c>
      <c r="R31" s="13">
        <f si="6" t="shared"/>
        <v>0.92233009708737868</v>
      </c>
      <c r="S31" s="13">
        <f si="6" t="shared"/>
        <v>0</v>
      </c>
      <c r="T31" s="13" t="e">
        <f si="6" t="shared"/>
        <v>#DIV/0!</v>
      </c>
      <c r="U31" s="13">
        <f si="6" t="shared"/>
        <v>2.3192187131959919E-3</v>
      </c>
    </row>
    <row r="32" spans="1:21" x14ac:dyDescent="0.25">
      <c r="A32" s="4" t="s">
        <v>5</v>
      </c>
      <c r="B32" s="14">
        <f ref="B32:J32" si="25" t="shared">B15/B$16</f>
        <v>0</v>
      </c>
      <c r="C32" s="14">
        <f si="25" t="shared"/>
        <v>1.0395488982355101E-2</v>
      </c>
      <c r="D32" s="14">
        <f si="25" t="shared"/>
        <v>0</v>
      </c>
      <c r="E32" s="14" t="e">
        <f si="25" t="shared"/>
        <v>#DIV/0!</v>
      </c>
      <c r="F32" s="14">
        <f si="25" t="shared"/>
        <v>0</v>
      </c>
      <c r="G32" s="14" t="e">
        <f si="25" t="shared"/>
        <v>#DIV/0!</v>
      </c>
      <c r="H32" s="14">
        <f si="25" t="shared"/>
        <v>1</v>
      </c>
      <c r="I32" s="14" t="e">
        <f si="25" t="shared"/>
        <v>#DIV/0!</v>
      </c>
      <c r="J32" s="14">
        <f si="25" t="shared"/>
        <v>0.36413669668228948</v>
      </c>
      <c r="K32" s="6"/>
      <c r="L32" s="4" t="s">
        <v>5</v>
      </c>
      <c r="M32" s="14">
        <f ref="M32:P32" si="26" t="shared">M15/M$16</f>
        <v>1.1788219937999674E-2</v>
      </c>
      <c r="N32" s="14">
        <f si="26" t="shared"/>
        <v>9.4843938610105188E-3</v>
      </c>
      <c r="O32" s="14">
        <f si="26" t="shared"/>
        <v>5.7369814651368053E-3</v>
      </c>
      <c r="P32" s="14" t="e">
        <f si="26" t="shared"/>
        <v>#DIV/0!</v>
      </c>
      <c r="Q32" s="14">
        <f si="6" t="shared"/>
        <v>4.6908315565031986E-2</v>
      </c>
      <c r="R32" s="14">
        <f si="6" t="shared"/>
        <v>7.7669902912621352E-2</v>
      </c>
      <c r="S32" s="14">
        <f si="6" t="shared"/>
        <v>1</v>
      </c>
      <c r="T32" s="14" t="e">
        <f si="6" t="shared"/>
        <v>#DIV/0!</v>
      </c>
      <c r="U32" s="14">
        <f si="6" t="shared"/>
        <v>0.40631624721421972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 t="e">
        <f si="27" t="shared"/>
        <v>#DIV/0!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41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1" si="29" t="shared">M22-B22</f>
        <v>-1.2644803393702109E-2</v>
      </c>
      <c r="N39" s="13">
        <f si="29" t="shared"/>
        <v>5.1635401165417733E-2</v>
      </c>
      <c r="O39" s="13">
        <f si="29" t="shared"/>
        <v>-0.11832911281853792</v>
      </c>
      <c r="P39" s="13" t="e">
        <f si="29" t="shared"/>
        <v>#DIV/0!</v>
      </c>
      <c r="Q39" s="13">
        <f ref="Q39:Q50" si="30" t="shared">Q22-F22</f>
        <v>2.3454157782515993E-2</v>
      </c>
      <c r="R39" s="13" t="e">
        <f ref="R39:R50" si="31" t="shared">R22-G22</f>
        <v>#DIV/0!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0.125475534767018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-5.1586523667801254E-2</v>
      </c>
      <c r="O40" s="13">
        <f si="29" t="shared"/>
        <v>0.12779148496964493</v>
      </c>
      <c r="P40" s="13" t="e">
        <f si="29" t="shared"/>
        <v>#DIV/0!</v>
      </c>
      <c r="Q40" s="13">
        <f si="30" t="shared"/>
        <v>0.11300639658848614</v>
      </c>
      <c r="R40" s="13" t="e">
        <f si="31" t="shared"/>
        <v>#DIV/0!</v>
      </c>
      <c r="S40" s="13">
        <f si="32" t="shared"/>
        <v>0</v>
      </c>
      <c r="T40" s="13" t="e">
        <f si="33" t="shared"/>
        <v>#DIV/0!</v>
      </c>
      <c r="U40" s="13">
        <f si="34" t="shared"/>
        <v>-6.3701407495206183E-2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-1.6964578682439946E-2</v>
      </c>
      <c r="P41" s="13" t="e">
        <f si="29" t="shared"/>
        <v>#DIV/0!</v>
      </c>
      <c r="Q41" s="13">
        <f si="30" t="shared"/>
        <v>-0.42537313432835822</v>
      </c>
      <c r="R41" s="13" t="e">
        <f si="31" t="shared"/>
        <v>#DIV/0!</v>
      </c>
      <c r="S41" s="13">
        <f si="32" t="shared"/>
        <v>0</v>
      </c>
      <c r="T41" s="13" t="e">
        <f si="33" t="shared"/>
        <v>#DIV/0!</v>
      </c>
      <c r="U41" s="13">
        <f si="34" t="shared"/>
        <v>-8.4619503323339562E-2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ref="M42:P42" si="35" t="shared">M25-B25</f>
        <v>0</v>
      </c>
      <c r="N42" s="13">
        <f si="35" t="shared"/>
        <v>0</v>
      </c>
      <c r="O42" s="13">
        <f si="35" t="shared"/>
        <v>0</v>
      </c>
      <c r="P42" s="13" t="e">
        <f si="35" t="shared"/>
        <v>#DIV/0!</v>
      </c>
      <c r="Q42" s="13">
        <f si="30" t="shared"/>
        <v>0.23560767590618337</v>
      </c>
      <c r="R42" s="13" t="e">
        <f si="31" t="shared"/>
        <v>#DIV/0!</v>
      </c>
      <c r="S42" s="13">
        <f si="32" t="shared"/>
        <v>0</v>
      </c>
      <c r="T42" s="13" t="e">
        <f si="33" t="shared"/>
        <v>#DIV/0!</v>
      </c>
      <c r="U42" s="13">
        <f si="34" t="shared"/>
        <v>-2.1653393193598498E-2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ref="M43:P43" si="36" t="shared">M26-B26</f>
        <v>0</v>
      </c>
      <c r="N43" s="13">
        <f si="36" t="shared"/>
        <v>0</v>
      </c>
      <c r="O43" s="13">
        <f si="36" t="shared"/>
        <v>0</v>
      </c>
      <c r="P43" s="13" t="e">
        <f si="36" t="shared"/>
        <v>#DIV/0!</v>
      </c>
      <c r="Q43" s="13">
        <f si="30" t="shared"/>
        <v>0</v>
      </c>
      <c r="R43" s="13" t="e">
        <f si="31" t="shared"/>
        <v>#DIV/0!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ref="M44:P44" si="37" t="shared">M27-B27</f>
        <v>0</v>
      </c>
      <c r="N44" s="13">
        <f si="37" t="shared"/>
        <v>0</v>
      </c>
      <c r="O44" s="13">
        <f si="37" t="shared"/>
        <v>0</v>
      </c>
      <c r="P44" s="13" t="e">
        <f si="37" t="shared"/>
        <v>#DIV/0!</v>
      </c>
      <c r="Q44" s="13">
        <f si="30" t="shared"/>
        <v>0</v>
      </c>
      <c r="R44" s="13" t="e">
        <f si="31" t="shared"/>
        <v>#DIV/0!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8" t="shared">M28-B28</f>
        <v>0</v>
      </c>
      <c r="N45" s="13">
        <f ref="N45:N47" si="39" t="shared">N28-C28</f>
        <v>0</v>
      </c>
      <c r="O45" s="13">
        <f ref="O45:O47" si="40" t="shared">O28-D28</f>
        <v>0</v>
      </c>
      <c r="P45" s="13" t="e">
        <f ref="P45:P47" si="41" t="shared">P28-E28</f>
        <v>#DIV/0!</v>
      </c>
      <c r="Q45" s="13">
        <f si="30" t="shared"/>
        <v>0</v>
      </c>
      <c r="R45" s="13" t="e">
        <f si="31" t="shared"/>
        <v>#DIV/0!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8" t="shared"/>
        <v>0</v>
      </c>
      <c r="N46" s="13">
        <f si="39" t="shared"/>
        <v>0</v>
      </c>
      <c r="O46" s="13">
        <f si="40" t="shared"/>
        <v>0</v>
      </c>
      <c r="P46" s="13" t="e">
        <f si="41" t="shared"/>
        <v>#DIV/0!</v>
      </c>
      <c r="Q46" s="13">
        <f si="30" t="shared"/>
        <v>0</v>
      </c>
      <c r="R46" s="13" t="e">
        <f si="31" t="shared"/>
        <v>#DIV/0!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8" t="shared"/>
        <v>0</v>
      </c>
      <c r="N47" s="13">
        <f si="39" t="shared"/>
        <v>0</v>
      </c>
      <c r="O47" s="13">
        <f si="40" t="shared"/>
        <v>0</v>
      </c>
      <c r="P47" s="13" t="e">
        <f si="41" t="shared"/>
        <v>#DIV/0!</v>
      </c>
      <c r="Q47" s="13">
        <f si="30" t="shared"/>
        <v>0</v>
      </c>
      <c r="R47" s="13" t="e">
        <f si="31" t="shared"/>
        <v>#DIV/0!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48" si="42" t="shared">M31-B31</f>
        <v>8.565834557023984E-4</v>
      </c>
      <c r="N48" s="13">
        <f si="42" t="shared"/>
        <v>8.6221762372822898E-4</v>
      </c>
      <c r="O48" s="13">
        <f si="42" t="shared"/>
        <v>1.76522506619594E-3</v>
      </c>
      <c r="P48" s="13" t="e">
        <f si="42" t="shared"/>
        <v>#DIV/0!</v>
      </c>
      <c r="Q48" s="13">
        <f si="30" t="shared"/>
        <v>6.3965884861407248E-3</v>
      </c>
      <c r="R48" s="13" t="e">
        <f si="31" t="shared"/>
        <v>#DIV/0!</v>
      </c>
      <c r="S48" s="13">
        <f si="32" t="shared"/>
        <v>0</v>
      </c>
      <c r="T48" s="13" t="e">
        <f si="33" t="shared"/>
        <v>#DIV/0!</v>
      </c>
      <c r="U48" s="13">
        <f si="34" t="shared"/>
        <v>2.3192187131959919E-3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ref="M49:P49" si="43" t="shared">M32-B32</f>
        <v>1.1788219937999674E-2</v>
      </c>
      <c r="N49" s="17">
        <f si="43" t="shared"/>
        <v>-9.1109512134458261E-4</v>
      </c>
      <c r="O49" s="17">
        <f si="43" t="shared"/>
        <v>5.7369814651368053E-3</v>
      </c>
      <c r="P49" s="17" t="e">
        <f si="43" t="shared"/>
        <v>#DIV/0!</v>
      </c>
      <c r="Q49" s="17">
        <f si="30" t="shared"/>
        <v>4.6908315565031986E-2</v>
      </c>
      <c r="R49" s="17" t="e">
        <f si="31" t="shared"/>
        <v>#DIV/0!</v>
      </c>
      <c r="S49" s="17">
        <f si="32" t="shared"/>
        <v>0</v>
      </c>
      <c r="T49" s="17" t="e">
        <f si="33" t="shared"/>
        <v>#DIV/0!</v>
      </c>
      <c r="U49" s="13">
        <f si="34" t="shared"/>
        <v>4.2179550531930232E-2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ref="M50:P50" si="44" t="shared">M33-B33</f>
        <v>0</v>
      </c>
      <c r="N50" s="15">
        <f si="44" t="shared"/>
        <v>0</v>
      </c>
      <c r="O50" s="15">
        <f si="44" t="shared"/>
        <v>0</v>
      </c>
      <c r="P50" s="15" t="e">
        <f si="44" t="shared"/>
        <v>#DIV/0!</v>
      </c>
      <c r="Q50" s="15">
        <f si="30" t="shared"/>
        <v>0</v>
      </c>
      <c r="R50" s="15" t="e">
        <f si="31" t="shared"/>
        <v>#DIV/0!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6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6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324571.5574111833</v>
      </c>
      <c r="C5" s="6" t="n">
        <v>61731.2190417949</v>
      </c>
      <c r="D5" s="6" t="n">
        <v>15034.0090534548</v>
      </c>
      <c r="E5" s="6" t="n">
        <v>9687.246350757001</v>
      </c>
      <c r="F5" s="6" t="n">
        <v>2094.75313051</v>
      </c>
      <c r="G5" s="6" t="n">
        <v>0.0</v>
      </c>
      <c r="H5" s="6" t="n">
        <v>0.0</v>
      </c>
      <c r="I5" s="6" t="n">
        <v>461.112895342</v>
      </c>
      <c r="J5" s="6">
        <f>SUM(B5:I5)</f>
        <v>413579.89788304199</v>
      </c>
      <c r="K5" s="6"/>
      <c r="L5" t="s">
        <v>1</v>
      </c>
      <c r="M5" s="6" t="n">
        <v>402522.0</v>
      </c>
      <c r="N5" s="6" t="n">
        <v>61885.0</v>
      </c>
      <c r="O5" s="6" t="n">
        <v>21644.0</v>
      </c>
      <c r="P5" s="6" t="n">
        <v>17343.0</v>
      </c>
      <c r="Q5" s="6" t="n">
        <v>910.0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504066</v>
      </c>
    </row>
    <row r="6" spans="1:21" x14ac:dyDescent="0.25">
      <c r="A6" t="s">
        <v>12</v>
      </c>
      <c r="B6" s="6" t="n">
        <v>0.0</v>
      </c>
      <c r="C6" s="6" t="n">
        <v>56219.7153373955</v>
      </c>
      <c r="D6" s="6" t="n">
        <v>9747.501732915</v>
      </c>
      <c r="E6" s="6" t="n">
        <v>1091.0953829300001</v>
      </c>
      <c r="F6" s="6" t="n">
        <v>4975.723286728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72034.035739968487</v>
      </c>
      <c r="K6" s="6"/>
      <c r="L6" t="s">
        <v>12</v>
      </c>
      <c r="M6" s="6" t="n">
        <v>0.0</v>
      </c>
      <c r="N6" s="6" t="n">
        <v>72802.0</v>
      </c>
      <c r="O6" s="6" t="n">
        <v>11459.0</v>
      </c>
      <c r="P6" s="6" t="n">
        <v>749.0</v>
      </c>
      <c r="Q6" s="6" t="n">
        <v>1339.0</v>
      </c>
      <c r="R6" s="6" t="n">
        <v>0.0</v>
      </c>
      <c r="S6" s="6" t="n">
        <v>0.0</v>
      </c>
      <c r="T6" s="6" t="n">
        <v>0.0</v>
      </c>
      <c r="U6" s="6">
        <f si="0" t="shared"/>
        <v>86002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20435.2079517749</v>
      </c>
      <c r="E7" s="6" t="n">
        <v>665.4161953380001</v>
      </c>
      <c r="F7" s="6" t="n">
        <v>894.97630254</v>
      </c>
      <c r="G7" s="6" t="n">
        <v>0.0</v>
      </c>
      <c r="H7" s="6" t="n">
        <v>0.0</v>
      </c>
      <c r="I7" s="6" t="n">
        <v>0.0</v>
      </c>
      <c r="J7" s="6">
        <f si="1" t="shared"/>
        <v>21995.600449652899</v>
      </c>
      <c r="K7" s="6"/>
      <c r="L7" t="s">
        <v>56</v>
      </c>
      <c r="M7" s="6" t="n">
        <v>0.0</v>
      </c>
      <c r="N7" s="6" t="n">
        <v>0.0</v>
      </c>
      <c r="O7" s="6" t="n">
        <v>37622.0</v>
      </c>
      <c r="P7" s="6" t="n">
        <v>1.0</v>
      </c>
      <c r="Q7" s="6" t="n">
        <v>638.0</v>
      </c>
      <c r="R7" s="6" t="n">
        <v>0.0</v>
      </c>
      <c r="S7" s="6" t="n">
        <v>0.0</v>
      </c>
      <c r="T7" s="6" t="n">
        <v>0.0</v>
      </c>
      <c r="U7" s="6">
        <f si="0" t="shared"/>
        <v>38298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10477.034606338</v>
      </c>
      <c r="F8" s="6" t="n">
        <v>52115.2140593656</v>
      </c>
      <c r="G8" s="6" t="n">
        <v>0.0</v>
      </c>
      <c r="H8" s="6" t="n">
        <v>0.0</v>
      </c>
      <c r="I8" s="6" t="n">
        <v>0.0</v>
      </c>
      <c r="J8" s="6">
        <f si="1" t="shared"/>
        <v>62592.248665703599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13412.0</v>
      </c>
      <c r="Q8" s="6" t="n">
        <v>9837.0</v>
      </c>
      <c r="R8" s="6" t="n">
        <v>0.0</v>
      </c>
      <c r="S8" s="6" t="n">
        <v>0.0</v>
      </c>
      <c r="T8" s="6" t="n">
        <v>0.0</v>
      </c>
      <c r="U8" s="6">
        <f si="0" t="shared"/>
        <v>23046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2766.677372052</v>
      </c>
      <c r="J13" s="6">
        <f si="1" t="shared"/>
        <v>2766.677372052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67.7305671088</v>
      </c>
      <c r="D14" s="6" t="n">
        <v>0.0</v>
      </c>
      <c r="E14" s="6" t="n">
        <v>0.0</v>
      </c>
      <c r="F14" s="6" t="n">
        <v>422.305368585</v>
      </c>
      <c r="G14" s="6" t="n">
        <v>9626.018685031</v>
      </c>
      <c r="H14" s="6" t="n">
        <v>0.0</v>
      </c>
      <c r="I14" s="6" t="n">
        <v>0.0</v>
      </c>
      <c r="J14" s="6">
        <f si="1" t="shared"/>
        <v>10116.054620724801</v>
      </c>
      <c r="K14" s="6"/>
      <c r="L14" t="s">
        <v>4</v>
      </c>
      <c r="M14" s="6" t="n">
        <v>392.0</v>
      </c>
      <c r="N14" s="6" t="n">
        <v>570.0</v>
      </c>
      <c r="O14" s="6" t="n">
        <v>289.0</v>
      </c>
      <c r="P14" s="6" t="n">
        <v>0.0</v>
      </c>
      <c r="Q14" s="6" t="n">
        <v>141.0</v>
      </c>
      <c r="R14" s="6" t="n">
        <v>14912.0</v>
      </c>
      <c r="S14" s="6" t="n">
        <v>0.0</v>
      </c>
      <c r="T14" s="6" t="n">
        <v>0.0</v>
      </c>
      <c r="U14" s="6">
        <f si="0" t="shared"/>
        <v>15575</v>
      </c>
    </row>
    <row r="15" spans="1:21" x14ac:dyDescent="0.25">
      <c r="A15" s="4" t="s">
        <v>5</v>
      </c>
      <c r="B15" s="10" t="n">
        <v>7051.7407680964</v>
      </c>
      <c r="C15" s="10" t="n">
        <v>544.991294167</v>
      </c>
      <c r="D15" s="10" t="n">
        <v>379.107286504</v>
      </c>
      <c r="E15" s="10" t="n">
        <v>675.720852158</v>
      </c>
      <c r="F15" s="10" t="n">
        <v>7398.622242348</v>
      </c>
      <c r="G15" s="10" t="n">
        <v>294.711832887</v>
      </c>
      <c r="H15" s="10" t="n">
        <v>6148.3804042316</v>
      </c>
      <c r="I15" s="10" t="n">
        <v>0.0</v>
      </c>
      <c r="J15" s="6">
        <f si="1" t="shared"/>
        <v>22493.274680391998</v>
      </c>
      <c r="K15" s="6"/>
      <c r="L15" s="4" t="s">
        <v>5</v>
      </c>
      <c r="M15" s="8" t="n">
        <v>8029.0</v>
      </c>
      <c r="N15" s="8" t="n">
        <v>5569.0</v>
      </c>
      <c r="O15" s="8" t="n">
        <v>3023.0</v>
      </c>
      <c r="P15" s="8" t="n">
        <v>0.0</v>
      </c>
      <c r="Q15" s="8" t="n">
        <v>2808.0</v>
      </c>
      <c r="R15" s="8" t="n">
        <v>2065.0</v>
      </c>
      <c r="S15" s="8" t="n">
        <v>31285.0</v>
      </c>
      <c r="T15" s="8" t="n">
        <v>0.0</v>
      </c>
      <c r="U15" s="6">
        <f si="0" t="shared"/>
        <v>51146</v>
      </c>
    </row>
    <row ht="15.75" r="16" spans="1:21" thickBot="1" x14ac:dyDescent="0.3">
      <c r="A16" s="12" t="s">
        <v>7</v>
      </c>
      <c r="B16" s="16">
        <f ref="B16:J16" si="2" t="shared">SUM(B5:B15)</f>
        <v>331623.29817927972</v>
      </c>
      <c r="C16" s="16">
        <f si="2" t="shared"/>
        <v>118563.65624046621</v>
      </c>
      <c r="D16" s="16">
        <f si="2" t="shared"/>
        <v>45595.826024648697</v>
      </c>
      <c r="E16" s="16">
        <f si="2" t="shared"/>
        <v>22596.513387521001</v>
      </c>
      <c r="F16" s="16">
        <f si="2" t="shared"/>
        <v>67901.5943900766</v>
      </c>
      <c r="G16" s="16">
        <f si="2" t="shared"/>
        <v>9920.7305179180003</v>
      </c>
      <c r="H16" s="16">
        <f si="2" t="shared"/>
        <v>6148.3804042315996</v>
      </c>
      <c r="I16" s="16">
        <f si="2" t="shared"/>
        <v>3227.7902673939998</v>
      </c>
      <c r="J16" s="16">
        <f si="2" t="shared"/>
        <v>605577.78941153572</v>
      </c>
      <c r="L16" s="9" t="s">
        <v>7</v>
      </c>
      <c r="M16" s="16">
        <f ref="M16:U16" si="3" t="shared">SUM(M5:M15)</f>
        <v>411995</v>
      </c>
      <c r="N16" s="16">
        <f si="3" t="shared"/>
        <v>139554</v>
      </c>
      <c r="O16" s="16">
        <f si="3" t="shared"/>
        <v>73672</v>
      </c>
      <c r="P16" s="16">
        <f si="3" t="shared"/>
        <v>29322</v>
      </c>
      <c r="Q16" s="16">
        <f si="3" t="shared"/>
        <v>16550</v>
      </c>
      <c r="R16" s="16">
        <f si="3" t="shared"/>
        <v>16115</v>
      </c>
      <c r="S16" s="16">
        <f si="3" t="shared"/>
        <v>30925</v>
      </c>
      <c r="T16" s="16">
        <f si="3" t="shared"/>
        <v>0</v>
      </c>
      <c r="U16" s="16">
        <f si="3" t="shared"/>
        <v>718133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6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6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0.9787356895404733</v>
      </c>
      <c r="C22" s="13">
        <f si="4" t="shared"/>
        <v>0.52065886798053895</v>
      </c>
      <c r="D22" s="13">
        <f si="4" t="shared"/>
        <v>0.32972336207545727</v>
      </c>
      <c r="E22" s="13">
        <f si="4" t="shared"/>
        <v>0.42870535753125588</v>
      </c>
      <c r="F22" s="13">
        <f si="4" t="shared"/>
        <v>3.084983716989325E-2</v>
      </c>
      <c r="G22" s="13">
        <f si="4" t="shared"/>
        <v>0</v>
      </c>
      <c r="H22" s="13">
        <f si="4" t="shared"/>
        <v>0</v>
      </c>
      <c r="I22" s="13">
        <f si="4" t="shared"/>
        <v>0.14285714285714288</v>
      </c>
      <c r="J22" s="13">
        <f si="4" t="shared"/>
        <v>0.68295090261638258</v>
      </c>
      <c r="K22" s="6"/>
      <c r="L22" t="s">
        <v>1</v>
      </c>
      <c r="M22" s="13">
        <f ref="M22:P22" si="5" t="shared">M5/M$16</f>
        <v>0.98129831672714474</v>
      </c>
      <c r="N22" s="13">
        <f si="5" t="shared"/>
        <v>0.43881221605973314</v>
      </c>
      <c r="O22" s="13">
        <f si="5" t="shared"/>
        <v>0.29115539146487135</v>
      </c>
      <c r="P22" s="13">
        <f si="5" t="shared"/>
        <v>0.54900757110701859</v>
      </c>
      <c r="Q22" s="13">
        <f ref="Q22:U33" si="6" t="shared">Q5/Q$16</f>
        <v>5.9818731117824771E-2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0.70191176286286805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0.47417325949676226</v>
      </c>
      <c r="D23" s="13">
        <f si="7" t="shared"/>
        <v>0.21378057122258487</v>
      </c>
      <c r="E23" s="13">
        <f si="7" t="shared"/>
        <v>4.8286006085016688E-2</v>
      </c>
      <c r="F23" s="13">
        <f si="7" t="shared"/>
        <v>7.3278445541997042E-2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0.11895092092126902</v>
      </c>
      <c r="K23" s="6"/>
      <c r="L23" t="s">
        <v>12</v>
      </c>
      <c r="M23" s="13">
        <f ref="M23:P23" si="8" t="shared">M6/M$16</f>
        <v>0</v>
      </c>
      <c r="N23" s="13">
        <f si="8" t="shared"/>
        <v>0.51911088180919218</v>
      </c>
      <c r="O23" s="13">
        <f si="8" t="shared"/>
        <v>0.1550385492453035</v>
      </c>
      <c r="P23" s="13">
        <f si="8" t="shared"/>
        <v>2.5646272423436329E-2</v>
      </c>
      <c r="Q23" s="13">
        <f si="6" t="shared"/>
        <v>8.3625377643504528E-2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0.11975776074905345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0.44818154935339499</v>
      </c>
      <c r="E24" s="13">
        <f si="9" t="shared"/>
        <v>2.9447737530404951E-2</v>
      </c>
      <c r="F24" s="13">
        <f si="9" t="shared"/>
        <v>1.3180490245907912E-2</v>
      </c>
      <c r="G24" s="13">
        <f si="9" t="shared"/>
        <v>0</v>
      </c>
      <c r="H24" s="13">
        <f si="9" t="shared"/>
        <v>0</v>
      </c>
      <c r="I24" s="13">
        <f si="9" t="shared"/>
        <v>0</v>
      </c>
      <c r="J24" s="13">
        <f si="9" t="shared"/>
        <v>3.6321676313503685E-2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0.51172765772613749</v>
      </c>
      <c r="P24" s="13">
        <f si="10" t="shared"/>
        <v>0</v>
      </c>
      <c r="Q24" s="13">
        <f si="6" t="shared"/>
        <v>3.6072507552870094E-2</v>
      </c>
      <c r="R24" s="13">
        <f si="6" t="shared"/>
        <v>0</v>
      </c>
      <c r="S24" s="13">
        <f si="6" t="shared"/>
        <v>3.2336297493936946E-5</v>
      </c>
      <c r="T24" s="13" t="e">
        <f si="6" t="shared"/>
        <v>#DIV/0!</v>
      </c>
      <c r="U24" s="13">
        <f si="6" t="shared"/>
        <v>5.3329954200684274E-2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0.46365713270278136</v>
      </c>
      <c r="F25" s="13">
        <f si="11" t="shared"/>
        <v>0.76751090349922502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0.10335955142365277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>
        <f si="12" t="shared"/>
        <v>0.42534615646954504</v>
      </c>
      <c r="Q25" s="13">
        <f si="6" t="shared"/>
        <v>0.63891238670694861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3.2091548501461425E-2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>
        <f si="14" t="shared"/>
        <v>0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>
        <f si="16" t="shared"/>
        <v>0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>
        <f si="18" t="shared"/>
        <v>0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>
        <f si="20" t="shared"/>
        <v>0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0.85714285714285721</v>
      </c>
      <c r="J30" s="13">
        <f si="21" t="shared"/>
        <v>4.5686572731481641E-3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>
        <f si="22" t="shared"/>
        <v>0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5.7125909622280453E-4</v>
      </c>
      <c r="D31" s="13">
        <f si="23" t="shared"/>
        <v>0</v>
      </c>
      <c r="E31" s="13">
        <f si="23" t="shared"/>
        <v>0</v>
      </c>
      <c r="F31" s="13">
        <f si="23" t="shared"/>
        <v>6.2193733796436059E-3</v>
      </c>
      <c r="G31" s="13">
        <f si="23" t="shared"/>
        <v>0.97029333350455227</v>
      </c>
      <c r="H31" s="13">
        <f si="23" t="shared"/>
        <v>0</v>
      </c>
      <c r="I31" s="13">
        <f si="23" t="shared"/>
        <v>0</v>
      </c>
      <c r="J31" s="13">
        <f si="23" t="shared"/>
        <v>1.6704797959243151E-2</v>
      </c>
      <c r="K31" s="6"/>
      <c r="L31" t="s">
        <v>4</v>
      </c>
      <c r="M31" s="13">
        <f ref="M31:P31" si="24" t="shared">M14/M$16</f>
        <v>9.4418621585213409E-4</v>
      </c>
      <c r="N31" s="13">
        <f si="24" t="shared"/>
        <v>3.6688307035269503E-3</v>
      </c>
      <c r="O31" s="13">
        <f si="24" t="shared"/>
        <v>3.9363665978933652E-3</v>
      </c>
      <c r="P31" s="13">
        <f si="24" t="shared"/>
        <v>0</v>
      </c>
      <c r="Q31" s="13">
        <f si="6" t="shared"/>
        <v>9.9093655589123867E-3</v>
      </c>
      <c r="R31" s="13">
        <f si="6" t="shared"/>
        <v>0.88240769469438407</v>
      </c>
      <c r="S31" s="13">
        <f si="6" t="shared"/>
        <v>0</v>
      </c>
      <c r="T31" s="13" t="e">
        <f si="6" t="shared"/>
        <v>#DIV/0!</v>
      </c>
      <c r="U31" s="13">
        <f si="6" t="shared"/>
        <v>2.1688183108142921E-2</v>
      </c>
    </row>
    <row r="32" spans="1:21" x14ac:dyDescent="0.25">
      <c r="A32" s="4" t="s">
        <v>5</v>
      </c>
      <c r="B32" s="14">
        <f ref="B32:J32" si="25" t="shared">B15/B$16</f>
        <v>2.1264310459526699E-2</v>
      </c>
      <c r="C32" s="14">
        <f si="25" t="shared"/>
        <v>4.5966134264758991E-3</v>
      </c>
      <c r="D32" s="14">
        <f si="25" t="shared"/>
        <v>8.3145173485629584E-3</v>
      </c>
      <c r="E32" s="14">
        <f si="25" t="shared"/>
        <v>2.9903766150541126E-2</v>
      </c>
      <c r="F32" s="14">
        <f si="25" t="shared"/>
        <v>0.10896095016333318</v>
      </c>
      <c r="G32" s="14">
        <f si="25" t="shared"/>
        <v>2.9706666495447686E-2</v>
      </c>
      <c r="H32" s="14">
        <f si="25" t="shared"/>
        <v>1</v>
      </c>
      <c r="I32" s="14">
        <f si="25" t="shared"/>
        <v>0</v>
      </c>
      <c r="J32" s="14">
        <f si="25" t="shared"/>
        <v>3.7143493492800682E-2</v>
      </c>
      <c r="K32" s="6"/>
      <c r="L32" s="4" t="s">
        <v>5</v>
      </c>
      <c r="M32" s="14">
        <f ref="M32:P32" si="26" t="shared">M15/M$16</f>
        <v>1.7757497057003118E-2</v>
      </c>
      <c r="N32" s="14">
        <f si="26" t="shared"/>
        <v>3.8408071427547756E-2</v>
      </c>
      <c r="O32" s="14">
        <f si="26" t="shared"/>
        <v>3.8142034965794332E-2</v>
      </c>
      <c r="P32" s="14">
        <f si="26" t="shared"/>
        <v>0</v>
      </c>
      <c r="Q32" s="14">
        <f si="6" t="shared"/>
        <v>0.17166163141993956</v>
      </c>
      <c r="R32" s="14">
        <f si="6" t="shared"/>
        <v>0.11759230530561589</v>
      </c>
      <c r="S32" s="14">
        <f si="6" t="shared"/>
        <v>0.99996766370250612</v>
      </c>
      <c r="T32" s="14" t="e">
        <f si="6" t="shared"/>
        <v>#DIV/0!</v>
      </c>
      <c r="U32" s="14">
        <f si="6" t="shared"/>
        <v>7.1220790577789905E-2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>
        <f si="28" t="shared"/>
        <v>1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6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2.5626271866714401E-3</v>
      </c>
      <c r="N39" s="13">
        <f si="29" t="shared"/>
        <v>-8.1846651920805813E-2</v>
      </c>
      <c r="O39" s="13">
        <f si="29" t="shared"/>
        <v>-3.8567970610585922E-2</v>
      </c>
      <c r="P39" s="13">
        <f si="29" t="shared"/>
        <v>0.12030221357576271</v>
      </c>
      <c r="Q39" s="13">
        <f ref="Q39:Q50" si="30" t="shared">Q22-F22</f>
        <v>2.8968893947931521E-2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1.8960860246485467E-2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4.4937622312429926E-2</v>
      </c>
      <c r="O40" s="13">
        <f si="29" t="shared"/>
        <v>-5.8742021977281372E-2</v>
      </c>
      <c r="P40" s="13">
        <f si="29" t="shared"/>
        <v>-2.2639733661580359E-2</v>
      </c>
      <c r="Q40" s="13">
        <f si="30" t="shared"/>
        <v>1.0346932101507486E-2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8.0683982778442798E-4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6.3546108372742494E-2</v>
      </c>
      <c r="P41" s="13">
        <f si="29" t="shared"/>
        <v>-2.9447737530404951E-2</v>
      </c>
      <c r="Q41" s="13">
        <f si="30" t="shared"/>
        <v>2.2892017306962182E-2</v>
      </c>
      <c r="R41" s="13">
        <f si="31" t="shared"/>
        <v>0</v>
      </c>
      <c r="S41" s="13">
        <f si="32" t="shared"/>
        <v>3.2336297493936946E-5</v>
      </c>
      <c r="T41" s="13" t="e">
        <f si="33" t="shared"/>
        <v>#DIV/0!</v>
      </c>
      <c r="U41" s="13">
        <f si="34" t="shared"/>
        <v>1.7008277887180588E-2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>
        <f si="29" t="shared"/>
        <v>-3.8310976233236316E-2</v>
      </c>
      <c r="Q42" s="13">
        <f si="30" t="shared"/>
        <v>-0.12859851679227641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-7.1268002922191348E-2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>
        <f si="29" t="shared"/>
        <v>0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>
        <f si="29" t="shared"/>
        <v>0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>
        <f ref="P45:P47" si="38" t="shared">P28-E28</f>
        <v>0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>
        <f si="38" t="shared"/>
        <v>0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>
        <f si="38" t="shared"/>
        <v>0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-4.5686572731481641E-3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9.4418621585213409E-4</v>
      </c>
      <c r="N48" s="13">
        <f si="39" t="shared"/>
        <v>3.0975716073041457E-3</v>
      </c>
      <c r="O48" s="13">
        <f si="39" t="shared"/>
        <v>3.9363665978933652E-3</v>
      </c>
      <c r="P48" s="13">
        <f si="39" t="shared"/>
        <v>0</v>
      </c>
      <c r="Q48" s="13">
        <f si="30" t="shared"/>
        <v>3.6899921792687808E-3</v>
      </c>
      <c r="R48" s="13">
        <f si="31" t="shared"/>
        <v>-8.7885638810168198E-2</v>
      </c>
      <c r="S48" s="13">
        <f si="32" t="shared"/>
        <v>0</v>
      </c>
      <c r="T48" s="13" t="e">
        <f si="33" t="shared"/>
        <v>#DIV/0!</v>
      </c>
      <c r="U48" s="13">
        <f si="34" t="shared"/>
        <v>4.9833851488997709E-3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-3.5068134025235814E-3</v>
      </c>
      <c r="N49" s="17">
        <f si="39" t="shared"/>
        <v>3.3811458001071854E-2</v>
      </c>
      <c r="O49" s="17">
        <f si="39" t="shared"/>
        <v>2.9827517617231375E-2</v>
      </c>
      <c r="P49" s="17">
        <f si="39" t="shared"/>
        <v>-2.9903766150541126E-2</v>
      </c>
      <c r="Q49" s="17">
        <f si="30" t="shared"/>
        <v>6.2700681256606383E-2</v>
      </c>
      <c r="R49" s="17">
        <f si="31" t="shared"/>
        <v>8.7885638810168198E-2</v>
      </c>
      <c r="S49" s="17">
        <f si="32" t="shared"/>
        <v>-3.2336297493884558E-5</v>
      </c>
      <c r="T49" s="17" t="e">
        <f si="33" t="shared"/>
        <v>#DIV/0!</v>
      </c>
      <c r="U49" s="13">
        <f si="34" t="shared"/>
        <v>3.4077297084989223E-2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>
        <f si="39" t="shared"/>
        <v>0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42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42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31305.6296479824</v>
      </c>
      <c r="C5" s="6" t="n">
        <v>333.625875</v>
      </c>
      <c r="D5" s="6" t="n">
        <v>424.695</v>
      </c>
      <c r="E5" s="6" t="n">
        <v>445.245</v>
      </c>
      <c r="F5" s="6" t="n">
        <v>20.4375</v>
      </c>
      <c r="G5" s="6" t="n">
        <v>0.0</v>
      </c>
      <c r="H5" s="6" t="n">
        <v>0.0</v>
      </c>
      <c r="I5" s="6" t="n">
        <v>0.0</v>
      </c>
      <c r="J5" s="6">
        <f>SUM(B5:I5)</f>
        <v>32529.633022982402</v>
      </c>
      <c r="K5" s="6"/>
      <c r="L5" t="s">
        <v>1</v>
      </c>
      <c r="M5" s="6" t="n">
        <v>26824.0</v>
      </c>
      <c r="N5" s="6" t="n">
        <v>1964.0</v>
      </c>
      <c r="O5" s="6" t="n">
        <v>1603.0</v>
      </c>
      <c r="P5" s="6" t="n">
        <v>0.0</v>
      </c>
      <c r="Q5" s="6" t="n">
        <v>200.0</v>
      </c>
      <c r="R5" s="6" t="n">
        <v>0.0</v>
      </c>
      <c r="S5" s="6" t="n">
        <v>0.0</v>
      </c>
      <c r="T5" s="6" t="n">
        <v>146.0</v>
      </c>
      <c r="U5" s="6">
        <f ref="U5:U15" si="0" t="shared">SUM(M5:T5)</f>
        <v>30556</v>
      </c>
    </row>
    <row r="6" spans="1:21" x14ac:dyDescent="0.25">
      <c r="A6" t="s">
        <v>12</v>
      </c>
      <c r="B6" s="6" t="n">
        <v>0.0</v>
      </c>
      <c r="C6" s="6" t="n">
        <v>44745.612625174</v>
      </c>
      <c r="D6" s="6" t="n">
        <v>18707.83560396</v>
      </c>
      <c r="E6" s="6" t="n">
        <v>0.0</v>
      </c>
      <c r="F6" s="6" t="n">
        <v>419.3737753601</v>
      </c>
      <c r="G6" s="6" t="n">
        <v>0.0</v>
      </c>
      <c r="H6" s="6" t="n">
        <v>0.0</v>
      </c>
      <c r="I6" s="6" t="n">
        <v>3607.043625</v>
      </c>
      <c r="J6" s="6">
        <f ref="J6:J15" si="1" t="shared">SUM(B6:I6)</f>
        <v>67479.865629494103</v>
      </c>
      <c r="K6" s="6"/>
      <c r="L6" t="s">
        <v>12</v>
      </c>
      <c r="M6" s="6" t="n">
        <v>0.0</v>
      </c>
      <c r="N6" s="6" t="n">
        <v>41009.0</v>
      </c>
      <c r="O6" s="6" t="n">
        <v>13943.0</v>
      </c>
      <c r="P6" s="6" t="n">
        <v>0.0</v>
      </c>
      <c r="Q6" s="6" t="n">
        <v>643.0</v>
      </c>
      <c r="R6" s="6" t="n">
        <v>0.0</v>
      </c>
      <c r="S6" s="6" t="n">
        <v>0.0</v>
      </c>
      <c r="T6" s="6" t="n">
        <v>7176.0</v>
      </c>
      <c r="U6" s="6">
        <f si="0" t="shared"/>
        <v>63242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56068.65294852</v>
      </c>
      <c r="E7" s="6" t="n">
        <v>0.0</v>
      </c>
      <c r="F7" s="6" t="n">
        <v>1272.43726132</v>
      </c>
      <c r="G7" s="6" t="n">
        <v>0.0</v>
      </c>
      <c r="H7" s="6" t="n">
        <v>0.0</v>
      </c>
      <c r="I7" s="6" t="n">
        <v>4928.25125</v>
      </c>
      <c r="J7" s="6">
        <f si="1" t="shared"/>
        <v>62269.341459840005</v>
      </c>
      <c r="K7" s="6"/>
      <c r="L7" t="s">
        <v>56</v>
      </c>
      <c r="M7" s="6" t="n">
        <v>0.0</v>
      </c>
      <c r="N7" s="6" t="n">
        <v>0.0</v>
      </c>
      <c r="O7" s="6" t="n">
        <v>58364.0</v>
      </c>
      <c r="P7" s="6" t="n">
        <v>0.0</v>
      </c>
      <c r="Q7" s="6" t="n">
        <v>296.0</v>
      </c>
      <c r="R7" s="6" t="n">
        <v>0.0</v>
      </c>
      <c r="S7" s="6" t="n">
        <v>0.0</v>
      </c>
      <c r="T7" s="6" t="n">
        <v>6989.0</v>
      </c>
      <c r="U7" s="6">
        <f si="0" t="shared"/>
        <v>65890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657.5925</v>
      </c>
      <c r="F8" s="6" t="n">
        <v>12973.4640500081</v>
      </c>
      <c r="G8" s="6" t="n">
        <v>0.0</v>
      </c>
      <c r="H8" s="6" t="n">
        <v>0.0</v>
      </c>
      <c r="I8" s="6" t="n">
        <v>367.9275</v>
      </c>
      <c r="J8" s="6">
        <f si="1" t="shared"/>
        <v>13998.984050008101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4088.0</v>
      </c>
      <c r="R8" s="6" t="n">
        <v>0.0</v>
      </c>
      <c r="S8" s="6" t="n">
        <v>0.0</v>
      </c>
      <c r="T8" s="6" t="n">
        <v>66.0</v>
      </c>
      <c r="U8" s="6">
        <f si="0" t="shared"/>
        <v>4253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31303.3115</v>
      </c>
      <c r="J13" s="6">
        <f si="1" t="shared"/>
        <v>31303.3115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42129.0</v>
      </c>
      <c r="U13" s="6">
        <f si="0" t="shared"/>
        <v>42226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406.5105</v>
      </c>
      <c r="E14" s="6" t="n">
        <v>0.0</v>
      </c>
      <c r="F14" s="6" t="n">
        <v>52.736250000000005</v>
      </c>
      <c r="G14" s="6" t="n">
        <v>3418.6885</v>
      </c>
      <c r="H14" s="6" t="n">
        <v>0.0</v>
      </c>
      <c r="I14" s="6" t="n">
        <v>0.0</v>
      </c>
      <c r="J14" s="6">
        <f si="1" t="shared"/>
        <v>3877.93525</v>
      </c>
      <c r="K14" s="6"/>
      <c r="L14" t="s">
        <v>4</v>
      </c>
      <c r="M14" s="6" t="n">
        <v>62.0</v>
      </c>
      <c r="N14" s="6" t="n">
        <v>422.0</v>
      </c>
      <c r="O14" s="6" t="n">
        <v>546.0</v>
      </c>
      <c r="P14" s="6" t="n">
        <v>0.0</v>
      </c>
      <c r="Q14" s="6" t="n">
        <v>102.0</v>
      </c>
      <c r="R14" s="6" t="n">
        <v>2520.0</v>
      </c>
      <c r="S14" s="6" t="n">
        <v>0.0</v>
      </c>
      <c r="T14" s="6" t="n">
        <v>341.0</v>
      </c>
      <c r="U14" s="6">
        <f si="0" t="shared"/>
        <v>3992</v>
      </c>
    </row>
    <row r="15" spans="1:21" x14ac:dyDescent="0.25">
      <c r="A15" s="4" t="s">
        <v>5</v>
      </c>
      <c r="B15" s="10" t="n">
        <v>1437.100442642</v>
      </c>
      <c r="C15" s="10" t="n">
        <v>5060.518125</v>
      </c>
      <c r="D15" s="10" t="n">
        <v>4843.695125</v>
      </c>
      <c r="E15" s="10" t="n">
        <v>217.48499999999999</v>
      </c>
      <c r="F15" s="10" t="n">
        <v>582.372921687</v>
      </c>
      <c r="G15" s="10" t="n">
        <v>0.0</v>
      </c>
      <c r="H15" s="10" t="n">
        <v>3568.292256712</v>
      </c>
      <c r="I15" s="10" t="n">
        <v>1013.776875</v>
      </c>
      <c r="J15" s="6">
        <f si="1" t="shared"/>
        <v>16723.240746041</v>
      </c>
      <c r="K15" s="6"/>
      <c r="L15" s="4" t="s">
        <v>5</v>
      </c>
      <c r="M15" s="8" t="n">
        <v>655.0</v>
      </c>
      <c r="N15" s="8" t="n">
        <v>2743.0</v>
      </c>
      <c r="O15" s="8" t="n">
        <v>3412.0</v>
      </c>
      <c r="P15" s="8" t="n">
        <v>0.0</v>
      </c>
      <c r="Q15" s="8" t="n">
        <v>1451.0</v>
      </c>
      <c r="R15" s="8" t="n">
        <v>183.0</v>
      </c>
      <c r="S15" s="8" t="n">
        <v>19986.0</v>
      </c>
      <c r="T15" s="8" t="n">
        <v>3653.0</v>
      </c>
      <c r="U15" s="6">
        <f si="0" t="shared"/>
        <v>31230</v>
      </c>
    </row>
    <row ht="15.75" r="16" spans="1:21" thickBot="1" x14ac:dyDescent="0.3">
      <c r="A16" s="12" t="s">
        <v>7</v>
      </c>
      <c r="B16" s="16">
        <f ref="B16:J16" si="2" t="shared">SUM(B5:B15)</f>
        <v>32742.730090624402</v>
      </c>
      <c r="C16" s="16">
        <f si="2" t="shared"/>
        <v>50139.756625173999</v>
      </c>
      <c r="D16" s="16">
        <f si="2" t="shared"/>
        <v>80451.389177479999</v>
      </c>
      <c r="E16" s="16">
        <f si="2" t="shared"/>
        <v>1320.3225</v>
      </c>
      <c r="F16" s="16">
        <f si="2" t="shared"/>
        <v>15320.821758375201</v>
      </c>
      <c r="G16" s="16">
        <f si="2" t="shared"/>
        <v>3418.6885000000002</v>
      </c>
      <c r="H16" s="16">
        <f si="2" t="shared"/>
        <v>3568.2922567119999</v>
      </c>
      <c r="I16" s="16">
        <f si="2" t="shared"/>
        <v>41220.310750000004</v>
      </c>
      <c r="J16" s="16">
        <f si="2" t="shared"/>
        <v>228182.31165836562</v>
      </c>
      <c r="L16" s="9" t="s">
        <v>7</v>
      </c>
      <c r="M16" s="16">
        <f ref="M16:U16" si="3" t="shared">SUM(M5:M15)</f>
        <v>27492</v>
      </c>
      <c r="N16" s="16">
        <f si="3" t="shared"/>
        <v>46151</v>
      </c>
      <c r="O16" s="16">
        <f si="3" t="shared"/>
        <v>77931</v>
      </c>
      <c r="P16" s="16">
        <f si="3" t="shared"/>
        <v>0</v>
      </c>
      <c r="Q16" s="16">
        <f si="3" t="shared"/>
        <v>6890</v>
      </c>
      <c r="R16" s="16">
        <f si="3" t="shared"/>
        <v>2787</v>
      </c>
      <c r="S16" s="16">
        <f si="3" t="shared"/>
        <v>19515</v>
      </c>
      <c r="T16" s="16">
        <f si="3" t="shared"/>
        <v>60623</v>
      </c>
      <c r="U16" s="16">
        <f si="3" t="shared"/>
        <v>241389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42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42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0.95610932751592692</v>
      </c>
      <c r="C22" s="13">
        <f si="4" t="shared"/>
        <v>6.6539189149652607E-3</v>
      </c>
      <c r="D22" s="13">
        <f si="4" t="shared"/>
        <v>5.2789020095489027E-3</v>
      </c>
      <c r="E22" s="13">
        <f si="4" t="shared"/>
        <v>0.33722442812267456</v>
      </c>
      <c r="F22" s="13">
        <f si="4" t="shared"/>
        <v>1.3339689164406435E-3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0.14255983641574174</v>
      </c>
      <c r="K22" s="6"/>
      <c r="L22" t="s">
        <v>1</v>
      </c>
      <c r="M22" s="13">
        <f ref="M22:P22" si="5" t="shared">M5/M$16</f>
        <v>0.97330132402153358</v>
      </c>
      <c r="N22" s="13">
        <f si="5" t="shared"/>
        <v>4.1775909514420055E-2</v>
      </c>
      <c r="O22" s="13">
        <f si="5" t="shared"/>
        <v>1.9401778496362168E-2</v>
      </c>
      <c r="P22" s="13" t="e">
        <f si="5" t="shared"/>
        <v>#DIV/0!</v>
      </c>
      <c r="Q22" s="13">
        <f ref="Q22:U33" si="6" t="shared">Q5/Q$16</f>
        <v>2.8447024673439767E-2</v>
      </c>
      <c r="R22" s="13">
        <f si="6" t="shared"/>
        <v>0</v>
      </c>
      <c r="S22" s="13">
        <f si="6" t="shared"/>
        <v>0</v>
      </c>
      <c r="T22" s="13">
        <f si="6" t="shared"/>
        <v>2.6722531052570807E-3</v>
      </c>
      <c r="U22" s="13">
        <f si="6" t="shared"/>
        <v>0.12658406141124906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0.89241782643014012</v>
      </c>
      <c r="D23" s="13">
        <f si="7" t="shared"/>
        <v>0.23253589273256089</v>
      </c>
      <c r="E23" s="13">
        <f si="7" t="shared"/>
        <v>0</v>
      </c>
      <c r="F23" s="13">
        <f si="7" t="shared"/>
        <v>2.7372799055693425E-2</v>
      </c>
      <c r="G23" s="13">
        <f si="7" t="shared"/>
        <v>0</v>
      </c>
      <c r="H23" s="13">
        <f si="7" t="shared"/>
        <v>0</v>
      </c>
      <c r="I23" s="13">
        <f si="7" t="shared"/>
        <v>8.7506463667307494E-2</v>
      </c>
      <c r="J23" s="13">
        <f si="7" t="shared"/>
        <v>0.29572785523588219</v>
      </c>
      <c r="K23" s="6"/>
      <c r="L23" t="s">
        <v>12</v>
      </c>
      <c r="M23" s="13">
        <f ref="M23:P23" si="8" t="shared">M6/M$16</f>
        <v>0</v>
      </c>
      <c r="N23" s="13">
        <f si="8" t="shared"/>
        <v>0.89365344196225438</v>
      </c>
      <c r="O23" s="13">
        <f si="8" t="shared"/>
        <v>0.18125008019915054</v>
      </c>
      <c r="P23" s="13" t="e">
        <f si="8" t="shared"/>
        <v>#DIV/0!</v>
      </c>
      <c r="Q23" s="13">
        <f si="6" t="shared"/>
        <v>9.3033381712626997E-2</v>
      </c>
      <c r="R23" s="13">
        <f si="6" t="shared"/>
        <v>0</v>
      </c>
      <c r="S23" s="13">
        <f si="6" t="shared"/>
        <v>0</v>
      </c>
      <c r="T23" s="13">
        <f si="6" t="shared"/>
        <v>0.11931115253286706</v>
      </c>
      <c r="U23" s="13">
        <f si="6" t="shared"/>
        <v>0.26199205431896233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0.69692585201766499</v>
      </c>
      <c r="E24" s="13">
        <f si="9" t="shared"/>
        <v>0</v>
      </c>
      <c r="F24" s="13">
        <f si="9" t="shared"/>
        <v>8.3052807570482709E-2</v>
      </c>
      <c r="G24" s="13">
        <f si="9" t="shared"/>
        <v>0</v>
      </c>
      <c r="H24" s="13">
        <f si="9" t="shared"/>
        <v>0</v>
      </c>
      <c r="I24" s="13">
        <f si="9" t="shared"/>
        <v>0.11955880876031484</v>
      </c>
      <c r="J24" s="13">
        <f si="9" t="shared"/>
        <v>0.27289293813917359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0.75074104015090271</v>
      </c>
      <c r="P24" s="13" t="e">
        <f si="10" t="shared"/>
        <v>#DIV/0!</v>
      </c>
      <c r="Q24" s="13">
        <f si="6" t="shared"/>
        <v>4.4412191582002901E-2</v>
      </c>
      <c r="R24" s="13">
        <f si="6" t="shared"/>
        <v>0</v>
      </c>
      <c r="S24" s="13">
        <f si="6" t="shared"/>
        <v>0</v>
      </c>
      <c r="T24" s="13">
        <f si="6" t="shared"/>
        <v>0.11675436715438035</v>
      </c>
      <c r="U24" s="13">
        <f si="6" t="shared"/>
        <v>0.27296189967231316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0.49805445260532938</v>
      </c>
      <c r="F25" s="13">
        <f si="11" t="shared"/>
        <v>0.84678643578084145</v>
      </c>
      <c r="G25" s="13">
        <f si="11" t="shared"/>
        <v>0</v>
      </c>
      <c r="H25" s="13">
        <f si="11" t="shared"/>
        <v>0</v>
      </c>
      <c r="I25" s="13">
        <f si="11" t="shared"/>
        <v>8.9258788520899246E-3</v>
      </c>
      <c r="J25" s="13">
        <f si="11" t="shared"/>
        <v>6.1349996624485814E-2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0.61001451378809868</v>
      </c>
      <c r="R25" s="13">
        <f si="6" t="shared"/>
        <v>0</v>
      </c>
      <c r="S25" s="13">
        <f si="6" t="shared"/>
        <v>0</v>
      </c>
      <c r="T25" s="13">
        <f si="6" t="shared"/>
        <v>8.247694769311977E-4</v>
      </c>
      <c r="U25" s="13">
        <f si="6" t="shared"/>
        <v>1.7618864157024555E-2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>
        <f si="6" t="shared"/>
        <v>0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>
        <f si="6" t="shared"/>
        <v>0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>
        <f si="6" t="shared"/>
        <v>0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>
        <f si="6" t="shared"/>
        <v>0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0.75941473827923522</v>
      </c>
      <c r="J30" s="13">
        <f si="21" t="shared"/>
        <v>0.13718553060706692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>
        <f si="6" t="shared"/>
        <v>0.69653431865793514</v>
      </c>
      <c r="U30" s="13">
        <f si="6" t="shared"/>
        <v>0.17492926355384877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5.0528711083312238E-3</v>
      </c>
      <c r="E31" s="13">
        <f si="23" t="shared"/>
        <v>0</v>
      </c>
      <c r="F31" s="13">
        <f si="23" t="shared"/>
        <v>3.4421293342944532E-3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1.6994898604612445E-2</v>
      </c>
      <c r="K31" s="6"/>
      <c r="L31" t="s">
        <v>4</v>
      </c>
      <c r="M31" s="13">
        <f ref="M31:P31" si="24" t="shared">M14/M$16</f>
        <v>2.2915757311217809E-3</v>
      </c>
      <c r="N31" s="13">
        <f si="24" t="shared"/>
        <v>8.7972091612316099E-3</v>
      </c>
      <c r="O31" s="13">
        <f si="24" t="shared"/>
        <v>6.4287639065327019E-3</v>
      </c>
      <c r="P31" s="13" t="e">
        <f si="24" t="shared"/>
        <v>#DIV/0!</v>
      </c>
      <c r="Q31" s="13">
        <f si="6" t="shared"/>
        <v>1.2336719883889695E-2</v>
      </c>
      <c r="R31" s="13">
        <f si="6" t="shared"/>
        <v>0.93003229278794397</v>
      </c>
      <c r="S31" s="13">
        <f si="6" t="shared"/>
        <v>0</v>
      </c>
      <c r="T31" s="13">
        <f si="6" t="shared"/>
        <v>5.6909093908252646E-3</v>
      </c>
      <c r="U31" s="13">
        <f si="6" t="shared"/>
        <v>1.6537621846894432E-2</v>
      </c>
    </row>
    <row r="32" spans="1:21" x14ac:dyDescent="0.25">
      <c r="A32" s="4" t="s">
        <v>5</v>
      </c>
      <c r="B32" s="14">
        <f ref="B32:J32" si="25" t="shared">B15/B$16</f>
        <v>4.3890672484073079E-2</v>
      </c>
      <c r="C32" s="14">
        <f si="25" t="shared"/>
        <v>0.10092825465489459</v>
      </c>
      <c r="D32" s="14">
        <f si="25" t="shared"/>
        <v>6.0206482131894001E-2</v>
      </c>
      <c r="E32" s="14">
        <f si="25" t="shared"/>
        <v>0.16472111927199604</v>
      </c>
      <c r="F32" s="14">
        <f si="25" t="shared"/>
        <v>3.8011859342247295E-2</v>
      </c>
      <c r="G32" s="14">
        <f si="25" t="shared"/>
        <v>0</v>
      </c>
      <c r="H32" s="14">
        <f si="25" t="shared"/>
        <v>1</v>
      </c>
      <c r="I32" s="14">
        <f si="25" t="shared"/>
        <v>2.4594110441052409E-2</v>
      </c>
      <c r="J32" s="14">
        <f si="25" t="shared"/>
        <v>7.3288944373037221E-2</v>
      </c>
      <c r="K32" s="6"/>
      <c r="L32" s="4" t="s">
        <v>5</v>
      </c>
      <c r="M32" s="14">
        <f ref="M32:P32" si="26" t="shared">M15/M$16</f>
        <v>2.440710024734468E-2</v>
      </c>
      <c r="N32" s="14">
        <f si="26" t="shared"/>
        <v>5.5773439362093995E-2</v>
      </c>
      <c r="O32" s="14">
        <f si="26" t="shared"/>
        <v>4.2178337247051882E-2</v>
      </c>
      <c r="P32" s="14" t="e">
        <f si="26" t="shared"/>
        <v>#DIV/0!</v>
      </c>
      <c r="Q32" s="14">
        <f si="6" t="shared"/>
        <v>0.21175616835994193</v>
      </c>
      <c r="R32" s="14">
        <f si="6" t="shared"/>
        <v>6.9967707212055974E-2</v>
      </c>
      <c r="S32" s="14">
        <f si="6" t="shared"/>
        <v>1</v>
      </c>
      <c r="T32" s="14">
        <f si="6" t="shared"/>
        <v>5.8212229681803937E-2</v>
      </c>
      <c r="U32" s="14">
        <f si="6" t="shared"/>
        <v>0.12937623503970769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>
        <f si="6" t="shared"/>
        <v>1</v>
      </c>
      <c r="U33" s="15">
        <f si="6" t="shared"/>
        <v>1</v>
      </c>
    </row>
    <row ht="15.75" r="36" spans="1:32" thickBot="1" x14ac:dyDescent="0.3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42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1.7191996505606655E-2</v>
      </c>
      <c r="N39" s="13">
        <f si="29" t="shared"/>
        <v>3.5121990599454797E-2</v>
      </c>
      <c r="O39" s="13">
        <f si="29" t="shared"/>
        <v>1.4122876486813266E-2</v>
      </c>
      <c r="P39" s="13" t="e">
        <f si="29" t="shared"/>
        <v>#DIV/0!</v>
      </c>
      <c r="Q39" s="13">
        <f ref="Q39:Q50" si="30" t="shared">Q22-F22</f>
        <v>2.7113055756999124E-2</v>
      </c>
      <c r="R39" s="13">
        <f ref="R39:R50" si="31" t="shared">R22-G22</f>
        <v>0</v>
      </c>
      <c r="S39" s="13">
        <f ref="S39:S50" si="32" t="shared">S22-H22</f>
        <v>0</v>
      </c>
      <c r="T39" s="13">
        <f ref="T39:T50" si="33" t="shared">T22-I22</f>
        <v>2.6722531052570807E-3</v>
      </c>
      <c r="U39" s="13">
        <f ref="U39:U50" si="34" t="shared">U22-J22</f>
        <v>-1.5975775004492682E-2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1.2356155321142648E-3</v>
      </c>
      <c r="O40" s="13">
        <f si="29" t="shared"/>
        <v>-5.1285812533410358E-2</v>
      </c>
      <c r="P40" s="13" t="e">
        <f si="29" t="shared"/>
        <v>#DIV/0!</v>
      </c>
      <c r="Q40" s="13">
        <f si="30" t="shared"/>
        <v>6.5660582656933572E-2</v>
      </c>
      <c r="R40" s="13">
        <f si="31" t="shared"/>
        <v>0</v>
      </c>
      <c r="S40" s="13">
        <f si="32" t="shared"/>
        <v>0</v>
      </c>
      <c r="T40" s="13">
        <f si="33" t="shared"/>
        <v>3.1804688865559566E-2</v>
      </c>
      <c r="U40" s="13">
        <f si="34" t="shared"/>
        <v>-3.3735800916919856E-2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5.3815188133237712E-2</v>
      </c>
      <c r="P41" s="13" t="e">
        <f si="29" t="shared"/>
        <v>#DIV/0!</v>
      </c>
      <c r="Q41" s="13">
        <f si="30" t="shared"/>
        <v>-3.8640615988479808E-2</v>
      </c>
      <c r="R41" s="13">
        <f si="31" t="shared"/>
        <v>0</v>
      </c>
      <c r="S41" s="13">
        <f si="32" t="shared"/>
        <v>0</v>
      </c>
      <c r="T41" s="13">
        <f si="33" t="shared"/>
        <v>-2.8044416059344879E-3</v>
      </c>
      <c r="U41" s="13">
        <f si="34" t="shared"/>
        <v>6.8961533139566544E-5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-0.23677192199274277</v>
      </c>
      <c r="R42" s="13">
        <f si="31" t="shared"/>
        <v>0</v>
      </c>
      <c r="S42" s="13">
        <f si="32" t="shared"/>
        <v>0</v>
      </c>
      <c r="T42" s="13">
        <f si="33" t="shared"/>
        <v>-8.1011093751587274E-3</v>
      </c>
      <c r="U42" s="13">
        <f si="34" t="shared"/>
        <v>-4.3731132467461256E-2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>
        <f si="33" t="shared"/>
        <v>0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>
        <f si="33" t="shared"/>
        <v>0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>
        <f si="33" t="shared"/>
        <v>0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>
        <f si="33" t="shared"/>
        <v>0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>
        <f si="33" t="shared"/>
        <v>-6.2880419621300088E-2</v>
      </c>
      <c r="U47" s="13">
        <f si="34" t="shared"/>
        <v>3.7743732946781849E-2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2.2915757311217809E-3</v>
      </c>
      <c r="N48" s="13">
        <f si="39" t="shared"/>
        <v>8.7972091612316099E-3</v>
      </c>
      <c r="O48" s="13">
        <f si="39" t="shared"/>
        <v>1.3758927982014781E-3</v>
      </c>
      <c r="P48" s="13" t="e">
        <f si="39" t="shared"/>
        <v>#DIV/0!</v>
      </c>
      <c r="Q48" s="13">
        <f si="30" t="shared"/>
        <v>8.8945905495952417E-3</v>
      </c>
      <c r="R48" s="13">
        <f si="31" t="shared"/>
        <v>-6.9967707212056029E-2</v>
      </c>
      <c r="S48" s="13">
        <f si="32" t="shared"/>
        <v>0</v>
      </c>
      <c r="T48" s="13">
        <f si="33" t="shared"/>
        <v>5.6909093908252646E-3</v>
      </c>
      <c r="U48" s="13">
        <f si="34" t="shared"/>
        <v>-4.5727675771801285E-4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-1.9483572236728398E-2</v>
      </c>
      <c r="N49" s="17">
        <f si="39" t="shared"/>
        <v>-4.5154815292800597E-2</v>
      </c>
      <c r="O49" s="17">
        <f si="39" t="shared"/>
        <v>-1.8028144884842119E-2</v>
      </c>
      <c r="P49" s="17" t="e">
        <f si="39" t="shared"/>
        <v>#DIV/0!</v>
      </c>
      <c r="Q49" s="17">
        <f si="30" t="shared"/>
        <v>0.17374430901769464</v>
      </c>
      <c r="R49" s="17">
        <f si="31" t="shared"/>
        <v>6.9967707212055974E-2</v>
      </c>
      <c r="S49" s="17">
        <f si="32" t="shared"/>
        <v>0</v>
      </c>
      <c r="T49" s="17">
        <f si="33" t="shared"/>
        <v>3.3618119240751532E-2</v>
      </c>
      <c r="U49" s="13">
        <f si="34" t="shared"/>
        <v>5.6087290666670467E-2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>
        <f si="33" t="shared"/>
        <v>0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AF50"/>
  <sheetViews>
    <sheetView workbookViewId="0" zoomScaleNormal="10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43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43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5910.2703807670005</v>
      </c>
      <c r="C5" s="6" t="n">
        <v>58007.3461174507</v>
      </c>
      <c r="D5" s="6" t="n">
        <v>31358.764174781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95276.380672998697</v>
      </c>
      <c r="K5" s="6"/>
      <c r="L5" t="s">
        <v>1</v>
      </c>
      <c r="M5" s="6" t="n">
        <v>477.0</v>
      </c>
      <c r="N5" s="6" t="n">
        <v>31137.0</v>
      </c>
      <c r="O5" s="6" t="n">
        <v>17767.0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49635</v>
      </c>
    </row>
    <row r="6" spans="1:21" x14ac:dyDescent="0.25">
      <c r="A6" t="s">
        <v>12</v>
      </c>
      <c r="B6" s="6" t="n">
        <v>0.0</v>
      </c>
      <c r="C6" s="6" t="n">
        <v>67622.9692503649</v>
      </c>
      <c r="D6" s="6" t="n">
        <v>32442.534029841998</v>
      </c>
      <c r="E6" s="6" t="n">
        <v>0.0</v>
      </c>
      <c r="F6" s="6" t="n">
        <v>224.931595914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100290.4348761209</v>
      </c>
      <c r="K6" s="6"/>
      <c r="L6" t="s">
        <v>12</v>
      </c>
      <c r="M6" s="6" t="n">
        <v>0.0</v>
      </c>
      <c r="N6" s="6" t="n">
        <v>55610.0</v>
      </c>
      <c r="O6" s="6" t="n">
        <v>13973.0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si="0" t="shared"/>
        <v>69622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83880.395199966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83880.395199966006</v>
      </c>
      <c r="K7" s="6"/>
      <c r="L7" t="s">
        <v>56</v>
      </c>
      <c r="M7" s="6" t="n">
        <v>0.0</v>
      </c>
      <c r="N7" s="6" t="n">
        <v>0.0</v>
      </c>
      <c r="O7" s="6" t="n">
        <v>53091.0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si="0" t="shared"/>
        <v>53334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224.931595914</v>
      </c>
      <c r="G8" s="6" t="n">
        <v>0.0</v>
      </c>
      <c r="H8" s="6" t="n">
        <v>0.0</v>
      </c>
      <c r="I8" s="6" t="n">
        <v>0.0</v>
      </c>
      <c r="J8" s="6">
        <f si="1" t="shared"/>
        <v>224.93159591400001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278.127651608</v>
      </c>
      <c r="D14" s="6" t="n">
        <v>0.0</v>
      </c>
      <c r="E14" s="6" t="n">
        <v>0.0</v>
      </c>
      <c r="F14" s="6" t="n">
        <v>0.0</v>
      </c>
      <c r="G14" s="6" t="n">
        <v>1597.264160492</v>
      </c>
      <c r="H14" s="6" t="n">
        <v>0.0</v>
      </c>
      <c r="I14" s="6" t="n">
        <v>0.0</v>
      </c>
      <c r="J14" s="6">
        <f si="1" t="shared"/>
        <v>1875.3918120999999</v>
      </c>
      <c r="K14" s="6"/>
      <c r="L14" t="s">
        <v>4</v>
      </c>
      <c r="M14" s="6" t="n">
        <v>0.0</v>
      </c>
      <c r="N14" s="6" t="n">
        <v>653.0</v>
      </c>
      <c r="O14" s="6" t="n">
        <v>570.0</v>
      </c>
      <c r="P14" s="6" t="n">
        <v>0.0</v>
      </c>
      <c r="Q14" s="6" t="n">
        <v>0.0</v>
      </c>
      <c r="R14" s="6" t="n">
        <v>175.0</v>
      </c>
      <c r="S14" s="6" t="n">
        <v>0.0</v>
      </c>
      <c r="T14" s="6" t="n">
        <v>0.0</v>
      </c>
      <c r="U14" s="6">
        <f si="0" t="shared"/>
        <v>1441</v>
      </c>
    </row>
    <row r="15" spans="1:21" x14ac:dyDescent="0.25">
      <c r="A15" s="4" t="s">
        <v>5</v>
      </c>
      <c r="B15" s="10" t="n">
        <v>304.976055362</v>
      </c>
      <c r="C15" s="10" t="n">
        <v>624.392874372</v>
      </c>
      <c r="D15" s="10" t="n">
        <v>17109.916160455</v>
      </c>
      <c r="E15" s="10" t="n">
        <v>0.0</v>
      </c>
      <c r="F15" s="10" t="n">
        <v>0.0</v>
      </c>
      <c r="G15" s="10" t="n">
        <v>0.0</v>
      </c>
      <c r="H15" s="10" t="n">
        <v>3839.3946044748</v>
      </c>
      <c r="I15" s="10" t="n">
        <v>0.0</v>
      </c>
      <c r="J15" s="6">
        <f si="1" t="shared"/>
        <v>21878.679694663799</v>
      </c>
      <c r="K15" s="6"/>
      <c r="L15" s="4" t="s">
        <v>5</v>
      </c>
      <c r="M15" s="8" t="n">
        <v>0.0</v>
      </c>
      <c r="N15" s="8" t="n">
        <v>3518.0</v>
      </c>
      <c r="O15" s="8" t="n">
        <v>3244.0</v>
      </c>
      <c r="P15" s="8" t="n">
        <v>0.0</v>
      </c>
      <c r="Q15" s="8" t="n">
        <v>0.0</v>
      </c>
      <c r="R15" s="8" t="n">
        <v>7.0</v>
      </c>
      <c r="S15" s="8" t="n">
        <v>3639.0</v>
      </c>
      <c r="T15" s="8" t="n">
        <v>0.0</v>
      </c>
      <c r="U15" s="6">
        <f si="0" t="shared"/>
        <v>10270</v>
      </c>
    </row>
    <row ht="15.75" r="16" spans="1:21" thickBot="1" x14ac:dyDescent="0.3">
      <c r="A16" s="12" t="s">
        <v>7</v>
      </c>
      <c r="B16" s="16">
        <f ref="B16:J16" si="2" t="shared">SUM(B5:B15)</f>
        <v>6215.2464361290004</v>
      </c>
      <c r="C16" s="16">
        <f si="2" t="shared"/>
        <v>126532.83589379561</v>
      </c>
      <c r="D16" s="16">
        <f si="2" t="shared"/>
        <v>164791.60956504403</v>
      </c>
      <c r="E16" s="16">
        <f si="2" t="shared"/>
        <v>0</v>
      </c>
      <c r="F16" s="16">
        <f si="2" t="shared"/>
        <v>449.86319182800003</v>
      </c>
      <c r="G16" s="16">
        <f si="2" t="shared"/>
        <v>1597.264160492</v>
      </c>
      <c r="H16" s="16">
        <f si="2" t="shared"/>
        <v>3839.3946044748</v>
      </c>
      <c r="I16" s="16">
        <f si="2" t="shared"/>
        <v>0</v>
      </c>
      <c r="J16" s="16">
        <f si="2" t="shared"/>
        <v>303426.21385176346</v>
      </c>
      <c r="L16" s="9" t="s">
        <v>7</v>
      </c>
      <c r="M16" s="16">
        <f ref="M16:U16" si="3" t="shared">SUM(M5:M15)</f>
        <v>561</v>
      </c>
      <c r="N16" s="16">
        <f si="3" t="shared"/>
        <v>90832</v>
      </c>
      <c r="O16" s="16">
        <f si="3" t="shared"/>
        <v>88927</v>
      </c>
      <c r="P16" s="16">
        <f si="3" t="shared"/>
        <v>0</v>
      </c>
      <c r="Q16" s="16">
        <f si="3" t="shared"/>
        <v>0</v>
      </c>
      <c r="R16" s="16">
        <f si="3" t="shared"/>
        <v>211</v>
      </c>
      <c r="S16" s="16">
        <f si="3" t="shared"/>
        <v>3771</v>
      </c>
      <c r="T16" s="16">
        <f si="3" t="shared"/>
        <v>0</v>
      </c>
      <c r="U16" s="16">
        <f si="3" t="shared"/>
        <v>184302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43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43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0.95093097940748006</v>
      </c>
      <c r="C22" s="13">
        <f si="4" t="shared"/>
        <v>0.45843709822593987</v>
      </c>
      <c r="D22" s="13">
        <f si="4" t="shared"/>
        <v>0.19029345157529728</v>
      </c>
      <c r="E22" s="13" t="e">
        <f si="4" t="shared"/>
        <v>#DIV/0!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0.31400181106153618</v>
      </c>
      <c r="K22" s="6"/>
      <c r="L22" t="s">
        <v>1</v>
      </c>
      <c r="M22" s="13">
        <f ref="M22:P22" si="5" t="shared">M5/M$16</f>
        <v>0.99821746880570406</v>
      </c>
      <c r="N22" s="13">
        <f si="5" t="shared"/>
        <v>0.34487845693147789</v>
      </c>
      <c r="O22" s="13">
        <f si="5" t="shared"/>
        <v>0.19959067549788029</v>
      </c>
      <c r="P22" s="13" t="e">
        <f si="5" t="shared"/>
        <v>#DIV/0!</v>
      </c>
      <c r="Q22" s="13" t="e">
        <f ref="Q22:U33" si="6" t="shared">Q5/Q$16</f>
        <v>#DIV/0!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0.26931340951264771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0.53443020361231552</v>
      </c>
      <c r="D23" s="13">
        <f si="7" t="shared"/>
        <v>0.19687005980141711</v>
      </c>
      <c r="E23" s="13" t="e">
        <f si="7" t="shared"/>
        <v>#DIV/0!</v>
      </c>
      <c r="F23" s="13">
        <f si="7" t="shared"/>
        <v>0.5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0.33052660020045932</v>
      </c>
      <c r="K23" s="6"/>
      <c r="L23" t="s">
        <v>12</v>
      </c>
      <c r="M23" s="13">
        <f ref="M23:P23" si="8" t="shared">M6/M$16</f>
        <v>0</v>
      </c>
      <c r="N23" s="13">
        <f si="8" t="shared"/>
        <v>0.61137044213493041</v>
      </c>
      <c r="O23" s="13">
        <f si="8" t="shared"/>
        <v>0.15844456689194508</v>
      </c>
      <c r="P23" s="13" t="e">
        <f si="8" t="shared"/>
        <v>#DIV/0!</v>
      </c>
      <c r="Q23" s="13" t="e">
        <f si="6" t="shared"/>
        <v>#DIV/0!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0.37776041497108009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0.50900889566745822</v>
      </c>
      <c r="E24" s="13" t="e">
        <f si="9" t="shared"/>
        <v>#DIV/0!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0.27644412832750542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0.59975035703442148</v>
      </c>
      <c r="P24" s="13" t="e">
        <f si="10" t="shared"/>
        <v>#DIV/0!</v>
      </c>
      <c r="Q24" s="13" t="e">
        <f si="6" t="shared"/>
        <v>#DIV/0!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0.28938372887977343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0.5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7.4130574632516296E-4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 t="e">
        <f si="6" t="shared"/>
        <v>#DIV/0!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 t="e">
        <f si="6" t="shared"/>
        <v>#DIV/0!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 t="e">
        <f si="6" t="shared"/>
        <v>#DIV/0!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 t="e">
        <f si="6" t="shared"/>
        <v>#DIV/0!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 t="e">
        <f si="6" t="shared"/>
        <v>#DIV/0!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 t="e">
        <f si="6" t="shared"/>
        <v>#DIV/0!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2.1980670048480093E-3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6.1807178367792844E-3</v>
      </c>
      <c r="K31" s="6"/>
      <c r="L31" t="s">
        <v>4</v>
      </c>
      <c r="M31" s="13">
        <f ref="M31:P31" si="24" t="shared">M14/M$16</f>
        <v>0</v>
      </c>
      <c r="N31" s="13">
        <f si="24" t="shared"/>
        <v>6.473489519112207E-3</v>
      </c>
      <c r="O31" s="13">
        <f si="24" t="shared"/>
        <v>7.2981209306509833E-3</v>
      </c>
      <c r="P31" s="13" t="e">
        <f si="24" t="shared"/>
        <v>#DIV/0!</v>
      </c>
      <c r="Q31" s="13" t="e">
        <f si="6" t="shared"/>
        <v>#DIV/0!</v>
      </c>
      <c r="R31" s="13">
        <f si="6" t="shared"/>
        <v>0.96682464454976302</v>
      </c>
      <c r="S31" s="13">
        <f si="6" t="shared"/>
        <v>0</v>
      </c>
      <c r="T31" s="13" t="e">
        <f si="6" t="shared"/>
        <v>#DIV/0!</v>
      </c>
      <c r="U31" s="13">
        <f si="6" t="shared"/>
        <v>7.8186888910592393E-3</v>
      </c>
    </row>
    <row r="32" spans="1:21" x14ac:dyDescent="0.25">
      <c r="A32" s="4" t="s">
        <v>5</v>
      </c>
      <c r="B32" s="14">
        <f ref="B32:J32" si="25" t="shared">B15/B$16</f>
        <v>4.9069020592519927E-2</v>
      </c>
      <c r="C32" s="14">
        <f si="25" t="shared"/>
        <v>4.9346311568965349E-3</v>
      </c>
      <c r="D32" s="14">
        <f si="25" t="shared"/>
        <v>0.10382759295582725</v>
      </c>
      <c r="E32" s="14" t="e">
        <f si="25" t="shared"/>
        <v>#DIV/0!</v>
      </c>
      <c r="F32" s="14">
        <f si="25" t="shared"/>
        <v>0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7.2105436827394412E-2</v>
      </c>
      <c r="K32" s="6"/>
      <c r="L32" s="4" t="s">
        <v>5</v>
      </c>
      <c r="M32" s="14">
        <f ref="M32:P32" si="26" t="shared">M15/M$16</f>
        <v>1.7825311942959001E-3</v>
      </c>
      <c r="N32" s="14">
        <f si="26" t="shared"/>
        <v>3.7277611414479481E-2</v>
      </c>
      <c r="O32" s="14">
        <f si="26" t="shared"/>
        <v>3.4916279645102161E-2</v>
      </c>
      <c r="P32" s="14" t="e">
        <f si="26" t="shared"/>
        <v>#DIV/0!</v>
      </c>
      <c r="Q32" s="14" t="e">
        <f si="6" t="shared"/>
        <v>#DIV/0!</v>
      </c>
      <c r="R32" s="14">
        <f si="6" t="shared"/>
        <v>3.3175355450236969E-2</v>
      </c>
      <c r="S32" s="14">
        <f si="6" t="shared"/>
        <v>1</v>
      </c>
      <c r="T32" s="14" t="e">
        <f si="6" t="shared"/>
        <v>#DIV/0!</v>
      </c>
      <c r="U32" s="14">
        <f si="6" t="shared"/>
        <v>5.5723757745439549E-2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 t="e">
        <f si="6" t="shared"/>
        <v>#DIV/0!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43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4.7286489398223996E-2</v>
      </c>
      <c r="N39" s="13">
        <f si="29" t="shared"/>
        <v>-0.11355864129446197</v>
      </c>
      <c r="O39" s="13">
        <f si="29" t="shared"/>
        <v>9.2972239225830033E-3</v>
      </c>
      <c r="P39" s="13" t="e">
        <f si="29" t="shared"/>
        <v>#DIV/0!</v>
      </c>
      <c r="Q39" s="13" t="e">
        <f ref="Q39:Q50" si="30" t="shared">Q22-F22</f>
        <v>#DIV/0!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-4.4688401548888479E-2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7.694023852261489E-2</v>
      </c>
      <c r="O40" s="13">
        <f si="29" t="shared"/>
        <v>-3.8425492909472031E-2</v>
      </c>
      <c r="P40" s="13" t="e">
        <f si="29" t="shared"/>
        <v>#DIV/0!</v>
      </c>
      <c r="Q40" s="13" t="e">
        <f si="30" t="shared"/>
        <v>#DIV/0!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4.7233814770620774E-2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9.0741461366963261E-2</v>
      </c>
      <c r="P41" s="13" t="e">
        <f si="29" t="shared"/>
        <v>#DIV/0!</v>
      </c>
      <c r="Q41" s="13" t="e">
        <f si="30" t="shared"/>
        <v>#DIV/0!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1.2939600552268005E-2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 t="e">
        <f si="30" t="shared"/>
        <v>#DIV/0!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-7.4130574632516296E-4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 t="e">
        <f si="30" t="shared"/>
        <v>#DIV/0!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 t="e">
        <f si="30" t="shared"/>
        <v>#DIV/0!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 t="e">
        <f si="30" t="shared"/>
        <v>#DIV/0!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 t="e">
        <f si="30" t="shared"/>
        <v>#DIV/0!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 t="e">
        <f si="30" t="shared"/>
        <v>#DIV/0!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0</v>
      </c>
      <c r="N48" s="13">
        <f si="39" t="shared"/>
        <v>4.2754225142641981E-3</v>
      </c>
      <c r="O48" s="13">
        <f si="39" t="shared"/>
        <v>7.2981209306509833E-3</v>
      </c>
      <c r="P48" s="13" t="e">
        <f si="39" t="shared"/>
        <v>#DIV/0!</v>
      </c>
      <c r="Q48" s="13" t="e">
        <f si="30" t="shared"/>
        <v>#DIV/0!</v>
      </c>
      <c r="R48" s="13">
        <f si="31" t="shared"/>
        <v>-3.3175355450236976E-2</v>
      </c>
      <c r="S48" s="13">
        <f si="32" t="shared"/>
        <v>0</v>
      </c>
      <c r="T48" s="13" t="e">
        <f si="33" t="shared"/>
        <v>#DIV/0!</v>
      </c>
      <c r="U48" s="13">
        <f si="34" t="shared"/>
        <v>1.6379710542799549E-3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-4.7286489398224024E-2</v>
      </c>
      <c r="N49" s="17">
        <f si="39" t="shared"/>
        <v>3.2342980257582948E-2</v>
      </c>
      <c r="O49" s="17">
        <f si="39" t="shared"/>
        <v>-6.8911313310725086E-2</v>
      </c>
      <c r="P49" s="17" t="e">
        <f si="39" t="shared"/>
        <v>#DIV/0!</v>
      </c>
      <c r="Q49" s="17" t="e">
        <f si="30" t="shared"/>
        <v>#DIV/0!</v>
      </c>
      <c r="R49" s="17">
        <f si="31" t="shared"/>
        <v>3.3175355450236969E-2</v>
      </c>
      <c r="S49" s="17">
        <f si="32" t="shared"/>
        <v>0</v>
      </c>
      <c r="T49" s="17" t="e">
        <f si="33" t="shared"/>
        <v>#DIV/0!</v>
      </c>
      <c r="U49" s="13">
        <f si="34" t="shared"/>
        <v>-1.6381679081954863E-2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 t="e">
        <f si="30" t="shared"/>
        <v>#DIV/0!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44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44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57965.1269265472</v>
      </c>
      <c r="C5" s="6" t="n">
        <v>678.801410544</v>
      </c>
      <c r="D5" s="6" t="n">
        <v>0.0</v>
      </c>
      <c r="E5" s="6" t="n">
        <v>0.0</v>
      </c>
      <c r="F5" s="6" t="n">
        <v>456.37559718</v>
      </c>
      <c r="G5" s="6" t="n">
        <v>0.0</v>
      </c>
      <c r="H5" s="6" t="n">
        <v>0.0</v>
      </c>
      <c r="I5" s="6" t="n">
        <v>0.0</v>
      </c>
      <c r="J5" s="6">
        <f>SUM(B5:I5)</f>
        <v>59100.3039342712</v>
      </c>
      <c r="K5" s="6"/>
      <c r="L5" t="s">
        <v>1</v>
      </c>
      <c r="M5" s="6" t="n">
        <v>75486.0</v>
      </c>
      <c r="N5" s="6" t="n">
        <v>3792.0</v>
      </c>
      <c r="O5" s="6" t="n">
        <v>1091.0</v>
      </c>
      <c r="P5" s="6" t="n">
        <v>0.0</v>
      </c>
      <c r="Q5" s="6" t="n">
        <v>39.0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79854</v>
      </c>
    </row>
    <row r="6" spans="1:21" x14ac:dyDescent="0.25">
      <c r="A6" t="s">
        <v>12</v>
      </c>
      <c r="B6" s="6" t="n">
        <v>0.0</v>
      </c>
      <c r="C6" s="6" t="n">
        <v>38308.521477606</v>
      </c>
      <c r="D6" s="6" t="n">
        <v>4318.127875</v>
      </c>
      <c r="E6" s="6" t="n">
        <v>0.0</v>
      </c>
      <c r="F6" s="6" t="n">
        <v>193.998839214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42820.648191820001</v>
      </c>
      <c r="K6" s="6"/>
      <c r="L6" t="s">
        <v>12</v>
      </c>
      <c r="M6" s="6" t="n">
        <v>0.0</v>
      </c>
      <c r="N6" s="6" t="n">
        <v>45187.0</v>
      </c>
      <c r="O6" s="6" t="n">
        <v>6317.0</v>
      </c>
      <c r="P6" s="6" t="n">
        <v>0.0</v>
      </c>
      <c r="Q6" s="6" t="n">
        <v>394.0</v>
      </c>
      <c r="R6" s="6" t="n">
        <v>0.0</v>
      </c>
      <c r="S6" s="6" t="n">
        <v>0.0</v>
      </c>
      <c r="T6" s="6" t="n">
        <v>0.0</v>
      </c>
      <c r="U6" s="6">
        <f si="0" t="shared"/>
        <v>52176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41749.473304118</v>
      </c>
      <c r="E7" s="6" t="n">
        <v>0.0</v>
      </c>
      <c r="F7" s="6" t="n">
        <v>261.652913556</v>
      </c>
      <c r="G7" s="6" t="n">
        <v>0.0</v>
      </c>
      <c r="H7" s="6" t="n">
        <v>0.0</v>
      </c>
      <c r="I7" s="6" t="n">
        <v>0.0</v>
      </c>
      <c r="J7" s="6">
        <f si="1" t="shared"/>
        <v>42011.126217673998</v>
      </c>
      <c r="K7" s="6"/>
      <c r="L7" t="s">
        <v>56</v>
      </c>
      <c r="M7" s="6" t="n">
        <v>0.0</v>
      </c>
      <c r="N7" s="6" t="n">
        <v>0.0</v>
      </c>
      <c r="O7" s="6" t="n">
        <v>29799.0</v>
      </c>
      <c r="P7" s="6" t="n">
        <v>0.0</v>
      </c>
      <c r="Q7" s="6" t="n">
        <v>173.0</v>
      </c>
      <c r="R7" s="6" t="n">
        <v>0.0</v>
      </c>
      <c r="S7" s="6" t="n">
        <v>1.0</v>
      </c>
      <c r="T7" s="6" t="n">
        <v>0.0</v>
      </c>
      <c r="U7" s="6">
        <f si="0" t="shared"/>
        <v>30254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11913.868929869</v>
      </c>
      <c r="G8" s="6" t="n">
        <v>0.0</v>
      </c>
      <c r="H8" s="6" t="n">
        <v>0.0</v>
      </c>
      <c r="I8" s="6" t="n">
        <v>0.0</v>
      </c>
      <c r="J8" s="6">
        <f si="1" t="shared"/>
        <v>11913.868929869001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2146.0</v>
      </c>
      <c r="R8" s="6" t="n">
        <v>0.0</v>
      </c>
      <c r="S8" s="6" t="n">
        <v>0.0</v>
      </c>
      <c r="T8" s="6" t="n">
        <v>0.0</v>
      </c>
      <c r="U8" s="6">
        <f si="0" t="shared"/>
        <v>2238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280.059719892</v>
      </c>
      <c r="D14" s="6" t="n">
        <v>0.0</v>
      </c>
      <c r="E14" s="6" t="n">
        <v>0.0</v>
      </c>
      <c r="F14" s="6" t="n">
        <v>128.631810469</v>
      </c>
      <c r="G14" s="6" t="n">
        <v>2760.10350428</v>
      </c>
      <c r="H14" s="6" t="n">
        <v>0.0</v>
      </c>
      <c r="I14" s="6" t="n">
        <v>0.0</v>
      </c>
      <c r="J14" s="6">
        <f si="1" t="shared"/>
        <v>3168.7950346409998</v>
      </c>
      <c r="K14" s="6"/>
      <c r="L14" t="s">
        <v>4</v>
      </c>
      <c r="M14" s="6" t="n">
        <v>86.0</v>
      </c>
      <c r="N14" s="6" t="n">
        <v>105.0</v>
      </c>
      <c r="O14" s="6" t="n">
        <v>75.0</v>
      </c>
      <c r="P14" s="6" t="n">
        <v>0.0</v>
      </c>
      <c r="Q14" s="6" t="n">
        <v>32.0</v>
      </c>
      <c r="R14" s="6" t="n">
        <v>878.0</v>
      </c>
      <c r="S14" s="6" t="n">
        <v>0.0</v>
      </c>
      <c r="T14" s="6" t="n">
        <v>0.0</v>
      </c>
      <c r="U14" s="6">
        <f si="0" t="shared"/>
        <v>1097</v>
      </c>
    </row>
    <row r="15" spans="1:21" x14ac:dyDescent="0.25">
      <c r="A15" s="4" t="s">
        <v>5</v>
      </c>
      <c r="B15" s="10" t="n">
        <v>1038.552707806</v>
      </c>
      <c r="C15" s="10" t="n">
        <v>529.272159155</v>
      </c>
      <c r="D15" s="10" t="n">
        <v>0.0</v>
      </c>
      <c r="E15" s="10" t="n">
        <v>0.0</v>
      </c>
      <c r="F15" s="10" t="n">
        <v>1037.6482704119999</v>
      </c>
      <c r="G15" s="10" t="n">
        <v>0.0</v>
      </c>
      <c r="H15" s="10" t="n">
        <v>19965.852757387</v>
      </c>
      <c r="I15" s="10" t="n">
        <v>0.0</v>
      </c>
      <c r="J15" s="6">
        <f si="1" t="shared"/>
        <v>22571.325894760001</v>
      </c>
      <c r="K15" s="6"/>
      <c r="L15" s="4" t="s">
        <v>5</v>
      </c>
      <c r="M15" s="8" t="n">
        <v>1220.0</v>
      </c>
      <c r="N15" s="8" t="n">
        <v>614.0</v>
      </c>
      <c r="O15" s="8" t="n">
        <v>328.0</v>
      </c>
      <c r="P15" s="8" t="n">
        <v>0.0</v>
      </c>
      <c r="Q15" s="8" t="n">
        <v>563.0</v>
      </c>
      <c r="R15" s="8" t="n">
        <v>78.0</v>
      </c>
      <c r="S15" s="8" t="n">
        <v>14654.0</v>
      </c>
      <c r="T15" s="8" t="n">
        <v>0.0</v>
      </c>
      <c r="U15" s="6">
        <f si="0" t="shared"/>
        <v>17084</v>
      </c>
    </row>
    <row ht="15.75" r="16" spans="1:21" thickBot="1" x14ac:dyDescent="0.3">
      <c r="A16" s="12" t="s">
        <v>7</v>
      </c>
      <c r="B16" s="16">
        <f ref="B16:J16" si="2" t="shared">SUM(B5:B15)</f>
        <v>59003.679634353197</v>
      </c>
      <c r="C16" s="16">
        <f si="2" t="shared"/>
        <v>39796.654767197004</v>
      </c>
      <c r="D16" s="16">
        <f si="2" t="shared"/>
        <v>46067.601179117999</v>
      </c>
      <c r="E16" s="16">
        <f si="2" t="shared"/>
        <v>0</v>
      </c>
      <c r="F16" s="16">
        <f si="2" t="shared"/>
        <v>13992.176360699999</v>
      </c>
      <c r="G16" s="16">
        <f si="2" t="shared"/>
        <v>2760.1035042799999</v>
      </c>
      <c r="H16" s="16">
        <f si="2" t="shared"/>
        <v>19965.852757387001</v>
      </c>
      <c r="I16" s="16">
        <f si="2" t="shared"/>
        <v>0</v>
      </c>
      <c r="J16" s="16">
        <f si="2" t="shared"/>
        <v>181586.06820303519</v>
      </c>
      <c r="L16" s="9" t="s">
        <v>7</v>
      </c>
      <c r="M16" s="16">
        <f ref="M16:U16" si="3" t="shared">SUM(M5:M15)</f>
        <v>76162</v>
      </c>
      <c r="N16" s="16">
        <f si="3" t="shared"/>
        <v>50069</v>
      </c>
      <c r="O16" s="16">
        <f si="3" t="shared"/>
        <v>37802</v>
      </c>
      <c r="P16" s="16">
        <f si="3" t="shared"/>
        <v>0</v>
      </c>
      <c r="Q16" s="16">
        <f si="3" t="shared"/>
        <v>3462</v>
      </c>
      <c r="R16" s="16">
        <f si="3" t="shared"/>
        <v>868</v>
      </c>
      <c r="S16" s="16">
        <f si="3" t="shared"/>
        <v>14340</v>
      </c>
      <c r="T16" s="16">
        <f si="3" t="shared"/>
        <v>0</v>
      </c>
      <c r="U16" s="16">
        <f si="3" t="shared"/>
        <v>182703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44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44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0.98239850947869822</v>
      </c>
      <c r="C22" s="13">
        <f si="4" t="shared"/>
        <v>1.7056745460513237E-2</v>
      </c>
      <c r="D22" s="13">
        <f si="4" t="shared"/>
        <v>0</v>
      </c>
      <c r="E22" s="13" t="e">
        <f si="4" t="shared"/>
        <v>#DIV/0!</v>
      </c>
      <c r="F22" s="13">
        <f si="4" t="shared"/>
        <v>3.2616484056177841E-2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0.32546717112785278</v>
      </c>
      <c r="K22" s="6"/>
      <c r="L22" t="s">
        <v>1</v>
      </c>
      <c r="M22" s="13">
        <f ref="M22:P22" si="5" t="shared">M5/M$16</f>
        <v>0.98358761587143195</v>
      </c>
      <c r="N22" s="13">
        <f si="5" t="shared"/>
        <v>7.7113583255107948E-2</v>
      </c>
      <c r="O22" s="13">
        <f si="5" t="shared"/>
        <v>2.7882122639013809E-2</v>
      </c>
      <c r="P22" s="13" t="e">
        <f si="5" t="shared"/>
        <v>#DIV/0!</v>
      </c>
      <c r="Q22" s="13">
        <f ref="Q22:U33" si="6" t="shared">Q5/Q$16</f>
        <v>7.7989601386481804E-3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0.43706999885059361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0.96260657338421274</v>
      </c>
      <c r="D23" s="13">
        <f si="7" t="shared"/>
        <v>9.3734593607564837E-2</v>
      </c>
      <c r="E23" s="13" t="e">
        <f si="7" t="shared"/>
        <v>#DIV/0!</v>
      </c>
      <c r="F23" s="13">
        <f si="7" t="shared"/>
        <v>1.3864808033644212E-2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0.23581461185635308</v>
      </c>
      <c r="K23" s="6"/>
      <c r="L23" t="s">
        <v>12</v>
      </c>
      <c r="M23" s="13">
        <f ref="M23:P23" si="8" t="shared">M6/M$16</f>
        <v>0</v>
      </c>
      <c r="N23" s="13">
        <f si="8" t="shared"/>
        <v>0.90916535181449598</v>
      </c>
      <c r="O23" s="13">
        <f si="8" t="shared"/>
        <v>0.1658906936140945</v>
      </c>
      <c r="P23" s="13" t="e">
        <f si="8" t="shared"/>
        <v>#DIV/0!</v>
      </c>
      <c r="Q23" s="13">
        <f si="6" t="shared"/>
        <v>0.11091854419410745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0.2855782335265431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0.90626540639243525</v>
      </c>
      <c r="E24" s="13" t="e">
        <f si="9" t="shared"/>
        <v>#DIV/0!</v>
      </c>
      <c r="F24" s="13">
        <f si="9" t="shared"/>
        <v>1.8699943940880263E-2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0.23135654972550249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0.79564573302999841</v>
      </c>
      <c r="P24" s="13" t="e">
        <f si="10" t="shared"/>
        <v>#DIV/0!</v>
      </c>
      <c r="Q24" s="13">
        <f si="6" t="shared"/>
        <v>5.1126516464471403E-2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0.16559115066528737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0.8514664640256846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6.5610038522051453E-2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0.64644714038128248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1.2249388351587003E-2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7.0372678691286248E-3</v>
      </c>
      <c r="D31" s="13">
        <f si="23" t="shared"/>
        <v>0</v>
      </c>
      <c r="E31" s="13" t="e">
        <f si="23" t="shared"/>
        <v>#DIV/0!</v>
      </c>
      <c r="F31" s="13">
        <f si="23" t="shared"/>
        <v>9.193123868156048E-3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1.7450650625343699E-2</v>
      </c>
      <c r="K31" s="6"/>
      <c r="L31" t="s">
        <v>4</v>
      </c>
      <c r="M31" s="13">
        <f ref="M31:P31" si="24" t="shared">M14/M$16</f>
        <v>1.4311598960111342E-3</v>
      </c>
      <c r="N31" s="13">
        <f si="24" t="shared"/>
        <v>1.8574367373025225E-3</v>
      </c>
      <c r="O31" s="13">
        <f si="24" t="shared"/>
        <v>1.6665784879106925E-3</v>
      </c>
      <c r="P31" s="13" t="e">
        <f si="24" t="shared"/>
        <v>#DIV/0!</v>
      </c>
      <c r="Q31" s="13">
        <f si="6" t="shared"/>
        <v>8.9543616406701325E-3</v>
      </c>
      <c r="R31" s="13">
        <f si="6" t="shared"/>
        <v>0.92281105990783407</v>
      </c>
      <c r="S31" s="13">
        <f si="6" t="shared"/>
        <v>0</v>
      </c>
      <c r="T31" s="13" t="e">
        <f si="6" t="shared"/>
        <v>#DIV/0!</v>
      </c>
      <c r="U31" s="13">
        <f si="6" t="shared"/>
        <v>6.0042801705500184E-3</v>
      </c>
    </row>
    <row r="32" spans="1:21" x14ac:dyDescent="0.25">
      <c r="A32" s="4" t="s">
        <v>5</v>
      </c>
      <c r="B32" s="14">
        <f ref="B32:J32" si="25" t="shared">B15/B$16</f>
        <v>1.7601490521301871E-2</v>
      </c>
      <c r="C32" s="14">
        <f si="25" t="shared"/>
        <v>1.3299413286145364E-2</v>
      </c>
      <c r="D32" s="14">
        <f si="25" t="shared"/>
        <v>0</v>
      </c>
      <c r="E32" s="14" t="e">
        <f si="25" t="shared"/>
        <v>#DIV/0!</v>
      </c>
      <c r="F32" s="14">
        <f si="25" t="shared"/>
        <v>7.4159176075457106E-2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0.12430097814289656</v>
      </c>
      <c r="K32" s="6"/>
      <c r="L32" s="4" t="s">
        <v>5</v>
      </c>
      <c r="M32" s="14">
        <f ref="M32:P32" si="26" t="shared">M15/M$16</f>
        <v>1.4981224232556918E-2</v>
      </c>
      <c r="N32" s="14">
        <f si="26" t="shared"/>
        <v>1.186362819309353E-2</v>
      </c>
      <c r="O32" s="14">
        <f si="26" t="shared"/>
        <v>8.9148722289825941E-3</v>
      </c>
      <c r="P32" s="14" t="e">
        <f si="26" t="shared"/>
        <v>#DIV/0!</v>
      </c>
      <c r="Q32" s="14">
        <f si="6" t="shared"/>
        <v>0.17475447718082032</v>
      </c>
      <c r="R32" s="14">
        <f si="6" t="shared"/>
        <v>7.7188940092165897E-2</v>
      </c>
      <c r="S32" s="14">
        <f si="6" t="shared"/>
        <v>1</v>
      </c>
      <c r="T32" s="14" t="e">
        <f si="6" t="shared"/>
        <v>#DIV/0!</v>
      </c>
      <c r="U32" s="14">
        <f si="6" t="shared"/>
        <v>9.3506948435438941E-2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44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1.1891063927337298E-3</v>
      </c>
      <c r="N39" s="13">
        <f si="29" t="shared"/>
        <v>6.0056837794594711E-2</v>
      </c>
      <c r="O39" s="13">
        <f si="29" t="shared"/>
        <v>2.7882122639013809E-2</v>
      </c>
      <c r="P39" s="13" t="e">
        <f si="29" t="shared"/>
        <v>#DIV/0!</v>
      </c>
      <c r="Q39" s="13">
        <f ref="Q39:Q50" si="30" t="shared">Q22-F22</f>
        <v>-2.4817523917529661E-2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0.11160282772274083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-5.3441221569716757E-2</v>
      </c>
      <c r="O40" s="13">
        <f si="29" t="shared"/>
        <v>7.2156100006529666E-2</v>
      </c>
      <c r="P40" s="13" t="e">
        <f si="29" t="shared"/>
        <v>#DIV/0!</v>
      </c>
      <c r="Q40" s="13">
        <f si="30" t="shared"/>
        <v>9.7053736160463228E-2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4.9763621670190022E-2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-0.11061967336243683</v>
      </c>
      <c r="P41" s="13" t="e">
        <f si="29" t="shared"/>
        <v>#DIV/0!</v>
      </c>
      <c r="Q41" s="13">
        <f si="30" t="shared"/>
        <v>3.2426572523591143E-2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-6.5765399060215113E-2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-0.20501932364440212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-5.3360650170464451E-2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1.4311598960111342E-3</v>
      </c>
      <c r="N48" s="13">
        <f si="39" t="shared"/>
        <v>-5.1798311318261023E-3</v>
      </c>
      <c r="O48" s="13">
        <f si="39" t="shared"/>
        <v>1.6665784879106925E-3</v>
      </c>
      <c r="P48" s="13" t="e">
        <f si="39" t="shared"/>
        <v>#DIV/0!</v>
      </c>
      <c r="Q48" s="13">
        <f si="30" t="shared"/>
        <v>-2.3876222748591552E-4</v>
      </c>
      <c r="R48" s="13">
        <f si="31" t="shared"/>
        <v>-7.7188940092165925E-2</v>
      </c>
      <c r="S48" s="13">
        <f si="32" t="shared"/>
        <v>0</v>
      </c>
      <c r="T48" s="13" t="e">
        <f si="33" t="shared"/>
        <v>#DIV/0!</v>
      </c>
      <c r="U48" s="13">
        <f si="34" t="shared"/>
        <v>-1.1446370454793679E-2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-2.6202662887449529E-3</v>
      </c>
      <c r="N49" s="17">
        <f si="39" t="shared"/>
        <v>-1.4357850930518338E-3</v>
      </c>
      <c r="O49" s="17">
        <f si="39" t="shared"/>
        <v>8.9148722289825941E-3</v>
      </c>
      <c r="P49" s="17" t="e">
        <f si="39" t="shared"/>
        <v>#DIV/0!</v>
      </c>
      <c r="Q49" s="17">
        <f si="30" t="shared"/>
        <v>0.10059530110536322</v>
      </c>
      <c r="R49" s="17">
        <f si="31" t="shared"/>
        <v>7.7188940092165897E-2</v>
      </c>
      <c r="S49" s="17">
        <f si="32" t="shared"/>
        <v>0</v>
      </c>
      <c r="T49" s="17" t="e">
        <f si="33" t="shared"/>
        <v>#DIV/0!</v>
      </c>
      <c r="U49" s="13">
        <f si="34" t="shared"/>
        <v>-3.0794029707457621E-2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AF50"/>
  <sheetViews>
    <sheetView tabSelected="1"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57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57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70390.5050563902</v>
      </c>
      <c r="C5" s="6" t="n">
        <v>2880.825704432</v>
      </c>
      <c r="D5" s="6" t="n">
        <v>0.0</v>
      </c>
      <c r="E5" s="6" t="n">
        <v>338.608786816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73609.939547638205</v>
      </c>
      <c r="K5" s="6"/>
      <c r="L5" t="s">
        <v>1</v>
      </c>
      <c r="M5" s="6" t="n">
        <v>72045.0</v>
      </c>
      <c r="N5" s="6" t="n">
        <v>2038.0</v>
      </c>
      <c r="O5" s="6" t="n">
        <v>645.0</v>
      </c>
      <c r="P5" s="6" t="n">
        <v>0.0</v>
      </c>
      <c r="Q5" s="6" t="n">
        <v>14.0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74670</v>
      </c>
    </row>
    <row r="6" spans="1:21" x14ac:dyDescent="0.25">
      <c r="A6" t="s">
        <v>12</v>
      </c>
      <c r="B6" s="6" t="n">
        <v>0.0</v>
      </c>
      <c r="C6" s="6" t="n">
        <v>70964.3242826802</v>
      </c>
      <c r="D6" s="6" t="n">
        <v>0.0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70964.324282680202</v>
      </c>
      <c r="K6" s="6"/>
      <c r="L6" t="s">
        <v>12</v>
      </c>
      <c r="M6" s="6" t="n">
        <v>0.0</v>
      </c>
      <c r="N6" s="6" t="n">
        <v>34071.0</v>
      </c>
      <c r="O6" s="6" t="n">
        <v>4811.0</v>
      </c>
      <c r="P6" s="6" t="n">
        <v>0.0</v>
      </c>
      <c r="Q6" s="6" t="n">
        <v>289.0</v>
      </c>
      <c r="R6" s="6" t="n">
        <v>0.0</v>
      </c>
      <c r="S6" s="6" t="n">
        <v>0.0</v>
      </c>
      <c r="T6" s="6" t="n">
        <v>0.0</v>
      </c>
      <c r="U6" s="6">
        <f si="0" t="shared"/>
        <v>39758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8215.285375942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8215.2853759419995</v>
      </c>
      <c r="K7" s="6"/>
      <c r="L7" t="s">
        <v>56</v>
      </c>
      <c r="M7" s="6" t="n">
        <v>0.0</v>
      </c>
      <c r="N7" s="6" t="n">
        <v>0.0</v>
      </c>
      <c r="O7" s="6" t="n">
        <v>21335.0</v>
      </c>
      <c r="P7" s="6" t="n">
        <v>0.0</v>
      </c>
      <c r="Q7" s="6" t="n">
        <v>123.0</v>
      </c>
      <c r="R7" s="6" t="n">
        <v>0.0</v>
      </c>
      <c r="S7" s="6" t="n">
        <v>0.0</v>
      </c>
      <c r="T7" s="6" t="n">
        <v>0.0</v>
      </c>
      <c r="U7" s="6">
        <f si="0" t="shared"/>
        <v>21687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507.91318022400003</v>
      </c>
      <c r="F8" s="6" t="n">
        <v>3014.0735232026</v>
      </c>
      <c r="G8" s="6" t="n">
        <v>0.0</v>
      </c>
      <c r="H8" s="6" t="n">
        <v>0.0</v>
      </c>
      <c r="I8" s="6" t="n">
        <v>0.0</v>
      </c>
      <c r="J8" s="6">
        <f si="1" t="shared"/>
        <v>3521.9867034265999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1034.0</v>
      </c>
      <c r="R8" s="6" t="n">
        <v>0.0</v>
      </c>
      <c r="S8" s="6" t="n">
        <v>0.0</v>
      </c>
      <c r="T8" s="6" t="n">
        <v>0.0</v>
      </c>
      <c r="U8" s="6">
        <f si="0" t="shared"/>
        <v>1031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1" t="shared"/>
        <v>0</v>
      </c>
      <c r="K14" s="6"/>
      <c r="L14" t="s">
        <v>4</v>
      </c>
      <c r="M14" s="6" t="n">
        <v>109.0</v>
      </c>
      <c r="N14" s="6" t="n">
        <v>46.0</v>
      </c>
      <c r="O14" s="6" t="n">
        <v>21.0</v>
      </c>
      <c r="P14" s="6" t="n">
        <v>0.0</v>
      </c>
      <c r="Q14" s="6" t="n">
        <v>10.0</v>
      </c>
      <c r="R14" s="6" t="n">
        <v>915.0</v>
      </c>
      <c r="S14" s="6" t="n">
        <v>0.0</v>
      </c>
      <c r="T14" s="6" t="n">
        <v>0.0</v>
      </c>
      <c r="U14" s="6">
        <f si="0" t="shared"/>
        <v>1006</v>
      </c>
    </row>
    <row r="15" spans="1:21" x14ac:dyDescent="0.25">
      <c r="A15" s="4" t="s">
        <v>5</v>
      </c>
      <c r="B15" s="10" t="n">
        <v>248.604216396</v>
      </c>
      <c r="C15" s="10" t="n">
        <v>2034.1071405280002</v>
      </c>
      <c r="D15" s="10" t="n">
        <v>0.0</v>
      </c>
      <c r="E15" s="10" t="n">
        <v>169.304393408</v>
      </c>
      <c r="F15" s="10" t="n">
        <v>1922.162255422</v>
      </c>
      <c r="G15" s="10" t="n">
        <v>0.0</v>
      </c>
      <c r="H15" s="10" t="n">
        <v>10779.3437579284</v>
      </c>
      <c r="I15" s="10" t="n">
        <v>0.0</v>
      </c>
      <c r="J15" s="6">
        <f si="1" t="shared"/>
        <v>15153.5217636824</v>
      </c>
      <c r="K15" s="6"/>
      <c r="L15" s="4" t="s">
        <v>5</v>
      </c>
      <c r="M15" s="8" t="n">
        <v>1619.0</v>
      </c>
      <c r="N15" s="8" t="n">
        <v>415.0</v>
      </c>
      <c r="O15" s="8" t="n">
        <v>223.0</v>
      </c>
      <c r="P15" s="8" t="n">
        <v>0.0</v>
      </c>
      <c r="Q15" s="8" t="n">
        <v>268.0</v>
      </c>
      <c r="R15" s="8" t="n">
        <v>86.0</v>
      </c>
      <c r="S15" s="8" t="n">
        <v>18419.0</v>
      </c>
      <c r="T15" s="8" t="n">
        <v>0.0</v>
      </c>
      <c r="U15" s="6">
        <f si="0" t="shared"/>
        <v>20610</v>
      </c>
    </row>
    <row ht="15.75" r="16" spans="1:21" thickBot="1" x14ac:dyDescent="0.3">
      <c r="A16" s="12" t="s">
        <v>7</v>
      </c>
      <c r="B16" s="16">
        <f ref="B16:J16" si="2" t="shared">SUM(B5:B15)</f>
        <v>70639.109272786198</v>
      </c>
      <c r="C16" s="16">
        <f si="2" t="shared"/>
        <v>75879.257127640201</v>
      </c>
      <c r="D16" s="16">
        <f si="2" t="shared"/>
        <v>8215.2853759419995</v>
      </c>
      <c r="E16" s="16">
        <f si="2" t="shared"/>
        <v>1015.8263604480001</v>
      </c>
      <c r="F16" s="16">
        <f si="2" t="shared"/>
        <v>4936.2357786246002</v>
      </c>
      <c r="G16" s="16">
        <f si="2" t="shared"/>
        <v>0</v>
      </c>
      <c r="H16" s="16">
        <f si="2" t="shared"/>
        <v>10779.3437579284</v>
      </c>
      <c r="I16" s="16">
        <f si="2" t="shared"/>
        <v>0</v>
      </c>
      <c r="J16" s="16">
        <f si="2" t="shared"/>
        <v>171465.05767336942</v>
      </c>
      <c r="L16" s="9" t="s">
        <v>7</v>
      </c>
      <c r="M16" s="16">
        <f ref="M16:U16" si="3" t="shared">SUM(M5:M15)</f>
        <v>73572</v>
      </c>
      <c r="N16" s="16">
        <f si="3" t="shared"/>
        <v>37167</v>
      </c>
      <c r="O16" s="16">
        <f si="3" t="shared"/>
        <v>27211</v>
      </c>
      <c r="P16" s="16">
        <f si="3" t="shared"/>
        <v>0</v>
      </c>
      <c r="Q16" s="16">
        <f si="3" t="shared"/>
        <v>1831</v>
      </c>
      <c r="R16" s="16">
        <f si="3" t="shared"/>
        <v>875</v>
      </c>
      <c r="S16" s="16">
        <f si="3" t="shared"/>
        <v>18106</v>
      </c>
      <c r="T16" s="16">
        <f si="3" t="shared"/>
        <v>0</v>
      </c>
      <c r="U16" s="16">
        <f si="3" t="shared"/>
        <v>158762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57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57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0.99648064338642828</v>
      </c>
      <c r="C22" s="13">
        <f si="4" t="shared"/>
        <v>3.7965918664517526E-2</v>
      </c>
      <c r="D22" s="13">
        <f si="4" t="shared"/>
        <v>0</v>
      </c>
      <c r="E22" s="13">
        <f si="4" t="shared"/>
        <v>0.33333333333333331</v>
      </c>
      <c r="F22" s="13">
        <f si="4" t="shared"/>
        <v>0</v>
      </c>
      <c r="G22" s="13" t="e">
        <f si="4" t="shared"/>
        <v>#DIV/0!</v>
      </c>
      <c r="H22" s="13">
        <f si="4" t="shared"/>
        <v>0</v>
      </c>
      <c r="I22" s="13" t="e">
        <f si="4" t="shared"/>
        <v>#DIV/0!</v>
      </c>
      <c r="J22" s="13">
        <f si="4" t="shared"/>
        <v>0.42929994336140892</v>
      </c>
      <c r="K22" s="6"/>
      <c r="L22" t="s">
        <v>1</v>
      </c>
      <c r="M22" s="13">
        <f ref="M22:P22" si="5" t="shared">M5/M$16</f>
        <v>0.97804871418474415</v>
      </c>
      <c r="N22" s="13">
        <f si="5" t="shared"/>
        <v>5.531788952565448E-2</v>
      </c>
      <c r="O22" s="13">
        <f si="5" t="shared"/>
        <v>2.3703649259490648E-2</v>
      </c>
      <c r="P22" s="13" t="e">
        <f si="5" t="shared"/>
        <v>#DIV/0!</v>
      </c>
      <c r="Q22" s="13">
        <f ref="Q22:U33" si="6" t="shared">Q5/Q$16</f>
        <v>6.5537957400327689E-3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0.4703266524735138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0.93522692457712975</v>
      </c>
      <c r="D23" s="13">
        <f si="7" t="shared"/>
        <v>0</v>
      </c>
      <c r="E23" s="13">
        <f si="7" t="shared"/>
        <v>0</v>
      </c>
      <c r="F23" s="13">
        <f si="7" t="shared"/>
        <v>0</v>
      </c>
      <c r="G23" s="13" t="e">
        <f si="7" t="shared"/>
        <v>#DIV/0!</v>
      </c>
      <c r="H23" s="13">
        <f si="7" t="shared"/>
        <v>0</v>
      </c>
      <c r="I23" s="13" t="e">
        <f si="7" t="shared"/>
        <v>#DIV/0!</v>
      </c>
      <c r="J23" s="13">
        <f si="7" t="shared"/>
        <v>0.41387047160280876</v>
      </c>
      <c r="K23" s="6"/>
      <c r="L23" t="s">
        <v>12</v>
      </c>
      <c r="M23" s="13">
        <f ref="M23:P23" si="8" t="shared">M6/M$16</f>
        <v>0</v>
      </c>
      <c r="N23" s="13">
        <f si="8" t="shared"/>
        <v>0.93316651868593103</v>
      </c>
      <c r="O23" s="13">
        <f si="8" t="shared"/>
        <v>0.17526000514497814</v>
      </c>
      <c r="P23" s="13" t="e">
        <f si="8" t="shared"/>
        <v>#DIV/0!</v>
      </c>
      <c r="Q23" s="13">
        <f si="6" t="shared"/>
        <v>0.1671217913708356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0.2504251647119588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1</v>
      </c>
      <c r="E24" s="13">
        <f si="9" t="shared"/>
        <v>0</v>
      </c>
      <c r="F24" s="13">
        <f si="9" t="shared"/>
        <v>0</v>
      </c>
      <c r="G24" s="13" t="e">
        <f si="9" t="shared"/>
        <v>#DIV/0!</v>
      </c>
      <c r="H24" s="13">
        <f si="9" t="shared"/>
        <v>0</v>
      </c>
      <c r="I24" s="13" t="e">
        <f si="9" t="shared"/>
        <v>#DIV/0!</v>
      </c>
      <c r="J24" s="13">
        <f si="9" t="shared"/>
        <v>4.791230054342397E-2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0.79240013229943773</v>
      </c>
      <c r="P24" s="13" t="e">
        <f si="10" t="shared"/>
        <v>#DIV/0!</v>
      </c>
      <c r="Q24" s="13">
        <f si="6" t="shared"/>
        <v>6.8268705625341347E-2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0.13660069790000126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0.5</v>
      </c>
      <c r="F25" s="13">
        <f si="11" t="shared"/>
        <v>0.6106016119113381</v>
      </c>
      <c r="G25" s="13" t="e">
        <f si="11" t="shared"/>
        <v>#DIV/0!</v>
      </c>
      <c r="H25" s="13">
        <f si="11" t="shared"/>
        <v>0</v>
      </c>
      <c r="I25" s="13" t="e">
        <f si="11" t="shared"/>
        <v>#DIV/0!</v>
      </c>
      <c r="J25" s="13">
        <f si="11" t="shared"/>
        <v>2.0540550659223944E-2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0.5630802839978154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6.4939973041407894E-3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 t="e">
        <f si="13" t="shared"/>
        <v>#DIV/0!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 t="e">
        <f si="15" t="shared"/>
        <v>#DIV/0!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 t="e">
        <f si="17" t="shared"/>
        <v>#DIV/0!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 t="e">
        <f si="19" t="shared"/>
        <v>#DIV/0!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 t="e">
        <f si="21" t="shared"/>
        <v>#DIV/0!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>
        <f si="23" t="shared"/>
        <v>0</v>
      </c>
      <c r="F31" s="13">
        <f si="23" t="shared"/>
        <v>0</v>
      </c>
      <c r="G31" s="13" t="e">
        <f si="23" t="shared"/>
        <v>#DIV/0!</v>
      </c>
      <c r="H31" s="13">
        <f si="23" t="shared"/>
        <v>0</v>
      </c>
      <c r="I31" s="13" t="e">
        <f si="23" t="shared"/>
        <v>#DIV/0!</v>
      </c>
      <c r="J31" s="13">
        <f si="23" t="shared"/>
        <v>0</v>
      </c>
      <c r="K31" s="6"/>
      <c r="L31" t="s">
        <v>4</v>
      </c>
      <c r="M31" s="13">
        <f ref="M31:P31" si="24" t="shared">M14/M$16</f>
        <v>1.3456206165389007E-3</v>
      </c>
      <c r="N31" s="13">
        <f si="24" t="shared"/>
        <v>1.5336185325692147E-3</v>
      </c>
      <c r="O31" s="13">
        <f si="24" t="shared"/>
        <v>7.7174672007643969E-4</v>
      </c>
      <c r="P31" s="13" t="e">
        <f si="24" t="shared"/>
        <v>#DIV/0!</v>
      </c>
      <c r="Q31" s="13">
        <f si="6" t="shared"/>
        <v>1.0922992900054615E-2</v>
      </c>
      <c r="R31" s="13">
        <f si="6" t="shared"/>
        <v>0.9245714285714286</v>
      </c>
      <c r="S31" s="13">
        <f si="6" t="shared"/>
        <v>0</v>
      </c>
      <c r="T31" s="13" t="e">
        <f si="6" t="shared"/>
        <v>#DIV/0!</v>
      </c>
      <c r="U31" s="13">
        <f si="6" t="shared"/>
        <v>6.3365288923042037E-3</v>
      </c>
    </row>
    <row r="32" spans="1:21" x14ac:dyDescent="0.25">
      <c r="A32" s="4" t="s">
        <v>5</v>
      </c>
      <c r="B32" s="14">
        <f ref="B32:J32" si="25" t="shared">B15/B$16</f>
        <v>3.5193566135717836E-3</v>
      </c>
      <c r="C32" s="14">
        <f si="25" t="shared"/>
        <v>2.6807156758352671E-2</v>
      </c>
      <c r="D32" s="14">
        <f si="25" t="shared"/>
        <v>0</v>
      </c>
      <c r="E32" s="14">
        <f si="25" t="shared"/>
        <v>0.16666666666666666</v>
      </c>
      <c r="F32" s="14">
        <f si="25" t="shared"/>
        <v>0.38939838808866184</v>
      </c>
      <c r="G32" s="14" t="e">
        <f si="25" t="shared"/>
        <v>#DIV/0!</v>
      </c>
      <c r="H32" s="14">
        <f si="25" t="shared"/>
        <v>1</v>
      </c>
      <c r="I32" s="14" t="e">
        <f si="25" t="shared"/>
        <v>#DIV/0!</v>
      </c>
      <c r="J32" s="14">
        <f si="25" t="shared"/>
        <v>8.8376733833134352E-2</v>
      </c>
      <c r="K32" s="6"/>
      <c r="L32" s="4" t="s">
        <v>5</v>
      </c>
      <c r="M32" s="14">
        <f ref="M32:P32" si="26" t="shared">M15/M$16</f>
        <v>2.0605665198716903E-2</v>
      </c>
      <c r="N32" s="14">
        <f si="26" t="shared"/>
        <v>9.981973255845239E-3</v>
      </c>
      <c r="O32" s="14">
        <f si="26" t="shared"/>
        <v>7.8644665760170523E-3</v>
      </c>
      <c r="P32" s="14" t="e">
        <f si="26" t="shared"/>
        <v>#DIV/0!</v>
      </c>
      <c r="Q32" s="14">
        <f si="6" t="shared"/>
        <v>0.18405243036592026</v>
      </c>
      <c r="R32" s="14">
        <f si="6" t="shared"/>
        <v>7.5428571428571428E-2</v>
      </c>
      <c r="S32" s="14">
        <f si="6" t="shared"/>
        <v>1</v>
      </c>
      <c r="T32" s="14" t="e">
        <f si="6" t="shared"/>
        <v>#DIV/0!</v>
      </c>
      <c r="U32" s="14">
        <f si="6" t="shared"/>
        <v>0.12981695871808116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 t="e">
        <f si="27" t="shared"/>
        <v>#DIV/0!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57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-1.8431929201684127E-2</v>
      </c>
      <c r="N39" s="13">
        <f si="29" t="shared"/>
        <v>1.7351970861136955E-2</v>
      </c>
      <c r="O39" s="13">
        <f si="29" t="shared"/>
        <v>2.3703649259490648E-2</v>
      </c>
      <c r="P39" s="13" t="e">
        <f si="29" t="shared"/>
        <v>#DIV/0!</v>
      </c>
      <c r="Q39" s="13">
        <f ref="Q39:Q50" si="30" t="shared">Q22-F22</f>
        <v>6.5537957400327689E-3</v>
      </c>
      <c r="R39" s="13" t="e">
        <f ref="R39:R50" si="31" t="shared">R22-G22</f>
        <v>#DIV/0!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4.1026709112104875E-2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-2.0604058911987133E-3</v>
      </c>
      <c r="O40" s="13">
        <f si="29" t="shared"/>
        <v>0.17526000514497814</v>
      </c>
      <c r="P40" s="13" t="e">
        <f si="29" t="shared"/>
        <v>#DIV/0!</v>
      </c>
      <c r="Q40" s="13">
        <f si="30" t="shared"/>
        <v>0.1671217913708356</v>
      </c>
      <c r="R40" s="13" t="e">
        <f si="31" t="shared"/>
        <v>#DIV/0!</v>
      </c>
      <c r="S40" s="13">
        <f si="32" t="shared"/>
        <v>0</v>
      </c>
      <c r="T40" s="13" t="e">
        <f si="33" t="shared"/>
        <v>#DIV/0!</v>
      </c>
      <c r="U40" s="13">
        <f si="34" t="shared"/>
        <v>-0.16344530689084996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-0.20759986770056227</v>
      </c>
      <c r="P41" s="13" t="e">
        <f si="29" t="shared"/>
        <v>#DIV/0!</v>
      </c>
      <c r="Q41" s="13">
        <f si="30" t="shared"/>
        <v>6.8268705625341347E-2</v>
      </c>
      <c r="R41" s="13" t="e">
        <f si="31" t="shared"/>
        <v>#DIV/0!</v>
      </c>
      <c r="S41" s="13">
        <f si="32" t="shared"/>
        <v>0</v>
      </c>
      <c r="T41" s="13" t="e">
        <f si="33" t="shared"/>
        <v>#DIV/0!</v>
      </c>
      <c r="U41" s="13">
        <f si="34" t="shared"/>
        <v>8.8688397356577298E-2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-4.7521327913522704E-2</v>
      </c>
      <c r="R42" s="13" t="e">
        <f si="31" t="shared"/>
        <v>#DIV/0!</v>
      </c>
      <c r="S42" s="13">
        <f si="32" t="shared"/>
        <v>0</v>
      </c>
      <c r="T42" s="13" t="e">
        <f si="33" t="shared"/>
        <v>#DIV/0!</v>
      </c>
      <c r="U42" s="13">
        <f si="34" t="shared"/>
        <v>-1.4046553355083154E-2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 t="e">
        <f si="31" t="shared"/>
        <v>#DIV/0!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 t="e">
        <f si="31" t="shared"/>
        <v>#DIV/0!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 t="e">
        <f si="31" t="shared"/>
        <v>#DIV/0!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 t="e">
        <f si="31" t="shared"/>
        <v>#DIV/0!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 t="e">
        <f si="31" t="shared"/>
        <v>#DIV/0!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1.3456206165389007E-3</v>
      </c>
      <c r="N48" s="13">
        <f si="39" t="shared"/>
        <v>1.5336185325692147E-3</v>
      </c>
      <c r="O48" s="13">
        <f si="39" t="shared"/>
        <v>7.7174672007643969E-4</v>
      </c>
      <c r="P48" s="13" t="e">
        <f si="39" t="shared"/>
        <v>#DIV/0!</v>
      </c>
      <c r="Q48" s="13">
        <f si="30" t="shared"/>
        <v>1.0922992900054615E-2</v>
      </c>
      <c r="R48" s="13" t="e">
        <f si="31" t="shared"/>
        <v>#DIV/0!</v>
      </c>
      <c r="S48" s="13">
        <f si="32" t="shared"/>
        <v>0</v>
      </c>
      <c r="T48" s="13" t="e">
        <f si="33" t="shared"/>
        <v>#DIV/0!</v>
      </c>
      <c r="U48" s="13">
        <f si="34" t="shared"/>
        <v>6.3365288923042037E-3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1.7086308585145118E-2</v>
      </c>
      <c r="N49" s="17">
        <f si="39" t="shared"/>
        <v>-1.6825183502507432E-2</v>
      </c>
      <c r="O49" s="17">
        <f si="39" t="shared"/>
        <v>7.8644665760170523E-3</v>
      </c>
      <c r="P49" s="17" t="e">
        <f si="39" t="shared"/>
        <v>#DIV/0!</v>
      </c>
      <c r="Q49" s="17">
        <f si="30" t="shared"/>
        <v>-0.20534595772274158</v>
      </c>
      <c r="R49" s="17" t="e">
        <f si="31" t="shared"/>
        <v>#DIV/0!</v>
      </c>
      <c r="S49" s="17">
        <f si="32" t="shared"/>
        <v>0</v>
      </c>
      <c r="T49" s="17" t="e">
        <f si="33" t="shared"/>
        <v>#DIV/0!</v>
      </c>
      <c r="U49" s="13">
        <f si="34" t="shared"/>
        <v>4.1440224884946808E-2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 t="e">
        <f si="31" t="shared"/>
        <v>#DIV/0!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45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45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12230.9611689472</v>
      </c>
      <c r="C5" s="6" t="n">
        <v>2946.252293112</v>
      </c>
      <c r="D5" s="6" t="n">
        <v>368.204446166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15545.417908225201</v>
      </c>
      <c r="K5" s="6"/>
      <c r="L5" t="s">
        <v>1</v>
      </c>
      <c r="M5" s="6" t="n">
        <v>16690.0</v>
      </c>
      <c r="N5" s="6" t="n">
        <v>1593.0</v>
      </c>
      <c r="O5" s="6" t="n">
        <v>430.0</v>
      </c>
      <c r="P5" s="6" t="n">
        <v>0.0</v>
      </c>
      <c r="Q5" s="6" t="n">
        <v>5.0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18895</v>
      </c>
    </row>
    <row r="6" spans="1:21" x14ac:dyDescent="0.25">
      <c r="A6" t="s">
        <v>12</v>
      </c>
      <c r="B6" s="6" t="n">
        <v>0.0</v>
      </c>
      <c r="C6" s="6" t="n">
        <v>31173.873735776</v>
      </c>
      <c r="D6" s="6" t="n">
        <v>0.0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31173.873735776</v>
      </c>
      <c r="K6" s="6"/>
      <c r="L6" t="s">
        <v>12</v>
      </c>
      <c r="M6" s="6" t="n">
        <v>0.0</v>
      </c>
      <c r="N6" s="6" t="n">
        <v>23407.0</v>
      </c>
      <c r="O6" s="6" t="n">
        <v>2721.0</v>
      </c>
      <c r="P6" s="6" t="n">
        <v>0.0</v>
      </c>
      <c r="Q6" s="6" t="n">
        <v>93.0</v>
      </c>
      <c r="R6" s="6" t="n">
        <v>0.0</v>
      </c>
      <c r="S6" s="6" t="n">
        <v>0.0</v>
      </c>
      <c r="T6" s="6" t="n">
        <v>0.0</v>
      </c>
      <c r="U6" s="6">
        <f si="0" t="shared"/>
        <v>26085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18287.527457179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18287.527457179</v>
      </c>
      <c r="K7" s="6"/>
      <c r="L7" t="s">
        <v>56</v>
      </c>
      <c r="M7" s="6" t="n">
        <v>0.0</v>
      </c>
      <c r="N7" s="6" t="n">
        <v>0.0</v>
      </c>
      <c r="O7" s="6" t="n">
        <v>13678.0</v>
      </c>
      <c r="P7" s="6" t="n">
        <v>0.0</v>
      </c>
      <c r="Q7" s="6" t="n">
        <v>48.0</v>
      </c>
      <c r="R7" s="6" t="n">
        <v>0.0</v>
      </c>
      <c r="S7" s="6" t="n">
        <v>0.0</v>
      </c>
      <c r="T7" s="6" t="n">
        <v>0.0</v>
      </c>
      <c r="U7" s="6">
        <f si="0" t="shared"/>
        <v>13892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3104.0145244200003</v>
      </c>
      <c r="G8" s="6" t="n">
        <v>0.0</v>
      </c>
      <c r="H8" s="6" t="n">
        <v>0.0</v>
      </c>
      <c r="I8" s="6" t="n">
        <v>0.0</v>
      </c>
      <c r="J8" s="6">
        <f si="1" t="shared"/>
        <v>3104.0145244200003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421.0</v>
      </c>
      <c r="R8" s="6" t="n">
        <v>0.0</v>
      </c>
      <c r="S8" s="6" t="n">
        <v>0.0</v>
      </c>
      <c r="T8" s="6" t="n">
        <v>0.0</v>
      </c>
      <c r="U8" s="6">
        <f si="0" t="shared"/>
        <v>406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1" t="shared"/>
        <v>0</v>
      </c>
      <c r="K14" s="6"/>
      <c r="L14" t="s">
        <v>4</v>
      </c>
      <c r="M14" s="6" t="n">
        <v>31.0</v>
      </c>
      <c r="N14" s="6" t="n">
        <v>31.0</v>
      </c>
      <c r="O14" s="6" t="n">
        <v>19.0</v>
      </c>
      <c r="P14" s="6" t="n">
        <v>0.0</v>
      </c>
      <c r="Q14" s="6" t="n">
        <v>11.0</v>
      </c>
      <c r="R14" s="6" t="n">
        <v>182.0</v>
      </c>
      <c r="S14" s="6" t="n">
        <v>0.0</v>
      </c>
      <c r="T14" s="6" t="n">
        <v>0.0</v>
      </c>
      <c r="U14" s="6">
        <f si="0" t="shared"/>
        <v>260</v>
      </c>
    </row>
    <row r="15" spans="1:21" x14ac:dyDescent="0.25">
      <c r="A15" s="4" t="s">
        <v>5</v>
      </c>
      <c r="B15" s="10" t="n">
        <v>126.546846217</v>
      </c>
      <c r="C15" s="10" t="n">
        <v>1473.126146556</v>
      </c>
      <c r="D15" s="10" t="n">
        <v>0.0</v>
      </c>
      <c r="E15" s="10" t="n">
        <v>0.0</v>
      </c>
      <c r="F15" s="10" t="n">
        <v>0.0</v>
      </c>
      <c r="G15" s="10" t="n">
        <v>0.0</v>
      </c>
      <c r="H15" s="10" t="n">
        <v>5628.92965652</v>
      </c>
      <c r="I15" s="10" t="n">
        <v>0.0</v>
      </c>
      <c r="J15" s="6">
        <f si="1" t="shared"/>
        <v>7228.6026492930005</v>
      </c>
      <c r="K15" s="6"/>
      <c r="L15" s="4" t="s">
        <v>5</v>
      </c>
      <c r="M15" s="8" t="n">
        <v>367.0</v>
      </c>
      <c r="N15" s="8" t="n">
        <v>248.0</v>
      </c>
      <c r="O15" s="8" t="n">
        <v>115.0</v>
      </c>
      <c r="P15" s="8" t="n">
        <v>0.0</v>
      </c>
      <c r="Q15" s="8" t="n">
        <v>91.0</v>
      </c>
      <c r="R15" s="8" t="n">
        <v>11.0</v>
      </c>
      <c r="S15" s="8" t="n">
        <v>9604.0</v>
      </c>
      <c r="T15" s="8" t="n">
        <v>0.0</v>
      </c>
      <c r="U15" s="6">
        <f si="0" t="shared"/>
        <v>10541</v>
      </c>
    </row>
    <row ht="15.75" r="16" spans="1:21" thickBot="1" x14ac:dyDescent="0.3">
      <c r="A16" s="12" t="s">
        <v>7</v>
      </c>
      <c r="B16" s="16">
        <f ref="B16:J16" si="2" t="shared">SUM(B5:B15)</f>
        <v>12357.5080151642</v>
      </c>
      <c r="C16" s="16">
        <f si="2" t="shared"/>
        <v>35593.252175444002</v>
      </c>
      <c r="D16" s="16">
        <f si="2" t="shared"/>
        <v>18655.731903345</v>
      </c>
      <c r="E16" s="16">
        <f si="2" t="shared"/>
        <v>0</v>
      </c>
      <c r="F16" s="16">
        <f si="2" t="shared"/>
        <v>3104.0145244200003</v>
      </c>
      <c r="G16" s="16">
        <f si="2" t="shared"/>
        <v>0</v>
      </c>
      <c r="H16" s="16">
        <f si="2" t="shared"/>
        <v>5628.9296565200002</v>
      </c>
      <c r="I16" s="16">
        <f si="2" t="shared"/>
        <v>0</v>
      </c>
      <c r="J16" s="16">
        <f si="2" t="shared"/>
        <v>75339.436274893204</v>
      </c>
      <c r="L16" s="9" t="s">
        <v>7</v>
      </c>
      <c r="M16" s="16">
        <f ref="M16:U16" si="3" t="shared">SUM(M5:M15)</f>
        <v>17100</v>
      </c>
      <c r="N16" s="16">
        <f si="3" t="shared"/>
        <v>25187</v>
      </c>
      <c r="O16" s="16">
        <f si="3" t="shared"/>
        <v>17209</v>
      </c>
      <c r="P16" s="16">
        <f si="3" t="shared"/>
        <v>0</v>
      </c>
      <c r="Q16" s="16">
        <f si="3" t="shared"/>
        <v>641</v>
      </c>
      <c r="R16" s="16">
        <f si="3" t="shared"/>
        <v>177</v>
      </c>
      <c r="S16" s="16">
        <f si="3" t="shared"/>
        <v>9765</v>
      </c>
      <c r="T16" s="16">
        <f si="3" t="shared"/>
        <v>0</v>
      </c>
      <c r="U16" s="16">
        <f si="3" t="shared"/>
        <v>70079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45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45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0.98975951736695533</v>
      </c>
      <c r="C22" s="13">
        <f si="4" t="shared"/>
        <v>8.2775585624756065E-2</v>
      </c>
      <c r="D22" s="13">
        <f si="4" t="shared"/>
        <v>1.9736799825043606E-2</v>
      </c>
      <c r="E22" s="13" t="e">
        <f si="4" t="shared"/>
        <v>#DIV/0!</v>
      </c>
      <c r="F22" s="13">
        <f si="4" t="shared"/>
        <v>0</v>
      </c>
      <c r="G22" s="13" t="e">
        <f si="4" t="shared"/>
        <v>#DIV/0!</v>
      </c>
      <c r="H22" s="13">
        <f si="4" t="shared"/>
        <v>0</v>
      </c>
      <c r="I22" s="13" t="e">
        <f si="4" t="shared"/>
        <v>#DIV/0!</v>
      </c>
      <c r="J22" s="13">
        <f si="4" t="shared"/>
        <v>0.20633838898799536</v>
      </c>
      <c r="K22" s="6"/>
      <c r="L22" t="s">
        <v>1</v>
      </c>
      <c r="M22" s="13">
        <f ref="M22:P22" si="5" t="shared">M5/M$16</f>
        <v>0.98029239766081866</v>
      </c>
      <c r="N22" s="13">
        <f si="5" t="shared"/>
        <v>6.7455433358478575E-2</v>
      </c>
      <c r="O22" s="13">
        <f si="5" t="shared"/>
        <v>2.469637980126678E-2</v>
      </c>
      <c r="P22" s="13" t="e">
        <f si="5" t="shared"/>
        <v>#DIV/0!</v>
      </c>
      <c r="Q22" s="13">
        <f ref="Q22:U33" si="6" t="shared">Q5/Q$16</f>
        <v>1.2480499219968799E-2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0.26962428116839565</v>
      </c>
    </row>
    <row r="23" spans="1:21" x14ac:dyDescent="0.25">
      <c r="A23" t="s">
        <v>9</v>
      </c>
      <c r="B23" s="13">
        <f ref="B23:J23" si="7" t="shared">B6/B$16</f>
        <v>0</v>
      </c>
      <c r="C23" s="13">
        <f si="7" t="shared"/>
        <v>0.8758366215628659</v>
      </c>
      <c r="D23" s="13">
        <f si="7" t="shared"/>
        <v>0</v>
      </c>
      <c r="E23" s="13" t="e">
        <f si="7" t="shared"/>
        <v>#DIV/0!</v>
      </c>
      <c r="F23" s="13">
        <f si="7" t="shared"/>
        <v>0</v>
      </c>
      <c r="G23" s="13" t="e">
        <f si="7" t="shared"/>
        <v>#DIV/0!</v>
      </c>
      <c r="H23" s="13">
        <f si="7" t="shared"/>
        <v>0</v>
      </c>
      <c r="I23" s="13" t="e">
        <f si="7" t="shared"/>
        <v>#DIV/0!</v>
      </c>
      <c r="J23" s="13">
        <f si="7" t="shared"/>
        <v>0.41377896195069708</v>
      </c>
      <c r="K23" s="6"/>
      <c r="L23" t="s">
        <v>12</v>
      </c>
      <c r="M23" s="13">
        <f ref="M23:P23" si="8" t="shared">M6/M$16</f>
        <v>0</v>
      </c>
      <c r="N23" s="13">
        <f si="8" t="shared"/>
        <v>0.92114979949974196</v>
      </c>
      <c r="O23" s="13">
        <f si="8" t="shared"/>
        <v>0.16258934278575163</v>
      </c>
      <c r="P23" s="13" t="e">
        <f si="8" t="shared"/>
        <v>#DIV/0!</v>
      </c>
      <c r="Q23" s="13">
        <f si="6" t="shared"/>
        <v>0.13416536661466458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0.37222277715150043</v>
      </c>
    </row>
    <row r="24" spans="1:21" x14ac:dyDescent="0.25">
      <c r="A24" t="s">
        <v>10</v>
      </c>
      <c r="B24" s="13">
        <f ref="B24:J24" si="9" t="shared">B7/B$16</f>
        <v>0</v>
      </c>
      <c r="C24" s="13">
        <f si="9" t="shared"/>
        <v>0</v>
      </c>
      <c r="D24" s="13">
        <f si="9" t="shared"/>
        <v>0.98026320017495638</v>
      </c>
      <c r="E24" s="13" t="e">
        <f si="9" t="shared"/>
        <v>#DIV/0!</v>
      </c>
      <c r="F24" s="13">
        <f si="9" t="shared"/>
        <v>0</v>
      </c>
      <c r="G24" s="13" t="e">
        <f si="9" t="shared"/>
        <v>#DIV/0!</v>
      </c>
      <c r="H24" s="13">
        <f si="9" t="shared"/>
        <v>0</v>
      </c>
      <c r="I24" s="13" t="e">
        <f si="9" t="shared"/>
        <v>#DIV/0!</v>
      </c>
      <c r="J24" s="13">
        <f si="9" t="shared"/>
        <v>0.24273512467564481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0.804753326747632</v>
      </c>
      <c r="P24" s="13" t="e">
        <f si="10" t="shared"/>
        <v>#DIV/0!</v>
      </c>
      <c r="Q24" s="13">
        <f si="6" t="shared"/>
        <v>6.7082683307332289E-2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0.19823342228056906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1</v>
      </c>
      <c r="G25" s="13" t="e">
        <f si="11" t="shared"/>
        <v>#DIV/0!</v>
      </c>
      <c r="H25" s="13">
        <f si="11" t="shared"/>
        <v>0</v>
      </c>
      <c r="I25" s="13" t="e">
        <f si="11" t="shared"/>
        <v>#DIV/0!</v>
      </c>
      <c r="J25" s="13">
        <f si="11" t="shared"/>
        <v>4.1200394878112598E-2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0.63338533541341657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5.7934616646927043E-3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 t="e">
        <f si="13" t="shared"/>
        <v>#DIV/0!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 t="e">
        <f si="15" t="shared"/>
        <v>#DIV/0!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 t="e">
        <f si="17" t="shared"/>
        <v>#DIV/0!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 t="e">
        <f si="19" t="shared"/>
        <v>#DIV/0!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 t="e">
        <f si="21" t="shared"/>
        <v>#DIV/0!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 t="e">
        <f si="23" t="shared"/>
        <v>#DIV/0!</v>
      </c>
      <c r="H31" s="13">
        <f si="23" t="shared"/>
        <v>0</v>
      </c>
      <c r="I31" s="13" t="e">
        <f si="23" t="shared"/>
        <v>#DIV/0!</v>
      </c>
      <c r="J31" s="13">
        <f si="23" t="shared"/>
        <v>0</v>
      </c>
      <c r="K31" s="6"/>
      <c r="L31" t="s">
        <v>4</v>
      </c>
      <c r="M31" s="13">
        <f ref="M31:P31" si="24" t="shared">M14/M$16</f>
        <v>1.9298245614035089E-3</v>
      </c>
      <c r="N31" s="13">
        <f si="24" t="shared"/>
        <v>1.6675268987969985E-3</v>
      </c>
      <c r="O31" s="13">
        <f si="24" t="shared"/>
        <v>9.29746063106514E-4</v>
      </c>
      <c r="P31" s="13" t="e">
        <f si="24" t="shared"/>
        <v>#DIV/0!</v>
      </c>
      <c r="Q31" s="13">
        <f si="6" t="shared"/>
        <v>4.6801872074882997E-3</v>
      </c>
      <c r="R31" s="13">
        <f si="6" t="shared"/>
        <v>0.93785310734463279</v>
      </c>
      <c r="S31" s="13">
        <f si="6" t="shared"/>
        <v>0</v>
      </c>
      <c r="T31" s="13" t="e">
        <f si="6" t="shared"/>
        <v>#DIV/0!</v>
      </c>
      <c r="U31" s="13">
        <f si="6" t="shared"/>
        <v>3.7100986030051799E-3</v>
      </c>
    </row>
    <row r="32" spans="1:21" x14ac:dyDescent="0.25">
      <c r="A32" s="4" t="s">
        <v>5</v>
      </c>
      <c r="B32" s="14">
        <f ref="B32:J32" si="25" t="shared">B15/B$16</f>
        <v>1.0240482633044726E-2</v>
      </c>
      <c r="C32" s="14">
        <f si="25" t="shared"/>
        <v>4.1387792812378033E-2</v>
      </c>
      <c r="D32" s="14">
        <f si="25" t="shared"/>
        <v>0</v>
      </c>
      <c r="E32" s="14" t="e">
        <f si="25" t="shared"/>
        <v>#DIV/0!</v>
      </c>
      <c r="F32" s="14">
        <f si="25" t="shared"/>
        <v>0</v>
      </c>
      <c r="G32" s="14" t="e">
        <f si="25" t="shared"/>
        <v>#DIV/0!</v>
      </c>
      <c r="H32" s="14">
        <f si="25" t="shared"/>
        <v>1</v>
      </c>
      <c r="I32" s="14" t="e">
        <f si="25" t="shared"/>
        <v>#DIV/0!</v>
      </c>
      <c r="J32" s="14">
        <f si="25" t="shared"/>
        <v>9.5947129507550161E-2</v>
      </c>
      <c r="K32" s="6"/>
      <c r="L32" s="4" t="s">
        <v>5</v>
      </c>
      <c r="M32" s="14">
        <f ref="M32:P32" si="26" t="shared">M15/M$16</f>
        <v>1.7777777777777778E-2</v>
      </c>
      <c r="N32" s="14">
        <f si="26" t="shared"/>
        <v>9.7272402429824916E-3</v>
      </c>
      <c r="O32" s="14">
        <f si="26" t="shared"/>
        <v>7.0312046022430125E-3</v>
      </c>
      <c r="P32" s="14" t="e">
        <f si="26" t="shared"/>
        <v>#DIV/0!</v>
      </c>
      <c r="Q32" s="14">
        <f si="6" t="shared"/>
        <v>0.1482059282371295</v>
      </c>
      <c r="R32" s="14">
        <f si="6" t="shared"/>
        <v>6.2146892655367235E-2</v>
      </c>
      <c r="S32" s="14">
        <f si="6" t="shared"/>
        <v>1</v>
      </c>
      <c r="T32" s="14" t="e">
        <f si="6" t="shared"/>
        <v>#DIV/0!</v>
      </c>
      <c r="U32" s="14">
        <f si="6" t="shared"/>
        <v>0.15041595913183692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 t="e">
        <f si="27" t="shared"/>
        <v>#DIV/0!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45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-9.467119706136673E-3</v>
      </c>
      <c r="N39" s="13">
        <f si="29" t="shared"/>
        <v>-1.532015226627749E-2</v>
      </c>
      <c r="O39" s="13">
        <f si="29" t="shared"/>
        <v>4.9595799762231739E-3</v>
      </c>
      <c r="P39" s="13" t="e">
        <f si="29" t="shared"/>
        <v>#DIV/0!</v>
      </c>
      <c r="Q39" s="13">
        <f ref="Q39:Q50" si="30" t="shared">Q22-F22</f>
        <v>1.2480499219968799E-2</v>
      </c>
      <c r="R39" s="13" t="e">
        <f ref="R39:R50" si="31" t="shared">R22-G22</f>
        <v>#DIV/0!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6.3285892180400288E-2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4.5313177936876059E-2</v>
      </c>
      <c r="O40" s="13">
        <f si="29" t="shared"/>
        <v>0.16258934278575163</v>
      </c>
      <c r="P40" s="13" t="e">
        <f si="29" t="shared"/>
        <v>#DIV/0!</v>
      </c>
      <c r="Q40" s="13">
        <f si="30" t="shared"/>
        <v>0.13416536661466458</v>
      </c>
      <c r="R40" s="13" t="e">
        <f si="31" t="shared"/>
        <v>#DIV/0!</v>
      </c>
      <c r="S40" s="13">
        <f si="32" t="shared"/>
        <v>0</v>
      </c>
      <c r="T40" s="13" t="e">
        <f si="33" t="shared"/>
        <v>#DIV/0!</v>
      </c>
      <c r="U40" s="13">
        <f si="34" t="shared"/>
        <v>-4.1556184799196649E-2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-0.17550987342732438</v>
      </c>
      <c r="P41" s="13" t="e">
        <f si="29" t="shared"/>
        <v>#DIV/0!</v>
      </c>
      <c r="Q41" s="13">
        <f si="30" t="shared"/>
        <v>6.7082683307332289E-2</v>
      </c>
      <c r="R41" s="13" t="e">
        <f si="31" t="shared"/>
        <v>#DIV/0!</v>
      </c>
      <c r="S41" s="13">
        <f si="32" t="shared"/>
        <v>0</v>
      </c>
      <c r="T41" s="13" t="e">
        <f si="33" t="shared"/>
        <v>#DIV/0!</v>
      </c>
      <c r="U41" s="13">
        <f si="34" t="shared"/>
        <v>-4.4501702395075754E-2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-0.36661466458658343</v>
      </c>
      <c r="R42" s="13" t="e">
        <f si="31" t="shared"/>
        <v>#DIV/0!</v>
      </c>
      <c r="S42" s="13">
        <f si="32" t="shared"/>
        <v>0</v>
      </c>
      <c r="T42" s="13" t="e">
        <f si="33" t="shared"/>
        <v>#DIV/0!</v>
      </c>
      <c r="U42" s="13">
        <f si="34" t="shared"/>
        <v>-3.5406933213419894E-2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 t="e">
        <f si="31" t="shared"/>
        <v>#DIV/0!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 t="e">
        <f si="31" t="shared"/>
        <v>#DIV/0!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 t="e">
        <f si="31" t="shared"/>
        <v>#DIV/0!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 t="e">
        <f si="31" t="shared"/>
        <v>#DIV/0!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 t="e">
        <f si="31" t="shared"/>
        <v>#DIV/0!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1.9298245614035089E-3</v>
      </c>
      <c r="N48" s="13">
        <f si="39" t="shared"/>
        <v>1.6675268987969985E-3</v>
      </c>
      <c r="O48" s="13">
        <f si="39" t="shared"/>
        <v>9.29746063106514E-4</v>
      </c>
      <c r="P48" s="13" t="e">
        <f si="39" t="shared"/>
        <v>#DIV/0!</v>
      </c>
      <c r="Q48" s="13">
        <f si="30" t="shared"/>
        <v>4.6801872074882997E-3</v>
      </c>
      <c r="R48" s="13" t="e">
        <f si="31" t="shared"/>
        <v>#DIV/0!</v>
      </c>
      <c r="S48" s="13">
        <f si="32" t="shared"/>
        <v>0</v>
      </c>
      <c r="T48" s="13" t="e">
        <f si="33" t="shared"/>
        <v>#DIV/0!</v>
      </c>
      <c r="U48" s="13">
        <f si="34" t="shared"/>
        <v>3.7100986030051799E-3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7.5372951447330513E-3</v>
      </c>
      <c r="N49" s="17">
        <f si="39" t="shared"/>
        <v>-3.1660552569395539E-2</v>
      </c>
      <c r="O49" s="17">
        <f si="39" t="shared"/>
        <v>7.0312046022430125E-3</v>
      </c>
      <c r="P49" s="17" t="e">
        <f si="39" t="shared"/>
        <v>#DIV/0!</v>
      </c>
      <c r="Q49" s="17">
        <f si="30" t="shared"/>
        <v>0.1482059282371295</v>
      </c>
      <c r="R49" s="17" t="e">
        <f si="31" t="shared"/>
        <v>#DIV/0!</v>
      </c>
      <c r="S49" s="17">
        <f si="32" t="shared"/>
        <v>0</v>
      </c>
      <c r="T49" s="17" t="e">
        <f si="33" t="shared"/>
        <v>#DIV/0!</v>
      </c>
      <c r="U49" s="13">
        <f si="34" t="shared"/>
        <v>5.4468829624286758E-2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 t="e">
        <f si="31" t="shared"/>
        <v>#DIV/0!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46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46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58255.9367849098</v>
      </c>
      <c r="C5" s="6" t="n">
        <v>3179.1771077930002</v>
      </c>
      <c r="D5" s="6" t="n">
        <v>0.0</v>
      </c>
      <c r="E5" s="6" t="n">
        <v>681.573622244</v>
      </c>
      <c r="F5" s="6" t="n">
        <v>912.75119436</v>
      </c>
      <c r="G5" s="6" t="n">
        <v>0.0</v>
      </c>
      <c r="H5" s="6" t="n">
        <v>0.0</v>
      </c>
      <c r="I5" s="6" t="n">
        <v>0.0</v>
      </c>
      <c r="J5" s="6">
        <f>SUM(B5:I5)</f>
        <v>63029.4387093068</v>
      </c>
      <c r="K5" s="6"/>
      <c r="L5" t="s">
        <v>1</v>
      </c>
      <c r="M5" s="6" t="n">
        <v>97891.0</v>
      </c>
      <c r="N5" s="6" t="n">
        <v>5884.0</v>
      </c>
      <c r="O5" s="6" t="n">
        <v>1721.0</v>
      </c>
      <c r="P5" s="6" t="n">
        <v>0.0</v>
      </c>
      <c r="Q5" s="6" t="n">
        <v>26.0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105304</v>
      </c>
    </row>
    <row r="6" spans="1:21" x14ac:dyDescent="0.25">
      <c r="A6" t="s">
        <v>12</v>
      </c>
      <c r="B6" s="6" t="n">
        <v>0.0</v>
      </c>
      <c r="C6" s="6" t="n">
        <v>100485.9806679922</v>
      </c>
      <c r="D6" s="6" t="n">
        <v>2639.675375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103125.65604299221</v>
      </c>
      <c r="K6" s="6"/>
      <c r="L6" t="s">
        <v>12</v>
      </c>
      <c r="M6" s="6" t="n">
        <v>0.0</v>
      </c>
      <c r="N6" s="6" t="n">
        <v>81715.0</v>
      </c>
      <c r="O6" s="6" t="n">
        <v>10670.0</v>
      </c>
      <c r="P6" s="6" t="n">
        <v>0.0</v>
      </c>
      <c r="Q6" s="6" t="n">
        <v>280.0</v>
      </c>
      <c r="R6" s="6" t="n">
        <v>0.0</v>
      </c>
      <c r="S6" s="6" t="n">
        <v>0.0</v>
      </c>
      <c r="T6" s="6" t="n">
        <v>0.0</v>
      </c>
      <c r="U6" s="6">
        <f si="0" t="shared"/>
        <v>93355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29600.031773404</v>
      </c>
      <c r="E7" s="6" t="n">
        <v>0.0</v>
      </c>
      <c r="F7" s="6" t="n">
        <v>453.746371195</v>
      </c>
      <c r="G7" s="6" t="n">
        <v>0.0</v>
      </c>
      <c r="H7" s="6" t="n">
        <v>0.0</v>
      </c>
      <c r="I7" s="6" t="n">
        <v>0.0</v>
      </c>
      <c r="J7" s="6">
        <f si="1" t="shared"/>
        <v>30053.778144599</v>
      </c>
      <c r="K7" s="6"/>
      <c r="L7" t="s">
        <v>56</v>
      </c>
      <c r="M7" s="6" t="n">
        <v>0.0</v>
      </c>
      <c r="N7" s="6" t="n">
        <v>0.0</v>
      </c>
      <c r="O7" s="6" t="n">
        <v>57799.0</v>
      </c>
      <c r="P7" s="6" t="n">
        <v>0.0</v>
      </c>
      <c r="Q7" s="6" t="n">
        <v>106.0</v>
      </c>
      <c r="R7" s="6" t="n">
        <v>0.0</v>
      </c>
      <c r="S7" s="6" t="n">
        <v>0.0</v>
      </c>
      <c r="T7" s="6" t="n">
        <v>0.0</v>
      </c>
      <c r="U7" s="6">
        <f si="0" t="shared"/>
        <v>58262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681.573622244</v>
      </c>
      <c r="F8" s="6" t="n">
        <v>3424.206498871</v>
      </c>
      <c r="G8" s="6" t="n">
        <v>0.0</v>
      </c>
      <c r="H8" s="6" t="n">
        <v>0.0</v>
      </c>
      <c r="I8" s="6" t="n">
        <v>0.0</v>
      </c>
      <c r="J8" s="6">
        <f si="1" t="shared"/>
        <v>4105.7801211149999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1386.0</v>
      </c>
      <c r="R8" s="6" t="n">
        <v>0.0</v>
      </c>
      <c r="S8" s="6" t="n">
        <v>0.0</v>
      </c>
      <c r="T8" s="6" t="n">
        <v>0.0</v>
      </c>
      <c r="U8" s="6">
        <f si="0" t="shared"/>
        <v>1452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1008.17381248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754.295006478</v>
      </c>
      <c r="H14" s="6" t="n">
        <v>0.0</v>
      </c>
      <c r="I14" s="6" t="n">
        <v>0.0</v>
      </c>
      <c r="J14" s="6">
        <f si="1" t="shared"/>
        <v>1762.4688189580002</v>
      </c>
      <c r="K14" s="6"/>
      <c r="L14" t="s">
        <v>4</v>
      </c>
      <c r="M14" s="6" t="n">
        <v>116.0</v>
      </c>
      <c r="N14" s="6" t="n">
        <v>138.0</v>
      </c>
      <c r="O14" s="6" t="n">
        <v>66.0</v>
      </c>
      <c r="P14" s="6" t="n">
        <v>0.0</v>
      </c>
      <c r="Q14" s="6" t="n">
        <v>27.0</v>
      </c>
      <c r="R14" s="6" t="n">
        <v>3397.0</v>
      </c>
      <c r="S14" s="6" t="n">
        <v>0.0</v>
      </c>
      <c r="T14" s="6" t="n">
        <v>0.0</v>
      </c>
      <c r="U14" s="6">
        <f si="0" t="shared"/>
        <v>3690</v>
      </c>
    </row>
    <row r="15" spans="1:21" x14ac:dyDescent="0.25">
      <c r="A15" s="4" t="s">
        <v>5</v>
      </c>
      <c r="B15" s="10" t="n">
        <v>776.3851960872</v>
      </c>
      <c r="C15" s="10" t="n">
        <v>1887.3630379332</v>
      </c>
      <c r="D15" s="10" t="n">
        <v>546.698875</v>
      </c>
      <c r="E15" s="10" t="n">
        <v>0.0</v>
      </c>
      <c r="F15" s="10" t="n">
        <v>0.0</v>
      </c>
      <c r="G15" s="10" t="n">
        <v>0.0</v>
      </c>
      <c r="H15" s="10" t="n">
        <v>75064.53026329521</v>
      </c>
      <c r="I15" s="10" t="n">
        <v>0.0</v>
      </c>
      <c r="J15" s="6">
        <f si="1" t="shared"/>
        <v>78274.97737231561</v>
      </c>
      <c r="K15" s="6"/>
      <c r="L15" s="4" t="s">
        <v>5</v>
      </c>
      <c r="M15" s="8" t="n">
        <v>878.0</v>
      </c>
      <c r="N15" s="8" t="n">
        <v>591.0</v>
      </c>
      <c r="O15" s="8" t="n">
        <v>335.0</v>
      </c>
      <c r="P15" s="8" t="n">
        <v>0.0</v>
      </c>
      <c r="Q15" s="8" t="n">
        <v>196.0</v>
      </c>
      <c r="R15" s="8" t="n">
        <v>142.0</v>
      </c>
      <c r="S15" s="8" t="n">
        <v>41486.0</v>
      </c>
      <c r="T15" s="8" t="n">
        <v>0.0</v>
      </c>
      <c r="U15" s="6">
        <f si="0" t="shared"/>
        <v>43409</v>
      </c>
    </row>
    <row ht="15.75" r="16" spans="1:21" thickBot="1" x14ac:dyDescent="0.3">
      <c r="A16" s="12" t="s">
        <v>7</v>
      </c>
      <c r="B16" s="16">
        <f ref="B16:J16" si="2" t="shared">SUM(B5:B15)</f>
        <v>60040.495793476999</v>
      </c>
      <c r="C16" s="16">
        <f si="2" t="shared"/>
        <v>105552.52081371841</v>
      </c>
      <c r="D16" s="16">
        <f si="2" t="shared"/>
        <v>32786.406023404001</v>
      </c>
      <c r="E16" s="16">
        <f si="2" t="shared"/>
        <v>1363.1472444880001</v>
      </c>
      <c r="F16" s="16">
        <f si="2" t="shared"/>
        <v>4790.7040644259996</v>
      </c>
      <c r="G16" s="16">
        <f si="2" t="shared"/>
        <v>754.295006478</v>
      </c>
      <c r="H16" s="16">
        <f si="2" t="shared"/>
        <v>75064.530263295208</v>
      </c>
      <c r="I16" s="16">
        <f si="2" t="shared"/>
        <v>0</v>
      </c>
      <c r="J16" s="16">
        <f si="2" t="shared"/>
        <v>280352.09920928662</v>
      </c>
      <c r="L16" s="9" t="s">
        <v>7</v>
      </c>
      <c r="M16" s="16">
        <f ref="M16:U16" si="3" t="shared">SUM(M5:M15)</f>
        <v>98554</v>
      </c>
      <c r="N16" s="16">
        <f si="3" t="shared"/>
        <v>88900</v>
      </c>
      <c r="O16" s="16">
        <f si="3" t="shared"/>
        <v>71115</v>
      </c>
      <c r="P16" s="16">
        <f si="3" t="shared"/>
        <v>0</v>
      </c>
      <c r="Q16" s="16">
        <f si="3" t="shared"/>
        <v>2150</v>
      </c>
      <c r="R16" s="16">
        <f si="3" t="shared"/>
        <v>3472</v>
      </c>
      <c r="S16" s="16">
        <f si="3" t="shared"/>
        <v>41281</v>
      </c>
      <c r="T16" s="16">
        <f si="3" t="shared"/>
        <v>0</v>
      </c>
      <c r="U16" s="16">
        <f si="3" t="shared"/>
        <v>305472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46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46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0.97027741052129879</v>
      </c>
      <c r="C22" s="13">
        <f si="4" t="shared"/>
        <v>3.0119385906507031E-2</v>
      </c>
      <c r="D22" s="13">
        <f si="4" t="shared"/>
        <v>0</v>
      </c>
      <c r="E22" s="13">
        <f si="4" t="shared"/>
        <v>0.5</v>
      </c>
      <c r="F22" s="13">
        <f si="4" t="shared"/>
        <v>0.19052548061520927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0.22482242468337815</v>
      </c>
      <c r="K22" s="6"/>
      <c r="L22" t="s">
        <v>1</v>
      </c>
      <c r="M22" s="13">
        <f ref="M22:P22" si="5" t="shared">M5/M$16</f>
        <v>0.99026929399111152</v>
      </c>
      <c r="N22" s="13">
        <f si="5" t="shared"/>
        <v>6.6692913385826766E-2</v>
      </c>
      <c r="O22" s="13">
        <f si="5" t="shared"/>
        <v>2.4720523096393165E-2</v>
      </c>
      <c r="P22" s="13" t="e">
        <f si="5" t="shared"/>
        <v>#DIV/0!</v>
      </c>
      <c r="Q22" s="13">
        <f ref="Q22:U33" si="6" t="shared">Q5/Q$16</f>
        <v>1.0232558139534883E-2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0.34472553949298135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0.95199981860530114</v>
      </c>
      <c r="D23" s="13">
        <f si="7" t="shared"/>
        <v>8.0511275713346375E-2</v>
      </c>
      <c r="E23" s="13">
        <f si="7" t="shared"/>
        <v>0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0.36784335246231747</v>
      </c>
      <c r="K23" s="6"/>
      <c r="L23" t="s">
        <v>12</v>
      </c>
      <c r="M23" s="13">
        <f ref="M23:P23" si="8" t="shared">M6/M$16</f>
        <v>0</v>
      </c>
      <c r="N23" s="13">
        <f si="8" t="shared"/>
        <v>0.92518560179977505</v>
      </c>
      <c r="O23" s="13">
        <f si="8" t="shared"/>
        <v>0.15209168248611404</v>
      </c>
      <c r="P23" s="13" t="e">
        <f si="8" t="shared"/>
        <v>#DIV/0!</v>
      </c>
      <c r="Q23" s="13">
        <f si="6" t="shared"/>
        <v>0.13488372093023257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0.30560902472239682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0.90281416487902144</v>
      </c>
      <c r="E24" s="13">
        <f si="9" t="shared"/>
        <v>0</v>
      </c>
      <c r="F24" s="13">
        <f si="9" t="shared"/>
        <v>9.4713922023352076E-2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0.10720011809921726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0.81752091682486117</v>
      </c>
      <c r="P24" s="13" t="e">
        <f si="10" t="shared"/>
        <v>#DIV/0!</v>
      </c>
      <c r="Q24" s="13">
        <f si="6" t="shared"/>
        <v>5.7674418604651161E-2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0.1907277917452336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0.5</v>
      </c>
      <c r="F25" s="13">
        <f si="11" t="shared"/>
        <v>0.71476059736143871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1.4645084280428305E-2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0.67534883720930228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4.7532998114393462E-3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1.6791563746372851E-2</v>
      </c>
      <c r="C31" s="13">
        <f si="23" t="shared"/>
        <v>0</v>
      </c>
      <c r="D31" s="13">
        <f si="23" t="shared"/>
        <v>0</v>
      </c>
      <c r="E31" s="13">
        <f si="23" t="shared"/>
        <v>0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6.2866260817340744E-3</v>
      </c>
      <c r="K31" s="6"/>
      <c r="L31" t="s">
        <v>4</v>
      </c>
      <c r="M31" s="13">
        <f ref="M31:P31" si="24" t="shared">M14/M$16</f>
        <v>1.1262860969620716E-3</v>
      </c>
      <c r="N31" s="13">
        <f si="24" t="shared"/>
        <v>1.4285714285714286E-3</v>
      </c>
      <c r="O31" s="13">
        <f si="24" t="shared"/>
        <v>1.054629824931449E-3</v>
      </c>
      <c r="P31" s="13" t="e">
        <f si="24" t="shared"/>
        <v>#DIV/0!</v>
      </c>
      <c r="Q31" s="13">
        <f si="6" t="shared"/>
        <v>1.3023255813953489E-2</v>
      </c>
      <c r="R31" s="13">
        <f si="6" t="shared"/>
        <v>0.96457373271889402</v>
      </c>
      <c r="S31" s="13">
        <f si="6" t="shared"/>
        <v>0</v>
      </c>
      <c r="T31" s="13" t="e">
        <f si="6" t="shared"/>
        <v>#DIV/0!</v>
      </c>
      <c r="U31" s="13">
        <f si="6" t="shared"/>
        <v>1.2079666876178504E-2</v>
      </c>
    </row>
    <row r="32" spans="1:21" x14ac:dyDescent="0.25">
      <c r="A32" s="4" t="s">
        <v>5</v>
      </c>
      <c r="B32" s="14">
        <f ref="B32:J32" si="25" t="shared">B15/B$16</f>
        <v>1.2931025732328299E-2</v>
      </c>
      <c r="C32" s="14">
        <f si="25" t="shared"/>
        <v>1.7880795488191732E-2</v>
      </c>
      <c r="D32" s="14">
        <f si="25" t="shared"/>
        <v>1.6674559407632194E-2</v>
      </c>
      <c r="E32" s="14">
        <f si="25" t="shared"/>
        <v>0</v>
      </c>
      <c r="F32" s="14">
        <f si="25" t="shared"/>
        <v>0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0.27920239439292477</v>
      </c>
      <c r="K32" s="6"/>
      <c r="L32" s="4" t="s">
        <v>5</v>
      </c>
      <c r="M32" s="14">
        <f ref="M32:P32" si="26" t="shared">M15/M$16</f>
        <v>8.6044199119264565E-3</v>
      </c>
      <c r="N32" s="14">
        <f si="26" t="shared"/>
        <v>6.6929133858267716E-3</v>
      </c>
      <c r="O32" s="14">
        <f si="26" t="shared"/>
        <v>4.6122477677002036E-3</v>
      </c>
      <c r="P32" s="14" t="e">
        <f si="26" t="shared"/>
        <v>#DIV/0!</v>
      </c>
      <c r="Q32" s="14">
        <f si="6" t="shared"/>
        <v>0.10883720930232559</v>
      </c>
      <c r="R32" s="14">
        <f si="6" t="shared"/>
        <v>3.542626728110599E-2</v>
      </c>
      <c r="S32" s="14">
        <f si="6" t="shared"/>
        <v>1</v>
      </c>
      <c r="T32" s="14" t="e">
        <f si="6" t="shared"/>
        <v>#DIV/0!</v>
      </c>
      <c r="U32" s="14">
        <f si="6" t="shared"/>
        <v>0.14210467735177038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46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1.9991883469812732E-2</v>
      </c>
      <c r="N39" s="13">
        <f si="29" t="shared"/>
        <v>3.6573527479319731E-2</v>
      </c>
      <c r="O39" s="13">
        <f si="29" t="shared"/>
        <v>2.4720523096393165E-2</v>
      </c>
      <c r="P39" s="13" t="e">
        <f si="29" t="shared"/>
        <v>#DIV/0!</v>
      </c>
      <c r="Q39" s="13">
        <f ref="Q39:Q50" si="30" t="shared">Q22-F22</f>
        <v>-0.18029292247567438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0.1199031148096032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-2.6814216805526092E-2</v>
      </c>
      <c r="O40" s="13">
        <f si="29" t="shared"/>
        <v>7.1580406772767668E-2</v>
      </c>
      <c r="P40" s="13" t="e">
        <f si="29" t="shared"/>
        <v>#DIV/0!</v>
      </c>
      <c r="Q40" s="13">
        <f si="30" t="shared"/>
        <v>0.13488372093023257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-6.2234327739920658E-2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-8.5293248054160276E-2</v>
      </c>
      <c r="P41" s="13" t="e">
        <f si="29" t="shared"/>
        <v>#DIV/0!</v>
      </c>
      <c r="Q41" s="13">
        <f si="30" t="shared"/>
        <v>-3.7039503418700916E-2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8.3527673646016348E-2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-3.9411760152136432E-2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-9.8917844689889595E-3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-1.566527764941078E-2</v>
      </c>
      <c r="N48" s="13">
        <f si="39" t="shared"/>
        <v>1.4285714285714286E-3</v>
      </c>
      <c r="O48" s="13">
        <f si="39" t="shared"/>
        <v>1.054629824931449E-3</v>
      </c>
      <c r="P48" s="13" t="e">
        <f si="39" t="shared"/>
        <v>#DIV/0!</v>
      </c>
      <c r="Q48" s="13">
        <f si="30" t="shared"/>
        <v>1.3023255813953489E-2</v>
      </c>
      <c r="R48" s="13">
        <f si="31" t="shared"/>
        <v>-3.5426267281105983E-2</v>
      </c>
      <c r="S48" s="13">
        <f si="32" t="shared"/>
        <v>0</v>
      </c>
      <c r="T48" s="13" t="e">
        <f si="33" t="shared"/>
        <v>#DIV/0!</v>
      </c>
      <c r="U48" s="13">
        <f si="34" t="shared"/>
        <v>5.7930407944444297E-3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-4.3266058204018427E-3</v>
      </c>
      <c r="N49" s="17">
        <f si="39" t="shared"/>
        <v>-1.118788210236496E-2</v>
      </c>
      <c r="O49" s="17">
        <f si="39" t="shared"/>
        <v>-1.206231163993199E-2</v>
      </c>
      <c r="P49" s="17" t="e">
        <f si="39" t="shared"/>
        <v>#DIV/0!</v>
      </c>
      <c r="Q49" s="17">
        <f si="30" t="shared"/>
        <v>0.10883720930232559</v>
      </c>
      <c r="R49" s="17">
        <f si="31" t="shared"/>
        <v>3.542626728110599E-2</v>
      </c>
      <c r="S49" s="17">
        <f si="32" t="shared"/>
        <v>0</v>
      </c>
      <c r="T49" s="17" t="e">
        <f si="33" t="shared"/>
        <v>#DIV/0!</v>
      </c>
      <c r="U49" s="13">
        <f si="34" t="shared"/>
        <v>-0.13709771704115439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B3"/>
  <sheetViews>
    <sheetView workbookViewId="0"/>
  </sheetViews>
  <sheetFormatPr defaultRowHeight="15" x14ac:dyDescent="0.25"/>
  <sheetData>
    <row r="2" spans="2:2" x14ac:dyDescent="0.25">
      <c r="B2" t="s">
        <v>50</v>
      </c>
    </row>
    <row r="3" spans="2:2" x14ac:dyDescent="0.25">
      <c r="B3" t="s">
        <v>49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baseType="lpstr" size="34">
      <vt:lpstr>All Purposes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Dong, Hu</cp:lastModifiedBy>
  <dcterms:modified xsi:type="dcterms:W3CDTF">2017-10-26T15:43:31Z</dcterms:modified>
</cp:coreProperties>
</file>