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795B5EE8-23E7-4CD5-B596-E431A320EAD9}" revIDLastSave="0" xr10:uidLastSave="{00000000-0000-0000-0000-000000000000}" xr6:coauthVersionLast="41" xr6:coauthVersionMax="41"/>
  <bookViews>
    <workbookView activeTab="6" firstSheet="1" windowHeight="11265" windowWidth="21600" xWindow="12405" xr2:uid="{00000000-000D-0000-FFFF-FFFF00000000}" yWindow="264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18" l="1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13" l="1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<sst xmlns="http://schemas.openxmlformats.org/spreadsheetml/2006/main" count="1105" uniqueCount="60">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</sst>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</cellStyleXfs>
  <cellXfs count="3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calcChain.xml" Type="http://schemas.openxmlformats.org/officeDocument/2006/relationships/calcChain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575094.55024312914</v>
      </c>
      <c r="C5" s="6">
        <f>SUM(Work!C5,Workbased!C5,School!C5,Escort!C5,Personal_Business!C5,Shop!C5,Meal!C5,SocRec!C5)</f>
        <v>130021.9640610826</v>
      </c>
      <c r="D5" s="6">
        <f>SUM(Work!D5,Workbased!D5,School!D5,Escort!D5,Personal_Business!D5,Shop!D5,Meal!D5,SocRec!D5)</f>
        <v>48087.806438316795</v>
      </c>
      <c r="E5" s="6">
        <f>SUM(Work!E5,Workbased!E5,School!E5,Escort!E5,Personal_Business!E5,Shop!E5,Meal!E5,SocRec!E5)</f>
        <v>11152.673759817</v>
      </c>
      <c r="F5" s="6">
        <f>SUM(Work!F5,Workbased!F5,School!F5,Escort!F5,Personal_Business!F5,Shop!F5,Meal!F5,SocRec!F5)</f>
        <v>3484.3174220500005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461.112895342</v>
      </c>
      <c r="J5" s="6">
        <f>SUM(B5:I5)</f>
        <v>768302.42481973767</v>
      </c>
      <c r="K5" s="6"/>
      <c r="L5" t="s">
        <v>1</v>
      </c>
      <c r="M5" s="6">
        <f>SUM(Work!M5,Workbased!M5,School!M5,Escort!M5,Personal_Business!M5,Shop!M5,Meal!M5,SocRec!M5)</f>
        <v>1085877</v>
      </c>
      <c r="N5" s="6">
        <f>SUM(Work!N5,Workbased!N5,School!N5,Escort!N5,Personal_Business!N5,Shop!N5,Meal!N5,SocRec!N5)</f>
        <v>175169</v>
      </c>
      <c r="O5" s="6">
        <f>SUM(Work!O5,Workbased!O5,School!O5,Escort!O5,Personal_Business!O5,Shop!O5,Meal!O5,SocRec!O5)</f>
        <v>70081</v>
      </c>
      <c r="P5" s="6">
        <f>SUM(Work!P5,Workbased!P5,School!P5,Escort!P5,Personal_Business!P5,Shop!P5,Meal!P5,SocRec!P5)</f>
        <v>10990</v>
      </c>
      <c r="Q5" s="6">
        <f>SUM(Work!Q5,Workbased!Q5,School!Q5,Escort!Q5,Personal_Business!Q5,Shop!Q5,Meal!Q5,SocRec!Q5)</f>
        <v>1515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211</v>
      </c>
      <c r="U5" s="6">
        <f ref="U5:U15" si="0" t="shared">SUM(M5:T5)</f>
        <v>1343843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417398.87121917441</v>
      </c>
      <c r="D6" s="6">
        <f>SUM(Work!D6,Workbased!D6,School!D6,Escort!D6,Personal_Business!D6,Shop!D6,Meal!D6,SocRec!D6)</f>
        <v>67986.862961393999</v>
      </c>
      <c r="E6" s="6">
        <f>SUM(Work!E6,Workbased!E6,School!E6,Escort!E6,Personal_Business!E6,Shop!E6,Meal!E6,SocRec!E6)</f>
        <v>1091.0953829300001</v>
      </c>
      <c r="F6" s="6">
        <f>SUM(Work!F6,Workbased!F6,School!F6,Escort!F6,Personal_Business!F6,Shop!F6,Meal!F6,SocRec!F6)</f>
        <v>5814.0274972161005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3607.0436249999998</v>
      </c>
      <c r="J6" s="6">
        <f ref="J6:J15" si="1" t="shared">SUM(B6:I6)</f>
        <v>495897.90068571456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556215</v>
      </c>
      <c r="O6" s="6">
        <f>SUM(Work!O6,Workbased!O6,School!O6,Escort!O6,Personal_Business!O6,Shop!O6,Meal!O6,SocRec!O6)</f>
        <v>102657</v>
      </c>
      <c r="P6" s="6">
        <f>SUM(Work!P6,Workbased!P6,School!P6,Escort!P6,Personal_Business!P6,Shop!P6,Meal!P6,SocRec!P6)</f>
        <v>408</v>
      </c>
      <c r="Q6" s="6">
        <f>SUM(Work!Q6,Workbased!Q6,School!Q6,Escort!Q6,Personal_Business!Q6,Shop!Q6,Meal!Q6,SocRec!Q6)</f>
        <v>3950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9639</v>
      </c>
      <c r="U6" s="6">
        <f si="0" t="shared"/>
        <v>672869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262566.81522792793</v>
      </c>
      <c r="E7" s="6">
        <f>SUM(Work!E7,Workbased!E7,School!E7,Escort!E7,Personal_Business!E7,Shop!E7,Meal!E7,SocRec!E7)</f>
        <v>665.41619533800008</v>
      </c>
      <c r="F7" s="6">
        <f>SUM(Work!F7,Workbased!F7,School!F7,Escort!F7,Personal_Business!F7,Shop!F7,Meal!F7,SocRec!F7)</f>
        <v>4228.3871660909999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4928.2512500000003</v>
      </c>
      <c r="J7" s="6">
        <f si="1" t="shared"/>
        <v>272388.86983935692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440757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1775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9510</v>
      </c>
      <c r="U7" s="6">
        <f si="0" t="shared"/>
        <v>452042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12324.113908806001</v>
      </c>
      <c r="F8" s="6">
        <f>SUM(Work!F8,Workbased!F8,School!F8,Escort!F8,Personal_Business!F8,Shop!F8,Meal!F8,SocRec!F8)</f>
        <v>88115.347499130294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367.92750000000001</v>
      </c>
      <c r="J8" s="6">
        <f si="1" t="shared"/>
        <v>100807.3889079363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0</v>
      </c>
      <c r="Q8" s="6">
        <f>SUM(Work!Q8,Workbased!Q8,School!Q8,Escort!Q8,Personal_Business!Q8,Shop!Q8,Meal!Q8,SocRec!Q8)</f>
        <v>28531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85</v>
      </c>
      <c r="U8" s="6">
        <f si="0" t="shared"/>
        <v>28616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si="0" t="shared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si="0" t="shared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34069.988872052003</v>
      </c>
      <c r="J13" s="6">
        <f si="1" t="shared"/>
        <v>34069.988872052003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56700</v>
      </c>
      <c r="U13" s="6">
        <f si="0" t="shared"/>
        <v>56700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1008.17381248</v>
      </c>
      <c r="C14" s="6">
        <f>SUM(Work!C14,Workbased!C14,School!C14,Escort!C14,Personal_Business!C14,Shop!C14,Meal!C14,SocRec!C14)</f>
        <v>625.9179386088</v>
      </c>
      <c r="D14" s="6">
        <f>SUM(Work!D14,Workbased!D14,School!D14,Escort!D14,Personal_Business!D14,Shop!D14,Meal!D14,SocRec!D14)</f>
        <v>406.51049999999998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603.67342905399994</v>
      </c>
      <c r="G14" s="6">
        <f>SUM(Work!G14,Workbased!G14,School!G14,Escort!G14,Personal_Business!G14,Shop!G14,Meal!G14,SocRec!G14)</f>
        <v>18156.369856281002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0</v>
      </c>
      <c r="J14" s="6">
        <f si="1" t="shared"/>
        <v>20800.645536423803</v>
      </c>
      <c r="K14" s="6"/>
      <c r="L14" t="s">
        <v>4</v>
      </c>
      <c r="M14" s="6">
        <f>SUM(Work!M14,Workbased!M14,School!M14,Escort!M14,Personal_Business!M14,Shop!M14,Meal!M14,SocRec!M14)</f>
        <v>1000</v>
      </c>
      <c r="N14" s="6">
        <f>SUM(Work!N14,Workbased!N14,School!N14,Escort!N14,Personal_Business!N14,Shop!N14,Meal!N14,SocRec!N14)</f>
        <v>2726</v>
      </c>
      <c r="O14" s="6">
        <f>SUM(Work!O14,Workbased!O14,School!O14,Escort!O14,Personal_Business!O14,Shop!O14,Meal!O14,SocRec!O14)</f>
        <v>2275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432</v>
      </c>
      <c r="R14" s="6">
        <f>SUM(Work!R14,Workbased!R14,School!R14,Escort!R14,Personal_Business!R14,Shop!R14,Meal!R14,SocRec!R14)</f>
        <v>29680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460</v>
      </c>
      <c r="U14" s="6">
        <f si="0" t="shared"/>
        <v>36573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10983.906232606598</v>
      </c>
      <c r="C15" s="6">
        <f>SUM(Work!C15,Workbased!C15,School!C15,Escort!C15,Personal_Business!C15,Shop!C15,Meal!C15,SocRec!C15)</f>
        <v>12239.306168224801</v>
      </c>
      <c r="D15" s="6">
        <f>SUM(Work!D15,Workbased!D15,School!D15,Escort!D15,Personal_Business!D15,Shop!D15,Meal!D15,SocRec!D15)</f>
        <v>22879.417446959</v>
      </c>
      <c r="E15" s="6">
        <f>SUM(Work!E15,Workbased!E15,School!E15,Escort!E15,Personal_Business!E15,Shop!E15,Meal!E15,SocRec!E15)</f>
        <v>1062.5102455659999</v>
      </c>
      <c r="F15" s="6">
        <f>SUM(Work!F15,Workbased!F15,School!F15,Escort!F15,Personal_Business!F15,Shop!F15,Meal!F15,SocRec!F15)</f>
        <v>10940.805689868999</v>
      </c>
      <c r="G15" s="6">
        <f>SUM(Work!G15,Workbased!G15,School!G15,Escort!G15,Personal_Business!G15,Shop!G15,Meal!G15,SocRec!G15)</f>
        <v>294.71183288700001</v>
      </c>
      <c r="H15" s="6">
        <f>SUM(Work!H15,Workbased!H15,School!H15,Escort!H15,Personal_Business!H15,Shop!H15,Meal!H15,SocRec!H15)</f>
        <v>142468.16717003699</v>
      </c>
      <c r="I15" s="6">
        <f>SUM(Work!I15,Workbased!I15,School!I15,Escort!I15,Personal_Business!I15,Shop!I15,Meal!I15,SocRec!I15)</f>
        <v>1013.776875</v>
      </c>
      <c r="J15" s="6">
        <f si="1" t="shared"/>
        <v>201882.60166114938</v>
      </c>
      <c r="K15" s="6"/>
      <c r="L15" s="4" t="s">
        <v>5</v>
      </c>
      <c r="M15" s="6">
        <f>SUM(Work!M15,Workbased!M15,School!M15,Escort!M15,Personal_Business!M15,Shop!M15,Meal!M15,SocRec!M15)</f>
        <v>35603</v>
      </c>
      <c r="N15" s="6">
        <f>SUM(Work!N15,Workbased!N15,School!N15,Escort!N15,Personal_Business!N15,Shop!N15,Meal!N15,SocRec!N15)</f>
        <v>22741</v>
      </c>
      <c r="O15" s="6">
        <f>SUM(Work!O15,Workbased!O15,School!O15,Escort!O15,Personal_Business!O15,Shop!O15,Meal!O15,SocRec!O15)</f>
        <v>14291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4691</v>
      </c>
      <c r="R15" s="6">
        <f>SUM(Work!R15,Workbased!R15,School!R15,Escort!R15,Personal_Business!R15,Shop!R15,Meal!R15,SocRec!R15)</f>
        <v>5298</v>
      </c>
      <c r="S15" s="6">
        <f>SUM(Work!S15,Workbased!S15,School!S15,Escort!S15,Personal_Business!S15,Shop!S15,Meal!S15,SocRec!S15)</f>
        <v>147029</v>
      </c>
      <c r="T15" s="6">
        <f>SUM(Work!T15,Workbased!T15,School!T15,Escort!T15,Personal_Business!T15,Shop!T15,Meal!T15,SocRec!T15)</f>
        <v>2337</v>
      </c>
      <c r="U15" s="6">
        <f si="0" t="shared"/>
        <v>231990</v>
      </c>
    </row>
    <row ht="15.75" r="16" spans="1:21" thickBot="1" x14ac:dyDescent="0.3">
      <c r="A16" s="12" t="s">
        <v>7</v>
      </c>
      <c r="B16" s="16">
        <f ref="B16:J16" si="2" t="shared">SUM(B5:B15)</f>
        <v>587086.6302882157</v>
      </c>
      <c r="C16" s="16">
        <f si="2" t="shared"/>
        <v>560286.05938709062</v>
      </c>
      <c r="D16" s="16">
        <f si="2" t="shared"/>
        <v>401927.41257459769</v>
      </c>
      <c r="E16" s="16">
        <f si="2" t="shared"/>
        <v>26295.809492457003</v>
      </c>
      <c r="F16" s="16">
        <f si="2" t="shared"/>
        <v>113186.5587034104</v>
      </c>
      <c r="G16" s="16">
        <f si="2" t="shared"/>
        <v>18451.081689168001</v>
      </c>
      <c r="H16" s="16">
        <f si="2" t="shared"/>
        <v>142468.16717003699</v>
      </c>
      <c r="I16" s="16">
        <f si="2" t="shared"/>
        <v>44448.101017394009</v>
      </c>
      <c r="J16" s="16">
        <f si="2" t="shared"/>
        <v>1894149.8203223709</v>
      </c>
      <c r="L16" s="9" t="s">
        <v>7</v>
      </c>
      <c r="M16" s="16">
        <f ref="M16:U16" si="3" t="shared">SUM(M5:M15)</f>
        <v>1122480</v>
      </c>
      <c r="N16" s="16">
        <f si="3" t="shared"/>
        <v>756851</v>
      </c>
      <c r="O16" s="16">
        <f si="3" t="shared"/>
        <v>630061</v>
      </c>
      <c r="P16" s="16">
        <f si="3" t="shared"/>
        <v>11398</v>
      </c>
      <c r="Q16" s="16">
        <f si="3" t="shared"/>
        <v>40894</v>
      </c>
      <c r="R16" s="16">
        <f si="3" t="shared"/>
        <v>34978</v>
      </c>
      <c r="S16" s="16">
        <f si="3" t="shared"/>
        <v>147029</v>
      </c>
      <c r="T16" s="16">
        <f si="3" t="shared"/>
        <v>78942</v>
      </c>
      <c r="U16" s="16">
        <f si="3" t="shared"/>
        <v>2822633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0.97957357666414691</v>
      </c>
      <c r="C22" s="13">
        <f si="4" t="shared"/>
        <v>0.23206353590756215</v>
      </c>
      <c r="D22" s="13">
        <f si="4" t="shared"/>
        <v>0.11964301247900502</v>
      </c>
      <c r="E22" s="13">
        <f ref="E22:E33" si="5" t="shared">IF(E$16&gt;0,E5/E$16,0)</f>
        <v>0.42412361418332312</v>
      </c>
      <c r="F22" s="13">
        <f ref="F22:J33" si="6" t="shared">F5/F$16</f>
        <v>3.0783844495000229E-2</v>
      </c>
      <c r="G22" s="13">
        <f si="6" t="shared"/>
        <v>0</v>
      </c>
      <c r="H22" s="13">
        <f si="6" t="shared"/>
        <v>0</v>
      </c>
      <c r="I22" s="13">
        <f si="6" t="shared"/>
        <v>1.0374186630865317E-2</v>
      </c>
      <c r="J22" s="13">
        <f si="6" t="shared"/>
        <v>0.40561861399589716</v>
      </c>
      <c r="K22" s="6"/>
      <c r="L22" t="s">
        <v>1</v>
      </c>
      <c r="M22" s="13">
        <f ref="M22:P22" si="7" t="shared">M5/M$16</f>
        <v>0.96739095574085954</v>
      </c>
      <c r="N22" s="13">
        <f si="7" t="shared"/>
        <v>0.23144449832265532</v>
      </c>
      <c r="O22" s="13">
        <f si="7" t="shared"/>
        <v>0.11122891275606647</v>
      </c>
      <c r="P22" s="13">
        <f si="7" t="shared"/>
        <v>0.96420424635901036</v>
      </c>
      <c r="Q22" s="13">
        <f ref="Q22:U33" si="8" t="shared">Q5/Q$16</f>
        <v>3.7046999559837632E-2</v>
      </c>
      <c r="R22" s="13">
        <f si="8" t="shared"/>
        <v>0</v>
      </c>
      <c r="S22" s="13">
        <f si="8" t="shared"/>
        <v>0</v>
      </c>
      <c r="T22" s="13">
        <f si="8" t="shared"/>
        <v>2.6728484203592511E-3</v>
      </c>
      <c r="U22" s="13">
        <f si="8" t="shared"/>
        <v>0.47609554625061068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0.74497457901375652</v>
      </c>
      <c r="D23" s="13">
        <f si="4" t="shared"/>
        <v>0.16915209272713053</v>
      </c>
      <c r="E23" s="13">
        <f si="5" t="shared"/>
        <v>4.1493127764063803E-2</v>
      </c>
      <c r="F23" s="13">
        <f si="6" t="shared"/>
        <v>5.1366766193951967E-2</v>
      </c>
      <c r="G23" s="13">
        <f si="6" t="shared"/>
        <v>0</v>
      </c>
      <c r="H23" s="13">
        <f si="6" t="shared"/>
        <v>0</v>
      </c>
      <c r="I23" s="13">
        <f si="6" t="shared"/>
        <v>8.1151804968865704E-2</v>
      </c>
      <c r="J23" s="13">
        <f si="6" t="shared"/>
        <v>0.261805003683033</v>
      </c>
      <c r="K23" s="6"/>
      <c r="L23" t="s">
        <v>12</v>
      </c>
      <c r="M23" s="13">
        <f ref="M23:P23" si="9" t="shared">M6/M$16</f>
        <v>0</v>
      </c>
      <c r="N23" s="13">
        <f si="9" t="shared"/>
        <v>0.73490687070506611</v>
      </c>
      <c r="O23" s="13">
        <f si="9" t="shared"/>
        <v>0.1629318431072547</v>
      </c>
      <c r="P23" s="13">
        <f si="9" t="shared"/>
        <v>3.579575364098965E-2</v>
      </c>
      <c r="Q23" s="13">
        <f si="8" t="shared"/>
        <v>9.6591186971193815E-2</v>
      </c>
      <c r="R23" s="13">
        <f si="8" t="shared"/>
        <v>0</v>
      </c>
      <c r="S23" s="13">
        <f si="8" t="shared"/>
        <v>0</v>
      </c>
      <c r="T23" s="13">
        <f si="8" t="shared"/>
        <v>0.12210230295660104</v>
      </c>
      <c r="U23" s="13">
        <f si="8" t="shared"/>
        <v>0.23838345261321611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0.65326923970182194</v>
      </c>
      <c r="E24" s="13">
        <f si="5" t="shared"/>
        <v>2.5305027994246606E-2</v>
      </c>
      <c r="F24" s="13">
        <f si="6" t="shared"/>
        <v>3.7357679343983763E-2</v>
      </c>
      <c r="G24" s="13">
        <f si="6" t="shared"/>
        <v>0</v>
      </c>
      <c r="H24" s="13">
        <f si="6" t="shared"/>
        <v>0</v>
      </c>
      <c r="I24" s="13">
        <f si="6" t="shared"/>
        <v>0.11087653099221073</v>
      </c>
      <c r="J24" s="13">
        <f si="6" t="shared"/>
        <v>0.14380534576351425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0.69954655184180581</v>
      </c>
      <c r="P24" s="13">
        <f si="10" t="shared"/>
        <v>0</v>
      </c>
      <c r="Q24" s="13">
        <f si="8" t="shared"/>
        <v>4.3404900474397219E-2</v>
      </c>
      <c r="R24" s="13">
        <f si="8" t="shared"/>
        <v>0</v>
      </c>
      <c r="S24" s="13">
        <f si="8" t="shared"/>
        <v>0</v>
      </c>
      <c r="T24" s="13">
        <f si="8" t="shared"/>
        <v>0.12046819183704492</v>
      </c>
      <c r="U24" s="13">
        <f si="8" t="shared"/>
        <v>0.16014905232100665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0.46867216285321789</v>
      </c>
      <c r="F25" s="13">
        <f si="6" t="shared"/>
        <v>0.77849656804236167</v>
      </c>
      <c r="G25" s="13">
        <f si="6" t="shared"/>
        <v>0</v>
      </c>
      <c r="H25" s="13">
        <f si="6" t="shared"/>
        <v>0</v>
      </c>
      <c r="I25" s="13">
        <f si="6" t="shared"/>
        <v>8.2776877206973999E-3</v>
      </c>
      <c r="J25" s="13">
        <f si="6" t="shared"/>
        <v>5.3220388285220015E-2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</v>
      </c>
      <c r="Q25" s="13">
        <f si="8" t="shared"/>
        <v>0.69768181151269137</v>
      </c>
      <c r="R25" s="13">
        <f si="8" t="shared"/>
        <v>0</v>
      </c>
      <c r="S25" s="13">
        <f si="8" t="shared"/>
        <v>0</v>
      </c>
      <c r="T25" s="13">
        <f si="8" t="shared"/>
        <v>1.0767398849788451E-3</v>
      </c>
      <c r="U25" s="13">
        <f si="8" t="shared"/>
        <v>1.0138051953619191E-2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0</v>
      </c>
      <c r="F27" s="13">
        <f si="6" t="shared"/>
        <v>0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0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</v>
      </c>
      <c r="Q27" s="13">
        <f si="8" t="shared"/>
        <v>0</v>
      </c>
      <c r="R27" s="13">
        <f si="8" t="shared"/>
        <v>0</v>
      </c>
      <c r="S27" s="13">
        <f si="8" t="shared"/>
        <v>0</v>
      </c>
      <c r="T27" s="13">
        <f si="8" t="shared"/>
        <v>0</v>
      </c>
      <c r="U27" s="13">
        <f si="8" t="shared"/>
        <v>0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0</v>
      </c>
      <c r="F28" s="13">
        <f si="6" t="shared"/>
        <v>0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0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0</v>
      </c>
      <c r="Q28" s="13">
        <f si="8" t="shared"/>
        <v>0</v>
      </c>
      <c r="R28" s="13">
        <f si="8" t="shared"/>
        <v>0</v>
      </c>
      <c r="S28" s="13">
        <f si="8" t="shared"/>
        <v>0</v>
      </c>
      <c r="T28" s="13">
        <f si="8" t="shared"/>
        <v>0</v>
      </c>
      <c r="U28" s="13">
        <f si="8" t="shared"/>
        <v>0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0</v>
      </c>
      <c r="Q29" s="13">
        <f si="8" t="shared"/>
        <v>0</v>
      </c>
      <c r="R29" s="13">
        <f si="8" t="shared"/>
        <v>0</v>
      </c>
      <c r="S29" s="13">
        <f si="8" t="shared"/>
        <v>0</v>
      </c>
      <c r="T29" s="13">
        <f si="8" t="shared"/>
        <v>0</v>
      </c>
      <c r="U29" s="13">
        <f si="8" t="shared"/>
        <v>0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0.76651168648845747</v>
      </c>
      <c r="J30" s="13">
        <f si="6" t="shared"/>
        <v>1.7986955681390363E-2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0.71824884092118269</v>
      </c>
      <c r="U30" s="13">
        <f si="8" t="shared"/>
        <v>2.008762740320828E-2</v>
      </c>
    </row>
    <row r="31" spans="1:21" x14ac:dyDescent="0.25">
      <c r="A31" t="s">
        <v>4</v>
      </c>
      <c r="B31" s="13">
        <f si="4" t="shared"/>
        <v>1.7172488019103109E-3</v>
      </c>
      <c r="C31" s="13">
        <f si="4" t="shared"/>
        <v>1.1171399468576919E-3</v>
      </c>
      <c r="D31" s="13">
        <f si="4" t="shared"/>
        <v>1.0114027739388182E-3</v>
      </c>
      <c r="E31" s="13">
        <f si="5" t="shared"/>
        <v>0</v>
      </c>
      <c r="F31" s="13">
        <f si="6" t="shared"/>
        <v>5.3334374325828037E-3</v>
      </c>
      <c r="G31" s="13">
        <f si="6" t="shared"/>
        <v>0.98402739536620154</v>
      </c>
      <c r="H31" s="13">
        <f si="6" t="shared"/>
        <v>0</v>
      </c>
      <c r="I31" s="13">
        <f si="6" t="shared"/>
        <v>0</v>
      </c>
      <c r="J31" s="13">
        <f si="6" t="shared"/>
        <v>1.0981520739940033E-2</v>
      </c>
      <c r="K31" s="6"/>
      <c r="L31" t="s">
        <v>4</v>
      </c>
      <c r="M31" s="13">
        <f ref="M31:P31" si="17" t="shared">M14/M$16</f>
        <v>8.9088447010191724E-4</v>
      </c>
      <c r="N31" s="13">
        <f si="17" t="shared"/>
        <v>3.601765737245508E-3</v>
      </c>
      <c r="O31" s="13">
        <f si="17" t="shared"/>
        <v>3.610761497696255E-3</v>
      </c>
      <c r="P31" s="13">
        <f si="17" t="shared"/>
        <v>0</v>
      </c>
      <c r="Q31" s="13">
        <f si="8" t="shared"/>
        <v>1.0563896904191324E-2</v>
      </c>
      <c r="R31" s="13">
        <f si="8" t="shared"/>
        <v>0.84853336382869227</v>
      </c>
      <c r="S31" s="13">
        <f si="8" t="shared"/>
        <v>0</v>
      </c>
      <c r="T31" s="13">
        <f si="8" t="shared"/>
        <v>5.8270629069443391E-3</v>
      </c>
      <c r="U31" s="13">
        <f si="8" t="shared"/>
        <v>1.2957051093783712E-2</v>
      </c>
    </row>
    <row r="32" spans="1:21" x14ac:dyDescent="0.25">
      <c r="A32" s="4" t="s">
        <v>5</v>
      </c>
      <c r="B32" s="14">
        <f si="4" t="shared"/>
        <v>1.8709174533942836E-2</v>
      </c>
      <c r="C32" s="14">
        <f si="4" t="shared"/>
        <v>2.1844745131823644E-2</v>
      </c>
      <c r="D32" s="14">
        <f si="4" t="shared"/>
        <v>5.6924252318103788E-2</v>
      </c>
      <c r="E32" s="13">
        <f si="5" t="shared"/>
        <v>4.0406067205148513E-2</v>
      </c>
      <c r="F32" s="14">
        <f si="6" t="shared"/>
        <v>9.6661704492119568E-2</v>
      </c>
      <c r="G32" s="14">
        <f si="6" t="shared"/>
        <v>1.5972604633798529E-2</v>
      </c>
      <c r="H32" s="14">
        <f si="6" t="shared"/>
        <v>1</v>
      </c>
      <c r="I32" s="14">
        <f si="6" t="shared"/>
        <v>2.2808103198903272E-2</v>
      </c>
      <c r="J32" s="14">
        <f si="6" t="shared"/>
        <v>0.10658217185100512</v>
      </c>
      <c r="K32" s="6"/>
      <c r="L32" s="4" t="s">
        <v>5</v>
      </c>
      <c r="M32" s="14">
        <f ref="M32:P32" si="18" t="shared">M15/M$16</f>
        <v>3.1718159789038559E-2</v>
      </c>
      <c r="N32" s="14">
        <f si="18" t="shared"/>
        <v>3.0046865235033051E-2</v>
      </c>
      <c r="O32" s="14">
        <f si="18" t="shared"/>
        <v>2.2681930797176782E-2</v>
      </c>
      <c r="P32" s="14">
        <f si="18" t="shared"/>
        <v>0</v>
      </c>
      <c r="Q32" s="14">
        <f si="8" t="shared"/>
        <v>0.11471120457768866</v>
      </c>
      <c r="R32" s="14">
        <f si="8" t="shared"/>
        <v>0.15146663617130768</v>
      </c>
      <c r="S32" s="14">
        <f si="8" t="shared"/>
        <v>1</v>
      </c>
      <c r="T32" s="14">
        <f si="8" t="shared"/>
        <v>2.9604013072888957E-2</v>
      </c>
      <c r="U32" s="14">
        <f si="8" t="shared"/>
        <v>8.2189218364555366E-2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-1.2182620923287368E-2</v>
      </c>
      <c r="N39" s="13">
        <f si="20" t="shared"/>
        <v>-6.1903758490683414E-4</v>
      </c>
      <c r="O39" s="13">
        <f si="20" t="shared"/>
        <v>-8.4140997229385506E-3</v>
      </c>
      <c r="P39" s="13">
        <f si="20" t="shared"/>
        <v>0.54008063217568725</v>
      </c>
      <c r="Q39" s="13">
        <f ref="Q39:Q50" si="21" t="shared">Q22-F22</f>
        <v>6.2631550648374022E-3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-7.701338210506066E-3</v>
      </c>
      <c r="U39" s="13">
        <f ref="U39:U50" si="25" t="shared">U22-J22</f>
        <v>7.047693225471352E-2</v>
      </c>
      <c r="W39" s="21" t="s">
        <v>1</v>
      </c>
      <c r="X39" s="22">
        <f>M39</f>
        <v>-1.2182620923287368E-2</v>
      </c>
      <c r="Y39" s="22">
        <f ref="Y39:AF39" si="26" t="shared">N39</f>
        <v>-6.1903758490683414E-4</v>
      </c>
      <c r="Z39" s="22">
        <f si="26" t="shared"/>
        <v>-8.4140997229385506E-3</v>
      </c>
      <c r="AA39" s="22">
        <f si="26" t="shared"/>
        <v>0.54008063217568725</v>
      </c>
      <c r="AB39" s="22">
        <f si="26" t="shared"/>
        <v>6.2631550648374022E-3</v>
      </c>
      <c r="AC39" s="22">
        <f si="26" t="shared"/>
        <v>0</v>
      </c>
      <c r="AD39" s="22">
        <f si="26" t="shared"/>
        <v>0</v>
      </c>
      <c r="AE39" s="22">
        <f si="26" t="shared"/>
        <v>-7.701338210506066E-3</v>
      </c>
      <c r="AF39" s="22">
        <f si="26" t="shared"/>
        <v>7.047693225471352E-2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-1.0067708308690415E-2</v>
      </c>
      <c r="O40" s="13">
        <f si="20" t="shared"/>
        <v>-6.2202496198758284E-3</v>
      </c>
      <c r="P40" s="13">
        <f si="20" t="shared"/>
        <v>-5.6973741230741531E-3</v>
      </c>
      <c r="Q40" s="13">
        <f si="21" t="shared"/>
        <v>4.5224420777241849E-2</v>
      </c>
      <c r="R40" s="13">
        <f si="22" t="shared"/>
        <v>0</v>
      </c>
      <c r="S40" s="13">
        <f si="23" t="shared"/>
        <v>0</v>
      </c>
      <c r="T40" s="13">
        <f si="24" t="shared"/>
        <v>4.095049798773534E-2</v>
      </c>
      <c r="U40" s="13">
        <f si="25" t="shared"/>
        <v>-2.3421551069816887E-2</v>
      </c>
      <c r="W40" s="27" t="s">
        <v>9</v>
      </c>
      <c r="X40" s="22">
        <f ref="X40:X49" si="27" t="shared">M40</f>
        <v>0</v>
      </c>
      <c r="Y40" s="22">
        <f ref="Y40:Y50" si="28" t="shared">N40</f>
        <v>-1.0067708308690415E-2</v>
      </c>
      <c r="Z40" s="22">
        <f ref="Z40:Z50" si="29" t="shared">O40</f>
        <v>-6.2202496198758284E-3</v>
      </c>
      <c r="AA40" s="22">
        <f ref="AA40:AA50" si="30" t="shared">P40</f>
        <v>-5.6973741230741531E-3</v>
      </c>
      <c r="AB40" s="22">
        <f ref="AB40:AB50" si="31" t="shared">Q40</f>
        <v>4.5224420777241849E-2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4.095049798773534E-2</v>
      </c>
      <c r="AF40" s="22">
        <f ref="AF40:AF50" si="35" t="shared">U40</f>
        <v>-2.3421551069816887E-2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4.6277312139983873E-2</v>
      </c>
      <c r="P41" s="13">
        <f si="20" t="shared"/>
        <v>-2.5305027994246606E-2</v>
      </c>
      <c r="Q41" s="13">
        <f si="21" t="shared"/>
        <v>6.0472211304134563E-3</v>
      </c>
      <c r="R41" s="13">
        <f si="22" t="shared"/>
        <v>0</v>
      </c>
      <c r="S41" s="13">
        <f si="23" t="shared"/>
        <v>0</v>
      </c>
      <c r="T41" s="13">
        <f si="24" t="shared"/>
        <v>9.5916608448341906E-3</v>
      </c>
      <c r="U41" s="13">
        <f si="25" t="shared"/>
        <v>1.6343706557492399E-2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4.6277312139983873E-2</v>
      </c>
      <c r="AA41" s="22">
        <f si="30" t="shared"/>
        <v>-2.5305027994246606E-2</v>
      </c>
      <c r="AB41" s="22">
        <f si="31" t="shared"/>
        <v>6.0472211304134563E-3</v>
      </c>
      <c r="AC41" s="22">
        <f si="32" t="shared"/>
        <v>0</v>
      </c>
      <c r="AD41" s="22">
        <f si="33" t="shared"/>
        <v>0</v>
      </c>
      <c r="AE41" s="22">
        <f si="34" t="shared"/>
        <v>9.5916608448341906E-3</v>
      </c>
      <c r="AF41" s="22">
        <f si="35" t="shared"/>
        <v>1.6343706557492399E-2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-0.46867216285321789</v>
      </c>
      <c r="Q42" s="13">
        <f si="21" t="shared"/>
        <v>-8.0814756529670295E-2</v>
      </c>
      <c r="R42" s="13">
        <f si="22" t="shared"/>
        <v>0</v>
      </c>
      <c r="S42" s="13">
        <f si="23" t="shared"/>
        <v>0</v>
      </c>
      <c r="T42" s="13">
        <f si="24" t="shared"/>
        <v>-7.2009478357185543E-3</v>
      </c>
      <c r="U42" s="13">
        <f si="25" t="shared"/>
        <v>-4.3082336331600822E-2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-0.46867216285321789</v>
      </c>
      <c r="AB42" s="22">
        <f si="31" t="shared"/>
        <v>-8.0814756529670295E-2</v>
      </c>
      <c r="AC42" s="22">
        <f si="32" t="shared"/>
        <v>0</v>
      </c>
      <c r="AD42" s="22">
        <f si="33" t="shared"/>
        <v>0</v>
      </c>
      <c r="AE42" s="22">
        <f si="34" t="shared"/>
        <v>-7.2009478357185543E-3</v>
      </c>
      <c r="AF42" s="22">
        <f si="35" t="shared"/>
        <v>-4.3082336331600822E-2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0</v>
      </c>
      <c r="Q44" s="13">
        <f si="21" t="shared"/>
        <v>0</v>
      </c>
      <c r="R44" s="13">
        <f si="22" t="shared"/>
        <v>0</v>
      </c>
      <c r="S44" s="13">
        <f si="23" t="shared"/>
        <v>0</v>
      </c>
      <c r="T44" s="13">
        <f si="24" t="shared"/>
        <v>0</v>
      </c>
      <c r="U44" s="13">
        <f si="25" t="shared"/>
        <v>0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0</v>
      </c>
      <c r="AB44" s="22">
        <f si="31" t="shared"/>
        <v>0</v>
      </c>
      <c r="AC44" s="22">
        <f si="32" t="shared"/>
        <v>0</v>
      </c>
      <c r="AD44" s="22">
        <f si="33" t="shared"/>
        <v>0</v>
      </c>
      <c r="AE44" s="22">
        <f si="34" t="shared"/>
        <v>0</v>
      </c>
      <c r="AF44" s="22">
        <f si="35" t="shared"/>
        <v>0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0</v>
      </c>
      <c r="Q45" s="13">
        <f si="21" t="shared"/>
        <v>0</v>
      </c>
      <c r="R45" s="13">
        <f si="22" t="shared"/>
        <v>0</v>
      </c>
      <c r="S45" s="13">
        <f si="23" t="shared"/>
        <v>0</v>
      </c>
      <c r="T45" s="13">
        <f si="24" t="shared"/>
        <v>0</v>
      </c>
      <c r="U45" s="13">
        <f si="25" t="shared"/>
        <v>0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0</v>
      </c>
      <c r="AB45" s="22">
        <f si="31" t="shared"/>
        <v>0</v>
      </c>
      <c r="AC45" s="22">
        <f si="32" t="shared"/>
        <v>0</v>
      </c>
      <c r="AD45" s="22">
        <f si="33" t="shared"/>
        <v>0</v>
      </c>
      <c r="AE45" s="22">
        <f si="34" t="shared"/>
        <v>0</v>
      </c>
      <c r="AF45" s="22">
        <f si="35" t="shared"/>
        <v>0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0</v>
      </c>
      <c r="Q46" s="13">
        <f si="21" t="shared"/>
        <v>0</v>
      </c>
      <c r="R46" s="13">
        <f si="22" t="shared"/>
        <v>0</v>
      </c>
      <c r="S46" s="13">
        <f si="23" t="shared"/>
        <v>0</v>
      </c>
      <c r="T46" s="13">
        <f si="24" t="shared"/>
        <v>0</v>
      </c>
      <c r="U46" s="13">
        <f si="25" t="shared"/>
        <v>0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0</v>
      </c>
      <c r="AB46" s="22">
        <f si="31" t="shared"/>
        <v>0</v>
      </c>
      <c r="AC46" s="22">
        <f si="32" t="shared"/>
        <v>0</v>
      </c>
      <c r="AD46" s="22">
        <f si="33" t="shared"/>
        <v>0</v>
      </c>
      <c r="AE46" s="22">
        <f si="34" t="shared"/>
        <v>0</v>
      </c>
      <c r="AF46" s="22">
        <f si="35" t="shared"/>
        <v>0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-4.8262845567274781E-2</v>
      </c>
      <c r="U47" s="13">
        <f si="25" t="shared"/>
        <v>2.1006717218179163E-3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-4.8262845567274781E-2</v>
      </c>
      <c r="AF47" s="22">
        <f si="35" t="shared"/>
        <v>2.1006717218179163E-3</v>
      </c>
    </row>
    <row r="48" spans="1:32" x14ac:dyDescent="0.25">
      <c r="L48" t="s">
        <v>4</v>
      </c>
      <c r="M48" s="13">
        <f ref="M48:P50" si="40" t="shared">M31-B31</f>
        <v>-8.263643318083937E-4</v>
      </c>
      <c r="N48" s="13">
        <f si="40" t="shared"/>
        <v>2.4846257903878158E-3</v>
      </c>
      <c r="O48" s="13">
        <f si="40" t="shared"/>
        <v>2.5993587237574368E-3</v>
      </c>
      <c r="P48" s="13">
        <f si="40" t="shared"/>
        <v>0</v>
      </c>
      <c r="Q48" s="13">
        <f si="21" t="shared"/>
        <v>5.2304594716085203E-3</v>
      </c>
      <c r="R48" s="13">
        <f si="22" t="shared"/>
        <v>-0.13549403153750927</v>
      </c>
      <c r="S48" s="13">
        <f si="23" t="shared"/>
        <v>0</v>
      </c>
      <c r="T48" s="13">
        <f si="24" t="shared"/>
        <v>5.8270629069443391E-3</v>
      </c>
      <c r="U48" s="13">
        <f si="25" t="shared"/>
        <v>1.9755303538436797E-3</v>
      </c>
      <c r="W48" s="27" t="s">
        <v>4</v>
      </c>
      <c r="X48" s="22">
        <f si="27" t="shared"/>
        <v>-8.263643318083937E-4</v>
      </c>
      <c r="Y48" s="22">
        <f si="28" t="shared"/>
        <v>2.4846257903878158E-3</v>
      </c>
      <c r="Z48" s="22">
        <f si="29" t="shared"/>
        <v>2.5993587237574368E-3</v>
      </c>
      <c r="AA48" s="22">
        <f si="30" t="shared"/>
        <v>0</v>
      </c>
      <c r="AB48" s="22">
        <f si="31" t="shared"/>
        <v>5.2304594716085203E-3</v>
      </c>
      <c r="AC48" s="22">
        <f si="32" t="shared"/>
        <v>-0.13549403153750927</v>
      </c>
      <c r="AD48" s="22">
        <f si="33" t="shared"/>
        <v>0</v>
      </c>
      <c r="AE48" s="22">
        <f si="34" t="shared"/>
        <v>5.8270629069443391E-3</v>
      </c>
      <c r="AF48" s="22">
        <f si="35" t="shared"/>
        <v>1.9755303538436797E-3</v>
      </c>
    </row>
    <row r="49" spans="12:32" x14ac:dyDescent="0.25">
      <c r="L49" s="4" t="s">
        <v>5</v>
      </c>
      <c r="M49" s="17">
        <f si="40" t="shared"/>
        <v>1.3008985255095723E-2</v>
      </c>
      <c r="N49" s="17">
        <f si="40" t="shared"/>
        <v>8.2021201032094065E-3</v>
      </c>
      <c r="O49" s="17">
        <f si="40" t="shared"/>
        <v>-3.4242321520927002E-2</v>
      </c>
      <c r="P49" s="17">
        <f si="40" t="shared"/>
        <v>-4.0406067205148513E-2</v>
      </c>
      <c r="Q49" s="17">
        <f si="21" t="shared"/>
        <v>1.804950008556909E-2</v>
      </c>
      <c r="R49" s="17">
        <f si="22" t="shared"/>
        <v>0.13549403153750916</v>
      </c>
      <c r="S49" s="17">
        <f si="23" t="shared"/>
        <v>0</v>
      </c>
      <c r="T49" s="17">
        <f si="24" t="shared"/>
        <v>6.7959098739856852E-3</v>
      </c>
      <c r="U49" s="13">
        <f si="25" t="shared"/>
        <v>-2.439295348644975E-2</v>
      </c>
      <c r="W49" s="20" t="s">
        <v>5</v>
      </c>
      <c r="X49" s="22">
        <f si="27" t="shared"/>
        <v>1.3008985255095723E-2</v>
      </c>
      <c r="Y49" s="22">
        <f si="28" t="shared"/>
        <v>8.2021201032094065E-3</v>
      </c>
      <c r="Z49" s="22">
        <f si="29" t="shared"/>
        <v>-3.4242321520927002E-2</v>
      </c>
      <c r="AA49" s="22">
        <f si="30" t="shared"/>
        <v>-4.0406067205148513E-2</v>
      </c>
      <c r="AB49" s="22">
        <f si="31" t="shared"/>
        <v>1.804950008556909E-2</v>
      </c>
      <c r="AC49" s="22">
        <f si="32" t="shared"/>
        <v>0.13549403153750916</v>
      </c>
      <c r="AD49" s="22">
        <f si="33" t="shared"/>
        <v>0</v>
      </c>
      <c r="AE49" s="22">
        <f si="34" t="shared"/>
        <v>6.7959098739856852E-3</v>
      </c>
      <c r="AF49" s="22">
        <f si="35" t="shared"/>
        <v>-2.439295348644975E-2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14464.562866402</v>
      </c>
      <c r="C5" s="6" t="n">
        <v>264.716510956</v>
      </c>
      <c r="D5" s="6" t="n">
        <v>902.133763915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15631.413141273</v>
      </c>
      <c r="K5" s="6"/>
      <c r="L5" t="s">
        <v>1</v>
      </c>
      <c r="M5" s="6" t="n">
        <v>45537.0</v>
      </c>
      <c r="N5" s="6" t="n">
        <v>1077.0</v>
      </c>
      <c r="O5" s="6" t="n">
        <v>197.0</v>
      </c>
      <c r="P5" s="6" t="n">
        <v>0.0</v>
      </c>
      <c r="Q5" s="6" t="n">
        <v>20.0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47610</v>
      </c>
    </row>
    <row r="6" spans="1:21" x14ac:dyDescent="0.25">
      <c r="A6" t="s">
        <v>12</v>
      </c>
      <c r="B6" s="6" t="n">
        <v>0.0</v>
      </c>
      <c r="C6" s="6" t="n">
        <v>7877.8738421856</v>
      </c>
      <c r="D6" s="6" t="n">
        <v>131.188344677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8009.0621868625994</v>
      </c>
      <c r="K6" s="6"/>
      <c r="L6" t="s">
        <v>12</v>
      </c>
      <c r="M6" s="6" t="n">
        <v>0.0</v>
      </c>
      <c r="N6" s="6" t="n">
        <v>10189.0</v>
      </c>
      <c r="O6" s="6" t="n">
        <v>611.0</v>
      </c>
      <c r="P6" s="6" t="n">
        <v>0.0</v>
      </c>
      <c r="Q6" s="6" t="n">
        <v>128.0</v>
      </c>
      <c r="R6" s="6" t="n">
        <v>0.0</v>
      </c>
      <c r="S6" s="6" t="n">
        <v>0.0</v>
      </c>
      <c r="T6" s="6" t="n">
        <v>0.0</v>
      </c>
      <c r="U6" s="6">
        <f si="0" t="shared"/>
        <v>11202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4330.241217024</v>
      </c>
      <c r="E7" s="6" t="n">
        <v>0.0</v>
      </c>
      <c r="F7" s="6" t="n">
        <v>1345.57431748</v>
      </c>
      <c r="G7" s="6" t="n">
        <v>0.0</v>
      </c>
      <c r="H7" s="6" t="n">
        <v>0.0</v>
      </c>
      <c r="I7" s="6" t="n">
        <v>0.0</v>
      </c>
      <c r="J7" s="6">
        <f si="1" t="shared"/>
        <v>5675.8155345040004</v>
      </c>
      <c r="K7" s="6"/>
      <c r="L7" t="s">
        <v>56</v>
      </c>
      <c r="M7" s="6" t="n">
        <v>0.0</v>
      </c>
      <c r="N7" s="6" t="n">
        <v>0.0</v>
      </c>
      <c r="O7" s="6" t="n">
        <v>3471.0</v>
      </c>
      <c r="P7" s="6" t="n">
        <v>0.0</v>
      </c>
      <c r="Q7" s="6" t="n">
        <v>40.0</v>
      </c>
      <c r="R7" s="6" t="n">
        <v>0.0</v>
      </c>
      <c r="S7" s="6" t="n">
        <v>0.0</v>
      </c>
      <c r="T7" s="6" t="n">
        <v>0.0</v>
      </c>
      <c r="U7" s="6">
        <f si="0" t="shared"/>
        <v>3664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1345.57431748</v>
      </c>
      <c r="G8" s="6" t="n">
        <v>0.0</v>
      </c>
      <c r="H8" s="6" t="n">
        <v>0.0</v>
      </c>
      <c r="I8" s="6" t="n">
        <v>0.0</v>
      </c>
      <c r="J8" s="6">
        <f si="1" t="shared"/>
        <v>1345.57431748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621.0</v>
      </c>
      <c r="R8" s="6" t="n">
        <v>0.0</v>
      </c>
      <c r="S8" s="6" t="n">
        <v>0.0</v>
      </c>
      <c r="T8" s="6" t="n">
        <v>0.0</v>
      </c>
      <c r="U8" s="6">
        <f si="0" t="shared"/>
        <v>554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0</v>
      </c>
      <c r="K14" s="6"/>
      <c r="L14" t="s">
        <v>4</v>
      </c>
      <c r="M14" s="6" t="n">
        <v>27.0</v>
      </c>
      <c r="N14" s="6" t="n">
        <v>15.0</v>
      </c>
      <c r="O14" s="6" t="n">
        <v>1.0</v>
      </c>
      <c r="P14" s="6" t="n">
        <v>0.0</v>
      </c>
      <c r="Q14" s="6" t="n">
        <v>3.0</v>
      </c>
      <c r="R14" s="6" t="n">
        <v>218.0</v>
      </c>
      <c r="S14" s="6" t="n">
        <v>0.0</v>
      </c>
      <c r="T14" s="6" t="n">
        <v>0.0</v>
      </c>
      <c r="U14" s="6">
        <f si="0" t="shared"/>
        <v>248</v>
      </c>
    </row>
    <row r="15" spans="1:21" x14ac:dyDescent="0.25">
      <c r="A15" s="4" t="s">
        <v>5</v>
      </c>
      <c r="B15" s="10" t="n">
        <v>0.0</v>
      </c>
      <c r="C15" s="10" t="n">
        <v>85.5353905136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17473.443469488</v>
      </c>
      <c r="I15" s="10" t="n">
        <v>0.0</v>
      </c>
      <c r="J15" s="6">
        <f si="1" t="shared"/>
        <v>17558.9788600016</v>
      </c>
      <c r="K15" s="6"/>
      <c r="L15" s="4" t="s">
        <v>5</v>
      </c>
      <c r="M15" s="8" t="n">
        <v>370.0</v>
      </c>
      <c r="N15" s="8" t="n">
        <v>77.0</v>
      </c>
      <c r="O15" s="8" t="n">
        <v>24.0</v>
      </c>
      <c r="P15" s="8" t="n">
        <v>0.0</v>
      </c>
      <c r="Q15" s="8" t="n">
        <v>30.0</v>
      </c>
      <c r="R15" s="8" t="n">
        <v>15.0</v>
      </c>
      <c r="S15" s="8" t="n">
        <v>23105.0</v>
      </c>
      <c r="T15" s="8" t="n">
        <v>0.0</v>
      </c>
      <c r="U15" s="6">
        <f si="0" t="shared"/>
        <v>22823</v>
      </c>
    </row>
    <row ht="15.75" r="16" spans="1:21" thickBot="1" x14ac:dyDescent="0.3">
      <c r="A16" s="12" t="s">
        <v>7</v>
      </c>
      <c r="B16" s="16">
        <f ref="B16:J16" si="2" t="shared">SUM(B5:B15)</f>
        <v>14464.562866402001</v>
      </c>
      <c r="C16" s="16">
        <f si="2" t="shared"/>
        <v>8228.1257436552005</v>
      </c>
      <c r="D16" s="16">
        <f si="2" t="shared"/>
        <v>5363.5633256159999</v>
      </c>
      <c r="E16" s="16">
        <f si="2" t="shared"/>
        <v>0</v>
      </c>
      <c r="F16" s="16">
        <f si="2" t="shared"/>
        <v>2691.14863496</v>
      </c>
      <c r="G16" s="16">
        <f si="2" t="shared"/>
        <v>0</v>
      </c>
      <c r="H16" s="16">
        <f si="2" t="shared"/>
        <v>17473.443469488</v>
      </c>
      <c r="I16" s="16">
        <f si="2" t="shared"/>
        <v>0</v>
      </c>
      <c r="J16" s="16">
        <f si="2" t="shared"/>
        <v>48220.844040121199</v>
      </c>
      <c r="L16" s="9" t="s">
        <v>7</v>
      </c>
      <c r="M16" s="16">
        <f ref="M16:U16" si="3" t="shared">SUM(M5:M15)</f>
        <v>46776</v>
      </c>
      <c r="N16" s="16">
        <f si="3" t="shared"/>
        <v>11492</v>
      </c>
      <c r="O16" s="16">
        <f si="3" t="shared"/>
        <v>4544</v>
      </c>
      <c r="P16" s="16">
        <f si="3" t="shared"/>
        <v>0</v>
      </c>
      <c r="Q16" s="16">
        <f si="3" t="shared"/>
        <v>777</v>
      </c>
      <c r="R16" s="16">
        <f si="3" t="shared"/>
        <v>213</v>
      </c>
      <c r="S16" s="16">
        <f si="3" t="shared"/>
        <v>22299</v>
      </c>
      <c r="T16" s="16">
        <f si="3" t="shared"/>
        <v>0</v>
      </c>
      <c r="U16" s="16">
        <f si="3" t="shared"/>
        <v>86101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3.2172151860966128E-2</v>
      </c>
      <c r="D22" s="13">
        <f si="4" t="shared"/>
        <v>0.16819672093857321</v>
      </c>
      <c r="E22" s="13" t="e">
        <f si="4" t="shared"/>
        <v>#DIV/0!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 t="e">
        <f si="4" t="shared"/>
        <v>#DIV/0!</v>
      </c>
      <c r="J22" s="13">
        <f si="4" t="shared"/>
        <v>0.32416299325385495</v>
      </c>
      <c r="K22" s="6"/>
      <c r="L22" t="s">
        <v>1</v>
      </c>
      <c r="M22" s="13">
        <f ref="M22:P22" si="5" t="shared">M5/M$16</f>
        <v>0.9907217376432359</v>
      </c>
      <c r="N22" s="13">
        <f si="5" t="shared"/>
        <v>8.9714584058475461E-2</v>
      </c>
      <c r="O22" s="13">
        <f si="5" t="shared"/>
        <v>5.0176056338028172E-2</v>
      </c>
      <c r="P22" s="13" t="e">
        <f si="5" t="shared"/>
        <v>#DIV/0!</v>
      </c>
      <c r="Q22" s="13">
        <f ref="Q22:U33" si="6" t="shared">Q5/Q$16</f>
        <v>1.1583011583011582E-2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0.55295525022938175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0.95743235915667868</v>
      </c>
      <c r="D23" s="13">
        <f si="7" t="shared"/>
        <v>2.4459176989754874E-2</v>
      </c>
      <c r="E23" s="13" t="e">
        <f si="7" t="shared"/>
        <v>#DIV/0!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 t="e">
        <f si="7" t="shared"/>
        <v>#DIV/0!</v>
      </c>
      <c r="J23" s="13">
        <f si="7" t="shared"/>
        <v>0.16609128990356986</v>
      </c>
      <c r="K23" s="6"/>
      <c r="L23" t="s">
        <v>12</v>
      </c>
      <c r="M23" s="13">
        <f ref="M23:P23" si="8" t="shared">M6/M$16</f>
        <v>0</v>
      </c>
      <c r="N23" s="13">
        <f si="8" t="shared"/>
        <v>0.90410720501218234</v>
      </c>
      <c r="O23" s="13">
        <f si="8" t="shared"/>
        <v>0.15030809859154928</v>
      </c>
      <c r="P23" s="13" t="e">
        <f si="8" t="shared"/>
        <v>#DIV/0!</v>
      </c>
      <c r="Q23" s="13">
        <f si="6" t="shared"/>
        <v>0.16602316602316602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0.13010301854798434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0.80734410207167207</v>
      </c>
      <c r="E24" s="13" t="e">
        <f si="9" t="shared"/>
        <v>#DIV/0!</v>
      </c>
      <c r="F24" s="13">
        <f si="9" t="shared"/>
        <v>0.5</v>
      </c>
      <c r="G24" s="13" t="e">
        <f si="9" t="shared"/>
        <v>#DIV/0!</v>
      </c>
      <c r="H24" s="13">
        <f si="9" t="shared"/>
        <v>0</v>
      </c>
      <c r="I24" s="13" t="e">
        <f si="9" t="shared"/>
        <v>#DIV/0!</v>
      </c>
      <c r="J24" s="13">
        <f si="9" t="shared"/>
        <v>0.11770460777877613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0.79489436619718312</v>
      </c>
      <c r="P24" s="13" t="e">
        <f si="10" t="shared"/>
        <v>#DIV/0!</v>
      </c>
      <c r="Q24" s="13">
        <f si="6" t="shared"/>
        <v>6.6924066924066924E-2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4.2554674161740282E-2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0.5</v>
      </c>
      <c r="G25" s="13" t="e">
        <f si="11" t="shared"/>
        <v>#DIV/0!</v>
      </c>
      <c r="H25" s="13">
        <f si="11" t="shared"/>
        <v>0</v>
      </c>
      <c r="I25" s="13" t="e">
        <f si="11" t="shared"/>
        <v>#DIV/0!</v>
      </c>
      <c r="J25" s="13">
        <f si="11" t="shared"/>
        <v>2.790441238150957E-2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0.71299871299871298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6.4343038989094206E-3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 t="e">
        <f si="23" t="shared"/>
        <v>#DIV/0!</v>
      </c>
      <c r="J31" s="13">
        <f si="23" t="shared"/>
        <v>0</v>
      </c>
      <c r="K31" s="6"/>
      <c r="L31" t="s">
        <v>4</v>
      </c>
      <c r="M31" s="13">
        <f ref="M31:P31" si="24" t="shared">M14/M$16</f>
        <v>6.4135454079014879E-4</v>
      </c>
      <c r="N31" s="13">
        <f si="24" t="shared"/>
        <v>6.9613644274277764E-4</v>
      </c>
      <c r="O31" s="13">
        <f si="24" t="shared"/>
        <v>4.4014084507042255E-4</v>
      </c>
      <c r="P31" s="13" t="e">
        <f si="24" t="shared"/>
        <v>#DIV/0!</v>
      </c>
      <c r="Q31" s="13">
        <f si="6" t="shared"/>
        <v>3.8610038610038611E-3</v>
      </c>
      <c r="R31" s="13">
        <f si="6" t="shared"/>
        <v>0.96244131455399062</v>
      </c>
      <c r="S31" s="13">
        <f si="6" t="shared"/>
        <v>0</v>
      </c>
      <c r="T31" s="13" t="e">
        <f si="6" t="shared"/>
        <v>#DIV/0!</v>
      </c>
      <c r="U31" s="13">
        <f si="6" t="shared"/>
        <v>2.8803382074540367E-3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1.0395488982355101E-2</v>
      </c>
      <c r="D32" s="14">
        <f si="25" t="shared"/>
        <v>0</v>
      </c>
      <c r="E32" s="14" t="e">
        <f si="25" t="shared"/>
        <v>#DIV/0!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 t="e">
        <f si="25" t="shared"/>
        <v>#DIV/0!</v>
      </c>
      <c r="J32" s="14">
        <f si="25" t="shared"/>
        <v>0.36413669668228948</v>
      </c>
      <c r="K32" s="6"/>
      <c r="L32" s="4" t="s">
        <v>5</v>
      </c>
      <c r="M32" s="14">
        <f ref="M32:P32" si="26" t="shared">M15/M$16</f>
        <v>8.6369078159740046E-3</v>
      </c>
      <c r="N32" s="14">
        <f si="26" t="shared"/>
        <v>5.4820744865993736E-3</v>
      </c>
      <c r="O32" s="14">
        <f si="26" t="shared"/>
        <v>4.1813380281690137E-3</v>
      </c>
      <c r="P32" s="14" t="e">
        <f si="26" t="shared"/>
        <v>#DIV/0!</v>
      </c>
      <c r="Q32" s="14">
        <f si="6" t="shared"/>
        <v>3.8610038610038609E-2</v>
      </c>
      <c r="R32" s="14">
        <f si="6" t="shared"/>
        <v>3.7558685446009391E-2</v>
      </c>
      <c r="S32" s="14">
        <f si="6" t="shared"/>
        <v>1</v>
      </c>
      <c r="T32" s="14" t="e">
        <f si="6" t="shared"/>
        <v>#DIV/0!</v>
      </c>
      <c r="U32" s="14">
        <f si="6" t="shared"/>
        <v>0.26507241495453016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-9.2782623567640998E-3</v>
      </c>
      <c r="N39" s="13">
        <f si="29" t="shared"/>
        <v>5.7542432197509333E-2</v>
      </c>
      <c r="O39" s="13">
        <f si="29" t="shared"/>
        <v>-0.11802066460054504</v>
      </c>
      <c r="P39" s="13" t="e">
        <f si="29" t="shared"/>
        <v>#DIV/0!</v>
      </c>
      <c r="Q39" s="13">
        <f ref="Q39:Q50" si="30" t="shared">Q22-F22</f>
        <v>1.1583011583011582E-2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0.2287922569755268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-5.3325154144496345E-2</v>
      </c>
      <c r="O40" s="13">
        <f si="29" t="shared"/>
        <v>0.12584892160179439</v>
      </c>
      <c r="P40" s="13" t="e">
        <f si="29" t="shared"/>
        <v>#DIV/0!</v>
      </c>
      <c r="Q40" s="13">
        <f si="30" t="shared"/>
        <v>0.16602316602316602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-3.5988271355585522E-2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-1.2449735874488943E-2</v>
      </c>
      <c r="P41" s="13" t="e">
        <f si="29" t="shared"/>
        <v>#DIV/0!</v>
      </c>
      <c r="Q41" s="13">
        <f si="30" t="shared"/>
        <v>-0.43307593307593306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-7.5149933617035841E-2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0.21299871299871298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-2.1470108482600149E-2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0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6.4135454079014879E-4</v>
      </c>
      <c r="N48" s="13">
        <f si="42" t="shared"/>
        <v>6.9613644274277764E-4</v>
      </c>
      <c r="O48" s="13">
        <f si="42" t="shared"/>
        <v>4.4014084507042255E-4</v>
      </c>
      <c r="P48" s="13" t="e">
        <f si="42" t="shared"/>
        <v>#DIV/0!</v>
      </c>
      <c r="Q48" s="13">
        <f si="30" t="shared"/>
        <v>3.8610038610038611E-3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2.8803382074540367E-3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8.6369078159740046E-3</v>
      </c>
      <c r="N49" s="17">
        <f si="43" t="shared"/>
        <v>-4.9134144957557278E-3</v>
      </c>
      <c r="O49" s="17">
        <f si="43" t="shared"/>
        <v>4.1813380281690137E-3</v>
      </c>
      <c r="P49" s="17" t="e">
        <f si="43" t="shared"/>
        <v>#DIV/0!</v>
      </c>
      <c r="Q49" s="17">
        <f si="30" t="shared"/>
        <v>3.8610038610038609E-2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-9.9064281727759329E-2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324571.5574111833</v>
      </c>
      <c r="C5" s="6" t="n">
        <v>61731.2190417949</v>
      </c>
      <c r="D5" s="6" t="n">
        <v>15034.0090534548</v>
      </c>
      <c r="E5" s="6" t="n">
        <v>9687.246350757001</v>
      </c>
      <c r="F5" s="6" t="n">
        <v>2094.75313051</v>
      </c>
      <c r="G5" s="6" t="n">
        <v>0.0</v>
      </c>
      <c r="H5" s="6" t="n">
        <v>0.0</v>
      </c>
      <c r="I5" s="6" t="n">
        <v>461.112895342</v>
      </c>
      <c r="J5" s="6">
        <f>SUM(B5:I5)</f>
        <v>413579.89788304199</v>
      </c>
      <c r="K5" s="6"/>
      <c r="L5" t="s">
        <v>1</v>
      </c>
      <c r="M5" s="6" t="n">
        <v>707347.0</v>
      </c>
      <c r="N5" s="6" t="n">
        <v>97115.0</v>
      </c>
      <c r="O5" s="6" t="n">
        <v>39322.0</v>
      </c>
      <c r="P5" s="6" t="n">
        <v>11511.0</v>
      </c>
      <c r="Q5" s="6" t="n">
        <v>1101.0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868486</v>
      </c>
    </row>
    <row r="6" spans="1:21" x14ac:dyDescent="0.25">
      <c r="A6" t="s">
        <v>12</v>
      </c>
      <c r="B6" s="6" t="n">
        <v>0.0</v>
      </c>
      <c r="C6" s="6" t="n">
        <v>56219.7153373955</v>
      </c>
      <c r="D6" s="6" t="n">
        <v>9747.501732915</v>
      </c>
      <c r="E6" s="6" t="n">
        <v>1091.0953829300001</v>
      </c>
      <c r="F6" s="6" t="n">
        <v>4975.723286728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72034.035739968487</v>
      </c>
      <c r="K6" s="6"/>
      <c r="L6" t="s">
        <v>12</v>
      </c>
      <c r="M6" s="6" t="n">
        <v>0.0</v>
      </c>
      <c r="N6" s="6" t="n">
        <v>115619.0</v>
      </c>
      <c r="O6" s="6" t="n">
        <v>19876.0</v>
      </c>
      <c r="P6" s="6" t="n">
        <v>453.0</v>
      </c>
      <c r="Q6" s="6" t="n">
        <v>1843.0</v>
      </c>
      <c r="R6" s="6" t="n">
        <v>0.0</v>
      </c>
      <c r="S6" s="6" t="n">
        <v>0.0</v>
      </c>
      <c r="T6" s="6" t="n">
        <v>0.0</v>
      </c>
      <c r="U6" s="6">
        <f si="0" t="shared"/>
        <v>140717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20435.2079517749</v>
      </c>
      <c r="E7" s="6" t="n">
        <v>665.4161953380001</v>
      </c>
      <c r="F7" s="6" t="n">
        <v>894.97630254</v>
      </c>
      <c r="G7" s="6" t="n">
        <v>0.0</v>
      </c>
      <c r="H7" s="6" t="n">
        <v>0.0</v>
      </c>
      <c r="I7" s="6" t="n">
        <v>0.0</v>
      </c>
      <c r="J7" s="6">
        <f si="1" t="shared"/>
        <v>21995.600449652899</v>
      </c>
      <c r="K7" s="6"/>
      <c r="L7" t="s">
        <v>56</v>
      </c>
      <c r="M7" s="6" t="n">
        <v>0.0</v>
      </c>
      <c r="N7" s="6" t="n">
        <v>0.0</v>
      </c>
      <c r="O7" s="6" t="n">
        <v>69697.0</v>
      </c>
      <c r="P7" s="6" t="n">
        <v>0.0</v>
      </c>
      <c r="Q7" s="6" t="n">
        <v>777.0</v>
      </c>
      <c r="R7" s="6" t="n">
        <v>0.0</v>
      </c>
      <c r="S7" s="6" t="n">
        <v>0.0</v>
      </c>
      <c r="T7" s="6" t="n">
        <v>0.0</v>
      </c>
      <c r="U7" s="6">
        <f si="0" t="shared"/>
        <v>68497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10477.034606338</v>
      </c>
      <c r="F8" s="6" t="n">
        <v>52115.2140593656</v>
      </c>
      <c r="G8" s="6" t="n">
        <v>0.0</v>
      </c>
      <c r="H8" s="6" t="n">
        <v>0.0</v>
      </c>
      <c r="I8" s="6" t="n">
        <v>0.0</v>
      </c>
      <c r="J8" s="6">
        <f si="1" t="shared"/>
        <v>62592.248665703599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16197.0</v>
      </c>
      <c r="R8" s="6" t="n">
        <v>0.0</v>
      </c>
      <c r="S8" s="6" t="n">
        <v>0.0</v>
      </c>
      <c r="T8" s="6" t="n">
        <v>0.0</v>
      </c>
      <c r="U8" s="6">
        <f si="0" t="shared"/>
        <v>15584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2766.677372052</v>
      </c>
      <c r="J13" s="6">
        <f si="1" t="shared"/>
        <v>2766.677372052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67.7305671088</v>
      </c>
      <c r="D14" s="6" t="n">
        <v>0.0</v>
      </c>
      <c r="E14" s="6" t="n">
        <v>0.0</v>
      </c>
      <c r="F14" s="6" t="n">
        <v>422.305368585</v>
      </c>
      <c r="G14" s="6" t="n">
        <v>9626.018685031</v>
      </c>
      <c r="H14" s="6" t="n">
        <v>0.0</v>
      </c>
      <c r="I14" s="6" t="n">
        <v>0.0</v>
      </c>
      <c r="J14" s="6">
        <f si="1" t="shared"/>
        <v>10116.054620724801</v>
      </c>
      <c r="K14" s="6"/>
      <c r="L14" t="s">
        <v>4</v>
      </c>
      <c r="M14" s="6" t="n">
        <v>460.0</v>
      </c>
      <c r="N14" s="6" t="n">
        <v>616.0</v>
      </c>
      <c r="O14" s="6" t="n">
        <v>394.0</v>
      </c>
      <c r="P14" s="6" t="n">
        <v>0.0</v>
      </c>
      <c r="Q14" s="6" t="n">
        <v>151.0</v>
      </c>
      <c r="R14" s="6" t="n">
        <v>13506.0</v>
      </c>
      <c r="S14" s="6" t="n">
        <v>0.0</v>
      </c>
      <c r="T14" s="6" t="n">
        <v>0.0</v>
      </c>
      <c r="U14" s="6">
        <f si="0" t="shared"/>
        <v>14808</v>
      </c>
    </row>
    <row r="15" spans="1:21" x14ac:dyDescent="0.25">
      <c r="A15" s="4" t="s">
        <v>5</v>
      </c>
      <c r="B15" s="10" t="n">
        <v>7051.7407680964</v>
      </c>
      <c r="C15" s="10" t="n">
        <v>544.991294167</v>
      </c>
      <c r="D15" s="10" t="n">
        <v>379.107286504</v>
      </c>
      <c r="E15" s="10" t="n">
        <v>675.720852158</v>
      </c>
      <c r="F15" s="10" t="n">
        <v>7398.622242348</v>
      </c>
      <c r="G15" s="10" t="n">
        <v>294.711832887</v>
      </c>
      <c r="H15" s="10" t="n">
        <v>6148.3804042316</v>
      </c>
      <c r="I15" s="10" t="n">
        <v>0.0</v>
      </c>
      <c r="J15" s="6">
        <f si="1" t="shared"/>
        <v>22493.274680391998</v>
      </c>
      <c r="K15" s="6"/>
      <c r="L15" s="4" t="s">
        <v>5</v>
      </c>
      <c r="M15" s="8" t="n">
        <v>30767.0</v>
      </c>
      <c r="N15" s="8" t="n">
        <v>15412.0</v>
      </c>
      <c r="O15" s="8" t="n">
        <v>8525.0</v>
      </c>
      <c r="P15" s="8" t="n">
        <v>0.0</v>
      </c>
      <c r="Q15" s="8" t="n">
        <v>2758.0</v>
      </c>
      <c r="R15" s="8" t="n">
        <v>4550.0</v>
      </c>
      <c r="S15" s="8" t="n">
        <v>5351.0</v>
      </c>
      <c r="T15" s="8" t="n">
        <v>0.0</v>
      </c>
      <c r="U15" s="6">
        <f si="0" t="shared"/>
        <v>68107</v>
      </c>
    </row>
    <row ht="15.75" r="16" spans="1:21" thickBot="1" x14ac:dyDescent="0.3">
      <c r="A16" s="12" t="s">
        <v>7</v>
      </c>
      <c r="B16" s="16">
        <f ref="B16:J16" si="2" t="shared">SUM(B5:B15)</f>
        <v>331623.29817927972</v>
      </c>
      <c r="C16" s="16">
        <f si="2" t="shared"/>
        <v>118563.65624046621</v>
      </c>
      <c r="D16" s="16">
        <f si="2" t="shared"/>
        <v>45595.826024648697</v>
      </c>
      <c r="E16" s="16">
        <f si="2" t="shared"/>
        <v>22596.513387521001</v>
      </c>
      <c r="F16" s="16">
        <f si="2" t="shared"/>
        <v>67901.5943900766</v>
      </c>
      <c r="G16" s="16">
        <f si="2" t="shared"/>
        <v>9920.7305179180003</v>
      </c>
      <c r="H16" s="16">
        <f si="2" t="shared"/>
        <v>6148.3804042315996</v>
      </c>
      <c r="I16" s="16">
        <f si="2" t="shared"/>
        <v>3227.7902673939998</v>
      </c>
      <c r="J16" s="16">
        <f si="2" t="shared"/>
        <v>605577.78941153572</v>
      </c>
      <c r="L16" s="9" t="s">
        <v>7</v>
      </c>
      <c r="M16" s="16">
        <f ref="M16:U16" si="3" t="shared">SUM(M5:M15)</f>
        <v>750841</v>
      </c>
      <c r="N16" s="16">
        <f si="3" t="shared"/>
        <v>234338</v>
      </c>
      <c r="O16" s="16">
        <f si="3" t="shared"/>
        <v>134946</v>
      </c>
      <c r="P16" s="16">
        <f si="3" t="shared"/>
        <v>11398</v>
      </c>
      <c r="Q16" s="16">
        <f si="3" t="shared"/>
        <v>22131</v>
      </c>
      <c r="R16" s="16">
        <f si="3" t="shared"/>
        <v>17473</v>
      </c>
      <c r="S16" s="16">
        <f si="3" t="shared"/>
        <v>5072</v>
      </c>
      <c r="T16" s="16">
        <f si="3" t="shared"/>
        <v>0</v>
      </c>
      <c r="U16" s="16">
        <f si="3" t="shared"/>
        <v>1176199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0.9787356895404733</v>
      </c>
      <c r="C22" s="13">
        <f si="4" t="shared"/>
        <v>0.52065886798053895</v>
      </c>
      <c r="D22" s="13">
        <f si="4" t="shared"/>
        <v>0.32972336207545727</v>
      </c>
      <c r="E22" s="13">
        <f si="4" t="shared"/>
        <v>0.42870535753125588</v>
      </c>
      <c r="F22" s="13">
        <f si="4" t="shared"/>
        <v>3.084983716989325E-2</v>
      </c>
      <c r="G22" s="13">
        <f si="4" t="shared"/>
        <v>0</v>
      </c>
      <c r="H22" s="13">
        <f si="4" t="shared"/>
        <v>0</v>
      </c>
      <c r="I22" s="13">
        <f si="4" t="shared"/>
        <v>0.14285714285714288</v>
      </c>
      <c r="J22" s="13">
        <f si="4" t="shared"/>
        <v>0.68295090261638258</v>
      </c>
      <c r="K22" s="6"/>
      <c r="L22" t="s">
        <v>1</v>
      </c>
      <c r="M22" s="13">
        <f ref="M22:P22" si="5" t="shared">M5/M$16</f>
        <v>0.95696159373289413</v>
      </c>
      <c r="N22" s="13">
        <f si="5" t="shared"/>
        <v>0.42432725379579922</v>
      </c>
      <c r="O22" s="13">
        <f si="5" t="shared"/>
        <v>0.28497324855868272</v>
      </c>
      <c r="P22" s="13">
        <f si="5" t="shared"/>
        <v>0.96420424635901036</v>
      </c>
      <c r="Q22" s="13">
        <f ref="Q22:U33" si="6" t="shared">Q5/Q$16</f>
        <v>4.8709954362658715E-2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0.7383835558438665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0.47417325949676226</v>
      </c>
      <c r="D23" s="13">
        <f si="7" t="shared"/>
        <v>0.21378057122258487</v>
      </c>
      <c r="E23" s="13">
        <f si="7" t="shared"/>
        <v>4.8286006085016688E-2</v>
      </c>
      <c r="F23" s="13">
        <f si="7" t="shared"/>
        <v>7.3278445541997042E-2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0.11895092092126902</v>
      </c>
      <c r="K23" s="6"/>
      <c r="L23" t="s">
        <v>12</v>
      </c>
      <c r="M23" s="13">
        <f ref="M23:P23" si="8" t="shared">M6/M$16</f>
        <v>0</v>
      </c>
      <c r="N23" s="13">
        <f si="8" t="shared"/>
        <v>0.50705391357782348</v>
      </c>
      <c r="O23" s="13">
        <f si="8" t="shared"/>
        <v>0.14612511671335202</v>
      </c>
      <c r="P23" s="13">
        <f si="8" t="shared"/>
        <v>3.579575364098965E-2</v>
      </c>
      <c r="Q23" s="13">
        <f si="6" t="shared"/>
        <v>7.9887939993674037E-2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0.11963706821719794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0.44818154935339499</v>
      </c>
      <c r="E24" s="13">
        <f si="9" t="shared"/>
        <v>2.9447737530404951E-2</v>
      </c>
      <c r="F24" s="13">
        <f si="9" t="shared"/>
        <v>1.3180490245907912E-2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3.6321676313503685E-2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0.50181554103122727</v>
      </c>
      <c r="P24" s="13">
        <f si="10" t="shared"/>
        <v>0</v>
      </c>
      <c r="Q24" s="13">
        <f si="6" t="shared"/>
        <v>3.5199493922552075E-2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5.823589375607359E-2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0.46365713270278136</v>
      </c>
      <c r="F25" s="13">
        <f si="11" t="shared"/>
        <v>0.76751090349922502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0.10335955142365277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</v>
      </c>
      <c r="Q25" s="13">
        <f si="6" t="shared"/>
        <v>0.70417062039672862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1.3249458637526473E-2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0.85714285714285721</v>
      </c>
      <c r="J30" s="13">
        <f si="21" t="shared"/>
        <v>4.5686572731481641E-3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5.7125909622280453E-4</v>
      </c>
      <c r="D31" s="13">
        <f si="23" t="shared"/>
        <v>0</v>
      </c>
      <c r="E31" s="13">
        <f si="23" t="shared"/>
        <v>0</v>
      </c>
      <c r="F31" s="13">
        <f si="23" t="shared"/>
        <v>6.2193733796436059E-3</v>
      </c>
      <c r="G31" s="13">
        <f si="23" t="shared"/>
        <v>0.97029333350455227</v>
      </c>
      <c r="H31" s="13">
        <f si="23" t="shared"/>
        <v>0</v>
      </c>
      <c r="I31" s="13">
        <f si="23" t="shared"/>
        <v>0</v>
      </c>
      <c r="J31" s="13">
        <f si="23" t="shared"/>
        <v>1.6704797959243151E-2</v>
      </c>
      <c r="K31" s="6"/>
      <c r="L31" t="s">
        <v>4</v>
      </c>
      <c r="M31" s="13">
        <f ref="M31:P31" si="24" t="shared">M14/M$16</f>
        <v>6.7657466760605777E-4</v>
      </c>
      <c r="N31" s="13">
        <f si="24" t="shared"/>
        <v>2.6670877109132964E-3</v>
      </c>
      <c r="O31" s="13">
        <f si="24" t="shared"/>
        <v>2.9641486224119278E-3</v>
      </c>
      <c r="P31" s="13">
        <f si="24" t="shared"/>
        <v>0</v>
      </c>
      <c r="Q31" s="13">
        <f si="6" t="shared"/>
        <v>6.9585649089512445E-3</v>
      </c>
      <c r="R31" s="13">
        <f si="6" t="shared"/>
        <v>0.75093000629542728</v>
      </c>
      <c r="S31" s="13">
        <f si="6" t="shared"/>
        <v>0</v>
      </c>
      <c r="T31" s="13" t="e">
        <f si="6" t="shared"/>
        <v>#DIV/0!</v>
      </c>
      <c r="U31" s="13">
        <f si="6" t="shared"/>
        <v>1.2589706333707136E-2</v>
      </c>
    </row>
    <row r="32" spans="1:21" x14ac:dyDescent="0.25">
      <c r="A32" s="4" t="s">
        <v>5</v>
      </c>
      <c r="B32" s="14">
        <f ref="B32:J32" si="25" t="shared">B15/B$16</f>
        <v>2.1264310459526699E-2</v>
      </c>
      <c r="C32" s="14">
        <f si="25" t="shared"/>
        <v>4.5966134264758991E-3</v>
      </c>
      <c r="D32" s="14">
        <f si="25" t="shared"/>
        <v>8.3145173485629584E-3</v>
      </c>
      <c r="E32" s="14">
        <f si="25" t="shared"/>
        <v>2.9903766150541126E-2</v>
      </c>
      <c r="F32" s="14">
        <f si="25" t="shared"/>
        <v>0.10896095016333318</v>
      </c>
      <c r="G32" s="14">
        <f si="25" t="shared"/>
        <v>2.9706666495447686E-2</v>
      </c>
      <c r="H32" s="14">
        <f si="25" t="shared"/>
        <v>1</v>
      </c>
      <c r="I32" s="14">
        <f si="25" t="shared"/>
        <v>0</v>
      </c>
      <c r="J32" s="14">
        <f si="25" t="shared"/>
        <v>3.7143493492800682E-2</v>
      </c>
      <c r="K32" s="6"/>
      <c r="L32" s="4" t="s">
        <v>5</v>
      </c>
      <c r="M32" s="14">
        <f ref="M32:P32" si="26" t="shared">M15/M$16</f>
        <v>4.2361831599499758E-2</v>
      </c>
      <c r="N32" s="14">
        <f si="26" t="shared"/>
        <v>6.5951744915463989E-2</v>
      </c>
      <c r="O32" s="14">
        <f si="26" t="shared"/>
        <v>6.4121945074326031E-2</v>
      </c>
      <c r="P32" s="14">
        <f si="26" t="shared"/>
        <v>0</v>
      </c>
      <c r="Q32" s="14">
        <f si="6" t="shared"/>
        <v>0.12507342641543537</v>
      </c>
      <c r="R32" s="14">
        <f si="6" t="shared"/>
        <v>0.24906999370457278</v>
      </c>
      <c r="S32" s="14">
        <f si="6" t="shared"/>
        <v>1</v>
      </c>
      <c r="T32" s="14" t="e">
        <f si="6" t="shared"/>
        <v>#DIV/0!</v>
      </c>
      <c r="U32" s="14">
        <f si="6" t="shared"/>
        <v>5.7904317211628302E-2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-2.1774095807579164E-2</v>
      </c>
      <c r="N39" s="13">
        <f si="29" t="shared"/>
        <v>-9.6331614184739733E-2</v>
      </c>
      <c r="O39" s="13">
        <f si="29" t="shared"/>
        <v>-4.4750113516774548E-2</v>
      </c>
      <c r="P39" s="13">
        <f si="29" t="shared"/>
        <v>0.53549888882775454</v>
      </c>
      <c r="Q39" s="13">
        <f ref="Q39:Q50" si="30" t="shared">Q22-F22</f>
        <v>1.7860117192765465E-2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5.5432653227483919E-2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3.2880654081061222E-2</v>
      </c>
      <c r="O40" s="13">
        <f si="29" t="shared"/>
        <v>-6.7655454509232854E-2</v>
      </c>
      <c r="P40" s="13">
        <f si="29" t="shared"/>
        <v>-1.2490252444027038E-2</v>
      </c>
      <c r="Q40" s="13">
        <f si="30" t="shared"/>
        <v>6.6094944516769949E-3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6.8614729592891832E-4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5.3633991677832282E-2</v>
      </c>
      <c r="P41" s="13">
        <f si="29" t="shared"/>
        <v>-2.9447737530404951E-2</v>
      </c>
      <c r="Q41" s="13">
        <f si="30" t="shared"/>
        <v>2.2019003676644163E-2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2.1914217442569904E-2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-0.46365713270278136</v>
      </c>
      <c r="Q42" s="13">
        <f si="30" t="shared"/>
        <v>-6.3340283102496397E-2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-9.0110092786126306E-2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0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0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-4.5686572731481641E-3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6.7657466760605777E-4</v>
      </c>
      <c r="N48" s="13">
        <f si="39" t="shared"/>
        <v>2.0958286146904918E-3</v>
      </c>
      <c r="O48" s="13">
        <f si="39" t="shared"/>
        <v>2.9641486224119278E-3</v>
      </c>
      <c r="P48" s="13">
        <f si="39" t="shared"/>
        <v>0</v>
      </c>
      <c r="Q48" s="13">
        <f si="30" t="shared"/>
        <v>7.3919152930763867E-4</v>
      </c>
      <c r="R48" s="13">
        <f si="31" t="shared"/>
        <v>-0.21936332720912499</v>
      </c>
      <c r="S48" s="13">
        <f si="32" t="shared"/>
        <v>0</v>
      </c>
      <c r="T48" s="13" t="e">
        <f si="33" t="shared"/>
        <v>#DIV/0!</v>
      </c>
      <c r="U48" s="13">
        <f si="34" t="shared"/>
        <v>-4.1150916255360149E-3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2.1097521139973058E-2</v>
      </c>
      <c r="N49" s="17">
        <f si="39" t="shared"/>
        <v>6.1355131488988093E-2</v>
      </c>
      <c r="O49" s="17">
        <f si="39" t="shared"/>
        <v>5.5807427725763074E-2</v>
      </c>
      <c r="P49" s="17">
        <f si="39" t="shared"/>
        <v>-2.9903766150541126E-2</v>
      </c>
      <c r="Q49" s="17">
        <f si="30" t="shared"/>
        <v>1.6112476252102187E-2</v>
      </c>
      <c r="R49" s="17">
        <f si="31" t="shared"/>
        <v>0.2193633272091251</v>
      </c>
      <c r="S49" s="17">
        <f si="32" t="shared"/>
        <v>0</v>
      </c>
      <c r="T49" s="17" t="e">
        <f si="33" t="shared"/>
        <v>#DIV/0!</v>
      </c>
      <c r="U49" s="13">
        <f si="34" t="shared"/>
        <v>2.076082371882762E-2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31305.6296479824</v>
      </c>
      <c r="C5" s="6" t="n">
        <v>333.625875</v>
      </c>
      <c r="D5" s="6" t="n">
        <v>424.695</v>
      </c>
      <c r="E5" s="6" t="n">
        <v>445.245</v>
      </c>
      <c r="F5" s="6" t="n">
        <v>20.4375</v>
      </c>
      <c r="G5" s="6" t="n">
        <v>0.0</v>
      </c>
      <c r="H5" s="6" t="n">
        <v>0.0</v>
      </c>
      <c r="I5" s="6" t="n">
        <v>0.0</v>
      </c>
      <c r="J5" s="6">
        <f>SUM(B5:I5)</f>
        <v>32529.633022982402</v>
      </c>
      <c r="K5" s="6"/>
      <c r="L5" t="s">
        <v>1</v>
      </c>
      <c r="M5" s="6" t="n">
        <v>41946.0</v>
      </c>
      <c r="N5" s="6" t="n">
        <v>2477.0</v>
      </c>
      <c r="O5" s="6" t="n">
        <v>2158.0</v>
      </c>
      <c r="P5" s="6" t="n">
        <v>0.0</v>
      </c>
      <c r="Q5" s="6" t="n">
        <v>313.0</v>
      </c>
      <c r="R5" s="6" t="n">
        <v>0.0</v>
      </c>
      <c r="S5" s="6" t="n">
        <v>0.0</v>
      </c>
      <c r="T5" s="6" t="n">
        <v>179.0</v>
      </c>
      <c r="U5" s="6">
        <f ref="U5:U15" si="0" t="shared">SUM(M5:T5)</f>
        <v>48279</v>
      </c>
    </row>
    <row r="6" spans="1:21" x14ac:dyDescent="0.25">
      <c r="A6" t="s">
        <v>12</v>
      </c>
      <c r="B6" s="6" t="n">
        <v>0.0</v>
      </c>
      <c r="C6" s="6" t="n">
        <v>44745.612625174</v>
      </c>
      <c r="D6" s="6" t="n">
        <v>18707.83560396</v>
      </c>
      <c r="E6" s="6" t="n">
        <v>0.0</v>
      </c>
      <c r="F6" s="6" t="n">
        <v>419.3737753601</v>
      </c>
      <c r="G6" s="6" t="n">
        <v>0.0</v>
      </c>
      <c r="H6" s="6" t="n">
        <v>0.0</v>
      </c>
      <c r="I6" s="6" t="n">
        <v>3607.043625</v>
      </c>
      <c r="J6" s="6">
        <f ref="J6:J15" si="1" t="shared">SUM(B6:I6)</f>
        <v>67479.865629494103</v>
      </c>
      <c r="K6" s="6"/>
      <c r="L6" t="s">
        <v>12</v>
      </c>
      <c r="M6" s="6" t="n">
        <v>0.0</v>
      </c>
      <c r="N6" s="6" t="n">
        <v>47496.0</v>
      </c>
      <c r="O6" s="6" t="n">
        <v>16150.0</v>
      </c>
      <c r="P6" s="6" t="n">
        <v>0.0</v>
      </c>
      <c r="Q6" s="6" t="n">
        <v>1072.0</v>
      </c>
      <c r="R6" s="6" t="n">
        <v>0.0</v>
      </c>
      <c r="S6" s="6" t="n">
        <v>0.0</v>
      </c>
      <c r="T6" s="6" t="n">
        <v>9548.0</v>
      </c>
      <c r="U6" s="6">
        <f si="0" t="shared"/>
        <v>75552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56068.65294852</v>
      </c>
      <c r="E7" s="6" t="n">
        <v>0.0</v>
      </c>
      <c r="F7" s="6" t="n">
        <v>1272.43726132</v>
      </c>
      <c r="G7" s="6" t="n">
        <v>0.0</v>
      </c>
      <c r="H7" s="6" t="n">
        <v>0.0</v>
      </c>
      <c r="I7" s="6" t="n">
        <v>4928.25125</v>
      </c>
      <c r="J7" s="6">
        <f si="1" t="shared"/>
        <v>62269.341459840005</v>
      </c>
      <c r="K7" s="6"/>
      <c r="L7" t="s">
        <v>56</v>
      </c>
      <c r="M7" s="6" t="n">
        <v>0.0</v>
      </c>
      <c r="N7" s="6" t="n">
        <v>0.0</v>
      </c>
      <c r="O7" s="6" t="n">
        <v>68692.0</v>
      </c>
      <c r="P7" s="6" t="n">
        <v>0.0</v>
      </c>
      <c r="Q7" s="6" t="n">
        <v>508.0</v>
      </c>
      <c r="R7" s="6" t="n">
        <v>0.0</v>
      </c>
      <c r="S7" s="6" t="n">
        <v>0.0</v>
      </c>
      <c r="T7" s="6" t="n">
        <v>9482.0</v>
      </c>
      <c r="U7" s="6">
        <f si="0" t="shared"/>
        <v>79527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657.5925</v>
      </c>
      <c r="F8" s="6" t="n">
        <v>12973.4640500081</v>
      </c>
      <c r="G8" s="6" t="n">
        <v>0.0</v>
      </c>
      <c r="H8" s="6" t="n">
        <v>0.0</v>
      </c>
      <c r="I8" s="6" t="n">
        <v>367.9275</v>
      </c>
      <c r="J8" s="6">
        <f si="1" t="shared"/>
        <v>13998.984050008101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6361.0</v>
      </c>
      <c r="R8" s="6" t="n">
        <v>0.0</v>
      </c>
      <c r="S8" s="6" t="n">
        <v>0.0</v>
      </c>
      <c r="T8" s="6" t="n">
        <v>101.0</v>
      </c>
      <c r="U8" s="6">
        <f si="0" t="shared"/>
        <v>6659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31303.3115</v>
      </c>
      <c r="J13" s="6">
        <f si="1" t="shared"/>
        <v>31303.3115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55961.0</v>
      </c>
      <c r="U13" s="6">
        <f si="0" t="shared"/>
        <v>56700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406.5105</v>
      </c>
      <c r="E14" s="6" t="n">
        <v>0.0</v>
      </c>
      <c r="F14" s="6" t="n">
        <v>52.736250000000005</v>
      </c>
      <c r="G14" s="6" t="n">
        <v>3418.6885</v>
      </c>
      <c r="H14" s="6" t="n">
        <v>0.0</v>
      </c>
      <c r="I14" s="6" t="n">
        <v>0.0</v>
      </c>
      <c r="J14" s="6">
        <f si="1" t="shared"/>
        <v>3877.93525</v>
      </c>
      <c r="K14" s="6"/>
      <c r="L14" t="s">
        <v>4</v>
      </c>
      <c r="M14" s="6" t="n">
        <v>87.0</v>
      </c>
      <c r="N14" s="6" t="n">
        <v>477.0</v>
      </c>
      <c r="O14" s="6" t="n">
        <v>515.0</v>
      </c>
      <c r="P14" s="6" t="n">
        <v>0.0</v>
      </c>
      <c r="Q14" s="6" t="n">
        <v>168.0</v>
      </c>
      <c r="R14" s="6" t="n">
        <v>3429.0</v>
      </c>
      <c r="S14" s="6" t="n">
        <v>0.0</v>
      </c>
      <c r="T14" s="6" t="n">
        <v>475.0</v>
      </c>
      <c r="U14" s="6">
        <f si="0" t="shared"/>
        <v>5337</v>
      </c>
    </row>
    <row r="15" spans="1:21" x14ac:dyDescent="0.25">
      <c r="A15" s="4" t="s">
        <v>5</v>
      </c>
      <c r="B15" s="10" t="n">
        <v>1437.100442642</v>
      </c>
      <c r="C15" s="10" t="n">
        <v>5060.518125</v>
      </c>
      <c r="D15" s="10" t="n">
        <v>4843.695125</v>
      </c>
      <c r="E15" s="10" t="n">
        <v>217.48499999999999</v>
      </c>
      <c r="F15" s="10" t="n">
        <v>582.372921687</v>
      </c>
      <c r="G15" s="10" t="n">
        <v>0.0</v>
      </c>
      <c r="H15" s="10" t="n">
        <v>3568.292256712</v>
      </c>
      <c r="I15" s="10" t="n">
        <v>1013.776875</v>
      </c>
      <c r="J15" s="6">
        <f si="1" t="shared"/>
        <v>16723.240746041</v>
      </c>
      <c r="K15" s="6"/>
      <c r="L15" s="4" t="s">
        <v>5</v>
      </c>
      <c r="M15" s="8" t="n">
        <v>430.0</v>
      </c>
      <c r="N15" s="8" t="n">
        <v>1539.0</v>
      </c>
      <c r="O15" s="8" t="n">
        <v>1858.0</v>
      </c>
      <c r="P15" s="8" t="n">
        <v>0.0</v>
      </c>
      <c r="Q15" s="8" t="n">
        <v>931.0</v>
      </c>
      <c r="R15" s="8" t="n">
        <v>183.0</v>
      </c>
      <c r="S15" s="8" t="n">
        <v>7487.0</v>
      </c>
      <c r="T15" s="8" t="n">
        <v>2284.0</v>
      </c>
      <c r="U15" s="6">
        <f si="0" t="shared"/>
        <v>14312</v>
      </c>
    </row>
    <row ht="15.75" r="16" spans="1:21" thickBot="1" x14ac:dyDescent="0.3">
      <c r="A16" s="12" t="s">
        <v>7</v>
      </c>
      <c r="B16" s="16">
        <f ref="B16:J16" si="2" t="shared">SUM(B5:B15)</f>
        <v>32742.730090624402</v>
      </c>
      <c r="C16" s="16">
        <f si="2" t="shared"/>
        <v>50139.756625173999</v>
      </c>
      <c r="D16" s="16">
        <f si="2" t="shared"/>
        <v>80451.389177479999</v>
      </c>
      <c r="E16" s="16">
        <f si="2" t="shared"/>
        <v>1320.3225</v>
      </c>
      <c r="F16" s="16">
        <f si="2" t="shared"/>
        <v>15320.821758375201</v>
      </c>
      <c r="G16" s="16">
        <f si="2" t="shared"/>
        <v>3418.6885000000002</v>
      </c>
      <c r="H16" s="16">
        <f si="2" t="shared"/>
        <v>3568.2922567119999</v>
      </c>
      <c r="I16" s="16">
        <f si="2" t="shared"/>
        <v>41220.310750000004</v>
      </c>
      <c r="J16" s="16">
        <f si="2" t="shared"/>
        <v>228182.31165836562</v>
      </c>
      <c r="L16" s="9" t="s">
        <v>7</v>
      </c>
      <c r="M16" s="16">
        <f ref="M16:U16" si="3" t="shared">SUM(M5:M15)</f>
        <v>43470</v>
      </c>
      <c r="N16" s="16">
        <f si="3" t="shared"/>
        <v>52983</v>
      </c>
      <c r="O16" s="16">
        <f si="3" t="shared"/>
        <v>90479</v>
      </c>
      <c r="P16" s="16">
        <f si="3" t="shared"/>
        <v>0</v>
      </c>
      <c r="Q16" s="16">
        <f si="3" t="shared"/>
        <v>9702</v>
      </c>
      <c r="R16" s="16">
        <f si="3" t="shared"/>
        <v>3727</v>
      </c>
      <c r="S16" s="16">
        <f si="3" t="shared"/>
        <v>7063</v>
      </c>
      <c r="T16" s="16">
        <f si="3" t="shared"/>
        <v>78942</v>
      </c>
      <c r="U16" s="16">
        <f si="3" t="shared"/>
        <v>286366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0.95610932751592692</v>
      </c>
      <c r="C22" s="13">
        <f si="4" t="shared"/>
        <v>6.6539189149652607E-3</v>
      </c>
      <c r="D22" s="13">
        <f si="4" t="shared"/>
        <v>5.2789020095489027E-3</v>
      </c>
      <c r="E22" s="13">
        <f si="4" t="shared"/>
        <v>0.33722442812267456</v>
      </c>
      <c r="F22" s="13">
        <f si="4" t="shared"/>
        <v>1.3339689164406435E-3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0.14255983641574174</v>
      </c>
      <c r="K22" s="6"/>
      <c r="L22" t="s">
        <v>1</v>
      </c>
      <c r="M22" s="13">
        <f ref="M22:P22" si="5" t="shared">M5/M$16</f>
        <v>0.98909592822636305</v>
      </c>
      <c r="N22" s="13">
        <f si="5" t="shared"/>
        <v>4.8921352131815865E-2</v>
      </c>
      <c r="O22" s="13">
        <f si="5" t="shared"/>
        <v>2.3408746781021009E-2</v>
      </c>
      <c r="P22" s="13" t="e">
        <f si="5" t="shared"/>
        <v>#DIV/0!</v>
      </c>
      <c r="Q22" s="13">
        <f ref="Q22:U33" si="6" t="shared">Q5/Q$16</f>
        <v>3.7311894454751596E-2</v>
      </c>
      <c r="R22" s="13">
        <f si="6" t="shared"/>
        <v>0</v>
      </c>
      <c r="S22" s="13">
        <f si="6" t="shared"/>
        <v>0</v>
      </c>
      <c r="T22" s="13">
        <f si="6" t="shared"/>
        <v>2.6728484203592511E-3</v>
      </c>
      <c r="U22" s="13">
        <f si="6" t="shared"/>
        <v>0.168591941780798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0.89241782643014012</v>
      </c>
      <c r="D23" s="13">
        <f si="7" t="shared"/>
        <v>0.23253589273256089</v>
      </c>
      <c r="E23" s="13">
        <f si="7" t="shared"/>
        <v>0</v>
      </c>
      <c r="F23" s="13">
        <f si="7" t="shared"/>
        <v>2.7372799055693425E-2</v>
      </c>
      <c r="G23" s="13">
        <f si="7" t="shared"/>
        <v>0</v>
      </c>
      <c r="H23" s="13">
        <f si="7" t="shared"/>
        <v>0</v>
      </c>
      <c r="I23" s="13">
        <f si="7" t="shared"/>
        <v>8.7506463667307494E-2</v>
      </c>
      <c r="J23" s="13">
        <f si="7" t="shared"/>
        <v>0.29572785523588219</v>
      </c>
      <c r="K23" s="6"/>
      <c r="L23" t="s">
        <v>12</v>
      </c>
      <c r="M23" s="13">
        <f ref="M23:P23" si="8" t="shared">M6/M$16</f>
        <v>0</v>
      </c>
      <c r="N23" s="13">
        <f si="8" t="shared"/>
        <v>0.91382141441594478</v>
      </c>
      <c r="O23" s="13">
        <f si="8" t="shared"/>
        <v>0.18133489539009051</v>
      </c>
      <c r="P23" s="13" t="e">
        <f si="8" t="shared"/>
        <v>#DIV/0!</v>
      </c>
      <c r="Q23" s="13">
        <f si="6" t="shared"/>
        <v>0.11224489795918367</v>
      </c>
      <c r="R23" s="13">
        <f si="6" t="shared"/>
        <v>0</v>
      </c>
      <c r="S23" s="13">
        <f si="6" t="shared"/>
        <v>0</v>
      </c>
      <c r="T23" s="13">
        <f si="6" t="shared"/>
        <v>0.12210230295660104</v>
      </c>
      <c r="U23" s="13">
        <f si="6" t="shared"/>
        <v>0.26383020330625845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0.69692585201766499</v>
      </c>
      <c r="E24" s="13">
        <f si="9" t="shared"/>
        <v>0</v>
      </c>
      <c r="F24" s="13">
        <f si="9" t="shared"/>
        <v>8.3052807570482709E-2</v>
      </c>
      <c r="G24" s="13">
        <f si="9" t="shared"/>
        <v>0</v>
      </c>
      <c r="H24" s="13">
        <f si="9" t="shared"/>
        <v>0</v>
      </c>
      <c r="I24" s="13">
        <f si="9" t="shared"/>
        <v>0.11955880876031484</v>
      </c>
      <c r="J24" s="13">
        <f si="9" t="shared"/>
        <v>0.27289293813917359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0.76813404215342784</v>
      </c>
      <c r="P24" s="13" t="e">
        <f si="10" t="shared"/>
        <v>#DIV/0!</v>
      </c>
      <c r="Q24" s="13">
        <f si="6" t="shared"/>
        <v>5.328798185941043E-2</v>
      </c>
      <c r="R24" s="13">
        <f si="6" t="shared"/>
        <v>0</v>
      </c>
      <c r="S24" s="13">
        <f si="6" t="shared"/>
        <v>0</v>
      </c>
      <c r="T24" s="13">
        <f si="6" t="shared"/>
        <v>0.12046819183704492</v>
      </c>
      <c r="U24" s="13">
        <f si="6" t="shared"/>
        <v>0.27771104111521622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0.49805445260532938</v>
      </c>
      <c r="F25" s="13">
        <f si="11" t="shared"/>
        <v>0.84678643578084145</v>
      </c>
      <c r="G25" s="13">
        <f si="11" t="shared"/>
        <v>0</v>
      </c>
      <c r="H25" s="13">
        <f si="11" t="shared"/>
        <v>0</v>
      </c>
      <c r="I25" s="13">
        <f si="11" t="shared"/>
        <v>8.9258788520899246E-3</v>
      </c>
      <c r="J25" s="13">
        <f si="11" t="shared"/>
        <v>6.1349996624485814E-2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0.67759224902082049</v>
      </c>
      <c r="R25" s="13">
        <f si="6" t="shared"/>
        <v>0</v>
      </c>
      <c r="S25" s="13">
        <f si="6" t="shared"/>
        <v>0</v>
      </c>
      <c r="T25" s="13">
        <f si="6" t="shared"/>
        <v>1.0767398849788451E-3</v>
      </c>
      <c r="U25" s="13">
        <f si="6" t="shared"/>
        <v>2.3253458860339565E-2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>
        <f si="6" t="shared"/>
        <v>0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>
        <f si="6" t="shared"/>
        <v>0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0.75941473827923522</v>
      </c>
      <c r="J30" s="13">
        <f si="21" t="shared"/>
        <v>0.13718553060706692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0.71824884092118269</v>
      </c>
      <c r="U30" s="13">
        <f si="6" t="shared"/>
        <v>0.19799836572777493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5.0528711083312238E-3</v>
      </c>
      <c r="E31" s="13">
        <f si="23" t="shared"/>
        <v>0</v>
      </c>
      <c r="F31" s="13">
        <f si="23" t="shared"/>
        <v>3.4421293342944532E-3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1.6994898604612445E-2</v>
      </c>
      <c r="K31" s="6"/>
      <c r="L31" t="s">
        <v>4</v>
      </c>
      <c r="M31" s="13">
        <f ref="M31:P31" si="24" t="shared">M14/M$16</f>
        <v>2.047389003910743E-3</v>
      </c>
      <c r="N31" s="13">
        <f si="24" t="shared"/>
        <v>9.0217616971481427E-3</v>
      </c>
      <c r="O31" s="13">
        <f si="24" t="shared"/>
        <v>6.2998043744957391E-3</v>
      </c>
      <c r="P31" s="13" t="e">
        <f si="24" t="shared"/>
        <v>#DIV/0!</v>
      </c>
      <c r="Q31" s="13">
        <f si="6" t="shared"/>
        <v>1.7831374974232116E-2</v>
      </c>
      <c r="R31" s="13">
        <f si="6" t="shared"/>
        <v>0.95707002951435471</v>
      </c>
      <c r="S31" s="13">
        <f si="6" t="shared"/>
        <v>0</v>
      </c>
      <c r="T31" s="13">
        <f si="6" t="shared"/>
        <v>5.8270629069443391E-3</v>
      </c>
      <c r="U31" s="13">
        <f si="6" t="shared"/>
        <v>1.863698902802707E-2</v>
      </c>
    </row>
    <row r="32" spans="1:21" x14ac:dyDescent="0.25">
      <c r="A32" s="4" t="s">
        <v>5</v>
      </c>
      <c r="B32" s="14">
        <f ref="B32:J32" si="25" t="shared">B15/B$16</f>
        <v>4.3890672484073079E-2</v>
      </c>
      <c r="C32" s="14">
        <f si="25" t="shared"/>
        <v>0.10092825465489459</v>
      </c>
      <c r="D32" s="14">
        <f si="25" t="shared"/>
        <v>6.0206482131894001E-2</v>
      </c>
      <c r="E32" s="14">
        <f si="25" t="shared"/>
        <v>0.16472111927199604</v>
      </c>
      <c r="F32" s="14">
        <f si="25" t="shared"/>
        <v>3.8011859342247295E-2</v>
      </c>
      <c r="G32" s="14">
        <f si="25" t="shared"/>
        <v>0</v>
      </c>
      <c r="H32" s="14">
        <f si="25" t="shared"/>
        <v>1</v>
      </c>
      <c r="I32" s="14">
        <f si="25" t="shared"/>
        <v>2.4594110441052409E-2</v>
      </c>
      <c r="J32" s="14">
        <f si="25" t="shared"/>
        <v>7.3288944373037221E-2</v>
      </c>
      <c r="K32" s="6"/>
      <c r="L32" s="4" t="s">
        <v>5</v>
      </c>
      <c r="M32" s="14">
        <f ref="M32:P32" si="26" t="shared">M15/M$16</f>
        <v>8.8566827697262474E-3</v>
      </c>
      <c r="N32" s="14">
        <f si="26" t="shared"/>
        <v>2.8235471755091255E-2</v>
      </c>
      <c r="O32" s="14">
        <f si="26" t="shared"/>
        <v>2.0822511300964866E-2</v>
      </c>
      <c r="P32" s="14" t="e">
        <f si="26" t="shared"/>
        <v>#DIV/0!</v>
      </c>
      <c r="Q32" s="14">
        <f si="6" t="shared"/>
        <v>0.10173160173160173</v>
      </c>
      <c r="R32" s="14">
        <f si="6" t="shared"/>
        <v>4.2929970485645293E-2</v>
      </c>
      <c r="S32" s="14">
        <f si="6" t="shared"/>
        <v>1</v>
      </c>
      <c r="T32" s="14">
        <f si="6" t="shared"/>
        <v>2.9604013072888957E-2</v>
      </c>
      <c r="U32" s="14">
        <f si="6" t="shared"/>
        <v>4.9978000181585804E-2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3.2986600710436131E-2</v>
      </c>
      <c r="N39" s="13">
        <f si="29" t="shared"/>
        <v>4.2267433216850607E-2</v>
      </c>
      <c r="O39" s="13">
        <f si="29" t="shared"/>
        <v>1.8129844771472108E-2</v>
      </c>
      <c r="P39" s="13" t="e">
        <f si="29" t="shared"/>
        <v>#DIV/0!</v>
      </c>
      <c r="Q39" s="13">
        <f ref="Q39:Q50" si="30" t="shared">Q22-F22</f>
        <v>3.5977925538310952E-2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2.6728484203592511E-3</v>
      </c>
      <c r="U39" s="13">
        <f ref="U39:U50" si="34" t="shared">U22-J22</f>
        <v>2.6032105365056263E-2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2.1403587985804662E-2</v>
      </c>
      <c r="O40" s="13">
        <f si="29" t="shared"/>
        <v>-5.1200997342470383E-2</v>
      </c>
      <c r="P40" s="13" t="e">
        <f si="29" t="shared"/>
        <v>#DIV/0!</v>
      </c>
      <c r="Q40" s="13">
        <f si="30" t="shared"/>
        <v>8.4872098903490248E-2</v>
      </c>
      <c r="R40" s="13">
        <f si="31" t="shared"/>
        <v>0</v>
      </c>
      <c r="S40" s="13">
        <f si="32" t="shared"/>
        <v>0</v>
      </c>
      <c r="T40" s="13">
        <f si="33" t="shared"/>
        <v>3.4595839289293551E-2</v>
      </c>
      <c r="U40" s="13">
        <f si="34" t="shared"/>
        <v>-3.1897651929623738E-2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7.120819013576285E-2</v>
      </c>
      <c r="P41" s="13" t="e">
        <f si="29" t="shared"/>
        <v>#DIV/0!</v>
      </c>
      <c r="Q41" s="13">
        <f si="30" t="shared"/>
        <v>-2.9764825711072279E-2</v>
      </c>
      <c r="R41" s="13">
        <f si="31" t="shared"/>
        <v>0</v>
      </c>
      <c r="S41" s="13">
        <f si="32" t="shared"/>
        <v>0</v>
      </c>
      <c r="T41" s="13">
        <f si="33" t="shared"/>
        <v>9.0938307673008034E-4</v>
      </c>
      <c r="U41" s="13">
        <f si="34" t="shared"/>
        <v>4.8181029760426264E-3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-0.16919418676002096</v>
      </c>
      <c r="R42" s="13">
        <f si="31" t="shared"/>
        <v>0</v>
      </c>
      <c r="S42" s="13">
        <f si="32" t="shared"/>
        <v>0</v>
      </c>
      <c r="T42" s="13">
        <f si="33" t="shared"/>
        <v>-7.849138967111079E-3</v>
      </c>
      <c r="U42" s="13">
        <f si="34" t="shared"/>
        <v>-3.8096537764146246E-2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>
        <f si="33" t="shared"/>
        <v>0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>
        <f si="33" t="shared"/>
        <v>0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-4.1165897358052539E-2</v>
      </c>
      <c r="U47" s="13">
        <f si="34" t="shared"/>
        <v>6.0812835120708009E-2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2.047389003910743E-3</v>
      </c>
      <c r="N48" s="13">
        <f si="39" t="shared"/>
        <v>9.0217616971481427E-3</v>
      </c>
      <c r="O48" s="13">
        <f si="39" t="shared"/>
        <v>1.2469332661645153E-3</v>
      </c>
      <c r="P48" s="13" t="e">
        <f si="39" t="shared"/>
        <v>#DIV/0!</v>
      </c>
      <c r="Q48" s="13">
        <f si="30" t="shared"/>
        <v>1.4389245639937662E-2</v>
      </c>
      <c r="R48" s="13">
        <f si="31" t="shared"/>
        <v>-4.2929970485645286E-2</v>
      </c>
      <c r="S48" s="13">
        <f si="32" t="shared"/>
        <v>0</v>
      </c>
      <c r="T48" s="13">
        <f si="33" t="shared"/>
        <v>5.8270629069443391E-3</v>
      </c>
      <c r="U48" s="13">
        <f si="34" t="shared"/>
        <v>1.6420904234146251E-3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-3.5033989714346833E-2</v>
      </c>
      <c r="N49" s="17">
        <f si="39" t="shared"/>
        <v>-7.269278289980334E-2</v>
      </c>
      <c r="O49" s="17">
        <f si="39" t="shared"/>
        <v>-3.9383970830929135E-2</v>
      </c>
      <c r="P49" s="17" t="e">
        <f si="39" t="shared"/>
        <v>#DIV/0!</v>
      </c>
      <c r="Q49" s="17">
        <f si="30" t="shared"/>
        <v>6.3719742389354433E-2</v>
      </c>
      <c r="R49" s="17">
        <f si="31" t="shared"/>
        <v>4.2929970485645293E-2</v>
      </c>
      <c r="S49" s="17">
        <f si="32" t="shared"/>
        <v>0</v>
      </c>
      <c r="T49" s="17">
        <f si="33" t="shared"/>
        <v>5.0099026318365485E-3</v>
      </c>
      <c r="U49" s="13">
        <f si="34" t="shared"/>
        <v>-2.3310944191451417E-2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G50"/>
  <sheetViews>
    <sheetView workbookViewId="0" zoomScaleNormal="10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5910.2703807670005</v>
      </c>
      <c r="C5" s="6" t="n">
        <v>58007.3461174507</v>
      </c>
      <c r="D5" s="6" t="n">
        <v>31358.764174781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95276.380672998697</v>
      </c>
      <c r="K5" s="6"/>
      <c r="L5" t="s">
        <v>1</v>
      </c>
      <c r="M5" s="6" t="n">
        <v>60.0</v>
      </c>
      <c r="N5" s="6" t="n">
        <v>50644.0</v>
      </c>
      <c r="O5" s="6" t="n">
        <v>22652.0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74228</v>
      </c>
    </row>
    <row r="6" spans="1:21" x14ac:dyDescent="0.25">
      <c r="A6" t="s">
        <v>12</v>
      </c>
      <c r="B6" s="6" t="n">
        <v>0.0</v>
      </c>
      <c r="C6" s="6" t="n">
        <v>67622.9692503649</v>
      </c>
      <c r="D6" s="6" t="n">
        <v>32442.534029841998</v>
      </c>
      <c r="E6" s="6" t="n">
        <v>0.0</v>
      </c>
      <c r="F6" s="6" t="n">
        <v>224.931595914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100290.4348761209</v>
      </c>
      <c r="K6" s="6"/>
      <c r="L6" t="s">
        <v>12</v>
      </c>
      <c r="M6" s="6" t="n">
        <v>0.0</v>
      </c>
      <c r="N6" s="6" t="n">
        <v>95868.0</v>
      </c>
      <c r="O6" s="6" t="n">
        <v>19706.0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117107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83880.395199966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83880.395199966006</v>
      </c>
      <c r="K7" s="6"/>
      <c r="L7" t="s">
        <v>56</v>
      </c>
      <c r="M7" s="6" t="n">
        <v>0.0</v>
      </c>
      <c r="N7" s="6" t="n">
        <v>0.0</v>
      </c>
      <c r="O7" s="6" t="n">
        <v>73863.0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74334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224.931595914</v>
      </c>
      <c r="G8" s="6" t="n">
        <v>0.0</v>
      </c>
      <c r="H8" s="6" t="n">
        <v>0.0</v>
      </c>
      <c r="I8" s="6" t="n">
        <v>0.0</v>
      </c>
      <c r="J8" s="6">
        <f si="1" t="shared"/>
        <v>224.93159591400001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278.127651608</v>
      </c>
      <c r="D14" s="6" t="n">
        <v>0.0</v>
      </c>
      <c r="E14" s="6" t="n">
        <v>0.0</v>
      </c>
      <c r="F14" s="6" t="n">
        <v>0.0</v>
      </c>
      <c r="G14" s="6" t="n">
        <v>1597.264160492</v>
      </c>
      <c r="H14" s="6" t="n">
        <v>0.0</v>
      </c>
      <c r="I14" s="6" t="n">
        <v>0.0</v>
      </c>
      <c r="J14" s="6">
        <f si="1" t="shared"/>
        <v>1875.3918120999999</v>
      </c>
      <c r="K14" s="6"/>
      <c r="L14" t="s">
        <v>4</v>
      </c>
      <c r="M14" s="6" t="n">
        <v>0.0</v>
      </c>
      <c r="N14" s="6" t="n">
        <v>1202.0</v>
      </c>
      <c r="O14" s="6" t="n">
        <v>915.0</v>
      </c>
      <c r="P14" s="6" t="n">
        <v>0.0</v>
      </c>
      <c r="Q14" s="6" t="n">
        <v>0.0</v>
      </c>
      <c r="R14" s="6" t="n">
        <v>459.0</v>
      </c>
      <c r="S14" s="6" t="n">
        <v>0.0</v>
      </c>
      <c r="T14" s="6" t="n">
        <v>0.0</v>
      </c>
      <c r="U14" s="6">
        <f si="0" t="shared"/>
        <v>2608</v>
      </c>
    </row>
    <row r="15" spans="1:21" x14ac:dyDescent="0.25">
      <c r="A15" s="4" t="s">
        <v>5</v>
      </c>
      <c r="B15" s="10" t="n">
        <v>304.976055362</v>
      </c>
      <c r="C15" s="10" t="n">
        <v>624.392874372</v>
      </c>
      <c r="D15" s="10" t="n">
        <v>17109.916160455</v>
      </c>
      <c r="E15" s="10" t="n">
        <v>0.0</v>
      </c>
      <c r="F15" s="10" t="n">
        <v>0.0</v>
      </c>
      <c r="G15" s="10" t="n">
        <v>0.0</v>
      </c>
      <c r="H15" s="10" t="n">
        <v>3839.3946044748</v>
      </c>
      <c r="I15" s="10" t="n">
        <v>0.0</v>
      </c>
      <c r="J15" s="6">
        <f si="1" t="shared"/>
        <v>21878.679694663799</v>
      </c>
      <c r="K15" s="6"/>
      <c r="L15" s="4" t="s">
        <v>5</v>
      </c>
      <c r="M15" s="8" t="n">
        <v>0.0</v>
      </c>
      <c r="N15" s="8" t="n">
        <v>3986.0</v>
      </c>
      <c r="O15" s="8" t="n">
        <v>2767.0</v>
      </c>
      <c r="P15" s="8" t="n">
        <v>0.0</v>
      </c>
      <c r="Q15" s="8" t="n">
        <v>0.0</v>
      </c>
      <c r="R15" s="8" t="n">
        <v>8.0</v>
      </c>
      <c r="S15" s="8" t="n">
        <v>0.0</v>
      </c>
      <c r="T15" s="8" t="n">
        <v>0.0</v>
      </c>
      <c r="U15" s="6">
        <f si="0" t="shared"/>
        <v>6779</v>
      </c>
    </row>
    <row ht="15.75" r="16" spans="1:21" thickBot="1" x14ac:dyDescent="0.3">
      <c r="A16" s="12" t="s">
        <v>7</v>
      </c>
      <c r="B16" s="16">
        <f ref="B16:J16" si="2" t="shared">SUM(B5:B15)</f>
        <v>6215.2464361290004</v>
      </c>
      <c r="C16" s="16">
        <f si="2" t="shared"/>
        <v>126532.83589379561</v>
      </c>
      <c r="D16" s="16">
        <f si="2" t="shared"/>
        <v>164791.60956504403</v>
      </c>
      <c r="E16" s="16">
        <f si="2" t="shared"/>
        <v>0</v>
      </c>
      <c r="F16" s="16">
        <f si="2" t="shared"/>
        <v>449.86319182800003</v>
      </c>
      <c r="G16" s="16">
        <f si="2" t="shared"/>
        <v>1597.264160492</v>
      </c>
      <c r="H16" s="16">
        <f si="2" t="shared"/>
        <v>3839.3946044748</v>
      </c>
      <c r="I16" s="16">
        <f si="2" t="shared"/>
        <v>0</v>
      </c>
      <c r="J16" s="16">
        <f si="2" t="shared"/>
        <v>303426.21385176346</v>
      </c>
      <c r="L16" s="9" t="s">
        <v>7</v>
      </c>
      <c r="M16" s="16">
        <f ref="M16:U16" si="3" t="shared">SUM(M5:M15)</f>
        <v>76</v>
      </c>
      <c r="N16" s="16">
        <f si="3" t="shared"/>
        <v>154202</v>
      </c>
      <c r="O16" s="16">
        <f si="3" t="shared"/>
        <v>120264</v>
      </c>
      <c r="P16" s="16">
        <f si="3" t="shared"/>
        <v>0</v>
      </c>
      <c r="Q16" s="16">
        <f si="3" t="shared"/>
        <v>0</v>
      </c>
      <c r="R16" s="16">
        <f si="3" t="shared"/>
        <v>514</v>
      </c>
      <c r="S16" s="16">
        <f si="3" t="shared"/>
        <v>0</v>
      </c>
      <c r="T16" s="16">
        <f si="3" t="shared"/>
        <v>0</v>
      </c>
      <c r="U16" s="16">
        <f si="3" t="shared"/>
        <v>275056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0.95093097940748006</v>
      </c>
      <c r="C22" s="13">
        <f si="4" t="shared"/>
        <v>0.45843709822593987</v>
      </c>
      <c r="D22" s="13">
        <f si="4" t="shared"/>
        <v>0.19029345157529728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0.31400181106153618</v>
      </c>
      <c r="K22" s="6"/>
      <c r="L22" t="s">
        <v>1</v>
      </c>
      <c r="M22" s="13">
        <f ref="M22:P22" si="5" t="shared">M5/M$16</f>
        <v>1</v>
      </c>
      <c r="N22" s="13">
        <f si="5" t="shared"/>
        <v>0.33454170503625114</v>
      </c>
      <c r="O22" s="13">
        <f si="5" t="shared"/>
        <v>0.18762888312379433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 t="e">
        <f si="6" t="shared"/>
        <v>#DIV/0!</v>
      </c>
      <c r="T22" s="13" t="e">
        <f si="6" t="shared"/>
        <v>#DIV/0!</v>
      </c>
      <c r="U22" s="13">
        <f si="6" t="shared"/>
        <v>0.26986504566342856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0.53443020361231552</v>
      </c>
      <c r="D23" s="13">
        <f si="7" t="shared"/>
        <v>0.19687005980141711</v>
      </c>
      <c r="E23" s="13" t="e">
        <f si="7" t="shared"/>
        <v>#DIV/0!</v>
      </c>
      <c r="F23" s="13">
        <f si="7" t="shared"/>
        <v>0.5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0.33052660020045932</v>
      </c>
      <c r="K23" s="6"/>
      <c r="L23" t="s">
        <v>12</v>
      </c>
      <c r="M23" s="13">
        <f ref="M23:P23" si="8" t="shared">M6/M$16</f>
        <v>0</v>
      </c>
      <c r="N23" s="13">
        <f si="8" t="shared"/>
        <v>0.63207999896239997</v>
      </c>
      <c r="O23" s="13">
        <f si="8" t="shared"/>
        <v>0.16329907536752478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 t="e">
        <f si="6" t="shared"/>
        <v>#DIV/0!</v>
      </c>
      <c r="T23" s="13" t="e">
        <f si="6" t="shared"/>
        <v>#DIV/0!</v>
      </c>
      <c r="U23" s="13">
        <f si="6" t="shared"/>
        <v>0.4257569367692397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0.50900889566745822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0.27644412832750542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0.61809020155657557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 t="e">
        <f si="6" t="shared"/>
        <v>#DIV/0!</v>
      </c>
      <c r="T24" s="13" t="e">
        <f si="6" t="shared"/>
        <v>#DIV/0!</v>
      </c>
      <c r="U24" s="13">
        <f si="6" t="shared"/>
        <v>0.27025042173230179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7.4130574632516296E-4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 t="e">
        <f si="6" t="shared"/>
        <v>#DIV/0!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 t="e">
        <f si="6" t="shared"/>
        <v>#DIV/0!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 t="e">
        <f si="6" t="shared"/>
        <v>#DIV/0!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 t="e">
        <f si="6" t="shared"/>
        <v>#DIV/0!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 t="e">
        <f si="6" t="shared"/>
        <v>#DIV/0!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 t="e">
        <f si="6" t="shared"/>
        <v>#DIV/0!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2.1980670048480093E-3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6.1807178367792844E-3</v>
      </c>
      <c r="K31" s="6"/>
      <c r="L31" t="s">
        <v>4</v>
      </c>
      <c r="M31" s="13">
        <f ref="M31:P31" si="24" t="shared">M14/M$16</f>
        <v>0</v>
      </c>
      <c r="N31" s="13">
        <f si="24" t="shared"/>
        <v>7.2956252188687565E-3</v>
      </c>
      <c r="O31" s="13">
        <f si="24" t="shared"/>
        <v>8.0905341581853259E-3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0.99221789883268485</v>
      </c>
      <c r="S31" s="13" t="e">
        <f si="6" t="shared"/>
        <v>#DIV/0!</v>
      </c>
      <c r="T31" s="13" t="e">
        <f si="6" t="shared"/>
        <v>#DIV/0!</v>
      </c>
      <c r="U31" s="13">
        <f si="6" t="shared"/>
        <v>9.4817055435983937E-3</v>
      </c>
    </row>
    <row r="32" spans="1:21" x14ac:dyDescent="0.25">
      <c r="A32" s="4" t="s">
        <v>5</v>
      </c>
      <c r="B32" s="14">
        <f ref="B32:J32" si="25" t="shared">B15/B$16</f>
        <v>4.9069020592519927E-2</v>
      </c>
      <c r="C32" s="14">
        <f si="25" t="shared"/>
        <v>4.9346311568965349E-3</v>
      </c>
      <c r="D32" s="14">
        <f si="25" t="shared"/>
        <v>0.10382759295582725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7.2105436827394412E-2</v>
      </c>
      <c r="K32" s="6"/>
      <c r="L32" s="4" t="s">
        <v>5</v>
      </c>
      <c r="M32" s="14">
        <f ref="M32:P32" si="26" t="shared">M15/M$16</f>
        <v>0</v>
      </c>
      <c r="N32" s="14">
        <f si="26" t="shared"/>
        <v>2.6082670782480125E-2</v>
      </c>
      <c r="O32" s="14">
        <f si="26" t="shared"/>
        <v>2.2891305793920042E-2</v>
      </c>
      <c r="P32" s="14" t="e">
        <f si="26" t="shared"/>
        <v>#DIV/0!</v>
      </c>
      <c r="Q32" s="14" t="e">
        <f si="6" t="shared"/>
        <v>#DIV/0!</v>
      </c>
      <c r="R32" s="14">
        <f si="6" t="shared"/>
        <v>7.7821011673151752E-3</v>
      </c>
      <c r="S32" s="14" t="e">
        <f si="6" t="shared"/>
        <v>#DIV/0!</v>
      </c>
      <c r="T32" s="14" t="e">
        <f si="6" t="shared"/>
        <v>#DIV/0!</v>
      </c>
      <c r="U32" s="14">
        <f si="6" t="shared"/>
        <v>2.4645890291431563E-2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 t="e">
        <f si="6" t="shared"/>
        <v>#DIV/0!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4.9069020592519941E-2</v>
      </c>
      <c r="N39" s="13">
        <f si="29" t="shared"/>
        <v>-0.12389539318968873</v>
      </c>
      <c r="O39" s="13">
        <f si="29" t="shared"/>
        <v>-2.6645684515029522E-3</v>
      </c>
      <c r="P39" s="13" t="e">
        <f si="29" t="shared"/>
        <v>#DIV/0!</v>
      </c>
      <c r="Q39" s="13" t="e">
        <f ref="Q39:Q50" si="30" t="shared">Q22-F22</f>
        <v>#DIV/0!</v>
      </c>
      <c r="R39" s="13">
        <f ref="R39:R50" si="31" t="shared">R22-G22</f>
        <v>0</v>
      </c>
      <c r="S39" s="13" t="e">
        <f ref="S39:S50" si="32" t="shared">S22-H22</f>
        <v>#DIV/0!</v>
      </c>
      <c r="T39" s="13" t="e">
        <f ref="T39:T50" si="33" t="shared">T22-I22</f>
        <v>#DIV/0!</v>
      </c>
      <c r="U39" s="13">
        <f ref="U39:U50" si="34" t="shared">U22-J22</f>
        <v>-4.4136765398107625E-2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9.7649795350084445E-2</v>
      </c>
      <c r="O40" s="13">
        <f si="29" t="shared"/>
        <v>-3.3570984433892337E-2</v>
      </c>
      <c r="P40" s="13" t="e">
        <f si="29" t="shared"/>
        <v>#DIV/0!</v>
      </c>
      <c r="Q40" s="13" t="e">
        <f si="30" t="shared"/>
        <v>#DIV/0!</v>
      </c>
      <c r="R40" s="13">
        <f si="31" t="shared"/>
        <v>0</v>
      </c>
      <c r="S40" s="13" t="e">
        <f si="32" t="shared"/>
        <v>#DIV/0!</v>
      </c>
      <c r="T40" s="13" t="e">
        <f si="33" t="shared"/>
        <v>#DIV/0!</v>
      </c>
      <c r="U40" s="13">
        <f si="34" t="shared"/>
        <v>9.5230336568780383E-2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0.10908130588911735</v>
      </c>
      <c r="P41" s="13" t="e">
        <f si="29" t="shared"/>
        <v>#DIV/0!</v>
      </c>
      <c r="Q41" s="13" t="e">
        <f si="30" t="shared"/>
        <v>#DIV/0!</v>
      </c>
      <c r="R41" s="13">
        <f si="31" t="shared"/>
        <v>0</v>
      </c>
      <c r="S41" s="13" t="e">
        <f si="32" t="shared"/>
        <v>#DIV/0!</v>
      </c>
      <c r="T41" s="13" t="e">
        <f si="33" t="shared"/>
        <v>#DIV/0!</v>
      </c>
      <c r="U41" s="13">
        <f si="34" t="shared"/>
        <v>-6.1937065952036297E-3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>
        <f si="31" t="shared"/>
        <v>0</v>
      </c>
      <c r="S42" s="13" t="e">
        <f si="32" t="shared"/>
        <v>#DIV/0!</v>
      </c>
      <c r="T42" s="13" t="e">
        <f si="33" t="shared"/>
        <v>#DIV/0!</v>
      </c>
      <c r="U42" s="13">
        <f si="34" t="shared"/>
        <v>-7.4130574632516296E-4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>
        <f si="31" t="shared"/>
        <v>0</v>
      </c>
      <c r="S43" s="13" t="e">
        <f si="32" t="shared"/>
        <v>#DIV/0!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>
        <f si="31" t="shared"/>
        <v>0</v>
      </c>
      <c r="S44" s="13" t="e">
        <f si="32" t="shared"/>
        <v>#DIV/0!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>
        <f si="31" t="shared"/>
        <v>0</v>
      </c>
      <c r="S45" s="13" t="e">
        <f si="32" t="shared"/>
        <v>#DIV/0!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>
        <f si="31" t="shared"/>
        <v>0</v>
      </c>
      <c r="S46" s="13" t="e">
        <f si="32" t="shared"/>
        <v>#DIV/0!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>
        <f si="31" t="shared"/>
        <v>0</v>
      </c>
      <c r="S47" s="13" t="e">
        <f si="32" t="shared"/>
        <v>#DIV/0!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0</v>
      </c>
      <c r="N48" s="13">
        <f si="39" t="shared"/>
        <v>5.0975582140207476E-3</v>
      </c>
      <c r="O48" s="13">
        <f si="39" t="shared"/>
        <v>8.0905341581853259E-3</v>
      </c>
      <c r="P48" s="13" t="e">
        <f si="39" t="shared"/>
        <v>#DIV/0!</v>
      </c>
      <c r="Q48" s="13" t="e">
        <f si="30" t="shared"/>
        <v>#DIV/0!</v>
      </c>
      <c r="R48" s="13">
        <f si="31" t="shared"/>
        <v>-7.7821011673151474E-3</v>
      </c>
      <c r="S48" s="13" t="e">
        <f si="32" t="shared"/>
        <v>#DIV/0!</v>
      </c>
      <c r="T48" s="13" t="e">
        <f si="33" t="shared"/>
        <v>#DIV/0!</v>
      </c>
      <c r="U48" s="13">
        <f si="34" t="shared"/>
        <v>3.3009877068191093E-3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-4.9069020592519927E-2</v>
      </c>
      <c r="N49" s="17">
        <f si="39" t="shared"/>
        <v>2.1148039625583589E-2</v>
      </c>
      <c r="O49" s="17">
        <f si="39" t="shared"/>
        <v>-8.0936287161907206E-2</v>
      </c>
      <c r="P49" s="17" t="e">
        <f si="39" t="shared"/>
        <v>#DIV/0!</v>
      </c>
      <c r="Q49" s="17" t="e">
        <f si="30" t="shared"/>
        <v>#DIV/0!</v>
      </c>
      <c r="R49" s="17">
        <f si="31" t="shared"/>
        <v>7.7821011673151752E-3</v>
      </c>
      <c r="S49" s="17" t="e">
        <f si="32" t="shared"/>
        <v>#DIV/0!</v>
      </c>
      <c r="T49" s="17" t="e">
        <f si="33" t="shared"/>
        <v>#DIV/0!</v>
      </c>
      <c r="U49" s="13">
        <f si="34" t="shared"/>
        <v>-4.7459546535962849E-2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>
        <f si="31" t="shared"/>
        <v>0</v>
      </c>
      <c r="S50" s="15" t="e">
        <f si="32" t="shared"/>
        <v>#DIV/0!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57965.1269265472</v>
      </c>
      <c r="C5" s="6" t="n">
        <v>678.801410544</v>
      </c>
      <c r="D5" s="6" t="n">
        <v>0.0</v>
      </c>
      <c r="E5" s="6" t="n">
        <v>0.0</v>
      </c>
      <c r="F5" s="6" t="n">
        <v>456.37559718</v>
      </c>
      <c r="G5" s="6" t="n">
        <v>0.0</v>
      </c>
      <c r="H5" s="6" t="n">
        <v>0.0</v>
      </c>
      <c r="I5" s="6" t="n">
        <v>0.0</v>
      </c>
      <c r="J5" s="6">
        <f>SUM(B5:I5)</f>
        <v>59100.3039342712</v>
      </c>
      <c r="K5" s="6"/>
      <c r="L5" t="s">
        <v>1</v>
      </c>
      <c r="M5" s="6" t="n">
        <v>86156.0</v>
      </c>
      <c r="N5" s="6" t="n">
        <v>6709.0</v>
      </c>
      <c r="O5" s="6" t="n">
        <v>2049.0</v>
      </c>
      <c r="P5" s="6" t="n">
        <v>0.0</v>
      </c>
      <c r="Q5" s="6" t="n">
        <v>38.0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96667</v>
      </c>
    </row>
    <row r="6" spans="1:21" x14ac:dyDescent="0.25">
      <c r="A6" t="s">
        <v>12</v>
      </c>
      <c r="B6" s="6" t="n">
        <v>0.0</v>
      </c>
      <c r="C6" s="6" t="n">
        <v>38308.521477606</v>
      </c>
      <c r="D6" s="6" t="n">
        <v>4318.127875</v>
      </c>
      <c r="E6" s="6" t="n">
        <v>0.0</v>
      </c>
      <c r="F6" s="6" t="n">
        <v>193.998839214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42820.648191820001</v>
      </c>
      <c r="K6" s="6"/>
      <c r="L6" t="s">
        <v>12</v>
      </c>
      <c r="M6" s="6" t="n">
        <v>0.0</v>
      </c>
      <c r="N6" s="6" t="n">
        <v>77066.0</v>
      </c>
      <c r="O6" s="6" t="n">
        <v>13357.0</v>
      </c>
      <c r="P6" s="6" t="n">
        <v>0.0</v>
      </c>
      <c r="Q6" s="6" t="n">
        <v>399.0</v>
      </c>
      <c r="R6" s="6" t="n">
        <v>0.0</v>
      </c>
      <c r="S6" s="6" t="n">
        <v>0.0</v>
      </c>
      <c r="T6" s="6" t="n">
        <v>0.0</v>
      </c>
      <c r="U6" s="6">
        <f si="0" t="shared"/>
        <v>93341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41749.473304118</v>
      </c>
      <c r="E7" s="6" t="n">
        <v>0.0</v>
      </c>
      <c r="F7" s="6" t="n">
        <v>261.652913556</v>
      </c>
      <c r="G7" s="6" t="n">
        <v>0.0</v>
      </c>
      <c r="H7" s="6" t="n">
        <v>0.0</v>
      </c>
      <c r="I7" s="6" t="n">
        <v>0.0</v>
      </c>
      <c r="J7" s="6">
        <f si="1" t="shared"/>
        <v>42011.126217673998</v>
      </c>
      <c r="K7" s="6"/>
      <c r="L7" t="s">
        <v>56</v>
      </c>
      <c r="M7" s="6" t="n">
        <v>0.0</v>
      </c>
      <c r="N7" s="6" t="n">
        <v>0.0</v>
      </c>
      <c r="O7" s="6" t="n">
        <v>62663.0</v>
      </c>
      <c r="P7" s="6" t="n">
        <v>0.0</v>
      </c>
      <c r="Q7" s="6" t="n">
        <v>160.0</v>
      </c>
      <c r="R7" s="6" t="n">
        <v>0.0</v>
      </c>
      <c r="S7" s="6" t="n">
        <v>0.0</v>
      </c>
      <c r="T7" s="6" t="n">
        <v>0.0</v>
      </c>
      <c r="U7" s="6">
        <f si="0" t="shared"/>
        <v>63347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11913.868929869</v>
      </c>
      <c r="G8" s="6" t="n">
        <v>0.0</v>
      </c>
      <c r="H8" s="6" t="n">
        <v>0.0</v>
      </c>
      <c r="I8" s="6" t="n">
        <v>0.0</v>
      </c>
      <c r="J8" s="6">
        <f si="1" t="shared"/>
        <v>11913.868929869001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3013.0</v>
      </c>
      <c r="R8" s="6" t="n">
        <v>0.0</v>
      </c>
      <c r="S8" s="6" t="n">
        <v>0.0</v>
      </c>
      <c r="T8" s="6" t="n">
        <v>0.0</v>
      </c>
      <c r="U8" s="6">
        <f si="0" t="shared"/>
        <v>2749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280.059719892</v>
      </c>
      <c r="D14" s="6" t="n">
        <v>0.0</v>
      </c>
      <c r="E14" s="6" t="n">
        <v>0.0</v>
      </c>
      <c r="F14" s="6" t="n">
        <v>128.631810469</v>
      </c>
      <c r="G14" s="6" t="n">
        <v>2760.10350428</v>
      </c>
      <c r="H14" s="6" t="n">
        <v>0.0</v>
      </c>
      <c r="I14" s="6" t="n">
        <v>0.0</v>
      </c>
      <c r="J14" s="6">
        <f si="1" t="shared"/>
        <v>3168.7950346409998</v>
      </c>
      <c r="K14" s="6"/>
      <c r="L14" t="s">
        <v>4</v>
      </c>
      <c r="M14" s="6" t="n">
        <v>136.0</v>
      </c>
      <c r="N14" s="6" t="n">
        <v>173.0</v>
      </c>
      <c r="O14" s="6" t="n">
        <v>128.0</v>
      </c>
      <c r="P14" s="6" t="n">
        <v>0.0</v>
      </c>
      <c r="Q14" s="6" t="n">
        <v>48.0</v>
      </c>
      <c r="R14" s="6" t="n">
        <v>3281.0</v>
      </c>
      <c r="S14" s="6" t="n">
        <v>0.0</v>
      </c>
      <c r="T14" s="6" t="n">
        <v>0.0</v>
      </c>
      <c r="U14" s="6">
        <f si="0" t="shared"/>
        <v>3869</v>
      </c>
    </row>
    <row r="15" spans="1:21" x14ac:dyDescent="0.25">
      <c r="A15" s="4" t="s">
        <v>5</v>
      </c>
      <c r="B15" s="10" t="n">
        <v>1038.552707806</v>
      </c>
      <c r="C15" s="10" t="n">
        <v>529.272159155</v>
      </c>
      <c r="D15" s="10" t="n">
        <v>0.0</v>
      </c>
      <c r="E15" s="10" t="n">
        <v>0.0</v>
      </c>
      <c r="F15" s="10" t="n">
        <v>1037.6482704119999</v>
      </c>
      <c r="G15" s="10" t="n">
        <v>0.0</v>
      </c>
      <c r="H15" s="10" t="n">
        <v>19965.852757387</v>
      </c>
      <c r="I15" s="10" t="n">
        <v>0.0</v>
      </c>
      <c r="J15" s="6">
        <f si="1" t="shared"/>
        <v>22571.325894760001</v>
      </c>
      <c r="K15" s="6"/>
      <c r="L15" s="4" t="s">
        <v>5</v>
      </c>
      <c r="M15" s="8" t="n">
        <v>1029.0</v>
      </c>
      <c r="N15" s="8" t="n">
        <v>592.0</v>
      </c>
      <c r="O15" s="8" t="n">
        <v>381.0</v>
      </c>
      <c r="P15" s="8" t="n">
        <v>0.0</v>
      </c>
      <c r="Q15" s="8" t="n">
        <v>533.0</v>
      </c>
      <c r="R15" s="8" t="n">
        <v>255.0</v>
      </c>
      <c r="S15" s="8" t="n">
        <v>8235.0</v>
      </c>
      <c r="T15" s="8" t="n">
        <v>0.0</v>
      </c>
      <c r="U15" s="6">
        <f si="0" t="shared"/>
        <v>11037</v>
      </c>
    </row>
    <row ht="15.75" r="16" spans="1:21" thickBot="1" x14ac:dyDescent="0.3">
      <c r="A16" s="12" t="s">
        <v>7</v>
      </c>
      <c r="B16" s="16">
        <f ref="B16:J16" si="2" t="shared">SUM(B5:B15)</f>
        <v>59003.679634353197</v>
      </c>
      <c r="C16" s="16">
        <f si="2" t="shared"/>
        <v>39796.654767197004</v>
      </c>
      <c r="D16" s="16">
        <f si="2" t="shared"/>
        <v>46067.601179117999</v>
      </c>
      <c r="E16" s="16">
        <f si="2" t="shared"/>
        <v>0</v>
      </c>
      <c r="F16" s="16">
        <f si="2" t="shared"/>
        <v>13992.176360699999</v>
      </c>
      <c r="G16" s="16">
        <f si="2" t="shared"/>
        <v>2760.1035042799999</v>
      </c>
      <c r="H16" s="16">
        <f si="2" t="shared"/>
        <v>19965.852757387001</v>
      </c>
      <c r="I16" s="16">
        <f si="2" t="shared"/>
        <v>0</v>
      </c>
      <c r="J16" s="16">
        <f si="2" t="shared"/>
        <v>181586.06820303519</v>
      </c>
      <c r="L16" s="9" t="s">
        <v>7</v>
      </c>
      <c r="M16" s="16">
        <f ref="M16:U16" si="3" t="shared">SUM(M5:M15)</f>
        <v>88951</v>
      </c>
      <c r="N16" s="16">
        <f si="3" t="shared"/>
        <v>86858</v>
      </c>
      <c r="O16" s="16">
        <f si="3" t="shared"/>
        <v>79412</v>
      </c>
      <c r="P16" s="16">
        <f si="3" t="shared"/>
        <v>0</v>
      </c>
      <c r="Q16" s="16">
        <f si="3" t="shared"/>
        <v>3855</v>
      </c>
      <c r="R16" s="16">
        <f si="3" t="shared"/>
        <v>3628</v>
      </c>
      <c r="S16" s="16">
        <f si="3" t="shared"/>
        <v>8306</v>
      </c>
      <c r="T16" s="16">
        <f si="3" t="shared"/>
        <v>0</v>
      </c>
      <c r="U16" s="16">
        <f si="3" t="shared"/>
        <v>271010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0.98239850947869822</v>
      </c>
      <c r="C22" s="13">
        <f si="4" t="shared"/>
        <v>1.7056745460513237E-2</v>
      </c>
      <c r="D22" s="13">
        <f si="4" t="shared"/>
        <v>0</v>
      </c>
      <c r="E22" s="13" t="e">
        <f si="4" t="shared"/>
        <v>#DIV/0!</v>
      </c>
      <c r="F22" s="13">
        <f si="4" t="shared"/>
        <v>3.2616484056177841E-2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0.32546717112785278</v>
      </c>
      <c r="K22" s="6"/>
      <c r="L22" t="s">
        <v>1</v>
      </c>
      <c r="M22" s="13">
        <f ref="M22:P22" si="5" t="shared">M5/M$16</f>
        <v>0.98738631381322306</v>
      </c>
      <c r="N22" s="13">
        <f si="5" t="shared"/>
        <v>7.7897257592852709E-2</v>
      </c>
      <c r="O22" s="13">
        <f si="5" t="shared"/>
        <v>2.5789553216138617E-2</v>
      </c>
      <c r="P22" s="13" t="e">
        <f si="5" t="shared"/>
        <v>#DIV/0!</v>
      </c>
      <c r="Q22" s="13">
        <f ref="Q22:U33" si="6" t="shared">Q5/Q$16</f>
        <v>6.2256809338521405E-3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0.35669163499501866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0.96260657338421274</v>
      </c>
      <c r="D23" s="13">
        <f si="7" t="shared"/>
        <v>9.3734593607564837E-2</v>
      </c>
      <c r="E23" s="13" t="e">
        <f si="7" t="shared"/>
        <v>#DIV/0!</v>
      </c>
      <c r="F23" s="13">
        <f si="7" t="shared"/>
        <v>1.3864808033644212E-2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0.23581461185635308</v>
      </c>
      <c r="K23" s="6"/>
      <c r="L23" t="s">
        <v>12</v>
      </c>
      <c r="M23" s="13">
        <f ref="M23:P23" si="8" t="shared">M6/M$16</f>
        <v>0</v>
      </c>
      <c r="N23" s="13">
        <f si="8" t="shared"/>
        <v>0.91252388956687924</v>
      </c>
      <c r="O23" s="13">
        <f si="8" t="shared"/>
        <v>0.17220319347201934</v>
      </c>
      <c r="P23" s="13" t="e">
        <f si="8" t="shared"/>
        <v>#DIV/0!</v>
      </c>
      <c r="Q23" s="13">
        <f si="6" t="shared"/>
        <v>0.1053177691309987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0.34441902512822403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0.90626540639243525</v>
      </c>
      <c r="E24" s="13" t="e">
        <f si="9" t="shared"/>
        <v>#DIV/0!</v>
      </c>
      <c r="F24" s="13">
        <f si="9" t="shared"/>
        <v>1.8699943940880263E-2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0.23135654972550249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0.79535838412330628</v>
      </c>
      <c r="P24" s="13" t="e">
        <f si="10" t="shared"/>
        <v>#DIV/0!</v>
      </c>
      <c r="Q24" s="13">
        <f si="6" t="shared"/>
        <v>4.8249027237354088E-2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0.23374414228257259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0.8514664640256846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6.5610038522051453E-2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0.7130998702983139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1.0143537138850965E-2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7.0372678691286248E-3</v>
      </c>
      <c r="D31" s="13">
        <f si="23" t="shared"/>
        <v>0</v>
      </c>
      <c r="E31" s="13" t="e">
        <f si="23" t="shared"/>
        <v>#DIV/0!</v>
      </c>
      <c r="F31" s="13">
        <f si="23" t="shared"/>
        <v>9.193123868156048E-3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1.7450650625343699E-2</v>
      </c>
      <c r="K31" s="6"/>
      <c r="L31" t="s">
        <v>4</v>
      </c>
      <c r="M31" s="13">
        <f ref="M31:P31" si="24" t="shared">M14/M$16</f>
        <v>1.4277523580398196E-3</v>
      </c>
      <c r="N31" s="13">
        <f si="24" t="shared"/>
        <v>2.0723479702502937E-3</v>
      </c>
      <c r="O31" s="13">
        <f si="24" t="shared"/>
        <v>1.8007354052284289E-3</v>
      </c>
      <c r="P31" s="13" t="e">
        <f si="24" t="shared"/>
        <v>#DIV/0!</v>
      </c>
      <c r="Q31" s="13">
        <f si="6" t="shared"/>
        <v>1.2191958495460441E-2</v>
      </c>
      <c r="R31" s="13">
        <f si="6" t="shared"/>
        <v>0.92943770672546855</v>
      </c>
      <c r="S31" s="13">
        <f si="6" t="shared"/>
        <v>0</v>
      </c>
      <c r="T31" s="13" t="e">
        <f si="6" t="shared"/>
        <v>#DIV/0!</v>
      </c>
      <c r="U31" s="13">
        <f si="6" t="shared"/>
        <v>1.427622596952142E-2</v>
      </c>
    </row>
    <row r="32" spans="1:21" x14ac:dyDescent="0.25">
      <c r="A32" s="4" t="s">
        <v>5</v>
      </c>
      <c r="B32" s="14">
        <f ref="B32:J32" si="25" t="shared">B15/B$16</f>
        <v>1.7601490521301871E-2</v>
      </c>
      <c r="C32" s="14">
        <f si="25" t="shared"/>
        <v>1.3299413286145364E-2</v>
      </c>
      <c r="D32" s="14">
        <f si="25" t="shared"/>
        <v>0</v>
      </c>
      <c r="E32" s="14" t="e">
        <f si="25" t="shared"/>
        <v>#DIV/0!</v>
      </c>
      <c r="F32" s="14">
        <f si="25" t="shared"/>
        <v>7.4159176075457106E-2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0.12430097814289656</v>
      </c>
      <c r="K32" s="6"/>
      <c r="L32" s="4" t="s">
        <v>5</v>
      </c>
      <c r="M32" s="14">
        <f ref="M32:P32" si="26" t="shared">M15/M$16</f>
        <v>1.118593382873717E-2</v>
      </c>
      <c r="N32" s="14">
        <f si="26" t="shared"/>
        <v>7.5065048700177304E-3</v>
      </c>
      <c r="O32" s="14">
        <f si="26" t="shared"/>
        <v>4.8481337833073089E-3</v>
      </c>
      <c r="P32" s="14" t="e">
        <f si="26" t="shared"/>
        <v>#DIV/0!</v>
      </c>
      <c r="Q32" s="14">
        <f si="6" t="shared"/>
        <v>0.11491569390402075</v>
      </c>
      <c r="R32" s="14">
        <f si="6" t="shared"/>
        <v>7.0562293274531424E-2</v>
      </c>
      <c r="S32" s="14">
        <f si="6" t="shared"/>
        <v>1</v>
      </c>
      <c r="T32" s="14" t="e">
        <f si="6" t="shared"/>
        <v>#DIV/0!</v>
      </c>
      <c r="U32" s="14">
        <f si="6" t="shared"/>
        <v>4.0725434485812333E-2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4.9878043345248368E-3</v>
      </c>
      <c r="N39" s="13">
        <f si="29" t="shared"/>
        <v>6.0840512132339472E-2</v>
      </c>
      <c r="O39" s="13">
        <f si="29" t="shared"/>
        <v>2.5789553216138617E-2</v>
      </c>
      <c r="P39" s="13" t="e">
        <f si="29" t="shared"/>
        <v>#DIV/0!</v>
      </c>
      <c r="Q39" s="13">
        <f ref="Q39:Q50" si="30" t="shared">Q22-F22</f>
        <v>-2.6390803122325703E-2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3.1224463867165875E-2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-5.0082683817333495E-2</v>
      </c>
      <c r="O40" s="13">
        <f si="29" t="shared"/>
        <v>7.8468599864454508E-2</v>
      </c>
      <c r="P40" s="13" t="e">
        <f si="29" t="shared"/>
        <v>#DIV/0!</v>
      </c>
      <c r="Q40" s="13">
        <f si="30" t="shared"/>
        <v>9.1452961097354485E-2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0.10860441327187095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-0.11090702226912896</v>
      </c>
      <c r="P41" s="13" t="e">
        <f si="29" t="shared"/>
        <v>#DIV/0!</v>
      </c>
      <c r="Q41" s="13">
        <f si="30" t="shared"/>
        <v>2.9549083296473825E-2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2.3875925570701062E-3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-0.1383665937273707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-5.5466501383200487E-2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1.4277523580398196E-3</v>
      </c>
      <c r="N48" s="13">
        <f si="39" t="shared"/>
        <v>-4.9649198988783311E-3</v>
      </c>
      <c r="O48" s="13">
        <f si="39" t="shared"/>
        <v>1.8007354052284289E-3</v>
      </c>
      <c r="P48" s="13" t="e">
        <f si="39" t="shared"/>
        <v>#DIV/0!</v>
      </c>
      <c r="Q48" s="13">
        <f si="30" t="shared"/>
        <v>2.998834627304393E-3</v>
      </c>
      <c r="R48" s="13">
        <f si="31" t="shared"/>
        <v>-7.0562293274531451E-2</v>
      </c>
      <c r="S48" s="13">
        <f si="32" t="shared"/>
        <v>0</v>
      </c>
      <c r="T48" s="13" t="e">
        <f si="33" t="shared"/>
        <v>#DIV/0!</v>
      </c>
      <c r="U48" s="13">
        <f si="34" t="shared"/>
        <v>-3.1744246558222788E-3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-6.4155566925647011E-3</v>
      </c>
      <c r="N49" s="17">
        <f si="39" t="shared"/>
        <v>-5.7929084161276335E-3</v>
      </c>
      <c r="O49" s="17">
        <f si="39" t="shared"/>
        <v>4.8481337833073089E-3</v>
      </c>
      <c r="P49" s="17" t="e">
        <f si="39" t="shared"/>
        <v>#DIV/0!</v>
      </c>
      <c r="Q49" s="17">
        <f si="30" t="shared"/>
        <v>4.075651782856364E-2</v>
      </c>
      <c r="R49" s="17">
        <f si="31" t="shared"/>
        <v>7.0562293274531424E-2</v>
      </c>
      <c r="S49" s="17">
        <f si="32" t="shared"/>
        <v>0</v>
      </c>
      <c r="T49" s="17" t="e">
        <f si="33" t="shared"/>
        <v>#DIV/0!</v>
      </c>
      <c r="U49" s="13">
        <f si="34" t="shared"/>
        <v>-8.3575543657084223E-2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G50"/>
  <sheetViews>
    <sheetView tabSelected="1"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70390.5050563902</v>
      </c>
      <c r="C5" s="6" t="n">
        <v>2880.825704432</v>
      </c>
      <c r="D5" s="6" t="n">
        <v>0.0</v>
      </c>
      <c r="E5" s="6" t="n">
        <v>338.608786816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73609.939547638205</v>
      </c>
      <c r="K5" s="6"/>
      <c r="L5" t="s">
        <v>1</v>
      </c>
      <c r="M5" s="6" t="n">
        <v>85552.0</v>
      </c>
      <c r="N5" s="6" t="n">
        <v>3480.0</v>
      </c>
      <c r="O5" s="6" t="n">
        <v>1202.0</v>
      </c>
      <c r="P5" s="6" t="n">
        <v>0.0</v>
      </c>
      <c r="Q5" s="6" t="n">
        <v>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92858</v>
      </c>
    </row>
    <row r="6" spans="1:21" x14ac:dyDescent="0.25">
      <c r="A6" t="s">
        <v>12</v>
      </c>
      <c r="B6" s="6" t="n">
        <v>0.0</v>
      </c>
      <c r="C6" s="6" t="n">
        <v>70964.3242826802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70964.324282680202</v>
      </c>
      <c r="K6" s="6"/>
      <c r="L6" t="s">
        <v>12</v>
      </c>
      <c r="M6" s="6" t="n">
        <v>0.0</v>
      </c>
      <c r="N6" s="6" t="n">
        <v>56848.0</v>
      </c>
      <c r="O6" s="6" t="n">
        <v>9827.0</v>
      </c>
      <c r="P6" s="6" t="n">
        <v>0.0</v>
      </c>
      <c r="Q6" s="6" t="n">
        <v>263.0</v>
      </c>
      <c r="R6" s="6" t="n">
        <v>0.0</v>
      </c>
      <c r="S6" s="6" t="n">
        <v>0.0</v>
      </c>
      <c r="T6" s="6" t="n">
        <v>0.0</v>
      </c>
      <c r="U6" s="6">
        <f si="0" t="shared"/>
        <v>71264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8215.285375942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8215.2853759419995</v>
      </c>
      <c r="K7" s="6"/>
      <c r="L7" t="s">
        <v>56</v>
      </c>
      <c r="M7" s="6" t="n">
        <v>0.0</v>
      </c>
      <c r="N7" s="6" t="n">
        <v>0.0</v>
      </c>
      <c r="O7" s="6" t="n">
        <v>43771.0</v>
      </c>
      <c r="P7" s="6" t="n">
        <v>0.0</v>
      </c>
      <c r="Q7" s="6" t="n">
        <v>126.0</v>
      </c>
      <c r="R7" s="6" t="n">
        <v>0.0</v>
      </c>
      <c r="S7" s="6" t="n">
        <v>0.0</v>
      </c>
      <c r="T7" s="6" t="n">
        <v>0.0</v>
      </c>
      <c r="U7" s="6">
        <f si="0" t="shared"/>
        <v>45882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507.91318022400003</v>
      </c>
      <c r="F8" s="6" t="n">
        <v>3014.0735232026</v>
      </c>
      <c r="G8" s="6" t="n">
        <v>0.0</v>
      </c>
      <c r="H8" s="6" t="n">
        <v>0.0</v>
      </c>
      <c r="I8" s="6" t="n">
        <v>0.0</v>
      </c>
      <c r="J8" s="6">
        <f si="1" t="shared"/>
        <v>3521.9867034265999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1270.0</v>
      </c>
      <c r="R8" s="6" t="n">
        <v>0.0</v>
      </c>
      <c r="S8" s="6" t="n">
        <v>0.0</v>
      </c>
      <c r="T8" s="6" t="n">
        <v>0.0</v>
      </c>
      <c r="U8" s="6">
        <f si="0" t="shared"/>
        <v>1359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0</v>
      </c>
      <c r="K14" s="6"/>
      <c r="L14" t="s">
        <v>4</v>
      </c>
      <c r="M14" s="6" t="n">
        <v>129.0</v>
      </c>
      <c r="N14" s="6" t="n">
        <v>100.0</v>
      </c>
      <c r="O14" s="6" t="n">
        <v>58.0</v>
      </c>
      <c r="P14" s="6" t="n">
        <v>0.0</v>
      </c>
      <c r="Q14" s="6" t="n">
        <v>24.0</v>
      </c>
      <c r="R14" s="6" t="n">
        <v>3492.0</v>
      </c>
      <c r="S14" s="6" t="n">
        <v>0.0</v>
      </c>
      <c r="T14" s="6" t="n">
        <v>0.0</v>
      </c>
      <c r="U14" s="6">
        <f si="0" t="shared"/>
        <v>3846</v>
      </c>
    </row>
    <row r="15" spans="1:21" x14ac:dyDescent="0.25">
      <c r="A15" s="4" t="s">
        <v>5</v>
      </c>
      <c r="B15" s="10" t="n">
        <v>248.604216396</v>
      </c>
      <c r="C15" s="10" t="n">
        <v>2034.1071405280002</v>
      </c>
      <c r="D15" s="10" t="n">
        <v>0.0</v>
      </c>
      <c r="E15" s="10" t="n">
        <v>169.304393408</v>
      </c>
      <c r="F15" s="10" t="n">
        <v>1922.162255422</v>
      </c>
      <c r="G15" s="10" t="n">
        <v>0.0</v>
      </c>
      <c r="H15" s="10" t="n">
        <v>10779.3437579284</v>
      </c>
      <c r="I15" s="10" t="n">
        <v>0.0</v>
      </c>
      <c r="J15" s="6">
        <f si="1" t="shared"/>
        <v>15153.5217636824</v>
      </c>
      <c r="K15" s="6"/>
      <c r="L15" s="4" t="s">
        <v>5</v>
      </c>
      <c r="M15" s="8" t="n">
        <v>1484.0</v>
      </c>
      <c r="N15" s="8" t="n">
        <v>484.0</v>
      </c>
      <c r="O15" s="8" t="n">
        <v>302.0</v>
      </c>
      <c r="P15" s="8" t="n">
        <v>0.0</v>
      </c>
      <c r="Q15" s="8" t="n">
        <v>248.0</v>
      </c>
      <c r="R15" s="8" t="n">
        <v>378.0</v>
      </c>
      <c r="S15" s="8" t="n">
        <v>11513.0</v>
      </c>
      <c r="T15" s="8" t="n">
        <v>0.0</v>
      </c>
      <c r="U15" s="6">
        <f si="0" t="shared"/>
        <v>14427</v>
      </c>
    </row>
    <row ht="15.75" r="16" spans="1:21" thickBot="1" x14ac:dyDescent="0.3">
      <c r="A16" s="12" t="s">
        <v>7</v>
      </c>
      <c r="B16" s="16">
        <f ref="B16:J16" si="2" t="shared">SUM(B5:B15)</f>
        <v>70639.109272786198</v>
      </c>
      <c r="C16" s="16">
        <f si="2" t="shared"/>
        <v>75879.257127640201</v>
      </c>
      <c r="D16" s="16">
        <f si="2" t="shared"/>
        <v>8215.2853759419995</v>
      </c>
      <c r="E16" s="16">
        <f si="2" t="shared"/>
        <v>1015.8263604480001</v>
      </c>
      <c r="F16" s="16">
        <f si="2" t="shared"/>
        <v>4936.2357786246002</v>
      </c>
      <c r="G16" s="16">
        <f si="2" t="shared"/>
        <v>0</v>
      </c>
      <c r="H16" s="16">
        <f si="2" t="shared"/>
        <v>10779.3437579284</v>
      </c>
      <c r="I16" s="16">
        <f si="2" t="shared"/>
        <v>0</v>
      </c>
      <c r="J16" s="16">
        <f si="2" t="shared"/>
        <v>171465.05767336942</v>
      </c>
      <c r="L16" s="9" t="s">
        <v>7</v>
      </c>
      <c r="M16" s="16">
        <f ref="M16:U16" si="3" t="shared">SUM(M5:M15)</f>
        <v>89668</v>
      </c>
      <c r="N16" s="16">
        <f si="3" t="shared"/>
        <v>64842</v>
      </c>
      <c r="O16" s="16">
        <f si="3" t="shared"/>
        <v>57717</v>
      </c>
      <c r="P16" s="16">
        <f si="3" t="shared"/>
        <v>0</v>
      </c>
      <c r="Q16" s="16">
        <f si="3" t="shared"/>
        <v>2083</v>
      </c>
      <c r="R16" s="16">
        <f si="3" t="shared"/>
        <v>3904</v>
      </c>
      <c r="S16" s="16">
        <f si="3" t="shared"/>
        <v>11422</v>
      </c>
      <c r="T16" s="16">
        <f si="3" t="shared"/>
        <v>0</v>
      </c>
      <c r="U16" s="16">
        <f si="3" t="shared"/>
        <v>229636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0.99648064338642828</v>
      </c>
      <c r="C22" s="13">
        <f si="4" t="shared"/>
        <v>3.7965918664517526E-2</v>
      </c>
      <c r="D22" s="13">
        <f si="4" t="shared"/>
        <v>0</v>
      </c>
      <c r="E22" s="13">
        <f si="4" t="shared"/>
        <v>0.33333333333333331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 t="e">
        <f si="4" t="shared"/>
        <v>#DIV/0!</v>
      </c>
      <c r="J22" s="13">
        <f si="4" t="shared"/>
        <v>0.42929994336140892</v>
      </c>
      <c r="K22" s="6"/>
      <c r="L22" t="s">
        <v>1</v>
      </c>
      <c r="M22" s="13">
        <f ref="M22:P22" si="5" t="shared">M5/M$16</f>
        <v>0.98165454788776374</v>
      </c>
      <c r="N22" s="13">
        <f si="5" t="shared"/>
        <v>5.5396193824989975E-2</v>
      </c>
      <c r="O22" s="13">
        <f si="5" t="shared"/>
        <v>2.1258901190290554E-2</v>
      </c>
      <c r="P22" s="13" t="e">
        <f si="5" t="shared"/>
        <v>#DIV/0!</v>
      </c>
      <c r="Q22" s="13">
        <f ref="Q22:U33" si="6" t="shared">Q5/Q$16</f>
        <v>7.6812289966394619E-3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0.40437039488581927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0.93522692457712975</v>
      </c>
      <c r="D23" s="13">
        <f si="7" t="shared"/>
        <v>0</v>
      </c>
      <c r="E23" s="13">
        <f si="7" t="shared"/>
        <v>0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 t="e">
        <f si="7" t="shared"/>
        <v>#DIV/0!</v>
      </c>
      <c r="J23" s="13">
        <f si="7" t="shared"/>
        <v>0.41387047160280876</v>
      </c>
      <c r="K23" s="6"/>
      <c r="L23" t="s">
        <v>12</v>
      </c>
      <c r="M23" s="13">
        <f ref="M23:P23" si="8" t="shared">M6/M$16</f>
        <v>0</v>
      </c>
      <c r="N23" s="13">
        <f si="8" t="shared"/>
        <v>0.9349033034144536</v>
      </c>
      <c r="O23" s="13">
        <f si="8" t="shared"/>
        <v>0.17953116066323613</v>
      </c>
      <c r="P23" s="13" t="e">
        <f si="8" t="shared"/>
        <v>#DIV/0!</v>
      </c>
      <c r="Q23" s="13">
        <f si="6" t="shared"/>
        <v>0.13490158425348056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0.31033461652354161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1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 t="e">
        <f si="9" t="shared"/>
        <v>#DIV/0!</v>
      </c>
      <c r="J24" s="13">
        <f si="9" t="shared"/>
        <v>4.791230054342397E-2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0.79311121506661819</v>
      </c>
      <c r="P24" s="13" t="e">
        <f si="10" t="shared"/>
        <v>#DIV/0!</v>
      </c>
      <c r="Q24" s="13">
        <f si="6" t="shared"/>
        <v>5.0888142102736435E-2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0.19980316675085788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0.6106016119113381</v>
      </c>
      <c r="G25" s="13" t="e">
        <f si="11" t="shared"/>
        <v>#DIV/0!</v>
      </c>
      <c r="H25" s="13">
        <f si="11" t="shared"/>
        <v>0</v>
      </c>
      <c r="I25" s="13" t="e">
        <f si="11" t="shared"/>
        <v>#DIV/0!</v>
      </c>
      <c r="J25" s="13">
        <f si="11" t="shared"/>
        <v>2.0540550659223944E-2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0.65242438790206436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5.9180616279677399E-3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 t="e">
        <f si="23" t="shared"/>
        <v>#DIV/0!</v>
      </c>
      <c r="J31" s="13">
        <f si="23" t="shared"/>
        <v>0</v>
      </c>
      <c r="K31" s="6"/>
      <c r="L31" t="s">
        <v>4</v>
      </c>
      <c r="M31" s="13">
        <f ref="M31:P31" si="24" t="shared">M14/M$16</f>
        <v>1.3159655618503814E-3</v>
      </c>
      <c r="N31" s="13">
        <f si="24" t="shared"/>
        <v>1.6964313253755282E-3</v>
      </c>
      <c r="O31" s="13">
        <f si="24" t="shared"/>
        <v>9.5292548122736804E-4</v>
      </c>
      <c r="P31" s="13" t="e">
        <f si="24" t="shared"/>
        <v>#DIV/0!</v>
      </c>
      <c r="Q31" s="13">
        <f si="6" t="shared"/>
        <v>1.5842534805568891E-2</v>
      </c>
      <c r="R31" s="13">
        <f si="6" t="shared"/>
        <v>0.90420081967213117</v>
      </c>
      <c r="S31" s="13">
        <f si="6" t="shared"/>
        <v>0</v>
      </c>
      <c r="T31" s="13" t="e">
        <f si="6" t="shared"/>
        <v>#DIV/0!</v>
      </c>
      <c r="U31" s="13">
        <f si="6" t="shared"/>
        <v>1.6748245048685745E-2</v>
      </c>
    </row>
    <row r="32" spans="1:21" x14ac:dyDescent="0.25">
      <c r="A32" s="4" t="s">
        <v>5</v>
      </c>
      <c r="B32" s="14">
        <f ref="B32:J32" si="25" t="shared">B15/B$16</f>
        <v>3.5193566135717836E-3</v>
      </c>
      <c r="C32" s="14">
        <f si="25" t="shared"/>
        <v>2.6807156758352671E-2</v>
      </c>
      <c r="D32" s="14">
        <f si="25" t="shared"/>
        <v>0</v>
      </c>
      <c r="E32" s="14">
        <f si="25" t="shared"/>
        <v>0.16666666666666666</v>
      </c>
      <c r="F32" s="14">
        <f si="25" t="shared"/>
        <v>0.38939838808866184</v>
      </c>
      <c r="G32" s="14" t="e">
        <f si="25" t="shared"/>
        <v>#DIV/0!</v>
      </c>
      <c r="H32" s="14">
        <f si="25" t="shared"/>
        <v>1</v>
      </c>
      <c r="I32" s="14" t="e">
        <f si="25" t="shared"/>
        <v>#DIV/0!</v>
      </c>
      <c r="J32" s="14">
        <f si="25" t="shared"/>
        <v>8.8376733833134352E-2</v>
      </c>
      <c r="K32" s="6"/>
      <c r="L32" s="4" t="s">
        <v>5</v>
      </c>
      <c r="M32" s="14">
        <f ref="M32:P32" si="26" t="shared">M15/M$16</f>
        <v>1.7029486550385869E-2</v>
      </c>
      <c r="N32" s="14">
        <f si="26" t="shared"/>
        <v>8.0040714351809015E-3</v>
      </c>
      <c r="O32" s="14">
        <f si="26" t="shared"/>
        <v>5.1457975986277877E-3</v>
      </c>
      <c r="P32" s="14" t="e">
        <f si="26" t="shared"/>
        <v>#DIV/0!</v>
      </c>
      <c r="Q32" s="14">
        <f si="6" t="shared"/>
        <v>0.13826212193951032</v>
      </c>
      <c r="R32" s="14">
        <f si="6" t="shared"/>
        <v>9.5799180327868855E-2</v>
      </c>
      <c r="S32" s="14">
        <f si="6" t="shared"/>
        <v>1</v>
      </c>
      <c r="T32" s="14" t="e">
        <f si="6" t="shared"/>
        <v>#DIV/0!</v>
      </c>
      <c r="U32" s="14">
        <f si="6" t="shared"/>
        <v>6.2825515163127732E-2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-1.4826095498664538E-2</v>
      </c>
      <c r="N39" s="13">
        <f si="29" t="shared"/>
        <v>1.743027516047245E-2</v>
      </c>
      <c r="O39" s="13">
        <f si="29" t="shared"/>
        <v>2.1258901190290554E-2</v>
      </c>
      <c r="P39" s="13" t="e">
        <f si="29" t="shared"/>
        <v>#DIV/0!</v>
      </c>
      <c r="Q39" s="13">
        <f ref="Q39:Q50" si="30" t="shared">Q22-F22</f>
        <v>7.6812289966394619E-3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-2.4929548475589647E-2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-3.2362116267614649E-4</v>
      </c>
      <c r="O40" s="13">
        <f si="29" t="shared"/>
        <v>0.17953116066323613</v>
      </c>
      <c r="P40" s="13" t="e">
        <f si="29" t="shared"/>
        <v>#DIV/0!</v>
      </c>
      <c r="Q40" s="13">
        <f si="30" t="shared"/>
        <v>0.13490158425348056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-0.10353585507926716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-0.20688878493338181</v>
      </c>
      <c r="P41" s="13" t="e">
        <f si="29" t="shared"/>
        <v>#DIV/0!</v>
      </c>
      <c r="Q41" s="13">
        <f si="30" t="shared"/>
        <v>5.0888142102736435E-2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0.15189086620743392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4.1822775990726258E-2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-1.4622489031256205E-2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1.3159655618503814E-3</v>
      </c>
      <c r="N48" s="13">
        <f si="39" t="shared"/>
        <v>1.6964313253755282E-3</v>
      </c>
      <c r="O48" s="13">
        <f si="39" t="shared"/>
        <v>9.5292548122736804E-4</v>
      </c>
      <c r="P48" s="13" t="e">
        <f si="39" t="shared"/>
        <v>#DIV/0!</v>
      </c>
      <c r="Q48" s="13">
        <f si="30" t="shared"/>
        <v>1.5842534805568891E-2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1.6748245048685745E-2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1.3510129936814086E-2</v>
      </c>
      <c r="N49" s="17">
        <f si="39" t="shared"/>
        <v>-1.8803085323171771E-2</v>
      </c>
      <c r="O49" s="17">
        <f si="39" t="shared"/>
        <v>5.1457975986277877E-3</v>
      </c>
      <c r="P49" s="17" t="e">
        <f si="39" t="shared"/>
        <v>#DIV/0!</v>
      </c>
      <c r="Q49" s="17">
        <f si="30" t="shared"/>
        <v>-0.25113626614915152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-2.555121867000662E-2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12230.9611689472</v>
      </c>
      <c r="C5" s="6" t="n">
        <v>2946.252293112</v>
      </c>
      <c r="D5" s="6" t="n">
        <v>368.204446166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15545.417908225201</v>
      </c>
      <c r="K5" s="6"/>
      <c r="L5" t="s">
        <v>1</v>
      </c>
      <c r="M5" s="6" t="n">
        <v>17223.0</v>
      </c>
      <c r="N5" s="6" t="n">
        <v>2494.0</v>
      </c>
      <c r="O5" s="6" t="n">
        <v>810.0</v>
      </c>
      <c r="P5" s="6" t="n">
        <v>0.0</v>
      </c>
      <c r="Q5" s="6" t="n">
        <v>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20729</v>
      </c>
    </row>
    <row r="6" spans="1:21" x14ac:dyDescent="0.25">
      <c r="A6" t="s">
        <v>12</v>
      </c>
      <c r="B6" s="6" t="n">
        <v>0.0</v>
      </c>
      <c r="C6" s="6" t="n">
        <v>31173.873735776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31173.873735776</v>
      </c>
      <c r="K6" s="6"/>
      <c r="L6" t="s">
        <v>12</v>
      </c>
      <c r="M6" s="6" t="n">
        <v>0.0</v>
      </c>
      <c r="N6" s="6" t="n">
        <v>35598.0</v>
      </c>
      <c r="O6" s="6" t="n">
        <v>5244.0</v>
      </c>
      <c r="P6" s="6" t="n">
        <v>0.0</v>
      </c>
      <c r="Q6" s="6" t="n">
        <v>90.0</v>
      </c>
      <c r="R6" s="6" t="n">
        <v>0.0</v>
      </c>
      <c r="S6" s="6" t="n">
        <v>0.0</v>
      </c>
      <c r="T6" s="6" t="n">
        <v>0.0</v>
      </c>
      <c r="U6" s="6">
        <f si="0" t="shared"/>
        <v>42185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18287.527457179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18287.527457179</v>
      </c>
      <c r="K7" s="6"/>
      <c r="L7" t="s">
        <v>56</v>
      </c>
      <c r="M7" s="6" t="n">
        <v>0.0</v>
      </c>
      <c r="N7" s="6" t="n">
        <v>0.0</v>
      </c>
      <c r="O7" s="6" t="n">
        <v>25833.0</v>
      </c>
      <c r="P7" s="6" t="n">
        <v>0.0</v>
      </c>
      <c r="Q7" s="6" t="n">
        <v>32.0</v>
      </c>
      <c r="R7" s="6" t="n">
        <v>0.0</v>
      </c>
      <c r="S7" s="6" t="n">
        <v>0.0</v>
      </c>
      <c r="T7" s="6" t="n">
        <v>0.0</v>
      </c>
      <c r="U7" s="6">
        <f si="0" t="shared"/>
        <v>26800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3104.0145244200003</v>
      </c>
      <c r="G8" s="6" t="n">
        <v>0.0</v>
      </c>
      <c r="H8" s="6" t="n">
        <v>0.0</v>
      </c>
      <c r="I8" s="6" t="n">
        <v>0.0</v>
      </c>
      <c r="J8" s="6">
        <f si="1" t="shared"/>
        <v>3104.0145244200003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454.0</v>
      </c>
      <c r="R8" s="6" t="n">
        <v>0.0</v>
      </c>
      <c r="S8" s="6" t="n">
        <v>0.0</v>
      </c>
      <c r="T8" s="6" t="n">
        <v>0.0</v>
      </c>
      <c r="U8" s="6">
        <f si="0" t="shared"/>
        <v>387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0</v>
      </c>
      <c r="K14" s="6"/>
      <c r="L14" t="s">
        <v>4</v>
      </c>
      <c r="M14" s="6" t="n">
        <v>42.0</v>
      </c>
      <c r="N14" s="6" t="n">
        <v>49.0</v>
      </c>
      <c r="O14" s="6" t="n">
        <v>37.0</v>
      </c>
      <c r="P14" s="6" t="n">
        <v>0.0</v>
      </c>
      <c r="Q14" s="6" t="n">
        <v>3.0</v>
      </c>
      <c r="R14" s="6" t="n">
        <v>369.0</v>
      </c>
      <c r="S14" s="6" t="n">
        <v>0.0</v>
      </c>
      <c r="T14" s="6" t="n">
        <v>0.0</v>
      </c>
      <c r="U14" s="6">
        <f si="0" t="shared"/>
        <v>538</v>
      </c>
    </row>
    <row r="15" spans="1:21" x14ac:dyDescent="0.25">
      <c r="A15" s="4" t="s">
        <v>5</v>
      </c>
      <c r="B15" s="10" t="n">
        <v>126.546846217</v>
      </c>
      <c r="C15" s="10" t="n">
        <v>1473.126146556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5628.92965652</v>
      </c>
      <c r="I15" s="10" t="n">
        <v>0.0</v>
      </c>
      <c r="J15" s="6">
        <f si="1" t="shared"/>
        <v>7228.6026492930005</v>
      </c>
      <c r="K15" s="6"/>
      <c r="L15" s="4" t="s">
        <v>5</v>
      </c>
      <c r="M15" s="8" t="n">
        <v>199.0</v>
      </c>
      <c r="N15" s="8" t="n">
        <v>198.0</v>
      </c>
      <c r="O15" s="8" t="n">
        <v>98.0</v>
      </c>
      <c r="P15" s="8" t="n">
        <v>0.0</v>
      </c>
      <c r="Q15" s="8" t="n">
        <v>54.0</v>
      </c>
      <c r="R15" s="8" t="n">
        <v>17.0</v>
      </c>
      <c r="S15" s="8" t="n">
        <v>10542.0</v>
      </c>
      <c r="T15" s="8" t="n">
        <v>0.0</v>
      </c>
      <c r="U15" s="6">
        <f si="0" t="shared"/>
        <v>10695</v>
      </c>
    </row>
    <row ht="15.75" r="16" spans="1:21" thickBot="1" x14ac:dyDescent="0.3">
      <c r="A16" s="12" t="s">
        <v>7</v>
      </c>
      <c r="B16" s="16">
        <f ref="B16:J16" si="2" t="shared">SUM(B5:B15)</f>
        <v>12357.5080151642</v>
      </c>
      <c r="C16" s="16">
        <f si="2" t="shared"/>
        <v>35593.252175444002</v>
      </c>
      <c r="D16" s="16">
        <f si="2" t="shared"/>
        <v>18655.731903345</v>
      </c>
      <c r="E16" s="16">
        <f si="2" t="shared"/>
        <v>0</v>
      </c>
      <c r="F16" s="16">
        <f si="2" t="shared"/>
        <v>3104.0145244200003</v>
      </c>
      <c r="G16" s="16">
        <f si="2" t="shared"/>
        <v>0</v>
      </c>
      <c r="H16" s="16">
        <f si="2" t="shared"/>
        <v>5628.9296565200002</v>
      </c>
      <c r="I16" s="16">
        <f si="2" t="shared"/>
        <v>0</v>
      </c>
      <c r="J16" s="16">
        <f si="2" t="shared"/>
        <v>75339.436274893204</v>
      </c>
      <c r="L16" s="9" t="s">
        <v>7</v>
      </c>
      <c r="M16" s="16">
        <f ref="M16:U16" si="3" t="shared">SUM(M5:M15)</f>
        <v>17625</v>
      </c>
      <c r="N16" s="16">
        <f si="3" t="shared"/>
        <v>39498</v>
      </c>
      <c r="O16" s="16">
        <f si="3" t="shared"/>
        <v>33109</v>
      </c>
      <c r="P16" s="16">
        <f si="3" t="shared"/>
        <v>0</v>
      </c>
      <c r="Q16" s="16">
        <f si="3" t="shared"/>
        <v>597</v>
      </c>
      <c r="R16" s="16">
        <f si="3" t="shared"/>
        <v>455</v>
      </c>
      <c r="S16" s="16">
        <f si="3" t="shared"/>
        <v>10050</v>
      </c>
      <c r="T16" s="16">
        <f si="3" t="shared"/>
        <v>0</v>
      </c>
      <c r="U16" s="16">
        <f si="3" t="shared"/>
        <v>101334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0.98975951736695533</v>
      </c>
      <c r="C22" s="13">
        <f si="4" t="shared"/>
        <v>8.2775585624756065E-2</v>
      </c>
      <c r="D22" s="13">
        <f si="4" t="shared"/>
        <v>1.9736799825043606E-2</v>
      </c>
      <c r="E22" s="13" t="e">
        <f si="4" t="shared"/>
        <v>#DIV/0!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 t="e">
        <f si="4" t="shared"/>
        <v>#DIV/0!</v>
      </c>
      <c r="J22" s="13">
        <f si="4" t="shared"/>
        <v>0.20633838898799536</v>
      </c>
      <c r="K22" s="6"/>
      <c r="L22" t="s">
        <v>1</v>
      </c>
      <c r="M22" s="13">
        <f ref="M22:P22" si="5" t="shared">M5/M$16</f>
        <v>0.98643971631205674</v>
      </c>
      <c r="N22" s="13">
        <f si="5" t="shared"/>
        <v>6.4281735784090327E-2</v>
      </c>
      <c r="O22" s="13">
        <f si="5" t="shared"/>
        <v>2.4102207858890331E-2</v>
      </c>
      <c r="P22" s="13" t="e">
        <f si="5" t="shared"/>
        <v>#DIV/0!</v>
      </c>
      <c r="Q22" s="13">
        <f ref="Q22:U33" si="6" t="shared">Q5/Q$16</f>
        <v>1.0050251256281407E-2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0.20456115420293289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0.8758366215628659</v>
      </c>
      <c r="D23" s="13">
        <f si="7" t="shared"/>
        <v>0</v>
      </c>
      <c r="E23" s="13" t="e">
        <f si="7" t="shared"/>
        <v>#DIV/0!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 t="e">
        <f si="7" t="shared"/>
        <v>#DIV/0!</v>
      </c>
      <c r="J23" s="13">
        <f si="7" t="shared"/>
        <v>0.41377896195069708</v>
      </c>
      <c r="K23" s="6"/>
      <c r="L23" t="s">
        <v>12</v>
      </c>
      <c r="M23" s="13">
        <f ref="M23:P23" si="8" t="shared">M6/M$16</f>
        <v>0</v>
      </c>
      <c r="N23" s="13">
        <f si="8" t="shared"/>
        <v>0.92898374601245637</v>
      </c>
      <c r="O23" s="13">
        <f si="8" t="shared"/>
        <v>0.16324866350539127</v>
      </c>
      <c r="P23" s="13" t="e">
        <f si="8" t="shared"/>
        <v>#DIV/0!</v>
      </c>
      <c r="Q23" s="13">
        <f si="6" t="shared"/>
        <v>0.14572864321608039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0.41629660331182033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0.98026320017495638</v>
      </c>
      <c r="E24" s="13" t="e">
        <f si="9" t="shared"/>
        <v>#DIV/0!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 t="e">
        <f si="9" t="shared"/>
        <v>#DIV/0!</v>
      </c>
      <c r="J24" s="13">
        <f si="9" t="shared"/>
        <v>0.24273512467564481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0.80808843516868523</v>
      </c>
      <c r="P24" s="13" t="e">
        <f si="10" t="shared"/>
        <v>#DIV/0!</v>
      </c>
      <c r="Q24" s="13">
        <f si="6" t="shared"/>
        <v>7.5376884422110546E-2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0.26447194426352461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 t="e">
        <f si="11" t="shared"/>
        <v>#DIV/0!</v>
      </c>
      <c r="J25" s="13">
        <f si="11" t="shared"/>
        <v>4.1200394878112598E-2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0.64824120603015079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3.8190538220143288E-3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 t="e">
        <f si="23" t="shared"/>
        <v>#DIV/0!</v>
      </c>
      <c r="J31" s="13">
        <f si="23" t="shared"/>
        <v>0</v>
      </c>
      <c r="K31" s="6"/>
      <c r="L31" t="s">
        <v>4</v>
      </c>
      <c r="M31" s="13">
        <f ref="M31:P31" si="24" t="shared">M14/M$16</f>
        <v>1.6453900709219858E-3</v>
      </c>
      <c r="N31" s="13">
        <f si="24" t="shared"/>
        <v>1.1899336675274697E-3</v>
      </c>
      <c r="O31" s="13">
        <f si="24" t="shared"/>
        <v>1.0571143797758918E-3</v>
      </c>
      <c r="P31" s="13" t="e">
        <f si="24" t="shared"/>
        <v>#DIV/0!</v>
      </c>
      <c r="Q31" s="13">
        <f si="6" t="shared"/>
        <v>3.3500837520938024E-3</v>
      </c>
      <c r="R31" s="13">
        <f si="6" t="shared"/>
        <v>0.93406593406593408</v>
      </c>
      <c r="S31" s="13">
        <f si="6" t="shared"/>
        <v>0</v>
      </c>
      <c r="T31" s="13" t="e">
        <f si="6" t="shared"/>
        <v>#DIV/0!</v>
      </c>
      <c r="U31" s="13">
        <f si="6" t="shared"/>
        <v>5.309175597528964E-3</v>
      </c>
    </row>
    <row r="32" spans="1:21" x14ac:dyDescent="0.25">
      <c r="A32" s="4" t="s">
        <v>5</v>
      </c>
      <c r="B32" s="14">
        <f ref="B32:J32" si="25" t="shared">B15/B$16</f>
        <v>1.0240482633044726E-2</v>
      </c>
      <c r="C32" s="14">
        <f si="25" t="shared"/>
        <v>4.1387792812378033E-2</v>
      </c>
      <c r="D32" s="14">
        <f si="25" t="shared"/>
        <v>0</v>
      </c>
      <c r="E32" s="14" t="e">
        <f si="25" t="shared"/>
        <v>#DIV/0!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 t="e">
        <f si="25" t="shared"/>
        <v>#DIV/0!</v>
      </c>
      <c r="J32" s="14">
        <f si="25" t="shared"/>
        <v>9.5947129507550161E-2</v>
      </c>
      <c r="K32" s="6"/>
      <c r="L32" s="4" t="s">
        <v>5</v>
      </c>
      <c r="M32" s="14">
        <f ref="M32:P32" si="26" t="shared">M15/M$16</f>
        <v>1.1914893617021277E-2</v>
      </c>
      <c r="N32" s="14">
        <f si="26" t="shared"/>
        <v>5.5445845359258696E-3</v>
      </c>
      <c r="O32" s="14">
        <f si="26" t="shared"/>
        <v>3.5035790872572411E-3</v>
      </c>
      <c r="P32" s="14" t="e">
        <f si="26" t="shared"/>
        <v>#DIV/0!</v>
      </c>
      <c r="Q32" s="14">
        <f si="6" t="shared"/>
        <v>0.11725293132328309</v>
      </c>
      <c r="R32" s="14">
        <f si="6" t="shared"/>
        <v>6.5934065934065936E-2</v>
      </c>
      <c r="S32" s="14">
        <f si="6" t="shared"/>
        <v>1</v>
      </c>
      <c r="T32" s="14" t="e">
        <f si="6" t="shared"/>
        <v>#DIV/0!</v>
      </c>
      <c r="U32" s="14">
        <f si="6" t="shared"/>
        <v>0.10554206880217894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-3.3198010548985968E-3</v>
      </c>
      <c r="N39" s="13">
        <f si="29" t="shared"/>
        <v>-1.8493849840665738E-2</v>
      </c>
      <c r="O39" s="13">
        <f si="29" t="shared"/>
        <v>4.3654080338467252E-3</v>
      </c>
      <c r="P39" s="13" t="e">
        <f si="29" t="shared"/>
        <v>#DIV/0!</v>
      </c>
      <c r="Q39" s="13">
        <f ref="Q39:Q50" si="30" t="shared">Q22-F22</f>
        <v>1.0050251256281407E-2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-1.7772347850624759E-3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5.3147124449590466E-2</v>
      </c>
      <c r="O40" s="13">
        <f si="29" t="shared"/>
        <v>0.16324866350539127</v>
      </c>
      <c r="P40" s="13" t="e">
        <f si="29" t="shared"/>
        <v>#DIV/0!</v>
      </c>
      <c r="Q40" s="13">
        <f si="30" t="shared"/>
        <v>0.14572864321608039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2.5176413611232573E-3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-0.17217476500627116</v>
      </c>
      <c r="P41" s="13" t="e">
        <f si="29" t="shared"/>
        <v>#DIV/0!</v>
      </c>
      <c r="Q41" s="13">
        <f si="30" t="shared"/>
        <v>7.5376884422110546E-2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2.1736819587879791E-2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-0.35175879396984921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-3.738134105609827E-2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1.6453900709219858E-3</v>
      </c>
      <c r="N48" s="13">
        <f si="39" t="shared"/>
        <v>1.1899336675274697E-3</v>
      </c>
      <c r="O48" s="13">
        <f si="39" t="shared"/>
        <v>1.0571143797758918E-3</v>
      </c>
      <c r="P48" s="13" t="e">
        <f si="39" t="shared"/>
        <v>#DIV/0!</v>
      </c>
      <c r="Q48" s="13">
        <f si="30" t="shared"/>
        <v>3.3500837520938024E-3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5.309175597528964E-3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1.6744109839765507E-3</v>
      </c>
      <c r="N49" s="17">
        <f si="39" t="shared"/>
        <v>-3.5843208276452161E-2</v>
      </c>
      <c r="O49" s="17">
        <f si="39" t="shared"/>
        <v>3.5035790872572411E-3</v>
      </c>
      <c r="P49" s="17" t="e">
        <f si="39" t="shared"/>
        <v>#DIV/0!</v>
      </c>
      <c r="Q49" s="17">
        <f si="30" t="shared"/>
        <v>0.11725293132328309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9.5949392946287765E-3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58255.9367849098</v>
      </c>
      <c r="C5" s="6" t="n">
        <v>3179.1771077930002</v>
      </c>
      <c r="D5" s="6" t="n">
        <v>0.0</v>
      </c>
      <c r="E5" s="6" t="n">
        <v>681.573622244</v>
      </c>
      <c r="F5" s="6" t="n">
        <v>912.75119436</v>
      </c>
      <c r="G5" s="6" t="n">
        <v>0.0</v>
      </c>
      <c r="H5" s="6" t="n">
        <v>0.0</v>
      </c>
      <c r="I5" s="6" t="n">
        <v>0.0</v>
      </c>
      <c r="J5" s="6">
        <f>SUM(B5:I5)</f>
        <v>63029.4387093068</v>
      </c>
      <c r="K5" s="6"/>
      <c r="L5" t="s">
        <v>1</v>
      </c>
      <c r="M5" s="6" t="n">
        <v>82495.0</v>
      </c>
      <c r="N5" s="6" t="n">
        <v>7467.0</v>
      </c>
      <c r="O5" s="6" t="n">
        <v>2500.0</v>
      </c>
      <c r="P5" s="6" t="n">
        <v>0.0</v>
      </c>
      <c r="Q5" s="6" t="n">
        <v>23.0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94986</v>
      </c>
    </row>
    <row r="6" spans="1:21" x14ac:dyDescent="0.25">
      <c r="A6" t="s">
        <v>12</v>
      </c>
      <c r="B6" s="6" t="n">
        <v>0.0</v>
      </c>
      <c r="C6" s="6" t="n">
        <v>100485.9806679922</v>
      </c>
      <c r="D6" s="6" t="n">
        <v>2639.675375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103125.65604299221</v>
      </c>
      <c r="K6" s="6"/>
      <c r="L6" t="s">
        <v>12</v>
      </c>
      <c r="M6" s="6" t="n">
        <v>0.0</v>
      </c>
      <c r="N6" s="6" t="n">
        <v>101973.0</v>
      </c>
      <c r="O6" s="6" t="n">
        <v>16380.0</v>
      </c>
      <c r="P6" s="6" t="n">
        <v>0.0</v>
      </c>
      <c r="Q6" s="6" t="n">
        <v>241.0</v>
      </c>
      <c r="R6" s="6" t="n">
        <v>0.0</v>
      </c>
      <c r="S6" s="6" t="n">
        <v>0.0</v>
      </c>
      <c r="T6" s="6" t="n">
        <v>0.0</v>
      </c>
      <c r="U6" s="6">
        <f si="0" t="shared"/>
        <v>121501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29600.031773404</v>
      </c>
      <c r="E7" s="6" t="n">
        <v>0.0</v>
      </c>
      <c r="F7" s="6" t="n">
        <v>453.746371195</v>
      </c>
      <c r="G7" s="6" t="n">
        <v>0.0</v>
      </c>
      <c r="H7" s="6" t="n">
        <v>0.0</v>
      </c>
      <c r="I7" s="6" t="n">
        <v>0.0</v>
      </c>
      <c r="J7" s="6">
        <f si="1" t="shared"/>
        <v>30053.778144599</v>
      </c>
      <c r="K7" s="6"/>
      <c r="L7" t="s">
        <v>56</v>
      </c>
      <c r="M7" s="6" t="n">
        <v>0.0</v>
      </c>
      <c r="N7" s="6" t="n">
        <v>0.0</v>
      </c>
      <c r="O7" s="6" t="n">
        <v>89295.0</v>
      </c>
      <c r="P7" s="6" t="n">
        <v>0.0</v>
      </c>
      <c r="Q7" s="6" t="n">
        <v>85.0</v>
      </c>
      <c r="R7" s="6" t="n">
        <v>0.0</v>
      </c>
      <c r="S7" s="6" t="n">
        <v>0.0</v>
      </c>
      <c r="T7" s="6" t="n">
        <v>0.0</v>
      </c>
      <c r="U7" s="6">
        <f si="0" t="shared"/>
        <v>89991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681.573622244</v>
      </c>
      <c r="F8" s="6" t="n">
        <v>3424.206498871</v>
      </c>
      <c r="G8" s="6" t="n">
        <v>0.0</v>
      </c>
      <c r="H8" s="6" t="n">
        <v>0.0</v>
      </c>
      <c r="I8" s="6" t="n">
        <v>0.0</v>
      </c>
      <c r="J8" s="6">
        <f si="1" t="shared"/>
        <v>4105.7801211149999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1575.0</v>
      </c>
      <c r="R8" s="6" t="n">
        <v>0.0</v>
      </c>
      <c r="S8" s="6" t="n">
        <v>0.0</v>
      </c>
      <c r="T8" s="6" t="n">
        <v>0.0</v>
      </c>
      <c r="U8" s="6">
        <f si="0" t="shared"/>
        <v>1324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1008.17381248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754.295006478</v>
      </c>
      <c r="H14" s="6" t="n">
        <v>0.0</v>
      </c>
      <c r="I14" s="6" t="n">
        <v>0.0</v>
      </c>
      <c r="J14" s="6">
        <f si="1" t="shared"/>
        <v>1762.4688189580002</v>
      </c>
      <c r="K14" s="6"/>
      <c r="L14" t="s">
        <v>4</v>
      </c>
      <c r="M14" s="6" t="n">
        <v>91.0</v>
      </c>
      <c r="N14" s="6" t="n">
        <v>154.0</v>
      </c>
      <c r="O14" s="6" t="n">
        <v>110.0</v>
      </c>
      <c r="P14" s="6" t="n">
        <v>0.0</v>
      </c>
      <c r="Q14" s="6" t="n">
        <v>29.0</v>
      </c>
      <c r="R14" s="6" t="n">
        <v>4990.0</v>
      </c>
      <c r="S14" s="6" t="n">
        <v>0.0</v>
      </c>
      <c r="T14" s="6" t="n">
        <v>0.0</v>
      </c>
      <c r="U14" s="6">
        <f si="0" t="shared"/>
        <v>5319</v>
      </c>
    </row>
    <row r="15" spans="1:21" x14ac:dyDescent="0.25">
      <c r="A15" s="4" t="s">
        <v>5</v>
      </c>
      <c r="B15" s="10" t="n">
        <v>776.3851960872</v>
      </c>
      <c r="C15" s="10" t="n">
        <v>1887.3630379332</v>
      </c>
      <c r="D15" s="10" t="n">
        <v>546.698875</v>
      </c>
      <c r="E15" s="10" t="n">
        <v>0.0</v>
      </c>
      <c r="F15" s="10" t="n">
        <v>0.0</v>
      </c>
      <c r="G15" s="10" t="n">
        <v>0.0</v>
      </c>
      <c r="H15" s="10" t="n">
        <v>75064.53026329521</v>
      </c>
      <c r="I15" s="10" t="n">
        <v>0.0</v>
      </c>
      <c r="J15" s="6">
        <f si="1" t="shared"/>
        <v>78274.97737231561</v>
      </c>
      <c r="K15" s="6"/>
      <c r="L15" s="4" t="s">
        <v>5</v>
      </c>
      <c r="M15" s="8" t="n">
        <v>263.0</v>
      </c>
      <c r="N15" s="8" t="n">
        <v>312.0</v>
      </c>
      <c r="O15" s="8" t="n">
        <v>157.0</v>
      </c>
      <c r="P15" s="8" t="n">
        <v>0.0</v>
      </c>
      <c r="Q15" s="8" t="n">
        <v>130.0</v>
      </c>
      <c r="R15" s="8" t="n">
        <v>94.0</v>
      </c>
      <c r="S15" s="8" t="n">
        <v>83096.0</v>
      </c>
      <c r="T15" s="8" t="n">
        <v>0.0</v>
      </c>
      <c r="U15" s="6">
        <f si="0" t="shared"/>
        <v>83810</v>
      </c>
    </row>
    <row ht="15.75" r="16" spans="1:21" thickBot="1" x14ac:dyDescent="0.3">
      <c r="A16" s="12" t="s">
        <v>7</v>
      </c>
      <c r="B16" s="16">
        <f ref="B16:J16" si="2" t="shared">SUM(B5:B15)</f>
        <v>60040.495793476999</v>
      </c>
      <c r="C16" s="16">
        <f si="2" t="shared"/>
        <v>105552.52081371841</v>
      </c>
      <c r="D16" s="16">
        <f si="2" t="shared"/>
        <v>32786.406023404001</v>
      </c>
      <c r="E16" s="16">
        <f si="2" t="shared"/>
        <v>1363.1472444880001</v>
      </c>
      <c r="F16" s="16">
        <f si="2" t="shared"/>
        <v>4790.7040644259996</v>
      </c>
      <c r="G16" s="16">
        <f si="2" t="shared"/>
        <v>754.295006478</v>
      </c>
      <c r="H16" s="16">
        <f si="2" t="shared"/>
        <v>75064.530263295208</v>
      </c>
      <c r="I16" s="16">
        <f si="2" t="shared"/>
        <v>0</v>
      </c>
      <c r="J16" s="16">
        <f si="2" t="shared"/>
        <v>280352.09920928662</v>
      </c>
      <c r="L16" s="9" t="s">
        <v>7</v>
      </c>
      <c r="M16" s="16">
        <f ref="M16:U16" si="3" t="shared">SUM(M5:M15)</f>
        <v>85073</v>
      </c>
      <c r="N16" s="16">
        <f si="3" t="shared"/>
        <v>112638</v>
      </c>
      <c r="O16" s="16">
        <f si="3" t="shared"/>
        <v>109590</v>
      </c>
      <c r="P16" s="16">
        <f si="3" t="shared"/>
        <v>0</v>
      </c>
      <c r="Q16" s="16">
        <f si="3" t="shared"/>
        <v>1749</v>
      </c>
      <c r="R16" s="16">
        <f si="3" t="shared"/>
        <v>5064</v>
      </c>
      <c r="S16" s="16">
        <f si="3" t="shared"/>
        <v>82817</v>
      </c>
      <c r="T16" s="16">
        <f si="3" t="shared"/>
        <v>0</v>
      </c>
      <c r="U16" s="16">
        <f si="3" t="shared"/>
        <v>396931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0.97027741052129879</v>
      </c>
      <c r="C22" s="13">
        <f si="4" t="shared"/>
        <v>3.0119385906507031E-2</v>
      </c>
      <c r="D22" s="13">
        <f si="4" t="shared"/>
        <v>0</v>
      </c>
      <c r="E22" s="13">
        <f si="4" t="shared"/>
        <v>0.5</v>
      </c>
      <c r="F22" s="13">
        <f si="4" t="shared"/>
        <v>0.19052548061520927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0.22482242468337815</v>
      </c>
      <c r="K22" s="6"/>
      <c r="L22" t="s">
        <v>1</v>
      </c>
      <c r="M22" s="13">
        <f ref="M22:P22" si="5" t="shared">M5/M$16</f>
        <v>0.99560377558097168</v>
      </c>
      <c r="N22" s="13">
        <f si="5" t="shared"/>
        <v>6.7703616896606825E-2</v>
      </c>
      <c r="O22" s="13">
        <f si="5" t="shared"/>
        <v>2.4098914134501322E-2</v>
      </c>
      <c r="P22" s="13" t="e">
        <f si="5" t="shared"/>
        <v>#DIV/0!</v>
      </c>
      <c r="Q22" s="13">
        <f ref="Q22:U33" si="6" t="shared">Q5/Q$16</f>
        <v>1.1435105774728416E-2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0.23930103720797821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0.95199981860530114</v>
      </c>
      <c r="D23" s="13">
        <f si="7" t="shared"/>
        <v>8.0511275713346375E-2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0.36784335246231747</v>
      </c>
      <c r="K23" s="6"/>
      <c r="L23" t="s">
        <v>12</v>
      </c>
      <c r="M23" s="13">
        <f ref="M23:P23" si="8" t="shared">M6/M$16</f>
        <v>0</v>
      </c>
      <c r="N23" s="13">
        <f si="8" t="shared"/>
        <v>0.92814147978479733</v>
      </c>
      <c r="O23" s="13">
        <f si="8" t="shared"/>
        <v>0.15299753627155763</v>
      </c>
      <c r="P23" s="13" t="e">
        <f si="8" t="shared"/>
        <v>#DIV/0!</v>
      </c>
      <c r="Q23" s="13">
        <f si="6" t="shared"/>
        <v>0.10863350485991996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0.30610106038581014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0.90281416487902144</v>
      </c>
      <c r="E24" s="13">
        <f si="9" t="shared"/>
        <v>0</v>
      </c>
      <c r="F24" s="13">
        <f si="9" t="shared"/>
        <v>9.4713922023352076E-2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0.10720011809921726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0.82033944702983852</v>
      </c>
      <c r="P24" s="13" t="e">
        <f si="10" t="shared"/>
        <v>#DIV/0!</v>
      </c>
      <c r="Q24" s="13">
        <f si="6" t="shared"/>
        <v>5.1457975986277875E-2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0.22671698607566554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0.71476059736143871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1.4645084280428305E-2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0.75700400228702114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3.3355923321685631E-3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1.6791563746372851E-2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6.2866260817340744E-3</v>
      </c>
      <c r="K31" s="6"/>
      <c r="L31" t="s">
        <v>4</v>
      </c>
      <c r="M31" s="13">
        <f ref="M31:P31" si="24" t="shared">M14/M$16</f>
        <v>1.1637064638604492E-3</v>
      </c>
      <c r="N31" s="13">
        <f si="24" t="shared"/>
        <v>1.3583337772332606E-3</v>
      </c>
      <c r="O31" s="13">
        <f si="24" t="shared"/>
        <v>8.8511725522401677E-4</v>
      </c>
      <c r="P31" s="13" t="e">
        <f si="24" t="shared"/>
        <v>#DIV/0!</v>
      </c>
      <c r="Q31" s="13">
        <f si="6" t="shared"/>
        <v>1.1435105774728416E-2</v>
      </c>
      <c r="R31" s="13">
        <f si="6" t="shared"/>
        <v>0.97748815165876779</v>
      </c>
      <c r="S31" s="13">
        <f si="6" t="shared"/>
        <v>0</v>
      </c>
      <c r="T31" s="13" t="e">
        <f si="6" t="shared"/>
        <v>#DIV/0!</v>
      </c>
      <c r="U31" s="13">
        <f si="6" t="shared"/>
        <v>1.3400313908462681E-2</v>
      </c>
    </row>
    <row r="32" spans="1:21" x14ac:dyDescent="0.25">
      <c r="A32" s="4" t="s">
        <v>5</v>
      </c>
      <c r="B32" s="14">
        <f ref="B32:J32" si="25" t="shared">B15/B$16</f>
        <v>1.2931025732328299E-2</v>
      </c>
      <c r="C32" s="14">
        <f si="25" t="shared"/>
        <v>1.7880795488191732E-2</v>
      </c>
      <c r="D32" s="14">
        <f si="25" t="shared"/>
        <v>1.6674559407632194E-2</v>
      </c>
      <c r="E32" s="14">
        <f si="25" t="shared"/>
        <v>0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0.27920239439292477</v>
      </c>
      <c r="K32" s="6"/>
      <c r="L32" s="4" t="s">
        <v>5</v>
      </c>
      <c r="M32" s="14">
        <f ref="M32:P32" si="26" t="shared">M15/M$16</f>
        <v>3.2325179551679147E-3</v>
      </c>
      <c r="N32" s="14">
        <f si="26" t="shared"/>
        <v>2.7965695413625954E-3</v>
      </c>
      <c r="O32" s="14">
        <f si="26" t="shared"/>
        <v>1.6789853088785473E-3</v>
      </c>
      <c r="P32" s="14" t="e">
        <f si="26" t="shared"/>
        <v>#DIV/0!</v>
      </c>
      <c r="Q32" s="14">
        <f si="6" t="shared"/>
        <v>6.0034305317324184E-2</v>
      </c>
      <c r="R32" s="14">
        <f si="6" t="shared"/>
        <v>2.2511848341232227E-2</v>
      </c>
      <c r="S32" s="14">
        <f si="6" t="shared"/>
        <v>1</v>
      </c>
      <c r="T32" s="14" t="e">
        <f si="6" t="shared"/>
        <v>#DIV/0!</v>
      </c>
      <c r="U32" s="14">
        <f si="6" t="shared"/>
        <v>0.21114501008991488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2.5326365059672895E-2</v>
      </c>
      <c r="N39" s="13">
        <f si="29" t="shared"/>
        <v>3.758423099009979E-2</v>
      </c>
      <c r="O39" s="13">
        <f si="29" t="shared"/>
        <v>2.4098914134501322E-2</v>
      </c>
      <c r="P39" s="13" t="e">
        <f si="29" t="shared"/>
        <v>#DIV/0!</v>
      </c>
      <c r="Q39" s="13">
        <f ref="Q39:Q50" si="30" t="shared">Q22-F22</f>
        <v>-0.17909037484048085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1.447861252460006E-2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-2.385833882050381E-2</v>
      </c>
      <c r="O40" s="13">
        <f si="29" t="shared"/>
        <v>7.2486260558211252E-2</v>
      </c>
      <c r="P40" s="13" t="e">
        <f si="29" t="shared"/>
        <v>#DIV/0!</v>
      </c>
      <c r="Q40" s="13">
        <f si="30" t="shared"/>
        <v>0.10863350485991996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-6.1742292076507332E-2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-8.2474717849182921E-2</v>
      </c>
      <c r="P41" s="13" t="e">
        <f si="29" t="shared"/>
        <v>#DIV/0!</v>
      </c>
      <c r="Q41" s="13">
        <f si="30" t="shared"/>
        <v>-4.3255946037074201E-2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0.11951686797644828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4.2243404925582428E-2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-1.1309491948259741E-2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-1.5627857282512401E-2</v>
      </c>
      <c r="N48" s="13">
        <f si="39" t="shared"/>
        <v>1.3583337772332606E-3</v>
      </c>
      <c r="O48" s="13">
        <f si="39" t="shared"/>
        <v>8.8511725522401677E-4</v>
      </c>
      <c r="P48" s="13" t="e">
        <f si="39" t="shared"/>
        <v>#DIV/0!</v>
      </c>
      <c r="Q48" s="13">
        <f si="30" t="shared"/>
        <v>1.1435105774728416E-2</v>
      </c>
      <c r="R48" s="13">
        <f si="31" t="shared"/>
        <v>-2.251184834123221E-2</v>
      </c>
      <c r="S48" s="13">
        <f si="32" t="shared"/>
        <v>0</v>
      </c>
      <c r="T48" s="13" t="e">
        <f si="33" t="shared"/>
        <v>#DIV/0!</v>
      </c>
      <c r="U48" s="13">
        <f si="34" t="shared"/>
        <v>7.1136878267286062E-3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-9.698507777160385E-3</v>
      </c>
      <c r="N49" s="17">
        <f si="39" t="shared"/>
        <v>-1.5084225946829136E-2</v>
      </c>
      <c r="O49" s="17">
        <f si="39" t="shared"/>
        <v>-1.4995574098753647E-2</v>
      </c>
      <c r="P49" s="17" t="e">
        <f si="39" t="shared"/>
        <v>#DIV/0!</v>
      </c>
      <c r="Q49" s="17">
        <f si="30" t="shared"/>
        <v>6.0034305317324184E-2</v>
      </c>
      <c r="R49" s="17">
        <f si="31" t="shared"/>
        <v>2.2511848341232227E-2</v>
      </c>
      <c r="S49" s="17">
        <f si="32" t="shared"/>
        <v>0</v>
      </c>
      <c r="T49" s="17" t="e">
        <f si="33" t="shared"/>
        <v>#DIV/0!</v>
      </c>
      <c r="U49" s="13">
        <f si="34" t="shared"/>
        <v>-6.8057384303009894E-2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C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baseType="lpstr" size="50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2019-10-07T21:08:50Z</dcterms:modified>
</cp:coreProperties>
</file>