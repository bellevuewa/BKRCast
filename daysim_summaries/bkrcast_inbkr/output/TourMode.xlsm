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0083E687-0EB2-4C41-869D-C745451457BD}" xr6:coauthVersionLast="47" xr6:coauthVersionMax="47" xr10:uidLastSave="{00000000-0000-0000-0000-000000000000}"/>
  <bookViews>
    <workbookView xWindow="10545" yWindow="4890" windowWidth="7200" windowHeight="4050" firstSheet="16" activeTab="16" xr2:uid="{00000000-000D-0000-FFFF-FFFF00000000}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_1">Work!$B$4:$C$11</definedName>
    <definedName name="out_3">School!$B$4:$C$11</definedName>
    <definedName name="out_5">Escort!$B$4:$C$11</definedName>
    <definedName name="out_7">Personal_Business!$B$4:$C$11</definedName>
    <definedName name="out_9">Shop!$B$4:$C$11</definedName>
    <definedName name="out_11">Meal!$B$4:$C$11</definedName>
    <definedName name="out_13">SocRec!$B$4:$C$11</definedName>
    <definedName name="out_15">Workbased!$B$5:$H$11</definedName>
    <definedName name="out_2">Work!$G$4:$H$11</definedName>
    <definedName name="out_4">School!$G$4:$H$11</definedName>
    <definedName name="out_6">Escort!$G$4:$H$11</definedName>
    <definedName name="out_8">Personal_Business!$G$4:$H$11</definedName>
    <definedName name="out_10">Shop!$G$4:$H$11</definedName>
    <definedName name="out_12">Meal!$G$4:$H$11</definedName>
    <definedName name="out_14">SocRec!$G$4:$H$11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8" i="15" l="1"/>
  <c r="AQ18" i="15"/>
  <c r="AR18" i="15"/>
  <c r="AU58" i="15"/>
  <c r="AV58" i="15"/>
  <c r="AW58" i="15"/>
  <c r="AU55" i="15"/>
  <c r="AV55" i="15"/>
  <c r="AW55" i="15"/>
  <c r="AU56" i="15"/>
  <c r="AV56" i="15"/>
  <c r="AW56" i="15"/>
  <c r="AU57" i="15"/>
  <c r="AV57" i="15"/>
  <c r="AW57" i="15"/>
  <c r="AU48" i="15"/>
  <c r="AV48" i="15"/>
  <c r="AW48" i="15"/>
  <c r="AU49" i="15"/>
  <c r="AV49" i="15"/>
  <c r="AW49" i="15"/>
  <c r="AU50" i="15"/>
  <c r="AV50" i="15"/>
  <c r="AW50" i="15"/>
  <c r="AU51" i="15"/>
  <c r="AV51" i="15"/>
  <c r="AW51" i="15"/>
  <c r="AU52" i="15"/>
  <c r="AV52" i="15"/>
  <c r="AW52" i="15"/>
  <c r="AU53" i="15"/>
  <c r="AV53" i="15"/>
  <c r="AW53" i="15"/>
  <c r="AU54" i="15"/>
  <c r="AV54" i="15"/>
  <c r="AW54" i="15"/>
  <c r="AF39" i="15"/>
  <c r="AG39" i="15"/>
  <c r="AH39" i="15"/>
  <c r="AF40" i="15"/>
  <c r="AG40" i="15"/>
  <c r="AH40" i="15"/>
  <c r="AF41" i="15"/>
  <c r="AG41" i="15"/>
  <c r="AH41" i="15"/>
  <c r="AF42" i="15"/>
  <c r="AG42" i="15"/>
  <c r="AH42" i="15"/>
  <c r="AF43" i="15"/>
  <c r="AG43" i="15"/>
  <c r="AH43" i="15"/>
  <c r="AF44" i="15"/>
  <c r="AG44" i="15"/>
  <c r="AH44" i="15"/>
  <c r="AF45" i="15"/>
  <c r="AG45" i="15"/>
  <c r="AH45" i="15"/>
  <c r="AF46" i="15"/>
  <c r="AG46" i="15"/>
  <c r="AH46" i="15"/>
  <c r="AF47" i="15"/>
  <c r="AG47" i="15"/>
  <c r="AH47" i="15"/>
  <c r="AF48" i="15"/>
  <c r="AG48" i="15"/>
  <c r="AH48" i="15"/>
  <c r="AF49" i="15"/>
  <c r="AG49" i="15"/>
  <c r="AH49" i="15"/>
  <c r="AR11" i="15" l="1"/>
  <c r="V60" i="15" l="1"/>
  <c r="V59" i="15"/>
  <c r="U60" i="15"/>
  <c r="U59" i="15"/>
  <c r="T60" i="15"/>
  <c r="S62" i="15"/>
  <c r="S60" i="15"/>
  <c r="S59" i="15"/>
  <c r="V56" i="15"/>
  <c r="V57" i="15"/>
  <c r="U56" i="15"/>
  <c r="U57" i="15"/>
  <c r="T56" i="15"/>
  <c r="T57" i="15"/>
  <c r="S56" i="15"/>
  <c r="S57" i="15"/>
  <c r="S55" i="15"/>
  <c r="T55" i="15"/>
  <c r="U55" i="15"/>
  <c r="V55" i="15"/>
  <c r="R56" i="15"/>
  <c r="R57" i="15"/>
  <c r="R58" i="15"/>
  <c r="R59" i="15"/>
  <c r="R60" i="15"/>
  <c r="R55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Z18" i="15"/>
  <c r="AZ19" i="15"/>
  <c r="AZ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3" i="15"/>
  <c r="AR4" i="15"/>
  <c r="AR5" i="15"/>
  <c r="AR6" i="15"/>
  <c r="AR7" i="15"/>
  <c r="AR8" i="15"/>
  <c r="AR9" i="15"/>
  <c r="AR10" i="15"/>
  <c r="AR12" i="15"/>
  <c r="AR13" i="15"/>
  <c r="AR14" i="15"/>
  <c r="AR15" i="15"/>
  <c r="AR16" i="15"/>
  <c r="AR17" i="15"/>
  <c r="AR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3" i="15"/>
  <c r="AP17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" i="15"/>
  <c r="AX12" i="15" l="1"/>
  <c r="AN4" i="15"/>
  <c r="AN28" i="15"/>
  <c r="AN25" i="15"/>
  <c r="AN24" i="15"/>
  <c r="AX27" i="15"/>
  <c r="BC14" i="15"/>
  <c r="AX26" i="15"/>
  <c r="AX25" i="15"/>
  <c r="BC12" i="15"/>
  <c r="AX24" i="15"/>
  <c r="AX47" i="15"/>
  <c r="AX23" i="15"/>
  <c r="BC10" i="15"/>
  <c r="BC11" i="15"/>
  <c r="BC9" i="15"/>
  <c r="AS18" i="15"/>
  <c r="AX3" i="15"/>
  <c r="BC15" i="15"/>
  <c r="AX38" i="15"/>
  <c r="AX37" i="15"/>
  <c r="AX13" i="15"/>
  <c r="AX39" i="15"/>
  <c r="AX35" i="15"/>
  <c r="AX15" i="15"/>
  <c r="AX36" i="15"/>
  <c r="AX34" i="15"/>
  <c r="AX33" i="15"/>
  <c r="AX32" i="15"/>
  <c r="AX31" i="15"/>
  <c r="AX29" i="15"/>
  <c r="AX30" i="15"/>
  <c r="AN23" i="15"/>
  <c r="AX4" i="15"/>
  <c r="AX28" i="15"/>
  <c r="AX42" i="15"/>
  <c r="AS13" i="15"/>
  <c r="AS10" i="15"/>
  <c r="AN31" i="15"/>
  <c r="AN7" i="15"/>
  <c r="AN3" i="15"/>
  <c r="AN21" i="15"/>
  <c r="AN44" i="15"/>
  <c r="AN20" i="15"/>
  <c r="AN15" i="15"/>
  <c r="AS3" i="15"/>
  <c r="AS16" i="15"/>
  <c r="AN39" i="15"/>
  <c r="AN38" i="15"/>
  <c r="AS15" i="15"/>
  <c r="AX40" i="15"/>
  <c r="AN29" i="15"/>
  <c r="AN43" i="15"/>
  <c r="AN19" i="15"/>
  <c r="AN42" i="15"/>
  <c r="AN18" i="15"/>
  <c r="AN41" i="15"/>
  <c r="AN40" i="15"/>
  <c r="AN16" i="15"/>
  <c r="AN37" i="15"/>
  <c r="AN13" i="15"/>
  <c r="AN36" i="15"/>
  <c r="AN12" i="15"/>
  <c r="AS14" i="15"/>
  <c r="AS9" i="15"/>
  <c r="AN26" i="15"/>
  <c r="AI4" i="15"/>
  <c r="AI26" i="15"/>
  <c r="AI25" i="15"/>
  <c r="AX56" i="15"/>
  <c r="AX51" i="15"/>
  <c r="AX50" i="15"/>
  <c r="AX55" i="15"/>
  <c r="AX49" i="15"/>
  <c r="AX57" i="15"/>
  <c r="AX54" i="15"/>
  <c r="AX53" i="15"/>
  <c r="AX58" i="15"/>
  <c r="AX48" i="15"/>
  <c r="AX52" i="15"/>
  <c r="AI27" i="15"/>
  <c r="AI23" i="15"/>
  <c r="AX46" i="15"/>
  <c r="AX22" i="15"/>
  <c r="AI29" i="15"/>
  <c r="AX45" i="15"/>
  <c r="AI24" i="15"/>
  <c r="AI21" i="15"/>
  <c r="AX44" i="15"/>
  <c r="AX20" i="15"/>
  <c r="AI20" i="15"/>
  <c r="AX43" i="15"/>
  <c r="AX19" i="15"/>
  <c r="AI18" i="15"/>
  <c r="AX41" i="15"/>
  <c r="AX17" i="15"/>
  <c r="BC4" i="15"/>
  <c r="AI17" i="15"/>
  <c r="AN35" i="15"/>
  <c r="AN11" i="15"/>
  <c r="AX16" i="15"/>
  <c r="AI16" i="15"/>
  <c r="AN34" i="15"/>
  <c r="AN10" i="15"/>
  <c r="AI3" i="15"/>
  <c r="AN33" i="15"/>
  <c r="AN9" i="15"/>
  <c r="AI38" i="15"/>
  <c r="AI14" i="15"/>
  <c r="AN32" i="15"/>
  <c r="AI28" i="15"/>
  <c r="AI37" i="15"/>
  <c r="AI13" i="15"/>
  <c r="AI36" i="15"/>
  <c r="AI12" i="15"/>
  <c r="AN30" i="15"/>
  <c r="AN6" i="15"/>
  <c r="AX11" i="15"/>
  <c r="AI35" i="15"/>
  <c r="AI11" i="15"/>
  <c r="AS7" i="15"/>
  <c r="AX10" i="15"/>
  <c r="AI34" i="15"/>
  <c r="AI10" i="15"/>
  <c r="AS6" i="15"/>
  <c r="AX9" i="15"/>
  <c r="BC3" i="15"/>
  <c r="AI33" i="15"/>
  <c r="AS5" i="15"/>
  <c r="AX8" i="15"/>
  <c r="BC19" i="15"/>
  <c r="AI32" i="15"/>
  <c r="BC18" i="15"/>
  <c r="AI31" i="15"/>
  <c r="AI7" i="15"/>
  <c r="AS17" i="15"/>
  <c r="AX6" i="15"/>
  <c r="BC17" i="15"/>
  <c r="AI42" i="15"/>
  <c r="AI47" i="15"/>
  <c r="AI46" i="15"/>
  <c r="AI48" i="15"/>
  <c r="AI39" i="15"/>
  <c r="AI43" i="15"/>
  <c r="AI49" i="15"/>
  <c r="AI40" i="15"/>
  <c r="AI44" i="15"/>
  <c r="AI41" i="15"/>
  <c r="AI45" i="15"/>
  <c r="AI30" i="15"/>
  <c r="AI6" i="15"/>
  <c r="BC16" i="15"/>
  <c r="R46" i="15"/>
  <c r="U48" i="15"/>
  <c r="S44" i="15"/>
  <c r="R43" i="15"/>
  <c r="V48" i="15"/>
  <c r="T43" i="15"/>
  <c r="T48" i="15"/>
  <c r="T45" i="15"/>
  <c r="T44" i="15"/>
  <c r="U43" i="15"/>
  <c r="U45" i="15"/>
  <c r="U44" i="15"/>
  <c r="U47" i="15"/>
  <c r="V43" i="15"/>
  <c r="V45" i="15"/>
  <c r="V44" i="15"/>
  <c r="V47" i="15"/>
  <c r="R45" i="15"/>
  <c r="R44" i="15"/>
  <c r="R48" i="15"/>
  <c r="R47" i="15"/>
  <c r="S43" i="15"/>
  <c r="S50" i="15"/>
  <c r="S48" i="15"/>
  <c r="S47" i="15"/>
  <c r="S45" i="15"/>
  <c r="R12" i="7" l="1"/>
  <c r="Q12" i="7"/>
  <c r="P12" i="7"/>
  <c r="O12" i="7"/>
  <c r="N12" i="7"/>
  <c r="M12" i="7"/>
  <c r="L12" i="7"/>
  <c r="H12" i="1"/>
  <c r="G12" i="1"/>
  <c r="H12" i="5"/>
  <c r="G12" i="5"/>
  <c r="H12" i="10"/>
  <c r="G12" i="10"/>
  <c r="I12" i="10" s="1"/>
  <c r="H12" i="8"/>
  <c r="G12" i="8"/>
  <c r="H12" i="6"/>
  <c r="G12" i="6"/>
  <c r="H12" i="9"/>
  <c r="G12" i="9"/>
  <c r="H12" i="4"/>
  <c r="G12" i="4"/>
  <c r="I12" i="5" l="1"/>
  <c r="I12" i="8"/>
  <c r="I12" i="9"/>
  <c r="I12" i="6"/>
  <c r="I12" i="4"/>
  <c r="S11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O26" i="15" l="1"/>
  <c r="O38" i="15" s="1"/>
  <c r="V38" i="15" s="1"/>
  <c r="S12" i="7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25" i="15" s="1"/>
  <c r="D10" i="4"/>
  <c r="D24" i="15" s="1"/>
  <c r="D9" i="4"/>
  <c r="D23" i="15" s="1"/>
  <c r="D8" i="4"/>
  <c r="D22" i="15" s="1"/>
  <c r="D7" i="4"/>
  <c r="D21" i="15" s="1"/>
  <c r="D6" i="4"/>
  <c r="D20" i="15" s="1"/>
  <c r="D5" i="4"/>
  <c r="D19" i="15" s="1"/>
  <c r="D4" i="4"/>
  <c r="D18" i="15" s="1"/>
  <c r="I11" i="4"/>
  <c r="L25" i="15" s="1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I11" i="5"/>
  <c r="M25" i="15" s="1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1" i="5"/>
  <c r="E25" i="15" s="1"/>
  <c r="D10" i="5"/>
  <c r="E24" i="15" s="1"/>
  <c r="D9" i="5"/>
  <c r="E23" i="15" s="1"/>
  <c r="D8" i="5"/>
  <c r="E22" i="15" s="1"/>
  <c r="D7" i="5"/>
  <c r="E21" i="15" s="1"/>
  <c r="D6" i="5"/>
  <c r="E20" i="15" s="1"/>
  <c r="D5" i="5"/>
  <c r="E19" i="15" s="1"/>
  <c r="D4" i="5"/>
  <c r="E18" i="15" s="1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G24" i="15" s="1"/>
  <c r="I10" i="7"/>
  <c r="G23" i="15" s="1"/>
  <c r="I9" i="7"/>
  <c r="G22" i="15" s="1"/>
  <c r="I8" i="7"/>
  <c r="G21" i="15" s="1"/>
  <c r="I7" i="7"/>
  <c r="G20" i="15" s="1"/>
  <c r="I6" i="7"/>
  <c r="G19" i="15" s="1"/>
  <c r="I5" i="7"/>
  <c r="G18" i="15" s="1"/>
  <c r="H12" i="7"/>
  <c r="G12" i="7"/>
  <c r="F12" i="7"/>
  <c r="E12" i="7"/>
  <c r="D12" i="7"/>
  <c r="C12" i="7"/>
  <c r="B12" i="7"/>
  <c r="I11" i="1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1" i="1"/>
  <c r="C25" i="15" s="1"/>
  <c r="D10" i="1"/>
  <c r="C24" i="15" s="1"/>
  <c r="D9" i="1"/>
  <c r="C23" i="15" s="1"/>
  <c r="D8" i="1"/>
  <c r="C22" i="15" s="1"/>
  <c r="D7" i="1"/>
  <c r="C21" i="15" s="1"/>
  <c r="D6" i="1"/>
  <c r="C20" i="15" s="1"/>
  <c r="D5" i="1"/>
  <c r="C19" i="15" s="1"/>
  <c r="D4" i="1"/>
  <c r="C18" i="15" s="1"/>
  <c r="C12" i="1"/>
  <c r="B12" i="1"/>
  <c r="E26" i="15" l="1"/>
  <c r="E37" i="15" s="1"/>
  <c r="D26" i="15"/>
  <c r="F24" i="15"/>
  <c r="H24" i="15" s="1"/>
  <c r="C26" i="15"/>
  <c r="F25" i="15"/>
  <c r="F18" i="15"/>
  <c r="F19" i="15"/>
  <c r="H19" i="15" s="1"/>
  <c r="F20" i="15"/>
  <c r="H20" i="15" s="1"/>
  <c r="F21" i="15"/>
  <c r="H21" i="15" s="1"/>
  <c r="F22" i="15"/>
  <c r="H22" i="15" s="1"/>
  <c r="F23" i="15"/>
  <c r="H23" i="15" s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C35" i="15"/>
  <c r="C31" i="15"/>
  <c r="L26" i="15"/>
  <c r="L37" i="15" s="1"/>
  <c r="O36" i="15"/>
  <c r="D38" i="15"/>
  <c r="E9" i="11"/>
  <c r="K23" i="15"/>
  <c r="O33" i="15"/>
  <c r="M26" i="15"/>
  <c r="M36" i="15" s="1"/>
  <c r="E11" i="11"/>
  <c r="K25" i="15"/>
  <c r="O35" i="15"/>
  <c r="O34" i="15"/>
  <c r="O32" i="15"/>
  <c r="I12" i="1"/>
  <c r="E5" i="11"/>
  <c r="E10" i="11"/>
  <c r="E6" i="11"/>
  <c r="E8" i="11"/>
  <c r="E7" i="11"/>
  <c r="B11" i="11"/>
  <c r="B10" i="11"/>
  <c r="D12" i="4"/>
  <c r="B17" i="4" s="1"/>
  <c r="B5" i="11"/>
  <c r="B7" i="11"/>
  <c r="B9" i="11"/>
  <c r="B4" i="11"/>
  <c r="B6" i="11"/>
  <c r="B8" i="11"/>
  <c r="H24" i="6"/>
  <c r="D12" i="9"/>
  <c r="C19" i="9" s="1"/>
  <c r="D12" i="10"/>
  <c r="C23" i="10" s="1"/>
  <c r="D12" i="6"/>
  <c r="B25" i="6" s="1"/>
  <c r="D12" i="5"/>
  <c r="D23" i="5" s="1"/>
  <c r="E4" i="11"/>
  <c r="I18" i="8"/>
  <c r="M31" i="8" s="1"/>
  <c r="I12" i="7"/>
  <c r="D12" i="8"/>
  <c r="D24" i="8" s="1"/>
  <c r="D12" i="1"/>
  <c r="B25" i="1" s="1"/>
  <c r="I22" i="7" l="1"/>
  <c r="G25" i="15"/>
  <c r="F26" i="15"/>
  <c r="F34" i="15" s="1"/>
  <c r="H18" i="15"/>
  <c r="M33" i="15"/>
  <c r="O39" i="15"/>
  <c r="D34" i="15"/>
  <c r="E35" i="15"/>
  <c r="M31" i="15"/>
  <c r="D36" i="15"/>
  <c r="E34" i="15"/>
  <c r="E33" i="15"/>
  <c r="T33" i="15" s="1"/>
  <c r="AA33" i="15" s="1"/>
  <c r="E38" i="15"/>
  <c r="D33" i="15"/>
  <c r="D32" i="15"/>
  <c r="D37" i="15"/>
  <c r="C34" i="15"/>
  <c r="K26" i="15"/>
  <c r="K38" i="15" s="1"/>
  <c r="M38" i="15"/>
  <c r="D31" i="15"/>
  <c r="C17" i="10"/>
  <c r="N26" i="15"/>
  <c r="C36" i="15"/>
  <c r="M32" i="15"/>
  <c r="D35" i="15"/>
  <c r="L32" i="15"/>
  <c r="E36" i="15"/>
  <c r="T36" i="15" s="1"/>
  <c r="AA36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S38" i="15" s="1"/>
  <c r="Z38" i="15" s="1"/>
  <c r="L36" i="15"/>
  <c r="P25" i="15"/>
  <c r="D24" i="6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H19" i="5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G18" i="9"/>
  <c r="G25" i="9"/>
  <c r="I21" i="9"/>
  <c r="H21" i="9"/>
  <c r="G21" i="9"/>
  <c r="I19" i="9"/>
  <c r="I24" i="9"/>
  <c r="G23" i="9"/>
  <c r="G22" i="9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S33" i="15" l="1"/>
  <c r="Z33" i="15" s="1"/>
  <c r="G35" i="9"/>
  <c r="S36" i="15"/>
  <c r="Z36" i="15" s="1"/>
  <c r="K35" i="15"/>
  <c r="R35" i="15" s="1"/>
  <c r="Y35" i="15" s="1"/>
  <c r="Y59" i="15" s="1"/>
  <c r="AI8" i="15" s="1"/>
  <c r="H25" i="15"/>
  <c r="H26" i="15" s="1"/>
  <c r="G26" i="15"/>
  <c r="K37" i="15"/>
  <c r="K31" i="15"/>
  <c r="R31" i="15" s="1"/>
  <c r="Y31" i="15" s="1"/>
  <c r="Y55" i="15" s="1"/>
  <c r="AI19" i="15" s="1"/>
  <c r="K34" i="15"/>
  <c r="R34" i="15" s="1"/>
  <c r="Y34" i="15" s="1"/>
  <c r="Y58" i="15" s="1"/>
  <c r="AI5" i="15" s="1"/>
  <c r="K32" i="15"/>
  <c r="R32" i="15" s="1"/>
  <c r="P26" i="15"/>
  <c r="S36" i="7"/>
  <c r="H36" i="9"/>
  <c r="G34" i="5"/>
  <c r="G35" i="6"/>
  <c r="K36" i="15"/>
  <c r="R36" i="15" s="1"/>
  <c r="N38" i="10"/>
  <c r="H32" i="5"/>
  <c r="N35" i="9"/>
  <c r="N38" i="4"/>
  <c r="K33" i="15"/>
  <c r="R33" i="15" s="1"/>
  <c r="Y33" i="15" s="1"/>
  <c r="Y57" i="15" s="1"/>
  <c r="AI9" i="15" s="1"/>
  <c r="H38" i="9"/>
  <c r="S35" i="15"/>
  <c r="Z35" i="15" s="1"/>
  <c r="F33" i="15"/>
  <c r="G35" i="10"/>
  <c r="H30" i="10"/>
  <c r="F31" i="15"/>
  <c r="F38" i="15"/>
  <c r="F32" i="15"/>
  <c r="S32" i="15"/>
  <c r="Z32" i="15" s="1"/>
  <c r="M39" i="15"/>
  <c r="N31" i="15"/>
  <c r="N32" i="15"/>
  <c r="N35" i="15"/>
  <c r="N33" i="15"/>
  <c r="N34" i="15"/>
  <c r="N38" i="15"/>
  <c r="N36" i="15"/>
  <c r="N37" i="15"/>
  <c r="L39" i="15"/>
  <c r="C39" i="15"/>
  <c r="F37" i="15"/>
  <c r="D39" i="15"/>
  <c r="S31" i="15"/>
  <c r="Z57" i="15"/>
  <c r="AN14" i="15" s="1"/>
  <c r="F35" i="15"/>
  <c r="F36" i="15"/>
  <c r="T32" i="15"/>
  <c r="AA32" i="15" s="1"/>
  <c r="E39" i="15"/>
  <c r="T31" i="15"/>
  <c r="N37" i="6"/>
  <c r="H35" i="10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G36" i="15" l="1"/>
  <c r="V36" i="15" s="1"/>
  <c r="AC36" i="15" s="1"/>
  <c r="AC60" i="15" s="1"/>
  <c r="BC13" i="15" s="1"/>
  <c r="G37" i="15"/>
  <c r="G31" i="15"/>
  <c r="G34" i="15"/>
  <c r="G32" i="15"/>
  <c r="V32" i="15" s="1"/>
  <c r="AC32" i="15" s="1"/>
  <c r="AC56" i="15" s="1"/>
  <c r="BC7" i="15" s="1"/>
  <c r="G35" i="15"/>
  <c r="V35" i="15" s="1"/>
  <c r="AC35" i="15" s="1"/>
  <c r="AC59" i="15" s="1"/>
  <c r="BC5" i="15" s="1"/>
  <c r="G33" i="15"/>
  <c r="V33" i="15" s="1"/>
  <c r="AC33" i="15" s="1"/>
  <c r="AC57" i="15" s="1"/>
  <c r="BC6" i="15" s="1"/>
  <c r="G38" i="15"/>
  <c r="K39" i="15"/>
  <c r="U32" i="15"/>
  <c r="AB32" i="15" s="1"/>
  <c r="AB56" i="15" s="1"/>
  <c r="AX14" i="15" s="1"/>
  <c r="U33" i="15"/>
  <c r="AB33" i="15" s="1"/>
  <c r="AB57" i="15" s="1"/>
  <c r="AX7" i="15" s="1"/>
  <c r="U31" i="15"/>
  <c r="AB31" i="15" s="1"/>
  <c r="AB55" i="15" s="1"/>
  <c r="AX18" i="15" s="1"/>
  <c r="Y32" i="15"/>
  <c r="Y56" i="15" s="1"/>
  <c r="AI15" i="15" s="1"/>
  <c r="AA31" i="15"/>
  <c r="AA55" i="15" s="1"/>
  <c r="AS11" i="15" s="1"/>
  <c r="Y36" i="15"/>
  <c r="Y60" i="15" s="1"/>
  <c r="AI22" i="15" s="1"/>
  <c r="U36" i="15"/>
  <c r="Z31" i="15"/>
  <c r="Z55" i="15" s="1"/>
  <c r="AN22" i="15" s="1"/>
  <c r="U35" i="15"/>
  <c r="N39" i="15"/>
  <c r="AA56" i="15"/>
  <c r="AS8" i="15" s="1"/>
  <c r="F39" i="15"/>
  <c r="Z59" i="15"/>
  <c r="AN8" i="15" s="1"/>
  <c r="AA60" i="15"/>
  <c r="AS12" i="15" s="1"/>
  <c r="AA57" i="15"/>
  <c r="AS4" i="15" s="1"/>
  <c r="Z56" i="15"/>
  <c r="AN17" i="15" s="1"/>
  <c r="Z60" i="15"/>
  <c r="AN27" i="15" s="1"/>
  <c r="Z62" i="15"/>
  <c r="AN5" i="15" s="1"/>
  <c r="E33" i="11"/>
  <c r="E36" i="11"/>
  <c r="E34" i="11"/>
  <c r="E32" i="11"/>
  <c r="E35" i="11"/>
  <c r="E30" i="11"/>
  <c r="E38" i="11"/>
  <c r="E37" i="11"/>
  <c r="V31" i="15" l="1"/>
  <c r="AC31" i="15" s="1"/>
  <c r="AC55" i="15" s="1"/>
  <c r="BC8" i="15" s="1"/>
  <c r="G39" i="15"/>
  <c r="AB36" i="15"/>
  <c r="AB60" i="15" s="1"/>
  <c r="AX21" i="15" s="1"/>
  <c r="AB35" i="15"/>
  <c r="AB59" i="15" s="1"/>
  <c r="AX5" i="15" s="1"/>
</calcChain>
</file>

<file path=xl/sharedStrings.xml><?xml version="1.0" encoding="utf-8"?>
<sst xmlns="http://schemas.openxmlformats.org/spreadsheetml/2006/main" count="1900" uniqueCount="289">
  <si>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</si>
  <si>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</si>
  <si>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</si>
  <si>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</si>
  <si>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</si>
  <si>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</si>
  <si>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</si>
  <si>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</si>
  <si>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</si>
  <si>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</si>
  <si>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</si>
  <si>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</si>
  <si>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</si>
  <si>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</si>
  <si>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</si>
  <si>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</si>
  <si>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</si>
  <si>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</si>
  <si>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</si>
  <si>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</si>
  <si>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</si>
  <si>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</si>
  <si>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</si>
  <si>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</si>
  <si>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</si>
  <si>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</si>
  <si>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</si>
  <si>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</si>
  <si>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</si>
  <si>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</si>
  <si>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</si>
  <si>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</si>
  <si>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</si>
  <si>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</si>
  <si>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</si>
  <si>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</si>
  <si>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</si>
  <si>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</si>
  <si>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</si>
  <si>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</si>
  <si>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</si>
  <si>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</si>
  <si>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</si>
  <si>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</si>
  <si>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</si>
  <si>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</si>
  <si>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</si>
  <si>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</si>
  <si>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</si>
  <si>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</si>
  <si>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</si>
  <si>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</si>
  <si>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</si>
  <si>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</si>
  <si>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</si>
  <si>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</si>
  <si>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</si>
  <si>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</si>
  <si>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</si>
  <si>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</si>
  <si>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</si>
  <si>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</si>
  <si>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</si>
  <si>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</si>
  <si>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</si>
  <si>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</si>
  <si>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</si>
  <si>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</si>
  <si>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</si>
  <si>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</si>
  <si>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</si>
  <si>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</si>
  <si>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</si>
  <si>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</si>
  <si>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</si>
  <si>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</si>
  <si>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</si>
  <si>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</si>
  <si>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</si>
  <si>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</si>
  <si>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</si>
  <si>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</si>
  <si>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</si>
  <si>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</si>
  <si>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</si>
  <si>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</si>
  <si>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</si>
  <si>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</si>
  <si>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</si>
  <si>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</si>
  <si>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</si>
  <si>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</si>
  <si>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</si>
  <si>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</si>
  <si>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</si>
  <si>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</si>
  <si>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</si>
  <si>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</si>
  <si>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</si>
  <si>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</si>
  <si>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</si>
  <si>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</si>
  <si>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</si>
  <si>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</si>
  <si>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</si>
  <si>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</si>
  <si>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</si>
  <si>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</si>
  <si>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</si>
  <si>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</si>
  <si>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</si>
  <si>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</si>
  <si>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</si>
  <si>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</si>
  <si>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</si>
  <si>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</si>
  <si>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</si>
  <si>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</si>
  <si>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</si>
  <si>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</si>
  <si>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</si>
  <si>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</si>
  <si>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</si>
  <si>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</si>
  <si>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</si>
  <si>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</si>
  <si>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</si>
  <si>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</si>
  <si>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</si>
  <si>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</si>
  <si>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</si>
  <si>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</si>
  <si>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</si>
  <si>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</si>
  <si>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</si>
  <si>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</si>
  <si>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</si>
  <si>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</si>
  <si>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</si>
  <si>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</si>
  <si>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</si>
  <si>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</si>
  <si>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</si>
  <si>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</si>
  <si>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</si>
  <si>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</si>
  <si>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</si>
  <si>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</si>
  <si>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</si>
  <si>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</si>
  <si>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</si>
  <si>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</si>
  <si>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</si>
  <si>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</si>
  <si>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</si>
  <si>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</si>
  <si>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</si>
  <si>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</si>
  <si>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</si>
  <si>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</si>
  <si>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</si>
  <si>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</si>
  <si>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</si>
  <si>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</si>
  <si>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</si>
  <si>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</si>
  <si>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</si>
  <si>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</si>
  <si>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</si>
  <si>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</si>
  <si>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</si>
  <si>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</si>
  <si>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</si>
  <si>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</si>
  <si>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</si>
  <si>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</si>
  <si>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</si>
  <si>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</si>
  <si>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</si>
  <si>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</si>
  <si>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</si>
  <si>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</si>
  <si>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</si>
  <si>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</si>
  <si>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</si>
  <si>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</si>
  <si>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</si>
  <si>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</si>
  <si>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</si>
  <si>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</si>
  <si>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</si>
  <si>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</si>
  <si>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</si>
  <si>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</si>
  <si>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</si>
  <si>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</si>
  <si>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</si>
  <si>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</si>
  <si>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</si>
  <si>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</si>
  <si>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</si>
  <si>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</si>
  <si>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</si>
  <si>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</si>
  <si>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</si>
  <si>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</si>
  <si>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</si>
  <si>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</si>
  <si>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</si>
  <si>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</si>
  <si>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</si>
  <si>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</si>
  <si>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</si>
  <si>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</si>
  <si>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</si>
  <si>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</si>
  <si>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</si>
  <si>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</si>
  <si>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</si>
  <si>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</si>
  <si>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</si>
  <si>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</si>
  <si>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</si>
  <si>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</si>
  <si>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</si>
  <si>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</si>
  <si>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</si>
  <si>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</si>
  <si>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</si>
  <si>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</si>
  <si>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</si>
  <si>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</si>
  <si>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</si>
  <si>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</si>
  <si>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</si>
  <si>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</si>
  <si>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</si>
  <si>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</si>
  <si>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</si>
  <si>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</si>
  <si>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</si>
  <si>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</si>
  <si>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</si>
  <si>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</si>
  <si>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</si>
  <si>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</si>
  <si>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distcont1</t>
  </si>
  <si>
    <t>distcont2</t>
  </si>
  <si>
    <t>distcont3</t>
  </si>
  <si>
    <t>distcont4</t>
  </si>
  <si>
    <t>distcont5</t>
  </si>
  <si>
    <t>distcont6</t>
  </si>
  <si>
    <t>distcont7</t>
  </si>
  <si>
    <t>distcont8</t>
  </si>
  <si>
    <t>distcont9</t>
  </si>
  <si>
    <t>distcon10</t>
  </si>
  <si>
    <t>distcon11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</si>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</sst>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mm/dd/yyyy\ hh:mm:ss"/>
    <numFmt numFmtId="166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70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 xr:uid="{00000000-0005-0000-0000-000001000000}"/>
    <cellStyle name="XLConnect.Date" xfId="3" xr:uid="{00000000-0005-0000-0000-000002000000}"/>
    <cellStyle name="XLConnect.DateTime" xfId="7" xr:uid="{00000000-0005-0000-0000-000003000000}"/>
    <cellStyle name="XLConnect.General" xfId="1" xr:uid="{00000000-0005-0000-0000-000004000000}"/>
    <cellStyle name="XLConnect.Header" xfId="2" xr:uid="{00000000-0005-0000-0000-000005000000}"/>
    <cellStyle name="XLConnect.Numeric" xfId="5" xr:uid="{00000000-0005-0000-0000-000006000000}"/>
    <cellStyle name="XLConnect.String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workbookViewId="0">
      <selection activeCell="E3" sqref="E3:E12"/>
    </sheetView>
  </sheetViews>
  <sheetFormatPr defaultRowHeight="14.25" x14ac:dyDescent="0.45"/>
  <cols>
    <col min="1" max="2" customWidth="true" width="16.73046875" collapsed="true"/>
    <col min="4" max="5" customWidth="true" width="16.73046875" collapsed="true"/>
  </cols>
  <sheetData>
    <row r="2" spans="1:5" ht="14.65" thickBot="1" x14ac:dyDescent="0.5">
      <c r="A2" s="1" t="s">
        <v>44</v>
      </c>
      <c r="B2" s="3"/>
      <c r="D2" s="1" t="s">
        <v>24</v>
      </c>
      <c r="E2" s="3"/>
    </row>
    <row r="3" spans="1:5" x14ac:dyDescent="0.4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45">
      <c r="A4" s="9" t="s">
        <v>1</v>
      </c>
      <c r="B4" s="9">
        <f>SUM(Work!D4,Workbased!I5,School!D4,Escort!D4,Personal_Business!D4,Shop!D4,Meal!D4,SocRec!D4)</f>
        <v>221111.59603573682</v>
      </c>
      <c r="D4" s="9" t="s">
        <v>1</v>
      </c>
      <c r="E4" s="9">
        <f>SUM(Work!I4,Workbased!S5,School!I4,Escort!I4,Personal_Business!I4,Shop!I4,Meal!I4,SocRec!I4)</f>
        <v>271342</v>
      </c>
    </row>
    <row r="5" spans="1:5" x14ac:dyDescent="0.45">
      <c r="A5" s="9" t="s">
        <v>2</v>
      </c>
      <c r="B5" s="9">
        <f>SUM(Work!D5,Workbased!I6,School!D5,Escort!D5,Personal_Business!D5,Shop!D5,Meal!D5,SocRec!D5)</f>
        <v>201819.26801318381</v>
      </c>
      <c r="D5" s="9" t="s">
        <v>2</v>
      </c>
      <c r="E5" s="9">
        <f>SUM(Work!I5,Workbased!S6,School!I5,Escort!I5,Personal_Business!I5,Shop!I5,Meal!I5,SocRec!I5)</f>
        <v>197882</v>
      </c>
    </row>
    <row r="6" spans="1:5" x14ac:dyDescent="0.45">
      <c r="A6" s="9" t="s">
        <v>3</v>
      </c>
      <c r="B6" s="9">
        <f>SUM(Work!D6,Workbased!I7,School!D6,Escort!D6,Personal_Business!D6,Shop!D6,Meal!D6,SocRec!D6)</f>
        <v>140885.8635106099</v>
      </c>
      <c r="D6" s="9" t="s">
        <v>3</v>
      </c>
      <c r="E6" s="9">
        <f>SUM(Work!I6,Workbased!S7,School!I6,Escort!I6,Personal_Business!I6,Shop!I6,Meal!I6,SocRec!I6)</f>
        <v>164918</v>
      </c>
    </row>
    <row r="7" spans="1:5" x14ac:dyDescent="0.45">
      <c r="A7" s="9" t="s">
        <v>4</v>
      </c>
      <c r="B7" s="9">
        <f>SUM(Work!D7,Workbased!I8,School!D7,Escort!D7,Personal_Business!D7,Shop!D7,Meal!D7,SocRec!D7)</f>
        <v>6240.0159039900009</v>
      </c>
      <c r="D7" s="9" t="s">
        <v>4</v>
      </c>
      <c r="E7" s="9">
        <f>SUM(Work!I7,Workbased!S8,School!I7,Escort!I7,Personal_Business!I7,Shop!I7,Meal!I7,SocRec!I7)</f>
        <v>11309</v>
      </c>
    </row>
    <row r="8" spans="1:5" x14ac:dyDescent="0.45">
      <c r="A8" s="9" t="s">
        <v>5</v>
      </c>
      <c r="B8" s="9">
        <f>SUM(Work!D8,Workbased!I9,School!D8,Escort!D8,Personal_Business!D8,Shop!D8,Meal!D8,SocRec!D8)</f>
        <v>45697.325588123203</v>
      </c>
      <c r="D8" s="9" t="s">
        <v>5</v>
      </c>
      <c r="E8" s="9">
        <f>SUM(Work!I8,Workbased!S9,School!I8,Escort!I8,Personal_Business!I8,Shop!I8,Meal!I8,SocRec!I8)</f>
        <v>9393</v>
      </c>
    </row>
    <row r="9" spans="1:5" x14ac:dyDescent="0.45">
      <c r="A9" s="9" t="s">
        <v>6</v>
      </c>
      <c r="B9" s="9">
        <f>SUM(Work!D9,Workbased!I10,School!D9,Escort!D9,Personal_Business!D9,Shop!D9,Meal!D9,SocRec!D9)</f>
        <v>8451.9823765590008</v>
      </c>
      <c r="D9" s="9" t="s">
        <v>6</v>
      </c>
      <c r="E9" s="9">
        <f>SUM(Work!I9,Workbased!S10,School!I9,Escort!I9,Personal_Business!I9,Shop!I9,Meal!I9,SocRec!I9)</f>
        <v>9609</v>
      </c>
    </row>
    <row r="10" spans="1:5" x14ac:dyDescent="0.45">
      <c r="A10" s="9" t="s">
        <v>7</v>
      </c>
      <c r="B10" s="9">
        <f>SUM(Work!D10,Workbased!I11,School!D10,Escort!D10,Personal_Business!D10,Shop!D10,Meal!D10,SocRec!D10)</f>
        <v>67580.689577659607</v>
      </c>
      <c r="D10" s="9" t="s">
        <v>7</v>
      </c>
      <c r="E10" s="9">
        <f>SUM(Work!I10,Workbased!S11,School!I10,Escort!I10,Personal_Business!I10,Shop!I10,Meal!I10,SocRec!I10)</f>
        <v>63639</v>
      </c>
    </row>
    <row r="11" spans="1:5" x14ac:dyDescent="0.45">
      <c r="A11" s="14" t="s">
        <v>8</v>
      </c>
      <c r="B11" s="14">
        <f>SUM(Work!D11,School!D11,Escort!D11,Personal_Business!D11,Shop!D11,Meal!D11,SocRec!D11)</f>
        <v>17474.710270342002</v>
      </c>
      <c r="D11" s="14" t="s">
        <v>8</v>
      </c>
      <c r="E11" s="14">
        <f>SUM(Work!I11,School!I11,Escort!I11,Personal_Business!I11,Shop!I11,Meal!I11,SocRec!I11)</f>
        <v>25300</v>
      </c>
    </row>
    <row r="12" spans="1:5" ht="14.65" thickBot="1" x14ac:dyDescent="0.5">
      <c r="A12" s="13" t="s">
        <v>19</v>
      </c>
      <c r="B12" s="10">
        <f>SUM(B4:B11)</f>
        <v>709261.45127620432</v>
      </c>
      <c r="D12" s="13" t="s">
        <v>19</v>
      </c>
      <c r="E12" s="10">
        <f>SUM(E4:E11)</f>
        <v>753392</v>
      </c>
    </row>
    <row r="14" spans="1:5" x14ac:dyDescent="0.45">
      <c r="E14" s="8"/>
    </row>
    <row r="15" spans="1:5" ht="14.65" thickBot="1" x14ac:dyDescent="0.5">
      <c r="A15" s="1" t="s">
        <v>45</v>
      </c>
      <c r="B15" s="3"/>
      <c r="D15" s="1" t="s">
        <v>25</v>
      </c>
      <c r="E15" s="3"/>
    </row>
    <row r="16" spans="1:5" x14ac:dyDescent="0.4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45">
      <c r="A17" s="9" t="s">
        <v>1</v>
      </c>
      <c r="B17" s="16">
        <f t="shared" ref="B17:B25" si="0">B4/$B$12</f>
        <v>0.31174906748122477</v>
      </c>
      <c r="D17" s="9" t="s">
        <v>1</v>
      </c>
      <c r="E17" s="16">
        <f t="shared" ref="E17:E25" si="1">E4/$E$12</f>
        <v>0.36016044768195044</v>
      </c>
    </row>
    <row r="18" spans="1:5" x14ac:dyDescent="0.45">
      <c r="A18" s="9" t="s">
        <v>2</v>
      </c>
      <c r="B18" s="16">
        <f t="shared" si="0"/>
        <v>0.28454848018321288</v>
      </c>
      <c r="D18" s="9" t="s">
        <v>2</v>
      </c>
      <c r="E18" s="16">
        <f t="shared" si="1"/>
        <v>0.26265476670843335</v>
      </c>
    </row>
    <row r="19" spans="1:5" x14ac:dyDescent="0.45">
      <c r="A19" s="9" t="s">
        <v>3</v>
      </c>
      <c r="B19" s="16">
        <f t="shared" si="0"/>
        <v>0.19863741820045058</v>
      </c>
      <c r="D19" s="9" t="s">
        <v>3</v>
      </c>
      <c r="E19" s="16">
        <f t="shared" si="1"/>
        <v>0.21890065198462422</v>
      </c>
    </row>
    <row r="20" spans="1:5" x14ac:dyDescent="0.45">
      <c r="A20" s="9" t="s">
        <v>4</v>
      </c>
      <c r="B20" s="16">
        <f t="shared" si="0"/>
        <v>8.7979064599691334E-3</v>
      </c>
      <c r="D20" s="9" t="s">
        <v>4</v>
      </c>
      <c r="E20" s="16">
        <f t="shared" si="1"/>
        <v>1.501077792171937E-2</v>
      </c>
    </row>
    <row r="21" spans="1:5" x14ac:dyDescent="0.45">
      <c r="A21" s="9" t="s">
        <v>5</v>
      </c>
      <c r="B21" s="16">
        <f t="shared" si="0"/>
        <v>6.4429450530404636E-2</v>
      </c>
      <c r="D21" s="9" t="s">
        <v>5</v>
      </c>
      <c r="E21" s="16">
        <f t="shared" si="1"/>
        <v>1.2467613141631449E-2</v>
      </c>
    </row>
    <row r="22" spans="1:5" x14ac:dyDescent="0.45">
      <c r="A22" s="9" t="s">
        <v>6</v>
      </c>
      <c r="B22" s="16">
        <f t="shared" si="0"/>
        <v>1.191659628667396E-2</v>
      </c>
      <c r="D22" s="9" t="s">
        <v>6</v>
      </c>
      <c r="E22" s="16">
        <f t="shared" si="1"/>
        <v>1.2754316478008792E-2</v>
      </c>
    </row>
    <row r="23" spans="1:5" x14ac:dyDescent="0.45">
      <c r="A23" s="9" t="s">
        <v>7</v>
      </c>
      <c r="B23" s="16">
        <f t="shared" si="0"/>
        <v>9.5283184298341317E-2</v>
      </c>
      <c r="D23" s="9" t="s">
        <v>7</v>
      </c>
      <c r="E23" s="16">
        <f t="shared" si="1"/>
        <v>8.4469970480174988E-2</v>
      </c>
    </row>
    <row r="24" spans="1:5" x14ac:dyDescent="0.45">
      <c r="A24" s="14" t="s">
        <v>8</v>
      </c>
      <c r="B24" s="17">
        <f t="shared" si="0"/>
        <v>2.4637896559722809E-2</v>
      </c>
      <c r="D24" s="14" t="s">
        <v>8</v>
      </c>
      <c r="E24" s="17">
        <f t="shared" si="1"/>
        <v>3.3581455603457433E-2</v>
      </c>
    </row>
    <row r="25" spans="1:5" ht="14.65" thickBot="1" x14ac:dyDescent="0.5">
      <c r="A25" s="13" t="s">
        <v>19</v>
      </c>
      <c r="B25" s="18">
        <f t="shared" si="0"/>
        <v>1</v>
      </c>
      <c r="D25" s="13" t="s">
        <v>19</v>
      </c>
      <c r="E25" s="18">
        <f t="shared" si="1"/>
        <v>1</v>
      </c>
    </row>
    <row r="28" spans="1:5" ht="14.65" thickBot="1" x14ac:dyDescent="0.5">
      <c r="D28" s="1" t="s">
        <v>26</v>
      </c>
      <c r="E28" s="3"/>
    </row>
    <row r="29" spans="1:5" x14ac:dyDescent="0.45">
      <c r="D29" s="2" t="s">
        <v>0</v>
      </c>
      <c r="E29" s="7" t="s">
        <v>19</v>
      </c>
    </row>
    <row r="30" spans="1:5" x14ac:dyDescent="0.45">
      <c r="D30" s="9" t="s">
        <v>1</v>
      </c>
      <c r="E30" s="16">
        <f>E17-B17</f>
        <v>4.8411380200725662E-2</v>
      </c>
    </row>
    <row r="31" spans="1:5" x14ac:dyDescent="0.45">
      <c r="D31" s="9" t="s">
        <v>2</v>
      </c>
      <c r="E31" s="16">
        <f t="shared" ref="E31:E36" si="2">E18-B18</f>
        <v>-2.189371347477953E-2</v>
      </c>
    </row>
    <row r="32" spans="1:5" x14ac:dyDescent="0.45">
      <c r="D32" s="9" t="s">
        <v>3</v>
      </c>
      <c r="E32" s="16">
        <f t="shared" si="2"/>
        <v>2.0263233784173634E-2</v>
      </c>
    </row>
    <row r="33" spans="4:5" x14ac:dyDescent="0.45">
      <c r="D33" s="9" t="s">
        <v>4</v>
      </c>
      <c r="E33" s="16">
        <f t="shared" si="2"/>
        <v>6.212871461750237E-3</v>
      </c>
    </row>
    <row r="34" spans="4:5" x14ac:dyDescent="0.45">
      <c r="D34" s="9" t="s">
        <v>5</v>
      </c>
      <c r="E34" s="16">
        <f t="shared" si="2"/>
        <v>-5.1961837388773191E-2</v>
      </c>
    </row>
    <row r="35" spans="4:5" x14ac:dyDescent="0.45">
      <c r="D35" s="9" t="s">
        <v>6</v>
      </c>
      <c r="E35" s="16">
        <f t="shared" si="2"/>
        <v>8.3772019133483179E-4</v>
      </c>
    </row>
    <row r="36" spans="4:5" x14ac:dyDescent="0.45">
      <c r="D36" s="9" t="s">
        <v>7</v>
      </c>
      <c r="E36" s="16">
        <f t="shared" si="2"/>
        <v>-1.0813213818166328E-2</v>
      </c>
    </row>
    <row r="37" spans="4:5" x14ac:dyDescent="0.45">
      <c r="D37" s="14" t="s">
        <v>8</v>
      </c>
      <c r="E37" s="17">
        <f>E24-B24</f>
        <v>8.9435590437346238E-3</v>
      </c>
    </row>
    <row r="38" spans="4:5" ht="14.65" thickBot="1" x14ac:dyDescent="0.5">
      <c r="D38" s="13" t="s">
        <v>19</v>
      </c>
      <c r="E38" s="18">
        <f>E25-B25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69.966370625</v>
      </c>
      <c r="C4" s="9" t="n">
        <v>121472.031112152</v>
      </c>
      <c r="D4" s="9">
        <f>SUM(B4:C4)</f>
        <v>121541.99748277701</v>
      </c>
      <c r="F4" s="9" t="s">
        <v>1</v>
      </c>
      <c r="G4" s="9" t="n">
        <v>0.0</v>
      </c>
      <c r="H4" s="9" t="n">
        <v>154818.0</v>
      </c>
      <c r="I4" s="9">
        <f>SUM(G4:H4)</f>
        <v>153588</v>
      </c>
    </row>
    <row r="5" spans="1:9" x14ac:dyDescent="0.45">
      <c r="A5" s="9" t="s">
        <v>2</v>
      </c>
      <c r="B5" s="9" t="n">
        <v>0.0</v>
      </c>
      <c r="C5" s="9" t="n">
        <v>32993.9682037817</v>
      </c>
      <c r="D5" s="9">
        <f t="shared" ref="D5:D11" si="0">SUM(B5:C5)</f>
        <v>32993.968203781697</v>
      </c>
      <c r="F5" s="9" t="s">
        <v>2</v>
      </c>
      <c r="G5" s="9" t="n">
        <v>778.0</v>
      </c>
      <c r="H5" s="9" t="n">
        <v>40511.0</v>
      </c>
      <c r="I5" s="9">
        <f t="shared" ref="I5:I11" si="1">SUM(G5:H5)</f>
        <v>40539</v>
      </c>
    </row>
    <row r="6" spans="1:9" x14ac:dyDescent="0.45">
      <c r="A6" s="9" t="s">
        <v>3</v>
      </c>
      <c r="B6" s="9" t="n">
        <v>0.0</v>
      </c>
      <c r="C6" s="9" t="n">
        <v>11397.8696365649</v>
      </c>
      <c r="D6" s="9">
        <f t="shared" si="0"/>
        <v>11397.869636564899</v>
      </c>
      <c r="F6" s="9" t="s">
        <v>3</v>
      </c>
      <c r="G6" s="9" t="n">
        <v>386.0</v>
      </c>
      <c r="H6" s="9" t="n">
        <v>20910.0</v>
      </c>
      <c r="I6" s="9">
        <f t="shared" si="1"/>
        <v>21120</v>
      </c>
    </row>
    <row r="7" spans="1:9" x14ac:dyDescent="0.45">
      <c r="A7" s="9" t="s">
        <v>4</v>
      </c>
      <c r="B7" s="9" t="n">
        <v>0.0</v>
      </c>
      <c r="C7" s="9" t="n">
        <v>5507.30219946</v>
      </c>
      <c r="D7" s="9">
        <f t="shared" si="0"/>
        <v>5507.3021994600003</v>
      </c>
      <c r="F7" s="9" t="s">
        <v>4</v>
      </c>
      <c r="G7" s="9" t="n">
        <v>518.0</v>
      </c>
      <c r="H7" s="9" t="n">
        <v>11102.0</v>
      </c>
      <c r="I7" s="9">
        <f t="shared" si="1"/>
        <v>11309</v>
      </c>
    </row>
    <row r="8" spans="1:9" x14ac:dyDescent="0.45">
      <c r="A8" s="9" t="s">
        <v>5</v>
      </c>
      <c r="B8" s="9" t="n">
        <v>7099.271227622</v>
      </c>
      <c r="C8" s="9" t="n">
        <v>18998.9949434033</v>
      </c>
      <c r="D8" s="9">
        <f t="shared" si="0"/>
        <v>26098.266171025301</v>
      </c>
      <c r="F8" s="9" t="s">
        <v>5</v>
      </c>
      <c r="G8" s="9" t="n">
        <v>1259.0</v>
      </c>
      <c r="H8" s="9" t="n">
        <v>3525.0</v>
      </c>
      <c r="I8" s="9">
        <f t="shared" si="1"/>
        <v>4817</v>
      </c>
    </row>
    <row r="9" spans="1:9" x14ac:dyDescent="0.45">
      <c r="A9" s="9" t="s">
        <v>6</v>
      </c>
      <c r="B9" s="9" t="n">
        <v>0.0</v>
      </c>
      <c r="C9" s="9" t="n">
        <v>4186.806790934</v>
      </c>
      <c r="D9" s="9">
        <f t="shared" si="0"/>
        <v>4186.8067909339998</v>
      </c>
      <c r="F9" s="9" t="s">
        <v>6</v>
      </c>
      <c r="G9" s="9" t="n">
        <v>1046.0</v>
      </c>
      <c r="H9" s="9" t="n">
        <v>3269.0</v>
      </c>
      <c r="I9" s="9">
        <f t="shared" si="1"/>
        <v>4161</v>
      </c>
    </row>
    <row r="10" spans="1:9" x14ac:dyDescent="0.45">
      <c r="A10" s="9" t="s">
        <v>7</v>
      </c>
      <c r="B10" s="9" t="n">
        <v>162.069727398</v>
      </c>
      <c r="C10" s="9" t="n">
        <v>2485.7342124678</v>
      </c>
      <c r="D10" s="9">
        <f t="shared" si="0"/>
        <v>2647.8039398657997</v>
      </c>
      <c r="F10" s="9" t="s">
        <v>7</v>
      </c>
      <c r="G10" s="9" t="n">
        <v>476.0</v>
      </c>
      <c r="H10" s="9" t="n">
        <v>1385.0</v>
      </c>
      <c r="I10" s="9">
        <f t="shared" si="1"/>
        <v>1830</v>
      </c>
    </row>
    <row r="11" spans="1:9" x14ac:dyDescent="0.45">
      <c r="A11" s="14" t="s">
        <v>8</v>
      </c>
      <c r="B11" s="14" t="n">
        <v>0.0</v>
      </c>
      <c r="C11" s="14" t="n">
        <v>461.112895342</v>
      </c>
      <c r="D11" s="14">
        <f t="shared" si="0"/>
        <v>461.112895342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7331.3073256450007</v>
      </c>
      <c r="C12" s="10">
        <f>SUM(C4:C11)</f>
        <v>197503.8199941057</v>
      </c>
      <c r="D12" s="10">
        <f>SUM(D4:D11)</f>
        <v>204835.12731975067</v>
      </c>
      <c r="F12" s="13" t="s">
        <v>19</v>
      </c>
      <c r="G12" s="10">
        <f>SUM(G4:G11)</f>
        <v>4344</v>
      </c>
      <c r="H12" s="10">
        <f>SUM(H4:H11)</f>
        <v>233020</v>
      </c>
      <c r="I12" s="10">
        <f>SUM(I4:I11)</f>
        <v>237364</v>
      </c>
    </row>
    <row r="14" spans="1:9" x14ac:dyDescent="0.45">
      <c r="G14" s="8"/>
      <c r="H14" s="8"/>
      <c r="I14" s="8"/>
    </row>
    <row r="15" spans="1:9" ht="14.65" thickBot="1" x14ac:dyDescent="0.5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3.4157408224118444E-4</v>
      </c>
      <c r="C17" s="16">
        <f t="shared" ref="C17:D17" si="2">C4/$D$12</f>
        <v>0.59302343646620903</v>
      </c>
      <c r="D17" s="16">
        <f t="shared" si="2"/>
        <v>0.59336501054845026</v>
      </c>
      <c r="F17" s="9" t="s">
        <v>1</v>
      </c>
      <c r="G17" s="16">
        <f t="shared" ref="G17:I25" si="3">G4/$I$12</f>
        <v>0</v>
      </c>
      <c r="H17" s="16">
        <f t="shared" si="3"/>
        <v>0.64705684096998706</v>
      </c>
      <c r="I17" s="16">
        <f t="shared" si="3"/>
        <v>0.64705684096998706</v>
      </c>
    </row>
    <row r="18" spans="1:14" x14ac:dyDescent="0.45">
      <c r="A18" s="9" t="s">
        <v>2</v>
      </c>
      <c r="B18" s="16">
        <f t="shared" ref="B18:D18" si="4">B5/$D$12</f>
        <v>0</v>
      </c>
      <c r="C18" s="16">
        <f t="shared" si="4"/>
        <v>0.16107573264168515</v>
      </c>
      <c r="D18" s="16">
        <f t="shared" si="4"/>
        <v>0.16107573264168515</v>
      </c>
      <c r="F18" s="9" t="s">
        <v>2</v>
      </c>
      <c r="G18" s="16">
        <f t="shared" si="3"/>
        <v>3.551507389494616E-3</v>
      </c>
      <c r="H18" s="16">
        <f t="shared" si="3"/>
        <v>0.16723681771456497</v>
      </c>
      <c r="I18" s="16">
        <f t="shared" si="3"/>
        <v>0.17078832510405959</v>
      </c>
    </row>
    <row r="19" spans="1:14" x14ac:dyDescent="0.45">
      <c r="A19" s="9" t="s">
        <v>3</v>
      </c>
      <c r="B19" s="16">
        <f t="shared" ref="B19:D19" si="5">B6/$D$12</f>
        <v>0</v>
      </c>
      <c r="C19" s="16">
        <f t="shared" si="5"/>
        <v>5.5644116249517379E-2</v>
      </c>
      <c r="D19" s="16">
        <f t="shared" si="5"/>
        <v>5.5644116249517379E-2</v>
      </c>
      <c r="F19" s="9" t="s">
        <v>3</v>
      </c>
      <c r="G19" s="16">
        <f t="shared" si="3"/>
        <v>1.4871673884835105E-3</v>
      </c>
      <c r="H19" s="16">
        <f t="shared" si="3"/>
        <v>8.7490099593872703E-2</v>
      </c>
      <c r="I19" s="16">
        <f t="shared" si="3"/>
        <v>8.897726698235621E-2</v>
      </c>
    </row>
    <row r="20" spans="1:14" x14ac:dyDescent="0.45">
      <c r="A20" s="9" t="s">
        <v>4</v>
      </c>
      <c r="B20" s="16">
        <f t="shared" ref="B20:D20" si="6">B7/$D$12</f>
        <v>0</v>
      </c>
      <c r="C20" s="16">
        <f t="shared" si="6"/>
        <v>2.6886512443068517E-2</v>
      </c>
      <c r="D20" s="16">
        <f t="shared" si="6"/>
        <v>2.6886512443068517E-2</v>
      </c>
      <c r="F20" s="9" t="s">
        <v>4</v>
      </c>
      <c r="G20" s="16">
        <f t="shared" si="3"/>
        <v>2.1823022867831685E-3</v>
      </c>
      <c r="H20" s="16">
        <f t="shared" si="3"/>
        <v>4.5461822348797629E-2</v>
      </c>
      <c r="I20" s="16">
        <f t="shared" si="3"/>
        <v>4.7644124635580792E-2</v>
      </c>
    </row>
    <row r="21" spans="1:14" x14ac:dyDescent="0.45">
      <c r="A21" s="9" t="s">
        <v>5</v>
      </c>
      <c r="B21" s="16">
        <f t="shared" ref="B21:D21" si="7">B8/$D$12</f>
        <v>3.4658465667072487E-2</v>
      </c>
      <c r="C21" s="16">
        <f t="shared" si="7"/>
        <v>9.2752621056766252E-2</v>
      </c>
      <c r="D21" s="16">
        <f t="shared" si="7"/>
        <v>0.12741108672383875</v>
      </c>
      <c r="F21" s="9" t="s">
        <v>5</v>
      </c>
      <c r="G21" s="16">
        <f t="shared" si="3"/>
        <v>4.8448795942097368E-3</v>
      </c>
      <c r="H21" s="16">
        <f t="shared" si="3"/>
        <v>1.54488464973627E-2</v>
      </c>
      <c r="I21" s="16">
        <f t="shared" si="3"/>
        <v>2.0293726091572439E-2</v>
      </c>
    </row>
    <row r="22" spans="1:14" x14ac:dyDescent="0.45">
      <c r="A22" s="9" t="s">
        <v>6</v>
      </c>
      <c r="B22" s="16">
        <f t="shared" ref="B22:D22" si="8">B9/$D$12</f>
        <v>0</v>
      </c>
      <c r="C22" s="16">
        <f t="shared" si="8"/>
        <v>2.0439886682123289E-2</v>
      </c>
      <c r="D22" s="16">
        <f t="shared" si="8"/>
        <v>2.0439886682123289E-2</v>
      </c>
      <c r="F22" s="9" t="s">
        <v>6</v>
      </c>
      <c r="G22" s="16">
        <f t="shared" si="3"/>
        <v>4.4404374715626633E-3</v>
      </c>
      <c r="H22" s="16">
        <f t="shared" si="3"/>
        <v>1.3089600781921437E-2</v>
      </c>
      <c r="I22" s="16">
        <f t="shared" si="3"/>
        <v>1.75300382534841E-2</v>
      </c>
    </row>
    <row r="23" spans="1:14" x14ac:dyDescent="0.45">
      <c r="A23" s="9" t="s">
        <v>7</v>
      </c>
      <c r="B23" s="16">
        <f t="shared" ref="B23:D23" si="9">B10/$D$12</f>
        <v>7.9122038059910868E-4</v>
      </c>
      <c r="C23" s="16">
        <f t="shared" si="9"/>
        <v>1.2135292637514911E-2</v>
      </c>
      <c r="D23" s="16">
        <f t="shared" si="9"/>
        <v>1.292651301811402E-2</v>
      </c>
      <c r="F23" s="9" t="s">
        <v>7</v>
      </c>
      <c r="G23" s="16">
        <f t="shared" si="3"/>
        <v>1.7947119192463896E-3</v>
      </c>
      <c r="H23" s="16">
        <f t="shared" si="3"/>
        <v>5.9149660437134528E-3</v>
      </c>
      <c r="I23" s="16">
        <f t="shared" si="3"/>
        <v>7.7096779629598419E-3</v>
      </c>
    </row>
    <row r="24" spans="1:14" x14ac:dyDescent="0.45">
      <c r="A24" s="14" t="s">
        <v>8</v>
      </c>
      <c r="B24" s="17">
        <f t="shared" ref="B24:D24" si="10">B11/$D$12</f>
        <v>0</v>
      </c>
      <c r="C24" s="17">
        <f t="shared" si="10"/>
        <v>2.2511416932028262E-3</v>
      </c>
      <c r="D24" s="17">
        <f t="shared" si="10"/>
        <v>2.2511416932028262E-3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ref="B25:D25" si="11">B12/$D$12</f>
        <v>3.579126012991278E-2</v>
      </c>
      <c r="C25" s="18">
        <f t="shared" si="11"/>
        <v>0.96420873987008737</v>
      </c>
      <c r="D25" s="18">
        <f t="shared" si="11"/>
        <v>1</v>
      </c>
      <c r="F25" s="13" t="s">
        <v>19</v>
      </c>
      <c r="G25" s="18">
        <f t="shared" si="3"/>
        <v>1.8301006049780084E-2</v>
      </c>
      <c r="H25" s="18">
        <f t="shared" si="3"/>
        <v>0.98169899395021987</v>
      </c>
      <c r="I25" s="18">
        <f t="shared" si="3"/>
        <v>1</v>
      </c>
    </row>
    <row r="28" spans="1:14" ht="14.65" thickBot="1" x14ac:dyDescent="0.5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12">G17-B17</f>
        <v>-3.4157408224118444E-4</v>
      </c>
      <c r="H30" s="16">
        <f t="shared" ref="H30:H38" si="13">H17-C17</f>
        <v>5.4033404503778026E-2</v>
      </c>
      <c r="I30" s="16">
        <f t="shared" ref="I30:I38" si="14">I17-D17</f>
        <v>5.3691830421536801E-2</v>
      </c>
      <c r="K30" s="23" t="s">
        <v>1</v>
      </c>
      <c r="L30" s="24">
        <f>D17</f>
        <v>0.59336501054845026</v>
      </c>
      <c r="M30" s="24">
        <f t="shared" ref="M30:M38" si="15">I17</f>
        <v>0.64705684096998706</v>
      </c>
      <c r="N30" s="24">
        <f>M30-L30</f>
        <v>5.3691830421536801E-2</v>
      </c>
    </row>
    <row r="31" spans="1:14" x14ac:dyDescent="0.45">
      <c r="F31" s="9" t="s">
        <v>2</v>
      </c>
      <c r="G31" s="16">
        <f t="shared" si="12"/>
        <v>3.551507389494616E-3</v>
      </c>
      <c r="H31" s="16">
        <f t="shared" si="13"/>
        <v>6.1610850728798239E-3</v>
      </c>
      <c r="I31" s="16">
        <f t="shared" si="14"/>
        <v>9.7125924623744364E-3</v>
      </c>
      <c r="K31" s="30" t="s">
        <v>2</v>
      </c>
      <c r="L31" s="31">
        <f t="shared" ref="L31:L38" si="16">D18</f>
        <v>0.16107573264168515</v>
      </c>
      <c r="M31" s="31">
        <f t="shared" si="15"/>
        <v>0.17078832510405959</v>
      </c>
      <c r="N31" s="31">
        <f t="shared" ref="N31:N38" si="17">M31-L31</f>
        <v>9.7125924623744364E-3</v>
      </c>
    </row>
    <row r="32" spans="1:14" x14ac:dyDescent="0.45">
      <c r="F32" s="9" t="s">
        <v>3</v>
      </c>
      <c r="G32" s="16">
        <f t="shared" si="12"/>
        <v>1.4871673884835105E-3</v>
      </c>
      <c r="H32" s="16">
        <f t="shared" si="13"/>
        <v>3.1845983344355323E-2</v>
      </c>
      <c r="I32" s="16">
        <f t="shared" si="14"/>
        <v>3.333315073283883E-2</v>
      </c>
      <c r="K32" s="23" t="s">
        <v>3</v>
      </c>
      <c r="L32" s="24">
        <f t="shared" si="16"/>
        <v>5.5644116249517379E-2</v>
      </c>
      <c r="M32" s="24">
        <f t="shared" si="15"/>
        <v>8.897726698235621E-2</v>
      </c>
      <c r="N32" s="24">
        <f t="shared" si="17"/>
        <v>3.333315073283883E-2</v>
      </c>
    </row>
    <row r="33" spans="6:14" x14ac:dyDescent="0.45">
      <c r="F33" s="9" t="s">
        <v>4</v>
      </c>
      <c r="G33" s="16">
        <f t="shared" si="12"/>
        <v>2.1823022867831685E-3</v>
      </c>
      <c r="H33" s="16">
        <f t="shared" si="13"/>
        <v>1.8575309905729111E-2</v>
      </c>
      <c r="I33" s="16">
        <f t="shared" si="14"/>
        <v>2.0757612192512275E-2</v>
      </c>
      <c r="K33" s="30" t="s">
        <v>4</v>
      </c>
      <c r="L33" s="31">
        <f t="shared" si="16"/>
        <v>2.6886512443068517E-2</v>
      </c>
      <c r="M33" s="31">
        <f t="shared" si="15"/>
        <v>4.7644124635580792E-2</v>
      </c>
      <c r="N33" s="31">
        <f t="shared" si="17"/>
        <v>2.0757612192512275E-2</v>
      </c>
    </row>
    <row r="34" spans="6:14" x14ac:dyDescent="0.45">
      <c r="F34" s="9" t="s">
        <v>5</v>
      </c>
      <c r="G34" s="16">
        <f t="shared" si="12"/>
        <v>-2.981358607286275E-2</v>
      </c>
      <c r="H34" s="16">
        <f t="shared" si="13"/>
        <v>-7.7303774559403557E-2</v>
      </c>
      <c r="I34" s="16">
        <f t="shared" si="14"/>
        <v>-0.1071173606322663</v>
      </c>
      <c r="K34" s="23" t="s">
        <v>5</v>
      </c>
      <c r="L34" s="24">
        <f t="shared" si="16"/>
        <v>0.12741108672383875</v>
      </c>
      <c r="M34" s="24">
        <f t="shared" si="15"/>
        <v>2.0293726091572439E-2</v>
      </c>
      <c r="N34" s="24">
        <f t="shared" si="17"/>
        <v>-0.1071173606322663</v>
      </c>
    </row>
    <row r="35" spans="6:14" x14ac:dyDescent="0.45">
      <c r="F35" s="9" t="s">
        <v>6</v>
      </c>
      <c r="G35" s="16">
        <f t="shared" si="12"/>
        <v>4.4404374715626633E-3</v>
      </c>
      <c r="H35" s="16">
        <f t="shared" si="13"/>
        <v>-7.3502859002018521E-3</v>
      </c>
      <c r="I35" s="16">
        <f t="shared" si="14"/>
        <v>-2.9098484286391897E-3</v>
      </c>
      <c r="K35" s="30" t="s">
        <v>6</v>
      </c>
      <c r="L35" s="31">
        <f t="shared" si="16"/>
        <v>2.0439886682123289E-2</v>
      </c>
      <c r="M35" s="31">
        <f t="shared" si="15"/>
        <v>1.75300382534841E-2</v>
      </c>
      <c r="N35" s="31">
        <f t="shared" si="17"/>
        <v>-2.9098484286391897E-3</v>
      </c>
    </row>
    <row r="36" spans="6:14" x14ac:dyDescent="0.45">
      <c r="F36" s="9" t="s">
        <v>7</v>
      </c>
      <c r="G36" s="16">
        <f t="shared" si="12"/>
        <v>1.0034915386472809E-3</v>
      </c>
      <c r="H36" s="16">
        <f t="shared" si="13"/>
        <v>-6.2203265938014585E-3</v>
      </c>
      <c r="I36" s="16">
        <f t="shared" si="14"/>
        <v>-5.2168350551541776E-3</v>
      </c>
      <c r="K36" s="23" t="s">
        <v>7</v>
      </c>
      <c r="L36" s="24">
        <f t="shared" si="16"/>
        <v>1.292651301811402E-2</v>
      </c>
      <c r="M36" s="24">
        <f t="shared" si="15"/>
        <v>7.7096779629598419E-3</v>
      </c>
      <c r="N36" s="24">
        <f t="shared" si="17"/>
        <v>-5.2168350551541776E-3</v>
      </c>
    </row>
    <row r="37" spans="6:14" x14ac:dyDescent="0.45">
      <c r="F37" s="14" t="s">
        <v>8</v>
      </c>
      <c r="G37" s="17">
        <f t="shared" si="12"/>
        <v>0</v>
      </c>
      <c r="H37" s="17">
        <f t="shared" si="13"/>
        <v>-2.2511416932028262E-3</v>
      </c>
      <c r="I37" s="17">
        <f t="shared" si="14"/>
        <v>-2.2511416932028262E-3</v>
      </c>
      <c r="K37" s="32" t="s">
        <v>8</v>
      </c>
      <c r="L37" s="33">
        <f t="shared" si="16"/>
        <v>2.2511416932028262E-3</v>
      </c>
      <c r="M37" s="33">
        <f t="shared" si="15"/>
        <v>0</v>
      </c>
      <c r="N37" s="33">
        <f t="shared" si="17"/>
        <v>-2.2511416932028262E-3</v>
      </c>
    </row>
    <row r="38" spans="6:14" ht="14.65" thickBot="1" x14ac:dyDescent="0.5">
      <c r="F38" s="13" t="s">
        <v>19</v>
      </c>
      <c r="G38" s="18">
        <f t="shared" si="12"/>
        <v>-1.7490254080132696E-2</v>
      </c>
      <c r="H38" s="18">
        <f t="shared" si="13"/>
        <v>1.7490254080132495E-2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13080.8615792497</v>
      </c>
      <c r="D4" s="9">
        <f>SUM(B4:C4)</f>
        <v>13080.8615792497</v>
      </c>
      <c r="E4" s="9"/>
      <c r="F4" s="9" t="s">
        <v>1</v>
      </c>
      <c r="G4" s="9" t="n">
        <v>0.0</v>
      </c>
      <c r="H4" s="9" t="n">
        <v>10757.0</v>
      </c>
      <c r="I4" s="9">
        <f>SUM(G4:H4)</f>
        <v>10310</v>
      </c>
    </row>
    <row r="5" spans="1:9" x14ac:dyDescent="0.45">
      <c r="A5" s="9" t="s">
        <v>2</v>
      </c>
      <c r="B5" s="9" t="n">
        <v>0.0</v>
      </c>
      <c r="C5" s="9" t="n">
        <v>22610.927629477</v>
      </c>
      <c r="D5" s="9">
        <f t="shared" ref="D5:D12" si="0">SUM(B5:C5)</f>
        <v>22610.927629476999</v>
      </c>
      <c r="E5" s="9"/>
      <c r="F5" s="9" t="s">
        <v>2</v>
      </c>
      <c r="G5" s="9" t="n">
        <v>296.0</v>
      </c>
      <c r="H5" s="9" t="n">
        <v>15100.0</v>
      </c>
      <c r="I5" s="9">
        <f t="shared" ref="I5:I12" si="1">SUM(G5:H5)</f>
        <v>15444</v>
      </c>
    </row>
    <row r="6" spans="1:9" x14ac:dyDescent="0.45">
      <c r="A6" s="9" t="s">
        <v>3</v>
      </c>
      <c r="B6" s="9" t="n">
        <v>0.0</v>
      </c>
      <c r="C6" s="9" t="n">
        <v>31383.975030713</v>
      </c>
      <c r="D6" s="9">
        <f t="shared" si="0"/>
        <v>31383.975030713002</v>
      </c>
      <c r="E6" s="9"/>
      <c r="F6" s="9" t="s">
        <v>3</v>
      </c>
      <c r="G6" s="9" t="n">
        <v>314.0</v>
      </c>
      <c r="H6" s="9" t="n">
        <v>25315.0</v>
      </c>
      <c r="I6" s="9">
        <f t="shared" si="1"/>
        <v>25383</v>
      </c>
    </row>
    <row r="7" spans="1:9" x14ac:dyDescent="0.45">
      <c r="A7" s="9" t="s">
        <v>4</v>
      </c>
      <c r="B7" s="9" t="n">
        <v>0.0</v>
      </c>
      <c r="C7" s="9" t="n">
        <v>222.6225</v>
      </c>
      <c r="D7" s="9">
        <f t="shared" si="0"/>
        <v>222.6225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1754.672093486</v>
      </c>
      <c r="C8" s="9" t="n">
        <v>4923.5711941981</v>
      </c>
      <c r="D8" s="9">
        <f t="shared" si="0"/>
        <v>6678.2432876840994</v>
      </c>
      <c r="E8" s="9"/>
      <c r="F8" s="9" t="s">
        <v>5</v>
      </c>
      <c r="G8" s="9" t="n">
        <v>294.0</v>
      </c>
      <c r="H8" s="9" t="n">
        <v>2181.0</v>
      </c>
      <c r="I8" s="9">
        <f t="shared" si="1"/>
        <v>2757</v>
      </c>
    </row>
    <row r="9" spans="1:9" x14ac:dyDescent="0.45">
      <c r="A9" s="9" t="s">
        <v>6</v>
      </c>
      <c r="B9" s="9" t="n">
        <v>0.0</v>
      </c>
      <c r="C9" s="9" t="n">
        <v>1709.34425</v>
      </c>
      <c r="D9" s="9">
        <f t="shared" si="0"/>
        <v>1709.3442500000001</v>
      </c>
      <c r="E9" s="9"/>
      <c r="F9" s="9" t="s">
        <v>6</v>
      </c>
      <c r="G9" s="9" t="n">
        <v>136.0</v>
      </c>
      <c r="H9" s="9" t="n">
        <v>991.0</v>
      </c>
      <c r="I9" s="9">
        <f t="shared" si="1"/>
        <v>1124</v>
      </c>
    </row>
    <row r="10" spans="1:9" x14ac:dyDescent="0.45">
      <c r="A10" s="9" t="s">
        <v>7</v>
      </c>
      <c r="B10" s="9" t="n">
        <v>0.0</v>
      </c>
      <c r="C10" s="9" t="n">
        <v>1784.146128356</v>
      </c>
      <c r="D10" s="9">
        <f t="shared" si="0"/>
        <v>1784.146128356</v>
      </c>
      <c r="E10" s="9"/>
      <c r="F10" s="9" t="s">
        <v>7</v>
      </c>
      <c r="G10" s="9" t="n">
        <v>134.0</v>
      </c>
      <c r="H10" s="9" t="n">
        <v>2667.0</v>
      </c>
      <c r="I10" s="9">
        <f t="shared" si="1"/>
        <v>2704</v>
      </c>
    </row>
    <row r="11" spans="1:9" x14ac:dyDescent="0.45">
      <c r="A11" s="14" t="s">
        <v>8</v>
      </c>
      <c r="B11" s="14" t="n">
        <v>0.0</v>
      </c>
      <c r="C11" s="14" t="n">
        <v>17013.597375</v>
      </c>
      <c r="D11" s="14">
        <f t="shared" si="0"/>
        <v>17013.597375000001</v>
      </c>
      <c r="E11" s="9"/>
      <c r="F11" s="14" t="s">
        <v>8</v>
      </c>
      <c r="G11" s="14" t="n">
        <v>582.0</v>
      </c>
      <c r="H11" s="14" t="n">
        <v>24751.0</v>
      </c>
      <c r="I11" s="14">
        <f t="shared" si="1"/>
        <v>25300</v>
      </c>
    </row>
    <row r="12" spans="1:9" ht="14.65" thickBot="1" x14ac:dyDescent="0.5">
      <c r="A12" s="13" t="s">
        <v>19</v>
      </c>
      <c r="B12" s="10">
        <f>SUM(B4:B11)</f>
        <v>1754.672093486</v>
      </c>
      <c r="C12" s="10">
        <f>SUM(C4:C11)</f>
        <v>92729.045686993792</v>
      </c>
      <c r="D12" s="10">
        <f t="shared" si="0"/>
        <v>94483.717780479798</v>
      </c>
      <c r="E12" s="9"/>
      <c r="F12" s="13" t="s">
        <v>19</v>
      </c>
      <c r="G12" s="10">
        <f>SUM(G4:G11)</f>
        <v>1775</v>
      </c>
      <c r="H12" s="10">
        <f>SUM(H4:H11)</f>
        <v>81247</v>
      </c>
      <c r="I12" s="10">
        <f t="shared" si="1"/>
        <v>83022</v>
      </c>
    </row>
    <row r="15" spans="1:9" ht="14.65" thickBot="1" x14ac:dyDescent="0.5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0.13844566965115959</v>
      </c>
      <c r="D17" s="16">
        <f t="shared" si="2"/>
        <v>0.13844566965115959</v>
      </c>
      <c r="F17" s="9" t="s">
        <v>1</v>
      </c>
      <c r="G17" s="16">
        <f t="shared" ref="G17:I25" si="3">G4/$I$12</f>
        <v>0</v>
      </c>
      <c r="H17" s="16">
        <f t="shared" si="3"/>
        <v>0.12418395124183951</v>
      </c>
      <c r="I17" s="16">
        <f t="shared" si="3"/>
        <v>0.12418395124183951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0.23931030827989269</v>
      </c>
      <c r="D18" s="16">
        <f t="shared" si="4"/>
        <v>0.23931030827989269</v>
      </c>
      <c r="F18" s="9" t="s">
        <v>2</v>
      </c>
      <c r="G18" s="16">
        <f t="shared" si="3"/>
        <v>3.4328250343282503E-3</v>
      </c>
      <c r="H18" s="16">
        <f t="shared" si="3"/>
        <v>0.18259015682590157</v>
      </c>
      <c r="I18" s="16">
        <f t="shared" si="3"/>
        <v>0.18602298186022981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0.33216278707014307</v>
      </c>
      <c r="D19" s="16">
        <f t="shared" si="4"/>
        <v>0.33216278707014307</v>
      </c>
      <c r="F19" s="9" t="s">
        <v>3</v>
      </c>
      <c r="G19" s="16">
        <f t="shared" si="3"/>
        <v>3.6978150369781503E-3</v>
      </c>
      <c r="H19" s="16">
        <f t="shared" si="3"/>
        <v>0.30204042302040424</v>
      </c>
      <c r="I19" s="16">
        <f t="shared" si="3"/>
        <v>0.30573823805738237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2.3561996207350079E-3</v>
      </c>
      <c r="D20" s="16">
        <f t="shared" si="4"/>
        <v>2.3561996207350079E-3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1.8571158446185877E-2</v>
      </c>
      <c r="C21" s="16">
        <f t="shared" si="4"/>
        <v>5.2110261004307164E-2</v>
      </c>
      <c r="D21" s="16">
        <f t="shared" si="4"/>
        <v>7.0681419450493041E-2</v>
      </c>
      <c r="F21" s="9" t="s">
        <v>5</v>
      </c>
      <c r="G21" s="16">
        <f t="shared" si="3"/>
        <v>3.8544000385440005E-3</v>
      </c>
      <c r="H21" s="16">
        <f t="shared" si="3"/>
        <v>2.9353665293536654E-2</v>
      </c>
      <c r="I21" s="16">
        <f t="shared" si="3"/>
        <v>3.3208065332080657E-2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1.8091416067807911E-2</v>
      </c>
      <c r="D22" s="16">
        <f t="shared" si="4"/>
        <v>1.8091416067807911E-2</v>
      </c>
      <c r="F22" s="9" t="s">
        <v>6</v>
      </c>
      <c r="G22" s="16">
        <f t="shared" si="3"/>
        <v>1.4333550143335501E-3</v>
      </c>
      <c r="H22" s="16">
        <f t="shared" si="3"/>
        <v>1.2105225121052251E-2</v>
      </c>
      <c r="I22" s="16">
        <f t="shared" si="3"/>
        <v>1.3538580135385801E-2</v>
      </c>
    </row>
    <row r="23" spans="1:14" x14ac:dyDescent="0.45">
      <c r="A23" s="9" t="s">
        <v>7</v>
      </c>
      <c r="B23" s="16">
        <f t="shared" si="4"/>
        <v>0</v>
      </c>
      <c r="C23" s="16">
        <f t="shared" si="4"/>
        <v>1.8883106743335643E-2</v>
      </c>
      <c r="D23" s="16">
        <f t="shared" si="4"/>
        <v>1.8883106743335643E-2</v>
      </c>
      <c r="F23" s="9" t="s">
        <v>7</v>
      </c>
      <c r="G23" s="16">
        <f t="shared" si="3"/>
        <v>1.4333550143335501E-3</v>
      </c>
      <c r="H23" s="16">
        <f t="shared" si="3"/>
        <v>3.1136325311363254E-2</v>
      </c>
      <c r="I23" s="16">
        <f t="shared" si="3"/>
        <v>3.2569680325696806E-2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0.1800690931164331</v>
      </c>
      <c r="D24" s="17">
        <f t="shared" si="4"/>
        <v>0.1800690931164331</v>
      </c>
      <c r="F24" s="14" t="s">
        <v>8</v>
      </c>
      <c r="G24" s="17">
        <f t="shared" si="3"/>
        <v>7.5281250752812509E-3</v>
      </c>
      <c r="H24" s="17">
        <f t="shared" si="3"/>
        <v>0.29721037797210376</v>
      </c>
      <c r="I24" s="17">
        <f t="shared" si="3"/>
        <v>0.30473850304738503</v>
      </c>
    </row>
    <row r="25" spans="1:14" ht="14.65" thickBot="1" x14ac:dyDescent="0.5">
      <c r="A25" s="13" t="s">
        <v>19</v>
      </c>
      <c r="B25" s="18">
        <f t="shared" si="4"/>
        <v>1.8571158446185877E-2</v>
      </c>
      <c r="C25" s="18">
        <f t="shared" si="4"/>
        <v>0.98142884155381405</v>
      </c>
      <c r="D25" s="18">
        <f t="shared" si="4"/>
        <v>1</v>
      </c>
      <c r="F25" s="13" t="s">
        <v>19</v>
      </c>
      <c r="G25" s="18">
        <f t="shared" si="3"/>
        <v>2.1379875213798753E-2</v>
      </c>
      <c r="H25" s="18">
        <f t="shared" si="3"/>
        <v>0.9786201247862012</v>
      </c>
      <c r="I25" s="18">
        <f t="shared" si="3"/>
        <v>1</v>
      </c>
    </row>
    <row r="28" spans="1:14" ht="14.65" thickBot="1" x14ac:dyDescent="0.5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-1.4261718409320084E-2</v>
      </c>
      <c r="I30" s="16">
        <f t="shared" ref="I30:I38" si="7">I17-D17</f>
        <v>-1.4261718409320084E-2</v>
      </c>
      <c r="K30" s="23" t="s">
        <v>1</v>
      </c>
      <c r="L30" s="24">
        <f>D17</f>
        <v>0.13844566965115959</v>
      </c>
      <c r="M30" s="24">
        <f t="shared" ref="M30:M38" si="8">I17</f>
        <v>0.12418395124183951</v>
      </c>
      <c r="N30" s="24">
        <f>M30-L30</f>
        <v>-1.4261718409320084E-2</v>
      </c>
    </row>
    <row r="31" spans="1:14" x14ac:dyDescent="0.45">
      <c r="F31" s="9" t="s">
        <v>2</v>
      </c>
      <c r="G31" s="16">
        <f t="shared" si="5"/>
        <v>3.4328250343282503E-3</v>
      </c>
      <c r="H31" s="16">
        <f t="shared" si="6"/>
        <v>-5.6720151453991119E-2</v>
      </c>
      <c r="I31" s="16">
        <f t="shared" si="7"/>
        <v>-5.3287326419662884E-2</v>
      </c>
      <c r="K31" s="30" t="s">
        <v>2</v>
      </c>
      <c r="L31" s="31">
        <f t="shared" ref="L31:L38" si="9">D18</f>
        <v>0.23931030827989269</v>
      </c>
      <c r="M31" s="31">
        <f t="shared" si="8"/>
        <v>0.18602298186022981</v>
      </c>
      <c r="N31" s="31">
        <f t="shared" ref="N31:N38" si="10">M31-L31</f>
        <v>-5.3287326419662884E-2</v>
      </c>
    </row>
    <row r="32" spans="1:14" x14ac:dyDescent="0.45">
      <c r="F32" s="9" t="s">
        <v>3</v>
      </c>
      <c r="G32" s="16">
        <f t="shared" si="5"/>
        <v>3.6978150369781503E-3</v>
      </c>
      <c r="H32" s="16">
        <f t="shared" si="6"/>
        <v>-3.0122364049738837E-2</v>
      </c>
      <c r="I32" s="16">
        <f t="shared" si="7"/>
        <v>-2.6424549012760701E-2</v>
      </c>
      <c r="K32" s="23" t="s">
        <v>3</v>
      </c>
      <c r="L32" s="24">
        <f t="shared" si="9"/>
        <v>0.33216278707014307</v>
      </c>
      <c r="M32" s="24">
        <f t="shared" si="8"/>
        <v>0.30573823805738237</v>
      </c>
      <c r="N32" s="24">
        <f t="shared" si="10"/>
        <v>-2.6424549012760701E-2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-2.3561996207350079E-3</v>
      </c>
      <c r="I33" s="16">
        <f t="shared" si="7"/>
        <v>-2.3561996207350079E-3</v>
      </c>
      <c r="K33" s="30" t="s">
        <v>4</v>
      </c>
      <c r="L33" s="31">
        <f t="shared" si="9"/>
        <v>2.3561996207350079E-3</v>
      </c>
      <c r="M33" s="31">
        <f t="shared" si="8"/>
        <v>0</v>
      </c>
      <c r="N33" s="31">
        <f t="shared" si="10"/>
        <v>-2.3561996207350079E-3</v>
      </c>
    </row>
    <row r="34" spans="6:14" x14ac:dyDescent="0.45">
      <c r="F34" s="9" t="s">
        <v>5</v>
      </c>
      <c r="G34" s="16">
        <f t="shared" si="5"/>
        <v>-1.4716758407641877E-2</v>
      </c>
      <c r="H34" s="16">
        <f t="shared" si="6"/>
        <v>-2.2756595710770509E-2</v>
      </c>
      <c r="I34" s="16">
        <f t="shared" si="7"/>
        <v>-3.7473354118412384E-2</v>
      </c>
      <c r="K34" s="23" t="s">
        <v>5</v>
      </c>
      <c r="L34" s="24">
        <f t="shared" si="9"/>
        <v>7.0681419450493041E-2</v>
      </c>
      <c r="M34" s="24">
        <f t="shared" si="8"/>
        <v>3.3208065332080657E-2</v>
      </c>
      <c r="N34" s="24">
        <f t="shared" si="10"/>
        <v>-3.7473354118412384E-2</v>
      </c>
    </row>
    <row r="35" spans="6:14" x14ac:dyDescent="0.45">
      <c r="F35" s="9" t="s">
        <v>6</v>
      </c>
      <c r="G35" s="16">
        <f t="shared" si="5"/>
        <v>1.4333550143335501E-3</v>
      </c>
      <c r="H35" s="16">
        <f t="shared" si="6"/>
        <v>-5.9861909467556606E-3</v>
      </c>
      <c r="I35" s="16">
        <f t="shared" si="7"/>
        <v>-4.5528359324221099E-3</v>
      </c>
      <c r="K35" s="30" t="s">
        <v>6</v>
      </c>
      <c r="L35" s="31">
        <f t="shared" si="9"/>
        <v>1.8091416067807911E-2</v>
      </c>
      <c r="M35" s="31">
        <f t="shared" si="8"/>
        <v>1.3538580135385801E-2</v>
      </c>
      <c r="N35" s="31">
        <f t="shared" si="10"/>
        <v>-4.5528359324221099E-3</v>
      </c>
    </row>
    <row r="36" spans="6:14" x14ac:dyDescent="0.45">
      <c r="F36" s="9" t="s">
        <v>7</v>
      </c>
      <c r="G36" s="16">
        <f t="shared" si="5"/>
        <v>1.4333550143335501E-3</v>
      </c>
      <c r="H36" s="16">
        <f t="shared" si="6"/>
        <v>1.2253218568027611E-2</v>
      </c>
      <c r="I36" s="16">
        <f t="shared" si="7"/>
        <v>1.3686573582361163E-2</v>
      </c>
      <c r="K36" s="23" t="s">
        <v>7</v>
      </c>
      <c r="L36" s="24">
        <f t="shared" si="9"/>
        <v>1.8883106743335643E-2</v>
      </c>
      <c r="M36" s="24">
        <f t="shared" si="8"/>
        <v>3.2569680325696806E-2</v>
      </c>
      <c r="N36" s="24">
        <f t="shared" si="10"/>
        <v>1.3686573582361163E-2</v>
      </c>
    </row>
    <row r="37" spans="6:14" x14ac:dyDescent="0.45">
      <c r="F37" s="14" t="s">
        <v>8</v>
      </c>
      <c r="G37" s="17">
        <f t="shared" si="5"/>
        <v>7.5281250752812509E-3</v>
      </c>
      <c r="H37" s="17">
        <f t="shared" si="6"/>
        <v>0.11714128485567066</v>
      </c>
      <c r="I37" s="17">
        <f t="shared" si="7"/>
        <v>0.12466940993095194</v>
      </c>
      <c r="K37" s="32" t="s">
        <v>8</v>
      </c>
      <c r="L37" s="33">
        <f t="shared" si="9"/>
        <v>0.1800690931164331</v>
      </c>
      <c r="M37" s="33">
        <f t="shared" si="8"/>
        <v>0.30473850304738503</v>
      </c>
      <c r="N37" s="33">
        <f t="shared" si="10"/>
        <v>0.12466940993095194</v>
      </c>
    </row>
    <row r="38" spans="6:14" ht="14.65" thickBot="1" x14ac:dyDescent="0.5">
      <c r="F38" s="13" t="s">
        <v>19</v>
      </c>
      <c r="G38" s="18">
        <f t="shared" si="5"/>
        <v>2.8087167676128753E-3</v>
      </c>
      <c r="H38" s="18">
        <f t="shared" si="6"/>
        <v>-2.8087167676128511E-3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2271.388782195</v>
      </c>
      <c r="D4" s="9">
        <f>SUM(B4:C4)</f>
        <v>2271.3887821950002</v>
      </c>
      <c r="F4" s="9" t="s">
        <v>1</v>
      </c>
      <c r="G4" s="9" t="n">
        <v>0.0</v>
      </c>
      <c r="H4" s="9" t="n">
        <v>1.0</v>
      </c>
      <c r="I4" s="9">
        <f>SUM(G4:H4)</f>
        <v>5</v>
      </c>
    </row>
    <row r="5" spans="1:9" x14ac:dyDescent="0.45">
      <c r="A5" s="9" t="s">
        <v>2</v>
      </c>
      <c r="B5" s="9" t="n">
        <v>0.0</v>
      </c>
      <c r="C5" s="9" t="n">
        <v>48825.8505159094</v>
      </c>
      <c r="D5" s="9">
        <f t="shared" ref="D5:D12" si="0">SUM(B5:C5)</f>
        <v>48825.850515909398</v>
      </c>
      <c r="F5" s="9" t="s">
        <v>2</v>
      </c>
      <c r="G5" s="9" t="n">
        <v>1263.0</v>
      </c>
      <c r="H5" s="9" t="n">
        <v>45491.0</v>
      </c>
      <c r="I5" s="9">
        <f t="shared" ref="I5:I12" si="1">SUM(G5:H5)</f>
        <v>46695</v>
      </c>
    </row>
    <row r="6" spans="1:9" x14ac:dyDescent="0.45">
      <c r="A6" s="9" t="s">
        <v>3</v>
      </c>
      <c r="B6" s="9" t="n">
        <v>0.0</v>
      </c>
      <c r="C6" s="9" t="n">
        <v>46931.896961273</v>
      </c>
      <c r="D6" s="9">
        <f t="shared" si="0"/>
        <v>46931.896961273</v>
      </c>
      <c r="F6" s="9" t="s">
        <v>3</v>
      </c>
      <c r="G6" s="9" t="n">
        <v>593.0</v>
      </c>
      <c r="H6" s="9" t="n">
        <v>32542.0</v>
      </c>
      <c r="I6" s="9">
        <f t="shared" si="1"/>
        <v>32777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t="shared" si="0"/>
        <v>0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0.0</v>
      </c>
      <c r="C8" s="9" t="n">
        <v>224.931595914</v>
      </c>
      <c r="D8" s="9">
        <f t="shared" si="0"/>
        <v>224.93159591400001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45">
      <c r="A9" s="9" t="s">
        <v>6</v>
      </c>
      <c r="B9" s="9" t="n">
        <v>0.0</v>
      </c>
      <c r="C9" s="9" t="n">
        <v>798.632080246</v>
      </c>
      <c r="D9" s="9">
        <f t="shared" si="0"/>
        <v>798.63208024599999</v>
      </c>
      <c r="F9" s="9" t="s">
        <v>6</v>
      </c>
      <c r="G9" s="9" t="n">
        <v>31.0</v>
      </c>
      <c r="H9" s="9" t="n">
        <v>25.0</v>
      </c>
      <c r="I9" s="9">
        <f t="shared" si="1"/>
        <v>54</v>
      </c>
    </row>
    <row r="10" spans="1:9" x14ac:dyDescent="0.45">
      <c r="A10" s="9" t="s">
        <v>7</v>
      </c>
      <c r="B10" s="9" t="n">
        <v>0.0</v>
      </c>
      <c r="C10" s="9" t="n">
        <v>1919.6973022374</v>
      </c>
      <c r="D10" s="9">
        <f t="shared" si="0"/>
        <v>1919.6973022374</v>
      </c>
      <c r="F10" s="9" t="s">
        <v>7</v>
      </c>
      <c r="G10" s="9" t="n">
        <v>1.0</v>
      </c>
      <c r="H10" s="9" t="n">
        <v>0.0</v>
      </c>
      <c r="I10" s="9">
        <f t="shared" si="1"/>
        <v>2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0</v>
      </c>
      <c r="C12" s="10">
        <f>SUM(C4:C11)</f>
        <v>100972.39723777479</v>
      </c>
      <c r="D12" s="10">
        <f t="shared" si="0"/>
        <v>100972.39723777479</v>
      </c>
      <c r="F12" s="13" t="s">
        <v>19</v>
      </c>
      <c r="G12" s="10">
        <f>SUM(G4:G11)</f>
        <v>1836</v>
      </c>
      <c r="H12" s="10">
        <f>SUM(H4:H11)</f>
        <v>77697</v>
      </c>
      <c r="I12" s="10">
        <f t="shared" si="1"/>
        <v>79533</v>
      </c>
    </row>
    <row r="15" spans="1:9" ht="14.65" thickBot="1" x14ac:dyDescent="0.5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2.2495145647044724E-2</v>
      </c>
      <c r="D17" s="16">
        <f t="shared" si="2"/>
        <v>2.2495145647044724E-2</v>
      </c>
      <c r="F17" s="9" t="s">
        <v>1</v>
      </c>
      <c r="G17" s="16">
        <f t="shared" ref="G17:I25" si="3">G4/$I$12</f>
        <v>0</v>
      </c>
      <c r="H17" s="16">
        <f t="shared" si="3"/>
        <v>6.2866986030955701E-5</v>
      </c>
      <c r="I17" s="16">
        <f t="shared" si="3"/>
        <v>6.2866986030955701E-5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0.4835564159275319</v>
      </c>
      <c r="D18" s="16">
        <f t="shared" si="4"/>
        <v>0.4835564159275319</v>
      </c>
      <c r="F18" s="9" t="s">
        <v>2</v>
      </c>
      <c r="G18" s="16">
        <f t="shared" si="3"/>
        <v>1.542755837199653E-2</v>
      </c>
      <c r="H18" s="16">
        <f t="shared" si="3"/>
        <v>0.57168722417109874</v>
      </c>
      <c r="I18" s="16">
        <f t="shared" si="3"/>
        <v>0.58711478254309535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0.4647992743081602</v>
      </c>
      <c r="D19" s="16">
        <f t="shared" si="4"/>
        <v>0.4647992743081602</v>
      </c>
      <c r="F19" s="9" t="s">
        <v>3</v>
      </c>
      <c r="G19" s="16">
        <f t="shared" si="3"/>
        <v>7.2045565991475232E-3</v>
      </c>
      <c r="H19" s="16">
        <f t="shared" si="3"/>
        <v>0.40491368362817948</v>
      </c>
      <c r="I19" s="16">
        <f t="shared" si="3"/>
        <v>0.41211824022732702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0</v>
      </c>
      <c r="D20" s="16">
        <f t="shared" si="4"/>
        <v>0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0</v>
      </c>
      <c r="C21" s="16">
        <f t="shared" si="4"/>
        <v>2.2276543101608253E-3</v>
      </c>
      <c r="D21" s="16">
        <f t="shared" si="4"/>
        <v>2.2276543101608253E-3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7.9094099188844816E-3</v>
      </c>
      <c r="D22" s="16">
        <f t="shared" si="4"/>
        <v>7.9094099188844816E-3</v>
      </c>
      <c r="F22" s="9" t="s">
        <v>6</v>
      </c>
      <c r="G22" s="16">
        <f t="shared" si="3"/>
        <v>4.2749550501049876E-4</v>
      </c>
      <c r="H22" s="16">
        <f t="shared" si="3"/>
        <v>2.5146794412382281E-4</v>
      </c>
      <c r="I22" s="16">
        <f t="shared" si="3"/>
        <v>6.7896344913432162E-4</v>
      </c>
    </row>
    <row r="23" spans="1:14" x14ac:dyDescent="0.45">
      <c r="A23" s="9" t="s">
        <v>7</v>
      </c>
      <c r="B23" s="16">
        <f t="shared" si="4"/>
        <v>0</v>
      </c>
      <c r="C23" s="16">
        <f t="shared" si="4"/>
        <v>1.9012099888217986E-2</v>
      </c>
      <c r="D23" s="16">
        <f t="shared" si="4"/>
        <v>1.9012099888217986E-2</v>
      </c>
      <c r="F23" s="9" t="s">
        <v>7</v>
      </c>
      <c r="G23" s="16">
        <f t="shared" si="3"/>
        <v>2.5146794412382281E-5</v>
      </c>
      <c r="H23" s="16">
        <f t="shared" si="3"/>
        <v>0</v>
      </c>
      <c r="I23" s="16">
        <f t="shared" si="3"/>
        <v>2.5146794412382281E-5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0</v>
      </c>
      <c r="C25" s="18">
        <f t="shared" si="4"/>
        <v>1</v>
      </c>
      <c r="D25" s="18">
        <f t="shared" si="4"/>
        <v>1</v>
      </c>
      <c r="F25" s="13" t="s">
        <v>19</v>
      </c>
      <c r="G25" s="18">
        <f t="shared" si="3"/>
        <v>2.3084757270566934E-2</v>
      </c>
      <c r="H25" s="18">
        <f t="shared" si="3"/>
        <v>0.97691524272943309</v>
      </c>
      <c r="I25" s="18">
        <f t="shared" si="3"/>
        <v>1</v>
      </c>
    </row>
    <row r="28" spans="1:14" ht="14.65" thickBot="1" x14ac:dyDescent="0.5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-2.2432278661013768E-2</v>
      </c>
      <c r="I30" s="16">
        <f t="shared" ref="I30:I38" si="7">I17-D17</f>
        <v>-2.2432278661013768E-2</v>
      </c>
      <c r="K30" s="23" t="s">
        <v>1</v>
      </c>
      <c r="L30" s="24">
        <f>D17</f>
        <v>2.2495145647044724E-2</v>
      </c>
      <c r="M30" s="24">
        <f t="shared" ref="M30:M38" si="8">I17</f>
        <v>6.2866986030955701E-5</v>
      </c>
      <c r="N30" s="24">
        <f>M30-L30</f>
        <v>-2.2432278661013768E-2</v>
      </c>
    </row>
    <row r="31" spans="1:14" x14ac:dyDescent="0.45">
      <c r="F31" s="9" t="s">
        <v>2</v>
      </c>
      <c r="G31" s="16">
        <f t="shared" si="5"/>
        <v>1.542755837199653E-2</v>
      </c>
      <c r="H31" s="16">
        <f t="shared" si="6"/>
        <v>8.8130808243566838E-2</v>
      </c>
      <c r="I31" s="16">
        <f t="shared" si="7"/>
        <v>0.10355836661556345</v>
      </c>
      <c r="K31" s="30" t="s">
        <v>2</v>
      </c>
      <c r="L31" s="31">
        <f t="shared" ref="L31:L38" si="9">D18</f>
        <v>0.4835564159275319</v>
      </c>
      <c r="M31" s="31">
        <f t="shared" si="8"/>
        <v>0.58711478254309535</v>
      </c>
      <c r="N31" s="31">
        <f t="shared" ref="N31:N38" si="10">M31-L31</f>
        <v>0.10355836661556345</v>
      </c>
    </row>
    <row r="32" spans="1:14" x14ac:dyDescent="0.45">
      <c r="F32" s="9" t="s">
        <v>3</v>
      </c>
      <c r="G32" s="16">
        <f t="shared" si="5"/>
        <v>7.2045565991475232E-3</v>
      </c>
      <c r="H32" s="16">
        <f t="shared" si="6"/>
        <v>-5.9885590679980727E-2</v>
      </c>
      <c r="I32" s="16">
        <f t="shared" si="7"/>
        <v>-5.2681034080833189E-2</v>
      </c>
      <c r="K32" s="23" t="s">
        <v>3</v>
      </c>
      <c r="L32" s="24">
        <f t="shared" si="9"/>
        <v>0.4647992743081602</v>
      </c>
      <c r="M32" s="24">
        <f t="shared" si="8"/>
        <v>0.41211824022732702</v>
      </c>
      <c r="N32" s="24">
        <f t="shared" si="10"/>
        <v>-5.2681034080833189E-2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K33" s="30" t="s">
        <v>4</v>
      </c>
      <c r="L33" s="31">
        <f t="shared" si="9"/>
        <v>0</v>
      </c>
      <c r="M33" s="31">
        <f t="shared" si="8"/>
        <v>0</v>
      </c>
      <c r="N33" s="31">
        <f t="shared" si="10"/>
        <v>0</v>
      </c>
    </row>
    <row r="34" spans="6:14" x14ac:dyDescent="0.45">
      <c r="F34" s="9" t="s">
        <v>5</v>
      </c>
      <c r="G34" s="16">
        <f t="shared" si="5"/>
        <v>0</v>
      </c>
      <c r="H34" s="16">
        <f t="shared" si="6"/>
        <v>-2.2276543101608253E-3</v>
      </c>
      <c r="I34" s="16">
        <f t="shared" si="7"/>
        <v>-2.2276543101608253E-3</v>
      </c>
      <c r="K34" s="23" t="s">
        <v>5</v>
      </c>
      <c r="L34" s="24">
        <f t="shared" si="9"/>
        <v>2.2276543101608253E-3</v>
      </c>
      <c r="M34" s="24">
        <f t="shared" si="8"/>
        <v>0</v>
      </c>
      <c r="N34" s="24">
        <f t="shared" si="10"/>
        <v>-2.2276543101608253E-3</v>
      </c>
    </row>
    <row r="35" spans="6:14" x14ac:dyDescent="0.45">
      <c r="F35" s="9" t="s">
        <v>6</v>
      </c>
      <c r="G35" s="16">
        <f t="shared" si="5"/>
        <v>4.2749550501049876E-4</v>
      </c>
      <c r="H35" s="16">
        <f t="shared" si="6"/>
        <v>-7.657941974760659E-3</v>
      </c>
      <c r="I35" s="16">
        <f t="shared" si="7"/>
        <v>-7.2304464697501604E-3</v>
      </c>
      <c r="K35" s="30" t="s">
        <v>6</v>
      </c>
      <c r="L35" s="31">
        <f t="shared" si="9"/>
        <v>7.9094099188844816E-3</v>
      </c>
      <c r="M35" s="31">
        <f t="shared" si="8"/>
        <v>6.7896344913432162E-4</v>
      </c>
      <c r="N35" s="31">
        <f t="shared" si="10"/>
        <v>-7.2304464697501604E-3</v>
      </c>
    </row>
    <row r="36" spans="6:14" x14ac:dyDescent="0.45">
      <c r="F36" s="9" t="s">
        <v>7</v>
      </c>
      <c r="G36" s="16">
        <f t="shared" si="5"/>
        <v>2.5146794412382281E-5</v>
      </c>
      <c r="H36" s="16">
        <f t="shared" si="6"/>
        <v>-1.9012099888217986E-2</v>
      </c>
      <c r="I36" s="16">
        <f t="shared" si="7"/>
        <v>-1.8986953093805603E-2</v>
      </c>
      <c r="K36" s="23" t="s">
        <v>7</v>
      </c>
      <c r="L36" s="24">
        <f t="shared" si="9"/>
        <v>1.9012099888217986E-2</v>
      </c>
      <c r="M36" s="24">
        <f t="shared" si="8"/>
        <v>2.5146794412382281E-5</v>
      </c>
      <c r="N36" s="24">
        <f t="shared" si="10"/>
        <v>-1.8986953093805603E-2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2.3084757270566934E-2</v>
      </c>
      <c r="H38" s="18">
        <f t="shared" si="6"/>
        <v>-2.3084757270566914E-2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23978.1484781386</v>
      </c>
      <c r="D4" s="9">
        <f>SUM(B4:C4)</f>
        <v>23978.148478138599</v>
      </c>
      <c r="E4" s="9"/>
      <c r="F4" s="9" t="s">
        <v>1</v>
      </c>
      <c r="G4" s="9" t="n">
        <v>0.0</v>
      </c>
      <c r="H4" s="9" t="n">
        <v>27916.0</v>
      </c>
      <c r="I4" s="9">
        <f>SUM(G4:H4)</f>
        <v>27726</v>
      </c>
    </row>
    <row r="5" spans="1:9" x14ac:dyDescent="0.45">
      <c r="A5" s="9" t="s">
        <v>2</v>
      </c>
      <c r="B5" s="9" t="n">
        <v>0.0</v>
      </c>
      <c r="C5" s="9" t="n">
        <v>16740.106872356</v>
      </c>
      <c r="D5" s="9">
        <f t="shared" ref="D5:D12" si="0">SUM(B5:C5)</f>
        <v>16740.106872355998</v>
      </c>
      <c r="E5" s="9"/>
      <c r="F5" s="9" t="s">
        <v>2</v>
      </c>
      <c r="G5" s="9" t="n">
        <v>1321.0</v>
      </c>
      <c r="H5" s="9" t="n">
        <v>23591.0</v>
      </c>
      <c r="I5" s="9">
        <f t="shared" ref="I5:I12" si="1">SUM(G5:H5)</f>
        <v>24835</v>
      </c>
    </row>
    <row r="6" spans="1:9" x14ac:dyDescent="0.45">
      <c r="A6" s="9" t="s">
        <v>3</v>
      </c>
      <c r="B6" s="9" t="n">
        <v>0.0</v>
      </c>
      <c r="C6" s="9" t="n">
        <v>23033.800589559</v>
      </c>
      <c r="D6" s="9">
        <f t="shared" si="0"/>
        <v>23033.800589558999</v>
      </c>
      <c r="E6" s="9"/>
      <c r="F6" s="9" t="s">
        <v>3</v>
      </c>
      <c r="G6" s="9" t="n">
        <v>695.0</v>
      </c>
      <c r="H6" s="9" t="n">
        <v>22121.0</v>
      </c>
      <c r="I6" s="9">
        <f t="shared" si="1"/>
        <v>22717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t="shared" si="0"/>
        <v>0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4365.849047845</v>
      </c>
      <c r="C8" s="9" t="n">
        <v>1876.893789343</v>
      </c>
      <c r="D8" s="9">
        <f t="shared" si="0"/>
        <v>6242.7428371880005</v>
      </c>
      <c r="E8" s="9"/>
      <c r="F8" s="9" t="s">
        <v>5</v>
      </c>
      <c r="G8" s="9" t="n">
        <v>562.0</v>
      </c>
      <c r="H8" s="9" t="n">
        <v>363.0</v>
      </c>
      <c r="I8" s="9">
        <f t="shared" si="1"/>
        <v>836</v>
      </c>
    </row>
    <row r="9" spans="1:9" x14ac:dyDescent="0.45">
      <c r="A9" s="9" t="s">
        <v>6</v>
      </c>
      <c r="B9" s="9" t="n">
        <v>1380.05175214</v>
      </c>
      <c r="C9" s="9" t="n">
        <v>0.0</v>
      </c>
      <c r="D9" s="9">
        <f t="shared" si="0"/>
        <v>1380.05175214</v>
      </c>
      <c r="E9" s="9"/>
      <c r="F9" s="9" t="s">
        <v>6</v>
      </c>
      <c r="G9" s="9" t="n">
        <v>418.0</v>
      </c>
      <c r="H9" s="9" t="n">
        <v>905.0</v>
      </c>
      <c r="I9" s="9">
        <f t="shared" si="1"/>
        <v>1253</v>
      </c>
    </row>
    <row r="10" spans="1:9" x14ac:dyDescent="0.45">
      <c r="A10" s="9" t="s">
        <v>7</v>
      </c>
      <c r="B10" s="9" t="n">
        <v>204.874545705</v>
      </c>
      <c r="C10" s="9" t="n">
        <v>8768.4144227215</v>
      </c>
      <c r="D10" s="9">
        <f t="shared" si="0"/>
        <v>8973.288968426501</v>
      </c>
      <c r="E10" s="9"/>
      <c r="F10" s="9" t="s">
        <v>7</v>
      </c>
      <c r="G10" s="9" t="n">
        <v>1028.0</v>
      </c>
      <c r="H10" s="9" t="n">
        <v>2428.0</v>
      </c>
      <c r="I10" s="9">
        <f t="shared" si="1"/>
        <v>3427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5950.77534569</v>
      </c>
      <c r="C12" s="10">
        <f>SUM(C4:C11)</f>
        <v>74397.364152118098</v>
      </c>
      <c r="D12" s="10">
        <f t="shared" si="0"/>
        <v>80348.139497808093</v>
      </c>
      <c r="F12" s="13" t="s">
        <v>19</v>
      </c>
      <c r="G12" s="10">
        <f>SUM(G4:G11)</f>
        <v>3751</v>
      </c>
      <c r="H12" s="10">
        <f>SUM(H4:H11)</f>
        <v>77043</v>
      </c>
      <c r="I12" s="10">
        <f t="shared" si="1"/>
        <v>80794</v>
      </c>
    </row>
    <row r="15" spans="1:9" ht="14.65" thickBot="1" x14ac:dyDescent="0.5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0.29842817304802344</v>
      </c>
      <c r="D17" s="16">
        <f t="shared" si="2"/>
        <v>0.29842817304802344</v>
      </c>
      <c r="F17" s="9" t="s">
        <v>1</v>
      </c>
      <c r="G17" s="16">
        <f t="shared" ref="G17:I25" si="3">G4/$I$12</f>
        <v>0</v>
      </c>
      <c r="H17" s="16">
        <f t="shared" si="3"/>
        <v>0.34316904720647573</v>
      </c>
      <c r="I17" s="16">
        <f t="shared" si="3"/>
        <v>0.34316904720647573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0.20834467328036477</v>
      </c>
      <c r="D18" s="16">
        <f t="shared" si="4"/>
        <v>0.20834467328036477</v>
      </c>
      <c r="F18" s="9" t="s">
        <v>2</v>
      </c>
      <c r="G18" s="16">
        <f t="shared" si="3"/>
        <v>1.5867514914473847E-2</v>
      </c>
      <c r="H18" s="16">
        <f t="shared" si="3"/>
        <v>0.29151917221575857</v>
      </c>
      <c r="I18" s="16">
        <f t="shared" si="3"/>
        <v>0.30738668713023243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0.28667497136243414</v>
      </c>
      <c r="D19" s="16">
        <f t="shared" si="4"/>
        <v>0.28667497136243414</v>
      </c>
      <c r="F19" s="9" t="s">
        <v>3</v>
      </c>
      <c r="G19" s="16">
        <f t="shared" si="3"/>
        <v>7.9090031437978065E-3</v>
      </c>
      <c r="H19" s="16">
        <f t="shared" si="3"/>
        <v>0.27326286605440997</v>
      </c>
      <c r="I19" s="16">
        <f t="shared" si="3"/>
        <v>0.2811718691982078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0</v>
      </c>
      <c r="D20" s="16">
        <f t="shared" si="4"/>
        <v>0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5.4336653905521996E-2</v>
      </c>
      <c r="C21" s="16">
        <f t="shared" si="4"/>
        <v>2.3359517732133697E-2</v>
      </c>
      <c r="D21" s="16">
        <f t="shared" si="4"/>
        <v>7.76961716376557E-2</v>
      </c>
      <c r="F21" s="9" t="s">
        <v>5</v>
      </c>
      <c r="G21" s="16">
        <f t="shared" si="3"/>
        <v>6.1019382627422831E-3</v>
      </c>
      <c r="H21" s="16">
        <f t="shared" si="3"/>
        <v>4.2453647548085253E-3</v>
      </c>
      <c r="I21" s="16">
        <f t="shared" si="3"/>
        <v>1.0347303017550808E-2</v>
      </c>
    </row>
    <row r="22" spans="1:14" x14ac:dyDescent="0.45">
      <c r="A22" s="9" t="s">
        <v>6</v>
      </c>
      <c r="B22" s="16">
        <f t="shared" si="4"/>
        <v>1.717590177900321E-2</v>
      </c>
      <c r="C22" s="16">
        <f t="shared" si="4"/>
        <v>0</v>
      </c>
      <c r="D22" s="16">
        <f t="shared" si="4"/>
        <v>1.717590177900321E-2</v>
      </c>
      <c r="F22" s="9" t="s">
        <v>6</v>
      </c>
      <c r="G22" s="16">
        <f t="shared" si="3"/>
        <v>4.814713963908211E-3</v>
      </c>
      <c r="H22" s="16">
        <f t="shared" si="3"/>
        <v>1.0693863405698443E-2</v>
      </c>
      <c r="I22" s="16">
        <f t="shared" si="3"/>
        <v>1.5508577369606653E-2</v>
      </c>
    </row>
    <row r="23" spans="1:14" x14ac:dyDescent="0.45">
      <c r="A23" s="9" t="s">
        <v>7</v>
      </c>
      <c r="B23" s="16">
        <f t="shared" si="4"/>
        <v>2.5498355902887956E-3</v>
      </c>
      <c r="C23" s="16">
        <f t="shared" si="4"/>
        <v>0.10913027330223002</v>
      </c>
      <c r="D23" s="16">
        <f t="shared" si="4"/>
        <v>0.11168010889251882</v>
      </c>
      <c r="F23" s="9" t="s">
        <v>7</v>
      </c>
      <c r="G23" s="16">
        <f t="shared" si="3"/>
        <v>1.1733544570141348E-2</v>
      </c>
      <c r="H23" s="16">
        <f t="shared" si="3"/>
        <v>3.068297150778523E-2</v>
      </c>
      <c r="I23" s="16">
        <f t="shared" si="3"/>
        <v>4.2416516077926576E-2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7.4062391274813996E-2</v>
      </c>
      <c r="C25" s="18">
        <f t="shared" si="4"/>
        <v>0.92593760872518605</v>
      </c>
      <c r="D25" s="18">
        <f t="shared" si="4"/>
        <v>1</v>
      </c>
      <c r="F25" s="13" t="s">
        <v>19</v>
      </c>
      <c r="G25" s="18">
        <f t="shared" si="3"/>
        <v>4.6426714855063493E-2</v>
      </c>
      <c r="H25" s="18">
        <f t="shared" si="3"/>
        <v>0.95357328514493656</v>
      </c>
      <c r="I25" s="18">
        <f t="shared" si="3"/>
        <v>1</v>
      </c>
    </row>
    <row r="28" spans="1:14" ht="14.65" thickBot="1" x14ac:dyDescent="0.5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4.4740874158452293E-2</v>
      </c>
      <c r="I30" s="16">
        <f t="shared" ref="I30:I38" si="7">I17-D17</f>
        <v>4.4740874158452293E-2</v>
      </c>
      <c r="K30" s="23" t="s">
        <v>1</v>
      </c>
      <c r="L30" s="24">
        <f>D17</f>
        <v>0.29842817304802344</v>
      </c>
      <c r="M30" s="24">
        <f t="shared" ref="M30:M38" si="8">I17</f>
        <v>0.34316904720647573</v>
      </c>
      <c r="N30" s="24">
        <f>M30-L30</f>
        <v>4.4740874158452293E-2</v>
      </c>
    </row>
    <row r="31" spans="1:14" x14ac:dyDescent="0.45">
      <c r="F31" s="9" t="s">
        <v>2</v>
      </c>
      <c r="G31" s="16">
        <f t="shared" si="5"/>
        <v>1.5867514914473847E-2</v>
      </c>
      <c r="H31" s="16">
        <f t="shared" si="6"/>
        <v>8.3174498935393804E-2</v>
      </c>
      <c r="I31" s="16">
        <f t="shared" si="7"/>
        <v>9.9042013849867661E-2</v>
      </c>
      <c r="K31" s="30" t="s">
        <v>2</v>
      </c>
      <c r="L31" s="31">
        <f t="shared" ref="L31:L38" si="9">D18</f>
        <v>0.20834467328036477</v>
      </c>
      <c r="M31" s="31">
        <f t="shared" si="8"/>
        <v>0.30738668713023243</v>
      </c>
      <c r="N31" s="31">
        <f t="shared" ref="N31:N38" si="10">M31-L31</f>
        <v>9.9042013849867661E-2</v>
      </c>
    </row>
    <row r="32" spans="1:14" x14ac:dyDescent="0.45">
      <c r="F32" s="9" t="s">
        <v>3</v>
      </c>
      <c r="G32" s="16">
        <f t="shared" si="5"/>
        <v>7.9090031437978065E-3</v>
      </c>
      <c r="H32" s="16">
        <f t="shared" si="6"/>
        <v>-1.3412105308024169E-2</v>
      </c>
      <c r="I32" s="16">
        <f t="shared" si="7"/>
        <v>-5.5031021642263367E-3</v>
      </c>
      <c r="K32" s="23" t="s">
        <v>3</v>
      </c>
      <c r="L32" s="24">
        <f t="shared" si="9"/>
        <v>0.28667497136243414</v>
      </c>
      <c r="M32" s="24">
        <f t="shared" si="8"/>
        <v>0.2811718691982078</v>
      </c>
      <c r="N32" s="24">
        <f t="shared" si="10"/>
        <v>-5.5031021642263367E-3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K33" s="30" t="s">
        <v>4</v>
      </c>
      <c r="L33" s="31">
        <f t="shared" si="9"/>
        <v>0</v>
      </c>
      <c r="M33" s="31">
        <f t="shared" si="8"/>
        <v>0</v>
      </c>
      <c r="N33" s="31">
        <f t="shared" si="10"/>
        <v>0</v>
      </c>
    </row>
    <row r="34" spans="6:14" x14ac:dyDescent="0.45">
      <c r="F34" s="9" t="s">
        <v>5</v>
      </c>
      <c r="G34" s="16">
        <f t="shared" si="5"/>
        <v>-4.8234715642779716E-2</v>
      </c>
      <c r="H34" s="16">
        <f t="shared" si="6"/>
        <v>-1.9114152977325171E-2</v>
      </c>
      <c r="I34" s="16">
        <f t="shared" si="7"/>
        <v>-6.734886862010489E-2</v>
      </c>
      <c r="K34" s="23" t="s">
        <v>5</v>
      </c>
      <c r="L34" s="24">
        <f t="shared" si="9"/>
        <v>7.76961716376557E-2</v>
      </c>
      <c r="M34" s="24">
        <f t="shared" si="8"/>
        <v>1.0347303017550808E-2</v>
      </c>
      <c r="N34" s="24">
        <f t="shared" si="10"/>
        <v>-6.734886862010489E-2</v>
      </c>
    </row>
    <row r="35" spans="6:14" x14ac:dyDescent="0.45">
      <c r="F35" s="9" t="s">
        <v>6</v>
      </c>
      <c r="G35" s="16">
        <f t="shared" si="5"/>
        <v>-1.2361187815094998E-2</v>
      </c>
      <c r="H35" s="16">
        <f t="shared" si="6"/>
        <v>1.0693863405698443E-2</v>
      </c>
      <c r="I35" s="16">
        <f t="shared" si="7"/>
        <v>-1.6673244093965561E-3</v>
      </c>
      <c r="K35" s="30" t="s">
        <v>6</v>
      </c>
      <c r="L35" s="31">
        <f t="shared" si="9"/>
        <v>1.717590177900321E-2</v>
      </c>
      <c r="M35" s="31">
        <f t="shared" si="8"/>
        <v>1.5508577369606653E-2</v>
      </c>
      <c r="N35" s="31">
        <f t="shared" si="10"/>
        <v>-1.6673244093965561E-3</v>
      </c>
    </row>
    <row r="36" spans="6:14" x14ac:dyDescent="0.45">
      <c r="F36" s="9" t="s">
        <v>7</v>
      </c>
      <c r="G36" s="16">
        <f t="shared" si="5"/>
        <v>9.183708979852552E-3</v>
      </c>
      <c r="H36" s="16">
        <f t="shared" si="6"/>
        <v>-7.8447301794444785E-2</v>
      </c>
      <c r="I36" s="16">
        <f t="shared" si="7"/>
        <v>-6.926359281459224E-2</v>
      </c>
      <c r="K36" s="23" t="s">
        <v>7</v>
      </c>
      <c r="L36" s="24">
        <f t="shared" si="9"/>
        <v>0.11168010889251882</v>
      </c>
      <c r="M36" s="24">
        <f t="shared" si="8"/>
        <v>4.2416516077926576E-2</v>
      </c>
      <c r="N36" s="24">
        <f t="shared" si="10"/>
        <v>-6.926359281459224E-2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-2.7635676419750503E-2</v>
      </c>
      <c r="H38" s="18">
        <f t="shared" si="6"/>
        <v>2.763567641975051E-2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25372.3690655292</v>
      </c>
      <c r="D4" s="9">
        <f>SUM(B4:C4)</f>
        <v>25372.369065529201</v>
      </c>
      <c r="E4" s="9"/>
      <c r="F4" s="9" t="s">
        <v>1</v>
      </c>
      <c r="G4" s="9" t="n">
        <v>0.0</v>
      </c>
      <c r="H4" s="9" t="n">
        <v>28340.0</v>
      </c>
      <c r="I4" s="9">
        <f>SUM(G4:H4)</f>
        <v>28265</v>
      </c>
    </row>
    <row r="5" spans="1:9" x14ac:dyDescent="0.45">
      <c r="A5" s="9" t="s">
        <v>2</v>
      </c>
      <c r="B5" s="9" t="n">
        <v>0.0</v>
      </c>
      <c r="C5" s="9" t="n">
        <v>24181.5881014912</v>
      </c>
      <c r="D5" s="9">
        <f t="shared" ref="D5:D12" si="0">SUM(B5:C5)</f>
        <v>24181.588101491201</v>
      </c>
      <c r="E5" s="9"/>
      <c r="F5" s="9" t="s">
        <v>2</v>
      </c>
      <c r="G5" s="9" t="n">
        <v>762.0</v>
      </c>
      <c r="H5" s="9" t="n">
        <v>15666.0</v>
      </c>
      <c r="I5" s="9">
        <f t="shared" ref="I5:I12" si="1">SUM(G5:H5)</f>
        <v>16619</v>
      </c>
    </row>
    <row r="6" spans="1:9" x14ac:dyDescent="0.45">
      <c r="A6" s="9" t="s">
        <v>3</v>
      </c>
      <c r="B6" s="9" t="n">
        <v>0.0</v>
      </c>
      <c r="C6" s="9" t="n">
        <v>3117.345670757</v>
      </c>
      <c r="D6" s="9">
        <f t="shared" si="0"/>
        <v>3117.3456707569999</v>
      </c>
      <c r="E6" s="9"/>
      <c r="F6" s="9" t="s">
        <v>3</v>
      </c>
      <c r="G6" s="9" t="n">
        <v>401.0</v>
      </c>
      <c r="H6" s="9" t="n">
        <v>14747.0</v>
      </c>
      <c r="I6" s="9">
        <f t="shared" si="1"/>
        <v>15001</v>
      </c>
    </row>
    <row r="7" spans="1:9" x14ac:dyDescent="0.45">
      <c r="A7" s="9" t="s">
        <v>4</v>
      </c>
      <c r="B7" s="9" t="n">
        <v>0.0</v>
      </c>
      <c r="C7" s="9" t="n">
        <v>169.304393408</v>
      </c>
      <c r="D7" s="9">
        <f t="shared" si="0"/>
        <v>169.30439340800001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722.8304022670001</v>
      </c>
      <c r="C8" s="9" t="n">
        <v>1182.9012348018</v>
      </c>
      <c r="D8" s="9">
        <f t="shared" si="0"/>
        <v>1905.7316370688</v>
      </c>
      <c r="E8" s="9"/>
      <c r="F8" s="9" t="s">
        <v>5</v>
      </c>
      <c r="G8" s="9" t="n">
        <v>204.0</v>
      </c>
      <c r="H8" s="9" t="n">
        <v>178.0</v>
      </c>
      <c r="I8" s="9">
        <f t="shared" si="1"/>
        <v>346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t="shared" si="0"/>
        <v>0</v>
      </c>
      <c r="E9" s="9"/>
      <c r="F9" s="9" t="s">
        <v>6</v>
      </c>
      <c r="G9" s="9" t="n">
        <v>386.0</v>
      </c>
      <c r="H9" s="9" t="n">
        <v>1012.0</v>
      </c>
      <c r="I9" s="9">
        <f t="shared" si="1"/>
        <v>1386</v>
      </c>
    </row>
    <row r="10" spans="1:9" x14ac:dyDescent="0.45">
      <c r="A10" s="9" t="s">
        <v>7</v>
      </c>
      <c r="B10" s="9" t="n">
        <v>822.306126289</v>
      </c>
      <c r="C10" s="9" t="n">
        <v>3259.0862646448</v>
      </c>
      <c r="D10" s="9">
        <f t="shared" si="0"/>
        <v>4081.3923909338</v>
      </c>
      <c r="E10" s="9"/>
      <c r="F10" s="9" t="s">
        <v>7</v>
      </c>
      <c r="G10" s="9" t="n">
        <v>1582.0</v>
      </c>
      <c r="H10" s="9" t="n">
        <v>3565.0</v>
      </c>
      <c r="I10" s="9">
        <f t="shared" si="1"/>
        <v>5024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1545.136528556</v>
      </c>
      <c r="C12" s="10">
        <f>SUM(C4:C11)</f>
        <v>57282.594730632001</v>
      </c>
      <c r="D12" s="10">
        <f t="shared" si="0"/>
        <v>58827.731259188004</v>
      </c>
      <c r="F12" s="13" t="s">
        <v>19</v>
      </c>
      <c r="G12" s="10">
        <f>SUM(G4:G11)</f>
        <v>3343</v>
      </c>
      <c r="H12" s="10">
        <f>SUM(H4:H11)</f>
        <v>63298</v>
      </c>
      <c r="I12" s="10">
        <f t="shared" si="1"/>
        <v>66641</v>
      </c>
    </row>
    <row r="15" spans="1:9" ht="14.65" thickBot="1" x14ac:dyDescent="0.5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0.43129946578666367</v>
      </c>
      <c r="D17" s="16">
        <f t="shared" si="2"/>
        <v>0.43129946578666367</v>
      </c>
      <c r="F17" s="9" t="s">
        <v>1</v>
      </c>
      <c r="G17" s="16">
        <f t="shared" ref="G17:I25" si="3">G4/$I$12</f>
        <v>0</v>
      </c>
      <c r="H17" s="16">
        <f t="shared" si="3"/>
        <v>0.42413829324289853</v>
      </c>
      <c r="I17" s="16">
        <f t="shared" si="3"/>
        <v>0.42413829324289853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0.41105763530043327</v>
      </c>
      <c r="D18" s="16">
        <f t="shared" si="4"/>
        <v>0.41105763530043327</v>
      </c>
      <c r="F18" s="9" t="s">
        <v>2</v>
      </c>
      <c r="G18" s="16">
        <f t="shared" si="3"/>
        <v>1.2694887531699704E-2</v>
      </c>
      <c r="H18" s="16">
        <f t="shared" si="3"/>
        <v>0.23668612415780074</v>
      </c>
      <c r="I18" s="16">
        <f t="shared" si="3"/>
        <v>0.24938101168950047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5.2991091174710528E-2</v>
      </c>
      <c r="D19" s="16">
        <f t="shared" si="4"/>
        <v>5.2991091174710528E-2</v>
      </c>
      <c r="F19" s="9" t="s">
        <v>3</v>
      </c>
      <c r="G19" s="16">
        <f t="shared" si="3"/>
        <v>6.6475593103344785E-3</v>
      </c>
      <c r="H19" s="16">
        <f t="shared" si="3"/>
        <v>0.21845410483035968</v>
      </c>
      <c r="I19" s="16">
        <f t="shared" si="3"/>
        <v>0.22510166414069416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2.8779691105554443E-3</v>
      </c>
      <c r="D20" s="16">
        <f t="shared" si="4"/>
        <v>2.8779691105554443E-3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1.2287239143768695E-2</v>
      </c>
      <c r="C21" s="16">
        <f t="shared" si="4"/>
        <v>2.0107884657153911E-2</v>
      </c>
      <c r="D21" s="16">
        <f t="shared" si="4"/>
        <v>3.2395123800922604E-2</v>
      </c>
      <c r="F21" s="9" t="s">
        <v>5</v>
      </c>
      <c r="G21" s="16">
        <f t="shared" si="3"/>
        <v>2.8961150042766466E-3</v>
      </c>
      <c r="H21" s="16">
        <f t="shared" si="3"/>
        <v>2.2958839153073935E-3</v>
      </c>
      <c r="I21" s="16">
        <f t="shared" si="3"/>
        <v>5.1919989195840397E-3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0</v>
      </c>
      <c r="D22" s="16">
        <f t="shared" si="4"/>
        <v>0</v>
      </c>
      <c r="F22" s="9" t="s">
        <v>6</v>
      </c>
      <c r="G22" s="16">
        <f t="shared" si="3"/>
        <v>6.4074668747467773E-3</v>
      </c>
      <c r="H22" s="16">
        <f t="shared" si="3"/>
        <v>1.4390540358037844E-2</v>
      </c>
      <c r="I22" s="16">
        <f t="shared" si="3"/>
        <v>2.0798007232784622E-2</v>
      </c>
    </row>
    <row r="23" spans="1:14" x14ac:dyDescent="0.45">
      <c r="A23" s="9" t="s">
        <v>7</v>
      </c>
      <c r="B23" s="16">
        <f t="shared" si="4"/>
        <v>1.3978205664026321E-2</v>
      </c>
      <c r="C23" s="16">
        <f t="shared" si="4"/>
        <v>5.5400509162688127E-2</v>
      </c>
      <c r="D23" s="16">
        <f t="shared" si="4"/>
        <v>6.9378714826714455E-2</v>
      </c>
      <c r="F23" s="9" t="s">
        <v>7</v>
      </c>
      <c r="G23" s="16">
        <f t="shared" si="3"/>
        <v>2.1518284539547725E-2</v>
      </c>
      <c r="H23" s="16">
        <f t="shared" si="3"/>
        <v>5.3870740234990472E-2</v>
      </c>
      <c r="I23" s="16">
        <f t="shared" si="3"/>
        <v>7.5389024774538196E-2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2.6265444807795014E-2</v>
      </c>
      <c r="C25" s="18">
        <f t="shared" si="4"/>
        <v>0.97373455519220498</v>
      </c>
      <c r="D25" s="18">
        <f t="shared" si="4"/>
        <v>1</v>
      </c>
      <c r="F25" s="13" t="s">
        <v>19</v>
      </c>
      <c r="G25" s="18">
        <f t="shared" si="3"/>
        <v>5.0164313260605331E-2</v>
      </c>
      <c r="H25" s="18">
        <f t="shared" si="3"/>
        <v>0.94983568673939467</v>
      </c>
      <c r="I25" s="18">
        <f t="shared" si="3"/>
        <v>1</v>
      </c>
    </row>
    <row r="28" spans="1:14" ht="14.65" thickBot="1" x14ac:dyDescent="0.5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-7.1611725437651375E-3</v>
      </c>
      <c r="I30" s="16">
        <f t="shared" ref="I30:I38" si="7">I17-D17</f>
        <v>-7.1611725437651375E-3</v>
      </c>
      <c r="K30" s="23" t="s">
        <v>1</v>
      </c>
      <c r="L30" s="24">
        <f>D17</f>
        <v>0.43129946578666367</v>
      </c>
      <c r="M30" s="24">
        <f t="shared" ref="M30:M38" si="8">I17</f>
        <v>0.42413829324289853</v>
      </c>
      <c r="N30" s="24">
        <f>M30-L30</f>
        <v>-7.1611725437651375E-3</v>
      </c>
    </row>
    <row r="31" spans="1:14" x14ac:dyDescent="0.45">
      <c r="F31" s="9" t="s">
        <v>2</v>
      </c>
      <c r="G31" s="16">
        <f t="shared" si="5"/>
        <v>1.2694887531699704E-2</v>
      </c>
      <c r="H31" s="16">
        <f t="shared" si="6"/>
        <v>-0.17437151114263252</v>
      </c>
      <c r="I31" s="16">
        <f t="shared" si="7"/>
        <v>-0.1616766236109328</v>
      </c>
      <c r="K31" s="30" t="s">
        <v>2</v>
      </c>
      <c r="L31" s="31">
        <f t="shared" ref="L31:L38" si="9">D18</f>
        <v>0.41105763530043327</v>
      </c>
      <c r="M31" s="31">
        <f t="shared" si="8"/>
        <v>0.24938101168950047</v>
      </c>
      <c r="N31" s="31">
        <f t="shared" ref="N31:N38" si="10">M31-L31</f>
        <v>-0.1616766236109328</v>
      </c>
    </row>
    <row r="32" spans="1:14" x14ac:dyDescent="0.45">
      <c r="F32" s="9" t="s">
        <v>3</v>
      </c>
      <c r="G32" s="16">
        <f t="shared" si="5"/>
        <v>6.6475593103344785E-3</v>
      </c>
      <c r="H32" s="16">
        <f t="shared" si="6"/>
        <v>0.16546301365564914</v>
      </c>
      <c r="I32" s="16">
        <f t="shared" si="7"/>
        <v>0.17211057296598364</v>
      </c>
      <c r="K32" s="23" t="s">
        <v>3</v>
      </c>
      <c r="L32" s="24">
        <f t="shared" si="9"/>
        <v>5.2991091174710528E-2</v>
      </c>
      <c r="M32" s="24">
        <f t="shared" si="8"/>
        <v>0.22510166414069416</v>
      </c>
      <c r="N32" s="24">
        <f t="shared" si="10"/>
        <v>0.17211057296598364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-2.8779691105554443E-3</v>
      </c>
      <c r="I33" s="16">
        <f t="shared" si="7"/>
        <v>-2.8779691105554443E-3</v>
      </c>
      <c r="K33" s="30" t="s">
        <v>4</v>
      </c>
      <c r="L33" s="31">
        <f t="shared" si="9"/>
        <v>2.8779691105554443E-3</v>
      </c>
      <c r="M33" s="31">
        <f t="shared" si="8"/>
        <v>0</v>
      </c>
      <c r="N33" s="31">
        <f t="shared" si="10"/>
        <v>-2.8779691105554443E-3</v>
      </c>
    </row>
    <row r="34" spans="6:14" x14ac:dyDescent="0.45">
      <c r="F34" s="9" t="s">
        <v>5</v>
      </c>
      <c r="G34" s="16">
        <f t="shared" si="5"/>
        <v>-9.3911241394920488E-3</v>
      </c>
      <c r="H34" s="16">
        <f t="shared" si="6"/>
        <v>-1.7812000741846516E-2</v>
      </c>
      <c r="I34" s="16">
        <f t="shared" si="7"/>
        <v>-2.7203124881338563E-2</v>
      </c>
      <c r="K34" s="23" t="s">
        <v>5</v>
      </c>
      <c r="L34" s="24">
        <f t="shared" si="9"/>
        <v>3.2395123800922604E-2</v>
      </c>
      <c r="M34" s="24">
        <f t="shared" si="8"/>
        <v>5.1919989195840397E-3</v>
      </c>
      <c r="N34" s="24">
        <f t="shared" si="10"/>
        <v>-2.7203124881338563E-2</v>
      </c>
    </row>
    <row r="35" spans="6:14" x14ac:dyDescent="0.45">
      <c r="F35" s="9" t="s">
        <v>6</v>
      </c>
      <c r="G35" s="16">
        <f t="shared" si="5"/>
        <v>6.4074668747467773E-3</v>
      </c>
      <c r="H35" s="16">
        <f t="shared" si="6"/>
        <v>1.4390540358037844E-2</v>
      </c>
      <c r="I35" s="16">
        <f t="shared" si="7"/>
        <v>2.0798007232784622E-2</v>
      </c>
      <c r="K35" s="30" t="s">
        <v>6</v>
      </c>
      <c r="L35" s="31">
        <f t="shared" si="9"/>
        <v>0</v>
      </c>
      <c r="M35" s="31">
        <f t="shared" si="8"/>
        <v>2.0798007232784622E-2</v>
      </c>
      <c r="N35" s="31">
        <f t="shared" si="10"/>
        <v>2.0798007232784622E-2</v>
      </c>
    </row>
    <row r="36" spans="6:14" x14ac:dyDescent="0.45">
      <c r="F36" s="9" t="s">
        <v>7</v>
      </c>
      <c r="G36" s="16">
        <f t="shared" si="5"/>
        <v>7.540078875521404E-3</v>
      </c>
      <c r="H36" s="16">
        <f t="shared" si="6"/>
        <v>-1.5297689276976556E-3</v>
      </c>
      <c r="I36" s="16">
        <f t="shared" si="7"/>
        <v>6.0103099478237415E-3</v>
      </c>
      <c r="K36" s="23" t="s">
        <v>7</v>
      </c>
      <c r="L36" s="24">
        <f t="shared" si="9"/>
        <v>6.9378714826714455E-2</v>
      </c>
      <c r="M36" s="24">
        <f t="shared" si="8"/>
        <v>7.5389024774538196E-2</v>
      </c>
      <c r="N36" s="24">
        <f t="shared" si="10"/>
        <v>6.0103099478237415E-3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2.3898868452810317E-2</v>
      </c>
      <c r="H38" s="18">
        <f t="shared" si="6"/>
        <v>-2.3898868452810307E-2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4474.8808284228</v>
      </c>
      <c r="D4" s="9">
        <f>SUM(B4:C4)</f>
        <v>4474.8808284227998</v>
      </c>
      <c r="E4" s="9"/>
      <c r="F4" s="9" t="s">
        <v>1</v>
      </c>
      <c r="G4" s="9" t="n">
        <v>0.0</v>
      </c>
      <c r="H4" s="9" t="n">
        <v>5863.0</v>
      </c>
      <c r="I4" s="9">
        <f>SUM(G4:H4)</f>
        <v>5841</v>
      </c>
    </row>
    <row r="5" spans="1:9" x14ac:dyDescent="0.45">
      <c r="A5" s="9" t="s">
        <v>2</v>
      </c>
      <c r="B5" s="9" t="n">
        <v>0.0</v>
      </c>
      <c r="C5" s="9" t="n">
        <v>12335.051568952</v>
      </c>
      <c r="D5" s="9">
        <f t="shared" ref="D5:D12" si="0">SUM(B5:C5)</f>
        <v>12335.051568952</v>
      </c>
      <c r="E5" s="9"/>
      <c r="F5" s="9" t="s">
        <v>2</v>
      </c>
      <c r="G5" s="9" t="n">
        <v>350.0</v>
      </c>
      <c r="H5" s="9" t="n">
        <v>11365.0</v>
      </c>
      <c r="I5" s="9">
        <f t="shared" ref="I5:I12" si="1">SUM(G5:H5)</f>
        <v>11514</v>
      </c>
    </row>
    <row r="6" spans="1:9" x14ac:dyDescent="0.45">
      <c r="A6" s="9" t="s">
        <v>3</v>
      </c>
      <c r="B6" s="9" t="n">
        <v>0.0</v>
      </c>
      <c r="C6" s="9" t="n">
        <v>8067.181004881</v>
      </c>
      <c r="D6" s="9">
        <f t="shared" si="0"/>
        <v>8067.1810048810003</v>
      </c>
      <c r="E6" s="9"/>
      <c r="F6" s="9" t="s">
        <v>3</v>
      </c>
      <c r="G6" s="9" t="n">
        <v>177.0</v>
      </c>
      <c r="H6" s="9" t="n">
        <v>9368.0</v>
      </c>
      <c r="I6" s="9">
        <f t="shared" si="1"/>
        <v>9400</v>
      </c>
    </row>
    <row r="7" spans="1:9" x14ac:dyDescent="0.45">
      <c r="A7" s="9" t="s">
        <v>4</v>
      </c>
      <c r="B7" s="9" t="n">
        <v>0.0</v>
      </c>
      <c r="C7" s="9" t="n">
        <v>0.0</v>
      </c>
      <c r="D7" s="9">
        <f t="shared" si="0"/>
        <v>0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685.397493253</v>
      </c>
      <c r="C8" s="9" t="n">
        <v>349.274014887</v>
      </c>
      <c r="D8" s="9">
        <f t="shared" si="0"/>
        <v>1034.67150814</v>
      </c>
      <c r="E8" s="9"/>
      <c r="F8" s="9" t="s">
        <v>5</v>
      </c>
      <c r="G8" s="9" t="n">
        <v>48.0</v>
      </c>
      <c r="H8" s="9" t="n">
        <v>61.0</v>
      </c>
      <c r="I8" s="9">
        <f t="shared" si="1"/>
        <v>128</v>
      </c>
    </row>
    <row r="9" spans="1:9" x14ac:dyDescent="0.45">
      <c r="A9" s="9" t="s">
        <v>6</v>
      </c>
      <c r="B9" s="9" t="n">
        <v>0.0</v>
      </c>
      <c r="C9" s="9" t="n">
        <v>0.0</v>
      </c>
      <c r="D9" s="9">
        <f t="shared" si="0"/>
        <v>0</v>
      </c>
      <c r="E9" s="9"/>
      <c r="F9" s="9" t="s">
        <v>6</v>
      </c>
      <c r="G9" s="9" t="n">
        <v>27.0</v>
      </c>
      <c r="H9" s="9" t="n">
        <v>119.0</v>
      </c>
      <c r="I9" s="9">
        <f t="shared" si="1"/>
        <v>156</v>
      </c>
    </row>
    <row r="10" spans="1:9" x14ac:dyDescent="0.45">
      <c r="A10" s="9" t="s">
        <v>7</v>
      </c>
      <c r="B10" s="9" t="n">
        <v>0.0</v>
      </c>
      <c r="C10" s="9" t="n">
        <v>2749.656454781</v>
      </c>
      <c r="D10" s="9">
        <f t="shared" si="0"/>
        <v>2749.6564547809999</v>
      </c>
      <c r="E10" s="9"/>
      <c r="F10" s="9" t="s">
        <v>7</v>
      </c>
      <c r="G10" s="9" t="n">
        <v>674.0</v>
      </c>
      <c r="H10" s="9" t="n">
        <v>3220.0</v>
      </c>
      <c r="I10" s="9">
        <f t="shared" si="1"/>
        <v>3963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685.39749325299999</v>
      </c>
      <c r="C12" s="10">
        <f>SUM(C4:C11)</f>
        <v>27976.043871923801</v>
      </c>
      <c r="D12" s="10">
        <f t="shared" si="0"/>
        <v>28661.441365176801</v>
      </c>
      <c r="F12" s="13" t="s">
        <v>19</v>
      </c>
      <c r="G12" s="10">
        <f>SUM(G4:G11)</f>
        <v>1307</v>
      </c>
      <c r="H12" s="10">
        <f>SUM(H4:H11)</f>
        <v>29695</v>
      </c>
      <c r="I12" s="10">
        <f t="shared" si="1"/>
        <v>31002</v>
      </c>
    </row>
    <row r="15" spans="1:9" ht="14.65" thickBot="1" x14ac:dyDescent="0.5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0.15612895288161291</v>
      </c>
      <c r="D17" s="16">
        <f t="shared" si="2"/>
        <v>0.15612895288161291</v>
      </c>
      <c r="F17" s="9" t="s">
        <v>1</v>
      </c>
      <c r="G17" s="16">
        <f t="shared" ref="G17:I25" si="3">G4/$I$12</f>
        <v>0</v>
      </c>
      <c r="H17" s="16">
        <f t="shared" si="3"/>
        <v>0.18840719953551383</v>
      </c>
      <c r="I17" s="16">
        <f t="shared" si="3"/>
        <v>0.18840719953551383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0.43037094372856255</v>
      </c>
      <c r="D18" s="16">
        <f t="shared" si="4"/>
        <v>0.43037094372856255</v>
      </c>
      <c r="F18" s="9" t="s">
        <v>2</v>
      </c>
      <c r="G18" s="16">
        <f t="shared" si="3"/>
        <v>1.1354106186697632E-2</v>
      </c>
      <c r="H18" s="16">
        <f t="shared" si="3"/>
        <v>0.36004128765886073</v>
      </c>
      <c r="I18" s="16">
        <f t="shared" si="3"/>
        <v>0.37139539384555836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0.28146459565995513</v>
      </c>
      <c r="D19" s="16">
        <f t="shared" si="4"/>
        <v>0.28146459565995513</v>
      </c>
      <c r="F19" s="9" t="s">
        <v>3</v>
      </c>
      <c r="G19" s="16">
        <f t="shared" si="3"/>
        <v>6.064124895168054E-3</v>
      </c>
      <c r="H19" s="16">
        <f t="shared" si="3"/>
        <v>0.29714211986323463</v>
      </c>
      <c r="I19" s="16">
        <f t="shared" si="3"/>
        <v>0.30320624475840269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0</v>
      </c>
      <c r="D20" s="16">
        <f t="shared" si="4"/>
        <v>0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2.3913573798341737E-2</v>
      </c>
      <c r="C21" s="16">
        <f t="shared" si="4"/>
        <v>1.2186198538897016E-2</v>
      </c>
      <c r="D21" s="16">
        <f t="shared" si="4"/>
        <v>3.6099772337238753E-2</v>
      </c>
      <c r="F21" s="9" t="s">
        <v>5</v>
      </c>
      <c r="G21" s="16">
        <f t="shared" si="3"/>
        <v>1.8708470421263145E-3</v>
      </c>
      <c r="H21" s="16">
        <f t="shared" si="3"/>
        <v>2.2579188439455517E-3</v>
      </c>
      <c r="I21" s="16">
        <f t="shared" si="3"/>
        <v>4.1287658860718664E-3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0</v>
      </c>
      <c r="D22" s="16">
        <f t="shared" si="4"/>
        <v>0</v>
      </c>
      <c r="F22" s="9" t="s">
        <v>6</v>
      </c>
      <c r="G22" s="16">
        <f t="shared" si="3"/>
        <v>9.9993548803303019E-4</v>
      </c>
      <c r="H22" s="16">
        <f t="shared" si="3"/>
        <v>4.0319979356170568E-3</v>
      </c>
      <c r="I22" s="16">
        <f t="shared" si="3"/>
        <v>5.031933423650087E-3</v>
      </c>
    </row>
    <row r="23" spans="1:14" x14ac:dyDescent="0.45">
      <c r="A23" s="9" t="s">
        <v>7</v>
      </c>
      <c r="B23" s="16">
        <f t="shared" si="4"/>
        <v>0</v>
      </c>
      <c r="C23" s="16">
        <f t="shared" si="4"/>
        <v>9.5935735392630644E-2</v>
      </c>
      <c r="D23" s="16">
        <f t="shared" si="4"/>
        <v>9.5935735392630644E-2</v>
      </c>
      <c r="F23" s="9" t="s">
        <v>7</v>
      </c>
      <c r="G23" s="16">
        <f t="shared" si="3"/>
        <v>2.1869556802786919E-2</v>
      </c>
      <c r="H23" s="16">
        <f t="shared" si="3"/>
        <v>0.10596090574801625</v>
      </c>
      <c r="I23" s="16">
        <f t="shared" si="3"/>
        <v>0.12783046255080319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2.3913573798341737E-2</v>
      </c>
      <c r="C25" s="18">
        <f t="shared" si="4"/>
        <v>0.97608642620165831</v>
      </c>
      <c r="D25" s="18">
        <f t="shared" si="4"/>
        <v>1</v>
      </c>
      <c r="F25" s="13" t="s">
        <v>19</v>
      </c>
      <c r="G25" s="18">
        <f t="shared" si="3"/>
        <v>4.2158570414811948E-2</v>
      </c>
      <c r="H25" s="18">
        <f t="shared" si="3"/>
        <v>0.95784142958518803</v>
      </c>
      <c r="I25" s="18">
        <f t="shared" si="3"/>
        <v>1</v>
      </c>
    </row>
    <row r="28" spans="1:14" ht="14.65" thickBot="1" x14ac:dyDescent="0.5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3.2278246653900916E-2</v>
      </c>
      <c r="I30" s="16">
        <f t="shared" ref="I30:I38" si="7">I17-D17</f>
        <v>3.2278246653900916E-2</v>
      </c>
      <c r="K30" s="23" t="s">
        <v>1</v>
      </c>
      <c r="L30" s="24">
        <f>D17</f>
        <v>0.15612895288161291</v>
      </c>
      <c r="M30" s="24">
        <f t="shared" ref="M30:M38" si="8">I17</f>
        <v>0.18840719953551383</v>
      </c>
      <c r="N30" s="24">
        <f>M30-L30</f>
        <v>3.2278246653900916E-2</v>
      </c>
    </row>
    <row r="31" spans="1:14" x14ac:dyDescent="0.45">
      <c r="F31" s="9" t="s">
        <v>2</v>
      </c>
      <c r="G31" s="16">
        <f t="shared" si="5"/>
        <v>1.1354106186697632E-2</v>
      </c>
      <c r="H31" s="16">
        <f t="shared" si="6"/>
        <v>-7.0329656069701818E-2</v>
      </c>
      <c r="I31" s="16">
        <f t="shared" si="7"/>
        <v>-5.8975549883004186E-2</v>
      </c>
      <c r="K31" s="30" t="s">
        <v>2</v>
      </c>
      <c r="L31" s="31">
        <f t="shared" ref="L31:L38" si="9">D18</f>
        <v>0.43037094372856255</v>
      </c>
      <c r="M31" s="31">
        <f t="shared" si="8"/>
        <v>0.37139539384555836</v>
      </c>
      <c r="N31" s="31">
        <f t="shared" ref="N31:N38" si="10">M31-L31</f>
        <v>-5.8975549883004186E-2</v>
      </c>
    </row>
    <row r="32" spans="1:14" x14ac:dyDescent="0.45">
      <c r="F32" s="9" t="s">
        <v>3</v>
      </c>
      <c r="G32" s="16">
        <f t="shared" si="5"/>
        <v>6.064124895168054E-3</v>
      </c>
      <c r="H32" s="16">
        <f t="shared" si="6"/>
        <v>1.5677524203279503E-2</v>
      </c>
      <c r="I32" s="16">
        <f t="shared" si="7"/>
        <v>2.1741649098447557E-2</v>
      </c>
      <c r="K32" s="23" t="s">
        <v>3</v>
      </c>
      <c r="L32" s="24">
        <f t="shared" si="9"/>
        <v>0.28146459565995513</v>
      </c>
      <c r="M32" s="24">
        <f t="shared" si="8"/>
        <v>0.30320624475840269</v>
      </c>
      <c r="N32" s="24">
        <f t="shared" si="10"/>
        <v>2.1741649098447557E-2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K33" s="30" t="s">
        <v>4</v>
      </c>
      <c r="L33" s="31">
        <f t="shared" si="9"/>
        <v>0</v>
      </c>
      <c r="M33" s="31">
        <f t="shared" si="8"/>
        <v>0</v>
      </c>
      <c r="N33" s="31">
        <f t="shared" si="10"/>
        <v>0</v>
      </c>
    </row>
    <row r="34" spans="6:14" x14ac:dyDescent="0.45">
      <c r="F34" s="9" t="s">
        <v>5</v>
      </c>
      <c r="G34" s="16">
        <f t="shared" si="5"/>
        <v>-2.2042726756215422E-2</v>
      </c>
      <c r="H34" s="16">
        <f t="shared" si="6"/>
        <v>-9.9282796949514644E-3</v>
      </c>
      <c r="I34" s="16">
        <f t="shared" si="7"/>
        <v>-3.1971006451166885E-2</v>
      </c>
      <c r="K34" s="23" t="s">
        <v>5</v>
      </c>
      <c r="L34" s="24">
        <f t="shared" si="9"/>
        <v>3.6099772337238753E-2</v>
      </c>
      <c r="M34" s="24">
        <f t="shared" si="8"/>
        <v>4.1287658860718664E-3</v>
      </c>
      <c r="N34" s="24">
        <f t="shared" si="10"/>
        <v>-3.1971006451166885E-2</v>
      </c>
    </row>
    <row r="35" spans="6:14" x14ac:dyDescent="0.45">
      <c r="F35" s="9" t="s">
        <v>6</v>
      </c>
      <c r="G35" s="16">
        <f t="shared" si="5"/>
        <v>9.9993548803303019E-4</v>
      </c>
      <c r="H35" s="16">
        <f t="shared" si="6"/>
        <v>4.0319979356170568E-3</v>
      </c>
      <c r="I35" s="16">
        <f t="shared" si="7"/>
        <v>5.031933423650087E-3</v>
      </c>
      <c r="K35" s="30" t="s">
        <v>6</v>
      </c>
      <c r="L35" s="31">
        <f t="shared" si="9"/>
        <v>0</v>
      </c>
      <c r="M35" s="31">
        <f t="shared" si="8"/>
        <v>5.031933423650087E-3</v>
      </c>
      <c r="N35" s="31">
        <f t="shared" si="10"/>
        <v>5.031933423650087E-3</v>
      </c>
    </row>
    <row r="36" spans="6:14" x14ac:dyDescent="0.45">
      <c r="F36" s="9" t="s">
        <v>7</v>
      </c>
      <c r="G36" s="16">
        <f t="shared" si="5"/>
        <v>2.1869556802786919E-2</v>
      </c>
      <c r="H36" s="16">
        <f t="shared" si="6"/>
        <v>1.002517035538561E-2</v>
      </c>
      <c r="I36" s="16">
        <f t="shared" si="7"/>
        <v>3.1894727158172542E-2</v>
      </c>
      <c r="K36" s="23" t="s">
        <v>7</v>
      </c>
      <c r="L36" s="24">
        <f t="shared" si="9"/>
        <v>9.5935735392630644E-2</v>
      </c>
      <c r="M36" s="24">
        <f t="shared" si="8"/>
        <v>0.12783046255080319</v>
      </c>
      <c r="N36" s="24">
        <f t="shared" si="10"/>
        <v>3.1894727158172542E-2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1.8244996616470211E-2</v>
      </c>
      <c r="H38" s="18">
        <f t="shared" si="6"/>
        <v>-1.8244996616470277E-2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N38"/>
  <sheetViews>
    <sheetView workbookViewId="0">
      <selection activeCell="F2" sqref="F2:I12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23934.7528979505</v>
      </c>
      <c r="D4" s="9">
        <f>SUM(B4:C4)</f>
        <v>23934.7528979505</v>
      </c>
      <c r="E4" s="9"/>
      <c r="F4" s="9" t="s">
        <v>1</v>
      </c>
      <c r="G4" s="9" t="n">
        <v>0.0</v>
      </c>
      <c r="H4" s="9" t="n">
        <v>31017.0</v>
      </c>
      <c r="I4" s="9">
        <f>SUM(G4:H4)</f>
        <v>30974</v>
      </c>
    </row>
    <row r="5" spans="1:9" x14ac:dyDescent="0.45">
      <c r="A5" s="9" t="s">
        <v>2</v>
      </c>
      <c r="B5" s="9" t="n">
        <v>0.0</v>
      </c>
      <c r="C5" s="9" t="n">
        <v>40623.0408660479</v>
      </c>
      <c r="D5" s="9">
        <f t="shared" ref="D5:D12" si="0">SUM(B5:C5)</f>
        <v>40623.040866047901</v>
      </c>
      <c r="E5" s="9"/>
      <c r="F5" s="9" t="s">
        <v>2</v>
      </c>
      <c r="G5" s="9" t="n">
        <v>1475.0</v>
      </c>
      <c r="H5" s="9" t="n">
        <v>37483.0</v>
      </c>
      <c r="I5" s="9">
        <f t="shared" ref="I5:I12" si="1">SUM(G5:H5)</f>
        <v>38778</v>
      </c>
    </row>
    <row r="6" spans="1:9" x14ac:dyDescent="0.45">
      <c r="A6" s="9" t="s">
        <v>3</v>
      </c>
      <c r="B6" s="9" t="n">
        <v>0.0</v>
      </c>
      <c r="C6" s="9" t="n">
        <v>15192.07888907</v>
      </c>
      <c r="D6" s="9">
        <f t="shared" si="0"/>
        <v>15192.078889070001</v>
      </c>
      <c r="E6" s="9"/>
      <c r="F6" s="9" t="s">
        <v>3</v>
      </c>
      <c r="G6" s="9" t="n">
        <v>722.0</v>
      </c>
      <c r="H6" s="9" t="n">
        <v>36765.0</v>
      </c>
      <c r="I6" s="9">
        <f t="shared" si="1"/>
        <v>37273</v>
      </c>
    </row>
    <row r="7" spans="1:9" x14ac:dyDescent="0.45">
      <c r="A7" s="9" t="s">
        <v>4</v>
      </c>
      <c r="B7" s="9" t="n">
        <v>0.0</v>
      </c>
      <c r="C7" s="9" t="n">
        <v>340.786811122</v>
      </c>
      <c r="D7" s="9">
        <f t="shared" si="0"/>
        <v>340.78681112200002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595.167324236</v>
      </c>
      <c r="C8" s="9" t="n">
        <v>1571.996909387</v>
      </c>
      <c r="D8" s="9">
        <f t="shared" si="0"/>
        <v>2167.1642336229997</v>
      </c>
      <c r="E8" s="9"/>
      <c r="F8" s="9" t="s">
        <v>5</v>
      </c>
      <c r="G8" s="9" t="n">
        <v>125.0</v>
      </c>
      <c r="H8" s="9" t="n">
        <v>91.0</v>
      </c>
      <c r="I8" s="9">
        <f t="shared" si="1"/>
        <v>273</v>
      </c>
    </row>
    <row r="9" spans="1:9" x14ac:dyDescent="0.45">
      <c r="A9" s="9" t="s">
        <v>6</v>
      </c>
      <c r="B9" s="9" t="n">
        <v>0.0</v>
      </c>
      <c r="C9" s="9" t="n">
        <v>377.147503239</v>
      </c>
      <c r="D9" s="9">
        <f t="shared" si="0"/>
        <v>377.147503239</v>
      </c>
      <c r="E9" s="9"/>
      <c r="F9" s="9" t="s">
        <v>6</v>
      </c>
      <c r="G9" s="9" t="n">
        <v>240.0</v>
      </c>
      <c r="H9" s="9" t="n">
        <v>1179.0</v>
      </c>
      <c r="I9" s="9">
        <f t="shared" si="1"/>
        <v>1414</v>
      </c>
    </row>
    <row r="10" spans="1:9" x14ac:dyDescent="0.45">
      <c r="A10" s="9" t="s">
        <v>7</v>
      </c>
      <c r="B10" s="9" t="n">
        <v>348.853496383</v>
      </c>
      <c r="C10" s="9" t="n">
        <v>37025.7371299756</v>
      </c>
      <c r="D10" s="9">
        <f t="shared" si="0"/>
        <v>37374.5906263586</v>
      </c>
      <c r="E10" s="9"/>
      <c r="F10" s="9" t="s">
        <v>7</v>
      </c>
      <c r="G10" s="9" t="n">
        <v>1579.0</v>
      </c>
      <c r="H10" s="9" t="n">
        <v>35739.0</v>
      </c>
      <c r="I10" s="9">
        <f t="shared" si="1"/>
        <v>36865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944.02082061900001</v>
      </c>
      <c r="C12" s="10">
        <f>SUM(C4:C11)</f>
        <v>119065.54100679202</v>
      </c>
      <c r="D12" s="10">
        <f t="shared" si="0"/>
        <v>120009.56182741102</v>
      </c>
      <c r="F12" s="13" t="s">
        <v>19</v>
      </c>
      <c r="G12" s="10">
        <f>SUM(G4:G11)</f>
        <v>4024</v>
      </c>
      <c r="H12" s="10">
        <f>SUM(H4:H11)</f>
        <v>141553</v>
      </c>
      <c r="I12" s="10">
        <f t="shared" si="1"/>
        <v>145577</v>
      </c>
    </row>
    <row r="15" spans="1:9" ht="14.65" thickBot="1" x14ac:dyDescent="0.5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0.19944038236196307</v>
      </c>
      <c r="D17" s="16">
        <f t="shared" si="2"/>
        <v>0.19944038236196307</v>
      </c>
      <c r="F17" s="9" t="s">
        <v>1</v>
      </c>
      <c r="G17" s="16">
        <f t="shared" ref="G17:I25" si="3">G4/$I$12</f>
        <v>0</v>
      </c>
      <c r="H17" s="16">
        <f t="shared" si="3"/>
        <v>0.21276712667523029</v>
      </c>
      <c r="I17" s="16">
        <f t="shared" si="3"/>
        <v>0.21276712667523029</v>
      </c>
    </row>
    <row r="18" spans="1:14" x14ac:dyDescent="0.45">
      <c r="A18" s="9" t="s">
        <v>2</v>
      </c>
      <c r="B18" s="16">
        <f t="shared" ref="B18:D25" si="4">B5/$D$12</f>
        <v>0</v>
      </c>
      <c r="C18" s="16">
        <f t="shared" si="4"/>
        <v>0.33849836835892283</v>
      </c>
      <c r="D18" s="16">
        <f t="shared" si="4"/>
        <v>0.33849836835892283</v>
      </c>
      <c r="F18" s="9" t="s">
        <v>2</v>
      </c>
      <c r="G18" s="16">
        <f t="shared" si="3"/>
        <v>9.8573263633678389E-3</v>
      </c>
      <c r="H18" s="16">
        <f t="shared" si="3"/>
        <v>0.25651716960783638</v>
      </c>
      <c r="I18" s="16">
        <f t="shared" si="3"/>
        <v>0.26637449597120422</v>
      </c>
    </row>
    <row r="19" spans="1:14" x14ac:dyDescent="0.45">
      <c r="A19" s="9" t="s">
        <v>3</v>
      </c>
      <c r="B19" s="16">
        <f t="shared" si="4"/>
        <v>0</v>
      </c>
      <c r="C19" s="16">
        <f t="shared" si="4"/>
        <v>0.12659057043236388</v>
      </c>
      <c r="D19" s="16">
        <f t="shared" si="4"/>
        <v>0.12659057043236388</v>
      </c>
      <c r="F19" s="9" t="s">
        <v>3</v>
      </c>
      <c r="G19" s="16">
        <f t="shared" si="3"/>
        <v>5.2206049032470789E-3</v>
      </c>
      <c r="H19" s="16">
        <f t="shared" si="3"/>
        <v>0.25081571951613235</v>
      </c>
      <c r="I19" s="16">
        <f t="shared" si="3"/>
        <v>0.25603632441937946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2.8396638228885022E-3</v>
      </c>
      <c r="D20" s="16">
        <f t="shared" si="4"/>
        <v>2.8396638228885022E-3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4.9593325329520509E-3</v>
      </c>
      <c r="C21" s="16">
        <f t="shared" si="4"/>
        <v>1.3098930497285968E-2</v>
      </c>
      <c r="D21" s="16">
        <f t="shared" si="4"/>
        <v>1.8058263030238015E-2</v>
      </c>
      <c r="F21" s="9" t="s">
        <v>5</v>
      </c>
      <c r="G21" s="16">
        <f t="shared" si="3"/>
        <v>9.7542881086984899E-4</v>
      </c>
      <c r="H21" s="16">
        <f t="shared" si="3"/>
        <v>8.9986742411232539E-4</v>
      </c>
      <c r="I21" s="16">
        <f t="shared" si="3"/>
        <v>1.8752962349821744E-3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3.1426454483800713E-3</v>
      </c>
      <c r="D22" s="16">
        <f t="shared" si="4"/>
        <v>3.1426454483800713E-3</v>
      </c>
      <c r="F22" s="9" t="s">
        <v>6</v>
      </c>
      <c r="G22" s="16">
        <f t="shared" si="3"/>
        <v>1.5387046030622968E-3</v>
      </c>
      <c r="H22" s="16">
        <f t="shared" si="3"/>
        <v>8.1743682037684531E-3</v>
      </c>
      <c r="I22" s="16">
        <f t="shared" si="3"/>
        <v>9.7130728068307495E-3</v>
      </c>
    </row>
    <row r="23" spans="1:14" x14ac:dyDescent="0.45">
      <c r="A23" s="9" t="s">
        <v>7</v>
      </c>
      <c r="B23" s="16">
        <f t="shared" si="4"/>
        <v>2.9068808440838706E-3</v>
      </c>
      <c r="C23" s="16">
        <f t="shared" si="4"/>
        <v>0.30852322570115959</v>
      </c>
      <c r="D23" s="16">
        <f t="shared" si="4"/>
        <v>0.3114301065452435</v>
      </c>
      <c r="F23" s="9" t="s">
        <v>7</v>
      </c>
      <c r="G23" s="16">
        <f t="shared" si="3"/>
        <v>1.0049664438750628E-2</v>
      </c>
      <c r="H23" s="16">
        <f t="shared" si="3"/>
        <v>0.24318401945362247</v>
      </c>
      <c r="I23" s="16">
        <f t="shared" si="3"/>
        <v>0.25323368389237311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7.866213377035922E-3</v>
      </c>
      <c r="C25" s="18">
        <f t="shared" si="4"/>
        <v>0.99213378662296403</v>
      </c>
      <c r="D25" s="18">
        <f t="shared" si="4"/>
        <v>1</v>
      </c>
      <c r="F25" s="13" t="s">
        <v>19</v>
      </c>
      <c r="G25" s="18">
        <f t="shared" si="3"/>
        <v>2.764172911929769E-2</v>
      </c>
      <c r="H25" s="18">
        <f t="shared" si="3"/>
        <v>0.97235827088070226</v>
      </c>
      <c r="I25" s="18">
        <f t="shared" si="3"/>
        <v>1</v>
      </c>
    </row>
    <row r="28" spans="1:14" ht="14.65" thickBot="1" x14ac:dyDescent="0.5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1.3326744313267219E-2</v>
      </c>
      <c r="I30" s="16">
        <f t="shared" ref="I30:I38" si="7">I17-D17</f>
        <v>1.3326744313267219E-2</v>
      </c>
      <c r="K30" s="23" t="s">
        <v>1</v>
      </c>
      <c r="L30" s="24">
        <f>D17</f>
        <v>0.19944038236196307</v>
      </c>
      <c r="M30" s="24">
        <f t="shared" ref="M30:M38" si="8">I17</f>
        <v>0.21276712667523029</v>
      </c>
      <c r="N30" s="24">
        <f>M30-L30</f>
        <v>1.3326744313267219E-2</v>
      </c>
    </row>
    <row r="31" spans="1:14" x14ac:dyDescent="0.45">
      <c r="F31" s="9" t="s">
        <v>2</v>
      </c>
      <c r="G31" s="16">
        <f t="shared" si="5"/>
        <v>9.8573263633678389E-3</v>
      </c>
      <c r="H31" s="16">
        <f t="shared" si="6"/>
        <v>-8.1981198751086448E-2</v>
      </c>
      <c r="I31" s="16">
        <f t="shared" si="7"/>
        <v>-7.2123872387718613E-2</v>
      </c>
      <c r="K31" s="30" t="s">
        <v>2</v>
      </c>
      <c r="L31" s="31">
        <f t="shared" ref="L31:L38" si="9">D18</f>
        <v>0.33849836835892283</v>
      </c>
      <c r="M31" s="31">
        <f t="shared" si="8"/>
        <v>0.26637449597120422</v>
      </c>
      <c r="N31" s="31">
        <f t="shared" ref="N31:N38" si="10">M31-L31</f>
        <v>-7.2123872387718613E-2</v>
      </c>
    </row>
    <row r="32" spans="1:14" x14ac:dyDescent="0.45">
      <c r="F32" s="9" t="s">
        <v>3</v>
      </c>
      <c r="G32" s="16">
        <f t="shared" si="5"/>
        <v>5.2206049032470789E-3</v>
      </c>
      <c r="H32" s="16">
        <f t="shared" si="6"/>
        <v>0.12422514908376847</v>
      </c>
      <c r="I32" s="16">
        <f t="shared" si="7"/>
        <v>0.12944575398701558</v>
      </c>
      <c r="K32" s="23" t="s">
        <v>3</v>
      </c>
      <c r="L32" s="24">
        <f t="shared" si="9"/>
        <v>0.12659057043236388</v>
      </c>
      <c r="M32" s="24">
        <f t="shared" si="8"/>
        <v>0.25603632441937946</v>
      </c>
      <c r="N32" s="24">
        <f t="shared" si="10"/>
        <v>0.12944575398701558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-2.8396638228885022E-3</v>
      </c>
      <c r="I33" s="16">
        <f t="shared" si="7"/>
        <v>-2.8396638228885022E-3</v>
      </c>
      <c r="K33" s="30" t="s">
        <v>4</v>
      </c>
      <c r="L33" s="31">
        <f t="shared" si="9"/>
        <v>2.8396638228885022E-3</v>
      </c>
      <c r="M33" s="31">
        <f t="shared" si="8"/>
        <v>0</v>
      </c>
      <c r="N33" s="31">
        <f t="shared" si="10"/>
        <v>-2.8396638228885022E-3</v>
      </c>
    </row>
    <row r="34" spans="6:14" x14ac:dyDescent="0.45">
      <c r="F34" s="9" t="s">
        <v>5</v>
      </c>
      <c r="G34" s="16">
        <f t="shared" si="5"/>
        <v>-3.9839037220822018E-3</v>
      </c>
      <c r="H34" s="16">
        <f t="shared" si="6"/>
        <v>-1.2199063073173642E-2</v>
      </c>
      <c r="I34" s="16">
        <f t="shared" si="7"/>
        <v>-1.618296679525584E-2</v>
      </c>
      <c r="K34" s="23" t="s">
        <v>5</v>
      </c>
      <c r="L34" s="24">
        <f t="shared" si="9"/>
        <v>1.8058263030238015E-2</v>
      </c>
      <c r="M34" s="24">
        <f t="shared" si="8"/>
        <v>1.8752962349821744E-3</v>
      </c>
      <c r="N34" s="24">
        <f t="shared" si="10"/>
        <v>-1.618296679525584E-2</v>
      </c>
    </row>
    <row r="35" spans="6:14" x14ac:dyDescent="0.45">
      <c r="F35" s="9" t="s">
        <v>6</v>
      </c>
      <c r="G35" s="16">
        <f t="shared" si="5"/>
        <v>1.5387046030622968E-3</v>
      </c>
      <c r="H35" s="16">
        <f t="shared" si="6"/>
        <v>5.0317227553883818E-3</v>
      </c>
      <c r="I35" s="16">
        <f t="shared" si="7"/>
        <v>6.5704273584506782E-3</v>
      </c>
      <c r="K35" s="30" t="s">
        <v>6</v>
      </c>
      <c r="L35" s="31">
        <f t="shared" si="9"/>
        <v>3.1426454483800713E-3</v>
      </c>
      <c r="M35" s="31">
        <f t="shared" si="8"/>
        <v>9.7130728068307495E-3</v>
      </c>
      <c r="N35" s="31">
        <f t="shared" si="10"/>
        <v>6.5704273584506782E-3</v>
      </c>
    </row>
    <row r="36" spans="6:14" x14ac:dyDescent="0.45">
      <c r="F36" s="9" t="s">
        <v>7</v>
      </c>
      <c r="G36" s="16">
        <f t="shared" si="5"/>
        <v>7.1427835946667566E-3</v>
      </c>
      <c r="H36" s="16">
        <f t="shared" si="6"/>
        <v>-6.5339206247537113E-2</v>
      </c>
      <c r="I36" s="16">
        <f t="shared" si="7"/>
        <v>-5.8196422652870394E-2</v>
      </c>
      <c r="K36" s="23" t="s">
        <v>7</v>
      </c>
      <c r="L36" s="24">
        <f t="shared" si="9"/>
        <v>0.3114301065452435</v>
      </c>
      <c r="M36" s="24">
        <f t="shared" si="8"/>
        <v>0.25323368389237311</v>
      </c>
      <c r="N36" s="24">
        <f t="shared" si="10"/>
        <v>-5.8196422652870394E-2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1.9775515742261766E-2</v>
      </c>
      <c r="H38" s="18">
        <f t="shared" si="6"/>
        <v>-1.9775515742261773E-2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S38"/>
  <sheetViews>
    <sheetView workbookViewId="0">
      <selection activeCell="K2" sqref="K2:S12"/>
    </sheetView>
  </sheetViews>
  <sheetFormatPr defaultRowHeight="14.25" x14ac:dyDescent="0.45"/>
  <cols>
    <col min="1" max="1" customWidth="true" width="16.73046875" collapsed="true"/>
    <col min="2" max="9" customWidth="true" width="12.73046875" collapsed="true"/>
    <col min="10" max="10" customWidth="true" width="3.73046875" collapsed="true"/>
    <col min="11" max="11" customWidth="true" width="16.73046875" collapsed="true"/>
    <col min="12" max="20" customWidth="true" width="12.73046875" collapsed="true"/>
  </cols>
  <sheetData>
    <row r="2" spans="1:19" ht="14.65" thickBot="1" x14ac:dyDescent="0.5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45">
      <c r="A3" s="5"/>
      <c r="B3" s="68" t="s">
        <v>18</v>
      </c>
      <c r="C3" s="68"/>
      <c r="D3" s="68"/>
      <c r="E3" s="68"/>
      <c r="F3" s="68"/>
      <c r="G3" s="68"/>
      <c r="H3" s="68"/>
      <c r="I3" s="11"/>
      <c r="K3" s="5"/>
      <c r="L3" s="69" t="s">
        <v>18</v>
      </c>
      <c r="M3" s="69"/>
      <c r="N3" s="69"/>
      <c r="O3" s="69"/>
      <c r="P3" s="69"/>
      <c r="Q3" s="69"/>
      <c r="R3" s="69"/>
      <c r="S3" s="69"/>
    </row>
    <row r="4" spans="1:19" x14ac:dyDescent="0.4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45">
      <c r="A5" t="s">
        <v>1</v>
      </c>
      <c r="B5" s="9" t="n">
        <v>4984.387585081</v>
      </c>
      <c r="C5" s="9" t="n">
        <v>752.518186419</v>
      </c>
      <c r="D5" s="9" t="n">
        <v>576.677316407</v>
      </c>
      <c r="E5" s="9" t="n">
        <v>0.0</v>
      </c>
      <c r="F5" s="9" t="n">
        <v>143.613833567</v>
      </c>
      <c r="G5" s="9" t="n">
        <v>0.0</v>
      </c>
      <c r="H5" s="9" t="n">
        <v>0.0</v>
      </c>
      <c r="I5" s="9">
        <f>SUM(B5:H5)</f>
        <v>6457.1969214740002</v>
      </c>
      <c r="J5" s="9"/>
      <c r="K5" s="9" t="s">
        <v>1</v>
      </c>
      <c r="L5" s="9" t="n">
        <v>11002.0</v>
      </c>
      <c r="M5" s="9" t="n">
        <v>2561.0</v>
      </c>
      <c r="N5" s="9" t="n">
        <v>895.0</v>
      </c>
      <c r="O5" s="9" t="n">
        <v>330.0</v>
      </c>
      <c r="P5" s="9" t="n">
        <v>98.0</v>
      </c>
      <c r="Q5" s="9" t="n">
        <v>108.0</v>
      </c>
      <c r="R5" s="9" t="n">
        <v>29.0</v>
      </c>
      <c r="S5" s="9">
        <f>SUM(L5:R5)</f>
        <v>14633</v>
      </c>
    </row>
    <row r="6" spans="1:19" x14ac:dyDescent="0.45">
      <c r="A6" t="s">
        <v>2</v>
      </c>
      <c r="B6" s="9" t="n">
        <v>2304.229008668</v>
      </c>
      <c r="C6" s="9" t="n">
        <v>264.716510956</v>
      </c>
      <c r="D6" s="9" t="n">
        <v>0.0</v>
      </c>
      <c r="E6" s="9" t="n">
        <v>0.0</v>
      </c>
      <c r="F6" s="9" t="n">
        <v>85.5353905136</v>
      </c>
      <c r="G6" s="9" t="n">
        <v>854.253345031</v>
      </c>
      <c r="H6" s="9" t="n">
        <v>0.0</v>
      </c>
      <c r="I6" s="9">
        <f t="shared" ref="I6:I11" si="0">SUM(B6:H6)</f>
        <v>3508.7342551685997</v>
      </c>
      <c r="J6" s="9"/>
      <c r="K6" s="9" t="s">
        <v>2</v>
      </c>
      <c r="L6" s="9" t="n">
        <v>1559.0</v>
      </c>
      <c r="M6" s="9" t="n">
        <v>889.0</v>
      </c>
      <c r="N6" s="9" t="n">
        <v>558.0</v>
      </c>
      <c r="O6" s="9" t="n">
        <v>214.0</v>
      </c>
      <c r="P6" s="9" t="n">
        <v>96.0</v>
      </c>
      <c r="Q6" s="9" t="n">
        <v>103.0</v>
      </c>
      <c r="R6" s="9" t="n">
        <v>24.0</v>
      </c>
      <c r="S6" s="9">
        <f t="shared" ref="S6:S11" si="1">SUM(L6:R6)</f>
        <v>3458</v>
      </c>
    </row>
    <row r="7" spans="1:19" x14ac:dyDescent="0.45">
      <c r="A7" t="s">
        <v>3</v>
      </c>
      <c r="B7" s="9" t="n">
        <v>998.819469916</v>
      </c>
      <c r="C7" s="9" t="n">
        <v>315.647789859</v>
      </c>
      <c r="D7" s="9" t="n">
        <v>0.0</v>
      </c>
      <c r="E7" s="9" t="n">
        <v>0.0</v>
      </c>
      <c r="F7" s="9" t="n">
        <v>447.24846801700005</v>
      </c>
      <c r="G7" s="9" t="n">
        <v>0.0</v>
      </c>
      <c r="H7" s="9" t="n">
        <v>0.0</v>
      </c>
      <c r="I7" s="9">
        <f t="shared" si="0"/>
        <v>1761.7157277920001</v>
      </c>
      <c r="J7" s="9"/>
      <c r="K7" s="9" t="s">
        <v>3</v>
      </c>
      <c r="L7" s="9" t="n">
        <v>589.0</v>
      </c>
      <c r="M7" s="9" t="n">
        <v>384.0</v>
      </c>
      <c r="N7" s="9" t="n">
        <v>195.0</v>
      </c>
      <c r="O7" s="9" t="n">
        <v>87.0</v>
      </c>
      <c r="P7" s="9" t="n">
        <v>41.0</v>
      </c>
      <c r="Q7" s="9" t="n">
        <v>40.0</v>
      </c>
      <c r="R7" s="9" t="n">
        <v>9.0</v>
      </c>
      <c r="S7" s="9">
        <f t="shared" si="1"/>
        <v>1247</v>
      </c>
    </row>
    <row r="8" spans="1:19" x14ac:dyDescent="0.4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45">
      <c r="A9" t="s">
        <v>5</v>
      </c>
      <c r="B9" s="9" t="n">
        <v>1345.57431748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 t="n">
        <v>0.0</v>
      </c>
      <c r="I9" s="9">
        <f t="shared" si="0"/>
        <v>1345.57431748</v>
      </c>
      <c r="J9" s="9"/>
      <c r="K9" s="9" t="s">
        <v>5</v>
      </c>
      <c r="L9" s="9" t="n">
        <v>89.0</v>
      </c>
      <c r="M9" s="9" t="n">
        <v>34.0</v>
      </c>
      <c r="N9" s="9" t="n">
        <v>45.0</v>
      </c>
      <c r="O9" s="9" t="n">
        <v>29.0</v>
      </c>
      <c r="P9" s="9" t="n">
        <v>18.0</v>
      </c>
      <c r="Q9" s="9" t="n">
        <v>9.0</v>
      </c>
      <c r="R9" s="9" t="n">
        <v>3.0</v>
      </c>
      <c r="S9" s="9">
        <f t="shared" si="1"/>
        <v>236</v>
      </c>
    </row>
    <row r="10" spans="1:19" x14ac:dyDescent="0.45">
      <c r="A10" t="s">
        <v>6</v>
      </c>
      <c r="B10" s="9" t="n">
        <v>0.0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0.0</v>
      </c>
      <c r="H10" s="9" t="n">
        <v>0.0</v>
      </c>
      <c r="I10" s="9">
        <f t="shared" si="0"/>
        <v>0</v>
      </c>
      <c r="J10" s="9"/>
      <c r="K10" s="9" t="s">
        <v>6</v>
      </c>
      <c r="L10" s="9" t="n">
        <v>28.0</v>
      </c>
      <c r="M10" s="9" t="n">
        <v>6.0</v>
      </c>
      <c r="N10" s="9" t="n">
        <v>5.0</v>
      </c>
      <c r="O10" s="9" t="n">
        <v>6.0</v>
      </c>
      <c r="P10" s="9" t="n">
        <v>2.0</v>
      </c>
      <c r="Q10" s="9" t="n">
        <v>32.0</v>
      </c>
      <c r="R10" s="9" t="n">
        <v>1.0</v>
      </c>
      <c r="S10" s="9">
        <f t="shared" si="1"/>
        <v>61</v>
      </c>
    </row>
    <row r="11" spans="1:19" x14ac:dyDescent="0.45">
      <c r="A11" s="6" t="s">
        <v>7</v>
      </c>
      <c r="B11" s="14" t="n">
        <v>3615.9975379683</v>
      </c>
      <c r="C11" s="14" t="n">
        <v>916.6265306922</v>
      </c>
      <c r="D11" s="14" t="n">
        <v>303.330009117</v>
      </c>
      <c r="E11" s="14" t="n">
        <v>306.595577578</v>
      </c>
      <c r="F11" s="14" t="n">
        <v>2612.852278458</v>
      </c>
      <c r="G11" s="14" t="n">
        <v>294.711832887</v>
      </c>
      <c r="H11" s="14" t="n">
        <v>0.0</v>
      </c>
      <c r="I11" s="9">
        <f t="shared" si="0"/>
        <v>8050.1137667005005</v>
      </c>
      <c r="J11" s="9"/>
      <c r="K11" s="6" t="s">
        <v>7</v>
      </c>
      <c r="L11" s="12" t="n">
        <v>5339.0</v>
      </c>
      <c r="M11" s="12" t="n">
        <v>1771.0</v>
      </c>
      <c r="N11" s="12" t="n">
        <v>1201.0</v>
      </c>
      <c r="O11" s="12" t="n">
        <v>678.0</v>
      </c>
      <c r="P11" s="12" t="n">
        <v>308.0</v>
      </c>
      <c r="Q11" s="12" t="n">
        <v>202.0</v>
      </c>
      <c r="R11" s="12" t="n">
        <v>170.0</v>
      </c>
      <c r="S11" s="9">
        <f t="shared" si="1"/>
        <v>9824</v>
      </c>
    </row>
    <row r="12" spans="1:19" ht="14.65" thickBot="1" x14ac:dyDescent="0.5">
      <c r="A12" s="15" t="s">
        <v>19</v>
      </c>
      <c r="B12" s="19">
        <f>SUM(B5:B11)</f>
        <v>13249.007919113299</v>
      </c>
      <c r="C12" s="19">
        <f t="shared" ref="C12:I12" si="2">SUM(C5:C11)</f>
        <v>2249.5090179262002</v>
      </c>
      <c r="D12" s="19">
        <f t="shared" si="2"/>
        <v>880.00732552399995</v>
      </c>
      <c r="E12" s="19">
        <f t="shared" si="2"/>
        <v>306.59557757800002</v>
      </c>
      <c r="F12" s="19">
        <f t="shared" si="2"/>
        <v>3289.2499705556002</v>
      </c>
      <c r="G12" s="19">
        <f t="shared" si="2"/>
        <v>1148.9651779179999</v>
      </c>
      <c r="H12" s="19">
        <f t="shared" si="2"/>
        <v>0</v>
      </c>
      <c r="I12" s="19">
        <f t="shared" si="2"/>
        <v>21123.334988615097</v>
      </c>
      <c r="K12" s="13" t="s">
        <v>19</v>
      </c>
      <c r="L12" s="19">
        <f>SUM(L5:L11)</f>
        <v>18552</v>
      </c>
      <c r="M12" s="19">
        <f t="shared" ref="M12:S12" si="3">SUM(M5:M11)</f>
        <v>5483</v>
      </c>
      <c r="N12" s="19">
        <f t="shared" si="3"/>
        <v>2789</v>
      </c>
      <c r="O12" s="19">
        <f t="shared" si="3"/>
        <v>1355</v>
      </c>
      <c r="P12" s="19">
        <f t="shared" si="3"/>
        <v>592</v>
      </c>
      <c r="Q12" s="19">
        <f t="shared" si="3"/>
        <v>447</v>
      </c>
      <c r="R12" s="19">
        <f t="shared" si="3"/>
        <v>241</v>
      </c>
      <c r="S12" s="19">
        <f t="shared" si="3"/>
        <v>29459</v>
      </c>
    </row>
    <row r="15" spans="1:19" ht="14.65" thickBot="1" x14ac:dyDescent="0.5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45">
      <c r="A16" s="5"/>
      <c r="B16" s="68" t="s">
        <v>18</v>
      </c>
      <c r="C16" s="68"/>
      <c r="D16" s="68"/>
      <c r="E16" s="68"/>
      <c r="F16" s="68"/>
      <c r="G16" s="68"/>
      <c r="H16" s="68"/>
      <c r="I16" s="11"/>
      <c r="K16" s="5"/>
      <c r="L16" s="69" t="s">
        <v>18</v>
      </c>
      <c r="M16" s="69"/>
      <c r="N16" s="69"/>
      <c r="O16" s="69"/>
      <c r="P16" s="69"/>
      <c r="Q16" s="69"/>
      <c r="R16" s="69"/>
      <c r="S16" s="69"/>
    </row>
    <row r="17" spans="1:19" x14ac:dyDescent="0.4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45">
      <c r="A18" t="s">
        <v>1</v>
      </c>
      <c r="B18" s="16">
        <f>B5/$I$12</f>
        <v>0.23596593945830283</v>
      </c>
      <c r="C18" s="16">
        <f t="shared" ref="C18:I18" si="4">C5/$I$12</f>
        <v>3.5624970527835059E-2</v>
      </c>
      <c r="D18" s="16">
        <f t="shared" si="4"/>
        <v>2.7300486249818668E-2</v>
      </c>
      <c r="E18" s="16">
        <f t="shared" si="4"/>
        <v>0</v>
      </c>
      <c r="F18" s="16">
        <f t="shared" si="4"/>
        <v>6.7988238431291245E-3</v>
      </c>
      <c r="G18" s="16">
        <f t="shared" si="4"/>
        <v>0</v>
      </c>
      <c r="H18" s="16">
        <f t="shared" si="4"/>
        <v>0</v>
      </c>
      <c r="I18" s="16">
        <f t="shared" si="4"/>
        <v>0.30569022007908569</v>
      </c>
      <c r="J18" s="9"/>
      <c r="K18" s="9" t="s">
        <v>1</v>
      </c>
      <c r="L18" s="16">
        <f t="shared" ref="L18:S25" si="5">L5/$S$12</f>
        <v>0.36596625818934791</v>
      </c>
      <c r="M18" s="16">
        <f t="shared" si="5"/>
        <v>8.4456363080892091E-2</v>
      </c>
      <c r="N18" s="16">
        <f t="shared" si="5"/>
        <v>2.868393360263417E-2</v>
      </c>
      <c r="O18" s="16">
        <f t="shared" si="5"/>
        <v>1.0421263450897857E-2</v>
      </c>
      <c r="P18" s="16">
        <f t="shared" si="5"/>
        <v>3.1908754540208423E-3</v>
      </c>
      <c r="Q18" s="16">
        <f t="shared" si="5"/>
        <v>3.0550935198071895E-3</v>
      </c>
      <c r="R18" s="16">
        <f t="shared" si="5"/>
        <v>9.5047353949557014E-4</v>
      </c>
      <c r="S18" s="16">
        <f t="shared" si="5"/>
        <v>0.49672426083709564</v>
      </c>
    </row>
    <row r="19" spans="1:19" x14ac:dyDescent="0.45">
      <c r="A19" t="s">
        <v>2</v>
      </c>
      <c r="B19" s="16">
        <f t="shared" ref="B19:I19" si="6">B6/$I$12</f>
        <v>0.10908452713124688</v>
      </c>
      <c r="C19" s="16">
        <f t="shared" si="6"/>
        <v>1.2531946830302837E-2</v>
      </c>
      <c r="D19" s="16">
        <f t="shared" si="6"/>
        <v>0</v>
      </c>
      <c r="E19" s="16">
        <f t="shared" si="6"/>
        <v>0</v>
      </c>
      <c r="F19" s="16">
        <f t="shared" si="6"/>
        <v>4.049331725302906E-3</v>
      </c>
      <c r="G19" s="16">
        <f t="shared" si="6"/>
        <v>4.0441215626766287E-2</v>
      </c>
      <c r="H19" s="16">
        <f t="shared" si="6"/>
        <v>0</v>
      </c>
      <c r="I19" s="16">
        <f t="shared" si="6"/>
        <v>0.1661070213136189</v>
      </c>
      <c r="J19" s="9"/>
      <c r="K19" s="9" t="s">
        <v>2</v>
      </c>
      <c r="L19" s="16">
        <f t="shared" si="5"/>
        <v>5.5059574323636243E-2</v>
      </c>
      <c r="M19" s="16">
        <f t="shared" si="5"/>
        <v>3.0109643911877523E-2</v>
      </c>
      <c r="N19" s="16">
        <f t="shared" si="5"/>
        <v>1.7176414678027087E-2</v>
      </c>
      <c r="O19" s="16">
        <f t="shared" si="5"/>
        <v>6.9248786448962967E-3</v>
      </c>
      <c r="P19" s="16">
        <f t="shared" si="5"/>
        <v>3.4963848060015615E-3</v>
      </c>
      <c r="Q19" s="16">
        <f t="shared" si="5"/>
        <v>3.5303302895549745E-3</v>
      </c>
      <c r="R19" s="16">
        <f t="shared" si="5"/>
        <v>1.0862554737092231E-3</v>
      </c>
      <c r="S19" s="16">
        <f t="shared" si="5"/>
        <v>0.11738348212770292</v>
      </c>
    </row>
    <row r="20" spans="1:19" x14ac:dyDescent="0.45">
      <c r="A20" t="s">
        <v>3</v>
      </c>
      <c r="B20" s="16">
        <f t="shared" ref="B20:I20" si="7">B7/$I$12</f>
        <v>4.7285121902120877E-2</v>
      </c>
      <c r="C20" s="16">
        <f t="shared" si="7"/>
        <v>1.4943084982988035E-2</v>
      </c>
      <c r="D20" s="16">
        <f t="shared" si="7"/>
        <v>0</v>
      </c>
      <c r="E20" s="16">
        <f t="shared" si="7"/>
        <v>0</v>
      </c>
      <c r="F20" s="16">
        <f t="shared" si="7"/>
        <v>2.117319392312127E-2</v>
      </c>
      <c r="G20" s="16">
        <f t="shared" si="7"/>
        <v>0</v>
      </c>
      <c r="H20" s="16">
        <f t="shared" si="7"/>
        <v>0</v>
      </c>
      <c r="I20" s="16">
        <f t="shared" si="7"/>
        <v>8.3401400808230178E-2</v>
      </c>
      <c r="J20" s="9"/>
      <c r="K20" s="9" t="s">
        <v>3</v>
      </c>
      <c r="L20" s="16">
        <f t="shared" si="5"/>
        <v>1.9858107878746731E-2</v>
      </c>
      <c r="M20" s="16">
        <f t="shared" si="5"/>
        <v>1.1032282154859296E-2</v>
      </c>
      <c r="N20" s="16">
        <f t="shared" si="5"/>
        <v>6.551478325808751E-3</v>
      </c>
      <c r="O20" s="16">
        <f t="shared" si="5"/>
        <v>2.7156386842730573E-3</v>
      </c>
      <c r="P20" s="16">
        <f t="shared" si="5"/>
        <v>1.0523099901558097E-3</v>
      </c>
      <c r="Q20" s="16">
        <f t="shared" si="5"/>
        <v>9.8441902304898334E-4</v>
      </c>
      <c r="R20" s="16">
        <f t="shared" si="5"/>
        <v>1.3578193421365288E-4</v>
      </c>
      <c r="S20" s="16">
        <f t="shared" si="5"/>
        <v>4.2330017991106285E-2</v>
      </c>
    </row>
    <row r="21" spans="1:19" x14ac:dyDescent="0.4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45">
      <c r="A22" t="s">
        <v>5</v>
      </c>
      <c r="B22" s="16">
        <f t="shared" ref="B22:I22" si="9">B9/$I$12</f>
        <v>6.3700846395951582E-2</v>
      </c>
      <c r="C22" s="16">
        <f t="shared" si="9"/>
        <v>0</v>
      </c>
      <c r="D22" s="16">
        <f t="shared" si="9"/>
        <v>0</v>
      </c>
      <c r="E22" s="16">
        <f t="shared" si="9"/>
        <v>0</v>
      </c>
      <c r="F22" s="16">
        <f t="shared" si="9"/>
        <v>0</v>
      </c>
      <c r="G22" s="16">
        <f t="shared" si="9"/>
        <v>0</v>
      </c>
      <c r="H22" s="16">
        <f t="shared" si="9"/>
        <v>0</v>
      </c>
      <c r="I22" s="16">
        <f t="shared" si="9"/>
        <v>6.3700846395951582E-2</v>
      </c>
      <c r="J22" s="9"/>
      <c r="K22" s="9" t="s">
        <v>5</v>
      </c>
      <c r="L22" s="16">
        <f t="shared" si="5"/>
        <v>2.9193115855935367E-3</v>
      </c>
      <c r="M22" s="16">
        <f t="shared" si="5"/>
        <v>1.1202009572626361E-3</v>
      </c>
      <c r="N22" s="16">
        <f t="shared" si="5"/>
        <v>1.7991106283309006E-3</v>
      </c>
      <c r="O22" s="16">
        <f t="shared" si="5"/>
        <v>1.0523099901558097E-3</v>
      </c>
      <c r="P22" s="16">
        <f t="shared" si="5"/>
        <v>5.7707322040802473E-4</v>
      </c>
      <c r="Q22" s="16">
        <f t="shared" si="5"/>
        <v>3.7340031908754542E-4</v>
      </c>
      <c r="R22" s="16">
        <f t="shared" si="5"/>
        <v>1.6972741776706608E-4</v>
      </c>
      <c r="S22" s="16">
        <f t="shared" si="5"/>
        <v>8.0111341186055191E-3</v>
      </c>
    </row>
    <row r="23" spans="1:19" x14ac:dyDescent="0.45">
      <c r="A23" t="s">
        <v>6</v>
      </c>
      <c r="B23" s="16">
        <f t="shared" ref="B23:I23" si="10">B10/$I$12</f>
        <v>0</v>
      </c>
      <c r="C23" s="16">
        <f t="shared" si="10"/>
        <v>0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0</v>
      </c>
      <c r="H23" s="16">
        <f t="shared" si="10"/>
        <v>0</v>
      </c>
      <c r="I23" s="16">
        <f t="shared" si="10"/>
        <v>0</v>
      </c>
      <c r="J23" s="9"/>
      <c r="K23" s="9" t="s">
        <v>6</v>
      </c>
      <c r="L23" s="16">
        <f t="shared" si="5"/>
        <v>6.4496418751485113E-4</v>
      </c>
      <c r="M23" s="16">
        <f t="shared" si="5"/>
        <v>3.0550935198071896E-4</v>
      </c>
      <c r="N23" s="16">
        <f t="shared" si="5"/>
        <v>3.0550935198071896E-4</v>
      </c>
      <c r="O23" s="16">
        <f t="shared" si="5"/>
        <v>1.0183645066023965E-4</v>
      </c>
      <c r="P23" s="16">
        <f t="shared" si="5"/>
        <v>3.394548355341322E-5</v>
      </c>
      <c r="Q23" s="16">
        <f t="shared" si="5"/>
        <v>6.7890967106826433E-4</v>
      </c>
      <c r="R23" s="16">
        <f t="shared" si="5"/>
        <v>0</v>
      </c>
      <c r="S23" s="16">
        <f t="shared" si="5"/>
        <v>2.0706744967582064E-3</v>
      </c>
    </row>
    <row r="24" spans="1:19" x14ac:dyDescent="0.45">
      <c r="A24" s="6" t="s">
        <v>7</v>
      </c>
      <c r="B24" s="17">
        <f t="shared" ref="B24:I24" si="11">B11/$I$12</f>
        <v>0.17118497339161759</v>
      </c>
      <c r="C24" s="17">
        <f t="shared" si="11"/>
        <v>4.3394025194707031E-2</v>
      </c>
      <c r="D24" s="17">
        <f t="shared" si="11"/>
        <v>1.4359948809242792E-2</v>
      </c>
      <c r="E24" s="17">
        <f t="shared" si="11"/>
        <v>1.4514544116411858E-2</v>
      </c>
      <c r="F24" s="17">
        <f t="shared" si="11"/>
        <v>0.12369506424370282</v>
      </c>
      <c r="G24" s="17">
        <f t="shared" si="11"/>
        <v>1.3951955647431699E-2</v>
      </c>
      <c r="H24" s="17">
        <f t="shared" si="11"/>
        <v>0</v>
      </c>
      <c r="I24" s="16">
        <f t="shared" si="11"/>
        <v>0.3811005114031138</v>
      </c>
      <c r="J24" s="9"/>
      <c r="K24" s="6" t="s">
        <v>7</v>
      </c>
      <c r="L24" s="20">
        <f t="shared" si="5"/>
        <v>0.18530839471808275</v>
      </c>
      <c r="M24" s="20">
        <f t="shared" si="5"/>
        <v>5.9099086866492415E-2</v>
      </c>
      <c r="N24" s="20">
        <f t="shared" si="5"/>
        <v>4.015750704368784E-2</v>
      </c>
      <c r="O24" s="20">
        <f t="shared" si="5"/>
        <v>2.4780202993991651E-2</v>
      </c>
      <c r="P24" s="20">
        <f t="shared" si="5"/>
        <v>1.1745137309480973E-2</v>
      </c>
      <c r="Q24" s="20">
        <f t="shared" si="5"/>
        <v>6.551478325808751E-3</v>
      </c>
      <c r="R24" s="20">
        <f t="shared" si="5"/>
        <v>5.8386231711870734E-3</v>
      </c>
      <c r="S24" s="16">
        <f t="shared" si="5"/>
        <v>0.33348043042873143</v>
      </c>
    </row>
    <row r="25" spans="1:19" ht="14.65" thickBot="1" x14ac:dyDescent="0.5">
      <c r="A25" s="15" t="s">
        <v>19</v>
      </c>
      <c r="B25" s="18">
        <f t="shared" ref="B25:I25" si="12">B12/$I$12</f>
        <v>0.62722140827923967</v>
      </c>
      <c r="C25" s="18">
        <f t="shared" si="12"/>
        <v>0.10649402753583297</v>
      </c>
      <c r="D25" s="18">
        <f t="shared" si="12"/>
        <v>4.166043505906146E-2</v>
      </c>
      <c r="E25" s="18">
        <f t="shared" si="12"/>
        <v>1.4514544116411858E-2</v>
      </c>
      <c r="F25" s="18">
        <f t="shared" si="12"/>
        <v>0.15571641373525613</v>
      </c>
      <c r="G25" s="18">
        <f t="shared" si="12"/>
        <v>5.4393171274197981E-2</v>
      </c>
      <c r="H25" s="18">
        <f t="shared" si="12"/>
        <v>0</v>
      </c>
      <c r="I25" s="18">
        <f t="shared" si="12"/>
        <v>1</v>
      </c>
      <c r="K25" s="13" t="s">
        <v>19</v>
      </c>
      <c r="L25" s="18">
        <f t="shared" si="5"/>
        <v>0.62975661088292201</v>
      </c>
      <c r="M25" s="18">
        <f t="shared" si="5"/>
        <v>0.18612308632336469</v>
      </c>
      <c r="N25" s="18">
        <f t="shared" si="5"/>
        <v>9.467395363046946E-2</v>
      </c>
      <c r="O25" s="18">
        <f t="shared" si="5"/>
        <v>4.5996130214874913E-2</v>
      </c>
      <c r="P25" s="18">
        <f t="shared" si="5"/>
        <v>2.0095726263620627E-2</v>
      </c>
      <c r="Q25" s="18">
        <f t="shared" si="5"/>
        <v>1.5173631148375709E-2</v>
      </c>
      <c r="R25" s="18">
        <f t="shared" si="5"/>
        <v>8.1808615363725863E-3</v>
      </c>
      <c r="S25" s="18">
        <f t="shared" si="5"/>
        <v>1</v>
      </c>
    </row>
    <row r="28" spans="1:19" ht="14.65" thickBot="1" x14ac:dyDescent="0.5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45">
      <c r="K29" s="5"/>
      <c r="L29" s="69" t="s">
        <v>18</v>
      </c>
      <c r="M29" s="69"/>
      <c r="N29" s="69"/>
      <c r="O29" s="69"/>
      <c r="P29" s="69"/>
      <c r="Q29" s="69"/>
      <c r="R29" s="69"/>
      <c r="S29" s="69"/>
    </row>
    <row r="30" spans="1:19" x14ac:dyDescent="0.4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45">
      <c r="K31" s="9" t="s">
        <v>1</v>
      </c>
      <c r="L31" s="16">
        <f t="shared" ref="L31:S33" si="13">L18-B18</f>
        <v>0.13000031873104509</v>
      </c>
      <c r="M31" s="16">
        <f t="shared" si="13"/>
        <v>4.8831392553057032E-2</v>
      </c>
      <c r="N31" s="16">
        <f t="shared" si="13"/>
        <v>1.383447352815502E-3</v>
      </c>
      <c r="O31" s="16">
        <f t="shared" si="13"/>
        <v>1.0421263450897857E-2</v>
      </c>
      <c r="P31" s="16">
        <f t="shared" si="13"/>
        <v>-3.6079483891082822E-3</v>
      </c>
      <c r="Q31" s="16">
        <f t="shared" si="13"/>
        <v>3.0550935198071895E-3</v>
      </c>
      <c r="R31" s="16">
        <f t="shared" si="13"/>
        <v>9.5047353949557014E-4</v>
      </c>
      <c r="S31" s="16">
        <f t="shared" si="13"/>
        <v>0.19103404075800995</v>
      </c>
    </row>
    <row r="32" spans="1:19" x14ac:dyDescent="0.45">
      <c r="K32" s="9" t="s">
        <v>2</v>
      </c>
      <c r="L32" s="16">
        <f t="shared" si="13"/>
        <v>-5.4024952807610632E-2</v>
      </c>
      <c r="M32" s="16">
        <f t="shared" si="13"/>
        <v>1.7577697081574688E-2</v>
      </c>
      <c r="N32" s="16">
        <f t="shared" si="13"/>
        <v>1.7176414678027087E-2</v>
      </c>
      <c r="O32" s="16">
        <f t="shared" si="13"/>
        <v>6.9248786448962967E-3</v>
      </c>
      <c r="P32" s="16">
        <f t="shared" si="13"/>
        <v>-5.5294691930134459E-4</v>
      </c>
      <c r="Q32" s="16">
        <f t="shared" si="13"/>
        <v>-3.6910885337211312E-2</v>
      </c>
      <c r="R32" s="16">
        <f t="shared" si="13"/>
        <v>1.0862554737092231E-3</v>
      </c>
      <c r="S32" s="16">
        <f t="shared" si="13"/>
        <v>-4.8723539185915987E-2</v>
      </c>
    </row>
    <row r="33" spans="11:19" x14ac:dyDescent="0.45">
      <c r="K33" s="9" t="s">
        <v>3</v>
      </c>
      <c r="L33" s="16">
        <f t="shared" si="13"/>
        <v>-2.7427014023374146E-2</v>
      </c>
      <c r="M33" s="16">
        <f t="shared" si="13"/>
        <v>-3.9108028281287389E-3</v>
      </c>
      <c r="N33" s="16">
        <f t="shared" si="13"/>
        <v>6.551478325808751E-3</v>
      </c>
      <c r="O33" s="16">
        <f t="shared" si="13"/>
        <v>2.7156386842730573E-3</v>
      </c>
      <c r="P33" s="16">
        <f t="shared" si="13"/>
        <v>-2.0120883932965461E-2</v>
      </c>
      <c r="Q33" s="16">
        <f t="shared" si="13"/>
        <v>9.8441902304898334E-4</v>
      </c>
      <c r="R33" s="16">
        <f t="shared" si="13"/>
        <v>1.3578193421365288E-4</v>
      </c>
      <c r="S33" s="16">
        <f t="shared" si="13"/>
        <v>-4.1071382817123893E-2</v>
      </c>
    </row>
    <row r="34" spans="11:19" x14ac:dyDescent="0.4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45">
      <c r="K35" s="9" t="s">
        <v>5</v>
      </c>
      <c r="L35" s="16">
        <f>L22-B22</f>
        <v>-6.0781534810358043E-2</v>
      </c>
      <c r="M35" s="16">
        <f t="shared" ref="M35:S38" si="15">M22-C22</f>
        <v>1.1202009572626361E-3</v>
      </c>
      <c r="N35" s="16">
        <f t="shared" si="15"/>
        <v>1.7991106283309006E-3</v>
      </c>
      <c r="O35" s="16">
        <f t="shared" si="15"/>
        <v>1.0523099901558097E-3</v>
      </c>
      <c r="P35" s="16">
        <f t="shared" si="15"/>
        <v>5.7707322040802473E-4</v>
      </c>
      <c r="Q35" s="16">
        <f t="shared" si="15"/>
        <v>3.7340031908754542E-4</v>
      </c>
      <c r="R35" s="16">
        <f t="shared" si="15"/>
        <v>1.6972741776706608E-4</v>
      </c>
      <c r="S35" s="16">
        <f t="shared" si="15"/>
        <v>-5.5689712277346065E-2</v>
      </c>
    </row>
    <row r="36" spans="11:19" x14ac:dyDescent="0.45">
      <c r="K36" s="9" t="s">
        <v>6</v>
      </c>
      <c r="L36" s="16">
        <f>L23-B23</f>
        <v>6.4496418751485113E-4</v>
      </c>
      <c r="M36" s="16">
        <f t="shared" si="15"/>
        <v>3.0550935198071896E-4</v>
      </c>
      <c r="N36" s="16">
        <f t="shared" si="15"/>
        <v>3.0550935198071896E-4</v>
      </c>
      <c r="O36" s="16">
        <f t="shared" si="15"/>
        <v>1.0183645066023965E-4</v>
      </c>
      <c r="P36" s="16">
        <f t="shared" si="15"/>
        <v>3.394548355341322E-5</v>
      </c>
      <c r="Q36" s="16">
        <f t="shared" si="15"/>
        <v>6.7890967106826433E-4</v>
      </c>
      <c r="R36" s="16">
        <f t="shared" si="15"/>
        <v>0</v>
      </c>
      <c r="S36" s="16">
        <f t="shared" si="15"/>
        <v>2.0706744967582064E-3</v>
      </c>
    </row>
    <row r="37" spans="11:19" x14ac:dyDescent="0.45">
      <c r="K37" s="6" t="s">
        <v>7</v>
      </c>
      <c r="L37" s="20">
        <f>L24-B24</f>
        <v>1.4123421326465158E-2</v>
      </c>
      <c r="M37" s="20">
        <f t="shared" si="15"/>
        <v>1.5705061671785384E-2</v>
      </c>
      <c r="N37" s="20">
        <f t="shared" si="15"/>
        <v>2.5797558234445048E-2</v>
      </c>
      <c r="O37" s="20">
        <f t="shared" si="15"/>
        <v>1.0265658877579792E-2</v>
      </c>
      <c r="P37" s="20">
        <f t="shared" si="15"/>
        <v>-0.11194992693422184</v>
      </c>
      <c r="Q37" s="20">
        <f t="shared" si="15"/>
        <v>-7.4004773216229478E-3</v>
      </c>
      <c r="R37" s="20">
        <f t="shared" si="15"/>
        <v>5.8386231711870734E-3</v>
      </c>
      <c r="S37" s="16">
        <f t="shared" si="15"/>
        <v>-4.7620080974382362E-2</v>
      </c>
    </row>
    <row r="38" spans="11:19" ht="14.65" thickBot="1" x14ac:dyDescent="0.5">
      <c r="K38" s="13" t="s">
        <v>19</v>
      </c>
      <c r="L38" s="18">
        <f>L25-B25</f>
        <v>2.5352026036823405E-3</v>
      </c>
      <c r="M38" s="18">
        <f t="shared" si="15"/>
        <v>7.9629058787531723E-2</v>
      </c>
      <c r="N38" s="18">
        <f t="shared" si="15"/>
        <v>5.3013518571408E-2</v>
      </c>
      <c r="O38" s="18">
        <f t="shared" si="15"/>
        <v>3.1481586098463056E-2</v>
      </c>
      <c r="P38" s="18">
        <f t="shared" si="15"/>
        <v>-0.1356206874716355</v>
      </c>
      <c r="Q38" s="18">
        <f t="shared" si="15"/>
        <v>-3.9219540125822273E-2</v>
      </c>
      <c r="R38" s="18">
        <f t="shared" si="15"/>
        <v>8.1808615363725863E-3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42</v>
      </c>
    </row>
    <row r="3" spans="2:2" x14ac:dyDescent="0.4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F47"/>
  <sheetViews>
    <sheetView workbookViewId="0">
      <selection activeCell="I32" sqref="I31:I32"/>
    </sheetView>
  </sheetViews>
  <sheetFormatPr defaultRowHeight="14.25" x14ac:dyDescent="0.45"/>
  <cols>
    <col min="2" max="2" bestFit="true" customWidth="true" width="11.0" collapsed="true"/>
  </cols>
  <sheetData>
    <row r="1" spans="1:58" x14ac:dyDescent="0.4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4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4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4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4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4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4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4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4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4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4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4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4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4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4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4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4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4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4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4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4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4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4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4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4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4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4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4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4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4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4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4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4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4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4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4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4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4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4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4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4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4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4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4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4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4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4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K123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269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227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0.98306756366900006</v>
      </c>
      <c r="F11">
        <v>0.125473538597</v>
      </c>
    </row>
    <row r="12" spans="1:11" x14ac:dyDescent="0.45">
      <c r="B12">
        <v>2</v>
      </c>
      <c r="C12" t="s">
        <v>65</v>
      </c>
      <c r="D12" t="s">
        <v>64</v>
      </c>
      <c r="E12">
        <v>0.51430888706199995</v>
      </c>
      <c r="F12" s="35">
        <v>3.6453648191500002E-2</v>
      </c>
    </row>
    <row r="13" spans="1:11" x14ac:dyDescent="0.45">
      <c r="B13">
        <v>10</v>
      </c>
      <c r="C13" t="s">
        <v>151</v>
      </c>
      <c r="D13" t="s">
        <v>64</v>
      </c>
      <c r="E13">
        <v>-3.8200751962199999</v>
      </c>
      <c r="F13">
        <v>0.66233066856800005</v>
      </c>
    </row>
    <row r="14" spans="1:11" x14ac:dyDescent="0.45">
      <c r="B14">
        <v>11</v>
      </c>
      <c r="C14" t="s">
        <v>152</v>
      </c>
      <c r="D14" t="s">
        <v>64</v>
      </c>
      <c r="E14">
        <v>-2.5630624741500001</v>
      </c>
      <c r="F14">
        <v>0.72359141074400002</v>
      </c>
    </row>
    <row r="15" spans="1:11" x14ac:dyDescent="0.45">
      <c r="B15">
        <v>13</v>
      </c>
      <c r="C15" t="s">
        <v>153</v>
      </c>
      <c r="D15" t="s">
        <v>64</v>
      </c>
      <c r="E15">
        <v>-1.1851493333800001</v>
      </c>
      <c r="F15">
        <v>0.37337494340799998</v>
      </c>
    </row>
    <row r="16" spans="1:11" x14ac:dyDescent="0.45">
      <c r="B16">
        <v>20</v>
      </c>
      <c r="C16" t="s">
        <v>69</v>
      </c>
      <c r="D16" t="s">
        <v>64</v>
      </c>
      <c r="E16">
        <v>-3.0715896153100002</v>
      </c>
      <c r="F16">
        <v>0.72739498695600002</v>
      </c>
    </row>
    <row r="17" spans="2:6" x14ac:dyDescent="0.45">
      <c r="B17">
        <v>30</v>
      </c>
      <c r="C17" t="s">
        <v>76</v>
      </c>
      <c r="D17" t="s">
        <v>64</v>
      </c>
      <c r="E17">
        <v>-2.4689708000600001</v>
      </c>
      <c r="F17">
        <v>0.67969898658799999</v>
      </c>
    </row>
    <row r="18" spans="2:6" x14ac:dyDescent="0.4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45">
      <c r="B19">
        <v>32</v>
      </c>
      <c r="C19" t="s">
        <v>155</v>
      </c>
      <c r="D19" t="s">
        <v>64</v>
      </c>
      <c r="E19">
        <v>0.44708751338699998</v>
      </c>
      <c r="F19" s="35">
        <v>0.16001698481000001</v>
      </c>
    </row>
    <row r="20" spans="2:6" x14ac:dyDescent="0.45">
      <c r="B20">
        <v>35</v>
      </c>
      <c r="C20" t="s">
        <v>156</v>
      </c>
      <c r="D20" t="s">
        <v>64</v>
      </c>
      <c r="E20">
        <v>-0.353876441667</v>
      </c>
      <c r="F20" s="35">
        <v>8.4897093652699998E-2</v>
      </c>
    </row>
    <row r="21" spans="2:6" x14ac:dyDescent="0.45">
      <c r="B21">
        <v>38</v>
      </c>
      <c r="C21" t="s">
        <v>157</v>
      </c>
      <c r="D21" t="s">
        <v>64</v>
      </c>
      <c r="E21">
        <v>-2.0693221341900001</v>
      </c>
      <c r="F21">
        <v>0.36550627885499998</v>
      </c>
    </row>
    <row r="22" spans="2:6" x14ac:dyDescent="0.45">
      <c r="B22">
        <v>39</v>
      </c>
      <c r="C22" t="s">
        <v>77</v>
      </c>
      <c r="D22" t="s">
        <v>64</v>
      </c>
      <c r="E22">
        <v>-1.1541206636100001</v>
      </c>
      <c r="F22">
        <v>0.16234260984099999</v>
      </c>
    </row>
    <row r="23" spans="2:6" x14ac:dyDescent="0.45">
      <c r="B23">
        <v>40</v>
      </c>
      <c r="C23" t="s">
        <v>79</v>
      </c>
      <c r="D23" t="s">
        <v>64</v>
      </c>
      <c r="E23">
        <v>-1.9489459630199999</v>
      </c>
      <c r="F23">
        <v>0.67404926510399998</v>
      </c>
    </row>
    <row r="24" spans="2:6" x14ac:dyDescent="0.45">
      <c r="B24">
        <v>41</v>
      </c>
      <c r="C24" t="s">
        <v>80</v>
      </c>
      <c r="D24" t="s">
        <v>64</v>
      </c>
      <c r="E24">
        <v>-3.5522207297700001</v>
      </c>
      <c r="F24">
        <v>0.60852166979699995</v>
      </c>
    </row>
    <row r="25" spans="2:6" x14ac:dyDescent="0.45">
      <c r="B25">
        <v>42</v>
      </c>
      <c r="C25" t="s">
        <v>137</v>
      </c>
      <c r="D25" t="s">
        <v>64</v>
      </c>
      <c r="E25">
        <v>0.41721974571499998</v>
      </c>
      <c r="F25">
        <v>0.194101402162</v>
      </c>
    </row>
    <row r="26" spans="2:6" x14ac:dyDescent="0.45">
      <c r="B26">
        <v>48</v>
      </c>
      <c r="C26" t="s">
        <v>78</v>
      </c>
      <c r="D26" t="s">
        <v>64</v>
      </c>
      <c r="E26">
        <v>-1.9493287002999999</v>
      </c>
      <c r="F26">
        <v>0.33514522941199998</v>
      </c>
    </row>
    <row r="27" spans="2:6" x14ac:dyDescent="0.45">
      <c r="B27">
        <v>50</v>
      </c>
      <c r="C27" t="s">
        <v>84</v>
      </c>
      <c r="D27" t="s">
        <v>64</v>
      </c>
      <c r="E27">
        <v>1.48159853972</v>
      </c>
      <c r="F27">
        <v>0.64311556075099996</v>
      </c>
    </row>
    <row r="28" spans="2:6" x14ac:dyDescent="0.45">
      <c r="B28">
        <v>53</v>
      </c>
      <c r="C28" t="s">
        <v>158</v>
      </c>
      <c r="D28" t="s">
        <v>64</v>
      </c>
      <c r="E28">
        <v>-2.5141990240499998</v>
      </c>
      <c r="F28">
        <v>0.27078973018199998</v>
      </c>
    </row>
    <row r="29" spans="2:6" x14ac:dyDescent="0.45">
      <c r="B29">
        <v>54</v>
      </c>
      <c r="C29" t="s">
        <v>86</v>
      </c>
      <c r="D29" t="s">
        <v>64</v>
      </c>
      <c r="E29">
        <v>0.76160210176200005</v>
      </c>
      <c r="F29">
        <v>0.35985234117499998</v>
      </c>
    </row>
    <row r="30" spans="2:6" x14ac:dyDescent="0.45">
      <c r="B30">
        <v>60</v>
      </c>
      <c r="C30" t="s">
        <v>89</v>
      </c>
      <c r="D30" t="s">
        <v>64</v>
      </c>
      <c r="E30">
        <v>-3.8984872554700001</v>
      </c>
      <c r="F30">
        <v>0.74918801820699998</v>
      </c>
    </row>
    <row r="31" spans="2:6" x14ac:dyDescent="0.45">
      <c r="B31">
        <v>61</v>
      </c>
      <c r="C31" t="s">
        <v>90</v>
      </c>
      <c r="D31" t="s">
        <v>64</v>
      </c>
      <c r="E31">
        <v>1.7828694027100001</v>
      </c>
      <c r="F31">
        <v>0.28202992258199999</v>
      </c>
    </row>
    <row r="32" spans="2:6" x14ac:dyDescent="0.45">
      <c r="B32">
        <v>63</v>
      </c>
      <c r="C32" t="s">
        <v>159</v>
      </c>
      <c r="D32" t="s">
        <v>64</v>
      </c>
      <c r="E32">
        <v>-1.1592853190600001</v>
      </c>
      <c r="F32">
        <v>0.37184639859200003</v>
      </c>
    </row>
    <row r="33" spans="2:6" x14ac:dyDescent="0.45">
      <c r="B33">
        <v>71</v>
      </c>
      <c r="C33" t="s">
        <v>160</v>
      </c>
      <c r="D33" t="s">
        <v>64</v>
      </c>
      <c r="E33">
        <v>0.93477131512</v>
      </c>
      <c r="F33">
        <v>0.25661433948200002</v>
      </c>
    </row>
    <row r="34" spans="2:6" x14ac:dyDescent="0.45">
      <c r="B34">
        <v>124</v>
      </c>
      <c r="C34" t="s">
        <v>161</v>
      </c>
      <c r="D34" t="s">
        <v>64</v>
      </c>
      <c r="E34">
        <v>1.3254575719699999</v>
      </c>
      <c r="F34">
        <v>0.40464440664700002</v>
      </c>
    </row>
    <row r="35" spans="2:6" x14ac:dyDescent="0.45">
      <c r="B35">
        <v>127</v>
      </c>
      <c r="C35" t="s">
        <v>162</v>
      </c>
      <c r="D35" t="s">
        <v>64</v>
      </c>
      <c r="E35" s="35">
        <v>9.2856179122299994E-3</v>
      </c>
      <c r="F35" s="35">
        <v>1.5363030317499999E-3</v>
      </c>
    </row>
    <row r="36" spans="2:6" x14ac:dyDescent="0.45">
      <c r="B36">
        <v>128</v>
      </c>
      <c r="C36" t="s">
        <v>163</v>
      </c>
      <c r="D36" t="s">
        <v>64</v>
      </c>
      <c r="E36" s="35">
        <v>4.4706577237899998E-5</v>
      </c>
      <c r="F36" s="35">
        <v>6.84493236824E-6</v>
      </c>
    </row>
    <row r="37" spans="2:6" x14ac:dyDescent="0.45">
      <c r="B37">
        <v>131</v>
      </c>
      <c r="C37" t="s">
        <v>95</v>
      </c>
      <c r="D37" t="s">
        <v>64</v>
      </c>
      <c r="E37">
        <v>-4.5175524463099999</v>
      </c>
      <c r="F37">
        <v>0.64926463798400003</v>
      </c>
    </row>
    <row r="38" spans="2:6" x14ac:dyDescent="0.45">
      <c r="B38">
        <v>132</v>
      </c>
      <c r="C38" t="s">
        <v>96</v>
      </c>
      <c r="D38" t="s">
        <v>64</v>
      </c>
      <c r="E38" s="35">
        <v>0.19300757939999999</v>
      </c>
      <c r="F38" s="35">
        <v>7.4666823169400001E-2</v>
      </c>
    </row>
    <row r="39" spans="2:6" x14ac:dyDescent="0.45">
      <c r="B39">
        <v>133</v>
      </c>
      <c r="C39" t="s">
        <v>97</v>
      </c>
      <c r="D39" t="s">
        <v>64</v>
      </c>
      <c r="E39">
        <v>5.5028395569699997</v>
      </c>
      <c r="F39">
        <v>0.57644688837799996</v>
      </c>
    </row>
    <row r="40" spans="2:6" x14ac:dyDescent="0.45">
      <c r="B40">
        <v>134</v>
      </c>
      <c r="C40" t="s">
        <v>98</v>
      </c>
      <c r="D40" t="s">
        <v>64</v>
      </c>
      <c r="E40">
        <v>0.423723185512</v>
      </c>
      <c r="F40" s="35">
        <v>8.9627643835499995E-2</v>
      </c>
    </row>
    <row r="41" spans="2:6" x14ac:dyDescent="0.4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45">
      <c r="B42">
        <v>164</v>
      </c>
      <c r="C42" t="s">
        <v>102</v>
      </c>
      <c r="D42" t="s">
        <v>64</v>
      </c>
      <c r="E42">
        <v>1.3361857056099999</v>
      </c>
      <c r="F42">
        <v>0.60670995996099997</v>
      </c>
    </row>
    <row r="43" spans="2:6" x14ac:dyDescent="0.45">
      <c r="B43">
        <v>168</v>
      </c>
      <c r="C43" t="s">
        <v>103</v>
      </c>
      <c r="D43" t="s">
        <v>64</v>
      </c>
      <c r="E43" s="35">
        <v>-6.5359456601400004E-7</v>
      </c>
      <c r="F43" s="35">
        <v>7.8084473408900002E-6</v>
      </c>
    </row>
    <row r="44" spans="2:6" x14ac:dyDescent="0.45">
      <c r="B44">
        <v>169</v>
      </c>
      <c r="C44" t="s">
        <v>104</v>
      </c>
      <c r="D44" t="s">
        <v>64</v>
      </c>
      <c r="E44">
        <v>1.3874495017599999</v>
      </c>
      <c r="F44">
        <v>0.54198850735799997</v>
      </c>
    </row>
    <row r="45" spans="2:6" x14ac:dyDescent="0.45">
      <c r="B45">
        <v>179</v>
      </c>
      <c r="C45" t="s">
        <v>105</v>
      </c>
      <c r="D45" t="s">
        <v>64</v>
      </c>
      <c r="E45">
        <v>1.7360965114</v>
      </c>
      <c r="F45">
        <v>0.40505155627599998</v>
      </c>
    </row>
    <row r="46" spans="2:6" x14ac:dyDescent="0.45">
      <c r="B46">
        <v>201</v>
      </c>
      <c r="C46" t="s">
        <v>246</v>
      </c>
      <c r="D46" t="s">
        <v>73</v>
      </c>
      <c r="E46">
        <v>-0.8</v>
      </c>
      <c r="F46">
        <v>0</v>
      </c>
    </row>
    <row r="47" spans="2:6" x14ac:dyDescent="0.45">
      <c r="B47">
        <v>202</v>
      </c>
      <c r="C47" t="s">
        <v>247</v>
      </c>
      <c r="D47" t="s">
        <v>73</v>
      </c>
      <c r="E47">
        <v>-0.8</v>
      </c>
      <c r="F47">
        <v>0</v>
      </c>
    </row>
    <row r="48" spans="2:6" x14ac:dyDescent="0.45">
      <c r="B48">
        <v>203</v>
      </c>
      <c r="C48" s="35" t="s">
        <v>248</v>
      </c>
      <c r="D48" s="35" t="s">
        <v>73</v>
      </c>
      <c r="E48" s="35">
        <v>0</v>
      </c>
      <c r="F48">
        <v>0</v>
      </c>
    </row>
    <row r="49" spans="2:11" x14ac:dyDescent="0.45">
      <c r="B49">
        <v>204</v>
      </c>
      <c r="C49" t="s">
        <v>249</v>
      </c>
      <c r="D49" t="s">
        <v>73</v>
      </c>
      <c r="E49">
        <v>0</v>
      </c>
      <c r="F49">
        <v>0</v>
      </c>
    </row>
    <row r="50" spans="2:11" x14ac:dyDescent="0.45">
      <c r="B50">
        <v>205</v>
      </c>
      <c r="C50" t="s">
        <v>250</v>
      </c>
      <c r="D50" t="s">
        <v>73</v>
      </c>
      <c r="E50">
        <v>0</v>
      </c>
      <c r="F50">
        <v>0</v>
      </c>
    </row>
    <row r="51" spans="2:11" x14ac:dyDescent="0.45">
      <c r="B51">
        <v>206</v>
      </c>
      <c r="C51" t="s">
        <v>251</v>
      </c>
      <c r="D51" t="s">
        <v>73</v>
      </c>
      <c r="E51">
        <v>0</v>
      </c>
      <c r="F51">
        <v>0</v>
      </c>
    </row>
    <row r="52" spans="2:11" x14ac:dyDescent="0.45">
      <c r="B52">
        <v>207</v>
      </c>
      <c r="C52" t="s">
        <v>252</v>
      </c>
      <c r="D52" t="s">
        <v>73</v>
      </c>
      <c r="E52">
        <v>0</v>
      </c>
      <c r="F52">
        <v>0</v>
      </c>
    </row>
    <row r="53" spans="2:11" x14ac:dyDescent="0.45">
      <c r="B53">
        <v>208</v>
      </c>
      <c r="C53" t="s">
        <v>253</v>
      </c>
      <c r="D53" t="s">
        <v>73</v>
      </c>
      <c r="E53">
        <v>-2</v>
      </c>
      <c r="F53">
        <v>0</v>
      </c>
    </row>
    <row r="54" spans="2:11" x14ac:dyDescent="0.45">
      <c r="B54">
        <v>209</v>
      </c>
      <c r="C54" t="s">
        <v>254</v>
      </c>
      <c r="D54" t="s">
        <v>73</v>
      </c>
      <c r="E54">
        <v>-1</v>
      </c>
      <c r="F54">
        <v>0</v>
      </c>
    </row>
    <row r="55" spans="2:11" x14ac:dyDescent="0.45">
      <c r="B55">
        <v>210</v>
      </c>
      <c r="C55" t="s">
        <v>255</v>
      </c>
      <c r="D55" t="s">
        <v>73</v>
      </c>
      <c r="E55">
        <v>-2</v>
      </c>
      <c r="F55">
        <v>0</v>
      </c>
    </row>
    <row r="56" spans="2:11" x14ac:dyDescent="0.45">
      <c r="B56">
        <v>211</v>
      </c>
      <c r="C56" t="s">
        <v>256</v>
      </c>
      <c r="D56" t="s">
        <v>73</v>
      </c>
      <c r="E56">
        <v>0</v>
      </c>
      <c r="F56">
        <v>0</v>
      </c>
    </row>
    <row r="57" spans="2:11" x14ac:dyDescent="0.45">
      <c r="B57">
        <v>99</v>
      </c>
      <c r="C57" t="s">
        <v>106</v>
      </c>
      <c r="D57" t="s">
        <v>64</v>
      </c>
      <c r="E57">
        <v>0.53642515987899997</v>
      </c>
      <c r="F57" s="35">
        <v>3.9633220910000003E-2</v>
      </c>
    </row>
    <row r="58" spans="2:11" x14ac:dyDescent="0.45">
      <c r="B58">
        <v>-1</v>
      </c>
    </row>
    <row r="59" spans="2:11" x14ac:dyDescent="0.45">
      <c r="B59">
        <v>5421</v>
      </c>
      <c r="C59" s="35">
        <v>-7038.2122773399997</v>
      </c>
      <c r="D59" s="35">
        <v>-9577.4811960099996</v>
      </c>
      <c r="E59" s="35">
        <v>-4910.39365825</v>
      </c>
    </row>
    <row r="60" spans="2:11" x14ac:dyDescent="0.45">
      <c r="B60">
        <v>15</v>
      </c>
      <c r="C60" t="s">
        <v>257</v>
      </c>
      <c r="D60" t="s">
        <v>235</v>
      </c>
      <c r="E60">
        <v>6</v>
      </c>
      <c r="F60" t="s">
        <v>236</v>
      </c>
      <c r="G60">
        <v>17</v>
      </c>
    </row>
    <row r="61" spans="2:11" x14ac:dyDescent="0.45">
      <c r="B61">
        <v>42848</v>
      </c>
      <c r="C61">
        <v>-18163</v>
      </c>
      <c r="D61">
        <v>-31275</v>
      </c>
      <c r="E61">
        <v>3054</v>
      </c>
      <c r="F61">
        <v>6272</v>
      </c>
      <c r="G61">
        <v>-4564</v>
      </c>
      <c r="H61">
        <v>438</v>
      </c>
      <c r="I61">
        <v>1153</v>
      </c>
      <c r="J61">
        <v>-5503</v>
      </c>
      <c r="K61">
        <v>5491</v>
      </c>
    </row>
    <row r="62" spans="2:11" x14ac:dyDescent="0.45">
      <c r="B62">
        <v>-17263</v>
      </c>
      <c r="C62">
        <v>-26021</v>
      </c>
      <c r="D62">
        <v>87948</v>
      </c>
      <c r="E62">
        <v>-1445</v>
      </c>
      <c r="F62">
        <v>-1357</v>
      </c>
      <c r="G62">
        <v>-14800</v>
      </c>
      <c r="H62">
        <v>-27427</v>
      </c>
      <c r="I62">
        <v>86635</v>
      </c>
      <c r="J62">
        <v>-1522</v>
      </c>
      <c r="K62">
        <v>-370</v>
      </c>
    </row>
    <row r="63" spans="2:11" x14ac:dyDescent="0.45">
      <c r="B63">
        <v>76889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15521</v>
      </c>
      <c r="K63">
        <v>19780</v>
      </c>
    </row>
    <row r="64" spans="2:11" x14ac:dyDescent="0.45">
      <c r="B64">
        <v>-8220</v>
      </c>
      <c r="C64">
        <v>1257</v>
      </c>
      <c r="D64">
        <v>-683</v>
      </c>
      <c r="E64">
        <v>-7524</v>
      </c>
      <c r="F64">
        <v>-12107</v>
      </c>
      <c r="G64">
        <v>0</v>
      </c>
      <c r="H64">
        <v>-8337</v>
      </c>
      <c r="I64">
        <v>-26807</v>
      </c>
      <c r="J64">
        <v>12707</v>
      </c>
      <c r="K64">
        <v>-2144</v>
      </c>
    </row>
    <row r="65" spans="2:11" x14ac:dyDescent="0.45">
      <c r="B65">
        <v>-171</v>
      </c>
      <c r="C65">
        <v>10949</v>
      </c>
      <c r="D65">
        <v>-20909</v>
      </c>
      <c r="E65">
        <v>0</v>
      </c>
      <c r="F65">
        <v>-8066</v>
      </c>
      <c r="G65">
        <v>-22037</v>
      </c>
      <c r="H65">
        <v>-29253</v>
      </c>
      <c r="I65">
        <v>9826</v>
      </c>
      <c r="J65">
        <v>-2056</v>
      </c>
      <c r="K65">
        <v>-151</v>
      </c>
    </row>
    <row r="66" spans="2:11" x14ac:dyDescent="0.45">
      <c r="B66">
        <v>9916</v>
      </c>
      <c r="C66">
        <v>-2626</v>
      </c>
      <c r="D66">
        <v>0</v>
      </c>
      <c r="E66">
        <v>2520</v>
      </c>
      <c r="F66">
        <v>13843</v>
      </c>
      <c r="G66">
        <v>-3494</v>
      </c>
      <c r="H66">
        <v>-2313</v>
      </c>
      <c r="I66">
        <v>1163</v>
      </c>
      <c r="J66">
        <v>-110</v>
      </c>
      <c r="K66">
        <v>261</v>
      </c>
    </row>
    <row r="67" spans="2:11" x14ac:dyDescent="0.45">
      <c r="B67">
        <v>1065</v>
      </c>
      <c r="C67">
        <v>-7327</v>
      </c>
      <c r="D67">
        <v>0</v>
      </c>
      <c r="E67">
        <v>7310</v>
      </c>
      <c r="F67">
        <v>1677</v>
      </c>
      <c r="G67">
        <v>16097</v>
      </c>
      <c r="H67">
        <v>-14141</v>
      </c>
      <c r="I67">
        <v>-27101</v>
      </c>
      <c r="J67">
        <v>87188</v>
      </c>
      <c r="K67">
        <v>-1492</v>
      </c>
    </row>
    <row r="68" spans="2:11" x14ac:dyDescent="0.45">
      <c r="B68">
        <v>-333</v>
      </c>
      <c r="C68">
        <v>77378</v>
      </c>
      <c r="D68">
        <v>99139</v>
      </c>
      <c r="E68">
        <v>0</v>
      </c>
      <c r="F68">
        <v>-11109</v>
      </c>
      <c r="G68">
        <v>-21035</v>
      </c>
      <c r="H68">
        <v>-59</v>
      </c>
      <c r="I68">
        <v>-442</v>
      </c>
      <c r="J68">
        <v>-26773</v>
      </c>
      <c r="K68">
        <v>-32589</v>
      </c>
    </row>
    <row r="69" spans="2:11" x14ac:dyDescent="0.45">
      <c r="B69">
        <v>12980</v>
      </c>
      <c r="C69">
        <v>-1120</v>
      </c>
      <c r="D69">
        <v>454</v>
      </c>
      <c r="E69">
        <v>12999</v>
      </c>
      <c r="F69">
        <v>4330</v>
      </c>
      <c r="G69">
        <v>0</v>
      </c>
      <c r="H69">
        <v>-8389</v>
      </c>
      <c r="I69">
        <v>12422</v>
      </c>
      <c r="J69">
        <v>6204</v>
      </c>
      <c r="K69">
        <v>1243</v>
      </c>
    </row>
    <row r="70" spans="2:11" x14ac:dyDescent="0.45">
      <c r="B70">
        <v>4114</v>
      </c>
      <c r="C70">
        <v>8036</v>
      </c>
      <c r="D70">
        <v>14360</v>
      </c>
      <c r="E70">
        <v>-2464</v>
      </c>
      <c r="F70">
        <v>1732</v>
      </c>
      <c r="G70">
        <v>4548</v>
      </c>
      <c r="H70">
        <v>-2849</v>
      </c>
      <c r="I70">
        <v>-17956</v>
      </c>
      <c r="J70">
        <v>0</v>
      </c>
      <c r="K70">
        <v>9299</v>
      </c>
    </row>
    <row r="71" spans="2:11" x14ac:dyDescent="0.45">
      <c r="B71">
        <v>8220</v>
      </c>
      <c r="C71">
        <v>14090</v>
      </c>
      <c r="D71">
        <v>2542</v>
      </c>
      <c r="E71">
        <v>-17640</v>
      </c>
      <c r="F71">
        <v>2360</v>
      </c>
      <c r="G71">
        <v>-21486</v>
      </c>
      <c r="H71">
        <v>-30375</v>
      </c>
      <c r="I71">
        <v>10049</v>
      </c>
      <c r="J71">
        <v>-2148</v>
      </c>
      <c r="K71">
        <v>-218</v>
      </c>
    </row>
    <row r="72" spans="2:11" x14ac:dyDescent="0.45">
      <c r="B72">
        <v>10191</v>
      </c>
      <c r="C72">
        <v>-266</v>
      </c>
      <c r="D72">
        <v>0</v>
      </c>
      <c r="E72">
        <v>1355</v>
      </c>
      <c r="F72">
        <v>14299</v>
      </c>
      <c r="G72">
        <v>74379</v>
      </c>
      <c r="H72">
        <v>3427</v>
      </c>
      <c r="I72">
        <v>-916</v>
      </c>
      <c r="J72">
        <v>5905</v>
      </c>
      <c r="K72">
        <v>14864</v>
      </c>
    </row>
    <row r="73" spans="2:11" x14ac:dyDescent="0.45">
      <c r="B73">
        <v>11269</v>
      </c>
      <c r="C73">
        <v>-1292</v>
      </c>
      <c r="D73">
        <v>84044</v>
      </c>
      <c r="E73">
        <v>294</v>
      </c>
      <c r="F73">
        <v>-97</v>
      </c>
      <c r="G73">
        <v>73373</v>
      </c>
      <c r="H73">
        <v>83338</v>
      </c>
      <c r="I73">
        <v>0</v>
      </c>
      <c r="J73">
        <v>3316</v>
      </c>
      <c r="K73">
        <v>4657</v>
      </c>
    </row>
    <row r="74" spans="2:11" x14ac:dyDescent="0.45">
      <c r="B74">
        <v>-7500</v>
      </c>
      <c r="C74">
        <v>-418</v>
      </c>
      <c r="D74">
        <v>84094</v>
      </c>
      <c r="E74">
        <v>-8567</v>
      </c>
      <c r="F74">
        <v>4589</v>
      </c>
      <c r="G74">
        <v>-7868</v>
      </c>
      <c r="H74">
        <v>-43246</v>
      </c>
      <c r="I74">
        <v>-51936</v>
      </c>
      <c r="J74">
        <v>18693</v>
      </c>
      <c r="K74">
        <v>-2941</v>
      </c>
    </row>
    <row r="75" spans="2:11" x14ac:dyDescent="0.45">
      <c r="B75">
        <v>4542</v>
      </c>
      <c r="C75">
        <v>17835</v>
      </c>
      <c r="D75">
        <v>12136</v>
      </c>
      <c r="E75">
        <v>0</v>
      </c>
      <c r="F75">
        <v>-20428</v>
      </c>
      <c r="G75">
        <v>14648</v>
      </c>
      <c r="H75">
        <v>25477</v>
      </c>
      <c r="I75">
        <v>3335</v>
      </c>
      <c r="J75">
        <v>11991</v>
      </c>
      <c r="K75">
        <v>31351</v>
      </c>
    </row>
    <row r="76" spans="2:11" x14ac:dyDescent="0.45">
      <c r="B76">
        <v>9558</v>
      </c>
      <c r="C76">
        <v>26040</v>
      </c>
      <c r="D76">
        <v>-14865</v>
      </c>
      <c r="E76">
        <v>9942</v>
      </c>
      <c r="F76">
        <v>12830</v>
      </c>
      <c r="G76">
        <v>-5865</v>
      </c>
      <c r="H76">
        <v>1019</v>
      </c>
      <c r="I76">
        <v>327</v>
      </c>
      <c r="J76">
        <v>-5261</v>
      </c>
      <c r="K76">
        <v>-5321</v>
      </c>
    </row>
    <row r="77" spans="2:11" x14ac:dyDescent="0.45">
      <c r="B77">
        <v>0</v>
      </c>
      <c r="C77">
        <v>7257</v>
      </c>
      <c r="D77">
        <v>-5804</v>
      </c>
      <c r="E77">
        <v>-1494</v>
      </c>
      <c r="F77">
        <v>-327</v>
      </c>
      <c r="G77">
        <v>-5254</v>
      </c>
      <c r="H77">
        <v>-5864</v>
      </c>
      <c r="I77">
        <v>7197</v>
      </c>
      <c r="J77">
        <v>-1332</v>
      </c>
      <c r="K77">
        <v>-1568</v>
      </c>
    </row>
    <row r="78" spans="2:11" x14ac:dyDescent="0.45">
      <c r="B78">
        <v>-12743</v>
      </c>
      <c r="C78">
        <v>-25706</v>
      </c>
      <c r="D78">
        <v>-41789</v>
      </c>
      <c r="E78">
        <v>61047</v>
      </c>
      <c r="F78">
        <v>-2860</v>
      </c>
      <c r="G78">
        <v>-448</v>
      </c>
      <c r="H78">
        <v>55601</v>
      </c>
      <c r="I78">
        <v>56423</v>
      </c>
      <c r="J78">
        <v>0</v>
      </c>
      <c r="K78">
        <v>-11513</v>
      </c>
    </row>
    <row r="79" spans="2:11" x14ac:dyDescent="0.45">
      <c r="B79">
        <v>13139</v>
      </c>
      <c r="C79">
        <v>16368</v>
      </c>
      <c r="D79">
        <v>1349</v>
      </c>
      <c r="E79">
        <v>56627</v>
      </c>
      <c r="F79">
        <v>18494</v>
      </c>
      <c r="G79">
        <v>-7778</v>
      </c>
      <c r="H79">
        <v>16971</v>
      </c>
      <c r="I79">
        <v>43522</v>
      </c>
      <c r="J79">
        <v>29568</v>
      </c>
      <c r="K79">
        <v>-7474</v>
      </c>
    </row>
    <row r="80" spans="2:11" x14ac:dyDescent="0.45">
      <c r="B80">
        <v>23194</v>
      </c>
      <c r="C80">
        <v>36921</v>
      </c>
      <c r="D80">
        <v>-2544</v>
      </c>
      <c r="E80">
        <v>2425</v>
      </c>
      <c r="F80">
        <v>387</v>
      </c>
      <c r="G80">
        <v>-2659</v>
      </c>
      <c r="H80">
        <v>223</v>
      </c>
      <c r="I80">
        <v>0</v>
      </c>
      <c r="J80">
        <v>10683</v>
      </c>
      <c r="K80">
        <v>-9296</v>
      </c>
    </row>
    <row r="81" spans="2:11" x14ac:dyDescent="0.45">
      <c r="B81">
        <v>-15493</v>
      </c>
      <c r="C81">
        <v>-1261</v>
      </c>
      <c r="D81">
        <v>459</v>
      </c>
      <c r="E81">
        <v>-18068</v>
      </c>
      <c r="F81">
        <v>8222</v>
      </c>
      <c r="G81">
        <v>-16100</v>
      </c>
      <c r="H81">
        <v>16426</v>
      </c>
      <c r="I81">
        <v>-27298</v>
      </c>
      <c r="J81">
        <v>6189</v>
      </c>
      <c r="K81">
        <v>-35311</v>
      </c>
    </row>
    <row r="82" spans="2:11" x14ac:dyDescent="0.45">
      <c r="B82">
        <v>-6355</v>
      </c>
      <c r="C82">
        <v>-10712</v>
      </c>
      <c r="D82">
        <v>4242</v>
      </c>
      <c r="E82">
        <v>-820</v>
      </c>
      <c r="F82">
        <v>-260</v>
      </c>
      <c r="G82">
        <v>3820</v>
      </c>
      <c r="H82">
        <v>3082</v>
      </c>
      <c r="I82">
        <v>0</v>
      </c>
      <c r="J82">
        <v>-3743</v>
      </c>
      <c r="K82">
        <v>3503</v>
      </c>
    </row>
    <row r="83" spans="2:11" x14ac:dyDescent="0.45">
      <c r="B83">
        <v>4723</v>
      </c>
      <c r="C83">
        <v>411</v>
      </c>
      <c r="D83">
        <v>3049</v>
      </c>
      <c r="E83">
        <v>4828</v>
      </c>
      <c r="F83">
        <v>-3320</v>
      </c>
      <c r="G83">
        <v>4916</v>
      </c>
      <c r="H83">
        <v>-1437</v>
      </c>
      <c r="I83">
        <v>7380</v>
      </c>
      <c r="J83">
        <v>-2139</v>
      </c>
      <c r="K83">
        <v>-2116</v>
      </c>
    </row>
    <row r="84" spans="2:11" x14ac:dyDescent="0.45">
      <c r="B84">
        <v>-5035</v>
      </c>
      <c r="C84">
        <v>10699</v>
      </c>
      <c r="D84">
        <v>20993</v>
      </c>
      <c r="E84">
        <v>15257</v>
      </c>
      <c r="F84">
        <v>1409</v>
      </c>
      <c r="G84">
        <v>345</v>
      </c>
      <c r="H84">
        <v>13478</v>
      </c>
      <c r="I84">
        <v>16448</v>
      </c>
      <c r="J84">
        <v>0</v>
      </c>
      <c r="K84">
        <v>6299</v>
      </c>
    </row>
    <row r="85" spans="2:11" x14ac:dyDescent="0.45">
      <c r="B85">
        <v>-4988</v>
      </c>
      <c r="C85">
        <v>-8844</v>
      </c>
      <c r="D85">
        <v>-584</v>
      </c>
      <c r="E85">
        <v>16707</v>
      </c>
      <c r="F85">
        <v>-10317</v>
      </c>
      <c r="G85">
        <v>5730</v>
      </c>
      <c r="H85">
        <v>-9267</v>
      </c>
      <c r="I85">
        <v>26740</v>
      </c>
      <c r="J85">
        <v>-14860</v>
      </c>
      <c r="K85">
        <v>3814</v>
      </c>
    </row>
    <row r="86" spans="2:11" x14ac:dyDescent="0.45">
      <c r="B86">
        <v>-2577</v>
      </c>
      <c r="C86">
        <v>49833</v>
      </c>
      <c r="D86">
        <v>-2629</v>
      </c>
      <c r="E86">
        <v>5992</v>
      </c>
      <c r="F86">
        <v>2193</v>
      </c>
      <c r="G86">
        <v>-1038</v>
      </c>
      <c r="H86">
        <v>730</v>
      </c>
      <c r="I86">
        <v>3939</v>
      </c>
      <c r="J86">
        <v>-45446</v>
      </c>
      <c r="K86">
        <v>2851</v>
      </c>
    </row>
    <row r="87" spans="2:11" x14ac:dyDescent="0.45">
      <c r="B87">
        <v>0</v>
      </c>
      <c r="C87">
        <v>1772</v>
      </c>
      <c r="D87">
        <v>-1556</v>
      </c>
      <c r="E87">
        <v>-5054</v>
      </c>
      <c r="F87">
        <v>-130</v>
      </c>
      <c r="G87">
        <v>2930</v>
      </c>
      <c r="H87">
        <v>-5006</v>
      </c>
      <c r="I87">
        <v>4371</v>
      </c>
      <c r="J87">
        <v>-5356</v>
      </c>
      <c r="K87">
        <v>8112</v>
      </c>
    </row>
    <row r="88" spans="2:11" x14ac:dyDescent="0.45">
      <c r="B88">
        <v>-5454</v>
      </c>
      <c r="C88">
        <v>1271</v>
      </c>
      <c r="D88">
        <v>-3897</v>
      </c>
      <c r="E88">
        <v>4190</v>
      </c>
      <c r="F88">
        <v>-1059</v>
      </c>
      <c r="G88">
        <v>2953</v>
      </c>
      <c r="H88">
        <v>17688</v>
      </c>
      <c r="I88">
        <v>34017</v>
      </c>
      <c r="J88">
        <v>-25342</v>
      </c>
      <c r="K88">
        <v>2216</v>
      </c>
    </row>
    <row r="89" spans="2:11" x14ac:dyDescent="0.45">
      <c r="B89">
        <v>-45</v>
      </c>
      <c r="C89">
        <v>-24783</v>
      </c>
      <c r="D89">
        <v>-5218</v>
      </c>
      <c r="E89">
        <v>0</v>
      </c>
      <c r="F89">
        <v>11275</v>
      </c>
      <c r="G89">
        <v>-10471</v>
      </c>
      <c r="H89">
        <v>-17845</v>
      </c>
      <c r="I89">
        <v>-1209</v>
      </c>
      <c r="J89">
        <v>-5095</v>
      </c>
      <c r="K89">
        <v>-22770</v>
      </c>
    </row>
    <row r="90" spans="2:11" x14ac:dyDescent="0.45">
      <c r="B90">
        <v>10637</v>
      </c>
      <c r="C90">
        <v>-18755</v>
      </c>
      <c r="D90">
        <v>12491</v>
      </c>
      <c r="E90">
        <v>-29437</v>
      </c>
      <c r="F90">
        <v>5717</v>
      </c>
      <c r="G90">
        <v>-20244</v>
      </c>
      <c r="H90">
        <v>20112</v>
      </c>
      <c r="I90">
        <v>-7232</v>
      </c>
      <c r="J90">
        <v>11534</v>
      </c>
      <c r="K90">
        <v>6931</v>
      </c>
    </row>
    <row r="91" spans="2:11" x14ac:dyDescent="0.45">
      <c r="B91">
        <v>1814</v>
      </c>
      <c r="C91">
        <v>34239</v>
      </c>
      <c r="D91">
        <v>-9495</v>
      </c>
      <c r="E91">
        <v>2781</v>
      </c>
      <c r="F91">
        <v>404</v>
      </c>
      <c r="G91">
        <v>-11136</v>
      </c>
      <c r="H91">
        <v>-3868</v>
      </c>
      <c r="I91">
        <v>0</v>
      </c>
      <c r="J91">
        <v>11763</v>
      </c>
      <c r="K91">
        <v>-10601</v>
      </c>
    </row>
    <row r="92" spans="2:11" x14ac:dyDescent="0.45">
      <c r="B92">
        <v>-18525</v>
      </c>
      <c r="C92">
        <v>-782</v>
      </c>
      <c r="D92">
        <v>-3865</v>
      </c>
      <c r="E92">
        <v>-23052</v>
      </c>
      <c r="F92">
        <v>8734</v>
      </c>
      <c r="G92">
        <v>-19833</v>
      </c>
      <c r="H92">
        <v>14445</v>
      </c>
      <c r="I92">
        <v>-33641</v>
      </c>
      <c r="J92">
        <v>3585</v>
      </c>
      <c r="K92">
        <v>-20061</v>
      </c>
    </row>
    <row r="93" spans="2:11" x14ac:dyDescent="0.45">
      <c r="B93">
        <v>20598</v>
      </c>
      <c r="C93">
        <v>-5586</v>
      </c>
      <c r="D93">
        <v>15084</v>
      </c>
      <c r="E93">
        <v>9529</v>
      </c>
      <c r="F93">
        <v>-1745</v>
      </c>
      <c r="G93">
        <v>-35128</v>
      </c>
      <c r="H93">
        <v>-40445</v>
      </c>
      <c r="I93">
        <v>14083</v>
      </c>
      <c r="J93">
        <v>-2962</v>
      </c>
      <c r="K93">
        <v>-345</v>
      </c>
    </row>
    <row r="94" spans="2:11" x14ac:dyDescent="0.45">
      <c r="B94">
        <v>13295</v>
      </c>
      <c r="C94">
        <v>7532</v>
      </c>
      <c r="D94">
        <v>0</v>
      </c>
      <c r="E94">
        <v>-8775</v>
      </c>
      <c r="F94">
        <v>15880</v>
      </c>
      <c r="G94">
        <v>19608</v>
      </c>
      <c r="H94">
        <v>1539</v>
      </c>
      <c r="I94">
        <v>7269</v>
      </c>
      <c r="J94">
        <v>22055</v>
      </c>
      <c r="K94">
        <v>-7749</v>
      </c>
    </row>
    <row r="95" spans="2:11" x14ac:dyDescent="0.45">
      <c r="B95">
        <v>20317</v>
      </c>
      <c r="C95">
        <v>-11414</v>
      </c>
      <c r="D95">
        <v>37891</v>
      </c>
      <c r="E95">
        <v>-9422</v>
      </c>
      <c r="F95">
        <v>22999</v>
      </c>
      <c r="G95">
        <v>-21334</v>
      </c>
      <c r="H95">
        <v>5683</v>
      </c>
      <c r="I95">
        <v>-11511</v>
      </c>
      <c r="J95">
        <v>-5289</v>
      </c>
      <c r="K95">
        <v>-23244</v>
      </c>
    </row>
    <row r="96" spans="2:11" x14ac:dyDescent="0.45">
      <c r="B96">
        <v>-23013</v>
      </c>
      <c r="C96">
        <v>16302</v>
      </c>
      <c r="D96">
        <v>14201</v>
      </c>
      <c r="E96">
        <v>-3255</v>
      </c>
      <c r="F96">
        <v>1121</v>
      </c>
      <c r="G96">
        <v>576</v>
      </c>
      <c r="H96">
        <v>-4034</v>
      </c>
      <c r="I96">
        <v>-7344</v>
      </c>
      <c r="J96">
        <v>0</v>
      </c>
      <c r="K96">
        <v>4146</v>
      </c>
    </row>
    <row r="97" spans="2:11" x14ac:dyDescent="0.45">
      <c r="B97">
        <v>-2011</v>
      </c>
      <c r="C97">
        <v>-7920</v>
      </c>
      <c r="D97">
        <v>-932</v>
      </c>
      <c r="E97">
        <v>-7281</v>
      </c>
      <c r="F97">
        <v>-11140</v>
      </c>
      <c r="G97">
        <v>1893</v>
      </c>
      <c r="H97">
        <v>-8069</v>
      </c>
      <c r="I97">
        <v>-2252</v>
      </c>
      <c r="J97">
        <v>-13145</v>
      </c>
      <c r="K97">
        <v>1693</v>
      </c>
    </row>
    <row r="98" spans="2:11" x14ac:dyDescent="0.45">
      <c r="B98">
        <v>-8651</v>
      </c>
      <c r="C98">
        <v>6528</v>
      </c>
      <c r="D98">
        <v>-1391</v>
      </c>
      <c r="E98">
        <v>2784</v>
      </c>
      <c r="F98">
        <v>4124</v>
      </c>
      <c r="G98">
        <v>9884</v>
      </c>
      <c r="H98">
        <v>8412</v>
      </c>
      <c r="I98">
        <v>-16186</v>
      </c>
      <c r="J98">
        <v>37719</v>
      </c>
      <c r="K98">
        <v>54827</v>
      </c>
    </row>
    <row r="99" spans="2:11" x14ac:dyDescent="0.45">
      <c r="B99">
        <v>-16445</v>
      </c>
      <c r="C99">
        <v>3861</v>
      </c>
      <c r="D99">
        <v>172</v>
      </c>
      <c r="E99">
        <v>-16937</v>
      </c>
      <c r="F99">
        <v>-16022</v>
      </c>
      <c r="G99">
        <v>0</v>
      </c>
      <c r="H99">
        <v>13535</v>
      </c>
      <c r="I99">
        <v>-12247</v>
      </c>
      <c r="J99">
        <v>-26683</v>
      </c>
      <c r="K99">
        <v>-768</v>
      </c>
    </row>
    <row r="100" spans="2:11" x14ac:dyDescent="0.45">
      <c r="B100">
        <v>-15638</v>
      </c>
      <c r="C100">
        <v>-27123</v>
      </c>
      <c r="D100">
        <v>16456</v>
      </c>
      <c r="E100">
        <v>-28071</v>
      </c>
      <c r="F100">
        <v>14797</v>
      </c>
      <c r="G100">
        <v>-47371</v>
      </c>
      <c r="H100">
        <v>9662</v>
      </c>
      <c r="I100">
        <v>-30566</v>
      </c>
      <c r="J100">
        <v>28956</v>
      </c>
      <c r="K100">
        <v>-9582</v>
      </c>
    </row>
    <row r="101" spans="2:11" x14ac:dyDescent="0.45">
      <c r="B101">
        <v>17310</v>
      </c>
      <c r="C101">
        <v>9928</v>
      </c>
      <c r="D101">
        <v>34016</v>
      </c>
      <c r="E101">
        <v>37572</v>
      </c>
      <c r="F101">
        <v>-2603</v>
      </c>
      <c r="G101">
        <v>8849</v>
      </c>
      <c r="H101">
        <v>23527</v>
      </c>
      <c r="I101">
        <v>26288</v>
      </c>
      <c r="J101">
        <v>-7701</v>
      </c>
      <c r="K101">
        <v>1957</v>
      </c>
    </row>
    <row r="102" spans="2:11" x14ac:dyDescent="0.45">
      <c r="B102">
        <v>683</v>
      </c>
      <c r="C102">
        <v>-8281</v>
      </c>
      <c r="D102">
        <v>-14684</v>
      </c>
      <c r="E102">
        <v>0</v>
      </c>
      <c r="F102">
        <v>11076</v>
      </c>
      <c r="G102">
        <v>-6627</v>
      </c>
      <c r="H102">
        <v>-19901</v>
      </c>
      <c r="I102">
        <v>-2539</v>
      </c>
      <c r="J102">
        <v>-14740</v>
      </c>
      <c r="K102">
        <v>-16210</v>
      </c>
    </row>
    <row r="103" spans="2:11" x14ac:dyDescent="0.45">
      <c r="B103">
        <v>6165</v>
      </c>
      <c r="C103">
        <v>-20630</v>
      </c>
      <c r="D103">
        <v>3862</v>
      </c>
      <c r="E103">
        <v>-23550</v>
      </c>
      <c r="F103">
        <v>5336</v>
      </c>
      <c r="G103">
        <v>-15412</v>
      </c>
      <c r="H103">
        <v>12946</v>
      </c>
      <c r="I103">
        <v>-3681</v>
      </c>
      <c r="J103">
        <v>6573</v>
      </c>
      <c r="K103">
        <v>5745</v>
      </c>
    </row>
    <row r="104" spans="2:11" x14ac:dyDescent="0.45">
      <c r="B104">
        <v>17130</v>
      </c>
      <c r="C104">
        <v>16501</v>
      </c>
      <c r="D104">
        <v>-20976</v>
      </c>
      <c r="E104">
        <v>62229</v>
      </c>
      <c r="F104">
        <v>17921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11524</v>
      </c>
      <c r="H107">
        <v>18403</v>
      </c>
      <c r="I107">
        <v>13501</v>
      </c>
      <c r="J107">
        <v>1953</v>
      </c>
      <c r="K107">
        <v>853</v>
      </c>
    </row>
    <row r="108" spans="2:11" x14ac:dyDescent="0.45">
      <c r="B108">
        <v>10626</v>
      </c>
      <c r="C108">
        <v>14483</v>
      </c>
      <c r="D108">
        <v>0</v>
      </c>
      <c r="E108">
        <v>5501</v>
      </c>
      <c r="F108">
        <v>-5513</v>
      </c>
      <c r="G108">
        <v>-9857</v>
      </c>
      <c r="H108">
        <v>-361</v>
      </c>
      <c r="I108">
        <v>14750</v>
      </c>
      <c r="J108">
        <v>-9473</v>
      </c>
      <c r="K108">
        <v>7884</v>
      </c>
    </row>
    <row r="109" spans="2:11" x14ac:dyDescent="0.45">
      <c r="B109">
        <v>-10397</v>
      </c>
      <c r="C109">
        <v>26487</v>
      </c>
      <c r="D109">
        <v>-15970</v>
      </c>
      <c r="E109">
        <v>3686</v>
      </c>
      <c r="F109">
        <v>-43442</v>
      </c>
      <c r="G109">
        <v>16151</v>
      </c>
      <c r="H109">
        <v>794</v>
      </c>
      <c r="I109">
        <v>10730</v>
      </c>
      <c r="J109">
        <v>6615</v>
      </c>
      <c r="K109">
        <v>14583</v>
      </c>
    </row>
    <row r="110" spans="2:11" x14ac:dyDescent="0.45">
      <c r="B110">
        <v>15697</v>
      </c>
      <c r="C110">
        <v>-13847</v>
      </c>
      <c r="D110">
        <v>6653</v>
      </c>
      <c r="E110">
        <v>20697</v>
      </c>
      <c r="F110">
        <v>10754</v>
      </c>
      <c r="G110">
        <v>0</v>
      </c>
      <c r="H110">
        <v>-15193</v>
      </c>
      <c r="I110">
        <v>-1466</v>
      </c>
      <c r="J110">
        <v>767</v>
      </c>
      <c r="K110">
        <v>-78</v>
      </c>
    </row>
    <row r="111" spans="2:11" x14ac:dyDescent="0.45">
      <c r="B111">
        <v>44</v>
      </c>
      <c r="C111">
        <v>-177</v>
      </c>
      <c r="D111">
        <v>2377</v>
      </c>
      <c r="E111">
        <v>0</v>
      </c>
      <c r="F111">
        <v>-380</v>
      </c>
      <c r="G111">
        <v>-433</v>
      </c>
      <c r="H111">
        <v>144</v>
      </c>
      <c r="I111">
        <v>512</v>
      </c>
      <c r="J111">
        <v>2280</v>
      </c>
      <c r="K111">
        <v>-1556</v>
      </c>
    </row>
    <row r="112" spans="2:11" x14ac:dyDescent="0.45">
      <c r="B112">
        <v>83</v>
      </c>
      <c r="C112">
        <v>-228</v>
      </c>
      <c r="D112">
        <v>1898</v>
      </c>
      <c r="E112">
        <v>-131</v>
      </c>
      <c r="F112">
        <v>-2093</v>
      </c>
      <c r="G112">
        <v>2724</v>
      </c>
      <c r="H112">
        <v>-5943</v>
      </c>
      <c r="I112">
        <v>4376</v>
      </c>
      <c r="J112">
        <v>4259</v>
      </c>
      <c r="K112">
        <v>2088</v>
      </c>
    </row>
    <row r="113" spans="2:11" x14ac:dyDescent="0.45">
      <c r="B113">
        <v>1342</v>
      </c>
      <c r="C113">
        <v>20337</v>
      </c>
      <c r="D113">
        <v>1435</v>
      </c>
      <c r="E113">
        <v>-638</v>
      </c>
      <c r="F113">
        <v>1665</v>
      </c>
      <c r="G113">
        <v>-334</v>
      </c>
      <c r="H113">
        <v>0</v>
      </c>
      <c r="I113">
        <v>-12490</v>
      </c>
      <c r="J113">
        <v>9639</v>
      </c>
      <c r="K113">
        <v>19669</v>
      </c>
    </row>
    <row r="114" spans="2:11" x14ac:dyDescent="0.45">
      <c r="B114">
        <v>15186</v>
      </c>
      <c r="C114">
        <v>1596</v>
      </c>
      <c r="D114">
        <v>530</v>
      </c>
      <c r="E114">
        <v>12645</v>
      </c>
      <c r="F114">
        <v>16939</v>
      </c>
      <c r="G114">
        <v>0</v>
      </c>
      <c r="H114">
        <v>5852</v>
      </c>
      <c r="I114">
        <v>-5548</v>
      </c>
      <c r="J114">
        <v>-10264</v>
      </c>
      <c r="K114">
        <v>-514</v>
      </c>
    </row>
    <row r="115" spans="2:11" x14ac:dyDescent="0.45">
      <c r="B115">
        <v>17193</v>
      </c>
      <c r="C115">
        <v>-10983</v>
      </c>
      <c r="D115">
        <v>7110</v>
      </c>
      <c r="E115">
        <v>-10840</v>
      </c>
      <c r="F115">
        <v>28629</v>
      </c>
      <c r="G115">
        <v>-16338</v>
      </c>
      <c r="H115">
        <v>3079</v>
      </c>
      <c r="I115">
        <v>-37424</v>
      </c>
      <c r="J115">
        <v>18527</v>
      </c>
      <c r="K115">
        <v>-2903</v>
      </c>
    </row>
    <row r="116" spans="2:11" x14ac:dyDescent="0.45">
      <c r="B116">
        <v>8299</v>
      </c>
      <c r="C116">
        <v>5079</v>
      </c>
      <c r="D116">
        <v>17585</v>
      </c>
      <c r="E116">
        <v>15608</v>
      </c>
      <c r="F116">
        <v>-13627</v>
      </c>
      <c r="G116">
        <v>7598</v>
      </c>
      <c r="H116">
        <v>19933</v>
      </c>
      <c r="I116">
        <v>11291</v>
      </c>
      <c r="J116">
        <v>0</v>
      </c>
      <c r="K116">
        <v>3093</v>
      </c>
    </row>
    <row r="117" spans="2:11" x14ac:dyDescent="0.45">
      <c r="B117">
        <v>-6325</v>
      </c>
      <c r="C117">
        <v>4073</v>
      </c>
      <c r="D117">
        <v>18037</v>
      </c>
      <c r="E117">
        <v>77107</v>
      </c>
      <c r="F117">
        <v>1766</v>
      </c>
      <c r="G117">
        <v>810</v>
      </c>
      <c r="H117">
        <v>68689</v>
      </c>
      <c r="I117">
        <v>76594</v>
      </c>
      <c r="J117">
        <v>0</v>
      </c>
      <c r="K117">
        <v>4104</v>
      </c>
    </row>
    <row r="118" spans="2:11" x14ac:dyDescent="0.45">
      <c r="B118">
        <v>-4137</v>
      </c>
      <c r="C118">
        <v>-9279</v>
      </c>
      <c r="D118">
        <v>-136</v>
      </c>
      <c r="E118">
        <v>77325</v>
      </c>
      <c r="F118">
        <v>-9318</v>
      </c>
      <c r="G118">
        <v>8121</v>
      </c>
      <c r="H118">
        <v>-9953</v>
      </c>
      <c r="I118">
        <v>91381</v>
      </c>
      <c r="J118">
        <v>-14049</v>
      </c>
      <c r="K118">
        <v>1644</v>
      </c>
    </row>
    <row r="119" spans="2:11" x14ac:dyDescent="0.45">
      <c r="B119">
        <v>37020</v>
      </c>
      <c r="C119">
        <v>12388</v>
      </c>
      <c r="D119">
        <v>-3066</v>
      </c>
      <c r="E119">
        <v>11060</v>
      </c>
      <c r="F119">
        <v>6085</v>
      </c>
      <c r="G119">
        <v>16587</v>
      </c>
      <c r="H119">
        <v>19703</v>
      </c>
      <c r="I119">
        <v>-12081</v>
      </c>
      <c r="J119">
        <v>6840</v>
      </c>
      <c r="K119">
        <v>19883</v>
      </c>
    </row>
    <row r="120" spans="2:11" x14ac:dyDescent="0.45">
      <c r="B120">
        <v>10342</v>
      </c>
      <c r="C120">
        <v>0</v>
      </c>
      <c r="D120">
        <v>30389</v>
      </c>
      <c r="E120">
        <v>4468</v>
      </c>
      <c r="F120">
        <v>32919</v>
      </c>
      <c r="G120">
        <v>-58701</v>
      </c>
      <c r="H120">
        <v>-77567</v>
      </c>
      <c r="I120">
        <v>24941</v>
      </c>
      <c r="J120">
        <v>-5599</v>
      </c>
      <c r="K120">
        <v>-713</v>
      </c>
    </row>
    <row r="121" spans="2:11" x14ac:dyDescent="0.45">
      <c r="B121">
        <v>24748</v>
      </c>
      <c r="C121">
        <v>18110</v>
      </c>
      <c r="D121">
        <v>0</v>
      </c>
      <c r="E121">
        <v>-25222</v>
      </c>
      <c r="F121">
        <v>20479</v>
      </c>
      <c r="G121">
        <v>37484</v>
      </c>
      <c r="H121">
        <v>3136</v>
      </c>
      <c r="I121">
        <v>17724</v>
      </c>
      <c r="J121">
        <v>42166</v>
      </c>
      <c r="K121">
        <v>-18621</v>
      </c>
    </row>
    <row r="122" spans="2:11" x14ac:dyDescent="0.45">
      <c r="B122">
        <v>38872</v>
      </c>
      <c r="C122">
        <v>-20831</v>
      </c>
      <c r="D122">
        <v>67166</v>
      </c>
      <c r="E122">
        <v>-14050</v>
      </c>
      <c r="F122">
        <v>43735</v>
      </c>
      <c r="G122">
        <v>-41111</v>
      </c>
      <c r="H122">
        <v>12545</v>
      </c>
      <c r="I122">
        <v>-23628</v>
      </c>
      <c r="J122">
        <v>-12609</v>
      </c>
      <c r="K122">
        <v>-46837</v>
      </c>
    </row>
    <row r="123" spans="2:11" x14ac:dyDescent="0.45">
      <c r="B123">
        <v>-49497</v>
      </c>
      <c r="C123">
        <v>50734</v>
      </c>
      <c r="D123">
        <v>-19668</v>
      </c>
      <c r="E123">
        <v>-71781</v>
      </c>
      <c r="F123">
        <v>-34765</v>
      </c>
      <c r="G123">
        <v>0</v>
      </c>
      <c r="H123">
        <v>-28190</v>
      </c>
      <c r="I123">
        <v>-288</v>
      </c>
      <c r="J123">
        <v>-27425</v>
      </c>
      <c r="K123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K142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4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45">
      <c r="A8" t="s">
        <v>238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 s="35">
        <v>1.6366214970499999</v>
      </c>
      <c r="F11">
        <v>0.19501361520499999</v>
      </c>
    </row>
    <row r="12" spans="1:11" x14ac:dyDescent="0.45">
      <c r="B12">
        <v>2</v>
      </c>
      <c r="C12" t="s">
        <v>65</v>
      </c>
      <c r="D12" t="s">
        <v>64</v>
      </c>
      <c r="E12">
        <v>0.91289459530399997</v>
      </c>
      <c r="F12" s="35">
        <v>8.35249730602E-2</v>
      </c>
    </row>
    <row r="13" spans="1:11" x14ac:dyDescent="0.45">
      <c r="B13">
        <v>10</v>
      </c>
      <c r="C13" t="s">
        <v>66</v>
      </c>
      <c r="D13" t="s">
        <v>64</v>
      </c>
      <c r="E13">
        <v>-0.38914266604300002</v>
      </c>
      <c r="F13">
        <v>0.34431279040599999</v>
      </c>
    </row>
    <row r="14" spans="1:11" x14ac:dyDescent="0.4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45">
      <c r="B15">
        <v>18</v>
      </c>
      <c r="C15" t="s">
        <v>68</v>
      </c>
      <c r="D15" t="s">
        <v>64</v>
      </c>
      <c r="E15">
        <v>-5.2693623948299999</v>
      </c>
      <c r="F15">
        <v>0.68354835491400001</v>
      </c>
    </row>
    <row r="16" spans="1:11" x14ac:dyDescent="0.45">
      <c r="B16">
        <v>20</v>
      </c>
      <c r="C16" t="s">
        <v>69</v>
      </c>
      <c r="D16" t="s">
        <v>64</v>
      </c>
      <c r="E16">
        <v>-4.2802421756499998</v>
      </c>
      <c r="F16">
        <v>0.93323297654000004</v>
      </c>
    </row>
    <row r="17" spans="2:6" x14ac:dyDescent="0.45">
      <c r="B17">
        <v>21</v>
      </c>
      <c r="C17" t="s">
        <v>70</v>
      </c>
      <c r="D17" t="s">
        <v>64</v>
      </c>
      <c r="E17" s="35">
        <v>-5.0045350575299997E-2</v>
      </c>
      <c r="F17">
        <v>0.17611836478599999</v>
      </c>
    </row>
    <row r="18" spans="2:6" x14ac:dyDescent="0.45">
      <c r="B18">
        <v>22</v>
      </c>
      <c r="C18" t="s">
        <v>71</v>
      </c>
      <c r="D18" t="s">
        <v>64</v>
      </c>
      <c r="E18" s="35">
        <v>-5.0746490196100003E-2</v>
      </c>
      <c r="F18">
        <v>0.30093288138099999</v>
      </c>
    </row>
    <row r="19" spans="2:6" x14ac:dyDescent="0.4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45">
      <c r="B20">
        <v>28</v>
      </c>
      <c r="C20" t="s">
        <v>74</v>
      </c>
      <c r="D20" t="s">
        <v>64</v>
      </c>
      <c r="E20">
        <v>5.2955199731100002</v>
      </c>
      <c r="F20">
        <v>0.93271155108000003</v>
      </c>
    </row>
    <row r="21" spans="2:6" x14ac:dyDescent="0.45">
      <c r="B21">
        <v>29</v>
      </c>
      <c r="C21" t="s">
        <v>75</v>
      </c>
      <c r="D21" t="s">
        <v>64</v>
      </c>
      <c r="E21">
        <v>3.2469681077099999</v>
      </c>
      <c r="F21">
        <v>0.84554667239000003</v>
      </c>
    </row>
    <row r="22" spans="2:6" x14ac:dyDescent="0.45">
      <c r="B22">
        <v>30</v>
      </c>
      <c r="C22" t="s">
        <v>76</v>
      </c>
      <c r="D22" t="s">
        <v>64</v>
      </c>
      <c r="E22">
        <v>-0.48513089974599999</v>
      </c>
      <c r="F22">
        <v>0.34398669711899998</v>
      </c>
    </row>
    <row r="23" spans="2:6" x14ac:dyDescent="0.45">
      <c r="B23">
        <v>37</v>
      </c>
      <c r="C23" t="s">
        <v>77</v>
      </c>
      <c r="D23" t="s">
        <v>64</v>
      </c>
      <c r="E23">
        <v>-2.1066630984999999</v>
      </c>
      <c r="F23">
        <v>0.316662478729</v>
      </c>
    </row>
    <row r="24" spans="2:6" x14ac:dyDescent="0.45">
      <c r="B24">
        <v>38</v>
      </c>
      <c r="C24" t="s">
        <v>78</v>
      </c>
      <c r="D24" t="s">
        <v>64</v>
      </c>
      <c r="E24">
        <v>-1.0239845561200001</v>
      </c>
      <c r="F24">
        <v>0.333698615945</v>
      </c>
    </row>
    <row r="25" spans="2:6" x14ac:dyDescent="0.45">
      <c r="B25">
        <v>40</v>
      </c>
      <c r="C25" t="s">
        <v>79</v>
      </c>
      <c r="D25" t="s">
        <v>64</v>
      </c>
      <c r="E25">
        <v>-0.93652639794899994</v>
      </c>
      <c r="F25">
        <v>0.34599367384800001</v>
      </c>
    </row>
    <row r="26" spans="2:6" x14ac:dyDescent="0.45">
      <c r="B26">
        <v>41</v>
      </c>
      <c r="C26" t="s">
        <v>80</v>
      </c>
      <c r="D26" t="s">
        <v>64</v>
      </c>
      <c r="E26">
        <v>-1.3307406132499999</v>
      </c>
      <c r="F26">
        <v>0.33748375614499998</v>
      </c>
    </row>
    <row r="27" spans="2:6" x14ac:dyDescent="0.45">
      <c r="B27">
        <v>44</v>
      </c>
      <c r="C27" t="s">
        <v>81</v>
      </c>
      <c r="D27" t="s">
        <v>64</v>
      </c>
      <c r="E27">
        <v>0.22708982679199999</v>
      </c>
      <c r="F27">
        <v>0.29066758908599999</v>
      </c>
    </row>
    <row r="28" spans="2:6" x14ac:dyDescent="0.45">
      <c r="B28">
        <v>45</v>
      </c>
      <c r="C28" t="s">
        <v>82</v>
      </c>
      <c r="D28" t="s">
        <v>64</v>
      </c>
      <c r="E28">
        <v>-0.52505228928900005</v>
      </c>
      <c r="F28">
        <v>0.27106838531499999</v>
      </c>
    </row>
    <row r="29" spans="2:6" x14ac:dyDescent="0.45">
      <c r="B29">
        <v>47</v>
      </c>
      <c r="C29" t="s">
        <v>83</v>
      </c>
      <c r="D29" t="s">
        <v>64</v>
      </c>
      <c r="E29">
        <v>1.5640234951300001</v>
      </c>
      <c r="F29">
        <v>0.53692477379299997</v>
      </c>
    </row>
    <row r="30" spans="2:6" x14ac:dyDescent="0.45">
      <c r="B30">
        <v>50</v>
      </c>
      <c r="C30" t="s">
        <v>84</v>
      </c>
      <c r="D30" t="s">
        <v>64</v>
      </c>
      <c r="E30">
        <v>2.16938021038</v>
      </c>
      <c r="F30">
        <v>0.50214802606200004</v>
      </c>
    </row>
    <row r="31" spans="2:6" x14ac:dyDescent="0.45">
      <c r="B31">
        <v>52</v>
      </c>
      <c r="C31" t="s">
        <v>85</v>
      </c>
      <c r="D31" t="s">
        <v>64</v>
      </c>
      <c r="E31">
        <v>-2.1575125928499999</v>
      </c>
      <c r="F31">
        <v>0.36306057243700002</v>
      </c>
    </row>
    <row r="32" spans="2:6" x14ac:dyDescent="0.4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45">
      <c r="B33">
        <v>56</v>
      </c>
      <c r="C33" t="s">
        <v>87</v>
      </c>
      <c r="D33" t="s">
        <v>64</v>
      </c>
      <c r="E33">
        <v>0.30919284203500003</v>
      </c>
      <c r="F33">
        <v>0.30424957775799999</v>
      </c>
    </row>
    <row r="34" spans="2:6" x14ac:dyDescent="0.45">
      <c r="B34">
        <v>59</v>
      </c>
      <c r="C34" t="s">
        <v>88</v>
      </c>
      <c r="D34" t="s">
        <v>64</v>
      </c>
      <c r="E34">
        <v>-3.2597140629700001</v>
      </c>
      <c r="F34">
        <v>0.471635145413</v>
      </c>
    </row>
    <row r="35" spans="2:6" x14ac:dyDescent="0.45">
      <c r="B35">
        <v>60</v>
      </c>
      <c r="C35" t="s">
        <v>89</v>
      </c>
      <c r="D35" t="s">
        <v>64</v>
      </c>
      <c r="E35">
        <v>-3.8099771367100002</v>
      </c>
      <c r="F35">
        <v>0.61260220369700003</v>
      </c>
    </row>
    <row r="36" spans="2:6" x14ac:dyDescent="0.45">
      <c r="B36">
        <v>61</v>
      </c>
      <c r="C36" t="s">
        <v>90</v>
      </c>
      <c r="D36" t="s">
        <v>64</v>
      </c>
      <c r="E36">
        <v>1.04459519659</v>
      </c>
      <c r="F36">
        <v>0.217909240496</v>
      </c>
    </row>
    <row r="37" spans="2:6" x14ac:dyDescent="0.45">
      <c r="B37">
        <v>69</v>
      </c>
      <c r="C37" t="s">
        <v>91</v>
      </c>
      <c r="D37" t="s">
        <v>64</v>
      </c>
      <c r="E37">
        <v>2.65579810914</v>
      </c>
      <c r="F37">
        <v>0.53218512319</v>
      </c>
    </row>
    <row r="38" spans="2:6" x14ac:dyDescent="0.45">
      <c r="B38">
        <v>79</v>
      </c>
      <c r="C38" t="s">
        <v>92</v>
      </c>
      <c r="D38" t="s">
        <v>64</v>
      </c>
      <c r="E38" s="35">
        <v>3.1769310325200002</v>
      </c>
      <c r="F38">
        <v>0.44329049731600001</v>
      </c>
    </row>
    <row r="39" spans="2:6" x14ac:dyDescent="0.45">
      <c r="B39">
        <v>122</v>
      </c>
      <c r="C39" t="s">
        <v>93</v>
      </c>
      <c r="D39" t="s">
        <v>64</v>
      </c>
      <c r="E39">
        <v>-0.24379659264299999</v>
      </c>
      <c r="F39">
        <v>0.107571898717</v>
      </c>
    </row>
    <row r="40" spans="2:6" x14ac:dyDescent="0.45">
      <c r="B40">
        <v>129</v>
      </c>
      <c r="C40" t="s">
        <v>94</v>
      </c>
      <c r="D40" t="s">
        <v>64</v>
      </c>
      <c r="E40">
        <v>0.77462376479600004</v>
      </c>
      <c r="F40">
        <v>0.28644455923099998</v>
      </c>
    </row>
    <row r="41" spans="2:6" x14ac:dyDescent="0.4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45">
      <c r="B42">
        <v>132</v>
      </c>
      <c r="C42" t="s">
        <v>96</v>
      </c>
      <c r="D42" t="s">
        <v>64</v>
      </c>
      <c r="E42" s="35">
        <v>1.33790703339E-2</v>
      </c>
      <c r="F42" s="35">
        <v>9.0433152226200006E-2</v>
      </c>
    </row>
    <row r="43" spans="2:6" x14ac:dyDescent="0.4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45">
      <c r="B44">
        <v>134</v>
      </c>
      <c r="C44" t="s">
        <v>98</v>
      </c>
      <c r="D44" t="s">
        <v>64</v>
      </c>
      <c r="E44">
        <v>0.43389099526199998</v>
      </c>
      <c r="F44" s="35">
        <v>7.2106749913899995E-2</v>
      </c>
    </row>
    <row r="45" spans="2:6" x14ac:dyDescent="0.4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4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4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4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11" x14ac:dyDescent="0.45">
      <c r="B49">
        <v>168</v>
      </c>
      <c r="C49" t="s">
        <v>103</v>
      </c>
      <c r="D49" t="s">
        <v>64</v>
      </c>
      <c r="E49" s="35">
        <v>1.1363647136500001E-5</v>
      </c>
      <c r="F49" s="35">
        <v>1.31537878938E-5</v>
      </c>
    </row>
    <row r="50" spans="2:11" x14ac:dyDescent="0.45">
      <c r="B50">
        <v>169</v>
      </c>
      <c r="C50" t="s">
        <v>104</v>
      </c>
      <c r="D50" t="s">
        <v>64</v>
      </c>
      <c r="E50">
        <v>-0.36651267651399999</v>
      </c>
      <c r="F50">
        <v>0.81267331412900001</v>
      </c>
    </row>
    <row r="51" spans="2:11" x14ac:dyDescent="0.45">
      <c r="B51">
        <v>179</v>
      </c>
      <c r="C51" t="s">
        <v>105</v>
      </c>
      <c r="D51" t="s">
        <v>64</v>
      </c>
      <c r="E51">
        <v>0.502373344261</v>
      </c>
      <c r="F51">
        <v>0.27871621834499999</v>
      </c>
    </row>
    <row r="52" spans="2:11" x14ac:dyDescent="0.45">
      <c r="B52">
        <v>99</v>
      </c>
      <c r="C52" t="s">
        <v>106</v>
      </c>
      <c r="D52" t="s">
        <v>64</v>
      </c>
      <c r="E52">
        <v>0.78311080353600004</v>
      </c>
      <c r="F52" s="35">
        <v>6.7494321499999996E-2</v>
      </c>
    </row>
    <row r="53" spans="2:11" x14ac:dyDescent="0.45">
      <c r="B53">
        <v>-1</v>
      </c>
    </row>
    <row r="54" spans="2:11" x14ac:dyDescent="0.45">
      <c r="B54">
        <v>2988</v>
      </c>
      <c r="C54" s="35">
        <v>-4862.5542158400003</v>
      </c>
      <c r="D54" s="35">
        <v>-5385.7599593000004</v>
      </c>
      <c r="E54" s="35">
        <v>-3079.5241074099999</v>
      </c>
    </row>
    <row r="55" spans="2:11" x14ac:dyDescent="0.45">
      <c r="B55">
        <v>11</v>
      </c>
      <c r="C55" t="s">
        <v>258</v>
      </c>
      <c r="D55" t="s">
        <v>235</v>
      </c>
      <c r="E55">
        <v>6</v>
      </c>
      <c r="F55" t="s">
        <v>236</v>
      </c>
      <c r="G55">
        <v>17</v>
      </c>
    </row>
    <row r="56" spans="2:11" x14ac:dyDescent="0.45">
      <c r="B56">
        <v>57952</v>
      </c>
      <c r="C56">
        <v>-7620</v>
      </c>
      <c r="D56">
        <v>-21641</v>
      </c>
      <c r="E56">
        <v>0</v>
      </c>
      <c r="F56">
        <v>0</v>
      </c>
      <c r="G56">
        <v>0</v>
      </c>
      <c r="H56">
        <v>-54301</v>
      </c>
      <c r="I56">
        <v>-51114</v>
      </c>
      <c r="J56">
        <v>4975</v>
      </c>
      <c r="K56">
        <v>0</v>
      </c>
    </row>
    <row r="57" spans="2:11" x14ac:dyDescent="0.45">
      <c r="B57">
        <v>-33925</v>
      </c>
      <c r="C57">
        <v>-34266</v>
      </c>
      <c r="D57">
        <v>33256</v>
      </c>
      <c r="E57">
        <v>0</v>
      </c>
      <c r="F57">
        <v>28331</v>
      </c>
      <c r="G57">
        <v>-3871</v>
      </c>
      <c r="H57">
        <v>-2854</v>
      </c>
      <c r="I57">
        <v>-1743</v>
      </c>
      <c r="J57">
        <v>0</v>
      </c>
      <c r="K57">
        <v>9710</v>
      </c>
    </row>
    <row r="58" spans="2:11" x14ac:dyDescent="0.45">
      <c r="B58">
        <v>837</v>
      </c>
      <c r="C58">
        <v>756</v>
      </c>
      <c r="D58">
        <v>-4274</v>
      </c>
      <c r="E58">
        <v>-1715</v>
      </c>
      <c r="F58">
        <v>0</v>
      </c>
      <c r="G58">
        <v>-8710</v>
      </c>
      <c r="H58">
        <v>-6587</v>
      </c>
      <c r="I58">
        <v>22274</v>
      </c>
      <c r="J58">
        <v>0</v>
      </c>
      <c r="K58">
        <v>0</v>
      </c>
    </row>
    <row r="59" spans="2:11" x14ac:dyDescent="0.4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35111</v>
      </c>
      <c r="I59">
        <v>43921</v>
      </c>
      <c r="J59">
        <v>-3961</v>
      </c>
      <c r="K59">
        <v>0</v>
      </c>
    </row>
    <row r="60" spans="2:11" x14ac:dyDescent="0.45">
      <c r="B60">
        <v>-24832</v>
      </c>
      <c r="C60">
        <v>-86641</v>
      </c>
      <c r="D60">
        <v>-6973</v>
      </c>
      <c r="E60">
        <v>-7225</v>
      </c>
      <c r="F60">
        <v>0</v>
      </c>
      <c r="G60">
        <v>23723</v>
      </c>
      <c r="H60">
        <v>27648</v>
      </c>
      <c r="I60">
        <v>-2208</v>
      </c>
      <c r="J60">
        <v>0</v>
      </c>
      <c r="K60">
        <v>-19656</v>
      </c>
    </row>
    <row r="61" spans="2:11" x14ac:dyDescent="0.45">
      <c r="B61">
        <v>-82417</v>
      </c>
      <c r="C61">
        <v>-6944</v>
      </c>
      <c r="D61">
        <v>-18288</v>
      </c>
      <c r="E61">
        <v>0</v>
      </c>
      <c r="F61">
        <v>88465</v>
      </c>
      <c r="G61">
        <v>-693</v>
      </c>
      <c r="H61">
        <v>-13462</v>
      </c>
      <c r="I61">
        <v>94663</v>
      </c>
      <c r="J61">
        <v>0</v>
      </c>
      <c r="K61">
        <v>1404</v>
      </c>
    </row>
    <row r="62" spans="2:11" x14ac:dyDescent="0.45">
      <c r="B62">
        <v>29091</v>
      </c>
      <c r="C62">
        <v>-2714</v>
      </c>
      <c r="D62">
        <v>-2182</v>
      </c>
      <c r="E62">
        <v>0</v>
      </c>
      <c r="F62">
        <v>1817</v>
      </c>
      <c r="G62">
        <v>1155</v>
      </c>
      <c r="H62">
        <v>-26941</v>
      </c>
      <c r="I62">
        <v>-28984</v>
      </c>
      <c r="J62">
        <v>5247</v>
      </c>
      <c r="K62">
        <v>0</v>
      </c>
    </row>
    <row r="63" spans="2:11" x14ac:dyDescent="0.45">
      <c r="B63">
        <v>44288</v>
      </c>
      <c r="C63">
        <v>17989</v>
      </c>
      <c r="D63">
        <v>-1517</v>
      </c>
      <c r="E63">
        <v>-20378</v>
      </c>
      <c r="F63">
        <v>0</v>
      </c>
      <c r="G63">
        <v>-5184</v>
      </c>
      <c r="H63">
        <v>-8322</v>
      </c>
      <c r="I63">
        <v>-289</v>
      </c>
      <c r="J63">
        <v>-9371</v>
      </c>
      <c r="K63">
        <v>-18569</v>
      </c>
    </row>
    <row r="64" spans="2:11" x14ac:dyDescent="0.45">
      <c r="B64">
        <v>3861</v>
      </c>
      <c r="C64">
        <v>0</v>
      </c>
      <c r="D64">
        <v>35453</v>
      </c>
      <c r="E64">
        <v>12035</v>
      </c>
      <c r="F64">
        <v>-2305</v>
      </c>
      <c r="G64">
        <v>-21913</v>
      </c>
      <c r="H64">
        <v>0</v>
      </c>
      <c r="I64">
        <v>1629</v>
      </c>
      <c r="J64">
        <v>-3848</v>
      </c>
      <c r="K64">
        <v>1988</v>
      </c>
    </row>
    <row r="65" spans="2:11" x14ac:dyDescent="0.45">
      <c r="B65">
        <v>71658</v>
      </c>
      <c r="C65">
        <v>-803</v>
      </c>
      <c r="D65">
        <v>-13726</v>
      </c>
      <c r="E65">
        <v>94183</v>
      </c>
      <c r="F65">
        <v>0</v>
      </c>
      <c r="G65">
        <v>2240</v>
      </c>
      <c r="H65">
        <v>29193</v>
      </c>
      <c r="I65">
        <v>-2703</v>
      </c>
      <c r="J65">
        <v>-2491</v>
      </c>
      <c r="K65">
        <v>0</v>
      </c>
    </row>
    <row r="66" spans="2:11" x14ac:dyDescent="0.45">
      <c r="B66">
        <v>1823</v>
      </c>
      <c r="C66">
        <v>1016</v>
      </c>
      <c r="D66">
        <v>97226</v>
      </c>
      <c r="E66">
        <v>3889</v>
      </c>
      <c r="F66">
        <v>92</v>
      </c>
      <c r="G66">
        <v>-33193</v>
      </c>
      <c r="H66">
        <v>-30650</v>
      </c>
      <c r="I66">
        <v>3915</v>
      </c>
      <c r="J66">
        <v>0</v>
      </c>
      <c r="K66">
        <v>31111</v>
      </c>
    </row>
    <row r="67" spans="2:11" x14ac:dyDescent="0.45">
      <c r="B67">
        <v>15535</v>
      </c>
      <c r="C67">
        <v>29975</v>
      </c>
      <c r="D67">
        <v>-320</v>
      </c>
      <c r="E67">
        <v>0</v>
      </c>
      <c r="F67">
        <v>-18487</v>
      </c>
      <c r="G67">
        <v>-12772</v>
      </c>
      <c r="H67">
        <v>296</v>
      </c>
      <c r="I67">
        <v>-4227</v>
      </c>
      <c r="J67">
        <v>-12207</v>
      </c>
      <c r="K67">
        <v>288</v>
      </c>
    </row>
    <row r="68" spans="2:11" x14ac:dyDescent="0.45">
      <c r="B68">
        <v>6941</v>
      </c>
      <c r="C68">
        <v>4764</v>
      </c>
      <c r="D68">
        <v>786</v>
      </c>
      <c r="E68">
        <v>0</v>
      </c>
      <c r="F68">
        <v>-2187</v>
      </c>
      <c r="G68">
        <v>-3129</v>
      </c>
      <c r="H68">
        <v>-1756</v>
      </c>
      <c r="I68">
        <v>4931</v>
      </c>
      <c r="J68">
        <v>0</v>
      </c>
      <c r="K68">
        <v>5641</v>
      </c>
    </row>
    <row r="69" spans="2:11" x14ac:dyDescent="0.45">
      <c r="B69">
        <v>1674</v>
      </c>
      <c r="C69">
        <v>-4827</v>
      </c>
      <c r="D69">
        <v>6165</v>
      </c>
      <c r="E69">
        <v>9653</v>
      </c>
      <c r="F69">
        <v>-5274</v>
      </c>
      <c r="G69">
        <v>-9391</v>
      </c>
      <c r="H69">
        <v>-11913</v>
      </c>
      <c r="I69">
        <v>-14163</v>
      </c>
      <c r="J69">
        <v>202</v>
      </c>
      <c r="K69">
        <v>0</v>
      </c>
    </row>
    <row r="70" spans="2:11" x14ac:dyDescent="0.45">
      <c r="B70">
        <v>11851</v>
      </c>
      <c r="C70">
        <v>5937</v>
      </c>
      <c r="D70">
        <v>2266</v>
      </c>
      <c r="E70">
        <v>6656</v>
      </c>
      <c r="F70">
        <v>0</v>
      </c>
      <c r="G70">
        <v>-8013</v>
      </c>
      <c r="H70">
        <v>-6978</v>
      </c>
      <c r="I70">
        <v>-8674</v>
      </c>
      <c r="J70">
        <v>13260</v>
      </c>
      <c r="K70">
        <v>12907</v>
      </c>
    </row>
    <row r="71" spans="2:11" x14ac:dyDescent="0.45">
      <c r="B71">
        <v>-8916</v>
      </c>
      <c r="C71">
        <v>8746</v>
      </c>
      <c r="D71">
        <v>9010</v>
      </c>
      <c r="E71">
        <v>22681</v>
      </c>
      <c r="F71">
        <v>25927</v>
      </c>
      <c r="G71">
        <v>-2180</v>
      </c>
      <c r="H71">
        <v>0</v>
      </c>
      <c r="I71">
        <v>-20050</v>
      </c>
      <c r="J71">
        <v>-12782</v>
      </c>
      <c r="K71">
        <v>-2233</v>
      </c>
    </row>
    <row r="72" spans="2:11" x14ac:dyDescent="0.45">
      <c r="B72">
        <v>-1444</v>
      </c>
      <c r="C72">
        <v>0</v>
      </c>
      <c r="D72">
        <v>15439</v>
      </c>
      <c r="E72">
        <v>10033</v>
      </c>
      <c r="F72">
        <v>-1935</v>
      </c>
      <c r="G72">
        <v>-9857</v>
      </c>
      <c r="H72">
        <v>-5823</v>
      </c>
      <c r="I72">
        <v>-2030</v>
      </c>
      <c r="J72">
        <v>-11541</v>
      </c>
      <c r="K72">
        <v>6169</v>
      </c>
    </row>
    <row r="73" spans="2:11" x14ac:dyDescent="0.45">
      <c r="B73">
        <v>-1192</v>
      </c>
      <c r="C73">
        <v>42743</v>
      </c>
      <c r="D73">
        <v>26487</v>
      </c>
      <c r="E73">
        <v>61811</v>
      </c>
      <c r="F73">
        <v>0</v>
      </c>
      <c r="G73">
        <v>-11704</v>
      </c>
      <c r="H73">
        <v>3467</v>
      </c>
      <c r="I73">
        <v>-7843</v>
      </c>
      <c r="J73">
        <v>-19631</v>
      </c>
      <c r="K73">
        <v>0</v>
      </c>
    </row>
    <row r="74" spans="2:11" x14ac:dyDescent="0.45">
      <c r="B74">
        <v>33548</v>
      </c>
      <c r="C74">
        <v>17872</v>
      </c>
      <c r="D74">
        <v>67032</v>
      </c>
      <c r="E74">
        <v>15544</v>
      </c>
      <c r="F74">
        <v>24261</v>
      </c>
      <c r="G74">
        <v>67212</v>
      </c>
      <c r="H74">
        <v>-14992</v>
      </c>
      <c r="I74">
        <v>7994</v>
      </c>
      <c r="J74">
        <v>-6398</v>
      </c>
      <c r="K74">
        <v>12886</v>
      </c>
    </row>
    <row r="75" spans="2:11" x14ac:dyDescent="0.45">
      <c r="B75">
        <v>-50920</v>
      </c>
      <c r="C75">
        <v>-43868</v>
      </c>
      <c r="D75">
        <v>3817</v>
      </c>
      <c r="E75">
        <v>0</v>
      </c>
      <c r="F75">
        <v>27296</v>
      </c>
      <c r="G75">
        <v>19510</v>
      </c>
      <c r="H75">
        <v>9079</v>
      </c>
      <c r="I75">
        <v>29218</v>
      </c>
      <c r="J75">
        <v>0</v>
      </c>
      <c r="K75">
        <v>-31636</v>
      </c>
    </row>
    <row r="76" spans="2:11" x14ac:dyDescent="0.45">
      <c r="B76">
        <v>-22524</v>
      </c>
      <c r="C76">
        <v>-1739</v>
      </c>
      <c r="D76">
        <v>1881</v>
      </c>
      <c r="E76">
        <v>-8170</v>
      </c>
      <c r="F76">
        <v>-1845</v>
      </c>
      <c r="G76">
        <v>20871</v>
      </c>
      <c r="H76">
        <v>1815</v>
      </c>
      <c r="I76">
        <v>14118</v>
      </c>
      <c r="J76">
        <v>-16327</v>
      </c>
      <c r="K76">
        <v>-46710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-6989</v>
      </c>
      <c r="D79">
        <v>6004</v>
      </c>
      <c r="E79">
        <v>-3731</v>
      </c>
      <c r="F79">
        <v>0</v>
      </c>
      <c r="G79">
        <v>-9944</v>
      </c>
      <c r="H79">
        <v>-3424</v>
      </c>
      <c r="I79">
        <v>564</v>
      </c>
      <c r="J79">
        <v>7015</v>
      </c>
      <c r="K79">
        <v>0</v>
      </c>
    </row>
    <row r="80" spans="2:11" x14ac:dyDescent="0.45">
      <c r="B80">
        <v>-545</v>
      </c>
      <c r="C80">
        <v>1040</v>
      </c>
      <c r="D80">
        <v>-1596</v>
      </c>
      <c r="E80">
        <v>-19162</v>
      </c>
      <c r="F80">
        <v>-21551</v>
      </c>
      <c r="G80">
        <v>-1987</v>
      </c>
      <c r="H80">
        <v>-1963</v>
      </c>
      <c r="I80">
        <v>-8943</v>
      </c>
      <c r="J80">
        <v>-9983</v>
      </c>
      <c r="K80">
        <v>385</v>
      </c>
    </row>
    <row r="81" spans="2:11" x14ac:dyDescent="0.45">
      <c r="B81">
        <v>-22707</v>
      </c>
      <c r="C81">
        <v>-3831</v>
      </c>
      <c r="D81">
        <v>0</v>
      </c>
      <c r="E81">
        <v>-48620</v>
      </c>
      <c r="F81">
        <v>-52725</v>
      </c>
      <c r="G81">
        <v>7263</v>
      </c>
      <c r="H81">
        <v>0</v>
      </c>
      <c r="I81">
        <v>29859</v>
      </c>
      <c r="J81">
        <v>26126</v>
      </c>
      <c r="K81">
        <v>4988</v>
      </c>
    </row>
    <row r="82" spans="2:11" x14ac:dyDescent="0.45">
      <c r="B82">
        <v>4860</v>
      </c>
      <c r="C82">
        <v>0</v>
      </c>
      <c r="D82">
        <v>-40635</v>
      </c>
      <c r="E82">
        <v>-20781</v>
      </c>
      <c r="F82">
        <v>-552</v>
      </c>
      <c r="G82">
        <v>6027</v>
      </c>
      <c r="H82">
        <v>-2983</v>
      </c>
      <c r="I82">
        <v>-672</v>
      </c>
      <c r="J82">
        <v>22999</v>
      </c>
      <c r="K82">
        <v>-7472</v>
      </c>
    </row>
    <row r="83" spans="2:11" x14ac:dyDescent="0.45">
      <c r="B83">
        <v>10462</v>
      </c>
      <c r="C83">
        <v>-18330</v>
      </c>
      <c r="D83">
        <v>-43223</v>
      </c>
      <c r="E83">
        <v>29061</v>
      </c>
      <c r="F83">
        <v>0</v>
      </c>
      <c r="G83">
        <v>-25970</v>
      </c>
      <c r="H83">
        <v>-27661</v>
      </c>
      <c r="I83">
        <v>-37157</v>
      </c>
      <c r="J83">
        <v>45360</v>
      </c>
      <c r="K83">
        <v>0</v>
      </c>
    </row>
    <row r="84" spans="2:11" x14ac:dyDescent="0.45">
      <c r="B84">
        <v>24233</v>
      </c>
      <c r="C84">
        <v>29510</v>
      </c>
      <c r="D84">
        <v>2511</v>
      </c>
      <c r="E84">
        <v>1780</v>
      </c>
      <c r="F84">
        <v>0</v>
      </c>
      <c r="G84">
        <v>-20242</v>
      </c>
      <c r="H84">
        <v>-12708</v>
      </c>
      <c r="I84">
        <v>41567</v>
      </c>
      <c r="J84">
        <v>13831</v>
      </c>
      <c r="K84">
        <v>8897</v>
      </c>
    </row>
    <row r="85" spans="2:11" x14ac:dyDescent="0.45">
      <c r="B85">
        <v>41546</v>
      </c>
      <c r="C85">
        <v>15249</v>
      </c>
      <c r="D85">
        <v>-1929</v>
      </c>
      <c r="E85">
        <v>5928</v>
      </c>
      <c r="F85">
        <v>-9169</v>
      </c>
      <c r="G85">
        <v>12269</v>
      </c>
      <c r="H85">
        <v>20431</v>
      </c>
      <c r="I85">
        <v>0</v>
      </c>
      <c r="J85">
        <v>-3337</v>
      </c>
      <c r="K85">
        <v>24469</v>
      </c>
    </row>
    <row r="86" spans="2:11" x14ac:dyDescent="0.45">
      <c r="B86">
        <v>7216</v>
      </c>
      <c r="C86">
        <v>8491</v>
      </c>
      <c r="D86">
        <v>-924</v>
      </c>
      <c r="E86">
        <v>0</v>
      </c>
      <c r="F86">
        <v>-6355</v>
      </c>
      <c r="G86">
        <v>-3918</v>
      </c>
      <c r="H86">
        <v>-1897</v>
      </c>
      <c r="I86">
        <v>-309</v>
      </c>
      <c r="J86">
        <v>0</v>
      </c>
      <c r="K86">
        <v>4966</v>
      </c>
    </row>
    <row r="87" spans="2:11" x14ac:dyDescent="0.45">
      <c r="B87">
        <v>3248</v>
      </c>
      <c r="C87">
        <v>76</v>
      </c>
      <c r="D87">
        <v>-3617</v>
      </c>
      <c r="E87">
        <v>-2292</v>
      </c>
      <c r="F87">
        <v>7</v>
      </c>
      <c r="G87">
        <v>-4103</v>
      </c>
      <c r="H87">
        <v>391</v>
      </c>
      <c r="I87">
        <v>-1719</v>
      </c>
      <c r="J87">
        <v>3065</v>
      </c>
      <c r="K87">
        <v>4362</v>
      </c>
    </row>
    <row r="88" spans="2:11" x14ac:dyDescent="0.45">
      <c r="B88">
        <v>-5400</v>
      </c>
      <c r="C88">
        <v>0</v>
      </c>
      <c r="D88">
        <v>516</v>
      </c>
      <c r="E88">
        <v>-6171</v>
      </c>
      <c r="F88">
        <v>-30047</v>
      </c>
      <c r="G88">
        <v>23370</v>
      </c>
      <c r="H88">
        <v>43843</v>
      </c>
      <c r="I88">
        <v>-2306</v>
      </c>
      <c r="J88">
        <v>0</v>
      </c>
      <c r="K88">
        <v>-11448</v>
      </c>
    </row>
    <row r="89" spans="2:11" x14ac:dyDescent="0.45">
      <c r="B89">
        <v>-16172</v>
      </c>
      <c r="C89">
        <v>4248</v>
      </c>
      <c r="D89">
        <v>-16688</v>
      </c>
      <c r="E89">
        <v>0</v>
      </c>
      <c r="F89">
        <v>37002</v>
      </c>
      <c r="G89">
        <v>19405</v>
      </c>
      <c r="H89">
        <v>3506</v>
      </c>
      <c r="I89">
        <v>10333</v>
      </c>
      <c r="J89">
        <v>15576</v>
      </c>
      <c r="K89">
        <v>3778</v>
      </c>
    </row>
    <row r="90" spans="2:11" x14ac:dyDescent="0.45">
      <c r="B90">
        <v>-10540</v>
      </c>
      <c r="C90">
        <v>5450</v>
      </c>
      <c r="D90">
        <v>-7735</v>
      </c>
      <c r="E90">
        <v>6075</v>
      </c>
      <c r="F90">
        <v>41182</v>
      </c>
      <c r="G90">
        <v>-34166</v>
      </c>
      <c r="H90">
        <v>0</v>
      </c>
      <c r="I90">
        <v>-3916</v>
      </c>
      <c r="J90">
        <v>-44284</v>
      </c>
      <c r="K90">
        <v>-35043</v>
      </c>
    </row>
    <row r="91" spans="2:11" x14ac:dyDescent="0.45">
      <c r="B91">
        <v>9790</v>
      </c>
      <c r="C91">
        <v>26874</v>
      </c>
      <c r="D91">
        <v>61053</v>
      </c>
      <c r="E91">
        <v>-11409</v>
      </c>
      <c r="F91">
        <v>0</v>
      </c>
      <c r="G91">
        <v>-12680</v>
      </c>
      <c r="H91">
        <v>-20756</v>
      </c>
      <c r="I91">
        <v>7094</v>
      </c>
      <c r="J91">
        <v>-20686</v>
      </c>
      <c r="K91">
        <v>0</v>
      </c>
    </row>
    <row r="92" spans="2:11" x14ac:dyDescent="0.45">
      <c r="B92">
        <v>44280</v>
      </c>
      <c r="C92">
        <v>23084</v>
      </c>
      <c r="D92">
        <v>-4476</v>
      </c>
      <c r="E92">
        <v>13092</v>
      </c>
      <c r="F92">
        <v>19184</v>
      </c>
      <c r="G92">
        <v>-4056</v>
      </c>
      <c r="H92">
        <v>-11686</v>
      </c>
      <c r="I92">
        <v>5918</v>
      </c>
      <c r="J92">
        <v>-9228</v>
      </c>
      <c r="K92">
        <v>3838</v>
      </c>
    </row>
    <row r="93" spans="2:11" x14ac:dyDescent="0.45">
      <c r="B93">
        <v>43466</v>
      </c>
      <c r="C93">
        <v>-41063</v>
      </c>
      <c r="D93">
        <v>0</v>
      </c>
      <c r="E93">
        <v>-4153</v>
      </c>
      <c r="F93">
        <v>-52760</v>
      </c>
      <c r="G93">
        <v>-25992</v>
      </c>
      <c r="H93">
        <v>5600</v>
      </c>
      <c r="I93">
        <v>67924</v>
      </c>
      <c r="J93">
        <v>-20878</v>
      </c>
      <c r="K93">
        <v>-28011</v>
      </c>
    </row>
    <row r="94" spans="2:11" x14ac:dyDescent="0.45">
      <c r="B94">
        <v>19300</v>
      </c>
      <c r="C94">
        <v>0</v>
      </c>
      <c r="D94">
        <v>16876</v>
      </c>
      <c r="E94">
        <v>-4663</v>
      </c>
      <c r="F94">
        <v>-9688</v>
      </c>
      <c r="G94">
        <v>2962</v>
      </c>
      <c r="H94">
        <v>0</v>
      </c>
      <c r="I94">
        <v>-13446</v>
      </c>
      <c r="J94">
        <v>-5926</v>
      </c>
      <c r="K94">
        <v>17059</v>
      </c>
    </row>
    <row r="95" spans="2:11" x14ac:dyDescent="0.45">
      <c r="B95">
        <v>11256</v>
      </c>
      <c r="C95">
        <v>7441</v>
      </c>
      <c r="D95">
        <v>17082</v>
      </c>
      <c r="E95">
        <v>9131</v>
      </c>
      <c r="F95">
        <v>-861</v>
      </c>
      <c r="G95">
        <v>3498</v>
      </c>
      <c r="H95">
        <v>-4188</v>
      </c>
      <c r="I95">
        <v>3071</v>
      </c>
      <c r="J95">
        <v>11394</v>
      </c>
      <c r="K95">
        <v>0</v>
      </c>
    </row>
    <row r="96" spans="2:11" x14ac:dyDescent="0.45">
      <c r="B96">
        <v>-4226</v>
      </c>
      <c r="C96">
        <v>14221</v>
      </c>
      <c r="D96">
        <v>14470</v>
      </c>
      <c r="E96">
        <v>-1842</v>
      </c>
      <c r="F96">
        <v>-6114</v>
      </c>
      <c r="G96">
        <v>-11161</v>
      </c>
      <c r="H96">
        <v>34598</v>
      </c>
      <c r="I96">
        <v>23552</v>
      </c>
      <c r="J96">
        <v>4728</v>
      </c>
      <c r="K96">
        <v>0</v>
      </c>
    </row>
    <row r="97" spans="2:11" x14ac:dyDescent="0.45">
      <c r="B97">
        <v>-20254</v>
      </c>
      <c r="C97">
        <v>-34433</v>
      </c>
      <c r="D97">
        <v>290</v>
      </c>
      <c r="E97">
        <v>-14258</v>
      </c>
      <c r="F97">
        <v>0</v>
      </c>
      <c r="G97">
        <v>26205</v>
      </c>
      <c r="H97">
        <v>11762</v>
      </c>
      <c r="I97">
        <v>7328</v>
      </c>
      <c r="J97">
        <v>-12151</v>
      </c>
      <c r="K97">
        <v>-5646</v>
      </c>
    </row>
    <row r="98" spans="2:11" x14ac:dyDescent="0.45">
      <c r="B98">
        <v>7269</v>
      </c>
      <c r="C98">
        <v>-7734</v>
      </c>
      <c r="D98">
        <v>2881</v>
      </c>
      <c r="E98">
        <v>-4059</v>
      </c>
      <c r="F98">
        <v>10350</v>
      </c>
      <c r="G98">
        <v>21039</v>
      </c>
      <c r="H98">
        <v>-17996</v>
      </c>
      <c r="I98">
        <v>0</v>
      </c>
      <c r="J98">
        <v>-1116</v>
      </c>
      <c r="K98">
        <v>-18646</v>
      </c>
    </row>
    <row r="99" spans="2:11" x14ac:dyDescent="0.45">
      <c r="B99">
        <v>-10349</v>
      </c>
      <c r="C99">
        <v>2447</v>
      </c>
      <c r="D99">
        <v>4827</v>
      </c>
      <c r="E99">
        <v>5702</v>
      </c>
      <c r="F99">
        <v>10266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5799</v>
      </c>
      <c r="H102">
        <v>742</v>
      </c>
      <c r="I102">
        <v>1089</v>
      </c>
      <c r="J102">
        <v>0</v>
      </c>
      <c r="K102">
        <v>232</v>
      </c>
    </row>
    <row r="103" spans="2:11" x14ac:dyDescent="0.45">
      <c r="B103">
        <v>913</v>
      </c>
      <c r="C103">
        <v>-1124</v>
      </c>
      <c r="D103">
        <v>-1502</v>
      </c>
      <c r="E103">
        <v>0</v>
      </c>
      <c r="F103">
        <v>959</v>
      </c>
      <c r="G103">
        <v>437</v>
      </c>
      <c r="H103">
        <v>-558</v>
      </c>
      <c r="I103">
        <v>1809</v>
      </c>
      <c r="J103">
        <v>3819</v>
      </c>
      <c r="K103">
        <v>-512</v>
      </c>
    </row>
    <row r="104" spans="2:11" x14ac:dyDescent="0.45">
      <c r="B104">
        <v>-9350</v>
      </c>
      <c r="C104">
        <v>1748</v>
      </c>
      <c r="D104">
        <v>-1547</v>
      </c>
      <c r="E104">
        <v>727</v>
      </c>
      <c r="F104">
        <v>-15797</v>
      </c>
      <c r="G104">
        <v>7153</v>
      </c>
      <c r="H104">
        <v>0</v>
      </c>
      <c r="I104">
        <v>10785</v>
      </c>
      <c r="J104">
        <v>3897</v>
      </c>
      <c r="K104">
        <v>311</v>
      </c>
    </row>
    <row r="105" spans="2:11" x14ac:dyDescent="0.45">
      <c r="B105">
        <v>-571</v>
      </c>
      <c r="C105">
        <v>1733</v>
      </c>
      <c r="D105">
        <v>1751</v>
      </c>
      <c r="E105">
        <v>-1122</v>
      </c>
      <c r="F105">
        <v>-1629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37363</v>
      </c>
      <c r="K108">
        <v>40110</v>
      </c>
    </row>
    <row r="109" spans="2:11" x14ac:dyDescent="0.45">
      <c r="B109">
        <v>-2947</v>
      </c>
      <c r="C109">
        <v>0</v>
      </c>
      <c r="D109">
        <v>-26678</v>
      </c>
      <c r="E109">
        <v>-18165</v>
      </c>
      <c r="F109">
        <v>-3959</v>
      </c>
      <c r="G109">
        <v>-4551</v>
      </c>
      <c r="H109">
        <v>0</v>
      </c>
      <c r="I109">
        <v>27929</v>
      </c>
      <c r="J109">
        <v>16408</v>
      </c>
      <c r="K109">
        <v>-3839</v>
      </c>
    </row>
    <row r="110" spans="2:11" x14ac:dyDescent="0.45">
      <c r="B110">
        <v>-31848</v>
      </c>
      <c r="C110">
        <v>-25543</v>
      </c>
      <c r="D110">
        <v>-4391</v>
      </c>
      <c r="E110">
        <v>-27747</v>
      </c>
      <c r="F110">
        <v>5791</v>
      </c>
      <c r="G110">
        <v>-11269</v>
      </c>
      <c r="H110">
        <v>15621</v>
      </c>
      <c r="I110">
        <v>23864</v>
      </c>
      <c r="J110">
        <v>-26714</v>
      </c>
      <c r="K110">
        <v>0</v>
      </c>
    </row>
    <row r="111" spans="2:11" x14ac:dyDescent="0.45">
      <c r="B111">
        <v>3027</v>
      </c>
      <c r="C111">
        <v>-33847</v>
      </c>
      <c r="D111">
        <v>-17981</v>
      </c>
      <c r="E111">
        <v>4593</v>
      </c>
      <c r="F111">
        <v>29344</v>
      </c>
      <c r="G111">
        <v>34462</v>
      </c>
      <c r="H111">
        <v>-11013</v>
      </c>
      <c r="I111">
        <v>11352</v>
      </c>
      <c r="J111">
        <v>0</v>
      </c>
      <c r="K111">
        <v>24360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-1033</v>
      </c>
      <c r="F126">
        <v>1925</v>
      </c>
      <c r="G126">
        <v>236</v>
      </c>
      <c r="H126">
        <v>0</v>
      </c>
      <c r="I126">
        <v>923</v>
      </c>
      <c r="J126">
        <v>1448</v>
      </c>
      <c r="K126">
        <v>-54</v>
      </c>
    </row>
    <row r="127" spans="2:11" x14ac:dyDescent="0.45">
      <c r="B127">
        <v>-481</v>
      </c>
      <c r="C127">
        <v>0</v>
      </c>
      <c r="D127">
        <v>-761</v>
      </c>
      <c r="E127">
        <v>-502</v>
      </c>
      <c r="F127">
        <v>47</v>
      </c>
      <c r="G127">
        <v>599</v>
      </c>
      <c r="H127">
        <v>528</v>
      </c>
      <c r="I127">
        <v>67</v>
      </c>
      <c r="J127">
        <v>624</v>
      </c>
      <c r="K127">
        <v>-254</v>
      </c>
    </row>
    <row r="128" spans="2:11" x14ac:dyDescent="0.45">
      <c r="B128">
        <v>82</v>
      </c>
      <c r="C128">
        <v>-1182</v>
      </c>
      <c r="D128">
        <v>-481</v>
      </c>
      <c r="E128">
        <v>665</v>
      </c>
      <c r="F128">
        <v>0</v>
      </c>
      <c r="G128">
        <v>-122</v>
      </c>
      <c r="H128">
        <v>918</v>
      </c>
      <c r="I128">
        <v>25861</v>
      </c>
      <c r="J128">
        <v>3316</v>
      </c>
      <c r="K128">
        <v>4698</v>
      </c>
    </row>
    <row r="129" spans="2:11" x14ac:dyDescent="0.45">
      <c r="B129">
        <v>-299</v>
      </c>
      <c r="C129">
        <v>-1922</v>
      </c>
      <c r="D129">
        <v>-760</v>
      </c>
      <c r="E129">
        <v>0</v>
      </c>
      <c r="F129">
        <v>1066</v>
      </c>
      <c r="G129">
        <v>0</v>
      </c>
      <c r="H129">
        <v>2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5971</v>
      </c>
      <c r="D130">
        <v>6958</v>
      </c>
      <c r="E130">
        <v>10184</v>
      </c>
      <c r="F130">
        <v>0</v>
      </c>
      <c r="G130">
        <v>-4713</v>
      </c>
      <c r="H130">
        <v>-1888</v>
      </c>
      <c r="I130">
        <v>-1636</v>
      </c>
      <c r="J130">
        <v>-2609</v>
      </c>
      <c r="K130">
        <v>0</v>
      </c>
    </row>
    <row r="131" spans="2:11" x14ac:dyDescent="0.45">
      <c r="B131">
        <v>5960</v>
      </c>
      <c r="C131">
        <v>3405</v>
      </c>
      <c r="D131">
        <v>10895</v>
      </c>
      <c r="E131">
        <v>-1742</v>
      </c>
      <c r="F131">
        <v>-697</v>
      </c>
      <c r="G131">
        <v>10820</v>
      </c>
      <c r="H131">
        <v>-3682</v>
      </c>
      <c r="I131">
        <v>1115</v>
      </c>
      <c r="J131">
        <v>-1406</v>
      </c>
      <c r="K131">
        <v>8832</v>
      </c>
    </row>
    <row r="132" spans="2:11" x14ac:dyDescent="0.45">
      <c r="B132">
        <v>12448</v>
      </c>
      <c r="C132">
        <v>-6177</v>
      </c>
      <c r="D132">
        <v>0</v>
      </c>
      <c r="E132">
        <v>-884</v>
      </c>
      <c r="F132">
        <v>-5497</v>
      </c>
      <c r="G132">
        <v>-55455</v>
      </c>
      <c r="H132">
        <v>1159</v>
      </c>
      <c r="I132">
        <v>-21048</v>
      </c>
      <c r="J132">
        <v>2160</v>
      </c>
      <c r="K132">
        <v>2951</v>
      </c>
    </row>
    <row r="133" spans="2:11" x14ac:dyDescent="0.45">
      <c r="B133">
        <v>10043</v>
      </c>
      <c r="C133">
        <v>0</v>
      </c>
      <c r="D133">
        <v>156</v>
      </c>
      <c r="E133">
        <v>0</v>
      </c>
      <c r="F133">
        <v>5012</v>
      </c>
      <c r="G133">
        <v>0</v>
      </c>
      <c r="H133">
        <v>0</v>
      </c>
      <c r="I133">
        <v>0</v>
      </c>
      <c r="J133">
        <v>0</v>
      </c>
      <c r="K133">
        <v>-46600</v>
      </c>
    </row>
    <row r="134" spans="2:11" x14ac:dyDescent="0.45">
      <c r="B134">
        <v>9385</v>
      </c>
      <c r="C134">
        <v>10491</v>
      </c>
      <c r="D134">
        <v>80301</v>
      </c>
      <c r="E134">
        <v>0</v>
      </c>
      <c r="F134">
        <v>-7825</v>
      </c>
      <c r="G134">
        <v>19407</v>
      </c>
      <c r="H134">
        <v>-2626</v>
      </c>
      <c r="I134">
        <v>-3274</v>
      </c>
      <c r="J134">
        <v>0</v>
      </c>
      <c r="K134">
        <v>9216</v>
      </c>
    </row>
    <row r="135" spans="2:11" x14ac:dyDescent="0.45">
      <c r="B135">
        <v>5778</v>
      </c>
      <c r="C135">
        <v>81526</v>
      </c>
      <c r="D135">
        <v>-3046</v>
      </c>
      <c r="E135">
        <v>-1340</v>
      </c>
      <c r="F135">
        <v>81039</v>
      </c>
      <c r="G135">
        <v>-4970</v>
      </c>
      <c r="H135">
        <v>2660</v>
      </c>
      <c r="I135">
        <v>-3397</v>
      </c>
      <c r="J135">
        <v>20499</v>
      </c>
      <c r="K135">
        <v>63896</v>
      </c>
    </row>
    <row r="136" spans="2:11" x14ac:dyDescent="0.45">
      <c r="B136">
        <v>-9355</v>
      </c>
      <c r="C136">
        <v>0</v>
      </c>
      <c r="D136">
        <v>-2670</v>
      </c>
      <c r="E136">
        <v>-8968</v>
      </c>
      <c r="F136">
        <v>31247</v>
      </c>
      <c r="G136">
        <v>1623</v>
      </c>
      <c r="H136">
        <v>6031</v>
      </c>
      <c r="I136">
        <v>-12830</v>
      </c>
      <c r="J136">
        <v>13211</v>
      </c>
      <c r="K136">
        <v>13759</v>
      </c>
    </row>
    <row r="137" spans="2:11" x14ac:dyDescent="0.45">
      <c r="B137">
        <v>0</v>
      </c>
      <c r="C137">
        <v>1562</v>
      </c>
      <c r="D137">
        <v>0</v>
      </c>
      <c r="E137">
        <v>9556</v>
      </c>
      <c r="F137">
        <v>0</v>
      </c>
      <c r="G137">
        <v>0</v>
      </c>
      <c r="H137">
        <v>0</v>
      </c>
      <c r="I137">
        <v>0</v>
      </c>
      <c r="J137">
        <v>936</v>
      </c>
      <c r="K137">
        <v>15543</v>
      </c>
    </row>
    <row r="138" spans="2:11" x14ac:dyDescent="0.45">
      <c r="B138">
        <v>-71926</v>
      </c>
      <c r="C138">
        <v>-82067</v>
      </c>
      <c r="D138">
        <v>9365</v>
      </c>
      <c r="E138">
        <v>0</v>
      </c>
      <c r="F138">
        <v>63439</v>
      </c>
      <c r="G138">
        <v>41003</v>
      </c>
      <c r="H138">
        <v>7400</v>
      </c>
      <c r="I138">
        <v>4257</v>
      </c>
      <c r="J138">
        <v>0</v>
      </c>
      <c r="K138">
        <v>-52777</v>
      </c>
    </row>
    <row r="139" spans="2:11" x14ac:dyDescent="0.45">
      <c r="B139">
        <v>-33991</v>
      </c>
      <c r="C139">
        <v>-668</v>
      </c>
      <c r="D139">
        <v>35795</v>
      </c>
      <c r="E139">
        <v>22954</v>
      </c>
      <c r="F139">
        <v>-52</v>
      </c>
      <c r="G139">
        <v>39007</v>
      </c>
      <c r="H139">
        <v>-6602</v>
      </c>
      <c r="I139">
        <v>17263</v>
      </c>
      <c r="J139">
        <v>-30573</v>
      </c>
      <c r="K139">
        <v>-42524</v>
      </c>
    </row>
    <row r="140" spans="2:11" x14ac:dyDescent="0.45">
      <c r="B140">
        <v>52939</v>
      </c>
      <c r="C140">
        <v>0</v>
      </c>
      <c r="D140">
        <v>-6668</v>
      </c>
      <c r="E140">
        <v>63181</v>
      </c>
      <c r="F140">
        <v>37708</v>
      </c>
      <c r="G140">
        <v>-9660</v>
      </c>
      <c r="H140">
        <v>-49519</v>
      </c>
      <c r="I140">
        <v>-58501</v>
      </c>
      <c r="J140">
        <v>21824</v>
      </c>
      <c r="K140">
        <v>-26186</v>
      </c>
    </row>
    <row r="141" spans="2:11" x14ac:dyDescent="0.45">
      <c r="B141">
        <v>0</v>
      </c>
      <c r="C141">
        <v>-1063</v>
      </c>
      <c r="D141">
        <v>0</v>
      </c>
      <c r="E141">
        <v>-48243</v>
      </c>
      <c r="F141">
        <v>0</v>
      </c>
      <c r="G141">
        <v>0</v>
      </c>
      <c r="H141">
        <v>0</v>
      </c>
      <c r="I141">
        <v>0</v>
      </c>
      <c r="J141">
        <v>1490</v>
      </c>
      <c r="K141">
        <v>-8597</v>
      </c>
    </row>
    <row r="142" spans="2:11" x14ac:dyDescent="0.45">
      <c r="B142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41"/>
  <sheetViews>
    <sheetView workbookViewId="0">
      <selection activeCell="J10" sqref="J10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259</v>
      </c>
      <c r="J9">
        <v>13</v>
      </c>
    </row>
    <row r="10" spans="1:11" x14ac:dyDescent="0.45">
      <c r="A10" t="s">
        <v>237</v>
      </c>
    </row>
    <row r="11" spans="1:11" x14ac:dyDescent="0.45">
      <c r="B11">
        <v>2</v>
      </c>
      <c r="C11" t="s">
        <v>65</v>
      </c>
      <c r="D11" t="s">
        <v>64</v>
      </c>
      <c r="E11">
        <v>2.59443218487</v>
      </c>
      <c r="F11">
        <v>0.121537711752</v>
      </c>
    </row>
    <row r="12" spans="1:11" x14ac:dyDescent="0.45">
      <c r="B12">
        <v>30</v>
      </c>
      <c r="C12" t="s">
        <v>76</v>
      </c>
      <c r="D12" t="s">
        <v>64</v>
      </c>
      <c r="E12">
        <v>-0.98936486869100004</v>
      </c>
      <c r="F12">
        <v>0.31954551805600001</v>
      </c>
    </row>
    <row r="13" spans="1:11" x14ac:dyDescent="0.45">
      <c r="B13">
        <v>31</v>
      </c>
      <c r="C13" t="s">
        <v>134</v>
      </c>
      <c r="D13" t="s">
        <v>64</v>
      </c>
      <c r="E13">
        <v>1.33539482367</v>
      </c>
      <c r="F13" s="35">
        <v>7.57384490262E-2</v>
      </c>
    </row>
    <row r="14" spans="1:11" x14ac:dyDescent="0.45">
      <c r="B14">
        <v>32</v>
      </c>
      <c r="C14" t="s">
        <v>135</v>
      </c>
      <c r="D14" t="s">
        <v>64</v>
      </c>
      <c r="E14">
        <v>0.52987540495700003</v>
      </c>
      <c r="F14" s="35">
        <v>4.1777237341099997E-2</v>
      </c>
    </row>
    <row r="15" spans="1:11" x14ac:dyDescent="0.45">
      <c r="B15">
        <v>33</v>
      </c>
      <c r="C15" t="s">
        <v>136</v>
      </c>
      <c r="D15" t="s">
        <v>64</v>
      </c>
      <c r="E15" s="35">
        <v>0.27683051131000003</v>
      </c>
      <c r="F15">
        <v>0.106871305268</v>
      </c>
    </row>
    <row r="16" spans="1:11" x14ac:dyDescent="0.45">
      <c r="B16">
        <v>40</v>
      </c>
      <c r="C16" t="s">
        <v>79</v>
      </c>
      <c r="D16" t="s">
        <v>64</v>
      </c>
      <c r="E16">
        <v>-0.12564727430100001</v>
      </c>
      <c r="F16">
        <v>0.32242089310900002</v>
      </c>
    </row>
    <row r="17" spans="2:11" x14ac:dyDescent="0.4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45">
      <c r="B18">
        <v>42</v>
      </c>
      <c r="C18" t="s">
        <v>137</v>
      </c>
      <c r="D18" t="s">
        <v>64</v>
      </c>
      <c r="E18" s="35">
        <v>1.7160894484299999E-2</v>
      </c>
      <c r="F18">
        <v>0.102197155318</v>
      </c>
    </row>
    <row r="19" spans="2:11" x14ac:dyDescent="0.4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4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45">
      <c r="B21">
        <v>73</v>
      </c>
      <c r="C21" t="s">
        <v>139</v>
      </c>
      <c r="D21" t="s">
        <v>64</v>
      </c>
      <c r="E21">
        <v>-2.00293581172</v>
      </c>
      <c r="F21">
        <v>0.46528308622499998</v>
      </c>
    </row>
    <row r="22" spans="2:11" x14ac:dyDescent="0.4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45">
      <c r="B23">
        <v>81</v>
      </c>
      <c r="C23" t="s">
        <v>141</v>
      </c>
      <c r="D23" t="s">
        <v>64</v>
      </c>
      <c r="E23">
        <v>0.55040750847099995</v>
      </c>
      <c r="F23">
        <v>0.200151546352</v>
      </c>
    </row>
    <row r="24" spans="2:11" x14ac:dyDescent="0.45">
      <c r="B24">
        <v>82</v>
      </c>
      <c r="C24" t="s">
        <v>142</v>
      </c>
      <c r="D24" t="s">
        <v>64</v>
      </c>
      <c r="E24" s="35">
        <v>0.55327396092299996</v>
      </c>
      <c r="F24">
        <v>0.13971981922000001</v>
      </c>
    </row>
    <row r="25" spans="2:11" x14ac:dyDescent="0.45">
      <c r="B25">
        <v>83</v>
      </c>
      <c r="C25" t="s">
        <v>143</v>
      </c>
      <c r="D25" t="s">
        <v>64</v>
      </c>
      <c r="E25">
        <v>-3.0048826474500001</v>
      </c>
      <c r="F25">
        <v>0.93082185257600003</v>
      </c>
    </row>
    <row r="26" spans="2:11" x14ac:dyDescent="0.45">
      <c r="B26">
        <v>999</v>
      </c>
      <c r="C26" t="s">
        <v>260</v>
      </c>
      <c r="D26" t="s">
        <v>64</v>
      </c>
      <c r="E26">
        <v>0.54150419246199999</v>
      </c>
      <c r="F26" s="35">
        <v>2.7348360382299999E-2</v>
      </c>
    </row>
    <row r="27" spans="2:11" x14ac:dyDescent="0.45">
      <c r="B27">
        <v>-1</v>
      </c>
      <c r="C27" s="35"/>
      <c r="D27" s="35"/>
      <c r="E27" s="35"/>
    </row>
    <row r="28" spans="2:11" x14ac:dyDescent="0.4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45">
      <c r="B29">
        <v>14</v>
      </c>
      <c r="C29" t="s">
        <v>261</v>
      </c>
      <c r="D29" t="s">
        <v>235</v>
      </c>
      <c r="E29">
        <v>1</v>
      </c>
      <c r="F29" t="s">
        <v>259</v>
      </c>
      <c r="G29">
        <v>13</v>
      </c>
    </row>
    <row r="30" spans="2:11" x14ac:dyDescent="0.4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4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4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4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4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4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4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4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4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4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4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4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K168"/>
  <sheetViews>
    <sheetView workbookViewId="0">
      <selection activeCell="B3" sqref="B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0.46184606085000002</v>
      </c>
      <c r="F11" s="35">
        <v>7.4326487376599998E-2</v>
      </c>
    </row>
    <row r="12" spans="1:11" x14ac:dyDescent="0.45">
      <c r="B12">
        <v>2</v>
      </c>
      <c r="C12" t="s">
        <v>65</v>
      </c>
      <c r="D12" t="s">
        <v>64</v>
      </c>
      <c r="E12">
        <v>0.65961163706299997</v>
      </c>
      <c r="F12" s="35">
        <v>3.57174532657E-2</v>
      </c>
    </row>
    <row r="13" spans="1:11" x14ac:dyDescent="0.45">
      <c r="B13">
        <v>20</v>
      </c>
      <c r="C13" t="s">
        <v>69</v>
      </c>
      <c r="D13" t="s">
        <v>64</v>
      </c>
      <c r="E13">
        <v>-3.1934860859500001</v>
      </c>
      <c r="F13">
        <v>0.36431753467099998</v>
      </c>
    </row>
    <row r="14" spans="1:11" x14ac:dyDescent="0.45">
      <c r="B14">
        <v>21</v>
      </c>
      <c r="C14" t="s">
        <v>70</v>
      </c>
      <c r="D14" t="s">
        <v>64</v>
      </c>
      <c r="E14">
        <v>1.5917605661800001</v>
      </c>
      <c r="F14">
        <v>0.182769557926</v>
      </c>
    </row>
    <row r="15" spans="1:11" x14ac:dyDescent="0.45">
      <c r="B15">
        <v>30</v>
      </c>
      <c r="C15" t="s">
        <v>76</v>
      </c>
      <c r="D15" t="s">
        <v>64</v>
      </c>
      <c r="E15">
        <v>-1.78022496899</v>
      </c>
      <c r="F15">
        <v>0.159066664518</v>
      </c>
    </row>
    <row r="16" spans="1:11" x14ac:dyDescent="0.45">
      <c r="B16">
        <v>31</v>
      </c>
      <c r="C16" t="s">
        <v>154</v>
      </c>
      <c r="D16" t="s">
        <v>64</v>
      </c>
      <c r="E16">
        <v>0.51412339771600002</v>
      </c>
      <c r="F16" s="35">
        <v>8.2478811738099997E-2</v>
      </c>
    </row>
    <row r="17" spans="2:6" x14ac:dyDescent="0.45">
      <c r="B17">
        <v>32</v>
      </c>
      <c r="C17" t="s">
        <v>155</v>
      </c>
      <c r="D17" t="s">
        <v>64</v>
      </c>
      <c r="E17">
        <v>0.22481870389600001</v>
      </c>
      <c r="F17" s="35">
        <v>6.4725020359900007E-2</v>
      </c>
    </row>
    <row r="18" spans="2:6" x14ac:dyDescent="0.45">
      <c r="B18">
        <v>34</v>
      </c>
      <c r="C18" t="s">
        <v>172</v>
      </c>
      <c r="D18" t="s">
        <v>64</v>
      </c>
      <c r="E18">
        <v>0.11332032202599999</v>
      </c>
      <c r="F18" s="35">
        <v>4.5464323547000002E-2</v>
      </c>
    </row>
    <row r="19" spans="2:6" x14ac:dyDescent="0.45">
      <c r="B19">
        <v>35</v>
      </c>
      <c r="C19" t="s">
        <v>156</v>
      </c>
      <c r="D19" t="s">
        <v>64</v>
      </c>
      <c r="E19">
        <v>0.15232257376399999</v>
      </c>
      <c r="F19" s="35">
        <v>3.3780747199699999E-2</v>
      </c>
    </row>
    <row r="20" spans="2:6" x14ac:dyDescent="0.45">
      <c r="B20">
        <v>38</v>
      </c>
      <c r="C20" t="s">
        <v>157</v>
      </c>
      <c r="D20" t="s">
        <v>64</v>
      </c>
      <c r="E20">
        <v>-2.7924179320700002</v>
      </c>
      <c r="F20">
        <v>0.18268823407599999</v>
      </c>
    </row>
    <row r="21" spans="2:6" x14ac:dyDescent="0.45">
      <c r="B21">
        <v>39</v>
      </c>
      <c r="C21" t="s">
        <v>77</v>
      </c>
      <c r="D21" t="s">
        <v>64</v>
      </c>
      <c r="E21">
        <v>-2.8161782516899998</v>
      </c>
      <c r="F21">
        <v>0.130705252962</v>
      </c>
    </row>
    <row r="22" spans="2:6" x14ac:dyDescent="0.45">
      <c r="B22">
        <v>40</v>
      </c>
      <c r="C22" t="s">
        <v>79</v>
      </c>
      <c r="D22" t="s">
        <v>64</v>
      </c>
      <c r="E22">
        <v>-2.0094454428500002</v>
      </c>
      <c r="F22">
        <v>0.15878498310399999</v>
      </c>
    </row>
    <row r="23" spans="2:6" x14ac:dyDescent="0.45">
      <c r="B23">
        <v>41</v>
      </c>
      <c r="C23" t="s">
        <v>80</v>
      </c>
      <c r="D23" t="s">
        <v>64</v>
      </c>
      <c r="E23">
        <v>-1.48012105583</v>
      </c>
      <c r="F23">
        <v>0.20632039414700001</v>
      </c>
    </row>
    <row r="24" spans="2:6" x14ac:dyDescent="0.45">
      <c r="B24">
        <v>43</v>
      </c>
      <c r="C24" t="s">
        <v>173</v>
      </c>
      <c r="D24" t="s">
        <v>64</v>
      </c>
      <c r="E24" s="35">
        <v>-8.92899546287E-2</v>
      </c>
      <c r="F24">
        <v>0.137321579832</v>
      </c>
    </row>
    <row r="25" spans="2:6" x14ac:dyDescent="0.45">
      <c r="B25">
        <v>48</v>
      </c>
      <c r="C25" t="s">
        <v>78</v>
      </c>
      <c r="D25" t="s">
        <v>64</v>
      </c>
      <c r="E25">
        <v>-1.4328025129299999</v>
      </c>
      <c r="F25">
        <v>0.133715087486</v>
      </c>
    </row>
    <row r="26" spans="2:6" x14ac:dyDescent="0.45">
      <c r="B26">
        <v>50</v>
      </c>
      <c r="C26" t="s">
        <v>84</v>
      </c>
      <c r="D26" t="s">
        <v>64</v>
      </c>
      <c r="E26">
        <v>-0.461309408531</v>
      </c>
      <c r="F26">
        <v>0.112940823683</v>
      </c>
    </row>
    <row r="27" spans="2:6" x14ac:dyDescent="0.45">
      <c r="B27">
        <v>52</v>
      </c>
      <c r="C27" t="s">
        <v>85</v>
      </c>
      <c r="D27" t="s">
        <v>64</v>
      </c>
      <c r="E27">
        <v>-0.79057828054699997</v>
      </c>
      <c r="F27" s="35">
        <v>9.1545835750600005E-2</v>
      </c>
    </row>
    <row r="28" spans="2:6" x14ac:dyDescent="0.45">
      <c r="B28">
        <v>54</v>
      </c>
      <c r="C28" t="s">
        <v>174</v>
      </c>
      <c r="D28" t="s">
        <v>64</v>
      </c>
      <c r="E28" s="35">
        <v>7.4242773487299997E-3</v>
      </c>
      <c r="F28">
        <v>0.123737072552</v>
      </c>
    </row>
    <row r="29" spans="2:6" x14ac:dyDescent="0.45">
      <c r="B29">
        <v>60</v>
      </c>
      <c r="C29" t="s">
        <v>89</v>
      </c>
      <c r="D29" t="s">
        <v>64</v>
      </c>
      <c r="E29">
        <v>-4.4410848396300002</v>
      </c>
      <c r="F29">
        <v>0.360616471386</v>
      </c>
    </row>
    <row r="30" spans="2:6" x14ac:dyDescent="0.45">
      <c r="B30">
        <v>61</v>
      </c>
      <c r="C30" t="s">
        <v>90</v>
      </c>
      <c r="D30" t="s">
        <v>64</v>
      </c>
      <c r="E30">
        <v>0.614663848254</v>
      </c>
      <c r="F30">
        <v>0.19703563410200001</v>
      </c>
    </row>
    <row r="31" spans="2:6" x14ac:dyDescent="0.45">
      <c r="B31">
        <v>63</v>
      </c>
      <c r="C31" t="s">
        <v>159</v>
      </c>
      <c r="D31" t="s">
        <v>64</v>
      </c>
      <c r="E31">
        <v>-0.87809104489900003</v>
      </c>
      <c r="F31">
        <v>0.25115235263000002</v>
      </c>
    </row>
    <row r="32" spans="2:6" x14ac:dyDescent="0.45">
      <c r="B32">
        <v>73</v>
      </c>
      <c r="C32" t="s">
        <v>139</v>
      </c>
      <c r="D32" t="s">
        <v>64</v>
      </c>
      <c r="E32" s="35">
        <v>-8.2669199618100001E-2</v>
      </c>
      <c r="F32" s="35">
        <v>9.2527875377600002E-2</v>
      </c>
    </row>
    <row r="33" spans="2:6" x14ac:dyDescent="0.45">
      <c r="B33">
        <v>120</v>
      </c>
      <c r="C33" t="s">
        <v>175</v>
      </c>
      <c r="D33" t="s">
        <v>64</v>
      </c>
      <c r="E33">
        <v>-0.40759393652199999</v>
      </c>
      <c r="F33">
        <v>0.16284307180900001</v>
      </c>
    </row>
    <row r="34" spans="2:6" x14ac:dyDescent="0.45">
      <c r="B34">
        <v>124</v>
      </c>
      <c r="C34" t="s">
        <v>161</v>
      </c>
      <c r="D34" t="s">
        <v>64</v>
      </c>
      <c r="E34">
        <v>0.22849027283199999</v>
      </c>
      <c r="F34">
        <v>0.34013272862600002</v>
      </c>
    </row>
    <row r="35" spans="2:6" x14ac:dyDescent="0.45">
      <c r="B35">
        <v>128</v>
      </c>
      <c r="C35" t="s">
        <v>163</v>
      </c>
      <c r="D35" t="s">
        <v>64</v>
      </c>
      <c r="E35" s="35">
        <v>4.0664487494199999E-5</v>
      </c>
      <c r="F35" s="35">
        <v>5.8556062497599999E-6</v>
      </c>
    </row>
    <row r="36" spans="2:6" x14ac:dyDescent="0.4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45">
      <c r="B37">
        <v>132</v>
      </c>
      <c r="C37" t="s">
        <v>96</v>
      </c>
      <c r="D37" t="s">
        <v>64</v>
      </c>
      <c r="E37">
        <v>0.20969220422099999</v>
      </c>
      <c r="F37" s="35">
        <v>4.9885146709800002E-2</v>
      </c>
    </row>
    <row r="38" spans="2:6" x14ac:dyDescent="0.4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45">
      <c r="B39">
        <v>134</v>
      </c>
      <c r="C39" t="s">
        <v>98</v>
      </c>
      <c r="D39" t="s">
        <v>64</v>
      </c>
      <c r="E39">
        <v>0.29636782425199998</v>
      </c>
      <c r="F39" s="35">
        <v>5.10788332025E-2</v>
      </c>
    </row>
    <row r="40" spans="2:6" x14ac:dyDescent="0.45">
      <c r="B40">
        <v>136</v>
      </c>
      <c r="C40" t="s">
        <v>176</v>
      </c>
      <c r="D40" t="s">
        <v>64</v>
      </c>
      <c r="E40" s="35">
        <v>-4.3232317637700003E-2</v>
      </c>
      <c r="F40" s="35">
        <v>9.22378391051E-2</v>
      </c>
    </row>
    <row r="41" spans="2:6" x14ac:dyDescent="0.45">
      <c r="B41">
        <v>137</v>
      </c>
      <c r="C41" t="s">
        <v>177</v>
      </c>
      <c r="D41" t="s">
        <v>64</v>
      </c>
      <c r="E41">
        <v>1.3197710740099999</v>
      </c>
      <c r="F41">
        <v>0.138120133182</v>
      </c>
    </row>
    <row r="42" spans="2:6" x14ac:dyDescent="0.45">
      <c r="B42">
        <v>138</v>
      </c>
      <c r="C42" t="s">
        <v>178</v>
      </c>
      <c r="D42" t="s">
        <v>64</v>
      </c>
      <c r="E42">
        <v>0.46798410365199999</v>
      </c>
      <c r="F42" s="35">
        <v>9.1582777661300005E-2</v>
      </c>
    </row>
    <row r="43" spans="2:6" x14ac:dyDescent="0.4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4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4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4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45">
      <c r="B47">
        <v>164</v>
      </c>
      <c r="C47" t="s">
        <v>102</v>
      </c>
      <c r="D47" t="s">
        <v>64</v>
      </c>
      <c r="E47">
        <v>0.12061822421899999</v>
      </c>
      <c r="F47">
        <v>0.44489167615000003</v>
      </c>
    </row>
    <row r="48" spans="2:6" x14ac:dyDescent="0.45">
      <c r="B48">
        <v>165</v>
      </c>
      <c r="C48" t="s">
        <v>180</v>
      </c>
      <c r="D48" t="s">
        <v>64</v>
      </c>
      <c r="E48" s="35">
        <v>2.0963293927600001E-4</v>
      </c>
      <c r="F48" s="35">
        <v>7.62851190323E-5</v>
      </c>
    </row>
    <row r="49" spans="2:6" x14ac:dyDescent="0.45">
      <c r="B49">
        <v>168</v>
      </c>
      <c r="C49" t="s">
        <v>103</v>
      </c>
      <c r="D49" t="s">
        <v>64</v>
      </c>
      <c r="E49" s="35">
        <v>-2.9531002106099999E-6</v>
      </c>
      <c r="F49" s="35">
        <v>1.30015078683E-5</v>
      </c>
    </row>
    <row r="50" spans="2:6" x14ac:dyDescent="0.4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45">
      <c r="B51">
        <v>171</v>
      </c>
      <c r="C51" t="s">
        <v>181</v>
      </c>
      <c r="D51" t="s">
        <v>64</v>
      </c>
      <c r="E51">
        <v>1.10874798884</v>
      </c>
      <c r="F51">
        <v>0.15703122009699999</v>
      </c>
    </row>
    <row r="52" spans="2:6" x14ac:dyDescent="0.45">
      <c r="B52">
        <v>172</v>
      </c>
      <c r="C52" t="s">
        <v>182</v>
      </c>
      <c r="D52" t="s">
        <v>64</v>
      </c>
      <c r="E52">
        <v>2.0996029740900002</v>
      </c>
      <c r="F52">
        <v>0.14331732884100001</v>
      </c>
    </row>
    <row r="53" spans="2:6" x14ac:dyDescent="0.45">
      <c r="B53">
        <v>175</v>
      </c>
      <c r="C53" t="s">
        <v>183</v>
      </c>
      <c r="D53" t="s">
        <v>64</v>
      </c>
      <c r="E53" s="35">
        <v>1.37939187897E-4</v>
      </c>
      <c r="F53" s="35">
        <v>4.8952507234399999E-5</v>
      </c>
    </row>
    <row r="54" spans="2:6" x14ac:dyDescent="0.45">
      <c r="B54">
        <v>178</v>
      </c>
      <c r="C54" t="s">
        <v>184</v>
      </c>
      <c r="D54" t="s">
        <v>64</v>
      </c>
      <c r="E54" s="35">
        <v>-6.1957253739600003E-6</v>
      </c>
      <c r="F54" s="35">
        <v>4.64771480534E-5</v>
      </c>
    </row>
    <row r="55" spans="2:6" x14ac:dyDescent="0.45">
      <c r="B55">
        <v>201</v>
      </c>
      <c r="C55" t="s">
        <v>246</v>
      </c>
      <c r="D55" t="s">
        <v>73</v>
      </c>
      <c r="E55">
        <v>-4.5</v>
      </c>
      <c r="F55" s="35">
        <v>0</v>
      </c>
    </row>
    <row r="56" spans="2:6" x14ac:dyDescent="0.45">
      <c r="B56">
        <v>202</v>
      </c>
      <c r="C56" t="s">
        <v>247</v>
      </c>
      <c r="D56" t="s">
        <v>73</v>
      </c>
      <c r="E56">
        <v>-4.5</v>
      </c>
      <c r="F56">
        <v>0</v>
      </c>
    </row>
    <row r="57" spans="2:6" x14ac:dyDescent="0.45">
      <c r="B57">
        <v>203</v>
      </c>
      <c r="C57" s="35" t="s">
        <v>248</v>
      </c>
      <c r="D57" s="35" t="s">
        <v>73</v>
      </c>
      <c r="E57" s="35">
        <v>0</v>
      </c>
      <c r="F57">
        <v>0</v>
      </c>
    </row>
    <row r="58" spans="2:6" x14ac:dyDescent="0.45">
      <c r="B58">
        <v>204</v>
      </c>
      <c r="C58" t="s">
        <v>249</v>
      </c>
      <c r="D58" t="s">
        <v>73</v>
      </c>
      <c r="E58">
        <v>0</v>
      </c>
      <c r="F58">
        <v>0</v>
      </c>
    </row>
    <row r="59" spans="2:6" x14ac:dyDescent="0.45">
      <c r="B59">
        <v>205</v>
      </c>
      <c r="C59" t="s">
        <v>250</v>
      </c>
      <c r="D59" t="s">
        <v>73</v>
      </c>
      <c r="E59">
        <v>0</v>
      </c>
      <c r="F59">
        <v>0</v>
      </c>
    </row>
    <row r="60" spans="2:6" x14ac:dyDescent="0.45">
      <c r="B60">
        <v>206</v>
      </c>
      <c r="C60" t="s">
        <v>251</v>
      </c>
      <c r="D60" t="s">
        <v>73</v>
      </c>
      <c r="E60">
        <v>0</v>
      </c>
      <c r="F60">
        <v>0</v>
      </c>
    </row>
    <row r="61" spans="2:6" x14ac:dyDescent="0.45">
      <c r="B61">
        <v>207</v>
      </c>
      <c r="C61" t="s">
        <v>252</v>
      </c>
      <c r="D61" t="s">
        <v>73</v>
      </c>
      <c r="E61">
        <v>0</v>
      </c>
      <c r="F61">
        <v>0</v>
      </c>
    </row>
    <row r="62" spans="2:6" x14ac:dyDescent="0.45">
      <c r="B62">
        <v>208</v>
      </c>
      <c r="C62" t="s">
        <v>253</v>
      </c>
      <c r="D62" t="s">
        <v>73</v>
      </c>
      <c r="E62">
        <v>0</v>
      </c>
      <c r="F62">
        <v>0</v>
      </c>
    </row>
    <row r="63" spans="2:6" x14ac:dyDescent="0.45">
      <c r="B63">
        <v>209</v>
      </c>
      <c r="C63" t="s">
        <v>254</v>
      </c>
      <c r="D63" t="s">
        <v>73</v>
      </c>
      <c r="E63">
        <v>0</v>
      </c>
      <c r="F63">
        <v>0</v>
      </c>
    </row>
    <row r="64" spans="2:6" x14ac:dyDescent="0.45">
      <c r="B64">
        <v>210</v>
      </c>
      <c r="C64" t="s">
        <v>255</v>
      </c>
      <c r="D64" t="s">
        <v>73</v>
      </c>
      <c r="E64">
        <v>0</v>
      </c>
      <c r="F64">
        <v>0</v>
      </c>
    </row>
    <row r="65" spans="2:11" x14ac:dyDescent="0.45">
      <c r="B65">
        <v>211</v>
      </c>
      <c r="C65" t="s">
        <v>256</v>
      </c>
      <c r="D65" t="s">
        <v>73</v>
      </c>
      <c r="E65">
        <v>0</v>
      </c>
      <c r="F65">
        <v>0</v>
      </c>
    </row>
    <row r="66" spans="2:11" x14ac:dyDescent="0.45">
      <c r="B66">
        <v>99</v>
      </c>
      <c r="C66" t="s">
        <v>106</v>
      </c>
      <c r="D66" t="s">
        <v>64</v>
      </c>
      <c r="E66">
        <v>0.87615014565899996</v>
      </c>
      <c r="F66" s="35">
        <v>4.6027559906999999E-2</v>
      </c>
    </row>
    <row r="67" spans="2:11" x14ac:dyDescent="0.45">
      <c r="B67">
        <v>-1</v>
      </c>
    </row>
    <row r="68" spans="2:11" x14ac:dyDescent="0.45">
      <c r="B68">
        <v>8060</v>
      </c>
      <c r="C68" s="35">
        <v>-10930.082431500001</v>
      </c>
      <c r="D68" s="35">
        <v>-13318.5283795</v>
      </c>
      <c r="E68" s="35">
        <v>-7668.86425667</v>
      </c>
    </row>
    <row r="69" spans="2:11" x14ac:dyDescent="0.45">
      <c r="B69">
        <v>8</v>
      </c>
      <c r="C69" t="s">
        <v>262</v>
      </c>
      <c r="D69" t="s">
        <v>235</v>
      </c>
      <c r="E69">
        <v>6</v>
      </c>
      <c r="F69" t="s">
        <v>236</v>
      </c>
      <c r="G69">
        <v>17</v>
      </c>
    </row>
    <row r="70" spans="2:11" x14ac:dyDescent="0.45">
      <c r="B70">
        <v>28140</v>
      </c>
      <c r="C70">
        <v>-15227</v>
      </c>
      <c r="D70">
        <v>-40220</v>
      </c>
      <c r="E70">
        <v>21470</v>
      </c>
      <c r="F70">
        <v>36603</v>
      </c>
      <c r="G70">
        <v>-41982</v>
      </c>
      <c r="H70">
        <v>-21064</v>
      </c>
      <c r="I70">
        <v>-51250</v>
      </c>
      <c r="J70">
        <v>34768</v>
      </c>
      <c r="K70">
        <v>-25411</v>
      </c>
    </row>
    <row r="71" spans="2:11" x14ac:dyDescent="0.45">
      <c r="B71">
        <v>16035</v>
      </c>
      <c r="C71">
        <v>39482</v>
      </c>
      <c r="D71">
        <v>-23241</v>
      </c>
      <c r="E71">
        <v>22761</v>
      </c>
      <c r="F71">
        <v>-44693</v>
      </c>
      <c r="G71">
        <v>11356</v>
      </c>
      <c r="H71">
        <v>24776</v>
      </c>
      <c r="I71">
        <v>-15547</v>
      </c>
      <c r="J71">
        <v>15512</v>
      </c>
      <c r="K71">
        <v>-35264</v>
      </c>
    </row>
    <row r="72" spans="2:11" x14ac:dyDescent="0.45">
      <c r="B72">
        <v>7082</v>
      </c>
      <c r="C72">
        <v>4644</v>
      </c>
      <c r="D72">
        <v>7842</v>
      </c>
      <c r="E72">
        <v>-2919</v>
      </c>
      <c r="F72">
        <v>4071</v>
      </c>
      <c r="G72">
        <v>-32729</v>
      </c>
      <c r="H72">
        <v>11307</v>
      </c>
      <c r="I72">
        <v>12219</v>
      </c>
      <c r="J72">
        <v>10946</v>
      </c>
      <c r="K72">
        <v>11455</v>
      </c>
    </row>
    <row r="73" spans="2:11" x14ac:dyDescent="0.45">
      <c r="B73">
        <v>-10323</v>
      </c>
      <c r="C73">
        <v>13051</v>
      </c>
      <c r="D73">
        <v>-32039</v>
      </c>
      <c r="E73">
        <v>24641</v>
      </c>
      <c r="F73">
        <v>17909</v>
      </c>
      <c r="G73">
        <v>-5481</v>
      </c>
      <c r="H73">
        <v>-18684</v>
      </c>
      <c r="I73">
        <v>-37660</v>
      </c>
      <c r="J73">
        <v>22496</v>
      </c>
      <c r="K73">
        <v>-22084</v>
      </c>
    </row>
    <row r="74" spans="2:11" x14ac:dyDescent="0.45">
      <c r="B74">
        <v>8329</v>
      </c>
      <c r="C74">
        <v>-12534</v>
      </c>
      <c r="D74">
        <v>-5821</v>
      </c>
      <c r="E74">
        <v>10265</v>
      </c>
      <c r="F74">
        <v>-18346</v>
      </c>
      <c r="G74">
        <v>-5860</v>
      </c>
      <c r="H74">
        <v>-10265</v>
      </c>
      <c r="I74">
        <v>6084</v>
      </c>
      <c r="J74">
        <v>-6247</v>
      </c>
      <c r="K74">
        <v>-5135</v>
      </c>
    </row>
    <row r="75" spans="2:11" x14ac:dyDescent="0.45">
      <c r="B75">
        <v>2022</v>
      </c>
      <c r="C75">
        <v>2825</v>
      </c>
      <c r="D75">
        <v>-3200</v>
      </c>
      <c r="E75">
        <v>-4801</v>
      </c>
      <c r="F75">
        <v>17531</v>
      </c>
      <c r="G75">
        <v>-21978</v>
      </c>
      <c r="H75">
        <v>-55084</v>
      </c>
      <c r="I75">
        <v>37237</v>
      </c>
      <c r="J75">
        <v>-27836</v>
      </c>
      <c r="K75">
        <v>94896</v>
      </c>
    </row>
    <row r="76" spans="2:11" x14ac:dyDescent="0.45">
      <c r="B76">
        <v>-43186</v>
      </c>
      <c r="C76">
        <v>-33549</v>
      </c>
      <c r="D76">
        <v>-34207</v>
      </c>
      <c r="E76">
        <v>-34047</v>
      </c>
      <c r="F76">
        <v>17979</v>
      </c>
      <c r="G76">
        <v>6703</v>
      </c>
      <c r="H76">
        <v>-9746</v>
      </c>
      <c r="I76">
        <v>-31676</v>
      </c>
      <c r="J76">
        <v>12375</v>
      </c>
      <c r="K76">
        <v>12408</v>
      </c>
    </row>
    <row r="77" spans="2:11" x14ac:dyDescent="0.45">
      <c r="B77">
        <v>11695</v>
      </c>
      <c r="C77">
        <v>-14701</v>
      </c>
      <c r="D77">
        <v>-9163</v>
      </c>
      <c r="E77">
        <v>-4164</v>
      </c>
      <c r="F77">
        <v>-8763</v>
      </c>
      <c r="G77">
        <v>5694</v>
      </c>
      <c r="H77">
        <v>3813</v>
      </c>
      <c r="I77">
        <v>13185</v>
      </c>
      <c r="J77">
        <v>-4289</v>
      </c>
      <c r="K77">
        <v>-4538</v>
      </c>
    </row>
    <row r="78" spans="2:11" x14ac:dyDescent="0.45">
      <c r="B78">
        <v>2688</v>
      </c>
      <c r="C78">
        <v>-1920</v>
      </c>
      <c r="D78">
        <v>-15075</v>
      </c>
      <c r="E78">
        <v>967</v>
      </c>
      <c r="F78">
        <v>9930</v>
      </c>
      <c r="G78">
        <v>32107</v>
      </c>
      <c r="H78">
        <v>466</v>
      </c>
      <c r="I78">
        <v>11239</v>
      </c>
      <c r="J78">
        <v>-730</v>
      </c>
      <c r="K78">
        <v>-15544</v>
      </c>
    </row>
    <row r="79" spans="2:11" x14ac:dyDescent="0.45">
      <c r="B79">
        <v>7303</v>
      </c>
      <c r="C79">
        <v>-18427</v>
      </c>
      <c r="D79">
        <v>-43719</v>
      </c>
      <c r="E79">
        <v>26281</v>
      </c>
      <c r="F79">
        <v>-25384</v>
      </c>
      <c r="G79">
        <v>15408</v>
      </c>
      <c r="H79">
        <v>-17299</v>
      </c>
      <c r="I79">
        <v>-8898</v>
      </c>
      <c r="J79">
        <v>16090</v>
      </c>
      <c r="K79">
        <v>-21480</v>
      </c>
    </row>
    <row r="80" spans="2:11" x14ac:dyDescent="0.45">
      <c r="B80">
        <v>50073</v>
      </c>
      <c r="C80">
        <v>9352</v>
      </c>
      <c r="D80">
        <v>16330</v>
      </c>
      <c r="E80">
        <v>5156</v>
      </c>
      <c r="F80">
        <v>15543</v>
      </c>
      <c r="G80">
        <v>-4926</v>
      </c>
      <c r="H80">
        <v>-33805</v>
      </c>
      <c r="I80">
        <v>27088</v>
      </c>
      <c r="J80">
        <v>-10292</v>
      </c>
      <c r="K80">
        <v>56185</v>
      </c>
    </row>
    <row r="81" spans="2:11" x14ac:dyDescent="0.45">
      <c r="B81">
        <v>-12315</v>
      </c>
      <c r="C81">
        <v>-9995</v>
      </c>
      <c r="D81">
        <v>-585</v>
      </c>
      <c r="E81">
        <v>21735</v>
      </c>
      <c r="F81">
        <v>7915</v>
      </c>
      <c r="G81">
        <v>3018</v>
      </c>
      <c r="H81">
        <v>57397</v>
      </c>
      <c r="I81">
        <v>-668</v>
      </c>
      <c r="J81">
        <v>-5757</v>
      </c>
      <c r="K81">
        <v>8708</v>
      </c>
    </row>
    <row r="82" spans="2:11" x14ac:dyDescent="0.45">
      <c r="B82">
        <v>-17998</v>
      </c>
      <c r="C82">
        <v>-40901</v>
      </c>
      <c r="D82">
        <v>22721</v>
      </c>
      <c r="E82">
        <v>-24067</v>
      </c>
      <c r="F82">
        <v>24464</v>
      </c>
      <c r="G82">
        <v>-29170</v>
      </c>
      <c r="H82">
        <v>-14298</v>
      </c>
      <c r="I82">
        <v>-7</v>
      </c>
      <c r="J82">
        <v>-19261</v>
      </c>
      <c r="K82">
        <v>16018</v>
      </c>
    </row>
    <row r="83" spans="2:11" x14ac:dyDescent="0.45">
      <c r="B83">
        <v>3401</v>
      </c>
      <c r="C83">
        <v>25534</v>
      </c>
      <c r="D83">
        <v>21737</v>
      </c>
      <c r="E83">
        <v>24255</v>
      </c>
      <c r="F83">
        <v>18810</v>
      </c>
      <c r="G83">
        <v>-13556</v>
      </c>
      <c r="H83">
        <v>1682</v>
      </c>
      <c r="I83">
        <v>2020</v>
      </c>
      <c r="J83">
        <v>-968</v>
      </c>
      <c r="K83">
        <v>940</v>
      </c>
    </row>
    <row r="84" spans="2:11" x14ac:dyDescent="0.45">
      <c r="B84">
        <v>-3895</v>
      </c>
      <c r="C84">
        <v>436</v>
      </c>
      <c r="D84">
        <v>14</v>
      </c>
      <c r="E84">
        <v>5619</v>
      </c>
      <c r="F84">
        <v>-2105</v>
      </c>
      <c r="G84">
        <v>6832</v>
      </c>
      <c r="H84">
        <v>372</v>
      </c>
      <c r="I84">
        <v>-3704</v>
      </c>
      <c r="J84">
        <v>-2215</v>
      </c>
      <c r="K84">
        <v>3458</v>
      </c>
    </row>
    <row r="85" spans="2:11" x14ac:dyDescent="0.45">
      <c r="B85">
        <v>9230</v>
      </c>
      <c r="C85">
        <v>-9179</v>
      </c>
      <c r="D85">
        <v>-4211</v>
      </c>
      <c r="E85">
        <v>-11951</v>
      </c>
      <c r="F85">
        <v>-31767</v>
      </c>
      <c r="G85">
        <v>20592</v>
      </c>
      <c r="H85">
        <v>-16727</v>
      </c>
      <c r="I85">
        <v>26120</v>
      </c>
      <c r="J85">
        <v>-15875</v>
      </c>
      <c r="K85">
        <v>-8997</v>
      </c>
    </row>
    <row r="86" spans="2:11" x14ac:dyDescent="0.45">
      <c r="B86">
        <v>-3599</v>
      </c>
      <c r="C86">
        <v>-5920</v>
      </c>
      <c r="D86">
        <v>15169</v>
      </c>
      <c r="E86">
        <v>4190</v>
      </c>
      <c r="F86">
        <v>27758</v>
      </c>
      <c r="G86">
        <v>11452</v>
      </c>
      <c r="H86">
        <v>1333</v>
      </c>
      <c r="I86">
        <v>17590</v>
      </c>
      <c r="J86">
        <v>20481</v>
      </c>
      <c r="K86">
        <v>16902</v>
      </c>
    </row>
    <row r="87" spans="2:11" x14ac:dyDescent="0.45">
      <c r="B87">
        <v>-857</v>
      </c>
      <c r="C87">
        <v>167</v>
      </c>
      <c r="D87">
        <v>826</v>
      </c>
      <c r="E87">
        <v>57</v>
      </c>
      <c r="F87">
        <v>276</v>
      </c>
      <c r="G87">
        <v>-223</v>
      </c>
      <c r="H87">
        <v>335</v>
      </c>
      <c r="I87">
        <v>730</v>
      </c>
      <c r="J87">
        <v>264</v>
      </c>
      <c r="K87">
        <v>111</v>
      </c>
    </row>
    <row r="88" spans="2:11" x14ac:dyDescent="0.45">
      <c r="B88">
        <v>-418</v>
      </c>
      <c r="C88">
        <v>-72</v>
      </c>
      <c r="D88">
        <v>-249</v>
      </c>
      <c r="E88">
        <v>-70</v>
      </c>
      <c r="F88">
        <v>183</v>
      </c>
      <c r="G88">
        <v>-525</v>
      </c>
      <c r="H88">
        <v>220</v>
      </c>
      <c r="I88">
        <v>-290</v>
      </c>
      <c r="J88">
        <v>-551</v>
      </c>
      <c r="K88">
        <v>-32883</v>
      </c>
    </row>
    <row r="89" spans="2:11" x14ac:dyDescent="0.45">
      <c r="B89">
        <v>-4860</v>
      </c>
      <c r="C89">
        <v>-10950</v>
      </c>
      <c r="D89">
        <v>8201</v>
      </c>
      <c r="E89">
        <v>-7354</v>
      </c>
      <c r="F89">
        <v>9755</v>
      </c>
      <c r="G89">
        <v>-9735</v>
      </c>
      <c r="H89">
        <v>-7803</v>
      </c>
      <c r="I89">
        <v>2320</v>
      </c>
      <c r="J89">
        <v>-3940</v>
      </c>
      <c r="K89">
        <v>7380</v>
      </c>
    </row>
    <row r="90" spans="2:11" x14ac:dyDescent="0.45">
      <c r="B90">
        <v>2313</v>
      </c>
      <c r="C90">
        <v>10732</v>
      </c>
      <c r="D90">
        <v>3208</v>
      </c>
      <c r="E90">
        <v>-108</v>
      </c>
      <c r="F90">
        <v>8488</v>
      </c>
      <c r="G90">
        <v>8336</v>
      </c>
      <c r="H90">
        <v>5526</v>
      </c>
      <c r="I90">
        <v>859</v>
      </c>
      <c r="J90">
        <v>-17792</v>
      </c>
      <c r="K90">
        <v>317</v>
      </c>
    </row>
    <row r="91" spans="2:11" x14ac:dyDescent="0.45">
      <c r="B91">
        <v>-2271</v>
      </c>
      <c r="C91">
        <v>-835</v>
      </c>
      <c r="D91">
        <v>12860</v>
      </c>
      <c r="E91">
        <v>-4787</v>
      </c>
      <c r="F91">
        <v>23822</v>
      </c>
      <c r="G91">
        <v>-11169</v>
      </c>
      <c r="H91">
        <v>-9640</v>
      </c>
      <c r="I91">
        <v>8190</v>
      </c>
      <c r="J91">
        <v>1631</v>
      </c>
      <c r="K91">
        <v>4059</v>
      </c>
    </row>
    <row r="92" spans="2:11" x14ac:dyDescent="0.45">
      <c r="B92">
        <v>1878</v>
      </c>
      <c r="C92">
        <v>24732</v>
      </c>
      <c r="D92">
        <v>-3890</v>
      </c>
      <c r="E92">
        <v>-2739</v>
      </c>
      <c r="F92">
        <v>4429</v>
      </c>
      <c r="G92">
        <v>37966</v>
      </c>
      <c r="H92">
        <v>-2753</v>
      </c>
      <c r="I92">
        <v>3468</v>
      </c>
      <c r="J92">
        <v>7473</v>
      </c>
      <c r="K92">
        <v>-208</v>
      </c>
    </row>
    <row r="93" spans="2:11" x14ac:dyDescent="0.45">
      <c r="B93">
        <v>17023</v>
      </c>
      <c r="C93">
        <v>-2888</v>
      </c>
      <c r="D93">
        <v>-9803</v>
      </c>
      <c r="E93">
        <v>-8130</v>
      </c>
      <c r="F93">
        <v>-14617</v>
      </c>
      <c r="G93">
        <v>-317</v>
      </c>
      <c r="H93">
        <v>-6386</v>
      </c>
      <c r="I93">
        <v>-4567</v>
      </c>
      <c r="J93">
        <v>-792</v>
      </c>
      <c r="K93">
        <v>-5082</v>
      </c>
    </row>
    <row r="94" spans="2:11" x14ac:dyDescent="0.45">
      <c r="B94">
        <v>5620</v>
      </c>
      <c r="C94">
        <v>1621</v>
      </c>
      <c r="D94">
        <v>347</v>
      </c>
      <c r="E94">
        <v>3537</v>
      </c>
      <c r="F94">
        <v>952</v>
      </c>
      <c r="G94">
        <v>6550</v>
      </c>
      <c r="H94">
        <v>-5830</v>
      </c>
      <c r="I94">
        <v>7810</v>
      </c>
      <c r="J94">
        <v>1096</v>
      </c>
      <c r="K94">
        <v>3712</v>
      </c>
    </row>
    <row r="95" spans="2:11" x14ac:dyDescent="0.45">
      <c r="B95">
        <v>-79</v>
      </c>
      <c r="C95">
        <v>1939</v>
      </c>
      <c r="D95">
        <v>106</v>
      </c>
      <c r="E95">
        <v>-5508</v>
      </c>
      <c r="F95">
        <v>2392</v>
      </c>
      <c r="G95">
        <v>-81451</v>
      </c>
      <c r="H95">
        <v>11565</v>
      </c>
      <c r="I95">
        <v>-994</v>
      </c>
      <c r="J95">
        <v>2290</v>
      </c>
      <c r="K95">
        <v>1311</v>
      </c>
    </row>
    <row r="96" spans="2:11" x14ac:dyDescent="0.45">
      <c r="B96">
        <v>-485</v>
      </c>
      <c r="C96">
        <v>3489</v>
      </c>
      <c r="D96">
        <v>-2924</v>
      </c>
      <c r="E96">
        <v>-457</v>
      </c>
      <c r="F96">
        <v>-1324</v>
      </c>
      <c r="G96">
        <v>2099</v>
      </c>
      <c r="H96">
        <v>250</v>
      </c>
      <c r="I96">
        <v>-3878</v>
      </c>
      <c r="J96">
        <v>1306</v>
      </c>
      <c r="K96">
        <v>-2838</v>
      </c>
    </row>
    <row r="97" spans="2:11" x14ac:dyDescent="0.45">
      <c r="B97">
        <v>-173</v>
      </c>
      <c r="C97">
        <v>-2327</v>
      </c>
      <c r="D97">
        <v>-431</v>
      </c>
      <c r="E97">
        <v>-663</v>
      </c>
      <c r="F97">
        <v>-533</v>
      </c>
      <c r="G97">
        <v>-175</v>
      </c>
      <c r="H97">
        <v>-17843</v>
      </c>
      <c r="I97">
        <v>26977</v>
      </c>
      <c r="J97">
        <v>-38939</v>
      </c>
      <c r="K97">
        <v>11294</v>
      </c>
    </row>
    <row r="98" spans="2:11" x14ac:dyDescent="0.45">
      <c r="B98">
        <v>-10938</v>
      </c>
      <c r="C98">
        <v>16699</v>
      </c>
      <c r="D98">
        <v>9550</v>
      </c>
      <c r="E98">
        <v>2702</v>
      </c>
      <c r="F98">
        <v>13165</v>
      </c>
      <c r="G98">
        <v>-15347</v>
      </c>
      <c r="H98">
        <v>-3630</v>
      </c>
      <c r="I98">
        <v>-12929</v>
      </c>
      <c r="J98">
        <v>-20391</v>
      </c>
      <c r="K98">
        <v>-1147</v>
      </c>
    </row>
    <row r="99" spans="2:11" x14ac:dyDescent="0.45">
      <c r="B99">
        <v>-19380</v>
      </c>
      <c r="C99">
        <v>3297</v>
      </c>
      <c r="D99">
        <v>-19064</v>
      </c>
      <c r="E99">
        <v>-84</v>
      </c>
      <c r="F99">
        <v>-11000</v>
      </c>
      <c r="G99">
        <v>262</v>
      </c>
      <c r="H99">
        <v>-4164</v>
      </c>
      <c r="I99">
        <v>2791</v>
      </c>
      <c r="J99">
        <v>2402</v>
      </c>
      <c r="K99">
        <v>21747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10425</v>
      </c>
      <c r="H102">
        <v>18433</v>
      </c>
      <c r="I102">
        <v>-10139</v>
      </c>
      <c r="J102">
        <v>10228</v>
      </c>
      <c r="K102">
        <v>-22400</v>
      </c>
    </row>
    <row r="103" spans="2:11" x14ac:dyDescent="0.45">
      <c r="B103">
        <v>13085</v>
      </c>
      <c r="C103">
        <v>9111</v>
      </c>
      <c r="D103">
        <v>3263</v>
      </c>
      <c r="E103">
        <v>9178</v>
      </c>
      <c r="F103">
        <v>-10684</v>
      </c>
      <c r="G103">
        <v>-2705</v>
      </c>
      <c r="H103">
        <v>-23434</v>
      </c>
      <c r="I103">
        <v>-14300</v>
      </c>
      <c r="J103">
        <v>-1173</v>
      </c>
      <c r="K103">
        <v>-12392</v>
      </c>
    </row>
    <row r="104" spans="2:11" x14ac:dyDescent="0.45">
      <c r="B104">
        <v>-24960</v>
      </c>
      <c r="C104">
        <v>-9555</v>
      </c>
      <c r="D104">
        <v>-2146</v>
      </c>
      <c r="E104">
        <v>-7034</v>
      </c>
      <c r="F104">
        <v>-821</v>
      </c>
      <c r="G104">
        <v>-2229</v>
      </c>
      <c r="H104">
        <v>1230</v>
      </c>
      <c r="I104">
        <v>-2859</v>
      </c>
      <c r="J104">
        <v>2272</v>
      </c>
      <c r="K104">
        <v>10647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12405</v>
      </c>
      <c r="K107">
        <v>24713</v>
      </c>
    </row>
    <row r="108" spans="2:11" x14ac:dyDescent="0.45">
      <c r="B108">
        <v>-13750</v>
      </c>
      <c r="C108">
        <v>13796</v>
      </c>
      <c r="D108">
        <v>-29515</v>
      </c>
      <c r="E108">
        <v>18183</v>
      </c>
      <c r="F108">
        <v>12603</v>
      </c>
      <c r="G108">
        <v>3658</v>
      </c>
      <c r="H108">
        <v>5792</v>
      </c>
      <c r="I108">
        <v>-16536</v>
      </c>
      <c r="J108">
        <v>-4139</v>
      </c>
      <c r="K108">
        <v>-31170</v>
      </c>
    </row>
    <row r="109" spans="2:11" x14ac:dyDescent="0.45">
      <c r="B109">
        <v>-15814</v>
      </c>
      <c r="C109">
        <v>-1802</v>
      </c>
      <c r="D109">
        <v>-19445</v>
      </c>
      <c r="E109">
        <v>-19736</v>
      </c>
      <c r="F109">
        <v>-14332</v>
      </c>
      <c r="G109">
        <v>-595</v>
      </c>
      <c r="H109">
        <v>-9731</v>
      </c>
      <c r="I109">
        <v>-778</v>
      </c>
      <c r="J109">
        <v>-3190</v>
      </c>
      <c r="K109">
        <v>783</v>
      </c>
    </row>
    <row r="110" spans="2:11" x14ac:dyDescent="0.45">
      <c r="B110">
        <v>-3440</v>
      </c>
      <c r="C110">
        <v>2559</v>
      </c>
      <c r="D110">
        <v>13286</v>
      </c>
      <c r="E110">
        <v>0</v>
      </c>
      <c r="F110">
        <v>78489</v>
      </c>
      <c r="G110">
        <v>0</v>
      </c>
      <c r="H110">
        <v>759</v>
      </c>
      <c r="I110">
        <v>-2477</v>
      </c>
      <c r="J110">
        <v>-753</v>
      </c>
      <c r="K110">
        <v>-1215</v>
      </c>
    </row>
    <row r="111" spans="2:11" x14ac:dyDescent="0.45">
      <c r="B111">
        <v>-30539</v>
      </c>
      <c r="C111">
        <v>-1391</v>
      </c>
      <c r="D111">
        <v>1478</v>
      </c>
      <c r="E111">
        <v>463</v>
      </c>
      <c r="F111">
        <v>9135</v>
      </c>
      <c r="G111">
        <v>1957</v>
      </c>
      <c r="H111">
        <v>143</v>
      </c>
      <c r="I111">
        <v>-30564</v>
      </c>
      <c r="J111">
        <v>-1220</v>
      </c>
      <c r="K111">
        <v>-1179</v>
      </c>
    </row>
    <row r="112" spans="2:11" x14ac:dyDescent="0.45">
      <c r="B112">
        <v>2605</v>
      </c>
      <c r="C112">
        <v>-58</v>
      </c>
      <c r="D112">
        <v>-295</v>
      </c>
      <c r="E112">
        <v>933</v>
      </c>
      <c r="F112">
        <v>819</v>
      </c>
      <c r="G112">
        <v>70</v>
      </c>
      <c r="H112">
        <v>197</v>
      </c>
      <c r="I112">
        <v>-146</v>
      </c>
      <c r="J112">
        <v>13191</v>
      </c>
      <c r="K112">
        <v>-892</v>
      </c>
    </row>
    <row r="113" spans="2:11" x14ac:dyDescent="0.45">
      <c r="B113">
        <v>-1457</v>
      </c>
      <c r="C113">
        <v>0</v>
      </c>
      <c r="D113">
        <v>-548</v>
      </c>
      <c r="E113">
        <v>0</v>
      </c>
      <c r="F113">
        <v>-2401</v>
      </c>
      <c r="G113">
        <v>14199</v>
      </c>
      <c r="H113">
        <v>36859</v>
      </c>
      <c r="I113">
        <v>-19408</v>
      </c>
      <c r="J113">
        <v>22664</v>
      </c>
      <c r="K113">
        <v>-40784</v>
      </c>
    </row>
    <row r="114" spans="2:11" x14ac:dyDescent="0.45">
      <c r="B114">
        <v>26062</v>
      </c>
      <c r="C114">
        <v>17898</v>
      </c>
      <c r="D114">
        <v>10646</v>
      </c>
      <c r="E114">
        <v>21046</v>
      </c>
      <c r="F114">
        <v>-21913</v>
      </c>
      <c r="G114">
        <v>-6832</v>
      </c>
      <c r="H114">
        <v>-43664</v>
      </c>
      <c r="I114">
        <v>-16700</v>
      </c>
      <c r="J114">
        <v>-4242</v>
      </c>
      <c r="K114">
        <v>-25014</v>
      </c>
    </row>
    <row r="115" spans="2:11" x14ac:dyDescent="0.45">
      <c r="B115">
        <v>1029</v>
      </c>
      <c r="C115">
        <v>-27821</v>
      </c>
      <c r="D115">
        <v>-957</v>
      </c>
      <c r="E115">
        <v>-14270</v>
      </c>
      <c r="F115">
        <v>708</v>
      </c>
      <c r="G115">
        <v>-6410</v>
      </c>
      <c r="H115">
        <v>-630</v>
      </c>
      <c r="I115">
        <v>-8663</v>
      </c>
      <c r="J115">
        <v>2400</v>
      </c>
      <c r="K115">
        <v>18417</v>
      </c>
    </row>
    <row r="116" spans="2:11" x14ac:dyDescent="0.45">
      <c r="B116">
        <v>0</v>
      </c>
      <c r="C116">
        <v>9936</v>
      </c>
      <c r="D116">
        <v>0</v>
      </c>
      <c r="E116">
        <v>12910</v>
      </c>
      <c r="F116">
        <v>30423</v>
      </c>
      <c r="G116">
        <v>9225</v>
      </c>
      <c r="H116">
        <v>20932</v>
      </c>
      <c r="I116">
        <v>-9938</v>
      </c>
      <c r="J116">
        <v>12291</v>
      </c>
      <c r="K116">
        <v>-39154</v>
      </c>
    </row>
    <row r="117" spans="2:11" x14ac:dyDescent="0.45">
      <c r="B117">
        <v>12201</v>
      </c>
      <c r="C117">
        <v>6455</v>
      </c>
      <c r="D117">
        <v>12735</v>
      </c>
      <c r="E117">
        <v>10363</v>
      </c>
      <c r="F117">
        <v>-11448</v>
      </c>
      <c r="G117">
        <v>-3390</v>
      </c>
      <c r="H117">
        <v>-40574</v>
      </c>
      <c r="I117">
        <v>-7351</v>
      </c>
      <c r="J117">
        <v>-3026</v>
      </c>
      <c r="K117">
        <v>-13124</v>
      </c>
    </row>
    <row r="118" spans="2:11" x14ac:dyDescent="0.45">
      <c r="B118">
        <v>4972</v>
      </c>
      <c r="C118">
        <v>-17511</v>
      </c>
      <c r="D118">
        <v>-1630</v>
      </c>
      <c r="E118">
        <v>-8490</v>
      </c>
      <c r="F118">
        <v>468</v>
      </c>
      <c r="G118">
        <v>-3569</v>
      </c>
      <c r="H118">
        <v>-777</v>
      </c>
      <c r="I118">
        <v>-5066</v>
      </c>
      <c r="J118">
        <v>1179</v>
      </c>
      <c r="K118">
        <v>8467</v>
      </c>
    </row>
    <row r="119" spans="2:11" x14ac:dyDescent="0.45">
      <c r="B119">
        <v>0</v>
      </c>
      <c r="C119">
        <v>6314</v>
      </c>
      <c r="D119">
        <v>0</v>
      </c>
      <c r="E119">
        <v>7689</v>
      </c>
      <c r="F119">
        <v>46291</v>
      </c>
      <c r="G119">
        <v>45042</v>
      </c>
      <c r="H119">
        <v>9969</v>
      </c>
      <c r="I119">
        <v>23453</v>
      </c>
      <c r="J119">
        <v>-10623</v>
      </c>
      <c r="K119">
        <v>10147</v>
      </c>
    </row>
    <row r="120" spans="2:11" x14ac:dyDescent="0.45">
      <c r="B120">
        <v>-9194</v>
      </c>
      <c r="C120">
        <v>13386</v>
      </c>
      <c r="D120">
        <v>9183</v>
      </c>
      <c r="E120">
        <v>2620</v>
      </c>
      <c r="F120">
        <v>8761</v>
      </c>
      <c r="G120">
        <v>-13091</v>
      </c>
      <c r="H120">
        <v>-3565</v>
      </c>
      <c r="I120">
        <v>-10594</v>
      </c>
      <c r="J120">
        <v>-13368</v>
      </c>
      <c r="K120">
        <v>-2390</v>
      </c>
    </row>
    <row r="121" spans="2:11" x14ac:dyDescent="0.45">
      <c r="B121">
        <v>-15234</v>
      </c>
      <c r="C121">
        <v>5649</v>
      </c>
      <c r="D121">
        <v>-16129</v>
      </c>
      <c r="E121">
        <v>-1544</v>
      </c>
      <c r="F121">
        <v>-43393</v>
      </c>
      <c r="G121">
        <v>1483</v>
      </c>
      <c r="H121">
        <v>4426</v>
      </c>
      <c r="I121">
        <v>383</v>
      </c>
      <c r="J121">
        <v>-9523</v>
      </c>
      <c r="K121">
        <v>2557</v>
      </c>
    </row>
    <row r="122" spans="2:11" x14ac:dyDescent="0.45">
      <c r="B122">
        <v>10526</v>
      </c>
      <c r="C122">
        <v>0</v>
      </c>
      <c r="D122">
        <v>8109</v>
      </c>
      <c r="E122">
        <v>0</v>
      </c>
      <c r="F122">
        <v>9876</v>
      </c>
      <c r="G122">
        <v>-2167</v>
      </c>
      <c r="H122">
        <v>13254</v>
      </c>
      <c r="I122">
        <v>19174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2338</v>
      </c>
      <c r="C133">
        <v>6520</v>
      </c>
      <c r="D133">
        <v>-5236</v>
      </c>
      <c r="E133">
        <v>6099</v>
      </c>
      <c r="F133">
        <v>-5034</v>
      </c>
      <c r="G133">
        <v>3792</v>
      </c>
      <c r="H133">
        <v>882</v>
      </c>
      <c r="I133">
        <v>1115</v>
      </c>
      <c r="J133">
        <v>2200</v>
      </c>
      <c r="K133">
        <v>-3778</v>
      </c>
    </row>
    <row r="134" spans="2:11" x14ac:dyDescent="0.45">
      <c r="B134">
        <v>-1038</v>
      </c>
      <c r="C134">
        <v>-5461</v>
      </c>
      <c r="D134">
        <v>-1379</v>
      </c>
      <c r="E134">
        <v>402</v>
      </c>
      <c r="F134">
        <v>-4400</v>
      </c>
      <c r="G134">
        <v>-2233</v>
      </c>
      <c r="H134">
        <v>-4676</v>
      </c>
      <c r="I134">
        <v>454</v>
      </c>
      <c r="J134">
        <v>-70938</v>
      </c>
      <c r="K134">
        <v>749</v>
      </c>
    </row>
    <row r="135" spans="2:11" x14ac:dyDescent="0.45">
      <c r="B135">
        <v>5635</v>
      </c>
      <c r="C135">
        <v>-830</v>
      </c>
      <c r="D135">
        <v>-1159</v>
      </c>
      <c r="E135">
        <v>1465</v>
      </c>
      <c r="F135">
        <v>2742</v>
      </c>
      <c r="G135">
        <v>0</v>
      </c>
      <c r="H135">
        <v>1810</v>
      </c>
      <c r="I135">
        <v>0</v>
      </c>
      <c r="J135">
        <v>2562</v>
      </c>
      <c r="K135">
        <v>-104</v>
      </c>
    </row>
    <row r="136" spans="2:11" x14ac:dyDescent="0.45">
      <c r="B136">
        <v>4268</v>
      </c>
      <c r="C136">
        <v>2113</v>
      </c>
      <c r="D136">
        <v>7150</v>
      </c>
      <c r="E136">
        <v>0</v>
      </c>
      <c r="F136">
        <v>0</v>
      </c>
      <c r="G136">
        <v>0</v>
      </c>
      <c r="H136">
        <v>-1356</v>
      </c>
      <c r="I136">
        <v>14309</v>
      </c>
      <c r="J136">
        <v>-7673</v>
      </c>
      <c r="K136">
        <v>16076</v>
      </c>
    </row>
    <row r="137" spans="2:11" x14ac:dyDescent="0.45">
      <c r="B137">
        <v>-3262</v>
      </c>
      <c r="C137">
        <v>7816</v>
      </c>
      <c r="D137">
        <v>4256</v>
      </c>
      <c r="E137">
        <v>1370</v>
      </c>
      <c r="F137">
        <v>6597</v>
      </c>
      <c r="G137">
        <v>-7331</v>
      </c>
      <c r="H137">
        <v>-1834</v>
      </c>
      <c r="I137">
        <v>-4094</v>
      </c>
      <c r="J137">
        <v>-1065</v>
      </c>
      <c r="K137">
        <v>790</v>
      </c>
    </row>
    <row r="138" spans="2:11" x14ac:dyDescent="0.45">
      <c r="B138">
        <v>-8868</v>
      </c>
      <c r="C138">
        <v>5638</v>
      </c>
      <c r="D138">
        <v>-9107</v>
      </c>
      <c r="E138">
        <v>669</v>
      </c>
      <c r="F138">
        <v>1464</v>
      </c>
      <c r="G138">
        <v>-3008</v>
      </c>
      <c r="H138">
        <v>4556</v>
      </c>
      <c r="I138">
        <v>888</v>
      </c>
      <c r="J138">
        <v>-2676</v>
      </c>
      <c r="K138">
        <v>3741</v>
      </c>
    </row>
    <row r="139" spans="2:11" x14ac:dyDescent="0.45">
      <c r="B139">
        <v>11745</v>
      </c>
      <c r="C139">
        <v>0</v>
      </c>
      <c r="D139">
        <v>5532</v>
      </c>
      <c r="E139">
        <v>0</v>
      </c>
      <c r="F139">
        <v>6792</v>
      </c>
      <c r="G139">
        <v>-869</v>
      </c>
      <c r="H139">
        <v>8637</v>
      </c>
      <c r="I139">
        <v>4351</v>
      </c>
      <c r="J139">
        <v>5220</v>
      </c>
      <c r="K139">
        <v>0</v>
      </c>
    </row>
    <row r="140" spans="2:11" x14ac:dyDescent="0.45">
      <c r="B140">
        <v>0</v>
      </c>
      <c r="C140">
        <v>0</v>
      </c>
      <c r="D140">
        <v>-38461</v>
      </c>
      <c r="E140">
        <v>-11075</v>
      </c>
      <c r="F140">
        <v>-481</v>
      </c>
      <c r="G140">
        <v>319</v>
      </c>
      <c r="H140">
        <v>-1503</v>
      </c>
      <c r="I140">
        <v>2268</v>
      </c>
      <c r="J140">
        <v>-323</v>
      </c>
      <c r="K140">
        <v>-551</v>
      </c>
    </row>
    <row r="141" spans="2:11" x14ac:dyDescent="0.45">
      <c r="B141">
        <v>-494</v>
      </c>
      <c r="C141">
        <v>-67</v>
      </c>
      <c r="D141">
        <v>738</v>
      </c>
      <c r="E141">
        <v>341</v>
      </c>
      <c r="F141">
        <v>2213</v>
      </c>
      <c r="G141">
        <v>-980</v>
      </c>
      <c r="H141">
        <v>67</v>
      </c>
      <c r="I141">
        <v>321</v>
      </c>
      <c r="J141">
        <v>2254</v>
      </c>
      <c r="K141">
        <v>-5</v>
      </c>
    </row>
    <row r="142" spans="2:11" x14ac:dyDescent="0.45">
      <c r="B142">
        <v>-582</v>
      </c>
      <c r="C142">
        <v>-302</v>
      </c>
      <c r="D142">
        <v>1683</v>
      </c>
      <c r="E142">
        <v>-4897</v>
      </c>
      <c r="F142">
        <v>391</v>
      </c>
      <c r="G142">
        <v>325</v>
      </c>
      <c r="H142">
        <v>781</v>
      </c>
      <c r="I142">
        <v>10675</v>
      </c>
      <c r="J142">
        <v>0</v>
      </c>
      <c r="K142">
        <v>96</v>
      </c>
    </row>
    <row r="143" spans="2:11" x14ac:dyDescent="0.45">
      <c r="B143">
        <v>0</v>
      </c>
      <c r="C143">
        <v>40</v>
      </c>
      <c r="D143">
        <v>-352</v>
      </c>
      <c r="E143">
        <v>1102</v>
      </c>
      <c r="F143">
        <v>-141</v>
      </c>
      <c r="G143">
        <v>5454</v>
      </c>
      <c r="H143">
        <v>0</v>
      </c>
      <c r="I143">
        <v>0</v>
      </c>
      <c r="J143">
        <v>0</v>
      </c>
      <c r="K143">
        <v>-6368</v>
      </c>
    </row>
    <row r="144" spans="2:11" x14ac:dyDescent="0.45">
      <c r="B144">
        <v>-26948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6007</v>
      </c>
      <c r="C148">
        <v>24898</v>
      </c>
      <c r="D148">
        <v>-3816</v>
      </c>
      <c r="E148">
        <v>13113</v>
      </c>
      <c r="F148">
        <v>1809</v>
      </c>
      <c r="G148">
        <v>13020</v>
      </c>
      <c r="H148">
        <v>7565</v>
      </c>
      <c r="I148">
        <v>2273</v>
      </c>
      <c r="J148">
        <v>5975</v>
      </c>
      <c r="K148">
        <v>-12897</v>
      </c>
    </row>
    <row r="149" spans="2:11" x14ac:dyDescent="0.45">
      <c r="B149">
        <v>-3322</v>
      </c>
      <c r="C149">
        <v>486</v>
      </c>
      <c r="D149">
        <v>-10873</v>
      </c>
      <c r="E149">
        <v>-2817</v>
      </c>
      <c r="F149">
        <v>-15280</v>
      </c>
      <c r="G149">
        <v>19856</v>
      </c>
      <c r="H149">
        <v>-17786</v>
      </c>
      <c r="I149">
        <v>-1696</v>
      </c>
      <c r="J149">
        <v>-3523</v>
      </c>
      <c r="K149">
        <v>619</v>
      </c>
    </row>
    <row r="150" spans="2:11" x14ac:dyDescent="0.45">
      <c r="B150">
        <v>-3628</v>
      </c>
      <c r="C150">
        <v>5020</v>
      </c>
      <c r="D150">
        <v>-16145</v>
      </c>
      <c r="E150">
        <v>712</v>
      </c>
      <c r="F150">
        <v>11550</v>
      </c>
      <c r="G150">
        <v>0</v>
      </c>
      <c r="H150">
        <v>7318</v>
      </c>
      <c r="I150">
        <v>0</v>
      </c>
      <c r="J150">
        <v>9257</v>
      </c>
      <c r="K150">
        <v>-4065</v>
      </c>
    </row>
    <row r="151" spans="2:11" x14ac:dyDescent="0.45">
      <c r="B151">
        <v>38602</v>
      </c>
      <c r="C151">
        <v>11690</v>
      </c>
      <c r="D151">
        <v>10477</v>
      </c>
      <c r="E151">
        <v>0</v>
      </c>
      <c r="F151">
        <v>0</v>
      </c>
      <c r="G151">
        <v>0</v>
      </c>
      <c r="H151">
        <v>2319</v>
      </c>
      <c r="I151">
        <v>4769</v>
      </c>
      <c r="J151">
        <v>1545</v>
      </c>
      <c r="K151">
        <v>0</v>
      </c>
    </row>
    <row r="152" spans="2:11" x14ac:dyDescent="0.45">
      <c r="B152">
        <v>24182</v>
      </c>
      <c r="C152">
        <v>64555</v>
      </c>
      <c r="D152">
        <v>-22685</v>
      </c>
      <c r="E152">
        <v>29071</v>
      </c>
      <c r="F152">
        <v>-15404</v>
      </c>
      <c r="G152">
        <v>35007</v>
      </c>
      <c r="H152">
        <v>23528</v>
      </c>
      <c r="I152">
        <v>6748</v>
      </c>
      <c r="J152">
        <v>19896</v>
      </c>
      <c r="K152">
        <v>-33563</v>
      </c>
    </row>
    <row r="153" spans="2:11" x14ac:dyDescent="0.45">
      <c r="B153">
        <v>-9023</v>
      </c>
      <c r="C153">
        <v>-18915</v>
      </c>
      <c r="D153">
        <v>-30618</v>
      </c>
      <c r="E153">
        <v>-5520</v>
      </c>
      <c r="F153">
        <v>-39173</v>
      </c>
      <c r="G153">
        <v>21374</v>
      </c>
      <c r="H153">
        <v>-39705</v>
      </c>
      <c r="I153">
        <v>-2180</v>
      </c>
      <c r="J153">
        <v>-18208</v>
      </c>
      <c r="K153">
        <v>582</v>
      </c>
    </row>
    <row r="154" spans="2:11" x14ac:dyDescent="0.45">
      <c r="B154">
        <v>-9374</v>
      </c>
      <c r="C154">
        <v>4674</v>
      </c>
      <c r="D154">
        <v>-19141</v>
      </c>
      <c r="E154">
        <v>3967</v>
      </c>
      <c r="F154">
        <v>26444</v>
      </c>
      <c r="G154">
        <v>0</v>
      </c>
      <c r="H154">
        <v>19435</v>
      </c>
      <c r="I154">
        <v>0</v>
      </c>
      <c r="J154">
        <v>24074</v>
      </c>
      <c r="K154">
        <v>-4575</v>
      </c>
    </row>
    <row r="155" spans="2:11" x14ac:dyDescent="0.45">
      <c r="B155">
        <v>36453</v>
      </c>
      <c r="C155">
        <v>36244</v>
      </c>
      <c r="D155">
        <v>36427</v>
      </c>
      <c r="E155">
        <v>0</v>
      </c>
      <c r="F155">
        <v>0</v>
      </c>
      <c r="G155">
        <v>0</v>
      </c>
      <c r="H155">
        <v>5595</v>
      </c>
      <c r="I155">
        <v>13818</v>
      </c>
      <c r="J155">
        <v>812</v>
      </c>
      <c r="K155">
        <v>0</v>
      </c>
    </row>
    <row r="156" spans="2:11" x14ac:dyDescent="0.45">
      <c r="B156">
        <v>40470</v>
      </c>
      <c r="C156">
        <v>-7659</v>
      </c>
      <c r="D156">
        <v>16297</v>
      </c>
      <c r="E156">
        <v>-8561</v>
      </c>
      <c r="F156">
        <v>20403</v>
      </c>
      <c r="G156">
        <v>1877</v>
      </c>
      <c r="H156">
        <v>6386</v>
      </c>
      <c r="I156">
        <v>2766</v>
      </c>
      <c r="J156">
        <v>1541</v>
      </c>
      <c r="K156">
        <v>7864</v>
      </c>
    </row>
    <row r="157" spans="2:11" x14ac:dyDescent="0.45">
      <c r="B157">
        <v>-6125</v>
      </c>
      <c r="C157">
        <v>-1271</v>
      </c>
      <c r="D157">
        <v>1221</v>
      </c>
      <c r="E157">
        <v>2324</v>
      </c>
      <c r="F157">
        <v>2507</v>
      </c>
      <c r="G157">
        <v>-7776</v>
      </c>
      <c r="H157">
        <v>13309</v>
      </c>
      <c r="I157">
        <v>-8060</v>
      </c>
      <c r="J157">
        <v>884</v>
      </c>
      <c r="K157">
        <v>-4543</v>
      </c>
    </row>
    <row r="158" spans="2:11" x14ac:dyDescent="0.45">
      <c r="B158">
        <v>354</v>
      </c>
      <c r="C158">
        <v>-1708</v>
      </c>
      <c r="D158">
        <v>7365</v>
      </c>
      <c r="E158">
        <v>-1702</v>
      </c>
      <c r="F158">
        <v>8774</v>
      </c>
      <c r="G158">
        <v>18021</v>
      </c>
      <c r="H158">
        <v>0</v>
      </c>
      <c r="I158">
        <v>6268</v>
      </c>
      <c r="J158">
        <v>0</v>
      </c>
      <c r="K158">
        <v>7468</v>
      </c>
    </row>
    <row r="159" spans="2:11" x14ac:dyDescent="0.45">
      <c r="B159">
        <v>-1032</v>
      </c>
      <c r="C159">
        <v>8416</v>
      </c>
      <c r="D159">
        <v>3703</v>
      </c>
      <c r="E159">
        <v>6402</v>
      </c>
      <c r="F159">
        <v>0</v>
      </c>
      <c r="G159">
        <v>0</v>
      </c>
      <c r="H159">
        <v>0</v>
      </c>
      <c r="I159">
        <v>768</v>
      </c>
      <c r="J159">
        <v>25832</v>
      </c>
      <c r="K159">
        <v>-402</v>
      </c>
    </row>
    <row r="160" spans="2:11" x14ac:dyDescent="0.45">
      <c r="B160">
        <v>0</v>
      </c>
      <c r="C160">
        <v>5541</v>
      </c>
      <c r="D160">
        <v>11082</v>
      </c>
      <c r="E160">
        <v>-11949</v>
      </c>
      <c r="F160">
        <v>-8804</v>
      </c>
      <c r="G160">
        <v>10295</v>
      </c>
      <c r="H160">
        <v>-3095</v>
      </c>
      <c r="I160">
        <v>14183</v>
      </c>
      <c r="J160">
        <v>-2243</v>
      </c>
      <c r="K160">
        <v>-1926</v>
      </c>
    </row>
    <row r="161" spans="2:11" x14ac:dyDescent="0.45">
      <c r="B161">
        <v>-1336</v>
      </c>
      <c r="C161">
        <v>1123</v>
      </c>
      <c r="D161">
        <v>1656</v>
      </c>
      <c r="E161">
        <v>557</v>
      </c>
      <c r="F161">
        <v>14170</v>
      </c>
      <c r="G161">
        <v>191</v>
      </c>
      <c r="H161">
        <v>776</v>
      </c>
      <c r="I161">
        <v>1440</v>
      </c>
      <c r="J161">
        <v>18231</v>
      </c>
      <c r="K161">
        <v>1383</v>
      </c>
    </row>
    <row r="162" spans="2:11" x14ac:dyDescent="0.45">
      <c r="B162">
        <v>-800</v>
      </c>
      <c r="C162">
        <v>6729</v>
      </c>
      <c r="D162">
        <v>305</v>
      </c>
      <c r="E162">
        <v>698</v>
      </c>
      <c r="F162">
        <v>-2035</v>
      </c>
      <c r="G162">
        <v>1232</v>
      </c>
      <c r="H162">
        <v>-4847</v>
      </c>
      <c r="I162">
        <v>6803</v>
      </c>
      <c r="J162">
        <v>0</v>
      </c>
      <c r="K162">
        <v>-1116</v>
      </c>
    </row>
    <row r="163" spans="2:11" x14ac:dyDescent="0.45">
      <c r="B163">
        <v>0</v>
      </c>
      <c r="C163">
        <v>-1575</v>
      </c>
      <c r="D163">
        <v>849</v>
      </c>
      <c r="E163">
        <v>-1031</v>
      </c>
      <c r="F163">
        <v>-423</v>
      </c>
      <c r="G163">
        <v>-2550</v>
      </c>
      <c r="H163">
        <v>0</v>
      </c>
      <c r="I163">
        <v>0</v>
      </c>
      <c r="J163">
        <v>0</v>
      </c>
      <c r="K163">
        <v>212</v>
      </c>
    </row>
    <row r="164" spans="2:11" x14ac:dyDescent="0.45">
      <c r="B164">
        <v>-4535</v>
      </c>
      <c r="C164">
        <v>7193</v>
      </c>
      <c r="D164">
        <v>0</v>
      </c>
      <c r="E164">
        <v>-4162</v>
      </c>
      <c r="F164">
        <v>4609</v>
      </c>
      <c r="G164">
        <v>-67872</v>
      </c>
      <c r="H164">
        <v>-33844</v>
      </c>
      <c r="I164">
        <v>-80602</v>
      </c>
      <c r="J164">
        <v>46284</v>
      </c>
      <c r="K164">
        <v>-48229</v>
      </c>
    </row>
    <row r="165" spans="2:11" x14ac:dyDescent="0.45">
      <c r="B165">
        <v>46995</v>
      </c>
      <c r="C165">
        <v>-47720</v>
      </c>
      <c r="D165">
        <v>-31903</v>
      </c>
      <c r="E165">
        <v>-8740</v>
      </c>
      <c r="F165">
        <v>-32601</v>
      </c>
      <c r="G165">
        <v>46361</v>
      </c>
      <c r="H165">
        <v>12723</v>
      </c>
      <c r="I165">
        <v>52079</v>
      </c>
      <c r="J165">
        <v>35193</v>
      </c>
      <c r="K165">
        <v>5786</v>
      </c>
    </row>
    <row r="166" spans="2:11" x14ac:dyDescent="0.45">
      <c r="B166">
        <v>53957</v>
      </c>
      <c r="C166">
        <v>11049</v>
      </c>
      <c r="D166">
        <v>51534</v>
      </c>
      <c r="E166">
        <v>-1536</v>
      </c>
      <c r="F166">
        <v>33344</v>
      </c>
      <c r="G166">
        <v>-704</v>
      </c>
      <c r="H166">
        <v>13851</v>
      </c>
      <c r="I166">
        <v>3374</v>
      </c>
      <c r="J166">
        <v>13007</v>
      </c>
      <c r="K166">
        <v>-5635</v>
      </c>
    </row>
    <row r="167" spans="2:11" x14ac:dyDescent="0.45">
      <c r="B167">
        <v>-36657</v>
      </c>
      <c r="C167">
        <v>0</v>
      </c>
      <c r="D167">
        <v>-23150</v>
      </c>
      <c r="E167">
        <v>0</v>
      </c>
      <c r="F167">
        <v>-29906</v>
      </c>
      <c r="G167">
        <v>2081</v>
      </c>
      <c r="H167">
        <v>-46017</v>
      </c>
      <c r="I167">
        <v>-25909</v>
      </c>
      <c r="J167">
        <v>-28292</v>
      </c>
      <c r="K167">
        <v>0</v>
      </c>
    </row>
    <row r="168" spans="2:11" x14ac:dyDescent="0.45">
      <c r="B168">
        <v>0</v>
      </c>
      <c r="C168">
        <v>0</v>
      </c>
      <c r="D168">
        <v>-9155</v>
      </c>
      <c r="E168">
        <v>-18609</v>
      </c>
      <c r="F168">
        <v>398</v>
      </c>
      <c r="G168">
        <v>0</v>
      </c>
      <c r="H168">
        <v>-28733</v>
      </c>
      <c r="I168">
        <v>-72155</v>
      </c>
      <c r="J168">
        <v>-17712</v>
      </c>
      <c r="K168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K44"/>
  <sheetViews>
    <sheetView workbookViewId="0">
      <selection activeCell="J12" sqref="J12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265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240</v>
      </c>
      <c r="B8" t="s">
        <v>241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263</v>
      </c>
      <c r="J9">
        <v>16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1.1237337245300001</v>
      </c>
      <c r="F11">
        <v>0.30334200688000001</v>
      </c>
    </row>
    <row r="12" spans="1:11" x14ac:dyDescent="0.45">
      <c r="B12">
        <v>2</v>
      </c>
      <c r="C12" t="s">
        <v>65</v>
      </c>
      <c r="D12" t="s">
        <v>64</v>
      </c>
      <c r="E12">
        <v>0.86183614476100001</v>
      </c>
      <c r="F12">
        <v>0.16474248438299999</v>
      </c>
    </row>
    <row r="13" spans="1:11" x14ac:dyDescent="0.45">
      <c r="B13">
        <v>20</v>
      </c>
      <c r="C13" t="s">
        <v>69</v>
      </c>
      <c r="D13" t="s">
        <v>64</v>
      </c>
      <c r="E13">
        <v>-4.7905352725499997</v>
      </c>
      <c r="F13">
        <v>0.98002855584299997</v>
      </c>
    </row>
    <row r="14" spans="1:11" x14ac:dyDescent="0.45">
      <c r="B14">
        <v>30</v>
      </c>
      <c r="C14" t="s">
        <v>76</v>
      </c>
      <c r="D14" t="s">
        <v>64</v>
      </c>
      <c r="E14">
        <v>-4.7133255538499998</v>
      </c>
      <c r="F14">
        <v>0.78965735436999995</v>
      </c>
    </row>
    <row r="15" spans="1:11" x14ac:dyDescent="0.45">
      <c r="B15">
        <v>40</v>
      </c>
      <c r="C15" t="s">
        <v>79</v>
      </c>
      <c r="D15" t="s">
        <v>64</v>
      </c>
      <c r="E15">
        <v>-4.0965030205600002</v>
      </c>
      <c r="F15">
        <v>0.77119785792399997</v>
      </c>
    </row>
    <row r="16" spans="1:11" x14ac:dyDescent="0.45">
      <c r="B16">
        <v>50</v>
      </c>
      <c r="C16" t="s">
        <v>84</v>
      </c>
      <c r="D16" t="s">
        <v>64</v>
      </c>
      <c r="E16">
        <v>-3.4804368051500001</v>
      </c>
      <c r="F16">
        <v>0.771734676954</v>
      </c>
    </row>
    <row r="17" spans="2:11" x14ac:dyDescent="0.45">
      <c r="B17">
        <v>54</v>
      </c>
      <c r="C17" t="s">
        <v>86</v>
      </c>
      <c r="D17" t="s">
        <v>64</v>
      </c>
      <c r="E17">
        <v>0.97510624866100004</v>
      </c>
      <c r="F17">
        <v>0.89739255443099997</v>
      </c>
    </row>
    <row r="18" spans="2:11" x14ac:dyDescent="0.45">
      <c r="B18">
        <v>55</v>
      </c>
      <c r="C18" t="s">
        <v>200</v>
      </c>
      <c r="D18" t="s">
        <v>64</v>
      </c>
      <c r="E18">
        <v>0.14671643063500001</v>
      </c>
      <c r="F18">
        <v>0.36361883445299997</v>
      </c>
    </row>
    <row r="19" spans="2:11" x14ac:dyDescent="0.45">
      <c r="B19">
        <v>58</v>
      </c>
      <c r="C19" t="s">
        <v>201</v>
      </c>
      <c r="D19" t="s">
        <v>64</v>
      </c>
      <c r="E19">
        <v>2.1275969903499998</v>
      </c>
      <c r="F19">
        <v>0.59092289655399999</v>
      </c>
    </row>
    <row r="20" spans="2:11" x14ac:dyDescent="0.45">
      <c r="B20">
        <v>59</v>
      </c>
      <c r="C20" t="s">
        <v>202</v>
      </c>
      <c r="D20" t="s">
        <v>64</v>
      </c>
      <c r="E20">
        <v>1.74975968113</v>
      </c>
      <c r="F20">
        <v>0.61586796181699999</v>
      </c>
    </row>
    <row r="21" spans="2:11" x14ac:dyDescent="0.45">
      <c r="B21">
        <v>60</v>
      </c>
      <c r="C21" t="s">
        <v>89</v>
      </c>
      <c r="D21" t="s">
        <v>64</v>
      </c>
      <c r="E21">
        <v>-6.3776051105600002</v>
      </c>
      <c r="F21">
        <v>1.0399279453800001</v>
      </c>
    </row>
    <row r="22" spans="2:11" x14ac:dyDescent="0.45">
      <c r="B22">
        <v>61</v>
      </c>
      <c r="C22" t="s">
        <v>90</v>
      </c>
      <c r="D22" t="s">
        <v>64</v>
      </c>
      <c r="E22" s="35">
        <v>-0.40221769537000002</v>
      </c>
      <c r="F22">
        <v>0.98038106821600002</v>
      </c>
    </row>
    <row r="23" spans="2:11" x14ac:dyDescent="0.45">
      <c r="B23">
        <v>69</v>
      </c>
      <c r="C23" t="s">
        <v>203</v>
      </c>
      <c r="D23" t="s">
        <v>64</v>
      </c>
      <c r="E23">
        <v>2.9044382565300002</v>
      </c>
      <c r="F23">
        <v>1.00067132879</v>
      </c>
    </row>
    <row r="24" spans="2:11" x14ac:dyDescent="0.4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45">
      <c r="B25">
        <v>88</v>
      </c>
      <c r="C25" t="s">
        <v>205</v>
      </c>
      <c r="D25" t="s">
        <v>64</v>
      </c>
      <c r="E25">
        <v>0.53543285841400001</v>
      </c>
      <c r="F25">
        <v>0.40277430181399998</v>
      </c>
    </row>
    <row r="26" spans="2:11" x14ac:dyDescent="0.45">
      <c r="B26">
        <v>89</v>
      </c>
      <c r="C26" t="s">
        <v>206</v>
      </c>
      <c r="D26" t="s">
        <v>64</v>
      </c>
      <c r="E26">
        <v>1.1826209493099999</v>
      </c>
      <c r="F26">
        <v>0.54170029730799996</v>
      </c>
    </row>
    <row r="27" spans="2:11" x14ac:dyDescent="0.45">
      <c r="B27">
        <v>99</v>
      </c>
      <c r="C27" t="s">
        <v>106</v>
      </c>
      <c r="D27" t="s">
        <v>64</v>
      </c>
      <c r="E27">
        <v>0.88959318905899998</v>
      </c>
      <c r="F27">
        <v>0.177685142273</v>
      </c>
    </row>
    <row r="28" spans="2:11" x14ac:dyDescent="0.45">
      <c r="B28">
        <v>-1</v>
      </c>
    </row>
    <row r="29" spans="2:11" x14ac:dyDescent="0.4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45">
      <c r="B30">
        <v>12</v>
      </c>
      <c r="C30" t="s">
        <v>264</v>
      </c>
      <c r="D30" t="s">
        <v>235</v>
      </c>
      <c r="E30">
        <v>25</v>
      </c>
      <c r="F30" t="s">
        <v>263</v>
      </c>
      <c r="G30">
        <v>16</v>
      </c>
    </row>
    <row r="31" spans="2:11" x14ac:dyDescent="0.4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4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4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4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4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4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4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4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4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4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4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4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4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4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B1:BC62"/>
  <sheetViews>
    <sheetView tabSelected="1" topLeftCell="J1" workbookViewId="0">
      <selection activeCell="X10" sqref="X10"/>
    </sheetView>
  </sheetViews>
  <sheetFormatPr defaultRowHeight="14.25" x14ac:dyDescent="0.45"/>
  <cols>
    <col min="2" max="2" bestFit="true" customWidth="true" width="14.1328125" collapsed="true"/>
    <col min="18" max="18" bestFit="true" customWidth="true" width="7.73046875" collapsed="true"/>
    <col min="24" max="24" bestFit="true" customWidth="true" width="16.86328125" collapsed="true"/>
    <col min="33" max="33" bestFit="true" customWidth="true" width="11.0" collapsed="true"/>
    <col min="37" max="37" style="59" width="9.1328125" collapsed="true"/>
    <col min="38" max="38" bestFit="true" customWidth="true" width="11.0" collapsed="true"/>
    <col min="39" max="40" bestFit="true" customWidth="true" width="9.265625" collapsed="true"/>
    <col min="42" max="42" style="59" width="9.1328125" collapsed="true"/>
    <col min="47" max="47" style="59" width="9.1328125" collapsed="true"/>
    <col min="48" max="48" bestFit="true" customWidth="true" width="11.73046875" collapsed="true"/>
    <col min="49" max="50" bestFit="true" customWidth="true" width="12.73046875" collapsed="true"/>
    <col min="52" max="52" style="59" width="9.1328125" collapsed="true"/>
  </cols>
  <sheetData>
    <row r="1" spans="2:55" x14ac:dyDescent="0.45">
      <c r="Q1" s="36" t="s">
        <v>283</v>
      </c>
      <c r="R1" s="64"/>
      <c r="S1" s="64"/>
      <c r="T1" s="64"/>
      <c r="U1" s="64"/>
      <c r="V1" s="65"/>
      <c r="AF1" s="36" t="s">
        <v>270</v>
      </c>
      <c r="AK1" s="63" t="s">
        <v>271</v>
      </c>
      <c r="AP1" s="63" t="s">
        <v>272</v>
      </c>
      <c r="AU1" s="63" t="s">
        <v>273</v>
      </c>
      <c r="AZ1" s="63" t="s">
        <v>274</v>
      </c>
    </row>
    <row r="2" spans="2:55" x14ac:dyDescent="0.45">
      <c r="B2" t="s">
        <v>194</v>
      </c>
      <c r="Q2" s="64"/>
      <c r="R2" s="36" t="s">
        <v>275</v>
      </c>
      <c r="T2" s="64"/>
      <c r="U2" s="64"/>
      <c r="V2" s="65"/>
      <c r="AH2" s="51" t="s">
        <v>242</v>
      </c>
      <c r="AI2" s="51" t="s">
        <v>243</v>
      </c>
      <c r="AM2" s="51" t="s">
        <v>242</v>
      </c>
      <c r="AN2" s="51" t="s">
        <v>243</v>
      </c>
      <c r="AR2" s="51" t="s">
        <v>242</v>
      </c>
      <c r="AS2" s="51" t="s">
        <v>243</v>
      </c>
      <c r="AW2" s="51" t="s">
        <v>242</v>
      </c>
      <c r="AX2" s="51" t="s">
        <v>243</v>
      </c>
      <c r="BB2" s="51" t="s">
        <v>242</v>
      </c>
      <c r="BC2" s="51" t="s">
        <v>243</v>
      </c>
    </row>
    <row r="3" spans="2:55" ht="14.65" thickBot="1" x14ac:dyDescent="0.5">
      <c r="Q3">
        <v>1</v>
      </c>
      <c r="R3" s="66" t="s">
        <v>284</v>
      </c>
      <c r="T3" s="64"/>
      <c r="U3" s="64"/>
      <c r="V3" s="65"/>
      <c r="AF3" s="59">
        <f>WorkCoefficients!B11</f>
        <v>1</v>
      </c>
      <c r="AG3" t="str">
        <f>WorkCoefficients!C11</f>
        <v>costutil</v>
      </c>
      <c r="AH3">
        <f>WorkCoefficients!E11</f>
        <v>0.98306756366900006</v>
      </c>
      <c r="AI3" s="62">
        <f>_xlfn.IFNA(VLOOKUP(AF3,$R$55:$AC$62,8,FALSE),AH3)</f>
        <v>0.98306756366900006</v>
      </c>
      <c r="AK3" s="59">
        <f>SchoolCoeffcients!B11</f>
        <v>1</v>
      </c>
      <c r="AL3" t="str">
        <f>SchoolCoeffcients!C11</f>
        <v>costutil</v>
      </c>
      <c r="AM3" s="55">
        <f>SchoolCoeffcients!E11</f>
        <v>1.6366214970499999</v>
      </c>
      <c r="AN3" s="62">
        <f>_xlfn.IFNA(VLOOKUP(AK3,$S$55:$AC$62,8,FALSE),AM3)</f>
        <v>1.6366214970499999</v>
      </c>
      <c r="AP3" s="59">
        <f>EscortCoefficients!B11</f>
        <v>2</v>
      </c>
      <c r="AQ3" t="str">
        <f>EscortCoefficients!C11</f>
        <v>timeutil</v>
      </c>
      <c r="AR3">
        <f>EscortCoefficients!E11</f>
        <v>2.59443218487</v>
      </c>
      <c r="AS3" s="62">
        <f>_xlfn.IFNA(VLOOKUP(AP3,$T$55:$AC$62,8,FALSE),AR3)</f>
        <v>2.59443218487</v>
      </c>
      <c r="AU3" s="59">
        <f>OtherCoefficients!B11</f>
        <v>1</v>
      </c>
      <c r="AV3" t="str">
        <f>OtherCoefficients!C11</f>
        <v>costutil</v>
      </c>
      <c r="AW3">
        <f>OtherCoefficients!E11</f>
        <v>0.46184606085000002</v>
      </c>
      <c r="AX3" s="62">
        <f>_xlfn.IFNA(VLOOKUP(AU3,$U$55:$AC$62,8,FALSE),AW3)</f>
        <v>0.46184606085000002</v>
      </c>
      <c r="AZ3" s="59">
        <f>WorkBasedCoefficients!B11</f>
        <v>1</v>
      </c>
      <c r="BA3" t="str">
        <f>WorkBasedCoefficients!C11</f>
        <v>costutil</v>
      </c>
      <c r="BB3">
        <f>WorkBasedCoefficients!E11</f>
        <v>1.1237337245300001</v>
      </c>
      <c r="BC3" s="62">
        <f>_xlfn.IFNA(VLOOKUP(AZ3,$V$55:$AC$62,8,FALSE),BB3)</f>
        <v>1.1237337245300001</v>
      </c>
    </row>
    <row r="4" spans="2:55" x14ac:dyDescent="0.4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Q4">
        <v>2</v>
      </c>
      <c r="R4" s="66" t="s">
        <v>285</v>
      </c>
      <c r="T4" s="64"/>
      <c r="U4" s="64"/>
      <c r="V4" s="65"/>
      <c r="AF4" s="59">
        <f>WorkCoefficients!B12</f>
        <v>2</v>
      </c>
      <c r="AG4" t="str">
        <f>WorkCoefficients!C12</f>
        <v>timeutil</v>
      </c>
      <c r="AH4">
        <f>WorkCoefficients!E12</f>
        <v>0.51430888706199995</v>
      </c>
      <c r="AI4" s="62">
        <f t="shared" ref="AI4:AI49" si="0">_xlfn.IFNA(VLOOKUP(AF4,$R$55:$AC$62,8,FALSE),AH4)</f>
        <v>0.51430888706199995</v>
      </c>
      <c r="AK4" s="59">
        <f>SchoolCoeffcients!B12</f>
        <v>2</v>
      </c>
      <c r="AL4" t="str">
        <f>SchoolCoeffcients!C12</f>
        <v>timeutil</v>
      </c>
      <c r="AM4" s="55">
        <f>SchoolCoeffcients!E12</f>
        <v>0.91289459530399997</v>
      </c>
      <c r="AN4" s="62">
        <f t="shared" ref="AN4:AN44" si="1">_xlfn.IFNA(VLOOKUP(AK4,$S$55:$AC$62,8,FALSE),AM4)</f>
        <v>0.91289459530399997</v>
      </c>
      <c r="AP4" s="59">
        <f>EscortCoefficients!B12</f>
        <v>30</v>
      </c>
      <c r="AQ4" s="54" t="str">
        <f>EscortCoefficients!C12</f>
        <v>s3-const</v>
      </c>
      <c r="AR4" s="54">
        <f>EscortCoefficients!E12</f>
        <v>-0.98936486869100004</v>
      </c>
      <c r="AS4" s="62">
        <f t="shared" ref="AS4:AS18" si="2">_xlfn.IFNA(VLOOKUP(AP4,$T$55:$AC$62,8,FALSE),AR4)</f>
        <v>-0.86906952347221489</v>
      </c>
      <c r="AU4" s="59">
        <f>OtherCoefficients!B12</f>
        <v>2</v>
      </c>
      <c r="AV4" t="str">
        <f>OtherCoefficients!C12</f>
        <v>timeutil</v>
      </c>
      <c r="AW4">
        <f>OtherCoefficients!E12</f>
        <v>0.65961163706299997</v>
      </c>
      <c r="AX4" s="62">
        <f t="shared" ref="AX4:AX58" si="3">_xlfn.IFNA(VLOOKUP(AU4,$U$55:$AC$62,8,FALSE),AW4)</f>
        <v>0.65961163706299997</v>
      </c>
      <c r="AZ4" s="59">
        <f>WorkBasedCoefficients!B12</f>
        <v>2</v>
      </c>
      <c r="BA4" t="str">
        <f>WorkBasedCoefficients!C12</f>
        <v>timeutil</v>
      </c>
      <c r="BB4">
        <f>WorkBasedCoefficients!E12</f>
        <v>0.86183614476100001</v>
      </c>
      <c r="BC4" s="62">
        <f t="shared" ref="BC4:BC19" si="4">_xlfn.IFNA(VLOOKUP(AZ4,$V$55:$AC$62,8,FALSE),BB4)</f>
        <v>0.86183614476100001</v>
      </c>
    </row>
    <row r="5" spans="2:55" x14ac:dyDescent="0.4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Q5">
        <v>3</v>
      </c>
      <c r="R5" s="64" t="s">
        <v>287</v>
      </c>
      <c r="S5" s="64"/>
      <c r="T5" s="64"/>
      <c r="U5" s="64"/>
      <c r="V5" s="65"/>
      <c r="AF5" s="59">
        <f>WorkCoefficients!B13</f>
        <v>10</v>
      </c>
      <c r="AG5" s="54" t="str">
        <f>WorkCoefficients!C13</f>
        <v>dt-const</v>
      </c>
      <c r="AH5" s="54">
        <f>WorkCoefficients!E13</f>
        <v>-3.8200751962199999</v>
      </c>
      <c r="AI5" s="62">
        <f t="shared" si="0"/>
        <v>-4.3922097515134126</v>
      </c>
      <c r="AK5" s="59">
        <f>SchoolCoeffcients!B13</f>
        <v>10</v>
      </c>
      <c r="AL5" s="54" t="str">
        <f>SchoolCoeffcients!C13</f>
        <v>sb-const</v>
      </c>
      <c r="AM5" s="56">
        <f>SchoolCoeffcients!E13</f>
        <v>-0.38914266604300002</v>
      </c>
      <c r="AN5" s="62">
        <f t="shared" si="1"/>
        <v>-0.91525607995806113</v>
      </c>
      <c r="AP5" s="59">
        <f>EscortCoefficients!B13</f>
        <v>31</v>
      </c>
      <c r="AQ5" t="str">
        <f>EscortCoefficients!C13</f>
        <v>s3-hhcu5</v>
      </c>
      <c r="AR5">
        <f>EscortCoefficients!E13</f>
        <v>1.33539482367</v>
      </c>
      <c r="AS5" s="62">
        <f t="shared" si="2"/>
        <v>1.33539482367</v>
      </c>
      <c r="AU5" s="59">
        <f>OtherCoefficients!B13</f>
        <v>20</v>
      </c>
      <c r="AV5" s="54" t="str">
        <f>OtherCoefficients!C13</f>
        <v>wt-const</v>
      </c>
      <c r="AW5" s="54">
        <f>OtherCoefficients!E13</f>
        <v>-3.1934860859500001</v>
      </c>
      <c r="AX5" s="62">
        <f t="shared" si="3"/>
        <v>-1.1052047178165827</v>
      </c>
      <c r="AZ5" s="59">
        <f>WorkBasedCoefficients!B13</f>
        <v>20</v>
      </c>
      <c r="BA5" s="54" t="str">
        <f>WorkBasedCoefficients!C13</f>
        <v>wt-const</v>
      </c>
      <c r="BB5" s="54">
        <f>WorkBasedCoefficients!E13</f>
        <v>-4.7905352725499997</v>
      </c>
      <c r="BC5" s="62">
        <f t="shared" si="4"/>
        <v>-3.4103169422980559</v>
      </c>
    </row>
    <row r="6" spans="2:55" x14ac:dyDescent="0.4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Q6">
        <v>4</v>
      </c>
      <c r="R6" s="64" t="s">
        <v>276</v>
      </c>
      <c r="S6" s="64"/>
      <c r="T6" s="64"/>
      <c r="U6" s="64"/>
      <c r="V6" s="65"/>
      <c r="AF6" s="59">
        <f>WorkCoefficients!B14</f>
        <v>11</v>
      </c>
      <c r="AG6" t="str">
        <f>WorkCoefficients!C14</f>
        <v>dt-nocars</v>
      </c>
      <c r="AH6">
        <f>WorkCoefficients!E14</f>
        <v>-2.5630624741500001</v>
      </c>
      <c r="AI6" s="62">
        <f t="shared" si="0"/>
        <v>-2.5630624741500001</v>
      </c>
      <c r="AK6" s="59">
        <f>SchoolCoeffcients!B14</f>
        <v>17</v>
      </c>
      <c r="AL6" t="str">
        <f>SchoolCoeffcients!C14</f>
        <v>sb-chun5</v>
      </c>
      <c r="AM6" s="55">
        <f>SchoolCoeffcients!E14</f>
        <v>-5.7474999999999996</v>
      </c>
      <c r="AN6" s="62">
        <f t="shared" si="1"/>
        <v>-5.7474999999999996</v>
      </c>
      <c r="AP6" s="59">
        <f>EscortCoefficients!B14</f>
        <v>32</v>
      </c>
      <c r="AQ6" t="str">
        <f>EscortCoefficients!C14</f>
        <v>s3-hh515</v>
      </c>
      <c r="AR6">
        <f>EscortCoefficients!E14</f>
        <v>0.52987540495700003</v>
      </c>
      <c r="AS6" s="62">
        <f t="shared" si="2"/>
        <v>0.52987540495700003</v>
      </c>
      <c r="AU6" s="59">
        <f>OtherCoefficients!B14</f>
        <v>21</v>
      </c>
      <c r="AV6" t="str">
        <f>OtherCoefficients!C14</f>
        <v>wt-nocars</v>
      </c>
      <c r="AW6">
        <f>OtherCoefficients!E14</f>
        <v>1.5917605661800001</v>
      </c>
      <c r="AX6" s="62">
        <f t="shared" si="3"/>
        <v>1.5917605661800001</v>
      </c>
      <c r="AZ6" s="59">
        <f>WorkBasedCoefficients!B14</f>
        <v>30</v>
      </c>
      <c r="BA6" s="54" t="str">
        <f>WorkBasedCoefficients!C14</f>
        <v>s3-const</v>
      </c>
      <c r="BB6" s="54">
        <f>WorkBasedCoefficients!E14</f>
        <v>-4.7133255538499998</v>
      </c>
      <c r="BC6" s="62">
        <f t="shared" si="4"/>
        <v>-4.7283041084775181</v>
      </c>
    </row>
    <row r="7" spans="2:55" x14ac:dyDescent="0.4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Q7" s="64">
        <v>5</v>
      </c>
      <c r="R7" s="64" t="s">
        <v>277</v>
      </c>
      <c r="S7" s="64"/>
      <c r="T7" s="64"/>
      <c r="U7" s="64"/>
      <c r="V7" s="65"/>
      <c r="AF7" s="59">
        <f>WorkCoefficients!B15</f>
        <v>13</v>
      </c>
      <c r="AG7" t="str">
        <f>WorkCoefficients!C15</f>
        <v>dt-carsltw</v>
      </c>
      <c r="AH7">
        <f>WorkCoefficients!E15</f>
        <v>-1.1851493333800001</v>
      </c>
      <c r="AI7" s="62">
        <f t="shared" si="0"/>
        <v>-1.1851493333800001</v>
      </c>
      <c r="AK7" s="59">
        <f>SchoolCoeffcients!B15</f>
        <v>18</v>
      </c>
      <c r="AL7" t="str">
        <f>SchoolCoeffcients!C15</f>
        <v>sb-univtr</v>
      </c>
      <c r="AM7" s="55">
        <f>SchoolCoeffcients!E15</f>
        <v>-5.2693623948299999</v>
      </c>
      <c r="AN7" s="62">
        <f t="shared" si="1"/>
        <v>-5.2693623948299999</v>
      </c>
      <c r="AP7" s="59">
        <f>EscortCoefficients!B15</f>
        <v>33</v>
      </c>
      <c r="AQ7" t="str">
        <f>EscortCoefficients!C15</f>
        <v>s3-hhdas</v>
      </c>
      <c r="AR7">
        <f>EscortCoefficients!E15</f>
        <v>0.27683051131000003</v>
      </c>
      <c r="AS7" s="62">
        <f t="shared" si="2"/>
        <v>0.27683051131000003</v>
      </c>
      <c r="AU7" s="59">
        <f>OtherCoefficients!B15</f>
        <v>30</v>
      </c>
      <c r="AV7" s="54" t="str">
        <f>OtherCoefficients!C15</f>
        <v>s3-const</v>
      </c>
      <c r="AW7" s="54">
        <f>OtherCoefficients!E15</f>
        <v>-1.78022496899</v>
      </c>
      <c r="AX7" s="62">
        <f t="shared" si="3"/>
        <v>-2.1971666032582369</v>
      </c>
      <c r="AZ7" s="59">
        <f>WorkBasedCoefficients!B15</f>
        <v>40</v>
      </c>
      <c r="BA7" s="54" t="str">
        <f>WorkBasedCoefficients!C15</f>
        <v>s2-const</v>
      </c>
      <c r="BB7" s="54">
        <f>WorkBasedCoefficients!E15</f>
        <v>-4.0965030205600002</v>
      </c>
      <c r="BC7" s="62">
        <f t="shared" si="4"/>
        <v>-4.4424641139051149</v>
      </c>
    </row>
    <row r="8" spans="2:55" x14ac:dyDescent="0.45">
      <c r="B8" s="9" t="s">
        <v>4</v>
      </c>
      <c r="C8" t="s">
        <v>199</v>
      </c>
      <c r="Q8" s="64"/>
      <c r="R8" s="64"/>
      <c r="S8" s="64"/>
      <c r="T8" s="64"/>
      <c r="U8" s="64"/>
      <c r="V8" s="65"/>
      <c r="AF8" s="59">
        <f>WorkCoefficients!B16</f>
        <v>20</v>
      </c>
      <c r="AG8" s="54" t="str">
        <f>WorkCoefficients!C16</f>
        <v>wt-const</v>
      </c>
      <c r="AH8" s="54">
        <f>WorkCoefficients!E16</f>
        <v>-3.0715896153100002</v>
      </c>
      <c r="AI8" s="62">
        <f t="shared" si="0"/>
        <v>-1.2344826317586977</v>
      </c>
      <c r="AK8" s="59">
        <f>SchoolCoeffcients!B16</f>
        <v>20</v>
      </c>
      <c r="AL8" s="54" t="str">
        <f>SchoolCoeffcients!C16</f>
        <v>wt-const</v>
      </c>
      <c r="AM8" s="56">
        <f>SchoolCoeffcients!E16</f>
        <v>-4.2802421756499998</v>
      </c>
      <c r="AN8" s="62">
        <f t="shared" si="1"/>
        <v>-3.5248522237342765</v>
      </c>
      <c r="AP8" s="59">
        <f>EscortCoefficients!B16</f>
        <v>40</v>
      </c>
      <c r="AQ8" s="54" t="str">
        <f>EscortCoefficients!C16</f>
        <v>s2-const</v>
      </c>
      <c r="AR8" s="54">
        <f>EscortCoefficients!E16</f>
        <v>-0.12564727430100001</v>
      </c>
      <c r="AS8" s="62">
        <f t="shared" si="2"/>
        <v>-0.31969962551285558</v>
      </c>
      <c r="AU8" s="59">
        <f>OtherCoefficients!B16</f>
        <v>31</v>
      </c>
      <c r="AV8" t="str">
        <f>OtherCoefficients!C16</f>
        <v>sr-hhcu5</v>
      </c>
      <c r="AW8">
        <f>OtherCoefficients!E16</f>
        <v>0.51412339771600002</v>
      </c>
      <c r="AX8" s="62">
        <f t="shared" si="3"/>
        <v>0.51412339771600002</v>
      </c>
      <c r="AZ8" s="59">
        <f>WorkBasedCoefficients!B16</f>
        <v>50</v>
      </c>
      <c r="BA8" s="54" t="str">
        <f>WorkBasedCoefficients!C16</f>
        <v>da-const</v>
      </c>
      <c r="BB8" s="54">
        <f>WorkBasedCoefficients!E16</f>
        <v>-3.4804368051500001</v>
      </c>
      <c r="BC8" s="62">
        <f t="shared" si="4"/>
        <v>-4.6590468141807309</v>
      </c>
    </row>
    <row r="9" spans="2:55" x14ac:dyDescent="0.4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Q9" s="64"/>
      <c r="R9" s="67" t="s">
        <v>278</v>
      </c>
      <c r="S9" s="64"/>
      <c r="T9" s="64"/>
      <c r="U9" s="64"/>
      <c r="V9" s="65"/>
      <c r="AF9" s="59">
        <f>WorkCoefficients!B17</f>
        <v>30</v>
      </c>
      <c r="AG9" s="54" t="str">
        <f>WorkCoefficients!C17</f>
        <v>s3-const</v>
      </c>
      <c r="AH9" s="54">
        <f>WorkCoefficients!E17</f>
        <v>-2.4689708000600001</v>
      </c>
      <c r="AI9" s="62">
        <f t="shared" si="0"/>
        <v>-2.9383753656400255</v>
      </c>
      <c r="AK9" s="59">
        <f>SchoolCoeffcients!B17</f>
        <v>21</v>
      </c>
      <c r="AL9" t="str">
        <f>SchoolCoeffcients!C17</f>
        <v>wt-nocars</v>
      </c>
      <c r="AM9" s="55">
        <f>SchoolCoeffcients!E17</f>
        <v>-5.0045350575299997E-2</v>
      </c>
      <c r="AN9" s="62">
        <f t="shared" si="1"/>
        <v>-5.0045350575299997E-2</v>
      </c>
      <c r="AP9" s="5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 s="62">
        <f t="shared" si="2"/>
        <v>-5.9139999999999997</v>
      </c>
      <c r="AU9" s="59">
        <f>OtherCoefficients!B17</f>
        <v>32</v>
      </c>
      <c r="AV9" t="str">
        <f>OtherCoefficients!C17</f>
        <v>sr-hh515</v>
      </c>
      <c r="AW9">
        <f>OtherCoefficients!E17</f>
        <v>0.22481870389600001</v>
      </c>
      <c r="AX9" s="62">
        <f t="shared" si="3"/>
        <v>0.22481870389600001</v>
      </c>
      <c r="AZ9" s="59">
        <f>WorkBasedCoefficients!B17</f>
        <v>54</v>
      </c>
      <c r="BA9" t="str">
        <f>WorkBasedCoefficients!C17</f>
        <v>da-incu25</v>
      </c>
      <c r="BB9">
        <f>WorkBasedCoefficients!E17</f>
        <v>0.97510624866100004</v>
      </c>
      <c r="BC9" s="62">
        <f t="shared" si="4"/>
        <v>0.97510624866100004</v>
      </c>
    </row>
    <row r="10" spans="2:55" x14ac:dyDescent="0.4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Q10" s="64">
        <v>1</v>
      </c>
      <c r="R10" s="66" t="s">
        <v>284</v>
      </c>
      <c r="S10" s="64"/>
      <c r="T10" s="64"/>
      <c r="U10" s="64"/>
      <c r="V10" s="65"/>
      <c r="AF10" s="59">
        <f>WorkCoefficients!B18</f>
        <v>31</v>
      </c>
      <c r="AG10" t="str">
        <f>WorkCoefficients!C18</f>
        <v>sr-hhcu5</v>
      </c>
      <c r="AH10">
        <f>WorkCoefficients!E18</f>
        <v>0</v>
      </c>
      <c r="AI10" s="62">
        <f t="shared" si="0"/>
        <v>0</v>
      </c>
      <c r="AK10" s="59">
        <f>SchoolCoeffcients!B18</f>
        <v>22</v>
      </c>
      <c r="AL10" t="str">
        <f>SchoolCoeffcients!C18</f>
        <v>wt-carsltd</v>
      </c>
      <c r="AM10" s="55">
        <f>SchoolCoeffcients!E18</f>
        <v>-5.0746490196100003E-2</v>
      </c>
      <c r="AN10" s="62">
        <f t="shared" si="1"/>
        <v>-5.0746490196100003E-2</v>
      </c>
      <c r="AP10" s="59">
        <f>EscortCoefficients!B18</f>
        <v>42</v>
      </c>
      <c r="AQ10" t="str">
        <f>EscortCoefficients!C18</f>
        <v>sr-carsltd</v>
      </c>
      <c r="AR10">
        <f>EscortCoefficients!E18</f>
        <v>1.7160894484299999E-2</v>
      </c>
      <c r="AS10" s="62">
        <f t="shared" si="2"/>
        <v>1.7160894484299999E-2</v>
      </c>
      <c r="AU10" s="59">
        <f>OtherCoefficients!B18</f>
        <v>34</v>
      </c>
      <c r="AV10" t="str">
        <f>OtherCoefficients!C18</f>
        <v>sr-hhnwa</v>
      </c>
      <c r="AW10">
        <f>OtherCoefficients!E18</f>
        <v>0.11332032202599999</v>
      </c>
      <c r="AX10" s="62">
        <f t="shared" si="3"/>
        <v>0.11332032202599999</v>
      </c>
      <c r="AZ10" s="59">
        <f>WorkBasedCoefficients!B18</f>
        <v>55</v>
      </c>
      <c r="BA10" t="str">
        <f>WorkBasedCoefficients!C18</f>
        <v>da-inc2550</v>
      </c>
      <c r="BB10">
        <f>WorkBasedCoefficients!E18</f>
        <v>0.14671643063500001</v>
      </c>
      <c r="BC10" s="62">
        <f t="shared" si="4"/>
        <v>0.14671643063500001</v>
      </c>
    </row>
    <row r="11" spans="2:55" x14ac:dyDescent="0.45">
      <c r="B11" s="9" t="s">
        <v>7</v>
      </c>
      <c r="Q11" s="64">
        <v>2</v>
      </c>
      <c r="R11" s="64" t="s">
        <v>279</v>
      </c>
      <c r="S11" s="64"/>
      <c r="T11" s="64"/>
      <c r="U11" s="64"/>
      <c r="V11" s="65"/>
      <c r="AF11" s="59">
        <f>WorkCoefficients!B19</f>
        <v>32</v>
      </c>
      <c r="AG11" t="str">
        <f>WorkCoefficients!C19</f>
        <v>sr-hh515</v>
      </c>
      <c r="AH11">
        <f>WorkCoefficients!E19</f>
        <v>0.44708751338699998</v>
      </c>
      <c r="AI11" s="62">
        <f t="shared" si="0"/>
        <v>0.44708751338699998</v>
      </c>
      <c r="AK11" s="59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62">
        <f t="shared" si="1"/>
        <v>-5</v>
      </c>
      <c r="AP11" s="59">
        <f>EscortCoefficients!B19</f>
        <v>50</v>
      </c>
      <c r="AQ11" s="59" t="str">
        <f>EscortCoefficients!C19</f>
        <v>hov-const</v>
      </c>
      <c r="AR11" s="59">
        <f>EscortCoefficients!E19</f>
        <v>-10</v>
      </c>
      <c r="AS11" s="62">
        <f t="shared" si="2"/>
        <v>-4.1199663456490416</v>
      </c>
      <c r="AU11" s="59">
        <f>OtherCoefficients!B19</f>
        <v>35</v>
      </c>
      <c r="AV11" t="str">
        <f>OtherCoefficients!C19</f>
        <v>sr-lndist</v>
      </c>
      <c r="AW11">
        <f>OtherCoefficients!E19</f>
        <v>0.15232257376399999</v>
      </c>
      <c r="AX11" s="62">
        <f t="shared" si="3"/>
        <v>0.15232257376399999</v>
      </c>
      <c r="AZ11" s="59">
        <f>WorkBasedCoefficients!B19</f>
        <v>58</v>
      </c>
      <c r="BA11" t="str">
        <f>WorkBasedCoefficients!C19</f>
        <v>da-dtowork</v>
      </c>
      <c r="BB11">
        <f>WorkBasedCoefficients!E19</f>
        <v>2.1275969903499998</v>
      </c>
      <c r="BC11" s="62">
        <f t="shared" si="4"/>
        <v>2.1275969903499998</v>
      </c>
    </row>
    <row r="12" spans="2:55" x14ac:dyDescent="0.45">
      <c r="B12" s="14" t="s">
        <v>8</v>
      </c>
      <c r="D12" t="s">
        <v>199</v>
      </c>
      <c r="Q12" s="64">
        <v>3</v>
      </c>
      <c r="R12" s="64" t="s">
        <v>280</v>
      </c>
      <c r="S12" s="64"/>
      <c r="T12" s="64"/>
      <c r="U12" s="64"/>
      <c r="V12" s="65"/>
      <c r="AF12" s="59">
        <f>WorkCoefficients!B20</f>
        <v>35</v>
      </c>
      <c r="AG12" t="str">
        <f>WorkCoefficients!C20</f>
        <v>sr-lndist</v>
      </c>
      <c r="AH12">
        <f>WorkCoefficients!E20</f>
        <v>-0.353876441667</v>
      </c>
      <c r="AI12" s="62">
        <f t="shared" si="0"/>
        <v>-0.353876441667</v>
      </c>
      <c r="AK12" s="59">
        <f>SchoolCoeffcients!B20</f>
        <v>28</v>
      </c>
      <c r="AL12" t="str">
        <f>SchoolCoeffcients!C20</f>
        <v>wt-univtr</v>
      </c>
      <c r="AM12" s="55">
        <f>SchoolCoeffcients!E20</f>
        <v>5.2955199731100002</v>
      </c>
      <c r="AN12" s="62">
        <f t="shared" si="1"/>
        <v>5.2955199731100002</v>
      </c>
      <c r="AP12" s="59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62">
        <f t="shared" si="2"/>
        <v>-7.54475883707779</v>
      </c>
      <c r="AU12" s="59">
        <f>OtherCoefficients!B20</f>
        <v>38</v>
      </c>
      <c r="AV12" t="str">
        <f>OtherCoefficients!C20</f>
        <v>s3-onephh</v>
      </c>
      <c r="AW12">
        <f>OtherCoefficients!E20</f>
        <v>-2.7924179320700002</v>
      </c>
      <c r="AX12" s="62">
        <f t="shared" si="3"/>
        <v>-2.7924179320700002</v>
      </c>
      <c r="AZ12" s="59">
        <f>WorkBasedCoefficients!B20</f>
        <v>59</v>
      </c>
      <c r="BA12" t="str">
        <f>WorkBasedCoefficients!C20</f>
        <v>da-stowork</v>
      </c>
      <c r="BB12">
        <f>WorkBasedCoefficients!E20</f>
        <v>1.74975968113</v>
      </c>
      <c r="BC12" s="62">
        <f t="shared" si="4"/>
        <v>1.74975968113</v>
      </c>
    </row>
    <row r="13" spans="2:55" x14ac:dyDescent="0.45">
      <c r="C13" s="38"/>
      <c r="D13" s="38"/>
      <c r="E13" s="38"/>
      <c r="F13" s="38"/>
      <c r="G13" s="38"/>
      <c r="H13" s="45"/>
      <c r="Q13" s="64">
        <v>4</v>
      </c>
      <c r="R13" s="64" t="s">
        <v>281</v>
      </c>
      <c r="S13" s="64"/>
      <c r="T13" s="64"/>
      <c r="U13" s="64"/>
      <c r="V13" s="65"/>
      <c r="AF13" s="59">
        <f>WorkCoefficients!B21</f>
        <v>38</v>
      </c>
      <c r="AG13" t="str">
        <f>WorkCoefficients!C21</f>
        <v>s3-onephh</v>
      </c>
      <c r="AH13">
        <f>WorkCoefficients!E21</f>
        <v>-2.0693221341900001</v>
      </c>
      <c r="AI13" s="62">
        <f t="shared" si="0"/>
        <v>-2.0693221341900001</v>
      </c>
      <c r="AK13" s="59">
        <f>SchoolCoeffcients!B21</f>
        <v>29</v>
      </c>
      <c r="AL13" t="str">
        <f>SchoolCoeffcients!C21</f>
        <v>wt-ch1617</v>
      </c>
      <c r="AM13" s="55">
        <f>SchoolCoeffcients!E21</f>
        <v>3.2469681077099999</v>
      </c>
      <c r="AN13" s="62">
        <f t="shared" si="1"/>
        <v>3.2469681077099999</v>
      </c>
      <c r="AP13" s="59">
        <f>EscortCoefficients!B21</f>
        <v>73</v>
      </c>
      <c r="AQ13" t="str">
        <f>EscortCoefficients!C21</f>
        <v>wk-ageo50</v>
      </c>
      <c r="AR13">
        <f>EscortCoefficients!E21</f>
        <v>-2.00293581172</v>
      </c>
      <c r="AS13" s="62">
        <f t="shared" si="2"/>
        <v>-2.00293581172</v>
      </c>
      <c r="AU13" s="59">
        <f>OtherCoefficients!B21</f>
        <v>39</v>
      </c>
      <c r="AV13" t="str">
        <f>OtherCoefficients!C21</f>
        <v>s3-twophh</v>
      </c>
      <c r="AW13">
        <f>OtherCoefficients!E21</f>
        <v>-2.8161782516899998</v>
      </c>
      <c r="AX13" s="62">
        <f t="shared" si="3"/>
        <v>-2.8161782516899998</v>
      </c>
      <c r="AZ13" s="59">
        <f>WorkBasedCoefficients!B21</f>
        <v>60</v>
      </c>
      <c r="BA13" s="54" t="str">
        <f>WorkBasedCoefficients!C21</f>
        <v>bi-const</v>
      </c>
      <c r="BB13" s="54">
        <f>WorkBasedCoefficients!E21</f>
        <v>-6.3776051105600002</v>
      </c>
      <c r="BC13" s="62">
        <f t="shared" si="4"/>
        <v>-6.3776051105600002</v>
      </c>
    </row>
    <row r="14" spans="2:55" x14ac:dyDescent="0.45">
      <c r="Q14" s="64">
        <v>5</v>
      </c>
      <c r="R14" s="66" t="s">
        <v>286</v>
      </c>
      <c r="S14" s="64"/>
      <c r="T14" s="64"/>
      <c r="U14" s="64"/>
      <c r="V14" s="65"/>
      <c r="AF14" s="59">
        <f>WorkCoefficients!B22</f>
        <v>39</v>
      </c>
      <c r="AG14" t="str">
        <f>WorkCoefficients!C22</f>
        <v>s3-twophh</v>
      </c>
      <c r="AH14">
        <f>WorkCoefficients!E22</f>
        <v>-1.1541206636100001</v>
      </c>
      <c r="AI14" s="62">
        <f t="shared" si="0"/>
        <v>-1.1541206636100001</v>
      </c>
      <c r="AK14" s="59">
        <f>SchoolCoeffcients!B22</f>
        <v>30</v>
      </c>
      <c r="AL14" s="54" t="str">
        <f>SchoolCoeffcients!C22</f>
        <v>s3-const</v>
      </c>
      <c r="AM14" s="56">
        <f>SchoolCoeffcients!E22</f>
        <v>-0.48513089974599999</v>
      </c>
      <c r="AN14" s="62">
        <f t="shared" si="1"/>
        <v>-0.40223503317518666</v>
      </c>
      <c r="AP14" s="59">
        <f>EscortCoefficients!B22</f>
        <v>76</v>
      </c>
      <c r="AQ14" t="str">
        <f>EscortCoefficients!C22</f>
        <v>wk-dintd</v>
      </c>
      <c r="AR14">
        <f>EscortCoefficients!E22</f>
        <v>0</v>
      </c>
      <c r="AS14" s="62">
        <f t="shared" si="2"/>
        <v>0</v>
      </c>
      <c r="AU14" s="59">
        <f>OtherCoefficients!B22</f>
        <v>40</v>
      </c>
      <c r="AV14" s="54" t="str">
        <f>OtherCoefficients!C22</f>
        <v>s2-const</v>
      </c>
      <c r="AW14" s="54">
        <f>OtherCoefficients!E22</f>
        <v>-2.0094454428500002</v>
      </c>
      <c r="AX14" s="62">
        <f t="shared" si="3"/>
        <v>-1.8680961519521941</v>
      </c>
      <c r="AZ14" s="59">
        <f>WorkBasedCoefficients!B22</f>
        <v>61</v>
      </c>
      <c r="BA14" t="str">
        <f>WorkBasedCoefficients!C22</f>
        <v>bi-male</v>
      </c>
      <c r="BB14">
        <f>WorkBasedCoefficients!E22</f>
        <v>-0.40221769537000002</v>
      </c>
      <c r="BC14" s="62">
        <f t="shared" si="4"/>
        <v>-0.40221769537000002</v>
      </c>
    </row>
    <row r="15" spans="2:55" x14ac:dyDescent="0.45">
      <c r="B15" s="58" t="s">
        <v>245</v>
      </c>
      <c r="J15" s="36" t="s">
        <v>33</v>
      </c>
      <c r="Q15" s="64">
        <v>6</v>
      </c>
      <c r="R15" s="64" t="s">
        <v>288</v>
      </c>
      <c r="S15" s="64"/>
      <c r="T15" s="64"/>
      <c r="U15" s="64"/>
      <c r="V15" s="65"/>
      <c r="AF15" s="59">
        <f>WorkCoefficients!B23</f>
        <v>40</v>
      </c>
      <c r="AG15" s="54" t="str">
        <f>WorkCoefficients!C23</f>
        <v>s2-const</v>
      </c>
      <c r="AH15" s="54">
        <f>WorkCoefficients!E23</f>
        <v>-1.9489459630199999</v>
      </c>
      <c r="AI15" s="62">
        <f t="shared" si="0"/>
        <v>-2.0074962443815352</v>
      </c>
      <c r="AK15" s="59">
        <f>SchoolCoeffcients!B23</f>
        <v>37</v>
      </c>
      <c r="AL15" t="str">
        <f>SchoolCoeffcients!C23</f>
        <v>s3-twophh</v>
      </c>
      <c r="AM15" s="55">
        <f>SchoolCoeffcients!E23</f>
        <v>-2.1066630984999999</v>
      </c>
      <c r="AN15" s="62">
        <f t="shared" si="1"/>
        <v>-2.1066630984999999</v>
      </c>
      <c r="AP15" s="59">
        <f>EscortCoefficients!B23</f>
        <v>81</v>
      </c>
      <c r="AQ15" t="str">
        <f>EscortCoefficients!C23</f>
        <v>wk-hhcu5</v>
      </c>
      <c r="AR15">
        <f>EscortCoefficients!E23</f>
        <v>0.55040750847099995</v>
      </c>
      <c r="AS15" s="62">
        <f t="shared" si="2"/>
        <v>0.55040750847099995</v>
      </c>
      <c r="AU15" s="59">
        <f>OtherCoefficients!B23</f>
        <v>41</v>
      </c>
      <c r="AV15" t="str">
        <f>OtherCoefficients!C23</f>
        <v>sr-nocars</v>
      </c>
      <c r="AW15">
        <f>OtherCoefficients!E23</f>
        <v>-1.48012105583</v>
      </c>
      <c r="AX15" s="62">
        <f t="shared" si="3"/>
        <v>-1.48012105583</v>
      </c>
      <c r="AZ15" s="59">
        <f>WorkBasedCoefficients!B23</f>
        <v>69</v>
      </c>
      <c r="BA15" t="str">
        <f>WorkBasedCoefficients!C23</f>
        <v>bi-btowork</v>
      </c>
      <c r="BB15">
        <f>WorkBasedCoefficients!E23</f>
        <v>2.9044382565300002</v>
      </c>
      <c r="BC15" s="62">
        <f t="shared" si="4"/>
        <v>2.9044382565300002</v>
      </c>
    </row>
    <row r="16" spans="2:55" ht="14.65" thickBot="1" x14ac:dyDescent="0.5">
      <c r="Q16" s="64">
        <v>7</v>
      </c>
      <c r="R16" s="64" t="s">
        <v>276</v>
      </c>
      <c r="S16" s="64"/>
      <c r="T16" s="64"/>
      <c r="U16" s="64"/>
      <c r="V16" s="65"/>
      <c r="X16" t="s">
        <v>244</v>
      </c>
      <c r="AF16" s="59">
        <f>WorkCoefficients!B24</f>
        <v>41</v>
      </c>
      <c r="AG16" t="str">
        <f>WorkCoefficients!C24</f>
        <v>sr-nocars</v>
      </c>
      <c r="AH16">
        <f>WorkCoefficients!E24</f>
        <v>-3.5522207297700001</v>
      </c>
      <c r="AI16" s="62">
        <f t="shared" si="0"/>
        <v>-3.5522207297700001</v>
      </c>
      <c r="AK16" s="59">
        <f>SchoolCoeffcients!B24</f>
        <v>38</v>
      </c>
      <c r="AL16" t="str">
        <f>SchoolCoeffcients!C24</f>
        <v>s2-onephh</v>
      </c>
      <c r="AM16" s="55">
        <f>SchoolCoeffcients!E24</f>
        <v>-1.0239845561200001</v>
      </c>
      <c r="AN16" s="62">
        <f t="shared" si="1"/>
        <v>-1.0239845561200001</v>
      </c>
      <c r="AP16" s="59">
        <f>EscortCoefficients!B24</f>
        <v>82</v>
      </c>
      <c r="AQ16" t="str">
        <f>EscortCoefficients!C24</f>
        <v>wk-hh515</v>
      </c>
      <c r="AR16">
        <f>EscortCoefficients!E24</f>
        <v>0.55327396092299996</v>
      </c>
      <c r="AS16" s="62">
        <f t="shared" si="2"/>
        <v>0.55327396092299996</v>
      </c>
      <c r="AU16" s="59">
        <f>OtherCoefficients!B24</f>
        <v>43</v>
      </c>
      <c r="AV16" t="str">
        <f>OtherCoefficients!C24</f>
        <v>sr-carsltw</v>
      </c>
      <c r="AW16">
        <f>OtherCoefficients!E24</f>
        <v>-8.92899546287E-2</v>
      </c>
      <c r="AX16" s="62">
        <f t="shared" si="3"/>
        <v>-8.92899546287E-2</v>
      </c>
      <c r="AZ16" s="59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 s="62">
        <f t="shared" si="4"/>
        <v>5</v>
      </c>
    </row>
    <row r="17" spans="2:55" x14ac:dyDescent="0.4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64">
        <v>8</v>
      </c>
      <c r="R17" s="64" t="s">
        <v>282</v>
      </c>
      <c r="S17" s="64"/>
      <c r="T17" s="64"/>
      <c r="U17" s="64"/>
      <c r="V17" s="65"/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 s="59">
        <f>WorkCoefficients!B25</f>
        <v>42</v>
      </c>
      <c r="AG17" t="str">
        <f>WorkCoefficients!C25</f>
        <v>sr-carsltd</v>
      </c>
      <c r="AH17">
        <f>WorkCoefficients!E25</f>
        <v>0.41721974571499998</v>
      </c>
      <c r="AI17" s="62">
        <f t="shared" si="0"/>
        <v>0.41721974571499998</v>
      </c>
      <c r="AK17" s="59">
        <f>SchoolCoeffcients!B25</f>
        <v>40</v>
      </c>
      <c r="AL17" s="54" t="str">
        <f>SchoolCoeffcients!C25</f>
        <v>s2-const</v>
      </c>
      <c r="AM17" s="56">
        <f>SchoolCoeffcients!E25</f>
        <v>-0.93652639794899994</v>
      </c>
      <c r="AN17" s="62">
        <f t="shared" si="1"/>
        <v>-0.68463555162436962</v>
      </c>
      <c r="AP17" s="59">
        <f>EscortCoefficients!B25</f>
        <v>83</v>
      </c>
      <c r="AQ17" t="str">
        <f>EscortCoefficients!C25</f>
        <v>wk-hhdas</v>
      </c>
      <c r="AR17">
        <f>EscortCoefficients!E25</f>
        <v>-3.0048826474500001</v>
      </c>
      <c r="AS17" s="62">
        <f t="shared" si="2"/>
        <v>-3.0048826474500001</v>
      </c>
      <c r="AU17" s="59">
        <f>OtherCoefficients!B25</f>
        <v>48</v>
      </c>
      <c r="AV17" t="str">
        <f>OtherCoefficients!C25</f>
        <v>s2-onephh</v>
      </c>
      <c r="AW17">
        <f>OtherCoefficients!E25</f>
        <v>-1.4328025129299999</v>
      </c>
      <c r="AX17" s="62">
        <f t="shared" si="3"/>
        <v>-1.4328025129299999</v>
      </c>
      <c r="AZ17" s="59">
        <f>WorkBasedCoefficients!B25</f>
        <v>88</v>
      </c>
      <c r="BA17" t="str">
        <f>WorkBasedCoefficients!C25</f>
        <v>sr-dtowork</v>
      </c>
      <c r="BB17">
        <f>WorkBasedCoefficients!E25</f>
        <v>0.53543285841400001</v>
      </c>
      <c r="BC17" s="62">
        <f t="shared" si="4"/>
        <v>0.53543285841400001</v>
      </c>
    </row>
    <row r="18" spans="2:55" x14ac:dyDescent="0.45">
      <c r="B18" s="9" t="s">
        <v>1</v>
      </c>
      <c r="C18" s="9">
        <f>Work!D4</f>
        <v>121541.99748277701</v>
      </c>
      <c r="D18" s="9">
        <f>School!D4</f>
        <v>13080.8615792497</v>
      </c>
      <c r="E18" s="9">
        <f>Escort!D4</f>
        <v>2271.3887821950002</v>
      </c>
      <c r="F18" s="9">
        <f>Personal_Business!D4+Shop!D4+Meal!D4+SocRec!D4</f>
        <v>77760.151270041097</v>
      </c>
      <c r="G18" s="9">
        <f>Workbased!I5</f>
        <v>6457.1969214740002</v>
      </c>
      <c r="H18" s="9">
        <f>SUM(C18:G18)</f>
        <v>221111.59603573682</v>
      </c>
      <c r="J18" s="9" t="s">
        <v>1</v>
      </c>
      <c r="K18" s="9">
        <f>Work!I4</f>
        <v>153588</v>
      </c>
      <c r="L18" s="9">
        <f>School!I4</f>
        <v>10310</v>
      </c>
      <c r="M18" s="9">
        <f>Escort!I4</f>
        <v>5</v>
      </c>
      <c r="N18" s="9">
        <f>Shop!I4+Meal!I4+SocRec!I4+Personal_Business!I4</f>
        <v>92806</v>
      </c>
      <c r="O18" s="9">
        <f>Workbased!S5</f>
        <v>14633</v>
      </c>
      <c r="P18" s="9">
        <f>SUM(K18:O18)</f>
        <v>271342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 s="59">
        <f>WorkCoefficients!B26</f>
        <v>48</v>
      </c>
      <c r="AG18" t="str">
        <f>WorkCoefficients!C26</f>
        <v>s2-onephh</v>
      </c>
      <c r="AH18">
        <f>WorkCoefficients!E26</f>
        <v>-1.9493287002999999</v>
      </c>
      <c r="AI18" s="62">
        <f t="shared" si="0"/>
        <v>-1.9493287002999999</v>
      </c>
      <c r="AK18" s="59">
        <f>SchoolCoeffcients!B26</f>
        <v>41</v>
      </c>
      <c r="AL18" t="str">
        <f>SchoolCoeffcients!C26</f>
        <v>sr-nocars</v>
      </c>
      <c r="AM18" s="55">
        <f>SchoolCoeffcients!E26</f>
        <v>-1.3307406132499999</v>
      </c>
      <c r="AN18" s="62">
        <f t="shared" si="1"/>
        <v>-1.3307406132499999</v>
      </c>
      <c r="AP18" s="59">
        <f>EscortCoefficients!B26</f>
        <v>999</v>
      </c>
      <c r="AQ18" t="str">
        <f>EscortCoefficients!C26</f>
        <v>Theta0999</v>
      </c>
      <c r="AR18">
        <f>EscortCoefficients!E26</f>
        <v>0.54150419246199999</v>
      </c>
      <c r="AS18" s="62">
        <f t="shared" si="2"/>
        <v>0.54150419246199999</v>
      </c>
      <c r="AU18" s="59">
        <f>OtherCoefficients!B26</f>
        <v>50</v>
      </c>
      <c r="AV18" s="54" t="str">
        <f>OtherCoefficients!C26</f>
        <v>da-const</v>
      </c>
      <c r="AW18" s="54">
        <f>OtherCoefficients!E26</f>
        <v>-0.461309408531</v>
      </c>
      <c r="AX18" s="62">
        <f t="shared" si="3"/>
        <v>-0.51983352223956714</v>
      </c>
      <c r="AZ18" s="59">
        <f>WorkBasedCoefficients!B26</f>
        <v>89</v>
      </c>
      <c r="BA18" t="str">
        <f>WorkBasedCoefficients!C26</f>
        <v>sr-stowork</v>
      </c>
      <c r="BB18">
        <f>WorkBasedCoefficients!E26</f>
        <v>1.1826209493099999</v>
      </c>
      <c r="BC18" s="62">
        <f t="shared" si="4"/>
        <v>1.1826209493099999</v>
      </c>
    </row>
    <row r="19" spans="2:55" x14ac:dyDescent="0.45">
      <c r="B19" s="9" t="s">
        <v>2</v>
      </c>
      <c r="C19" s="9">
        <f>Work!D5</f>
        <v>32993.968203781697</v>
      </c>
      <c r="D19" s="9">
        <f>School!D5</f>
        <v>22610.927629476999</v>
      </c>
      <c r="E19" s="9">
        <f>Escort!D5</f>
        <v>48825.850515909398</v>
      </c>
      <c r="F19" s="9">
        <f>Personal_Business!D5+Shop!D5+Meal!D5+SocRec!D5</f>
        <v>93879.7874088471</v>
      </c>
      <c r="G19" s="9">
        <f>Workbased!I6</f>
        <v>3508.7342551685997</v>
      </c>
      <c r="H19" s="9">
        <f t="shared" ref="H19:H25" si="5">SUM(C19:G19)</f>
        <v>201819.26801318378</v>
      </c>
      <c r="J19" s="9" t="s">
        <v>2</v>
      </c>
      <c r="K19" s="9">
        <f>Work!I5</f>
        <v>40539</v>
      </c>
      <c r="L19" s="9">
        <f>School!I5</f>
        <v>15444</v>
      </c>
      <c r="M19" s="9">
        <f>Escort!I5</f>
        <v>46695</v>
      </c>
      <c r="N19" s="9">
        <f>Shop!I5+Meal!I5+SocRec!I5+Personal_Business!I5</f>
        <v>91746</v>
      </c>
      <c r="O19" s="9">
        <f>Workbased!S6</f>
        <v>3458</v>
      </c>
      <c r="P19" s="9">
        <f t="shared" ref="P19:P25" si="6">SUM(K19:O19)</f>
        <v>197882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9">
        <f>WorkCoefficients!B27</f>
        <v>50</v>
      </c>
      <c r="AG19" s="54" t="str">
        <f>WorkCoefficients!C27</f>
        <v>da-const</v>
      </c>
      <c r="AH19" s="54">
        <f>WorkCoefficients!E27</f>
        <v>1.48159853972</v>
      </c>
      <c r="AI19" s="62">
        <f t="shared" si="0"/>
        <v>1.3949741377135831</v>
      </c>
      <c r="AK19" s="59">
        <f>SchoolCoeffcients!B27</f>
        <v>44</v>
      </c>
      <c r="AL19" t="str">
        <f>SchoolCoeffcients!C27</f>
        <v>sr-incu25</v>
      </c>
      <c r="AM19" s="55">
        <f>SchoolCoeffcients!E27</f>
        <v>0.22708982679199999</v>
      </c>
      <c r="AN19" s="62">
        <f t="shared" si="1"/>
        <v>0.22708982679199999</v>
      </c>
      <c r="AU19" s="59">
        <f>OtherCoefficients!B27</f>
        <v>52</v>
      </c>
      <c r="AV19" t="str">
        <f>OtherCoefficients!C27</f>
        <v>da-carsltd</v>
      </c>
      <c r="AW19">
        <f>OtherCoefficients!E27</f>
        <v>-0.79057828054699997</v>
      </c>
      <c r="AX19" s="62">
        <f t="shared" si="3"/>
        <v>-0.79057828054699997</v>
      </c>
      <c r="AZ19" s="59">
        <f>WorkBasedCoefficients!B27</f>
        <v>99</v>
      </c>
      <c r="BA19" t="str">
        <f>WorkBasedCoefficients!C27</f>
        <v>modenest</v>
      </c>
      <c r="BB19">
        <f>WorkBasedCoefficients!E27</f>
        <v>0.88959318905899998</v>
      </c>
      <c r="BC19" s="62">
        <f t="shared" si="4"/>
        <v>0.88959318905899998</v>
      </c>
    </row>
    <row r="20" spans="2:55" x14ac:dyDescent="0.45">
      <c r="B20" s="9" t="s">
        <v>3</v>
      </c>
      <c r="C20" s="9">
        <f>Work!D6</f>
        <v>11397.869636564899</v>
      </c>
      <c r="D20" s="9">
        <f>School!D6</f>
        <v>31383.975030713002</v>
      </c>
      <c r="E20" s="9">
        <f>Escort!D6</f>
        <v>46931.896961273</v>
      </c>
      <c r="F20" s="9">
        <f>Personal_Business!D6+Shop!D6+Meal!D6+SocRec!D6</f>
        <v>49410.406154267002</v>
      </c>
      <c r="G20" s="9">
        <f>Workbased!I7</f>
        <v>1761.7157277920001</v>
      </c>
      <c r="H20" s="9">
        <f t="shared" si="5"/>
        <v>140885.8635106099</v>
      </c>
      <c r="J20" s="9" t="s">
        <v>3</v>
      </c>
      <c r="K20" s="9">
        <f>Work!I6</f>
        <v>21120</v>
      </c>
      <c r="L20" s="9">
        <f>School!I6</f>
        <v>25383</v>
      </c>
      <c r="M20" s="9">
        <f>Escort!I6</f>
        <v>32777</v>
      </c>
      <c r="N20" s="9">
        <f>Shop!I6+Meal!I6+SocRec!I6+Personal_Business!I6</f>
        <v>84391</v>
      </c>
      <c r="O20" s="9">
        <f>Workbased!S7</f>
        <v>1247</v>
      </c>
      <c r="P20" s="9">
        <f t="shared" si="6"/>
        <v>164918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 s="59">
        <f>WorkCoefficients!B28</f>
        <v>53</v>
      </c>
      <c r="AG20" t="str">
        <f>WorkCoefficients!C28</f>
        <v>da-carsltw</v>
      </c>
      <c r="AH20">
        <f>WorkCoefficients!E28</f>
        <v>-2.5141990240499998</v>
      </c>
      <c r="AI20" s="62">
        <f t="shared" si="0"/>
        <v>-2.5141990240499998</v>
      </c>
      <c r="AK20" s="59">
        <f>SchoolCoeffcients!B28</f>
        <v>45</v>
      </c>
      <c r="AL20" t="str">
        <f>SchoolCoeffcients!C28</f>
        <v>sr-inc2550</v>
      </c>
      <c r="AM20" s="55">
        <f>SchoolCoeffcients!E28</f>
        <v>-0.52505228928900005</v>
      </c>
      <c r="AN20" s="62">
        <f t="shared" si="1"/>
        <v>-0.52505228928900005</v>
      </c>
      <c r="AU20" s="59">
        <f>OtherCoefficients!B28</f>
        <v>54</v>
      </c>
      <c r="AV20" t="str">
        <f>OtherCoefficients!C28</f>
        <v>inc0to25k</v>
      </c>
      <c r="AW20">
        <f>OtherCoefficients!E28</f>
        <v>7.4242773487299997E-3</v>
      </c>
      <c r="AX20" s="62">
        <f t="shared" si="3"/>
        <v>7.4242773487299997E-3</v>
      </c>
    </row>
    <row r="21" spans="2:55" x14ac:dyDescent="0.45">
      <c r="B21" s="9" t="s">
        <v>4</v>
      </c>
      <c r="C21" s="9">
        <f>Work!D7</f>
        <v>5507.3021994600003</v>
      </c>
      <c r="D21" s="9">
        <f>School!D7</f>
        <v>222.6225</v>
      </c>
      <c r="E21" s="9">
        <f>Escort!D7</f>
        <v>0</v>
      </c>
      <c r="F21" s="9">
        <f>Personal_Business!D7+Shop!D7+Meal!D7+SocRec!D7</f>
        <v>510.09120453000003</v>
      </c>
      <c r="G21" s="9">
        <f>Workbased!I8</f>
        <v>0</v>
      </c>
      <c r="H21" s="9">
        <f t="shared" si="5"/>
        <v>6240.0159039900009</v>
      </c>
      <c r="J21" s="9" t="s">
        <v>4</v>
      </c>
      <c r="K21" s="9">
        <f>Work!I7</f>
        <v>11309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6"/>
        <v>11309</v>
      </c>
      <c r="X21" s="9" t="s">
        <v>4</v>
      </c>
      <c r="Y21" s="52">
        <v>10</v>
      </c>
      <c r="Z21" s="52"/>
      <c r="AA21" s="52"/>
      <c r="AB21" s="52"/>
      <c r="AC21" s="52"/>
      <c r="AF21" s="59">
        <f>WorkCoefficients!B29</f>
        <v>54</v>
      </c>
      <c r="AG21" t="str">
        <f>WorkCoefficients!C29</f>
        <v>da-incu25</v>
      </c>
      <c r="AH21">
        <f>WorkCoefficients!E29</f>
        <v>0.76160210176200005</v>
      </c>
      <c r="AI21" s="62">
        <f t="shared" si="0"/>
        <v>0.76160210176200005</v>
      </c>
      <c r="AK21" s="59">
        <f>SchoolCoeffcients!B29</f>
        <v>47</v>
      </c>
      <c r="AL21" t="str">
        <f>SchoolCoeffcients!C29</f>
        <v>sr-chun5</v>
      </c>
      <c r="AM21" s="55">
        <f>SchoolCoeffcients!E29</f>
        <v>1.5640234951300001</v>
      </c>
      <c r="AN21" s="62">
        <f t="shared" si="1"/>
        <v>1.5640234951300001</v>
      </c>
      <c r="AU21" s="59">
        <f>OtherCoefficients!B29</f>
        <v>60</v>
      </c>
      <c r="AV21" s="54" t="str">
        <f>OtherCoefficients!C29</f>
        <v>bi-const</v>
      </c>
      <c r="AW21" s="54">
        <f>OtherCoefficients!E29</f>
        <v>-4.4410848396300002</v>
      </c>
      <c r="AX21" s="62">
        <f t="shared" si="3"/>
        <v>-5.1962306463828281</v>
      </c>
    </row>
    <row r="22" spans="2:55" x14ac:dyDescent="0.45">
      <c r="B22" s="9" t="s">
        <v>5</v>
      </c>
      <c r="C22" s="9">
        <f>Work!D8</f>
        <v>26098.266171025301</v>
      </c>
      <c r="D22" s="9">
        <f>School!D8</f>
        <v>6678.2432876840994</v>
      </c>
      <c r="E22" s="9">
        <f>Escort!D8</f>
        <v>224.93159591400001</v>
      </c>
      <c r="F22" s="9">
        <f>Personal_Business!D8+Shop!D8+Meal!D8+SocRec!D8</f>
        <v>11350.3102160198</v>
      </c>
      <c r="G22" s="9">
        <f>Workbased!I9</f>
        <v>1345.57431748</v>
      </c>
      <c r="H22" s="9">
        <f t="shared" si="5"/>
        <v>45697.325588123203</v>
      </c>
      <c r="J22" s="9" t="s">
        <v>5</v>
      </c>
      <c r="K22" s="9">
        <f>Work!I8</f>
        <v>4817</v>
      </c>
      <c r="L22" s="9">
        <f>School!I8</f>
        <v>2757</v>
      </c>
      <c r="M22" s="9">
        <f>Escort!I8</f>
        <v>0</v>
      </c>
      <c r="N22" s="9">
        <f>Shop!I8+Meal!I8+SocRec!I8+Personal_Business!I8</f>
        <v>1583</v>
      </c>
      <c r="O22" s="9">
        <f>Workbased!S9</f>
        <v>236</v>
      </c>
      <c r="P22" s="9">
        <f t="shared" si="6"/>
        <v>9393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9">
        <f>WorkCoefficients!B30</f>
        <v>60</v>
      </c>
      <c r="AG22" s="54" t="str">
        <f>WorkCoefficients!C30</f>
        <v>bi-const</v>
      </c>
      <c r="AH22" s="54">
        <f>WorkCoefficients!E30</f>
        <v>-3.8984872554700001</v>
      </c>
      <c r="AI22" s="62">
        <f t="shared" si="0"/>
        <v>-3.7449149151805683</v>
      </c>
      <c r="AK22" s="59">
        <f>SchoolCoeffcients!B30</f>
        <v>50</v>
      </c>
      <c r="AL22" s="54" t="str">
        <f>SchoolCoeffcients!C30</f>
        <v>da-const</v>
      </c>
      <c r="AM22" s="56">
        <f>SchoolCoeffcients!E30</f>
        <v>2.16938021038</v>
      </c>
      <c r="AN22" s="62">
        <f t="shared" si="1"/>
        <v>2.2780942380640505</v>
      </c>
      <c r="AU22" s="59">
        <f>OtherCoefficients!B30</f>
        <v>61</v>
      </c>
      <c r="AV22" t="str">
        <f>OtherCoefficients!C30</f>
        <v>bi-male</v>
      </c>
      <c r="AW22">
        <f>OtherCoefficients!E30</f>
        <v>0.614663848254</v>
      </c>
      <c r="AX22" s="62">
        <f t="shared" si="3"/>
        <v>0.614663848254</v>
      </c>
    </row>
    <row r="23" spans="2:55" x14ac:dyDescent="0.45">
      <c r="B23" s="9" t="s">
        <v>6</v>
      </c>
      <c r="C23" s="9">
        <f>Work!D9</f>
        <v>4186.8067909339998</v>
      </c>
      <c r="D23" s="9">
        <f>School!D9</f>
        <v>1709.3442500000001</v>
      </c>
      <c r="E23" s="9">
        <f>Escort!D9</f>
        <v>798.63208024599999</v>
      </c>
      <c r="F23" s="9">
        <f>Personal_Business!D9+Shop!D9+Meal!D9+SocRec!D9</f>
        <v>1757.1992553790001</v>
      </c>
      <c r="G23" s="9">
        <f>Workbased!I10</f>
        <v>0</v>
      </c>
      <c r="H23" s="9">
        <f t="shared" si="5"/>
        <v>8451.9823765590008</v>
      </c>
      <c r="J23" s="9" t="s">
        <v>6</v>
      </c>
      <c r="K23" s="9">
        <f>Work!I9</f>
        <v>4161</v>
      </c>
      <c r="L23" s="9">
        <f>School!I9</f>
        <v>1124</v>
      </c>
      <c r="M23" s="9">
        <f>Escort!I9</f>
        <v>54</v>
      </c>
      <c r="N23" s="9">
        <f>Shop!I9+Meal!I9+SocRec!I9+Personal_Business!I9</f>
        <v>4209</v>
      </c>
      <c r="O23" s="9">
        <f>Workbased!S10</f>
        <v>61</v>
      </c>
      <c r="P23" s="9">
        <f t="shared" si="6"/>
        <v>9609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 s="59">
        <f>WorkCoefficients!B31</f>
        <v>61</v>
      </c>
      <c r="AG23" t="str">
        <f>WorkCoefficients!C31</f>
        <v>bi-male</v>
      </c>
      <c r="AH23">
        <f>WorkCoefficients!E31</f>
        <v>1.7828694027100001</v>
      </c>
      <c r="AI23" s="62">
        <f t="shared" si="0"/>
        <v>1.7828694027100001</v>
      </c>
      <c r="AK23" s="59">
        <f>SchoolCoeffcients!B31</f>
        <v>52</v>
      </c>
      <c r="AL23" t="str">
        <f>SchoolCoeffcients!C31</f>
        <v>da-carsltd</v>
      </c>
      <c r="AM23" s="55">
        <f>SchoolCoeffcients!E31</f>
        <v>-2.1575125928499999</v>
      </c>
      <c r="AN23" s="62">
        <f t="shared" si="1"/>
        <v>-2.1575125928499999</v>
      </c>
      <c r="AU23" s="59">
        <f>OtherCoefficients!B31</f>
        <v>63</v>
      </c>
      <c r="AV23" t="str">
        <f>OtherCoefficients!C31</f>
        <v>bi-ageo50</v>
      </c>
      <c r="AW23">
        <f>OtherCoefficients!E31</f>
        <v>-0.87809104489900003</v>
      </c>
      <c r="AX23" s="62">
        <f t="shared" si="3"/>
        <v>-0.87809104489900003</v>
      </c>
    </row>
    <row r="24" spans="2:55" x14ac:dyDescent="0.45">
      <c r="B24" s="9" t="s">
        <v>7</v>
      </c>
      <c r="C24" s="9">
        <f>Work!D10</f>
        <v>2647.8039398657997</v>
      </c>
      <c r="D24" s="9">
        <f>School!D10</f>
        <v>1784.146128356</v>
      </c>
      <c r="E24" s="9">
        <f>Escort!D10</f>
        <v>1919.6973022374</v>
      </c>
      <c r="F24" s="9">
        <f>Personal_Business!D10+Shop!D10+Meal!D10+SocRec!D10</f>
        <v>53178.928440499898</v>
      </c>
      <c r="G24" s="9">
        <f>Workbased!I11</f>
        <v>8050.1137667005005</v>
      </c>
      <c r="H24" s="9">
        <f t="shared" si="5"/>
        <v>67580.689577659592</v>
      </c>
      <c r="J24" s="9" t="s">
        <v>7</v>
      </c>
      <c r="K24" s="9">
        <f>Work!I10</f>
        <v>1830</v>
      </c>
      <c r="L24" s="9">
        <f>School!I10</f>
        <v>2704</v>
      </c>
      <c r="M24" s="9">
        <f>Escort!I10</f>
        <v>2</v>
      </c>
      <c r="N24" s="9">
        <f>Shop!I10+Meal!I10+SocRec!I10+Personal_Business!I10</f>
        <v>49279</v>
      </c>
      <c r="O24" s="9">
        <f>Workbased!S11</f>
        <v>9824</v>
      </c>
      <c r="P24" s="9">
        <f t="shared" si="6"/>
        <v>63639</v>
      </c>
      <c r="X24" s="9" t="s">
        <v>7</v>
      </c>
      <c r="Y24" s="52"/>
      <c r="Z24" s="52"/>
      <c r="AA24" s="52"/>
      <c r="AB24" s="52"/>
      <c r="AC24" s="52"/>
      <c r="AF24" s="59">
        <f>WorkCoefficients!B32</f>
        <v>63</v>
      </c>
      <c r="AG24" t="str">
        <f>WorkCoefficients!C32</f>
        <v>bi-ageo50</v>
      </c>
      <c r="AH24">
        <f>WorkCoefficients!E32</f>
        <v>-1.1592853190600001</v>
      </c>
      <c r="AI24" s="62">
        <f t="shared" si="0"/>
        <v>-1.1592853190600001</v>
      </c>
      <c r="AK24" s="59">
        <f>SchoolCoeffcients!B32</f>
        <v>54</v>
      </c>
      <c r="AL24" t="str">
        <f>SchoolCoeffcients!C32</f>
        <v>da-incu25</v>
      </c>
      <c r="AM24" s="55">
        <f>SchoolCoeffcients!E32</f>
        <v>0</v>
      </c>
      <c r="AN24" s="62">
        <f t="shared" si="1"/>
        <v>0</v>
      </c>
      <c r="AU24" s="59">
        <f>OtherCoefficients!B32</f>
        <v>73</v>
      </c>
      <c r="AV24" t="str">
        <f>OtherCoefficients!C32</f>
        <v>wk-ageo50</v>
      </c>
      <c r="AW24">
        <f>OtherCoefficients!E32</f>
        <v>-8.2669199618100001E-2</v>
      </c>
      <c r="AX24" s="62">
        <f t="shared" si="3"/>
        <v>-8.2669199618100001E-2</v>
      </c>
    </row>
    <row r="25" spans="2:55" x14ac:dyDescent="0.45">
      <c r="B25" s="14" t="s">
        <v>8</v>
      </c>
      <c r="C25" s="9">
        <f>Work!D11</f>
        <v>461.112895342</v>
      </c>
      <c r="D25" s="9">
        <f>School!D11</f>
        <v>17013.597375000001</v>
      </c>
      <c r="E25" s="9">
        <f>Escort!D11</f>
        <v>0</v>
      </c>
      <c r="F25" s="9">
        <f>Personal_Business!D11+Shop!D11+Meal!D11+SocRec!D11</f>
        <v>0</v>
      </c>
      <c r="G25" s="9">
        <f>Workbased!I12</f>
        <v>21123.334988615097</v>
      </c>
      <c r="H25" s="9">
        <f t="shared" si="5"/>
        <v>38598.0452589571</v>
      </c>
      <c r="J25" s="14" t="s">
        <v>8</v>
      </c>
      <c r="K25" s="9">
        <f>Work!I11</f>
        <v>0</v>
      </c>
      <c r="L25" s="9">
        <f>School!I11</f>
        <v>25300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t="shared" si="6"/>
        <v>25300</v>
      </c>
      <c r="X25" s="14" t="s">
        <v>8</v>
      </c>
      <c r="Y25" s="53"/>
      <c r="Z25" s="53">
        <v>10</v>
      </c>
      <c r="AA25" s="53"/>
      <c r="AB25" s="53"/>
      <c r="AC25" s="53"/>
      <c r="AF25" s="59">
        <f>WorkCoefficients!B33</f>
        <v>71</v>
      </c>
      <c r="AG25" t="str">
        <f>WorkCoefficients!C33</f>
        <v>wk-male</v>
      </c>
      <c r="AH25">
        <f>WorkCoefficients!E33</f>
        <v>0.93477131512</v>
      </c>
      <c r="AI25" s="62">
        <f t="shared" si="0"/>
        <v>0.93477131512</v>
      </c>
      <c r="AK25" s="59">
        <f>SchoolCoeffcients!B33</f>
        <v>56</v>
      </c>
      <c r="AL25" t="str">
        <f>SchoolCoeffcients!C33</f>
        <v>da-inco75</v>
      </c>
      <c r="AM25" s="55">
        <f>SchoolCoeffcients!E33</f>
        <v>0.30919284203500003</v>
      </c>
      <c r="AN25" s="62">
        <f t="shared" si="1"/>
        <v>0.30919284203500003</v>
      </c>
      <c r="AU25" s="59">
        <f>OtherCoefficients!B33</f>
        <v>120</v>
      </c>
      <c r="AV25" t="str">
        <f>OtherCoefficients!C33</f>
        <v>tr-shop</v>
      </c>
      <c r="AW25">
        <f>OtherCoefficients!E33</f>
        <v>-0.40759393652199999</v>
      </c>
      <c r="AX25" s="62">
        <f t="shared" si="3"/>
        <v>-0.40759393652199999</v>
      </c>
    </row>
    <row r="26" spans="2:55" ht="14.65" thickBot="1" x14ac:dyDescent="0.5">
      <c r="B26" s="40" t="s">
        <v>19</v>
      </c>
      <c r="C26" s="19">
        <f>SUM(C18:C25)</f>
        <v>204835.12731975067</v>
      </c>
      <c r="D26" s="19">
        <f t="shared" ref="D26:H26" si="7">SUM(D18:D25)</f>
        <v>94483.717780479798</v>
      </c>
      <c r="E26" s="19">
        <f t="shared" si="7"/>
        <v>100972.39723777479</v>
      </c>
      <c r="F26" s="19">
        <f t="shared" si="7"/>
        <v>287846.87394958391</v>
      </c>
      <c r="G26" s="19">
        <f t="shared" si="7"/>
        <v>42246.669977230194</v>
      </c>
      <c r="H26" s="19">
        <f t="shared" si="7"/>
        <v>730384.78626481933</v>
      </c>
      <c r="J26" s="40" t="s">
        <v>19</v>
      </c>
      <c r="K26" s="19">
        <f>SUM(K18:K25)</f>
        <v>237364</v>
      </c>
      <c r="L26" s="19">
        <f t="shared" ref="L26" si="8">SUM(L18:L25)</f>
        <v>83022</v>
      </c>
      <c r="M26" s="19">
        <f t="shared" ref="M26" si="9">SUM(M18:M25)</f>
        <v>79533</v>
      </c>
      <c r="N26" s="19">
        <f t="shared" ref="N26" si="10">SUM(N18:N25)</f>
        <v>324014</v>
      </c>
      <c r="O26" s="19">
        <f t="shared" ref="O26" si="11">SUM(O18:O25)</f>
        <v>29459</v>
      </c>
      <c r="P26" s="19">
        <f>SUM(K26:O26)</f>
        <v>753392</v>
      </c>
      <c r="AF26" s="59">
        <f>WorkCoefficients!B34</f>
        <v>124</v>
      </c>
      <c r="AG26" t="str">
        <f>WorkCoefficients!C34</f>
        <v>tr-omixed</v>
      </c>
      <c r="AH26">
        <f>WorkCoefficients!E34</f>
        <v>1.3254575719699999</v>
      </c>
      <c r="AI26" s="62">
        <f t="shared" si="0"/>
        <v>1.3254575719699999</v>
      </c>
      <c r="AK26" s="59">
        <f>SchoolCoeffcients!B34</f>
        <v>59</v>
      </c>
      <c r="AL26" t="str">
        <f>SchoolCoeffcients!C34</f>
        <v>da-ch1617</v>
      </c>
      <c r="AM26" s="55">
        <f>SchoolCoeffcients!E34</f>
        <v>-3.2597140629700001</v>
      </c>
      <c r="AN26" s="62">
        <f t="shared" si="1"/>
        <v>-3.2597140629700001</v>
      </c>
      <c r="AU26" s="59">
        <f>OtherCoefficients!B34</f>
        <v>124</v>
      </c>
      <c r="AV26" t="str">
        <f>OtherCoefficients!C34</f>
        <v>tr-omixed</v>
      </c>
      <c r="AW26">
        <f>OtherCoefficients!E34</f>
        <v>0.22849027283199999</v>
      </c>
      <c r="AX26" s="62">
        <f t="shared" si="3"/>
        <v>0.22849027283199999</v>
      </c>
    </row>
    <row r="27" spans="2:55" x14ac:dyDescent="0.45">
      <c r="S27" s="59"/>
      <c r="T27" s="59"/>
      <c r="U27" s="59"/>
      <c r="AF27" s="59">
        <f>WorkCoefficients!B35</f>
        <v>127</v>
      </c>
      <c r="AG27" t="str">
        <f>WorkCoefficients!C35</f>
        <v>tr-dintdn</v>
      </c>
      <c r="AH27">
        <f>WorkCoefficients!E35</f>
        <v>9.2856179122299994E-3</v>
      </c>
      <c r="AI27" s="62">
        <f t="shared" si="0"/>
        <v>9.2856179122299994E-3</v>
      </c>
      <c r="AK27" s="59">
        <f>SchoolCoeffcients!B35</f>
        <v>60</v>
      </c>
      <c r="AL27" s="54" t="str">
        <f>SchoolCoeffcients!C35</f>
        <v>bi-const</v>
      </c>
      <c r="AM27" s="56">
        <f>SchoolCoeffcients!E35</f>
        <v>-3.8099771367100002</v>
      </c>
      <c r="AN27" s="62">
        <f t="shared" si="1"/>
        <v>-3.5200829588661948</v>
      </c>
      <c r="AU27" s="59">
        <f>OtherCoefficients!B35</f>
        <v>128</v>
      </c>
      <c r="AV27" t="str">
        <f>OtherCoefficients!C35</f>
        <v>tr-dempdn</v>
      </c>
      <c r="AW27">
        <f>OtherCoefficients!E35</f>
        <v>4.0664487494199999E-5</v>
      </c>
      <c r="AX27" s="62">
        <f t="shared" si="3"/>
        <v>4.0664487494199999E-5</v>
      </c>
    </row>
    <row r="28" spans="2:55" x14ac:dyDescent="0.4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4.4706577237899998E-5</v>
      </c>
      <c r="AI28" s="62">
        <f t="shared" si="0"/>
        <v>4.4706577237899998E-5</v>
      </c>
      <c r="AK28" s="59">
        <f>SchoolCoeffcients!B36</f>
        <v>61</v>
      </c>
      <c r="AL28" t="str">
        <f>SchoolCoeffcients!C36</f>
        <v>bi-male</v>
      </c>
      <c r="AM28" s="55">
        <f>SchoolCoeffcients!E36</f>
        <v>1.04459519659</v>
      </c>
      <c r="AN28" s="62">
        <f t="shared" si="1"/>
        <v>1.04459519659</v>
      </c>
      <c r="AU28" s="59">
        <f>OtherCoefficients!B36</f>
        <v>131</v>
      </c>
      <c r="AV28" t="str">
        <f>OtherCoefficients!C36</f>
        <v>da-escsptr</v>
      </c>
      <c r="AW28">
        <f>OtherCoefficients!E36</f>
        <v>0</v>
      </c>
      <c r="AX28" s="62">
        <f t="shared" si="3"/>
        <v>0</v>
      </c>
    </row>
    <row r="29" spans="2:55" ht="14.65" thickBot="1" x14ac:dyDescent="0.5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-4.5175524463099999</v>
      </c>
      <c r="AI29" s="62">
        <f t="shared" si="0"/>
        <v>-4.5175524463099999</v>
      </c>
      <c r="AK29" s="59">
        <f>SchoolCoeffcients!B37</f>
        <v>69</v>
      </c>
      <c r="AL29" t="str">
        <f>SchoolCoeffcients!C37</f>
        <v>bi-univtr</v>
      </c>
      <c r="AM29" s="55">
        <f>SchoolCoeffcients!E37</f>
        <v>2.65579810914</v>
      </c>
      <c r="AN29" s="62">
        <f t="shared" si="1"/>
        <v>2.65579810914</v>
      </c>
      <c r="AU29" s="59">
        <f>OtherCoefficients!B37</f>
        <v>132</v>
      </c>
      <c r="AV29" t="str">
        <f>OtherCoefficients!C37</f>
        <v>da-othsptr</v>
      </c>
      <c r="AW29">
        <f>OtherCoefficients!E37</f>
        <v>0.20969220422099999</v>
      </c>
      <c r="AX29" s="62">
        <f t="shared" si="3"/>
        <v>0.20969220422099999</v>
      </c>
    </row>
    <row r="30" spans="2:55" x14ac:dyDescent="0.4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0.19300757939999999</v>
      </c>
      <c r="AI30" s="62">
        <f t="shared" si="0"/>
        <v>0.19300757939999999</v>
      </c>
      <c r="AK30" s="59">
        <f>SchoolCoeffcients!B38</f>
        <v>79</v>
      </c>
      <c r="AL30" t="str">
        <f>SchoolCoeffcients!C38</f>
        <v>wk-univtr</v>
      </c>
      <c r="AM30" s="55">
        <f>SchoolCoeffcients!E38</f>
        <v>3.1769310325200002</v>
      </c>
      <c r="AN30" s="62">
        <f t="shared" si="1"/>
        <v>3.1769310325200002</v>
      </c>
      <c r="AU30" s="59">
        <f>OtherCoefficients!B38</f>
        <v>133</v>
      </c>
      <c r="AV30" t="str">
        <f>OtherCoefficients!C38</f>
        <v>sr-escsptr</v>
      </c>
      <c r="AW30">
        <f>OtherCoefficients!E38</f>
        <v>0</v>
      </c>
      <c r="AX30" s="62">
        <f t="shared" si="3"/>
        <v>0</v>
      </c>
    </row>
    <row r="31" spans="2:55" x14ac:dyDescent="0.45">
      <c r="B31" s="9" t="s">
        <v>1</v>
      </c>
      <c r="C31" s="42">
        <f>$C18/C$26</f>
        <v>0.59336501054845026</v>
      </c>
      <c r="D31" s="42">
        <f>$D18/D$26</f>
        <v>0.13844566965115959</v>
      </c>
      <c r="E31" s="42">
        <f>$E18/E$26</f>
        <v>2.2495145647044724E-2</v>
      </c>
      <c r="F31" s="42">
        <f>$F18/F$26</f>
        <v>0.27014415756226245</v>
      </c>
      <c r="G31" s="42">
        <f>$G18/G$26</f>
        <v>0.15284511003954285</v>
      </c>
      <c r="H31" s="42"/>
      <c r="J31" s="9" t="s">
        <v>1</v>
      </c>
      <c r="K31" s="42">
        <f>$K18/K$26</f>
        <v>0.64705684096998706</v>
      </c>
      <c r="L31" s="42">
        <f>$L18/L$26</f>
        <v>0.12418395124183951</v>
      </c>
      <c r="M31" s="42">
        <f>$M18/M$26</f>
        <v>6.2866986030955701E-5</v>
      </c>
      <c r="N31" s="42">
        <f>$N18/N$26</f>
        <v>0.28642589517736888</v>
      </c>
      <c r="O31" s="42">
        <f>$O18/O$26</f>
        <v>0.49672426083709564</v>
      </c>
      <c r="Q31" s="9" t="s">
        <v>1</v>
      </c>
      <c r="R31" s="44">
        <f t="shared" ref="R31:V33" si="12">C31/K31</f>
        <v>0.91702146237871673</v>
      </c>
      <c r="S31" s="44">
        <f t="shared" si="12"/>
        <v>1.1148434903761952</v>
      </c>
      <c r="T31" s="44">
        <f t="shared" si="12"/>
        <v>357.82128374928163</v>
      </c>
      <c r="U31" s="44">
        <f t="shared" si="12"/>
        <v>0.94315549714866398</v>
      </c>
      <c r="V31" s="44">
        <f t="shared" si="12"/>
        <v>0.30770615025318748</v>
      </c>
      <c r="X31" s="9" t="s">
        <v>1</v>
      </c>
      <c r="Y31" s="44">
        <f t="shared" ref="Y31:Y36" si="13">IF(R31&gt;0,LN(R31),0)</f>
        <v>-8.6624402006416759E-2</v>
      </c>
      <c r="Z31" s="44">
        <f t="shared" ref="Z31:Z33" si="14">IF(S31&gt;0,LN(S31),0)</f>
        <v>0.10871402768405038</v>
      </c>
      <c r="AA31" s="44">
        <f t="shared" ref="AA31:AA33" si="15">IF(T31&gt;0,LN(T31),0)</f>
        <v>5.8800336543509584</v>
      </c>
      <c r="AB31" s="44">
        <f t="shared" ref="AB31:AB33" si="16">IF(U31&gt;0,LN(U31),0)</f>
        <v>-5.8524113708567083E-2</v>
      </c>
      <c r="AC31" s="44">
        <f t="shared" ref="AC31:AC33" si="17">IF(V31&gt;0,LN(V31),0)</f>
        <v>-1.178610009030731</v>
      </c>
      <c r="AF31">
        <f>WorkCoefficients!B39</f>
        <v>133</v>
      </c>
      <c r="AG31" t="str">
        <f>WorkCoefficients!C39</f>
        <v>sr-escsptr</v>
      </c>
      <c r="AH31">
        <f>WorkCoefficients!E39</f>
        <v>5.5028395569699997</v>
      </c>
      <c r="AI31" s="62">
        <f t="shared" si="0"/>
        <v>5.5028395569699997</v>
      </c>
      <c r="AK31" s="59">
        <f>SchoolCoeffcients!B39</f>
        <v>122</v>
      </c>
      <c r="AL31" t="str">
        <f>SchoolCoeffcients!C39</f>
        <v>tr-ologts</v>
      </c>
      <c r="AM31" s="55">
        <f>SchoolCoeffcients!E39</f>
        <v>-0.24379659264299999</v>
      </c>
      <c r="AN31" s="62">
        <f t="shared" si="1"/>
        <v>-0.24379659264299999</v>
      </c>
      <c r="AU31" s="59">
        <f>OtherCoefficients!B39</f>
        <v>134</v>
      </c>
      <c r="AV31" t="str">
        <f>OtherCoefficients!C39</f>
        <v>sr-othsptr</v>
      </c>
      <c r="AW31">
        <f>OtherCoefficients!E39</f>
        <v>0.29636782425199998</v>
      </c>
      <c r="AX31" s="62">
        <f t="shared" si="3"/>
        <v>0.29636782425199998</v>
      </c>
    </row>
    <row r="32" spans="2:55" x14ac:dyDescent="0.45">
      <c r="B32" s="9" t="s">
        <v>2</v>
      </c>
      <c r="C32" s="42">
        <f t="shared" ref="C32:C38" si="18">$C19/C$26</f>
        <v>0.16107573264168515</v>
      </c>
      <c r="D32" s="42">
        <f t="shared" ref="D32:D38" si="19">$D19/D$26</f>
        <v>0.23931030827989269</v>
      </c>
      <c r="E32" s="42">
        <f t="shared" ref="E32:E38" si="20">$E19/E$26</f>
        <v>0.4835564159275319</v>
      </c>
      <c r="F32" s="42">
        <f t="shared" ref="F32:F38" si="21">$F19/F$26</f>
        <v>0.32614489127747154</v>
      </c>
      <c r="G32" s="42">
        <f t="shared" ref="G32:G38" si="22">$G19/G$26</f>
        <v>8.3053510656809451E-2</v>
      </c>
      <c r="H32" s="42"/>
      <c r="J32" s="9" t="s">
        <v>2</v>
      </c>
      <c r="K32" s="42">
        <f t="shared" ref="K32:K38" si="23">$K19/K$26</f>
        <v>0.17078832510405959</v>
      </c>
      <c r="L32" s="42">
        <f t="shared" ref="L32:L38" si="24">$L19/L$26</f>
        <v>0.18602298186022981</v>
      </c>
      <c r="M32" s="42">
        <f t="shared" ref="M32:M38" si="25">$M19/M$26</f>
        <v>0.58711478254309535</v>
      </c>
      <c r="N32" s="42">
        <f t="shared" ref="N32:N38" si="26">$N19/N$26</f>
        <v>0.28315443159863463</v>
      </c>
      <c r="O32" s="42">
        <f t="shared" ref="O32:O38" si="27">$O19/O$26</f>
        <v>0.11738348212770292</v>
      </c>
      <c r="Q32" s="9" t="s">
        <v>2</v>
      </c>
      <c r="R32" s="44">
        <f t="shared" si="12"/>
        <v>0.94313081730582782</v>
      </c>
      <c r="S32" s="44">
        <f t="shared" si="12"/>
        <v>1.2864556082629663</v>
      </c>
      <c r="T32" s="44">
        <f t="shared" si="12"/>
        <v>0.82361478590779302</v>
      </c>
      <c r="U32" s="44">
        <f t="shared" si="12"/>
        <v>1.1518269003812553</v>
      </c>
      <c r="V32" s="44">
        <f t="shared" si="12"/>
        <v>0.70754001458616234</v>
      </c>
      <c r="X32" s="9" t="s">
        <v>2</v>
      </c>
      <c r="Y32" s="44">
        <f t="shared" si="13"/>
        <v>-5.8550281361535193E-2</v>
      </c>
      <c r="Z32" s="44">
        <f t="shared" si="14"/>
        <v>0.25189084632463038</v>
      </c>
      <c r="AA32" s="44">
        <f t="shared" si="15"/>
        <v>-0.19405235121185557</v>
      </c>
      <c r="AB32" s="44">
        <f t="shared" si="16"/>
        <v>0.14134929089780598</v>
      </c>
      <c r="AC32" s="44">
        <f t="shared" si="17"/>
        <v>-0.34596109334511449</v>
      </c>
      <c r="AF32">
        <f>WorkCoefficients!B40</f>
        <v>134</v>
      </c>
      <c r="AG32" t="str">
        <f>WorkCoefficients!C40</f>
        <v>sr-othsptr</v>
      </c>
      <c r="AH32">
        <f>WorkCoefficients!E40</f>
        <v>0.423723185512</v>
      </c>
      <c r="AI32" s="62">
        <f t="shared" si="0"/>
        <v>0.423723185512</v>
      </c>
      <c r="AK32" s="59">
        <f>SchoolCoeffcients!B40</f>
        <v>129</v>
      </c>
      <c r="AL32" t="str">
        <f>SchoolCoeffcients!C40</f>
        <v>tr-dmixed</v>
      </c>
      <c r="AM32" s="55">
        <f>SchoolCoeffcients!E40</f>
        <v>0.77462376479600004</v>
      </c>
      <c r="AN32" s="62">
        <f t="shared" si="1"/>
        <v>0.77462376479600004</v>
      </c>
      <c r="AU32" s="59">
        <f>OtherCoefficients!B40</f>
        <v>136</v>
      </c>
      <c r="AV32" t="str">
        <f>OtherCoefficients!C40</f>
        <v>sr-shop</v>
      </c>
      <c r="AW32">
        <f>OtherCoefficients!E40</f>
        <v>-4.3232317637700003E-2</v>
      </c>
      <c r="AX32" s="62">
        <f t="shared" si="3"/>
        <v>-4.3232317637700003E-2</v>
      </c>
    </row>
    <row r="33" spans="2:50" x14ac:dyDescent="0.45">
      <c r="B33" s="9" t="s">
        <v>3</v>
      </c>
      <c r="C33" s="42">
        <f t="shared" si="18"/>
        <v>5.5644116249517379E-2</v>
      </c>
      <c r="D33" s="42">
        <f t="shared" si="19"/>
        <v>0.33216278707014307</v>
      </c>
      <c r="E33" s="42">
        <f t="shared" si="20"/>
        <v>0.4647992743081602</v>
      </c>
      <c r="F33" s="42">
        <f t="shared" si="21"/>
        <v>0.17165517719994827</v>
      </c>
      <c r="G33" s="42">
        <f t="shared" si="22"/>
        <v>4.1700700404115089E-2</v>
      </c>
      <c r="H33" s="42"/>
      <c r="J33" s="9" t="s">
        <v>3</v>
      </c>
      <c r="K33" s="42">
        <f t="shared" si="23"/>
        <v>8.897726698235621E-2</v>
      </c>
      <c r="L33" s="42">
        <f t="shared" si="24"/>
        <v>0.30573823805738237</v>
      </c>
      <c r="M33" s="42">
        <f t="shared" si="25"/>
        <v>0.41211824022732702</v>
      </c>
      <c r="N33" s="42">
        <f t="shared" si="26"/>
        <v>0.26045479516317194</v>
      </c>
      <c r="O33" s="42">
        <f t="shared" si="27"/>
        <v>4.2330017991106285E-2</v>
      </c>
      <c r="Q33" s="9" t="s">
        <v>3</v>
      </c>
      <c r="R33" s="44">
        <f t="shared" si="12"/>
        <v>0.62537452696261575</v>
      </c>
      <c r="S33" s="44">
        <f t="shared" si="12"/>
        <v>1.0864286691146601</v>
      </c>
      <c r="T33" s="44">
        <f t="shared" si="12"/>
        <v>1.1278299015636242</v>
      </c>
      <c r="U33" s="44">
        <f t="shared" si="12"/>
        <v>0.65905938530487906</v>
      </c>
      <c r="V33" s="44">
        <f t="shared" si="12"/>
        <v>0.98513306592207406</v>
      </c>
      <c r="X33" s="9" t="s">
        <v>3</v>
      </c>
      <c r="Y33" s="44">
        <f t="shared" si="13"/>
        <v>-0.46940456558002525</v>
      </c>
      <c r="Z33" s="44">
        <f t="shared" si="14"/>
        <v>8.2895866570813326E-2</v>
      </c>
      <c r="AA33" s="44">
        <f t="shared" si="15"/>
        <v>0.12029534521878511</v>
      </c>
      <c r="AB33" s="44">
        <f t="shared" si="16"/>
        <v>-0.41694163426823672</v>
      </c>
      <c r="AC33" s="44">
        <f t="shared" si="17"/>
        <v>-1.4978554627517937E-2</v>
      </c>
      <c r="AF33">
        <f>WorkCoefficients!B41</f>
        <v>162</v>
      </c>
      <c r="AG33" t="str">
        <f>WorkCoefficients!C41</f>
        <v>bi-class2</v>
      </c>
      <c r="AH33">
        <f>WorkCoefficients!E41</f>
        <v>0</v>
      </c>
      <c r="AI33" s="62">
        <f t="shared" si="0"/>
        <v>0</v>
      </c>
      <c r="AK33" s="59">
        <f>SchoolCoeffcients!B41</f>
        <v>131</v>
      </c>
      <c r="AL33" t="str">
        <f>SchoolCoeffcients!C41</f>
        <v>da-escsptr</v>
      </c>
      <c r="AM33" s="55">
        <f>SchoolCoeffcients!E41</f>
        <v>0</v>
      </c>
      <c r="AN33" s="62">
        <f t="shared" si="1"/>
        <v>0</v>
      </c>
      <c r="AU33" s="59">
        <f>OtherCoefficients!B41</f>
        <v>137</v>
      </c>
      <c r="AV33" t="str">
        <f>OtherCoefficients!C41</f>
        <v>sr-meal</v>
      </c>
      <c r="AW33">
        <f>OtherCoefficients!E41</f>
        <v>1.3197710740099999</v>
      </c>
      <c r="AX33" s="62">
        <f t="shared" si="3"/>
        <v>1.3197710740099999</v>
      </c>
    </row>
    <row r="34" spans="2:50" x14ac:dyDescent="0.45">
      <c r="B34" s="9" t="s">
        <v>4</v>
      </c>
      <c r="C34" s="42">
        <f t="shared" si="18"/>
        <v>2.6886512443068517E-2</v>
      </c>
      <c r="D34" s="42">
        <f t="shared" si="19"/>
        <v>2.3561996207350079E-3</v>
      </c>
      <c r="E34" s="42">
        <f t="shared" si="20"/>
        <v>0</v>
      </c>
      <c r="F34" s="42">
        <f t="shared" si="21"/>
        <v>1.7720922153191144E-3</v>
      </c>
      <c r="G34" s="42">
        <f t="shared" si="22"/>
        <v>0</v>
      </c>
      <c r="H34" s="42"/>
      <c r="J34" s="9" t="s">
        <v>4</v>
      </c>
      <c r="K34" s="42">
        <f t="shared" si="23"/>
        <v>4.7644124635580792E-2</v>
      </c>
      <c r="L34" s="42">
        <f t="shared" si="24"/>
        <v>0</v>
      </c>
      <c r="M34" s="42">
        <f t="shared" si="25"/>
        <v>0</v>
      </c>
      <c r="N34" s="42">
        <f t="shared" si="26"/>
        <v>0</v>
      </c>
      <c r="O34" s="42">
        <f t="shared" si="27"/>
        <v>0</v>
      </c>
      <c r="Q34" s="9" t="s">
        <v>4</v>
      </c>
      <c r="R34" s="44">
        <f>C34/K34</f>
        <v>0.56431958082381428</v>
      </c>
      <c r="S34" s="44"/>
      <c r="T34" s="44"/>
      <c r="U34" s="44"/>
      <c r="V34" s="44"/>
      <c r="X34" s="9" t="s">
        <v>4</v>
      </c>
      <c r="Y34" s="44">
        <f t="shared" si="13"/>
        <v>-0.57213455529341239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1.3361857056099999</v>
      </c>
      <c r="AI34" s="62">
        <f t="shared" si="0"/>
        <v>1.3361857056099999</v>
      </c>
      <c r="AK34" s="59">
        <f>SchoolCoeffcients!B42</f>
        <v>132</v>
      </c>
      <c r="AL34" t="str">
        <f>SchoolCoeffcients!C42</f>
        <v>da-othsptr</v>
      </c>
      <c r="AM34" s="55">
        <f>SchoolCoeffcients!E42</f>
        <v>1.33790703339E-2</v>
      </c>
      <c r="AN34" s="62">
        <f t="shared" si="1"/>
        <v>1.33790703339E-2</v>
      </c>
      <c r="AU34" s="59">
        <f>OtherCoefficients!B42</f>
        <v>138</v>
      </c>
      <c r="AV34" t="str">
        <f>OtherCoefficients!C42</f>
        <v>sr-socrec</v>
      </c>
      <c r="AW34">
        <f>OtherCoefficients!E42</f>
        <v>0.46798410365199999</v>
      </c>
      <c r="AX34" s="62">
        <f t="shared" si="3"/>
        <v>0.46798410365199999</v>
      </c>
    </row>
    <row r="35" spans="2:50" x14ac:dyDescent="0.45">
      <c r="B35" s="9" t="s">
        <v>5</v>
      </c>
      <c r="C35" s="42">
        <f t="shared" si="18"/>
        <v>0.12741108672383875</v>
      </c>
      <c r="D35" s="42">
        <f t="shared" si="19"/>
        <v>7.0681419450493041E-2</v>
      </c>
      <c r="E35" s="42">
        <f t="shared" si="20"/>
        <v>2.2276543101608253E-3</v>
      </c>
      <c r="F35" s="42">
        <f t="shared" si="21"/>
        <v>3.9431764744500213E-2</v>
      </c>
      <c r="G35" s="42">
        <f t="shared" si="22"/>
        <v>3.1850423197975791E-2</v>
      </c>
      <c r="H35" s="42"/>
      <c r="J35" s="9" t="s">
        <v>5</v>
      </c>
      <c r="K35" s="42">
        <f t="shared" si="23"/>
        <v>2.0293726091572439E-2</v>
      </c>
      <c r="L35" s="42">
        <f t="shared" si="24"/>
        <v>3.3208065332080657E-2</v>
      </c>
      <c r="M35" s="42">
        <f t="shared" si="25"/>
        <v>0</v>
      </c>
      <c r="N35" s="42">
        <f t="shared" si="26"/>
        <v>4.8855913633361519E-3</v>
      </c>
      <c r="O35" s="42">
        <f t="shared" si="27"/>
        <v>8.0111341186055191E-3</v>
      </c>
      <c r="Q35" s="9" t="s">
        <v>5</v>
      </c>
      <c r="R35" s="44">
        <f>C35/K35</f>
        <v>6.2783485964536556</v>
      </c>
      <c r="S35" s="60">
        <f>IF(L35=0,1,D35/L35)</f>
        <v>2.1284413513307339</v>
      </c>
      <c r="T35" s="60"/>
      <c r="U35" s="60">
        <f>IF(N35=0,1,F35/N35)</f>
        <v>8.0710321048164833</v>
      </c>
      <c r="V35" s="60">
        <f>IF(O35=0,1,G35/O35)</f>
        <v>3.9757695635134276</v>
      </c>
      <c r="X35" s="9" t="s">
        <v>5</v>
      </c>
      <c r="Y35" s="44">
        <f t="shared" si="13"/>
        <v>1.8371069835513025</v>
      </c>
      <c r="Z35" s="60">
        <f t="shared" ref="Z35:Z38" si="28">IF(S35&gt;0,LN(S35),0)</f>
        <v>0.75538995191572311</v>
      </c>
      <c r="AA35" s="60"/>
      <c r="AB35" s="60">
        <f t="shared" ref="AB35:AB36" si="29">IF(U35&gt;0,LN(U35),0)</f>
        <v>2.0882813681334174</v>
      </c>
      <c r="AC35" s="60">
        <f t="shared" ref="AC35:AC36" si="30">IF(V35&gt;0,LN(V35),0)</f>
        <v>1.3802183302519437</v>
      </c>
      <c r="AF35">
        <f>WorkCoefficients!B43</f>
        <v>168</v>
      </c>
      <c r="AG35" t="str">
        <f>WorkCoefficients!C43</f>
        <v>bi-dempdn</v>
      </c>
      <c r="AH35">
        <f>WorkCoefficients!E43</f>
        <v>-6.5359456601400004E-7</v>
      </c>
      <c r="AI35" s="62">
        <f t="shared" si="0"/>
        <v>-6.5359456601400004E-7</v>
      </c>
      <c r="AK35" s="59">
        <f>SchoolCoeffcients!B43</f>
        <v>133</v>
      </c>
      <c r="AL35" t="str">
        <f>SchoolCoeffcients!C43</f>
        <v>sr-escsptr</v>
      </c>
      <c r="AM35" s="55">
        <f>SchoolCoeffcients!E43</f>
        <v>0</v>
      </c>
      <c r="AN35" s="62">
        <f t="shared" si="1"/>
        <v>0</v>
      </c>
      <c r="AU35" s="59">
        <f>OtherCoefficients!B43</f>
        <v>160</v>
      </c>
      <c r="AV35" t="str">
        <f>OtherCoefficients!C43</f>
        <v>bi-socrec</v>
      </c>
      <c r="AW35">
        <f>OtherCoefficients!E43</f>
        <v>1.5982044369999999</v>
      </c>
      <c r="AX35" s="62">
        <f t="shared" si="3"/>
        <v>1.5982044369999999</v>
      </c>
    </row>
    <row r="36" spans="2:50" x14ac:dyDescent="0.45">
      <c r="B36" s="9" t="s">
        <v>6</v>
      </c>
      <c r="C36" s="42">
        <f t="shared" si="18"/>
        <v>2.0439886682123289E-2</v>
      </c>
      <c r="D36" s="42">
        <f t="shared" si="19"/>
        <v>1.8091416067807911E-2</v>
      </c>
      <c r="E36" s="42">
        <f t="shared" si="20"/>
        <v>7.9094099188844816E-3</v>
      </c>
      <c r="F36" s="42">
        <f t="shared" si="21"/>
        <v>6.1046320610269045E-3</v>
      </c>
      <c r="G36" s="42">
        <f t="shared" si="22"/>
        <v>0</v>
      </c>
      <c r="H36" s="42"/>
      <c r="J36" s="9" t="s">
        <v>6</v>
      </c>
      <c r="K36" s="42">
        <f t="shared" si="23"/>
        <v>1.75300382534841E-2</v>
      </c>
      <c r="L36" s="42">
        <f t="shared" si="24"/>
        <v>1.3538580135385801E-2</v>
      </c>
      <c r="M36" s="42">
        <f t="shared" si="25"/>
        <v>6.7896344913432162E-4</v>
      </c>
      <c r="N36" s="42">
        <f t="shared" si="26"/>
        <v>1.2990179436691007E-2</v>
      </c>
      <c r="O36" s="42">
        <f t="shared" si="27"/>
        <v>2.0706744967582064E-3</v>
      </c>
      <c r="Q36" s="9" t="s">
        <v>6</v>
      </c>
      <c r="R36" s="44">
        <f>C36/K36</f>
        <v>1.1659921322796234</v>
      </c>
      <c r="S36" s="60">
        <f>D36/L36</f>
        <v>1.3362860718697049</v>
      </c>
      <c r="T36" s="60">
        <f>IF(M36=0,1,E36/M36)</f>
        <v>11.64924257553036</v>
      </c>
      <c r="U36" s="60">
        <f>F36/N36</f>
        <v>0.46994208900488749</v>
      </c>
      <c r="V36" s="60">
        <f>G36/O36</f>
        <v>0</v>
      </c>
      <c r="X36" s="9" t="s">
        <v>6</v>
      </c>
      <c r="Y36" s="44">
        <f t="shared" si="13"/>
        <v>0.15357234028943192</v>
      </c>
      <c r="Z36" s="44">
        <f t="shared" si="28"/>
        <v>0.28989417784380556</v>
      </c>
      <c r="AA36" s="44">
        <f>IF(T36&gt;0,LN(T36),0)</f>
        <v>2.4552411629222095</v>
      </c>
      <c r="AB36" s="44">
        <f t="shared" si="29"/>
        <v>-0.75514580675282827</v>
      </c>
      <c r="AC36" s="44">
        <f t="shared" si="30"/>
        <v>0</v>
      </c>
      <c r="AF36">
        <f>WorkCoefficients!B44</f>
        <v>169</v>
      </c>
      <c r="AG36" t="str">
        <f>WorkCoefficients!C44</f>
        <v>bi-dmixed</v>
      </c>
      <c r="AH36">
        <f>WorkCoefficients!E44</f>
        <v>1.3874495017599999</v>
      </c>
      <c r="AI36" s="62">
        <f t="shared" si="0"/>
        <v>1.3874495017599999</v>
      </c>
      <c r="AK36" s="59">
        <f>SchoolCoeffcients!B44</f>
        <v>134</v>
      </c>
      <c r="AL36" t="str">
        <f>SchoolCoeffcients!C44</f>
        <v>sr-othsptr</v>
      </c>
      <c r="AM36" s="55">
        <f>SchoolCoeffcients!E44</f>
        <v>0.43389099526199998</v>
      </c>
      <c r="AN36" s="62">
        <f t="shared" si="1"/>
        <v>0.43389099526199998</v>
      </c>
      <c r="AU36" s="59">
        <f>OtherCoefficients!B44</f>
        <v>161</v>
      </c>
      <c r="AV36" t="str">
        <f>OtherCoefficients!C44</f>
        <v>bi-class1</v>
      </c>
      <c r="AW36">
        <f>OtherCoefficients!E44</f>
        <v>0</v>
      </c>
      <c r="AX36" s="62">
        <f t="shared" si="3"/>
        <v>0</v>
      </c>
    </row>
    <row r="37" spans="2:50" x14ac:dyDescent="0.45">
      <c r="B37" s="9" t="s">
        <v>7</v>
      </c>
      <c r="C37" s="42">
        <f t="shared" si="18"/>
        <v>1.292651301811402E-2</v>
      </c>
      <c r="D37" s="42">
        <f t="shared" si="19"/>
        <v>1.8883106743335643E-2</v>
      </c>
      <c r="E37" s="42">
        <f t="shared" si="20"/>
        <v>1.9012099888217986E-2</v>
      </c>
      <c r="F37" s="42">
        <f t="shared" si="21"/>
        <v>0.18474728493947143</v>
      </c>
      <c r="G37" s="42">
        <f t="shared" si="22"/>
        <v>0.1905502557015569</v>
      </c>
      <c r="H37" s="42"/>
      <c r="J37" s="9" t="s">
        <v>7</v>
      </c>
      <c r="K37" s="42">
        <f t="shared" si="23"/>
        <v>7.7096779629598419E-3</v>
      </c>
      <c r="L37" s="42">
        <f t="shared" si="24"/>
        <v>3.2569680325696806E-2</v>
      </c>
      <c r="M37" s="42">
        <f t="shared" si="25"/>
        <v>2.5146794412382281E-5</v>
      </c>
      <c r="N37" s="42">
        <f t="shared" si="26"/>
        <v>0.15208910726079738</v>
      </c>
      <c r="O37" s="42">
        <f t="shared" si="27"/>
        <v>0.33348043042873143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1.7360965114</v>
      </c>
      <c r="AI37" s="62">
        <f t="shared" si="0"/>
        <v>1.7360965114</v>
      </c>
      <c r="AK37" s="59">
        <f>SchoolCoeffcients!B45</f>
        <v>161</v>
      </c>
      <c r="AL37" t="str">
        <f>SchoolCoeffcients!C45</f>
        <v>bi-class1</v>
      </c>
      <c r="AM37" s="55">
        <f>SchoolCoeffcients!E45</f>
        <v>0</v>
      </c>
      <c r="AN37" s="62">
        <f t="shared" si="1"/>
        <v>0</v>
      </c>
      <c r="AU37" s="59">
        <f>OtherCoefficients!B45</f>
        <v>162</v>
      </c>
      <c r="AV37" t="str">
        <f>OtherCoefficients!C45</f>
        <v>bi-class2</v>
      </c>
      <c r="AW37">
        <f>OtherCoefficients!E45</f>
        <v>0</v>
      </c>
      <c r="AX37" s="62">
        <f t="shared" si="3"/>
        <v>0</v>
      </c>
    </row>
    <row r="38" spans="2:50" x14ac:dyDescent="0.45">
      <c r="B38" s="14" t="s">
        <v>8</v>
      </c>
      <c r="C38" s="42">
        <f t="shared" si="18"/>
        <v>2.2511416932028262E-3</v>
      </c>
      <c r="D38" s="42">
        <f t="shared" si="19"/>
        <v>0.1800690931164331</v>
      </c>
      <c r="E38" s="42">
        <f t="shared" si="20"/>
        <v>0</v>
      </c>
      <c r="F38" s="42">
        <f t="shared" si="21"/>
        <v>0</v>
      </c>
      <c r="G38" s="42">
        <f t="shared" si="22"/>
        <v>0.5</v>
      </c>
      <c r="H38" s="42"/>
      <c r="J38" s="14" t="s">
        <v>8</v>
      </c>
      <c r="K38" s="42">
        <f t="shared" si="23"/>
        <v>0</v>
      </c>
      <c r="L38" s="42">
        <f t="shared" si="24"/>
        <v>0.30473850304738503</v>
      </c>
      <c r="M38" s="42">
        <f t="shared" si="25"/>
        <v>0</v>
      </c>
      <c r="N38" s="42">
        <f t="shared" si="26"/>
        <v>0</v>
      </c>
      <c r="O38" s="42">
        <f t="shared" si="27"/>
        <v>0</v>
      </c>
      <c r="Q38" s="14" t="s">
        <v>8</v>
      </c>
      <c r="R38" s="44"/>
      <c r="S38" s="44">
        <f>D38/L38</f>
        <v>0.59089708492934812</v>
      </c>
      <c r="T38" s="44"/>
      <c r="U38" s="44"/>
      <c r="V38" s="44">
        <f>IF(O38=0,1,G38/O38)</f>
        <v>1</v>
      </c>
      <c r="X38" s="14" t="s">
        <v>8</v>
      </c>
      <c r="Y38" s="44"/>
      <c r="Z38" s="44">
        <f t="shared" si="28"/>
        <v>-0.52611341391506106</v>
      </c>
      <c r="AA38" s="44"/>
      <c r="AB38" s="44"/>
      <c r="AC38" s="44"/>
      <c r="AF38">
        <f>WorkCoefficients!B46</f>
        <v>201</v>
      </c>
      <c r="AG38" t="str">
        <f>WorkCoefficients!C46</f>
        <v>distcont1</v>
      </c>
      <c r="AH38">
        <f>WorkCoefficients!E46</f>
        <v>-0.8</v>
      </c>
      <c r="AI38" s="62">
        <f t="shared" si="0"/>
        <v>-0.8</v>
      </c>
      <c r="AK38" s="59">
        <f>SchoolCoeffcients!B46</f>
        <v>162</v>
      </c>
      <c r="AL38" t="str">
        <f>SchoolCoeffcients!C46</f>
        <v>bi-class2</v>
      </c>
      <c r="AM38" s="55">
        <f>SchoolCoeffcients!E46</f>
        <v>0</v>
      </c>
      <c r="AN38" s="62">
        <f t="shared" si="1"/>
        <v>0</v>
      </c>
      <c r="AU38" s="59">
        <f>OtherCoefficients!B46</f>
        <v>163</v>
      </c>
      <c r="AV38" t="str">
        <f>OtherCoefficients!C46</f>
        <v>bi-gauntl</v>
      </c>
      <c r="AW38">
        <f>OtherCoefficients!E46</f>
        <v>0</v>
      </c>
      <c r="AX38" s="62">
        <f t="shared" si="3"/>
        <v>0</v>
      </c>
    </row>
    <row r="39" spans="2:50" ht="14.65" thickBot="1" x14ac:dyDescent="0.5">
      <c r="B39" s="40" t="s">
        <v>19</v>
      </c>
      <c r="C39" s="43">
        <f>SUM(C31:C38)</f>
        <v>1</v>
      </c>
      <c r="D39" s="43">
        <f t="shared" ref="D39:G39" si="31">SUM(D31:D38)</f>
        <v>1</v>
      </c>
      <c r="E39" s="43">
        <f t="shared" si="31"/>
        <v>1</v>
      </c>
      <c r="F39" s="43">
        <f t="shared" si="31"/>
        <v>0.99999999999999989</v>
      </c>
      <c r="G39" s="43">
        <f t="shared" si="31"/>
        <v>1</v>
      </c>
      <c r="H39" s="47"/>
      <c r="J39" s="40" t="s">
        <v>19</v>
      </c>
      <c r="K39" s="43">
        <f>SUM(K31:K38)</f>
        <v>1</v>
      </c>
      <c r="L39" s="43">
        <f t="shared" ref="L39" si="32">SUM(L31:L38)</f>
        <v>1</v>
      </c>
      <c r="M39" s="43">
        <f t="shared" ref="M39" si="33">SUM(M31:M38)</f>
        <v>1</v>
      </c>
      <c r="N39" s="43">
        <f t="shared" ref="N39" si="34">SUM(N31:N38)</f>
        <v>1</v>
      </c>
      <c r="O39" s="43">
        <f t="shared" ref="O39" si="35">SUM(O31:O38)</f>
        <v>1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F39">
        <f>WorkCoefficients!B47</f>
        <v>202</v>
      </c>
      <c r="AG39" t="str">
        <f>WorkCoefficients!C47</f>
        <v>distcont2</v>
      </c>
      <c r="AH39">
        <f>WorkCoefficients!E47</f>
        <v>-0.8</v>
      </c>
      <c r="AI39" s="62">
        <f t="shared" si="0"/>
        <v>-0.8</v>
      </c>
      <c r="AK39" s="59">
        <f>SchoolCoeffcients!B47</f>
        <v>163</v>
      </c>
      <c r="AL39" t="str">
        <f>SchoolCoeffcients!C47</f>
        <v>bi-gauntl</v>
      </c>
      <c r="AM39" s="55">
        <f>SchoolCoeffcients!E47</f>
        <v>0</v>
      </c>
      <c r="AN39" s="62">
        <f t="shared" si="1"/>
        <v>0</v>
      </c>
      <c r="AU39" s="59">
        <f>OtherCoefficients!B47</f>
        <v>164</v>
      </c>
      <c r="AV39" t="str">
        <f>OtherCoefficients!C47</f>
        <v>bi-omixed</v>
      </c>
      <c r="AW39">
        <f>OtherCoefficients!E47</f>
        <v>0.12061822421899999</v>
      </c>
      <c r="AX39" s="62">
        <f t="shared" si="3"/>
        <v>0.12061822421899999</v>
      </c>
    </row>
    <row r="40" spans="2:50" x14ac:dyDescent="0.45">
      <c r="Q40" s="45"/>
      <c r="R40" s="45"/>
      <c r="S40" s="45"/>
      <c r="T40" s="45"/>
      <c r="U40" s="45"/>
      <c r="V40" s="45"/>
      <c r="AF40">
        <f>WorkCoefficients!B48</f>
        <v>203</v>
      </c>
      <c r="AG40" t="str">
        <f>WorkCoefficients!C48</f>
        <v>distcont3</v>
      </c>
      <c r="AH40">
        <f>WorkCoefficients!E48</f>
        <v>0</v>
      </c>
      <c r="AI40" s="62">
        <f t="shared" si="0"/>
        <v>0</v>
      </c>
      <c r="AK40" s="59">
        <f>SchoolCoeffcients!B48</f>
        <v>164</v>
      </c>
      <c r="AL40" t="str">
        <f>SchoolCoeffcients!C48</f>
        <v>bi-omixed</v>
      </c>
      <c r="AM40" s="55">
        <f>SchoolCoeffcients!E48</f>
        <v>0</v>
      </c>
      <c r="AN40" s="62">
        <f t="shared" si="1"/>
        <v>0</v>
      </c>
      <c r="AU40" s="59">
        <f>OtherCoefficients!B48</f>
        <v>165</v>
      </c>
      <c r="AV40" t="str">
        <f>OtherCoefficients!C48</f>
        <v>bi-ohhddn</v>
      </c>
      <c r="AW40">
        <f>OtherCoefficients!E48</f>
        <v>2.0963293927600001E-4</v>
      </c>
      <c r="AX40" s="62">
        <f t="shared" si="3"/>
        <v>2.0963293927600001E-4</v>
      </c>
    </row>
    <row r="41" spans="2:50" ht="14.65" thickBot="1" x14ac:dyDescent="0.5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F41">
        <f>WorkCoefficients!B49</f>
        <v>204</v>
      </c>
      <c r="AG41" t="str">
        <f>WorkCoefficients!C49</f>
        <v>distcont4</v>
      </c>
      <c r="AH41">
        <f>WorkCoefficients!E49</f>
        <v>0</v>
      </c>
      <c r="AI41" s="62">
        <f t="shared" si="0"/>
        <v>0</v>
      </c>
      <c r="AK41" s="59">
        <f>SchoolCoeffcients!B49</f>
        <v>168</v>
      </c>
      <c r="AL41" t="str">
        <f>SchoolCoeffcients!C49</f>
        <v>bi-dempdn</v>
      </c>
      <c r="AM41" s="55">
        <f>SchoolCoeffcients!E49</f>
        <v>1.1363647136500001E-5</v>
      </c>
      <c r="AN41" s="62">
        <f t="shared" si="1"/>
        <v>1.1363647136500001E-5</v>
      </c>
      <c r="AU41" s="59">
        <f>OtherCoefficients!B49</f>
        <v>168</v>
      </c>
      <c r="AV41" t="str">
        <f>OtherCoefficients!C49</f>
        <v>bi-dempdn</v>
      </c>
      <c r="AW41">
        <f>OtherCoefficients!E49</f>
        <v>-2.9531002106099999E-6</v>
      </c>
      <c r="AX41" s="62">
        <f t="shared" si="3"/>
        <v>-2.9531002106099999E-6</v>
      </c>
    </row>
    <row r="42" spans="2:50" x14ac:dyDescent="0.4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F42">
        <f>WorkCoefficients!B50</f>
        <v>205</v>
      </c>
      <c r="AG42" t="str">
        <f>WorkCoefficients!C50</f>
        <v>distcont5</v>
      </c>
      <c r="AH42">
        <f>WorkCoefficients!E50</f>
        <v>0</v>
      </c>
      <c r="AI42" s="62">
        <f t="shared" si="0"/>
        <v>0</v>
      </c>
      <c r="AK42" s="59">
        <f>SchoolCoeffcients!B50</f>
        <v>169</v>
      </c>
      <c r="AL42" t="str">
        <f>SchoolCoeffcients!C50</f>
        <v>bi-dmixed</v>
      </c>
      <c r="AM42" s="55">
        <f>SchoolCoeffcients!E50</f>
        <v>-0.36651267651399999</v>
      </c>
      <c r="AN42" s="62">
        <f t="shared" si="1"/>
        <v>-0.36651267651399999</v>
      </c>
      <c r="AU42" s="59">
        <f>OtherCoefficients!B50</f>
        <v>169</v>
      </c>
      <c r="AV42" t="str">
        <f>OtherCoefficients!C50</f>
        <v>bi-dmixed</v>
      </c>
      <c r="AW42">
        <f>OtherCoefficients!E50</f>
        <v>0</v>
      </c>
      <c r="AX42" s="62">
        <f t="shared" si="3"/>
        <v>0</v>
      </c>
    </row>
    <row r="43" spans="2:50" x14ac:dyDescent="0.45">
      <c r="Q43" s="9" t="s">
        <v>1</v>
      </c>
      <c r="R43" s="44">
        <f>VLOOKUP(Y18,$AF$3:$AH$38,3,FALSE)</f>
        <v>1.48159853972</v>
      </c>
      <c r="S43" s="44">
        <f>VLOOKUP(Z18,$AK$3:$AM$44,3,FALSE)</f>
        <v>2.16938021038</v>
      </c>
      <c r="T43" s="44">
        <f>VLOOKUP(AA18,$AP$3:$AR$17,3,FALSE)</f>
        <v>-10</v>
      </c>
      <c r="U43" s="44">
        <f>VLOOKUP(AB18,$AU$3:$AW$47,3,FALSE)</f>
        <v>-0.461309408531</v>
      </c>
      <c r="V43" s="44">
        <f>VLOOKUP(AC18,$AZ$3:$BB$19,3,FALSE)</f>
        <v>-3.4804368051500001</v>
      </c>
      <c r="X43" s="12"/>
      <c r="Y43" s="57"/>
      <c r="Z43" s="57"/>
      <c r="AA43" s="57"/>
      <c r="AB43" s="57"/>
      <c r="AC43" s="57"/>
      <c r="AD43" s="45"/>
      <c r="AF43">
        <f>WorkCoefficients!B51</f>
        <v>206</v>
      </c>
      <c r="AG43" t="str">
        <f>WorkCoefficients!C51</f>
        <v>distcont6</v>
      </c>
      <c r="AH43">
        <f>WorkCoefficients!E51</f>
        <v>0</v>
      </c>
      <c r="AI43" s="62">
        <f t="shared" si="0"/>
        <v>0</v>
      </c>
      <c r="AK43" s="59">
        <f>SchoolCoeffcients!B51</f>
        <v>179</v>
      </c>
      <c r="AL43" t="str">
        <f>SchoolCoeffcients!C51</f>
        <v>wk-dmixed</v>
      </c>
      <c r="AM43" s="55">
        <f>SchoolCoeffcients!E51</f>
        <v>0.502373344261</v>
      </c>
      <c r="AN43" s="62">
        <f t="shared" si="1"/>
        <v>0.502373344261</v>
      </c>
      <c r="AU43" s="59">
        <f>OtherCoefficients!B51</f>
        <v>171</v>
      </c>
      <c r="AV43" t="str">
        <f>OtherCoefficients!C51</f>
        <v>wk-meal</v>
      </c>
      <c r="AW43">
        <f>OtherCoefficients!E51</f>
        <v>1.10874798884</v>
      </c>
      <c r="AX43" s="62">
        <f t="shared" si="3"/>
        <v>1.10874798884</v>
      </c>
    </row>
    <row r="44" spans="2:50" x14ac:dyDescent="0.45">
      <c r="Q44" s="9" t="s">
        <v>2</v>
      </c>
      <c r="R44" s="44">
        <f t="shared" ref="R44:R48" si="36">VLOOKUP(Y19,$AF$3:$AH$38,3,FALSE)</f>
        <v>-1.9489459630199999</v>
      </c>
      <c r="S44" s="44">
        <f t="shared" ref="S44:S50" si="37">VLOOKUP(Z19,$AK$3:$AM$44,3,FALSE)</f>
        <v>-0.93652639794899994</v>
      </c>
      <c r="T44" s="44">
        <f t="shared" ref="T44:T48" si="38">VLOOKUP(AA19,$AP$3:$AR$17,3,FALSE)</f>
        <v>-0.12564727430100001</v>
      </c>
      <c r="U44" s="44">
        <f t="shared" ref="U44:U48" si="39">VLOOKUP(AB19,$AU$3:$AW$47,3,FALSE)</f>
        <v>-2.0094454428500002</v>
      </c>
      <c r="V44" s="44">
        <f t="shared" ref="V44:V48" si="40">VLOOKUP(AC19,$AZ$3:$BB$19,3,FALSE)</f>
        <v>-4.0965030205600002</v>
      </c>
      <c r="X44" s="12"/>
      <c r="Y44" s="57"/>
      <c r="Z44" s="57"/>
      <c r="AA44" s="57"/>
      <c r="AB44" s="57"/>
      <c r="AC44" s="57"/>
      <c r="AD44" s="45"/>
      <c r="AF44">
        <f>WorkCoefficients!B52</f>
        <v>207</v>
      </c>
      <c r="AG44" t="str">
        <f>WorkCoefficients!C52</f>
        <v>distcont7</v>
      </c>
      <c r="AH44">
        <f>WorkCoefficients!E52</f>
        <v>0</v>
      </c>
      <c r="AI44" s="62">
        <f t="shared" si="0"/>
        <v>0</v>
      </c>
      <c r="AK44" s="59">
        <f>SchoolCoeffcients!B52</f>
        <v>99</v>
      </c>
      <c r="AL44" t="str">
        <f>SchoolCoeffcients!C52</f>
        <v>modenest</v>
      </c>
      <c r="AM44" s="55">
        <f>SchoolCoeffcients!E52</f>
        <v>0.78311080353600004</v>
      </c>
      <c r="AN44" s="62">
        <f t="shared" si="1"/>
        <v>0.78311080353600004</v>
      </c>
      <c r="AU44" s="59">
        <f>OtherCoefficients!B52</f>
        <v>172</v>
      </c>
      <c r="AV44" t="str">
        <f>OtherCoefficients!C52</f>
        <v>wk-socrec</v>
      </c>
      <c r="AW44">
        <f>OtherCoefficients!E52</f>
        <v>2.0996029740900002</v>
      </c>
      <c r="AX44" s="62">
        <f t="shared" si="3"/>
        <v>2.0996029740900002</v>
      </c>
    </row>
    <row r="45" spans="2:50" x14ac:dyDescent="0.45">
      <c r="Q45" s="9" t="s">
        <v>3</v>
      </c>
      <c r="R45" s="44">
        <f t="shared" si="36"/>
        <v>-2.4689708000600001</v>
      </c>
      <c r="S45" s="44">
        <f t="shared" si="37"/>
        <v>-0.48513089974599999</v>
      </c>
      <c r="T45" s="44">
        <f t="shared" si="38"/>
        <v>-0.98936486869100004</v>
      </c>
      <c r="U45" s="44">
        <f t="shared" si="39"/>
        <v>-1.78022496899</v>
      </c>
      <c r="V45" s="44">
        <f t="shared" si="40"/>
        <v>-4.7133255538499998</v>
      </c>
      <c r="X45" s="12"/>
      <c r="Y45" s="57"/>
      <c r="Z45" s="57"/>
      <c r="AA45" s="57"/>
      <c r="AB45" s="57"/>
      <c r="AC45" s="57"/>
      <c r="AD45" s="45"/>
      <c r="AF45">
        <f>WorkCoefficients!B53</f>
        <v>208</v>
      </c>
      <c r="AG45" t="str">
        <f>WorkCoefficients!C53</f>
        <v>distcont8</v>
      </c>
      <c r="AH45">
        <f>WorkCoefficients!E53</f>
        <v>-2</v>
      </c>
      <c r="AI45" s="62">
        <f t="shared" si="0"/>
        <v>-2</v>
      </c>
      <c r="AU45" s="59">
        <f>OtherCoefficients!B53</f>
        <v>175</v>
      </c>
      <c r="AV45" t="str">
        <f>OtherCoefficients!C53</f>
        <v>wk-ohhddn</v>
      </c>
      <c r="AW45">
        <f>OtherCoefficients!E53</f>
        <v>1.37939187897E-4</v>
      </c>
      <c r="AX45" s="62">
        <f t="shared" si="3"/>
        <v>1.37939187897E-4</v>
      </c>
    </row>
    <row r="46" spans="2:50" x14ac:dyDescent="0.45">
      <c r="Q46" s="9" t="s">
        <v>4</v>
      </c>
      <c r="R46" s="44">
        <f>VLOOKUP(Y21,$AF$3:$AH$38,3,FALSE)</f>
        <v>-3.8200751962199999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F46">
        <f>WorkCoefficients!B54</f>
        <v>209</v>
      </c>
      <c r="AG46" t="str">
        <f>WorkCoefficients!C54</f>
        <v>distcont9</v>
      </c>
      <c r="AH46">
        <f>WorkCoefficients!E54</f>
        <v>-1</v>
      </c>
      <c r="AI46" s="62">
        <f t="shared" si="0"/>
        <v>-1</v>
      </c>
      <c r="AU46" s="59">
        <f>OtherCoefficients!B54</f>
        <v>178</v>
      </c>
      <c r="AV46" t="str">
        <f>OtherCoefficients!C54</f>
        <v>wk-dempdn</v>
      </c>
      <c r="AW46">
        <f>OtherCoefficients!E54</f>
        <v>-6.1957253739600003E-6</v>
      </c>
      <c r="AX46" s="62">
        <f t="shared" si="3"/>
        <v>-6.1957253739600003E-6</v>
      </c>
    </row>
    <row r="47" spans="2:50" x14ac:dyDescent="0.45">
      <c r="Q47" s="9" t="s">
        <v>5</v>
      </c>
      <c r="R47" s="44">
        <f t="shared" si="36"/>
        <v>-3.0715896153100002</v>
      </c>
      <c r="S47" s="44">
        <f t="shared" si="37"/>
        <v>-4.2802421756499998</v>
      </c>
      <c r="T47" s="44"/>
      <c r="U47" s="44">
        <f t="shared" si="39"/>
        <v>-3.1934860859500001</v>
      </c>
      <c r="V47" s="44">
        <f t="shared" si="40"/>
        <v>-4.7905352725499997</v>
      </c>
      <c r="X47" s="12"/>
      <c r="Y47" s="57"/>
      <c r="Z47" s="57"/>
      <c r="AA47" s="57"/>
      <c r="AB47" s="57"/>
      <c r="AC47" s="57"/>
      <c r="AD47" s="45"/>
      <c r="AF47">
        <f>WorkCoefficients!B55</f>
        <v>210</v>
      </c>
      <c r="AG47" t="str">
        <f>WorkCoefficients!C55</f>
        <v>distcon10</v>
      </c>
      <c r="AH47">
        <f>WorkCoefficients!E55</f>
        <v>-2</v>
      </c>
      <c r="AI47" s="62">
        <f t="shared" si="0"/>
        <v>-2</v>
      </c>
      <c r="AU47" s="59">
        <f>OtherCoefficients!B55</f>
        <v>201</v>
      </c>
      <c r="AV47" t="str">
        <f>OtherCoefficients!C55</f>
        <v>distcont1</v>
      </c>
      <c r="AW47">
        <f>OtherCoefficients!E55</f>
        <v>-4.5</v>
      </c>
      <c r="AX47" s="62">
        <f t="shared" si="3"/>
        <v>-4.5</v>
      </c>
    </row>
    <row r="48" spans="2:50" x14ac:dyDescent="0.45">
      <c r="Q48" s="9" t="s">
        <v>6</v>
      </c>
      <c r="R48" s="44">
        <f t="shared" si="36"/>
        <v>-3.8984872554700001</v>
      </c>
      <c r="S48" s="44">
        <f t="shared" si="37"/>
        <v>-3.8099771367100002</v>
      </c>
      <c r="T48" s="44">
        <f t="shared" si="38"/>
        <v>-10</v>
      </c>
      <c r="U48" s="44">
        <f t="shared" si="39"/>
        <v>-4.4410848396300002</v>
      </c>
      <c r="V48" s="44">
        <f t="shared" si="40"/>
        <v>-6.3776051105600002</v>
      </c>
      <c r="X48" s="12"/>
      <c r="Y48" s="57"/>
      <c r="Z48" s="57"/>
      <c r="AA48" s="57"/>
      <c r="AB48" s="57"/>
      <c r="AC48" s="57"/>
      <c r="AD48" s="45"/>
      <c r="AF48">
        <f>WorkCoefficients!B56</f>
        <v>211</v>
      </c>
      <c r="AG48" t="str">
        <f>WorkCoefficients!C56</f>
        <v>distcon11</v>
      </c>
      <c r="AH48">
        <f>WorkCoefficients!E56</f>
        <v>0</v>
      </c>
      <c r="AI48" s="62">
        <f t="shared" si="0"/>
        <v>0</v>
      </c>
      <c r="AU48" s="59">
        <f>OtherCoefficients!B56</f>
        <v>202</v>
      </c>
      <c r="AV48" t="str">
        <f>OtherCoefficients!C56</f>
        <v>distcont2</v>
      </c>
      <c r="AW48">
        <f>OtherCoefficients!E56</f>
        <v>-4.5</v>
      </c>
      <c r="AX48" s="62">
        <f t="shared" si="3"/>
        <v>-4.5</v>
      </c>
    </row>
    <row r="49" spans="17:50" x14ac:dyDescent="0.4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  <c r="AF49">
        <f>WorkCoefficients!B57</f>
        <v>99</v>
      </c>
      <c r="AG49" t="str">
        <f>WorkCoefficients!C57</f>
        <v>modenest</v>
      </c>
      <c r="AH49">
        <f>WorkCoefficients!E57</f>
        <v>0.53642515987899997</v>
      </c>
      <c r="AI49" s="62">
        <f t="shared" si="0"/>
        <v>0.53642515987899997</v>
      </c>
      <c r="AU49" s="59">
        <f>OtherCoefficients!B57</f>
        <v>203</v>
      </c>
      <c r="AV49" t="str">
        <f>OtherCoefficients!C57</f>
        <v>distcont3</v>
      </c>
      <c r="AW49">
        <f>OtherCoefficients!E57</f>
        <v>0</v>
      </c>
      <c r="AX49" s="62">
        <f t="shared" si="3"/>
        <v>0</v>
      </c>
    </row>
    <row r="50" spans="17:50" x14ac:dyDescent="0.45">
      <c r="Q50" s="14" t="s">
        <v>8</v>
      </c>
      <c r="R50" s="46"/>
      <c r="S50" s="46">
        <f t="shared" si="37"/>
        <v>-0.38914266604300002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  <c r="AU50" s="59">
        <f>OtherCoefficients!B58</f>
        <v>204</v>
      </c>
      <c r="AV50" t="str">
        <f>OtherCoefficients!C58</f>
        <v>distcont4</v>
      </c>
      <c r="AW50">
        <f>OtherCoefficients!E58</f>
        <v>0</v>
      </c>
      <c r="AX50" s="62">
        <f t="shared" si="3"/>
        <v>0</v>
      </c>
    </row>
    <row r="51" spans="17:50" x14ac:dyDescent="0.45">
      <c r="X51" s="45"/>
      <c r="Y51" s="45"/>
      <c r="Z51" s="45"/>
      <c r="AA51" s="45"/>
      <c r="AB51" s="45"/>
      <c r="AC51" s="45"/>
      <c r="AD51" s="45"/>
      <c r="AU51" s="59">
        <f>OtherCoefficients!B59</f>
        <v>205</v>
      </c>
      <c r="AV51" t="str">
        <f>OtherCoefficients!C59</f>
        <v>distcont5</v>
      </c>
      <c r="AW51">
        <f>OtherCoefficients!E59</f>
        <v>0</v>
      </c>
      <c r="AX51" s="62">
        <f t="shared" si="3"/>
        <v>0</v>
      </c>
    </row>
    <row r="52" spans="17:50" x14ac:dyDescent="0.45">
      <c r="AU52" s="59">
        <f>OtherCoefficients!B60</f>
        <v>206</v>
      </c>
      <c r="AV52" t="str">
        <f>OtherCoefficients!C60</f>
        <v>distcont6</v>
      </c>
      <c r="AW52">
        <f>OtherCoefficients!E60</f>
        <v>0</v>
      </c>
      <c r="AX52" s="62">
        <f t="shared" si="3"/>
        <v>0</v>
      </c>
    </row>
    <row r="53" spans="17:50" ht="14.65" thickBot="1" x14ac:dyDescent="0.5">
      <c r="Q53" t="s">
        <v>244</v>
      </c>
      <c r="X53" s="39" t="s">
        <v>221</v>
      </c>
      <c r="AU53" s="59">
        <f>OtherCoefficients!B61</f>
        <v>207</v>
      </c>
      <c r="AV53" t="str">
        <f>OtherCoefficients!C61</f>
        <v>distcont7</v>
      </c>
      <c r="AW53">
        <f>OtherCoefficients!E61</f>
        <v>0</v>
      </c>
      <c r="AX53" s="62">
        <f t="shared" si="3"/>
        <v>0</v>
      </c>
    </row>
    <row r="54" spans="17:50" x14ac:dyDescent="0.4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  <c r="AU54" s="59">
        <f>OtherCoefficients!B62</f>
        <v>208</v>
      </c>
      <c r="AV54" t="str">
        <f>OtherCoefficients!C62</f>
        <v>distcont8</v>
      </c>
      <c r="AW54">
        <f>OtherCoefficients!E62</f>
        <v>0</v>
      </c>
      <c r="AX54" s="62">
        <f t="shared" si="3"/>
        <v>0</v>
      </c>
    </row>
    <row r="55" spans="17:50" x14ac:dyDescent="0.45">
      <c r="Q55" s="9" t="s">
        <v>1</v>
      </c>
      <c r="R55" s="52">
        <f>Y18</f>
        <v>50</v>
      </c>
      <c r="S55" s="52">
        <f t="shared" ref="S55:V62" si="41">Z18</f>
        <v>50</v>
      </c>
      <c r="T55" s="52">
        <f t="shared" si="41"/>
        <v>50</v>
      </c>
      <c r="U55" s="52">
        <f t="shared" si="41"/>
        <v>50</v>
      </c>
      <c r="V55" s="52">
        <f t="shared" si="41"/>
        <v>50</v>
      </c>
      <c r="X55" s="9" t="s">
        <v>1</v>
      </c>
      <c r="Y55" s="44">
        <f>R43+Y31</f>
        <v>1.3949741377135831</v>
      </c>
      <c r="Z55" s="44">
        <f t="shared" ref="Z55:AC62" si="42">S43+Z31</f>
        <v>2.2780942380640505</v>
      </c>
      <c r="AA55" s="44">
        <f t="shared" si="42"/>
        <v>-4.1199663456490416</v>
      </c>
      <c r="AB55" s="44">
        <f t="shared" si="42"/>
        <v>-0.51983352223956714</v>
      </c>
      <c r="AC55" s="44">
        <f t="shared" si="42"/>
        <v>-4.6590468141807309</v>
      </c>
      <c r="AU55" s="59">
        <f>OtherCoefficients!B63</f>
        <v>209</v>
      </c>
      <c r="AV55" t="str">
        <f>OtherCoefficients!C63</f>
        <v>distcont9</v>
      </c>
      <c r="AW55">
        <f>OtherCoefficients!E63</f>
        <v>0</v>
      </c>
      <c r="AX55" s="62">
        <f t="shared" si="3"/>
        <v>0</v>
      </c>
    </row>
    <row r="56" spans="17:50" x14ac:dyDescent="0.45">
      <c r="Q56" s="9" t="s">
        <v>2</v>
      </c>
      <c r="R56" s="52">
        <f t="shared" ref="R56:R60" si="43">Y19</f>
        <v>40</v>
      </c>
      <c r="S56" s="52">
        <f t="shared" si="41"/>
        <v>40</v>
      </c>
      <c r="T56" s="52">
        <f t="shared" si="41"/>
        <v>40</v>
      </c>
      <c r="U56" s="52">
        <f t="shared" si="41"/>
        <v>40</v>
      </c>
      <c r="V56" s="52">
        <f t="shared" si="41"/>
        <v>40</v>
      </c>
      <c r="X56" s="9" t="s">
        <v>2</v>
      </c>
      <c r="Y56" s="44">
        <f t="shared" ref="Y56:Y60" si="44">R44+Y32</f>
        <v>-2.0074962443815352</v>
      </c>
      <c r="Z56" s="44">
        <f t="shared" si="42"/>
        <v>-0.68463555162436962</v>
      </c>
      <c r="AA56" s="44">
        <f t="shared" si="42"/>
        <v>-0.31969962551285558</v>
      </c>
      <c r="AB56" s="44">
        <f t="shared" si="42"/>
        <v>-1.8680961519521941</v>
      </c>
      <c r="AC56" s="44">
        <f t="shared" si="42"/>
        <v>-4.4424641139051149</v>
      </c>
      <c r="AU56" s="59">
        <f>OtherCoefficients!B64</f>
        <v>210</v>
      </c>
      <c r="AV56" t="str">
        <f>OtherCoefficients!C64</f>
        <v>distcon10</v>
      </c>
      <c r="AW56">
        <f>OtherCoefficients!E64</f>
        <v>0</v>
      </c>
      <c r="AX56" s="62">
        <f t="shared" si="3"/>
        <v>0</v>
      </c>
    </row>
    <row r="57" spans="17:50" x14ac:dyDescent="0.45">
      <c r="Q57" s="9" t="s">
        <v>3</v>
      </c>
      <c r="R57" s="52">
        <f t="shared" si="43"/>
        <v>30</v>
      </c>
      <c r="S57" s="52">
        <f t="shared" si="41"/>
        <v>30</v>
      </c>
      <c r="T57" s="52">
        <f t="shared" si="41"/>
        <v>30</v>
      </c>
      <c r="U57" s="52">
        <f t="shared" si="41"/>
        <v>30</v>
      </c>
      <c r="V57" s="52">
        <f t="shared" si="41"/>
        <v>30</v>
      </c>
      <c r="X57" s="9" t="s">
        <v>3</v>
      </c>
      <c r="Y57" s="44">
        <f t="shared" si="44"/>
        <v>-2.9383753656400255</v>
      </c>
      <c r="Z57" s="44">
        <f t="shared" si="42"/>
        <v>-0.40223503317518666</v>
      </c>
      <c r="AA57" s="44">
        <f t="shared" si="42"/>
        <v>-0.86906952347221489</v>
      </c>
      <c r="AB57" s="44">
        <f t="shared" si="42"/>
        <v>-2.1971666032582369</v>
      </c>
      <c r="AC57" s="44">
        <f t="shared" si="42"/>
        <v>-4.7283041084775181</v>
      </c>
      <c r="AU57" s="59">
        <f>OtherCoefficients!B65</f>
        <v>211</v>
      </c>
      <c r="AV57" t="str">
        <f>OtherCoefficients!C65</f>
        <v>distcon11</v>
      </c>
      <c r="AW57">
        <f>OtherCoefficients!E65</f>
        <v>0</v>
      </c>
      <c r="AX57" s="62">
        <f t="shared" si="3"/>
        <v>0</v>
      </c>
    </row>
    <row r="58" spans="17:50" x14ac:dyDescent="0.45">
      <c r="Q58" s="9" t="s">
        <v>4</v>
      </c>
      <c r="R58" s="52">
        <f t="shared" si="43"/>
        <v>10</v>
      </c>
      <c r="S58" s="52"/>
      <c r="T58" s="52"/>
      <c r="U58" s="52"/>
      <c r="V58" s="52"/>
      <c r="X58" s="9" t="s">
        <v>4</v>
      </c>
      <c r="Y58" s="44">
        <f t="shared" si="44"/>
        <v>-4.3922097515134126</v>
      </c>
      <c r="Z58" s="44"/>
      <c r="AA58" s="44"/>
      <c r="AB58" s="44"/>
      <c r="AC58" s="44"/>
      <c r="AU58" s="59">
        <f>OtherCoefficients!B66</f>
        <v>99</v>
      </c>
      <c r="AV58" t="str">
        <f>OtherCoefficients!C66</f>
        <v>modenest</v>
      </c>
      <c r="AW58">
        <f>OtherCoefficients!E66</f>
        <v>0.87615014565899996</v>
      </c>
      <c r="AX58" s="62">
        <f t="shared" si="3"/>
        <v>0.87615014565899996</v>
      </c>
    </row>
    <row r="59" spans="17:50" x14ac:dyDescent="0.45">
      <c r="Q59" s="9" t="s">
        <v>5</v>
      </c>
      <c r="R59" s="52">
        <f t="shared" si="43"/>
        <v>20</v>
      </c>
      <c r="S59" s="52">
        <f t="shared" si="41"/>
        <v>20</v>
      </c>
      <c r="T59" s="52"/>
      <c r="U59" s="52">
        <f t="shared" si="41"/>
        <v>20</v>
      </c>
      <c r="V59" s="52">
        <f t="shared" si="41"/>
        <v>20</v>
      </c>
      <c r="X59" s="9" t="s">
        <v>5</v>
      </c>
      <c r="Y59" s="44">
        <f t="shared" si="44"/>
        <v>-1.2344826317586977</v>
      </c>
      <c r="Z59" s="44">
        <f t="shared" si="42"/>
        <v>-3.5248522237342765</v>
      </c>
      <c r="AA59" s="44"/>
      <c r="AB59" s="44">
        <f t="shared" si="42"/>
        <v>-1.1052047178165827</v>
      </c>
      <c r="AC59" s="44">
        <f t="shared" si="42"/>
        <v>-3.4103169422980559</v>
      </c>
    </row>
    <row r="60" spans="17:50" x14ac:dyDescent="0.45">
      <c r="Q60" s="9" t="s">
        <v>6</v>
      </c>
      <c r="R60" s="52">
        <f t="shared" si="43"/>
        <v>60</v>
      </c>
      <c r="S60" s="52">
        <f t="shared" si="41"/>
        <v>60</v>
      </c>
      <c r="T60" s="52">
        <f t="shared" si="41"/>
        <v>60</v>
      </c>
      <c r="U60" s="52">
        <f t="shared" si="41"/>
        <v>60</v>
      </c>
      <c r="V60" s="52">
        <f t="shared" si="41"/>
        <v>60</v>
      </c>
      <c r="X60" s="9" t="s">
        <v>6</v>
      </c>
      <c r="Y60" s="44">
        <f t="shared" si="44"/>
        <v>-3.7449149151805683</v>
      </c>
      <c r="Z60" s="44">
        <f t="shared" si="42"/>
        <v>-3.5200829588661948</v>
      </c>
      <c r="AA60" s="44">
        <f t="shared" si="42"/>
        <v>-7.54475883707779</v>
      </c>
      <c r="AB60" s="44">
        <f t="shared" si="42"/>
        <v>-5.1962306463828281</v>
      </c>
      <c r="AC60" s="44">
        <f t="shared" si="42"/>
        <v>-6.3776051105600002</v>
      </c>
    </row>
    <row r="61" spans="17:50" x14ac:dyDescent="0.4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50" x14ac:dyDescent="0.45">
      <c r="Q62" s="14" t="s">
        <v>8</v>
      </c>
      <c r="R62" s="53"/>
      <c r="S62" s="53">
        <f t="shared" si="41"/>
        <v>10</v>
      </c>
      <c r="T62" s="53"/>
      <c r="U62" s="53"/>
      <c r="V62" s="53"/>
      <c r="X62" s="14" t="s">
        <v>8</v>
      </c>
      <c r="Y62" s="46"/>
      <c r="Z62" s="46">
        <f t="shared" si="42"/>
        <v>-0.91525607995806113</v>
      </c>
      <c r="AA62" s="46"/>
      <c r="AB62" s="46"/>
      <c r="AC62" s="4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40</vt:i4>
      </vt:variant>
    </vt:vector>
  </HeadingPairs>
  <TitlesOfParts>
    <vt:vector size="57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2022-01-21T23:38:43Z</dcterms:modified>
</cp:coreProperties>
</file>