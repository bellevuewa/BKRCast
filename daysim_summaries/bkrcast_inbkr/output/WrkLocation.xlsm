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701" codeName="{B6124F1A-AFFB-F854-7757-9A1D4C6FC43C}"/>
  <workbookPr codeName="ThisWorkbook" defaultThemeVersion="124226"/>
  <mc:AlternateContent>
    <mc:Choice Requires="x15">
      <x15ac:absPath xmlns:x15ac="http://schemas.microsoft.com/office/spreadsheetml/2010/11/ac" url="D:\P3Test\2020baseyear-BKR\BKR1-20\daysim_summaries\bkrcast_inbkr\output\"/>
    </mc:Choice>
  </mc:AlternateContent>
  <xr:revisionPtr revIDLastSave="0" documentId="13_ncr:1_{FF144C53-E05C-4401-8E22-F234781F22C1}" xr6:coauthVersionLast="47" xr6:coauthVersionMax="47" xr10:uidLastSave="{00000000-0000-0000-0000-000000000000}"/>
  <bookViews>
    <workbookView xWindow="10545" yWindow="4890" windowWidth="7200" windowHeight="4050" firstSheet="4" activeTab="4" xr2:uid="{00000000-000D-0000-FFFF-FFFF00000000}"/>
  </bookViews>
  <sheets>
    <sheet name="TLFD" sheetId="3" r:id="rId1"/>
    <sheet name="TDFD" sheetId="4" r:id="rId2"/>
    <sheet name="TDFD_Agg" sheetId="10" r:id="rId3"/>
    <sheet name="County_Flow" sheetId="1" r:id="rId4"/>
    <sheet name="WorkAtHome" sheetId="8" r:id="rId5"/>
    <sheet name="Documentation" sheetId="7" r:id="rId6"/>
    <sheet name="CoeffDef" sheetId="11" r:id="rId7"/>
    <sheet name="WorkLocationCoefficients" sheetId="13" r:id="rId8"/>
    <sheet name="calibration" sheetId="12" r:id="rId9"/>
  </sheets>
  <definedNames>
    <definedName name="athm">WorkAtHome!$I$7:$K$12</definedName>
    <definedName name="avgdist">TLFD!$O$11:$O$14</definedName>
    <definedName name="avgtime">TDFD!$O$11:$O$14</definedName>
    <definedName name="flows">County_Flow!$X$7:$Z$12</definedName>
    <definedName name="out1">TLFD!$B$11:$D$101</definedName>
    <definedName name="out10">County_Flow!$X$7:$AD$13</definedName>
    <definedName name="out11">WorkAtHome!$B$18:$D$24</definedName>
    <definedName name="out12">WorkAtHome!$I$18:$K$24</definedName>
    <definedName name="out13">WorkAtHome!$B$7:$D$13</definedName>
    <definedName name="out14">WorkAtHome!$I$7:$K$13</definedName>
    <definedName name="out2">TLFD!$H$11:$J$101</definedName>
    <definedName name="out3">TDFD!$B$11:$D$101</definedName>
    <definedName name="out4">TDFD!$H$11:$J$101</definedName>
    <definedName name="out5">TLFD!$N$11:$N$14</definedName>
    <definedName name="out6">TLFD!$O$11:$O$14</definedName>
    <definedName name="out7">TDFD!$N$11:$N$14</definedName>
    <definedName name="out8">TDFD!$O$11:$O$14</definedName>
    <definedName name="out9">County_Flow!$B$7:$H$13</definedName>
    <definedName name="tot">WorkAtHome!$I$18:$K$23</definedName>
    <definedName name="Wrk_dist">TLFD!$H$11:$J$101</definedName>
    <definedName name="Wrk_time">TDFD!$H$11:$J$101</definedName>
    <definedName name="out_1">TLFD!$B$11:$D$101</definedName>
    <definedName name="out_3">TDFD!$B$11:$D$101</definedName>
    <definedName name="out_5">TLFD!$N$11:$N$14</definedName>
    <definedName name="out_7">TDFD!$N$11:$N$14</definedName>
    <definedName name="out_9">County_Flow!$B$7:$H$13</definedName>
    <definedName name="out_11">WorkAtHome!$B$18:$D$24</definedName>
    <definedName name="out_13">WorkAtHome!$B$7:$D$13</definedName>
    <definedName name="out_2">TLFD!$H$11:$J$101</definedName>
    <definedName name="out_4">TDFD!$H$11:$J$101</definedName>
    <definedName name="out_6">TLFD!$O$11:$O$14</definedName>
    <definedName name="out_8">TDFD!$O$11:$O$14</definedName>
    <definedName name="out_10">County_Flow!$X$7:$AD$13</definedName>
    <definedName name="out_12">WorkAtHome!$I$18:$K$24</definedName>
    <definedName name="out_14">WorkAtHome!$I$7:$K$13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5" i="8" l="1"/>
  <c r="J35" i="8"/>
  <c r="K35" i="8"/>
  <c r="B35" i="8"/>
  <c r="C35" i="8"/>
  <c r="D35" i="8"/>
  <c r="P13" i="8"/>
  <c r="Q13" i="8"/>
  <c r="R13" i="8"/>
  <c r="P24" i="8"/>
  <c r="Q24" i="8"/>
  <c r="R24" i="8"/>
  <c r="L24" i="8"/>
  <c r="A24" i="8"/>
  <c r="A35" i="8" s="1"/>
  <c r="Q35" i="8" l="1"/>
  <c r="R35" i="8"/>
  <c r="P35" i="8"/>
  <c r="A21" i="1"/>
  <c r="A35" i="1" s="1"/>
  <c r="A22" i="1"/>
  <c r="A36" i="1" s="1"/>
  <c r="A23" i="1"/>
  <c r="A37" i="1" s="1"/>
  <c r="A24" i="1"/>
  <c r="A38" i="1" s="1"/>
  <c r="A25" i="1"/>
  <c r="A39" i="1" s="1"/>
  <c r="A26" i="1"/>
  <c r="A40" i="1" s="1"/>
  <c r="A27" i="1"/>
  <c r="A41" i="1" s="1"/>
  <c r="A20" i="1"/>
  <c r="A34" i="1" s="1"/>
  <c r="J41" i="1" l="1"/>
  <c r="I33" i="1"/>
  <c r="H33" i="1"/>
  <c r="G33" i="1"/>
  <c r="F33" i="1"/>
  <c r="E33" i="1"/>
  <c r="D33" i="1"/>
  <c r="C33" i="1"/>
  <c r="B33" i="1"/>
  <c r="J27" i="1"/>
  <c r="I19" i="1"/>
  <c r="H19" i="1"/>
  <c r="G19" i="1"/>
  <c r="F19" i="1"/>
  <c r="E19" i="1"/>
  <c r="D19" i="1"/>
  <c r="C19" i="1"/>
  <c r="B19" i="1"/>
  <c r="B29" i="8" l="1"/>
  <c r="B7" i="12" l="1"/>
  <c r="V4" i="12" l="1"/>
  <c r="W4" i="12" s="1"/>
  <c r="V5" i="12"/>
  <c r="W5" i="12" s="1"/>
  <c r="V6" i="12"/>
  <c r="W6" i="12" s="1"/>
  <c r="V7" i="12"/>
  <c r="W7" i="12" s="1"/>
  <c r="V8" i="12"/>
  <c r="N14" i="12" s="1"/>
  <c r="V9" i="12"/>
  <c r="N15" i="12" s="1"/>
  <c r="V10" i="12"/>
  <c r="N16" i="12" s="1"/>
  <c r="V11" i="12"/>
  <c r="W11" i="12" s="1"/>
  <c r="V12" i="12"/>
  <c r="W12" i="12" s="1"/>
  <c r="V13" i="12"/>
  <c r="W13" i="12" s="1"/>
  <c r="V14" i="12"/>
  <c r="W14" i="12" s="1"/>
  <c r="V15" i="12"/>
  <c r="W15" i="12" s="1"/>
  <c r="V16" i="12"/>
  <c r="W16" i="12" s="1"/>
  <c r="V17" i="12"/>
  <c r="W17" i="12" s="1"/>
  <c r="V18" i="12"/>
  <c r="W18" i="12" s="1"/>
  <c r="V19" i="12"/>
  <c r="W19" i="12" s="1"/>
  <c r="V20" i="12"/>
  <c r="W20" i="12" s="1"/>
  <c r="V21" i="12"/>
  <c r="W21" i="12" s="1"/>
  <c r="V22" i="12"/>
  <c r="W22" i="12" s="1"/>
  <c r="V23" i="12"/>
  <c r="W23" i="12" s="1"/>
  <c r="V24" i="12"/>
  <c r="W24" i="12" s="1"/>
  <c r="V25" i="12"/>
  <c r="W25" i="12" s="1"/>
  <c r="V26" i="12"/>
  <c r="W26" i="12" s="1"/>
  <c r="V27" i="12"/>
  <c r="W27" i="12" s="1"/>
  <c r="V28" i="12"/>
  <c r="W28" i="12" s="1"/>
  <c r="V29" i="12"/>
  <c r="W29" i="12" s="1"/>
  <c r="V30" i="12"/>
  <c r="W30" i="12" s="1"/>
  <c r="V31" i="12"/>
  <c r="W31" i="12" s="1"/>
  <c r="V32" i="12"/>
  <c r="W32" i="12" s="1"/>
  <c r="V33" i="12"/>
  <c r="W33" i="12" s="1"/>
  <c r="V34" i="12"/>
  <c r="W34" i="12" s="1"/>
  <c r="V35" i="12"/>
  <c r="W35" i="12" s="1"/>
  <c r="V36" i="12"/>
  <c r="W36" i="12" s="1"/>
  <c r="V37" i="12"/>
  <c r="W37" i="12" s="1"/>
  <c r="V38" i="12"/>
  <c r="W38" i="12" s="1"/>
  <c r="V39" i="12"/>
  <c r="N31" i="12" s="1"/>
  <c r="V40" i="12"/>
  <c r="W40" i="12" s="1"/>
  <c r="V41" i="12"/>
  <c r="W41" i="12" s="1"/>
  <c r="V42" i="12"/>
  <c r="W42" i="12" s="1"/>
  <c r="V43" i="12"/>
  <c r="W43" i="12" s="1"/>
  <c r="V44" i="12"/>
  <c r="W44" i="12" s="1"/>
  <c r="V45" i="12"/>
  <c r="W45" i="12" s="1"/>
  <c r="V46" i="12"/>
  <c r="W46" i="12" s="1"/>
  <c r="V47" i="12"/>
  <c r="W47" i="12" s="1"/>
  <c r="V48" i="12"/>
  <c r="W48" i="12" s="1"/>
  <c r="V49" i="12"/>
  <c r="W49" i="12" s="1"/>
  <c r="V50" i="12"/>
  <c r="W50" i="12" s="1"/>
  <c r="V51" i="12"/>
  <c r="W51" i="12" s="1"/>
  <c r="V52" i="12"/>
  <c r="W52" i="12" s="1"/>
  <c r="V53" i="12"/>
  <c r="W53" i="12" s="1"/>
  <c r="V54" i="12"/>
  <c r="W54" i="12" s="1"/>
  <c r="V55" i="12"/>
  <c r="W55" i="12" s="1"/>
  <c r="V56" i="12"/>
  <c r="W56" i="12" s="1"/>
  <c r="V57" i="12"/>
  <c r="W57" i="12" s="1"/>
  <c r="V58" i="12"/>
  <c r="W58" i="12" s="1"/>
  <c r="V59" i="12"/>
  <c r="W59" i="12" s="1"/>
  <c r="V60" i="12"/>
  <c r="W60" i="12" s="1"/>
  <c r="V61" i="12"/>
  <c r="W61" i="12" s="1"/>
  <c r="V62" i="12"/>
  <c r="W62" i="12" s="1"/>
  <c r="V63" i="12"/>
  <c r="W63" i="12" s="1"/>
  <c r="V64" i="12"/>
  <c r="W64" i="12" s="1"/>
  <c r="V65" i="12"/>
  <c r="W65" i="12" s="1"/>
  <c r="V66" i="12"/>
  <c r="W66" i="12" s="1"/>
  <c r="V67" i="12"/>
  <c r="W67" i="12" s="1"/>
  <c r="V68" i="12"/>
  <c r="W68" i="12" s="1"/>
  <c r="V69" i="12"/>
  <c r="W69" i="12" s="1"/>
  <c r="V70" i="12"/>
  <c r="W70" i="12" s="1"/>
  <c r="V71" i="12"/>
  <c r="W71" i="12" s="1"/>
  <c r="V72" i="12"/>
  <c r="W72" i="12" s="1"/>
  <c r="V73" i="12"/>
  <c r="W73" i="12" s="1"/>
  <c r="V74" i="12"/>
  <c r="W74" i="12" s="1"/>
  <c r="V75" i="12"/>
  <c r="W75" i="12" s="1"/>
  <c r="V3" i="12"/>
  <c r="W3" i="12" s="1"/>
  <c r="I7" i="12"/>
  <c r="J7" i="12"/>
  <c r="I8" i="12"/>
  <c r="J8" i="12"/>
  <c r="I9" i="12"/>
  <c r="J9" i="12"/>
  <c r="H9" i="12"/>
  <c r="H8" i="12"/>
  <c r="H7" i="12"/>
  <c r="C9" i="12"/>
  <c r="D9" i="12"/>
  <c r="B9" i="12"/>
  <c r="C8" i="12"/>
  <c r="D8" i="12"/>
  <c r="B8" i="12"/>
  <c r="D7" i="12"/>
  <c r="C7" i="12"/>
  <c r="J10" i="12" l="1"/>
  <c r="J14" i="12" s="1"/>
  <c r="I10" i="12"/>
  <c r="I14" i="12" s="1"/>
  <c r="C10" i="12"/>
  <c r="C14" i="12" s="1"/>
  <c r="B10" i="12"/>
  <c r="B15" i="12" s="1"/>
  <c r="H10" i="12"/>
  <c r="H16" i="12" s="1"/>
  <c r="D10" i="12"/>
  <c r="D15" i="12" s="1"/>
  <c r="E8" i="12"/>
  <c r="E7" i="12"/>
  <c r="K7" i="12"/>
  <c r="K8" i="12"/>
  <c r="K9" i="12"/>
  <c r="E9" i="12"/>
  <c r="Y15" i="1"/>
  <c r="Z15" i="1"/>
  <c r="AA15" i="1"/>
  <c r="AB15" i="1"/>
  <c r="AC15" i="1"/>
  <c r="AD15" i="1"/>
  <c r="AE15" i="1"/>
  <c r="X15" i="1"/>
  <c r="AF8" i="1"/>
  <c r="AF9" i="1"/>
  <c r="AF10" i="1"/>
  <c r="AF11" i="1"/>
  <c r="AF12" i="1"/>
  <c r="AF13" i="1"/>
  <c r="AF14" i="1"/>
  <c r="AF7" i="1"/>
  <c r="J13" i="1"/>
  <c r="H15" i="1"/>
  <c r="N15" i="1"/>
  <c r="O15" i="1"/>
  <c r="P15" i="1"/>
  <c r="Q15" i="1"/>
  <c r="R15" i="1"/>
  <c r="S15" i="1"/>
  <c r="T15" i="1"/>
  <c r="M15" i="1"/>
  <c r="U8" i="1"/>
  <c r="U9" i="1"/>
  <c r="U10" i="1"/>
  <c r="U11" i="1"/>
  <c r="U12" i="1"/>
  <c r="U13" i="1"/>
  <c r="U14" i="1"/>
  <c r="U7" i="1"/>
  <c r="J16" i="12" l="1"/>
  <c r="E26" i="1"/>
  <c r="B26" i="1"/>
  <c r="F26" i="1"/>
  <c r="H26" i="1"/>
  <c r="I26" i="1"/>
  <c r="C26" i="1"/>
  <c r="D26" i="1"/>
  <c r="G26" i="1"/>
  <c r="J15" i="12"/>
  <c r="D14" i="12"/>
  <c r="E10" i="12"/>
  <c r="E14" i="12" s="1"/>
  <c r="I16" i="12"/>
  <c r="H15" i="12"/>
  <c r="O15" i="12" s="1"/>
  <c r="D16" i="12"/>
  <c r="C15" i="12"/>
  <c r="B16" i="12"/>
  <c r="O16" i="12" s="1"/>
  <c r="H14" i="12"/>
  <c r="K10" i="12"/>
  <c r="K15" i="12" s="1"/>
  <c r="C16" i="12"/>
  <c r="B17" i="12"/>
  <c r="B14" i="12"/>
  <c r="O14" i="12" s="1"/>
  <c r="P14" i="12" s="1"/>
  <c r="Q14" i="12" s="1"/>
  <c r="W8" i="12" s="1"/>
  <c r="I15" i="12"/>
  <c r="I17" i="12" s="1"/>
  <c r="E16" i="12"/>
  <c r="AF15" i="1"/>
  <c r="U15" i="1"/>
  <c r="S21" i="1"/>
  <c r="S22" i="1"/>
  <c r="S23" i="1"/>
  <c r="S24" i="1"/>
  <c r="S25" i="1"/>
  <c r="S26" i="1"/>
  <c r="S20" i="1"/>
  <c r="N26" i="1"/>
  <c r="O26" i="1"/>
  <c r="P26" i="1"/>
  <c r="Q26" i="1"/>
  <c r="R26" i="1"/>
  <c r="T26" i="1"/>
  <c r="M26" i="1"/>
  <c r="U26" i="1" s="1"/>
  <c r="E24" i="8"/>
  <c r="S24" i="8" s="1"/>
  <c r="L13" i="8"/>
  <c r="E13" i="8"/>
  <c r="J17" i="12" l="1"/>
  <c r="H17" i="12"/>
  <c r="K16" i="12"/>
  <c r="E35" i="8"/>
  <c r="L35" i="8"/>
  <c r="S13" i="8"/>
  <c r="AA40" i="1"/>
  <c r="AD34" i="1"/>
  <c r="AD36" i="1"/>
  <c r="AE36" i="1"/>
  <c r="AE39" i="1"/>
  <c r="AB40" i="1"/>
  <c r="AE35" i="1"/>
  <c r="AC40" i="1"/>
  <c r="AE40" i="1"/>
  <c r="AE34" i="1"/>
  <c r="AD35" i="1"/>
  <c r="AE37" i="1"/>
  <c r="X40" i="1"/>
  <c r="AD40" i="1"/>
  <c r="Y40" i="1"/>
  <c r="AD38" i="1"/>
  <c r="AE38" i="1"/>
  <c r="Z40" i="1"/>
  <c r="AD37" i="1"/>
  <c r="AD39" i="1"/>
  <c r="J26" i="1"/>
  <c r="P15" i="12"/>
  <c r="Q15" i="12" s="1"/>
  <c r="W9" i="12" s="1"/>
  <c r="C17" i="12"/>
  <c r="K14" i="12"/>
  <c r="E15" i="12"/>
  <c r="E17" i="12" s="1"/>
  <c r="D17" i="12"/>
  <c r="P16" i="12"/>
  <c r="Q16" i="12" s="1"/>
  <c r="W10" i="12" s="1"/>
  <c r="S28" i="1"/>
  <c r="W54" i="1"/>
  <c r="W40" i="1"/>
  <c r="L40" i="1"/>
  <c r="L26" i="1"/>
  <c r="W13" i="1"/>
  <c r="AD47" i="1"/>
  <c r="AD33" i="1"/>
  <c r="AD6" i="1"/>
  <c r="S33" i="1"/>
  <c r="S19" i="1"/>
  <c r="S6" i="1"/>
  <c r="H6" i="1"/>
  <c r="L13" i="1"/>
  <c r="V35" i="8"/>
  <c r="V24" i="8"/>
  <c r="V13" i="8"/>
  <c r="H13" i="8"/>
  <c r="K17" i="12" l="1"/>
  <c r="S35" i="8"/>
  <c r="O13" i="8"/>
  <c r="O24" i="8" s="1"/>
  <c r="O35" i="8" s="1"/>
  <c r="H24" i="8"/>
  <c r="H35" i="8" s="1"/>
  <c r="X25" i="8"/>
  <c r="Y25" i="8"/>
  <c r="Z25" i="8"/>
  <c r="W25" i="8"/>
  <c r="X14" i="8"/>
  <c r="Y14" i="8"/>
  <c r="Z14" i="8"/>
  <c r="Z36" i="8" s="1"/>
  <c r="W14" i="8"/>
  <c r="J25" i="8"/>
  <c r="K25" i="8"/>
  <c r="I25" i="8"/>
  <c r="C25" i="8"/>
  <c r="D25" i="8"/>
  <c r="B25" i="8"/>
  <c r="C14" i="8"/>
  <c r="D14" i="8"/>
  <c r="B14" i="8"/>
  <c r="J14" i="8"/>
  <c r="K14" i="8"/>
  <c r="K36" i="8" s="1"/>
  <c r="I14" i="8"/>
  <c r="W36" i="8" l="1"/>
  <c r="I36" i="8"/>
  <c r="Y36" i="8"/>
  <c r="J36" i="8"/>
  <c r="X36" i="8"/>
  <c r="D36" i="8"/>
  <c r="R36" i="8" s="1"/>
  <c r="C36" i="8"/>
  <c r="B36" i="8"/>
  <c r="R25" i="8"/>
  <c r="P25" i="8"/>
  <c r="Q25" i="8"/>
  <c r="P14" i="8"/>
  <c r="R14" i="8"/>
  <c r="Q14" i="8"/>
  <c r="M19" i="1"/>
  <c r="N19" i="1"/>
  <c r="O19" i="1"/>
  <c r="P19" i="1"/>
  <c r="Q19" i="1"/>
  <c r="R19" i="1"/>
  <c r="T19" i="1"/>
  <c r="L20" i="1"/>
  <c r="M20" i="1"/>
  <c r="N20" i="1"/>
  <c r="O20" i="1"/>
  <c r="P20" i="1"/>
  <c r="Q20" i="1"/>
  <c r="R20" i="1"/>
  <c r="T20" i="1"/>
  <c r="L21" i="1"/>
  <c r="M21" i="1"/>
  <c r="N21" i="1"/>
  <c r="O21" i="1"/>
  <c r="P21" i="1"/>
  <c r="Q21" i="1"/>
  <c r="R21" i="1"/>
  <c r="T21" i="1"/>
  <c r="L22" i="1"/>
  <c r="M22" i="1"/>
  <c r="N22" i="1"/>
  <c r="O22" i="1"/>
  <c r="P22" i="1"/>
  <c r="Q22" i="1"/>
  <c r="R22" i="1"/>
  <c r="T22" i="1"/>
  <c r="L23" i="1"/>
  <c r="M23" i="1"/>
  <c r="N23" i="1"/>
  <c r="O23" i="1"/>
  <c r="P23" i="1"/>
  <c r="Q23" i="1"/>
  <c r="R23" i="1"/>
  <c r="T23" i="1"/>
  <c r="L24" i="1"/>
  <c r="M24" i="1"/>
  <c r="N24" i="1"/>
  <c r="O24" i="1"/>
  <c r="P24" i="1"/>
  <c r="Q24" i="1"/>
  <c r="R24" i="1"/>
  <c r="T24" i="1"/>
  <c r="L25" i="1"/>
  <c r="M25" i="1"/>
  <c r="N25" i="1"/>
  <c r="O25" i="1"/>
  <c r="P25" i="1"/>
  <c r="Q25" i="1"/>
  <c r="R25" i="1"/>
  <c r="T25" i="1"/>
  <c r="P36" i="8" l="1"/>
  <c r="Q36" i="8"/>
  <c r="U23" i="1"/>
  <c r="U21" i="1"/>
  <c r="U25" i="1"/>
  <c r="U24" i="1"/>
  <c r="U22" i="1"/>
  <c r="U20" i="1"/>
  <c r="V34" i="8" l="1"/>
  <c r="V33" i="8"/>
  <c r="V32" i="8"/>
  <c r="V31" i="8"/>
  <c r="V30" i="8"/>
  <c r="V29" i="8"/>
  <c r="O34" i="8"/>
  <c r="O33" i="8"/>
  <c r="O32" i="8"/>
  <c r="O31" i="8"/>
  <c r="O30" i="8"/>
  <c r="O29" i="8"/>
  <c r="H34" i="8"/>
  <c r="H33" i="8"/>
  <c r="H32" i="8"/>
  <c r="H31" i="8"/>
  <c r="H30" i="8"/>
  <c r="H29" i="8"/>
  <c r="A34" i="8"/>
  <c r="A33" i="8"/>
  <c r="A32" i="8"/>
  <c r="A31" i="8"/>
  <c r="A30" i="8"/>
  <c r="A29" i="8"/>
  <c r="V23" i="8"/>
  <c r="V22" i="8"/>
  <c r="V21" i="8"/>
  <c r="V20" i="8"/>
  <c r="V19" i="8"/>
  <c r="V18" i="8"/>
  <c r="O23" i="8"/>
  <c r="O22" i="8"/>
  <c r="O21" i="8"/>
  <c r="O20" i="8"/>
  <c r="O19" i="8"/>
  <c r="O18" i="8"/>
  <c r="H23" i="8"/>
  <c r="H22" i="8"/>
  <c r="H21" i="8"/>
  <c r="H20" i="8"/>
  <c r="H19" i="8"/>
  <c r="H18" i="8"/>
  <c r="A23" i="8"/>
  <c r="A22" i="8"/>
  <c r="A21" i="8"/>
  <c r="A20" i="8"/>
  <c r="A19" i="8"/>
  <c r="A18" i="8"/>
  <c r="V12" i="8"/>
  <c r="V11" i="8"/>
  <c r="V10" i="8"/>
  <c r="V9" i="8"/>
  <c r="V8" i="8"/>
  <c r="V7" i="8"/>
  <c r="O12" i="8"/>
  <c r="O11" i="8"/>
  <c r="O10" i="8"/>
  <c r="O9" i="8"/>
  <c r="O8" i="8"/>
  <c r="O7" i="8"/>
  <c r="H12" i="8"/>
  <c r="H11" i="8"/>
  <c r="H10" i="8"/>
  <c r="H9" i="8"/>
  <c r="H8" i="8"/>
  <c r="H7" i="8"/>
  <c r="AE47" i="1"/>
  <c r="AC47" i="1"/>
  <c r="AB47" i="1"/>
  <c r="AA47" i="1"/>
  <c r="Z47" i="1"/>
  <c r="Y47" i="1"/>
  <c r="X47" i="1"/>
  <c r="AE33" i="1"/>
  <c r="AC33" i="1"/>
  <c r="AB33" i="1"/>
  <c r="AA33" i="1"/>
  <c r="Z33" i="1"/>
  <c r="Y33" i="1"/>
  <c r="X33" i="1"/>
  <c r="T33" i="1"/>
  <c r="R33" i="1"/>
  <c r="Q33" i="1"/>
  <c r="P33" i="1"/>
  <c r="O33" i="1"/>
  <c r="N33" i="1"/>
  <c r="M33" i="1"/>
  <c r="AE6" i="1"/>
  <c r="AC6" i="1"/>
  <c r="AB6" i="1"/>
  <c r="AA6" i="1"/>
  <c r="Z6" i="1"/>
  <c r="Y6" i="1"/>
  <c r="X6" i="1"/>
  <c r="T6" i="1"/>
  <c r="R6" i="1"/>
  <c r="Q6" i="1"/>
  <c r="P6" i="1"/>
  <c r="O6" i="1"/>
  <c r="N6" i="1"/>
  <c r="M6" i="1"/>
  <c r="I6" i="1"/>
  <c r="G6" i="1"/>
  <c r="F6" i="1"/>
  <c r="E6" i="1"/>
  <c r="D6" i="1"/>
  <c r="C6" i="1"/>
  <c r="B6" i="1"/>
  <c r="W53" i="1"/>
  <c r="W52" i="1"/>
  <c r="W51" i="1"/>
  <c r="W50" i="1"/>
  <c r="W49" i="1"/>
  <c r="W48" i="1"/>
  <c r="W39" i="1"/>
  <c r="W38" i="1"/>
  <c r="W37" i="1"/>
  <c r="W36" i="1"/>
  <c r="W35" i="1"/>
  <c r="W34" i="1"/>
  <c r="L39" i="1"/>
  <c r="L38" i="1"/>
  <c r="L37" i="1"/>
  <c r="L36" i="1"/>
  <c r="L35" i="1"/>
  <c r="L34" i="1"/>
  <c r="W12" i="1"/>
  <c r="W11" i="1"/>
  <c r="W10" i="1"/>
  <c r="W9" i="1"/>
  <c r="W8" i="1"/>
  <c r="W7" i="1"/>
  <c r="L12" i="1"/>
  <c r="L11" i="1"/>
  <c r="L10" i="1"/>
  <c r="L9" i="1"/>
  <c r="L8" i="1"/>
  <c r="L7" i="1"/>
  <c r="E19" i="8" l="1"/>
  <c r="E20" i="8"/>
  <c r="E21" i="8"/>
  <c r="E22" i="8"/>
  <c r="E23" i="8"/>
  <c r="L20" i="8"/>
  <c r="L21" i="8"/>
  <c r="L22" i="8"/>
  <c r="L9" i="8"/>
  <c r="L10" i="8"/>
  <c r="L11" i="8"/>
  <c r="E8" i="8"/>
  <c r="E9" i="8"/>
  <c r="E10" i="8"/>
  <c r="E11" i="8"/>
  <c r="J9" i="1"/>
  <c r="J10" i="1"/>
  <c r="J11" i="1"/>
  <c r="E101" i="3"/>
  <c r="I23" i="1" l="1"/>
  <c r="H23" i="1"/>
  <c r="H24" i="1"/>
  <c r="I24" i="1"/>
  <c r="H22" i="1"/>
  <c r="I22" i="1"/>
  <c r="B22" i="1"/>
  <c r="G22" i="1"/>
  <c r="F22" i="1"/>
  <c r="E22" i="1"/>
  <c r="D22" i="1"/>
  <c r="C22" i="1"/>
  <c r="F23" i="1"/>
  <c r="G23" i="1"/>
  <c r="E23" i="1"/>
  <c r="D23" i="1"/>
  <c r="C23" i="1"/>
  <c r="B23" i="1"/>
  <c r="G24" i="1"/>
  <c r="F24" i="1"/>
  <c r="E24" i="1"/>
  <c r="D24" i="1"/>
  <c r="C24" i="1"/>
  <c r="B24" i="1"/>
  <c r="W31" i="8"/>
  <c r="X31" i="8"/>
  <c r="Y31" i="8"/>
  <c r="Z31" i="8"/>
  <c r="W32" i="8"/>
  <c r="X32" i="8"/>
  <c r="Y32" i="8"/>
  <c r="Z32" i="8"/>
  <c r="W33" i="8"/>
  <c r="X33" i="8"/>
  <c r="Y33" i="8"/>
  <c r="Z33" i="8"/>
  <c r="B31" i="8"/>
  <c r="C31" i="8"/>
  <c r="D31" i="8"/>
  <c r="E31" i="8"/>
  <c r="B32" i="8"/>
  <c r="C32" i="8"/>
  <c r="D32" i="8"/>
  <c r="E32" i="8"/>
  <c r="B33" i="8"/>
  <c r="C33" i="8"/>
  <c r="D33" i="8"/>
  <c r="E33" i="8"/>
  <c r="I31" i="8"/>
  <c r="J31" i="8"/>
  <c r="K31" i="8"/>
  <c r="L31" i="8"/>
  <c r="I32" i="8"/>
  <c r="J32" i="8"/>
  <c r="K32" i="8"/>
  <c r="L32" i="8"/>
  <c r="I33" i="8"/>
  <c r="J33" i="8"/>
  <c r="K33" i="8"/>
  <c r="L33" i="8"/>
  <c r="P20" i="8"/>
  <c r="Q20" i="8"/>
  <c r="R20" i="8"/>
  <c r="S20" i="8"/>
  <c r="P21" i="8"/>
  <c r="Q21" i="8"/>
  <c r="R21" i="8"/>
  <c r="S21" i="8"/>
  <c r="P22" i="8"/>
  <c r="Q22" i="8"/>
  <c r="R22" i="8"/>
  <c r="S22" i="8"/>
  <c r="P9" i="8"/>
  <c r="Q9" i="8"/>
  <c r="R9" i="8"/>
  <c r="S9" i="8"/>
  <c r="P10" i="8"/>
  <c r="Q10" i="8"/>
  <c r="R10" i="8"/>
  <c r="S10" i="8"/>
  <c r="P11" i="8"/>
  <c r="Q11" i="8"/>
  <c r="R11" i="8"/>
  <c r="S11" i="8"/>
  <c r="G15" i="1"/>
  <c r="F15" i="1"/>
  <c r="E15" i="1"/>
  <c r="J24" i="1" l="1"/>
  <c r="J23" i="1"/>
  <c r="R31" i="8"/>
  <c r="Q31" i="8"/>
  <c r="S31" i="8"/>
  <c r="J22" i="1"/>
  <c r="S32" i="8"/>
  <c r="R32" i="8"/>
  <c r="Q32" i="8"/>
  <c r="R33" i="8"/>
  <c r="P33" i="8"/>
  <c r="S33" i="8"/>
  <c r="P32" i="8"/>
  <c r="Q33" i="8"/>
  <c r="P31" i="8"/>
  <c r="P7" i="8"/>
  <c r="Q7" i="8"/>
  <c r="R7" i="8"/>
  <c r="P8" i="8"/>
  <c r="Q8" i="8"/>
  <c r="R8" i="8"/>
  <c r="P12" i="8"/>
  <c r="Q12" i="8"/>
  <c r="R12" i="8"/>
  <c r="E101" i="4" l="1"/>
  <c r="E100" i="4"/>
  <c r="E99" i="4"/>
  <c r="E98" i="4"/>
  <c r="E97" i="4"/>
  <c r="E96" i="4"/>
  <c r="E95" i="4"/>
  <c r="E94" i="4"/>
  <c r="E93" i="4"/>
  <c r="E92" i="4"/>
  <c r="E91" i="4"/>
  <c r="E90" i="4"/>
  <c r="E89" i="4"/>
  <c r="E88" i="4"/>
  <c r="E87" i="4"/>
  <c r="E86" i="4"/>
  <c r="E85" i="4"/>
  <c r="E84" i="4"/>
  <c r="E83" i="4"/>
  <c r="E82" i="4"/>
  <c r="E81" i="4"/>
  <c r="E80" i="4"/>
  <c r="E79" i="4"/>
  <c r="E78" i="4"/>
  <c r="E77" i="4"/>
  <c r="E76" i="4"/>
  <c r="E75" i="4"/>
  <c r="E74" i="4"/>
  <c r="E73" i="4"/>
  <c r="E72" i="4"/>
  <c r="E71" i="4"/>
  <c r="E70" i="4"/>
  <c r="E69" i="4"/>
  <c r="E68" i="4"/>
  <c r="E67" i="4"/>
  <c r="E66" i="4"/>
  <c r="E65" i="4"/>
  <c r="E64" i="4"/>
  <c r="E63" i="4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E49" i="4"/>
  <c r="E48" i="4"/>
  <c r="E47" i="4"/>
  <c r="E46" i="4"/>
  <c r="E45" i="4"/>
  <c r="E44" i="4"/>
  <c r="E43" i="4"/>
  <c r="E42" i="4"/>
  <c r="E41" i="4"/>
  <c r="E40" i="4"/>
  <c r="E39" i="4"/>
  <c r="E38" i="4"/>
  <c r="E37" i="4"/>
  <c r="E36" i="4"/>
  <c r="E35" i="4"/>
  <c r="E34" i="4"/>
  <c r="E33" i="4"/>
  <c r="E32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0" i="3"/>
  <c r="E99" i="3"/>
  <c r="E98" i="3"/>
  <c r="E97" i="3"/>
  <c r="E96" i="3"/>
  <c r="E95" i="3"/>
  <c r="E94" i="3"/>
  <c r="E93" i="3"/>
  <c r="E92" i="3"/>
  <c r="E91" i="3"/>
  <c r="E90" i="3"/>
  <c r="E89" i="3"/>
  <c r="E88" i="3"/>
  <c r="E87" i="3"/>
  <c r="E86" i="3"/>
  <c r="E85" i="3"/>
  <c r="E84" i="3"/>
  <c r="E83" i="3"/>
  <c r="E82" i="3"/>
  <c r="E81" i="3"/>
  <c r="E80" i="3"/>
  <c r="E79" i="3"/>
  <c r="E78" i="3"/>
  <c r="E77" i="3"/>
  <c r="E76" i="3"/>
  <c r="E75" i="3"/>
  <c r="E74" i="3"/>
  <c r="E73" i="3"/>
  <c r="E72" i="3"/>
  <c r="E71" i="3"/>
  <c r="E70" i="3"/>
  <c r="E69" i="3"/>
  <c r="E68" i="3"/>
  <c r="E67" i="3"/>
  <c r="E66" i="3"/>
  <c r="E65" i="3"/>
  <c r="E64" i="3"/>
  <c r="E63" i="3"/>
  <c r="E62" i="3"/>
  <c r="E61" i="3"/>
  <c r="E60" i="3"/>
  <c r="E59" i="3"/>
  <c r="E58" i="3"/>
  <c r="E57" i="3"/>
  <c r="E56" i="3"/>
  <c r="E55" i="3"/>
  <c r="E54" i="3"/>
  <c r="E53" i="3"/>
  <c r="E52" i="3"/>
  <c r="E51" i="3"/>
  <c r="E50" i="3"/>
  <c r="E49" i="3"/>
  <c r="E48" i="3"/>
  <c r="E47" i="3"/>
  <c r="E46" i="3"/>
  <c r="E45" i="3"/>
  <c r="E44" i="3"/>
  <c r="E43" i="3"/>
  <c r="E42" i="3"/>
  <c r="E41" i="3"/>
  <c r="E40" i="3"/>
  <c r="E39" i="3"/>
  <c r="E38" i="3"/>
  <c r="E37" i="3"/>
  <c r="E36" i="3"/>
  <c r="E35" i="3"/>
  <c r="E34" i="3"/>
  <c r="E33" i="3"/>
  <c r="E32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  <c r="E15" i="3"/>
  <c r="E14" i="3"/>
  <c r="E13" i="3"/>
  <c r="E12" i="3"/>
  <c r="E11" i="3"/>
  <c r="E18" i="8"/>
  <c r="E12" i="8"/>
  <c r="E7" i="8"/>
  <c r="Z34" i="8"/>
  <c r="Y34" i="8"/>
  <c r="X34" i="8"/>
  <c r="W34" i="8"/>
  <c r="Z30" i="8"/>
  <c r="Y30" i="8"/>
  <c r="X30" i="8"/>
  <c r="W30" i="8"/>
  <c r="Z29" i="8"/>
  <c r="Y29" i="8"/>
  <c r="X29" i="8"/>
  <c r="W29" i="8"/>
  <c r="Y35" i="8" l="1"/>
  <c r="S27" i="1"/>
  <c r="X35" i="8"/>
  <c r="Z35" i="8"/>
  <c r="W35" i="8"/>
  <c r="E14" i="8"/>
  <c r="E25" i="8"/>
  <c r="B27" i="12" s="1"/>
  <c r="B32" i="12" s="1"/>
  <c r="P18" i="8"/>
  <c r="Q18" i="8"/>
  <c r="R18" i="8"/>
  <c r="P19" i="8"/>
  <c r="Q19" i="8"/>
  <c r="R19" i="8"/>
  <c r="P23" i="8"/>
  <c r="Q23" i="8"/>
  <c r="R23" i="8"/>
  <c r="J14" i="1"/>
  <c r="B26" i="12" l="1"/>
  <c r="B31" i="12" s="1"/>
  <c r="E36" i="8"/>
  <c r="P27" i="1"/>
  <c r="P28" i="1" s="1"/>
  <c r="R27" i="1"/>
  <c r="R28" i="1" s="1"/>
  <c r="M27" i="1"/>
  <c r="Q27" i="1"/>
  <c r="Q28" i="1" s="1"/>
  <c r="N27" i="1"/>
  <c r="N28" i="1" s="1"/>
  <c r="T27" i="1"/>
  <c r="T28" i="1" s="1"/>
  <c r="O27" i="1"/>
  <c r="O28" i="1" s="1"/>
  <c r="I15" i="1"/>
  <c r="D15" i="1"/>
  <c r="C15" i="1"/>
  <c r="B15" i="1"/>
  <c r="J12" i="1"/>
  <c r="J8" i="1"/>
  <c r="J7" i="1"/>
  <c r="H20" i="1" l="1"/>
  <c r="I20" i="1"/>
  <c r="I25" i="1"/>
  <c r="H25" i="1"/>
  <c r="I21" i="1"/>
  <c r="H21" i="1"/>
  <c r="G20" i="1"/>
  <c r="E20" i="1"/>
  <c r="D20" i="1"/>
  <c r="B20" i="1"/>
  <c r="F20" i="1"/>
  <c r="C20" i="1"/>
  <c r="B25" i="1"/>
  <c r="G25" i="1"/>
  <c r="F25" i="1"/>
  <c r="E25" i="1"/>
  <c r="D25" i="1"/>
  <c r="C25" i="1"/>
  <c r="G21" i="1"/>
  <c r="F21" i="1"/>
  <c r="E21" i="1"/>
  <c r="D21" i="1"/>
  <c r="C21" i="1"/>
  <c r="B21" i="1"/>
  <c r="U27" i="1"/>
  <c r="U28" i="1" s="1"/>
  <c r="M28" i="1"/>
  <c r="J15" i="1"/>
  <c r="J21" i="1" l="1"/>
  <c r="B28" i="1"/>
  <c r="J25" i="1"/>
  <c r="H28" i="1"/>
  <c r="D28" i="1"/>
  <c r="J20" i="1"/>
  <c r="C28" i="1"/>
  <c r="E28" i="1"/>
  <c r="F28" i="1"/>
  <c r="I28" i="1"/>
  <c r="G28" i="1"/>
  <c r="S37" i="1"/>
  <c r="O40" i="1"/>
  <c r="Q40" i="1"/>
  <c r="Q41" i="1"/>
  <c r="M41" i="1"/>
  <c r="S38" i="1"/>
  <c r="P40" i="1"/>
  <c r="R40" i="1"/>
  <c r="T40" i="1"/>
  <c r="S39" i="1"/>
  <c r="S34" i="1"/>
  <c r="P41" i="1"/>
  <c r="T41" i="1"/>
  <c r="S40" i="1"/>
  <c r="O41" i="1"/>
  <c r="S41" i="1"/>
  <c r="N40" i="1"/>
  <c r="N41" i="1"/>
  <c r="R41" i="1"/>
  <c r="S36" i="1"/>
  <c r="S35" i="1"/>
  <c r="M40" i="1"/>
  <c r="L23" i="8"/>
  <c r="S23" i="8" s="1"/>
  <c r="L19" i="8"/>
  <c r="S19" i="8" s="1"/>
  <c r="L18" i="8"/>
  <c r="L8" i="8"/>
  <c r="S8" i="8" s="1"/>
  <c r="L12" i="8"/>
  <c r="S12" i="8" s="1"/>
  <c r="L7" i="8"/>
  <c r="K34" i="8"/>
  <c r="J34" i="8"/>
  <c r="I34" i="8"/>
  <c r="K30" i="8"/>
  <c r="J30" i="8"/>
  <c r="I30" i="8"/>
  <c r="K29" i="8"/>
  <c r="J29" i="8"/>
  <c r="I29" i="8"/>
  <c r="J28" i="1" l="1"/>
  <c r="S42" i="1"/>
  <c r="U40" i="1"/>
  <c r="S7" i="8"/>
  <c r="L14" i="8"/>
  <c r="S18" i="8"/>
  <c r="L25" i="8"/>
  <c r="L29" i="8"/>
  <c r="L30" i="8"/>
  <c r="L34" i="8"/>
  <c r="D40" i="1" l="1"/>
  <c r="C40" i="1"/>
  <c r="I40" i="1"/>
  <c r="H40" i="1"/>
  <c r="E40" i="1"/>
  <c r="B40" i="1"/>
  <c r="F40" i="1"/>
  <c r="G40" i="1"/>
  <c r="I36" i="1"/>
  <c r="H38" i="1"/>
  <c r="H36" i="1"/>
  <c r="I37" i="1"/>
  <c r="I38" i="1"/>
  <c r="H37" i="1"/>
  <c r="H39" i="1"/>
  <c r="I39" i="1"/>
  <c r="H34" i="1"/>
  <c r="I35" i="1"/>
  <c r="I34" i="1"/>
  <c r="H35" i="1"/>
  <c r="J40" i="1"/>
  <c r="E38" i="1"/>
  <c r="F37" i="1"/>
  <c r="C36" i="1"/>
  <c r="B36" i="1"/>
  <c r="D37" i="1"/>
  <c r="G36" i="1"/>
  <c r="G38" i="1"/>
  <c r="C38" i="1"/>
  <c r="D38" i="1"/>
  <c r="C37" i="1"/>
  <c r="D36" i="1"/>
  <c r="F36" i="1"/>
  <c r="E37" i="1"/>
  <c r="F38" i="1"/>
  <c r="B37" i="1"/>
  <c r="G37" i="1"/>
  <c r="B38" i="1"/>
  <c r="E36" i="1"/>
  <c r="J37" i="1"/>
  <c r="J36" i="1"/>
  <c r="J38" i="1"/>
  <c r="D35" i="1"/>
  <c r="G39" i="1"/>
  <c r="B39" i="1"/>
  <c r="B35" i="1"/>
  <c r="E34" i="1"/>
  <c r="G34" i="1"/>
  <c r="E35" i="1"/>
  <c r="E39" i="1"/>
  <c r="D39" i="1"/>
  <c r="C39" i="1"/>
  <c r="F35" i="1"/>
  <c r="F34" i="1"/>
  <c r="B34" i="1"/>
  <c r="C34" i="1"/>
  <c r="C35" i="1"/>
  <c r="G35" i="1"/>
  <c r="D34" i="1"/>
  <c r="F39" i="1"/>
  <c r="J35" i="1"/>
  <c r="J39" i="1"/>
  <c r="J34" i="1"/>
  <c r="H26" i="12"/>
  <c r="L36" i="8"/>
  <c r="S36" i="8" s="1"/>
  <c r="S25" i="8"/>
  <c r="H27" i="12"/>
  <c r="H32" i="12" s="1"/>
  <c r="S14" i="8"/>
  <c r="J42" i="1" l="1"/>
  <c r="G42" i="1"/>
  <c r="H42" i="1"/>
  <c r="E42" i="1"/>
  <c r="D42" i="1"/>
  <c r="C42" i="1"/>
  <c r="B42" i="1"/>
  <c r="F42" i="1"/>
  <c r="I42" i="1"/>
  <c r="H31" i="12"/>
  <c r="O31" i="12" s="1"/>
  <c r="P31" i="12" s="1"/>
  <c r="Q31" i="12" s="1"/>
  <c r="W39" i="12" s="1"/>
  <c r="B11" i="10"/>
  <c r="O22" i="10"/>
  <c r="P22" i="10"/>
  <c r="N22" i="10"/>
  <c r="C22" i="10"/>
  <c r="D22" i="10"/>
  <c r="B22" i="10"/>
  <c r="O21" i="10"/>
  <c r="P21" i="10"/>
  <c r="N21" i="10"/>
  <c r="C21" i="10"/>
  <c r="D21" i="10"/>
  <c r="B21" i="10"/>
  <c r="O20" i="10"/>
  <c r="P20" i="10"/>
  <c r="N20" i="10"/>
  <c r="C20" i="10"/>
  <c r="D20" i="10"/>
  <c r="B20" i="10"/>
  <c r="O19" i="10"/>
  <c r="P19" i="10"/>
  <c r="N19" i="10"/>
  <c r="C19" i="10"/>
  <c r="D19" i="10"/>
  <c r="B19" i="10"/>
  <c r="O18" i="10"/>
  <c r="P18" i="10"/>
  <c r="N18" i="10"/>
  <c r="C18" i="10"/>
  <c r="D18" i="10"/>
  <c r="B18" i="10"/>
  <c r="O17" i="10"/>
  <c r="P17" i="10"/>
  <c r="N17" i="10"/>
  <c r="C17" i="10"/>
  <c r="D17" i="10"/>
  <c r="B17" i="10"/>
  <c r="O16" i="10"/>
  <c r="P16" i="10"/>
  <c r="N16" i="10"/>
  <c r="C16" i="10"/>
  <c r="D16" i="10"/>
  <c r="B16" i="10"/>
  <c r="O15" i="10"/>
  <c r="P15" i="10"/>
  <c r="N15" i="10"/>
  <c r="C15" i="10"/>
  <c r="D15" i="10"/>
  <c r="B15" i="10"/>
  <c r="O14" i="10"/>
  <c r="P14" i="10"/>
  <c r="N14" i="10"/>
  <c r="C14" i="10"/>
  <c r="D14" i="10"/>
  <c r="B14" i="10"/>
  <c r="O13" i="10"/>
  <c r="P13" i="10"/>
  <c r="N13" i="10"/>
  <c r="C13" i="10"/>
  <c r="D13" i="10"/>
  <c r="B13" i="10"/>
  <c r="O12" i="10"/>
  <c r="P12" i="10"/>
  <c r="N12" i="10"/>
  <c r="C12" i="10"/>
  <c r="D12" i="10"/>
  <c r="B12" i="10"/>
  <c r="O11" i="10"/>
  <c r="P11" i="10"/>
  <c r="N11" i="10"/>
  <c r="D11" i="10"/>
  <c r="C11" i="10"/>
  <c r="B30" i="8"/>
  <c r="P30" i="8" s="1"/>
  <c r="C30" i="8"/>
  <c r="Q30" i="8" s="1"/>
  <c r="D30" i="8"/>
  <c r="R30" i="8" s="1"/>
  <c r="B34" i="8"/>
  <c r="P34" i="8" s="1"/>
  <c r="C34" i="8"/>
  <c r="Q34" i="8" s="1"/>
  <c r="D34" i="8"/>
  <c r="R34" i="8" s="1"/>
  <c r="C29" i="8"/>
  <c r="Q29" i="8" s="1"/>
  <c r="D29" i="8"/>
  <c r="R29" i="8" s="1"/>
  <c r="P29" i="8"/>
  <c r="K101" i="4"/>
  <c r="Q22" i="10" s="1"/>
  <c r="K95" i="4"/>
  <c r="K96" i="4"/>
  <c r="K97" i="4"/>
  <c r="K98" i="4"/>
  <c r="K99" i="4"/>
  <c r="K100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11" i="4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1" i="3"/>
  <c r="E29" i="8" l="1"/>
  <c r="S29" i="8" s="1"/>
  <c r="E30" i="8"/>
  <c r="S30" i="8" s="1"/>
  <c r="Q11" i="10"/>
  <c r="Q15" i="10"/>
  <c r="Q21" i="10"/>
  <c r="Q19" i="10"/>
  <c r="Q20" i="10"/>
  <c r="Q17" i="10"/>
  <c r="Q16" i="10"/>
  <c r="Q13" i="10"/>
  <c r="Q12" i="10"/>
  <c r="Q18" i="10"/>
  <c r="Q14" i="10"/>
  <c r="E34" i="8"/>
  <c r="S34" i="8" s="1"/>
  <c r="E22" i="10"/>
  <c r="E21" i="10" l="1"/>
  <c r="E19" i="10"/>
  <c r="E15" i="10"/>
  <c r="E20" i="10"/>
  <c r="E16" i="10"/>
  <c r="E12" i="10"/>
  <c r="E11" i="10"/>
  <c r="E17" i="10"/>
  <c r="E13" i="10"/>
  <c r="E18" i="10"/>
  <c r="E14" i="10"/>
  <c r="AD54" i="1" l="1"/>
  <c r="AD53" i="1"/>
  <c r="AC54" i="1"/>
  <c r="AD55" i="1"/>
  <c r="AB54" i="1"/>
  <c r="AA54" i="1"/>
  <c r="AD50" i="1"/>
  <c r="Z54" i="1"/>
  <c r="AD48" i="1"/>
  <c r="AE54" i="1"/>
  <c r="AD52" i="1"/>
  <c r="AD51" i="1"/>
  <c r="AD49" i="1"/>
  <c r="X54" i="1"/>
  <c r="Y54" i="1"/>
  <c r="Y37" i="1"/>
  <c r="Y51" i="1" s="1"/>
  <c r="Z34" i="1"/>
  <c r="Z48" i="1" s="1"/>
  <c r="AA34" i="1"/>
  <c r="AA48" i="1" s="1"/>
  <c r="Z37" i="1"/>
  <c r="Z51" i="1" s="1"/>
  <c r="X34" i="1"/>
  <c r="X48" i="1" s="1"/>
  <c r="AC38" i="1"/>
  <c r="AC52" i="1" s="1"/>
  <c r="X39" i="1"/>
  <c r="X53" i="1" s="1"/>
  <c r="AA37" i="1"/>
  <c r="AA51" i="1" s="1"/>
  <c r="AB37" i="1"/>
  <c r="AB51" i="1" s="1"/>
  <c r="AC37" i="1"/>
  <c r="AC51" i="1" s="1"/>
  <c r="Y38" i="1"/>
  <c r="Y52" i="1" s="1"/>
  <c r="AB38" i="1"/>
  <c r="AB52" i="1" s="1"/>
  <c r="Y39" i="1"/>
  <c r="Y53" i="1" s="1"/>
  <c r="AB34" i="1"/>
  <c r="AB48" i="1" s="1"/>
  <c r="X38" i="1"/>
  <c r="X52" i="1" s="1"/>
  <c r="Z38" i="1"/>
  <c r="Z52" i="1" s="1"/>
  <c r="AA38" i="1"/>
  <c r="AA52" i="1" s="1"/>
  <c r="X55" i="1"/>
  <c r="AC35" i="1"/>
  <c r="AC49" i="1" s="1"/>
  <c r="AB36" i="1"/>
  <c r="AB50" i="1" s="1"/>
  <c r="AC34" i="1"/>
  <c r="AC48" i="1" s="1"/>
  <c r="AB35" i="1"/>
  <c r="AB49" i="1" s="1"/>
  <c r="X37" i="1"/>
  <c r="X51" i="1" s="1"/>
  <c r="Y35" i="1"/>
  <c r="Y49" i="1" s="1"/>
  <c r="Z39" i="1"/>
  <c r="Z53" i="1" s="1"/>
  <c r="AC39" i="1"/>
  <c r="AC53" i="1" s="1"/>
  <c r="Z35" i="1"/>
  <c r="Z49" i="1" s="1"/>
  <c r="AA35" i="1"/>
  <c r="AA49" i="1" s="1"/>
  <c r="AA39" i="1"/>
  <c r="AA53" i="1" s="1"/>
  <c r="X35" i="1"/>
  <c r="X49" i="1" s="1"/>
  <c r="AB39" i="1"/>
  <c r="AB53" i="1" s="1"/>
  <c r="X36" i="1"/>
  <c r="X50" i="1" s="1"/>
  <c r="Y36" i="1"/>
  <c r="Y50" i="1" s="1"/>
  <c r="Z36" i="1"/>
  <c r="Z50" i="1" s="1"/>
  <c r="AE55" i="1"/>
  <c r="AA36" i="1"/>
  <c r="AA50" i="1" s="1"/>
  <c r="Y34" i="1"/>
  <c r="Y48" i="1" s="1"/>
  <c r="AC36" i="1"/>
  <c r="AC50" i="1" s="1"/>
  <c r="AE51" i="1"/>
  <c r="AE49" i="1"/>
  <c r="AE52" i="1"/>
  <c r="AE50" i="1"/>
  <c r="AE48" i="1"/>
  <c r="AE53" i="1"/>
  <c r="AB55" i="1"/>
  <c r="AC55" i="1"/>
  <c r="AA55" i="1"/>
  <c r="Y55" i="1"/>
  <c r="Z55" i="1"/>
  <c r="AF40" i="1" l="1"/>
  <c r="AF54" i="1" s="1"/>
  <c r="AD42" i="1"/>
  <c r="AD56" i="1" s="1"/>
  <c r="AF34" i="1"/>
  <c r="AF48" i="1" s="1"/>
  <c r="AA42" i="1"/>
  <c r="AA56" i="1" s="1"/>
  <c r="AE42" i="1"/>
  <c r="AE56" i="1" s="1"/>
  <c r="X42" i="1"/>
  <c r="X56" i="1" s="1"/>
  <c r="AF37" i="1"/>
  <c r="AF51" i="1" s="1"/>
  <c r="AF35" i="1"/>
  <c r="AF49" i="1" s="1"/>
  <c r="AF38" i="1"/>
  <c r="AF52" i="1" s="1"/>
  <c r="AF36" i="1"/>
  <c r="AF50" i="1" s="1"/>
  <c r="AB42" i="1"/>
  <c r="AB56" i="1" s="1"/>
  <c r="Y42" i="1"/>
  <c r="Y56" i="1" s="1"/>
  <c r="AF39" i="1"/>
  <c r="AF53" i="1" s="1"/>
  <c r="Z42" i="1"/>
  <c r="Z56" i="1" s="1"/>
  <c r="AF41" i="1"/>
  <c r="AF55" i="1" s="1"/>
  <c r="AC42" i="1"/>
  <c r="AC56" i="1" s="1"/>
  <c r="O37" i="1" l="1"/>
  <c r="R38" i="1"/>
  <c r="M34" i="1"/>
  <c r="P35" i="1"/>
  <c r="T34" i="1"/>
  <c r="N35" i="1"/>
  <c r="T38" i="1"/>
  <c r="Q37" i="1"/>
  <c r="T36" i="1"/>
  <c r="T37" i="1"/>
  <c r="R35" i="1"/>
  <c r="M36" i="1"/>
  <c r="O36" i="1"/>
  <c r="Q36" i="1"/>
  <c r="O39" i="1"/>
  <c r="M35" i="1"/>
  <c r="M37" i="1"/>
  <c r="R36" i="1"/>
  <c r="O35" i="1"/>
  <c r="R34" i="1"/>
  <c r="N37" i="1"/>
  <c r="R39" i="1"/>
  <c r="M38" i="1"/>
  <c r="Q34" i="1"/>
  <c r="O34" i="1"/>
  <c r="P34" i="1"/>
  <c r="T39" i="1"/>
  <c r="P39" i="1"/>
  <c r="N38" i="1"/>
  <c r="M39" i="1"/>
  <c r="R37" i="1"/>
  <c r="N36" i="1"/>
  <c r="P37" i="1"/>
  <c r="T35" i="1"/>
  <c r="N39" i="1"/>
  <c r="P36" i="1"/>
  <c r="N34" i="1"/>
  <c r="O38" i="1"/>
  <c r="Q35" i="1"/>
  <c r="P38" i="1"/>
  <c r="Q39" i="1"/>
  <c r="Q38" i="1"/>
  <c r="AF42" i="1"/>
  <c r="AF56" i="1" s="1"/>
  <c r="P42" i="1" l="1"/>
  <c r="U38" i="1"/>
  <c r="U35" i="1"/>
  <c r="U37" i="1"/>
  <c r="U41" i="1"/>
  <c r="U34" i="1"/>
  <c r="N42" i="1"/>
  <c r="U39" i="1"/>
  <c r="R42" i="1"/>
  <c r="T42" i="1"/>
  <c r="M42" i="1"/>
  <c r="Q42" i="1"/>
  <c r="U36" i="1"/>
  <c r="O42" i="1"/>
  <c r="U42" i="1" l="1"/>
</calcChain>
</file>

<file path=xl/sharedStrings.xml><?xml version="1.0" encoding="utf-8"?>
<sst xmlns="http://schemas.openxmlformats.org/spreadsheetml/2006/main" count="804" uniqueCount="286">
  <si>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</si>
  <si>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</si>
  <si>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</si>
  <si>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</si>
  <si>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</si>
  <si>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</si>
  <si>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</si>
  <si>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</si>
  <si>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</si>
  <si>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FT</t>
  </si>
  <si>
    <t>PT</t>
  </si>
  <si>
    <t>NotFTPT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</si>
  <si>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</si>
  <si>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</si>
  <si>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</si>
  <si>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</si>
  <si>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Table X. Estimated Worker Flows by County</t>
  </si>
  <si>
    <t>Outside</t>
  </si>
  <si>
    <t>We may want to scale the observed distribution(s), Depending on how well matches (or doesn't match) synthetic population</t>
  </si>
  <si>
    <t>Steps for generating distributions of commute time and distance</t>
  </si>
  <si>
    <t>PPTYP = 1</t>
  </si>
  <si>
    <t>PPTYP = 2</t>
  </si>
  <si>
    <t>PPTYP != 1 and PPTYP != 2</t>
  </si>
  <si>
    <t>Time (min)</t>
  </si>
  <si>
    <t>County-level Work at Home Shares</t>
  </si>
  <si>
    <t>Aggregate Trip Duration Frequency Distribution</t>
  </si>
  <si>
    <t>Table X. Observed Trip Durations: Census (ACS/2006-08)</t>
  </si>
  <si>
    <t>Less than 5</t>
  </si>
  <si>
    <t>5 to 9</t>
  </si>
  <si>
    <t>10 to 14</t>
  </si>
  <si>
    <t>15 to 19</t>
  </si>
  <si>
    <t>20 to 24</t>
  </si>
  <si>
    <t>25 to 29</t>
  </si>
  <si>
    <t>30 to 34</t>
  </si>
  <si>
    <t>35 to 39</t>
  </si>
  <si>
    <t>40 to 44</t>
  </si>
  <si>
    <t>45 to 59</t>
  </si>
  <si>
    <t>60 to 89</t>
  </si>
  <si>
    <t>90 or more</t>
  </si>
  <si>
    <t>A person is assumed to work from home if the HH coordinates are exactly the same as the usual workplace coordinates</t>
  </si>
  <si>
    <t>Table X. Estimated Work at Home Counts by County</t>
  </si>
  <si>
    <t>Table X. Estimated Counts by County</t>
  </si>
  <si>
    <t>Table X. Estimated Work at Home Shares by County</t>
  </si>
  <si>
    <t>Table X. Average Trip Duration</t>
  </si>
  <si>
    <t>Table X. Estimated Worker Flows by County: DaySim</t>
  </si>
  <si>
    <t>AM Auto skims (time and distance) were merged into person file using origin (HH) and destination (workplace) TAZ ids</t>
  </si>
  <si>
    <t>In case of DaySim, home and workplace parcel IDs were matched to filter out work at home cases</t>
  </si>
  <si>
    <t>Distributions of HH TAZ -to- Work TAZ distance and time were then derived from the population</t>
  </si>
  <si>
    <t>Steps for generating county worker flows</t>
  </si>
  <si>
    <t>Home and work county codes were merged using a correspondence between TAZs and counties</t>
  </si>
  <si>
    <t>A crosstabulation of home and work counties created the worker flow table</t>
  </si>
  <si>
    <t>Steps for generating work at home shares</t>
  </si>
  <si>
    <t>All persons for whom a non-zero usual workplace location was identified were designated as the pool of workers</t>
  </si>
  <si>
    <t>Full-time</t>
  </si>
  <si>
    <t>Part-time</t>
  </si>
  <si>
    <t>Not FT or PT, student workers</t>
  </si>
  <si>
    <t>The shares were calculated as the ratio of the values in steps 2 and 1 and were segmented by county and the three worker types</t>
  </si>
  <si>
    <t>Table X. Observed Worker Flows by County: Census (ACS/2006-08)</t>
  </si>
  <si>
    <t>Table X. Adjusted Worker Flows by County: Census (ACS/2006-08)</t>
  </si>
  <si>
    <t>WORKER FLOWS BY COUNTY: EST-OBS</t>
  </si>
  <si>
    <t>Table X. Difference Work at Home Counts by County</t>
  </si>
  <si>
    <t>Table X. Difference Counts by County</t>
  </si>
  <si>
    <t>Table X. Difference Work at Home Shares by County</t>
  </si>
  <si>
    <t>Table X. Weighted Work at Home Counts by County: CTPP</t>
  </si>
  <si>
    <t>Table X. Weighted Counts by County: CTPP</t>
  </si>
  <si>
    <t>Table X. Weighted Work at Home Shares by County: CTPP</t>
  </si>
  <si>
    <t>Beta00001</t>
  </si>
  <si>
    <t>T</t>
  </si>
  <si>
    <t>Beta00002</t>
  </si>
  <si>
    <t>Beta00003</t>
  </si>
  <si>
    <t>Beta00004</t>
  </si>
  <si>
    <t>Beta00005</t>
  </si>
  <si>
    <t>Beta00006</t>
  </si>
  <si>
    <t>Beta00007</t>
  </si>
  <si>
    <t>Beta00008</t>
  </si>
  <si>
    <t>Beta00009</t>
  </si>
  <si>
    <t>Beta00010</t>
  </si>
  <si>
    <t>Beta00011</t>
  </si>
  <si>
    <t>Beta00012</t>
  </si>
  <si>
    <t>Beta00013</t>
  </si>
  <si>
    <t>Beta00014</t>
  </si>
  <si>
    <t>Beta00015</t>
  </si>
  <si>
    <t>Beta00016</t>
  </si>
  <si>
    <t>Beta00017</t>
  </si>
  <si>
    <t>Beta00018</t>
  </si>
  <si>
    <t>Beta00019</t>
  </si>
  <si>
    <t>Beta00020</t>
  </si>
  <si>
    <t>Beta00021</t>
  </si>
  <si>
    <t>Beta00022</t>
  </si>
  <si>
    <t>Beta00023</t>
  </si>
  <si>
    <t>Beta00024</t>
  </si>
  <si>
    <t>Beta00025</t>
  </si>
  <si>
    <t>Beta00026</t>
  </si>
  <si>
    <t>Beta00027</t>
  </si>
  <si>
    <t>Beta00028</t>
  </si>
  <si>
    <t>Beta00029</t>
  </si>
  <si>
    <t>Beta00030</t>
  </si>
  <si>
    <t>Beta00031</t>
  </si>
  <si>
    <t>Beta00032</t>
  </si>
  <si>
    <t>Beta00033</t>
  </si>
  <si>
    <t>Beta00034</t>
  </si>
  <si>
    <t>Beta00035</t>
  </si>
  <si>
    <t>Beta00036</t>
  </si>
  <si>
    <t>Beta00041</t>
  </si>
  <si>
    <t>F</t>
  </si>
  <si>
    <t>Beta00042</t>
  </si>
  <si>
    <t>Beta00043</t>
  </si>
  <si>
    <t>Beta00044</t>
  </si>
  <si>
    <t>LSM_050</t>
  </si>
  <si>
    <t>Gamma51</t>
  </si>
  <si>
    <t>Gamma52</t>
  </si>
  <si>
    <t>Gamma53</t>
  </si>
  <si>
    <t>Gamma54</t>
  </si>
  <si>
    <t>Gamma55</t>
  </si>
  <si>
    <t>Gamma56</t>
  </si>
  <si>
    <t>Gamma57</t>
  </si>
  <si>
    <t>Gamma58</t>
  </si>
  <si>
    <t>Gamma59</t>
  </si>
  <si>
    <t>Gamma60</t>
  </si>
  <si>
    <t>Gamma61</t>
  </si>
  <si>
    <t>Gamma62</t>
  </si>
  <si>
    <t>Gamma63</t>
  </si>
  <si>
    <t>Gamma64</t>
  </si>
  <si>
    <t>Gamma65</t>
  </si>
  <si>
    <t>Gamma66</t>
  </si>
  <si>
    <t>Gamma67</t>
  </si>
  <si>
    <t>Gamma68</t>
  </si>
  <si>
    <t>Gamma69</t>
  </si>
  <si>
    <t>Gamma70</t>
  </si>
  <si>
    <t>Gamma71</t>
  </si>
  <si>
    <t>Gamma72</t>
  </si>
  <si>
    <t>Gamma73</t>
  </si>
  <si>
    <t>Gamma74</t>
  </si>
  <si>
    <t>Gamma75</t>
  </si>
  <si>
    <t>Gamma76</t>
  </si>
  <si>
    <t>Gamma77</t>
  </si>
  <si>
    <t>Gamma78</t>
  </si>
  <si>
    <t>Gamma79</t>
  </si>
  <si>
    <t>Gamma80</t>
  </si>
  <si>
    <t>Gamma90</t>
  </si>
  <si>
    <t>Nest</t>
  </si>
  <si>
    <t>Index</t>
  </si>
  <si>
    <t>Name</t>
  </si>
  <si>
    <t>Descr</t>
  </si>
  <si>
    <t>IsPartTimeWorker* workTourLogsum</t>
  </si>
  <si>
    <t>IsFullTimeWorker*workTourLogsum</t>
  </si>
  <si>
    <t>distanceLog</t>
  </si>
  <si>
    <t>parcelParkingDensity</t>
  </si>
  <si>
    <t>c34Ratio</t>
  </si>
  <si>
    <t>destinationParcel.ShadowPriceForEmployment</t>
  </si>
  <si>
    <t>IsNotFullOrPartTimeWorker * workTourLogsum</t>
  </si>
  <si>
    <t>IsFulltimeWorker * distance1</t>
  </si>
  <si>
    <t>IsFulltimeWorker * distance2</t>
  </si>
  <si>
    <t>IsFulltimeWorker * distance3</t>
  </si>
  <si>
    <t>IsPartTimeWorker * distanceLog</t>
  </si>
  <si>
    <t>IsNotFullOrPartTimeWorker * distanceLog</t>
  </si>
  <si>
    <t>Household.Has0To15KIncome * distanceLog</t>
  </si>
  <si>
    <t>Household.Has50To75KIncome * distanceLog</t>
  </si>
  <si>
    <t>Household.Has75To100KIncome * distanceLog</t>
  </si>
  <si>
    <t>IsFemale * distanceLog</t>
  </si>
  <si>
    <t>IsStudentAge * distanceFromSchool</t>
  </si>
  <si>
    <t>IsFulltimeWorker * aggregateLogsum</t>
  </si>
  <si>
    <t>IsPartTimeWorker * aggregateLogsum</t>
  </si>
  <si>
    <t>IsNotFullOrPartTimeWorker * aggregateLogsum</t>
  </si>
  <si>
    <t>Household.HasValidIncome * studentsUniversityBuffer</t>
  </si>
  <si>
    <t>Household.HasValidIncome * destinationParcel.EmploymentService</t>
  </si>
  <si>
    <t>Household.HasValidIncome * destinationParcel.EmploymentEducation</t>
  </si>
  <si>
    <t>Household.HasValidIncome * destinationParcel.EmploymentFood</t>
  </si>
  <si>
    <t>Household.HasValidIncome * destinationParcel.EmploymentGovernment</t>
  </si>
  <si>
    <t>Household.HasValidIncome * destinationParcel.EmploymentOffice</t>
  </si>
  <si>
    <t>Household.HasValidIncome * destinationParcel.EmploymentRetail</t>
  </si>
  <si>
    <t>Household.HasValidIncome * destinationParcel.EmploymentMedical</t>
  </si>
  <si>
    <t>Household.HasValidIncome * employmentIndustrialAgricultureConstruction</t>
  </si>
  <si>
    <t>Household.HasValidIncome * destinationParcel.StudentsUniversity</t>
  </si>
  <si>
    <t>Household.HasIncomeUnder50K * destinationParcel.EmploymentRetail</t>
  </si>
  <si>
    <t>Household.HasIncomeUnder50K * destinationParcel.EmploymentService</t>
  </si>
  <si>
    <t>Household.Has50To75KIncome * destinationParcel.EmploymentMedical</t>
  </si>
  <si>
    <t>Household.Has50To75KIncome * destinationParcel.EmploymentOffice</t>
  </si>
  <si>
    <t>Household.Has75KPlusIncome * destinationParcel.EmploymentEducation</t>
  </si>
  <si>
    <t>Household.Has75KPlusIncome * destinationParcel.EmploymentGovernment</t>
  </si>
  <si>
    <t>Household.Has75KPlusIncome * destinationParcel.EmploymentMedical</t>
  </si>
  <si>
    <t>Household.Has75KPlusIncome * destinationParcel.EmploymentOffice</t>
  </si>
  <si>
    <t>Household.HasMissingIncome * destinationParcel.EmploymentTotal</t>
  </si>
  <si>
    <t>Household.HasMissingIncome * destinationParcel.StudentsUniversity</t>
  </si>
  <si>
    <t>Household.HasValidIncome *IsFulltimeWorker * studentsK12Buffer</t>
  </si>
  <si>
    <t>Household.HasValidIncome *IsFulltimeWorker * studentsUniversityBuffer</t>
  </si>
  <si>
    <t>Household.HasValidIncome *IsPartTimeWorker * industrialAgricultureConstructionBuffer</t>
  </si>
  <si>
    <t>Household.HasValidIncome *IsNotFullOrPartTimeWorker * foodBuffer</t>
  </si>
  <si>
    <t>Household.HasValidIncome *IsNotFullOrPartTimeWorker * medicalBuffer</t>
  </si>
  <si>
    <t>IsFulltimeWorker *Household.Has75KPlusIncome * employmentTotalBuffer</t>
  </si>
  <si>
    <t>IsNotFullOrPartTimeWorker *Household.HasIncomeUnder50K * governmentBuffer</t>
  </si>
  <si>
    <t>IsNotFullOrPartTimeWorker *Household.HasIncomeUnder50K * employmentTotalBuffer</t>
  </si>
  <si>
    <t>Household.HasValidIncome *IsFulltimeWorker * destinationParcel.EmploymentGovernment</t>
  </si>
  <si>
    <t>Household.HasValidIncome *IsFulltimeWorker * employmentIndustrialAgricultureConstruction</t>
  </si>
  <si>
    <t>Household.HasValidIncome *IsPartTimeWorker * employmentIndustrialAgricultureConstruction</t>
  </si>
  <si>
    <t>Household.HasValidIncome *IsNotFullOrPartTimeWorker * destinationParcel.EmploymentEducation</t>
  </si>
  <si>
    <t>Household.HasValidIncome *IsNotFullOrPartTimeWorker * destinationParcel.EmploymentFood</t>
  </si>
  <si>
    <t>Household.HasValidIncome *IsNotFullOrPartTimeWorker * destinationParcel.EmploymentRetail</t>
  </si>
  <si>
    <t>IsFulltimeWorker *Household.Has75KPlusIncome * destinationParcel.EmploymentGovernment</t>
  </si>
  <si>
    <t>IsFulltimeWorker) *Household.Has75KPlusIncome * destinationParcel.EmploymentOffice</t>
  </si>
  <si>
    <t>Household.HasValidIncome * serviceBuffer</t>
  </si>
  <si>
    <t>Household.HasValidIncome * educationBuffer</t>
  </si>
  <si>
    <t>Household.HasValidIncome * foodBuffer</t>
  </si>
  <si>
    <t>Household.HasValidIncome * governmentBuffer</t>
  </si>
  <si>
    <t>Household.HasValidIncome * officeBuffer</t>
  </si>
  <si>
    <t>Household.HasValidIncome * medicalBuffer</t>
  </si>
  <si>
    <t>IsFulltimeWorker * (Household.Has75KPlusIncome) * employmentIndustrialAgricultureConstruction</t>
  </si>
  <si>
    <t>IsPartTimeWorker * (Household.HasIncomeUnder50K) * destinationParcel.EmploymentMedical</t>
  </si>
  <si>
    <t>IsNotFullOrPartTimeWorker * (Household.HasIncomeUnder50K) * destinationParcel.EmploymentRetail</t>
  </si>
  <si>
    <t>Household.HasValidIncome * householdsBuffer</t>
  </si>
  <si>
    <t>IsPartTimeWorker</t>
  </si>
  <si>
    <t>IsStudentAge</t>
  </si>
  <si>
    <t>IsFemale</t>
  </si>
  <si>
    <t>Survey</t>
  </si>
  <si>
    <t>Table X. Observed Worker Flows by County: Survey</t>
  </si>
  <si>
    <t>Table X. Observed Trip Durations: Survey</t>
  </si>
  <si>
    <t>Table X. Weighted Work at Home Counts by County: Survey</t>
  </si>
  <si>
    <t>Table X. Weighted Counts by County: Survey</t>
  </si>
  <si>
    <t>Table X. Weighted Work at Home Shares by County: Survey</t>
  </si>
  <si>
    <t>Table X. Observed Trip Lengths: Survey</t>
  </si>
  <si>
    <t>Survey Preparation</t>
  </si>
  <si>
    <t>In Survey data, persons whose home coordinates matched their usual workplace coordinates were filtered out since this would mean they usually work at home</t>
  </si>
  <si>
    <t>In Survey, PPTYP was used to determine the class of worker whereas in DaySim, PERSTYPE was used</t>
  </si>
  <si>
    <t>Within those, persons with same home and workplace coordinates/parcels (for Survey and DaySim respectively) were assumed to be working at home</t>
  </si>
  <si>
    <t>1 (work from home)</t>
  </si>
  <si>
    <t>0-3.5</t>
  </si>
  <si>
    <t>3.5-10</t>
  </si>
  <si>
    <t>&gt;= 10</t>
  </si>
  <si>
    <t>WFH</t>
  </si>
  <si>
    <t>TOTAL</t>
  </si>
  <si>
    <t>Model</t>
  </si>
  <si>
    <t>Count</t>
  </si>
  <si>
    <t>Ratio (FT)</t>
  </si>
  <si>
    <t>Adj.</t>
  </si>
  <si>
    <t>Old Coeff.</t>
  </si>
  <si>
    <t>New Coeff.</t>
  </si>
  <si>
    <t>Adjustments</t>
  </si>
  <si>
    <t>WorkLocationCoefficients_SACOG-v1.5.F12</t>
  </si>
  <si>
    <t>CoeffIndex</t>
  </si>
  <si>
    <t>Tour</t>
  </si>
  <si>
    <t>Destination</t>
  </si>
  <si>
    <t>Created</t>
  </si>
  <si>
    <t>by</t>
  </si>
  <si>
    <t>ALOGIT</t>
  </si>
  <si>
    <t>version</t>
  </si>
  <si>
    <t>on</t>
  </si>
  <si>
    <t>END</t>
  </si>
  <si>
    <t>Instructions:</t>
  </si>
  <si>
    <t>Open "WorkLocationCoefficients_SACOG-v1.5.F12" ini Notepad+</t>
  </si>
  <si>
    <t>Select all(ctrl+A)</t>
  </si>
  <si>
    <t>Go to "Data" --&gt;Text to Columns - Select "Delimited" ---&gt; "Space" ---&gt; Finish</t>
  </si>
  <si>
    <t>Paste in cell A8</t>
  </si>
  <si>
    <t>Old</t>
  </si>
  <si>
    <t>New</t>
  </si>
  <si>
    <t>By: nagendra.dhakar@rsginc.com</t>
  </si>
  <si>
    <t>Copy cells W3:W100</t>
  </si>
  <si>
    <t>Paste in the "WorkLocationCoefficients_SACOG-v1.5.F12"</t>
  </si>
  <si>
    <t>Observed distance (in miles) based on joining AM peak SOV skim values to HH survey</t>
  </si>
  <si>
    <t>Work From Home</t>
  </si>
  <si>
    <t>(SACOG2000</t>
  </si>
  <si>
    <t>MNL</t>
  </si>
  <si>
    <t>v2203</t>
  </si>
  <si>
    <t>and</t>
  </si>
  <si>
    <t>NL</t>
  </si>
  <si>
    <t>v2301)</t>
  </si>
  <si>
    <t>Apr</t>
  </si>
  <si>
    <t>016:16:55</t>
  </si>
  <si>
    <t>Share</t>
  </si>
  <si>
    <t>All Workers</t>
  </si>
  <si>
    <t>Calibration:</t>
  </si>
  <si>
    <t>Calibrate work at home shares first</t>
  </si>
  <si>
    <t>Then distance segmented coefficients</t>
  </si>
  <si>
    <t>out-of-region</t>
  </si>
  <si>
    <t>Observed Sources: Survey</t>
  </si>
  <si>
    <t>Observed duration (in minutes) based on joining  AM peak SOV skim values to HH survey</t>
  </si>
  <si>
    <t xml:space="preserve">Observed Sources: Survey </t>
  </si>
  <si>
    <t>Observed duration (in minutes) based on joining AM peak SOV skim values to HH survey</t>
  </si>
  <si>
    <t>BKRCast (LODES)</t>
  </si>
  <si>
    <t>Table X. Average Trip Length (miles)</t>
  </si>
  <si>
    <t>Seattle</t>
  </si>
  <si>
    <t>Bellevue</t>
  </si>
  <si>
    <t>Bellevue Downtown</t>
  </si>
  <si>
    <t>Kirkland</t>
  </si>
  <si>
    <t>Redmond</t>
  </si>
  <si>
    <t>Seattle Downtown</t>
  </si>
  <si>
    <t>Rest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</si>
</sst>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_(* #,##0_);_(* \(#,##0\);_(* &quot;-&quot;??_);_(@_)"/>
    <numFmt numFmtId="168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9">
    <xf numFmtId="0" fontId="0" fillId="0" borderId="0"/>
    <xf numFmtId="0" fontId="2" fillId="0" borderId="0">
      <alignment wrapText="1"/>
    </xf>
    <xf numFmtId="0" fontId="3" fillId="3" borderId="0">
      <alignment wrapText="1"/>
    </xf>
    <xf numFmtId="165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165" fontId="3" fillId="0" borderId="0">
      <alignment wrapText="1"/>
    </xf>
    <xf numFmtId="43" fontId="3" fillId="0" borderId="0" applyFont="0" applyFill="0" applyBorder="0" applyAlignment="0" applyProtection="0"/>
  </cellStyleXfs>
  <cellXfs count="94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2" xfId="0" applyBorder="1" applyAlignment="1">
      <alignment horizontal="center"/>
    </xf>
    <xf numFmtId="0" fontId="1" fillId="0" borderId="1" xfId="0" applyFont="1" applyBorder="1"/>
    <xf numFmtId="0" fontId="0" fillId="0" borderId="2" xfId="0" applyBorder="1" applyAlignment="1">
      <alignment horizontal="center" vertical="top"/>
    </xf>
    <xf numFmtId="0" fontId="0" fillId="0" borderId="3" xfId="0" applyBorder="1"/>
    <xf numFmtId="0" fontId="0" fillId="0" borderId="0" xfId="0" applyBorder="1"/>
    <xf numFmtId="0" fontId="0" fillId="0" borderId="3" xfId="0" applyFill="1" applyBorder="1"/>
    <xf numFmtId="2" fontId="0" fillId="0" borderId="0" xfId="0" applyNumberFormat="1"/>
    <xf numFmtId="2" fontId="0" fillId="0" borderId="1" xfId="0" applyNumberFormat="1" applyBorder="1"/>
    <xf numFmtId="0" fontId="1" fillId="0" borderId="0" xfId="0" applyFont="1"/>
    <xf numFmtId="1" fontId="0" fillId="0" borderId="0" xfId="0" applyNumberFormat="1"/>
    <xf numFmtId="1" fontId="0" fillId="0" borderId="1" xfId="0" applyNumberFormat="1" applyBorder="1"/>
    <xf numFmtId="2" fontId="0" fillId="0" borderId="3" xfId="0" applyNumberFormat="1" applyBorder="1"/>
    <xf numFmtId="3" fontId="0" fillId="0" borderId="0" xfId="0" applyNumberFormat="1"/>
    <xf numFmtId="3" fontId="0" fillId="0" borderId="0" xfId="0" applyNumberFormat="1" applyBorder="1"/>
    <xf numFmtId="3" fontId="0" fillId="0" borderId="3" xfId="0" applyNumberFormat="1" applyBorder="1"/>
    <xf numFmtId="3" fontId="0" fillId="0" borderId="3" xfId="0" applyNumberFormat="1" applyFill="1" applyBorder="1"/>
    <xf numFmtId="3" fontId="0" fillId="0" borderId="1" xfId="0" applyNumberFormat="1" applyBorder="1"/>
    <xf numFmtId="0" fontId="0" fillId="0" borderId="0" xfId="0" applyFill="1" applyBorder="1" applyAlignment="1">
      <alignment horizontal="center"/>
    </xf>
    <xf numFmtId="3" fontId="0" fillId="0" borderId="0" xfId="0" applyNumberFormat="1" applyFill="1" applyBorder="1"/>
    <xf numFmtId="3" fontId="1" fillId="0" borderId="1" xfId="0" applyNumberFormat="1" applyFont="1" applyBorder="1"/>
    <xf numFmtId="3" fontId="0" fillId="0" borderId="2" xfId="0" applyNumberFormat="1" applyBorder="1" applyAlignment="1">
      <alignment horizontal="center"/>
    </xf>
    <xf numFmtId="3" fontId="0" fillId="0" borderId="2" xfId="0" applyNumberFormat="1" applyBorder="1"/>
    <xf numFmtId="164" fontId="0" fillId="0" borderId="0" xfId="0" applyNumberFormat="1"/>
    <xf numFmtId="164" fontId="0" fillId="0" borderId="3" xfId="0" applyNumberFormat="1" applyBorder="1"/>
    <xf numFmtId="164" fontId="0" fillId="0" borderId="1" xfId="0" applyNumberFormat="1" applyBorder="1"/>
    <xf numFmtId="0" fontId="1" fillId="0" borderId="0" xfId="0" applyFont="1" applyBorder="1"/>
    <xf numFmtId="0" fontId="1" fillId="2" borderId="1" xfId="0" applyFont="1" applyFill="1" applyBorder="1"/>
    <xf numFmtId="0" fontId="0" fillId="2" borderId="1" xfId="0" applyFill="1" applyBorder="1"/>
    <xf numFmtId="0" fontId="0" fillId="2" borderId="2" xfId="0" applyFill="1" applyBorder="1"/>
    <xf numFmtId="0" fontId="0" fillId="2" borderId="0" xfId="0" applyFill="1"/>
    <xf numFmtId="164" fontId="0" fillId="2" borderId="0" xfId="0" applyNumberFormat="1" applyFill="1"/>
    <xf numFmtId="0" fontId="0" fillId="2" borderId="3" xfId="0" applyFill="1" applyBorder="1"/>
    <xf numFmtId="164" fontId="0" fillId="2" borderId="1" xfId="0" applyNumberFormat="1" applyFill="1" applyBorder="1"/>
    <xf numFmtId="0" fontId="1" fillId="2" borderId="0" xfId="0" applyFont="1" applyFill="1"/>
    <xf numFmtId="0" fontId="0" fillId="2" borderId="2" xfId="0" applyFill="1" applyBorder="1" applyAlignment="1">
      <alignment horizontal="center" vertical="top"/>
    </xf>
    <xf numFmtId="0" fontId="0" fillId="2" borderId="2" xfId="0" applyFill="1" applyBorder="1" applyAlignment="1">
      <alignment horizontal="center"/>
    </xf>
    <xf numFmtId="164" fontId="0" fillId="2" borderId="3" xfId="0" applyNumberFormat="1" applyFill="1" applyBorder="1"/>
    <xf numFmtId="164" fontId="0" fillId="0" borderId="0" xfId="0" applyNumberFormat="1" applyBorder="1"/>
    <xf numFmtId="0" fontId="4" fillId="0" borderId="0" xfId="0" applyFont="1"/>
    <xf numFmtId="164" fontId="0" fillId="2" borderId="4" xfId="0" applyNumberFormat="1" applyFill="1" applyBorder="1"/>
    <xf numFmtId="0" fontId="0" fillId="0" borderId="0" xfId="0" applyFill="1" applyBorder="1"/>
    <xf numFmtId="0" fontId="0" fillId="0" borderId="4" xfId="0" applyBorder="1"/>
    <xf numFmtId="164" fontId="0" fillId="0" borderId="4" xfId="0" applyNumberFormat="1" applyBorder="1"/>
    <xf numFmtId="11" fontId="0" fillId="0" borderId="0" xfId="0" applyNumberFormat="1"/>
    <xf numFmtId="0" fontId="0" fillId="0" borderId="0" xfId="0" applyAlignment="1">
      <alignment horizontal="left"/>
    </xf>
    <xf numFmtId="3" fontId="0" fillId="0" borderId="0" xfId="0" applyNumberFormat="1" applyFont="1"/>
    <xf numFmtId="0" fontId="5" fillId="0" borderId="0" xfId="0" applyFont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21" fontId="0" fillId="0" borderId="0" xfId="0" applyNumberFormat="1"/>
    <xf numFmtId="0" fontId="0" fillId="5" borderId="0" xfId="0" applyFill="1"/>
    <xf numFmtId="166" fontId="0" fillId="0" borderId="0" xfId="0" applyNumberFormat="1"/>
    <xf numFmtId="166" fontId="0" fillId="5" borderId="0" xfId="0" applyNumberFormat="1" applyFill="1"/>
    <xf numFmtId="166" fontId="0" fillId="4" borderId="0" xfId="0" applyNumberFormat="1" applyFill="1"/>
    <xf numFmtId="166" fontId="0" fillId="4" borderId="3" xfId="0" applyNumberFormat="1" applyFill="1" applyBorder="1"/>
    <xf numFmtId="166" fontId="0" fillId="5" borderId="3" xfId="0" applyNumberFormat="1" applyFill="1" applyBorder="1"/>
    <xf numFmtId="166" fontId="0" fillId="6" borderId="0" xfId="0" applyNumberFormat="1" applyFill="1"/>
    <xf numFmtId="0" fontId="1" fillId="0" borderId="0" xfId="0" applyFont="1" applyAlignment="1">
      <alignment horizontal="right"/>
    </xf>
    <xf numFmtId="3" fontId="5" fillId="0" borderId="0" xfId="0" applyNumberFormat="1" applyFont="1" applyFill="1" applyBorder="1"/>
    <xf numFmtId="3" fontId="0" fillId="0" borderId="0" xfId="0" applyNumberFormat="1" applyFont="1" applyFill="1" applyBorder="1"/>
    <xf numFmtId="9" fontId="0" fillId="0" borderId="0" xfId="0" applyNumberFormat="1" applyFill="1" applyBorder="1"/>
    <xf numFmtId="166" fontId="0" fillId="0" borderId="0" xfId="0" applyNumberFormat="1" applyFill="1" applyBorder="1"/>
    <xf numFmtId="2" fontId="0" fillId="0" borderId="0" xfId="0" applyNumberFormat="1" applyFill="1" applyBorder="1"/>
    <xf numFmtId="3" fontId="0" fillId="0" borderId="3" xfId="0" applyNumberFormat="1" applyFont="1" applyBorder="1"/>
    <xf numFmtId="3" fontId="0" fillId="0" borderId="5" xfId="0" applyNumberFormat="1" applyFont="1" applyBorder="1"/>
    <xf numFmtId="3" fontId="0" fillId="0" borderId="4" xfId="0" applyNumberFormat="1" applyFont="1" applyFill="1" applyBorder="1"/>
    <xf numFmtId="9" fontId="0" fillId="0" borderId="0" xfId="0" applyNumberFormat="1"/>
    <xf numFmtId="9" fontId="0" fillId="0" borderId="4" xfId="0" applyNumberFormat="1" applyBorder="1"/>
    <xf numFmtId="0" fontId="0" fillId="0" borderId="0" xfId="0" applyBorder="1" applyAlignment="1">
      <alignment horizontal="center" vertical="top"/>
    </xf>
    <xf numFmtId="0" fontId="1" fillId="0" borderId="0" xfId="0" applyFont="1" applyFill="1" applyBorder="1"/>
    <xf numFmtId="0" fontId="0" fillId="0" borderId="0" xfId="0" applyFill="1" applyBorder="1" applyAlignment="1">
      <alignment horizontal="center" vertical="top"/>
    </xf>
    <xf numFmtId="1" fontId="0" fillId="0" borderId="0" xfId="0" applyNumberFormat="1" applyBorder="1"/>
    <xf numFmtId="9" fontId="0" fillId="0" borderId="4" xfId="0" applyNumberFormat="1" applyFill="1" applyBorder="1"/>
    <xf numFmtId="10" fontId="0" fillId="0" borderId="5" xfId="0" applyNumberFormat="1" applyBorder="1"/>
    <xf numFmtId="10" fontId="0" fillId="0" borderId="0" xfId="0" applyNumberFormat="1"/>
    <xf numFmtId="167" fontId="0" fillId="0" borderId="0" xfId="8" applyNumberFormat="1" applyFont="1"/>
    <xf numFmtId="167" fontId="0" fillId="0" borderId="1" xfId="8" applyNumberFormat="1" applyFont="1" applyBorder="1"/>
    <xf numFmtId="167" fontId="0" fillId="0" borderId="3" xfId="8" applyNumberFormat="1" applyFont="1" applyBorder="1"/>
    <xf numFmtId="167" fontId="0" fillId="0" borderId="4" xfId="8" applyNumberFormat="1" applyFont="1" applyFill="1" applyBorder="1"/>
    <xf numFmtId="168" fontId="0" fillId="0" borderId="0" xfId="0" applyNumberFormat="1"/>
    <xf numFmtId="168" fontId="0" fillId="0" borderId="3" xfId="0" applyNumberFormat="1" applyBorder="1"/>
    <xf numFmtId="168" fontId="0" fillId="0" borderId="4" xfId="0" applyNumberFormat="1" applyBorder="1"/>
    <xf numFmtId="168" fontId="0" fillId="2" borderId="0" xfId="0" applyNumberFormat="1" applyFill="1"/>
    <xf numFmtId="168" fontId="0" fillId="2" borderId="3" xfId="0" applyNumberFormat="1" applyFill="1" applyBorder="1"/>
    <xf numFmtId="168" fontId="0" fillId="2" borderId="1" xfId="0" applyNumberFormat="1" applyFill="1" applyBorder="1"/>
    <xf numFmtId="167" fontId="2" fillId="0" borderId="0" xfId="8" applyNumberFormat="1" applyFont="1" applyAlignment="1"/>
    <xf numFmtId="167" fontId="2" fillId="0" borderId="1" xfId="8" applyNumberFormat="1" applyFont="1" applyBorder="1" applyAlignment="1"/>
    <xf numFmtId="167" fontId="0" fillId="0" borderId="5" xfId="8" applyNumberFormat="1" applyFont="1" applyBorder="1"/>
    <xf numFmtId="0" fontId="4" fillId="0" borderId="3" xfId="0" applyFont="1" applyBorder="1"/>
    <xf numFmtId="0" fontId="4" fillId="0" borderId="6" xfId="0" applyFont="1" applyBorder="1"/>
    <xf numFmtId="0" fontId="4" fillId="0" borderId="0" xfId="0" applyFont="1" applyBorder="1"/>
  </cellXfs>
  <cellStyles count="9">
    <cellStyle name="Comma" xfId="8" builtinId="3"/>
    <cellStyle name="Normal" xfId="0" builtinId="0"/>
    <cellStyle name="XLConnect.Boolean" xfId="6" xr:uid="{00000000-0005-0000-0000-000002000000}"/>
    <cellStyle name="XLConnect.Date" xfId="3" xr:uid="{00000000-0005-0000-0000-000003000000}"/>
    <cellStyle name="XLConnect.DateTime" xfId="7" xr:uid="{00000000-0005-0000-0000-000004000000}"/>
    <cellStyle name="XLConnect.General" xfId="1" xr:uid="{00000000-0005-0000-0000-000005000000}"/>
    <cellStyle name="XLConnect.Header" xfId="2" xr:uid="{00000000-0005-0000-0000-000006000000}"/>
    <cellStyle name="XLConnect.Numeric" xfId="5" xr:uid="{00000000-0005-0000-0000-000007000000}"/>
    <cellStyle name="XLConnect.String" xfId="4" xr:uid="{00000000-0005-0000-0000-000008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theme/theme1.xml" Type="http://schemas.openxmlformats.org/officeDocument/2006/relationships/theme"/><Relationship Id="rId11" Target="styles.xml" Type="http://schemas.openxmlformats.org/officeDocument/2006/relationships/styles"/><Relationship Id="rId12" Target="sharedStrings.xml" Type="http://schemas.openxmlformats.org/officeDocument/2006/relationships/sharedStrings"/><Relationship Id="rId13" Target="calcChain.xml" Type="http://schemas.openxmlformats.org/officeDocument/2006/relationships/calcChain"/><Relationship Id="rId14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worksheets/sheet8.xml" Type="http://schemas.openxmlformats.org/officeDocument/2006/relationships/worksheet"/><Relationship Id="rId9" Target="worksheets/sheet9.xml" Type="http://schemas.openxmlformats.org/officeDocument/2006/relationships/worksheet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Location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TLFD!$E$10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TLFD!$E$11:$E$100</c:f>
              <c:numCache>
                <c:formatCode>_(* #,##0_);_(* \(#,##0\);_(* "-"??_);_(@_)</c:formatCode>
                <c:ptCount val="90"/>
                <c:pt idx="0">
                  <c:v>10084.870199999999</c:v>
                </c:pt>
                <c:pt idx="1">
                  <c:v>10342.3884</c:v>
                </c:pt>
                <c:pt idx="2">
                  <c:v>11823.3755</c:v>
                </c:pt>
                <c:pt idx="3">
                  <c:v>14716.005499999999</c:v>
                </c:pt>
                <c:pt idx="4">
                  <c:v>14389.486000000001</c:v>
                </c:pt>
                <c:pt idx="5">
                  <c:v>9329.4225999999999</c:v>
                </c:pt>
                <c:pt idx="6">
                  <c:v>9608.0811999999987</c:v>
                </c:pt>
                <c:pt idx="7">
                  <c:v>10761.6481</c:v>
                </c:pt>
                <c:pt idx="8">
                  <c:v>11241.18</c:v>
                </c:pt>
                <c:pt idx="9">
                  <c:v>8486.4782999999989</c:v>
                </c:pt>
                <c:pt idx="10">
                  <c:v>10968.750199999999</c:v>
                </c:pt>
                <c:pt idx="11">
                  <c:v>7428.7254000000003</c:v>
                </c:pt>
                <c:pt idx="12">
                  <c:v>4799.2891</c:v>
                </c:pt>
                <c:pt idx="13">
                  <c:v>4836.5982000000004</c:v>
                </c:pt>
                <c:pt idx="14">
                  <c:v>8024.2613999999994</c:v>
                </c:pt>
                <c:pt idx="15">
                  <c:v>7430.8969999999999</c:v>
                </c:pt>
                <c:pt idx="16">
                  <c:v>3709.2554</c:v>
                </c:pt>
                <c:pt idx="17">
                  <c:v>6295.6364999999996</c:v>
                </c:pt>
                <c:pt idx="18">
                  <c:v>9165.767600000001</c:v>
                </c:pt>
                <c:pt idx="19">
                  <c:v>4285.1017000000002</c:v>
                </c:pt>
                <c:pt idx="20">
                  <c:v>2371.0021999999999</c:v>
                </c:pt>
                <c:pt idx="21">
                  <c:v>3502.1714000000002</c:v>
                </c:pt>
                <c:pt idx="22">
                  <c:v>1986.4684999999999</c:v>
                </c:pt>
                <c:pt idx="23">
                  <c:v>1540.5993000000001</c:v>
                </c:pt>
                <c:pt idx="24">
                  <c:v>903.66980000000001</c:v>
                </c:pt>
                <c:pt idx="25">
                  <c:v>1160.8097</c:v>
                </c:pt>
                <c:pt idx="26">
                  <c:v>453.60610000000003</c:v>
                </c:pt>
                <c:pt idx="27">
                  <c:v>239.26169999999999</c:v>
                </c:pt>
                <c:pt idx="28">
                  <c:v>1493.1774999999998</c:v>
                </c:pt>
                <c:pt idx="29">
                  <c:v>0</c:v>
                </c:pt>
                <c:pt idx="30">
                  <c:v>343.1413</c:v>
                </c:pt>
                <c:pt idx="31">
                  <c:v>0</c:v>
                </c:pt>
                <c:pt idx="32">
                  <c:v>142.41460000000001</c:v>
                </c:pt>
                <c:pt idx="33">
                  <c:v>0</c:v>
                </c:pt>
                <c:pt idx="34">
                  <c:v>0</c:v>
                </c:pt>
                <c:pt idx="35">
                  <c:v>213.5855</c:v>
                </c:pt>
                <c:pt idx="36">
                  <c:v>205.54570000000001</c:v>
                </c:pt>
                <c:pt idx="37">
                  <c:v>334.19279999999998</c:v>
                </c:pt>
                <c:pt idx="38">
                  <c:v>0</c:v>
                </c:pt>
                <c:pt idx="39">
                  <c:v>60.060200000000002</c:v>
                </c:pt>
                <c:pt idx="40">
                  <c:v>453.81959999999998</c:v>
                </c:pt>
                <c:pt idx="41">
                  <c:v>294.14159999999998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B8-4FCD-AB4D-9E8925E7D495}"/>
            </c:ext>
          </c:extLst>
        </c:ser>
        <c:ser>
          <c:idx val="1"/>
          <c:order val="1"/>
          <c:tx>
            <c:strRef>
              <c:f>TLFD!$K$10</c:f>
              <c:strCache>
                <c:ptCount val="1"/>
                <c:pt idx="0">
                  <c:v>BKRCast (LODES)</c:v>
                </c:pt>
              </c:strCache>
            </c:strRef>
          </c:tx>
          <c:marker>
            <c:symbol val="none"/>
          </c:marker>
          <c:val>
            <c:numRef>
              <c:f>TLFD!$K$11:$K$100</c:f>
              <c:numCache>
                <c:formatCode>_(* #,##0_);_(* \(#,##0\);_(* "-"??_);_(@_)</c:formatCode>
                <c:ptCount val="90"/>
                <c:pt idx="0">
                  <c:v>8430</c:v>
                </c:pt>
                <c:pt idx="1">
                  <c:v>11882</c:v>
                </c:pt>
                <c:pt idx="2">
                  <c:v>12569</c:v>
                </c:pt>
                <c:pt idx="3">
                  <c:v>15089</c:v>
                </c:pt>
                <c:pt idx="4">
                  <c:v>15758</c:v>
                </c:pt>
                <c:pt idx="5">
                  <c:v>15596</c:v>
                </c:pt>
                <c:pt idx="6">
                  <c:v>13052</c:v>
                </c:pt>
                <c:pt idx="7">
                  <c:v>12547</c:v>
                </c:pt>
                <c:pt idx="8">
                  <c:v>13041</c:v>
                </c:pt>
                <c:pt idx="9">
                  <c:v>9906</c:v>
                </c:pt>
                <c:pt idx="10">
                  <c:v>10973</c:v>
                </c:pt>
                <c:pt idx="11">
                  <c:v>9681</c:v>
                </c:pt>
                <c:pt idx="12">
                  <c:v>10255</c:v>
                </c:pt>
                <c:pt idx="13">
                  <c:v>9738</c:v>
                </c:pt>
                <c:pt idx="14">
                  <c:v>9719</c:v>
                </c:pt>
                <c:pt idx="15">
                  <c:v>9795</c:v>
                </c:pt>
                <c:pt idx="16">
                  <c:v>8155</c:v>
                </c:pt>
                <c:pt idx="17">
                  <c:v>7680</c:v>
                </c:pt>
                <c:pt idx="18">
                  <c:v>6325</c:v>
                </c:pt>
                <c:pt idx="19">
                  <c:v>5613</c:v>
                </c:pt>
                <c:pt idx="20">
                  <c:v>5530</c:v>
                </c:pt>
                <c:pt idx="21">
                  <c:v>5286</c:v>
                </c:pt>
                <c:pt idx="22">
                  <c:v>3910</c:v>
                </c:pt>
                <c:pt idx="23">
                  <c:v>3099</c:v>
                </c:pt>
                <c:pt idx="24">
                  <c:v>2587</c:v>
                </c:pt>
                <c:pt idx="25">
                  <c:v>2414</c:v>
                </c:pt>
                <c:pt idx="26">
                  <c:v>2163</c:v>
                </c:pt>
                <c:pt idx="27">
                  <c:v>1974</c:v>
                </c:pt>
                <c:pt idx="28">
                  <c:v>1251</c:v>
                </c:pt>
                <c:pt idx="29">
                  <c:v>1244</c:v>
                </c:pt>
                <c:pt idx="30">
                  <c:v>1010</c:v>
                </c:pt>
                <c:pt idx="31">
                  <c:v>934</c:v>
                </c:pt>
                <c:pt idx="32">
                  <c:v>684</c:v>
                </c:pt>
                <c:pt idx="33">
                  <c:v>667</c:v>
                </c:pt>
                <c:pt idx="34">
                  <c:v>388</c:v>
                </c:pt>
                <c:pt idx="35">
                  <c:v>320</c:v>
                </c:pt>
                <c:pt idx="36">
                  <c:v>432</c:v>
                </c:pt>
                <c:pt idx="37">
                  <c:v>263</c:v>
                </c:pt>
                <c:pt idx="38">
                  <c:v>256</c:v>
                </c:pt>
                <c:pt idx="39">
                  <c:v>290</c:v>
                </c:pt>
                <c:pt idx="40">
                  <c:v>176</c:v>
                </c:pt>
                <c:pt idx="41">
                  <c:v>166</c:v>
                </c:pt>
                <c:pt idx="42">
                  <c:v>183</c:v>
                </c:pt>
                <c:pt idx="43">
                  <c:v>126</c:v>
                </c:pt>
                <c:pt idx="44">
                  <c:v>166</c:v>
                </c:pt>
                <c:pt idx="45">
                  <c:v>126</c:v>
                </c:pt>
                <c:pt idx="46">
                  <c:v>114</c:v>
                </c:pt>
                <c:pt idx="47">
                  <c:v>122</c:v>
                </c:pt>
                <c:pt idx="48">
                  <c:v>85</c:v>
                </c:pt>
                <c:pt idx="49">
                  <c:v>68</c:v>
                </c:pt>
                <c:pt idx="50">
                  <c:v>37</c:v>
                </c:pt>
                <c:pt idx="51">
                  <c:v>30</c:v>
                </c:pt>
                <c:pt idx="52">
                  <c:v>43</c:v>
                </c:pt>
                <c:pt idx="53">
                  <c:v>35</c:v>
                </c:pt>
                <c:pt idx="54">
                  <c:v>22</c:v>
                </c:pt>
                <c:pt idx="55">
                  <c:v>25</c:v>
                </c:pt>
                <c:pt idx="56">
                  <c:v>22</c:v>
                </c:pt>
                <c:pt idx="57">
                  <c:v>43</c:v>
                </c:pt>
                <c:pt idx="58">
                  <c:v>43</c:v>
                </c:pt>
                <c:pt idx="59">
                  <c:v>8</c:v>
                </c:pt>
                <c:pt idx="60">
                  <c:v>11</c:v>
                </c:pt>
                <c:pt idx="61">
                  <c:v>18</c:v>
                </c:pt>
                <c:pt idx="62">
                  <c:v>5</c:v>
                </c:pt>
                <c:pt idx="63">
                  <c:v>0</c:v>
                </c:pt>
                <c:pt idx="64">
                  <c:v>4</c:v>
                </c:pt>
                <c:pt idx="65">
                  <c:v>2</c:v>
                </c:pt>
                <c:pt idx="66">
                  <c:v>2</c:v>
                </c:pt>
                <c:pt idx="67">
                  <c:v>1</c:v>
                </c:pt>
                <c:pt idx="68">
                  <c:v>5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2B8-4FCD-AB4D-9E8925E7D4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182672"/>
        <c:axId val="125186200"/>
      </c:lineChart>
      <c:catAx>
        <c:axId val="1251826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</a:t>
                </a:r>
                <a:r>
                  <a:rPr lang="en-US" baseline="0"/>
                  <a:t> Length (miles)</a:t>
                </a:r>
                <a:endParaRPr lang="en-US"/>
              </a:p>
            </c:rich>
          </c:tx>
          <c:overlay val="0"/>
        </c:title>
        <c:majorTickMark val="out"/>
        <c:minorTickMark val="none"/>
        <c:tickLblPos val="nextTo"/>
        <c:crossAx val="125186200"/>
        <c:crosses val="autoZero"/>
        <c:auto val="1"/>
        <c:lblAlgn val="ctr"/>
        <c:lblOffset val="100"/>
        <c:tickLblSkip val="10"/>
        <c:noMultiLvlLbl val="0"/>
      </c:catAx>
      <c:valAx>
        <c:axId val="12518620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Persons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25182672"/>
        <c:crosses val="autoZero"/>
        <c:crossBetween val="between"/>
        <c:majorUnit val="10000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488" l="0.70000000000000062" r="0.70000000000000062" t="0.75000000000000488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Location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TDFD!$E$10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TDFD!$E$11:$E$99</c:f>
              <c:numCache>
                <c:formatCode>_(* #,##0_);_(* \(#,##0\);_(* "-"??_);_(@_)</c:formatCode>
                <c:ptCount val="89"/>
                <c:pt idx="0">
                  <c:v>1749.8561</c:v>
                </c:pt>
                <c:pt idx="1">
                  <c:v>1563.9394</c:v>
                </c:pt>
                <c:pt idx="2">
                  <c:v>3436.9750000000004</c:v>
                </c:pt>
                <c:pt idx="3">
                  <c:v>1920.1136999999999</c:v>
                </c:pt>
                <c:pt idx="4">
                  <c:v>2708.0369999999998</c:v>
                </c:pt>
                <c:pt idx="5">
                  <c:v>2046.9023000000002</c:v>
                </c:pt>
                <c:pt idx="6">
                  <c:v>8781.2103999999999</c:v>
                </c:pt>
                <c:pt idx="7">
                  <c:v>5502.5967999999993</c:v>
                </c:pt>
                <c:pt idx="8">
                  <c:v>8546.3550000000014</c:v>
                </c:pt>
                <c:pt idx="9">
                  <c:v>6654.5246999999999</c:v>
                </c:pt>
                <c:pt idx="10">
                  <c:v>8646.4025000000001</c:v>
                </c:pt>
                <c:pt idx="11">
                  <c:v>3341.8775000000001</c:v>
                </c:pt>
                <c:pt idx="12">
                  <c:v>5590.9781999999996</c:v>
                </c:pt>
                <c:pt idx="13">
                  <c:v>4019.5940000000001</c:v>
                </c:pt>
                <c:pt idx="14">
                  <c:v>3825.2251000000001</c:v>
                </c:pt>
                <c:pt idx="15">
                  <c:v>2890.9670000000001</c:v>
                </c:pt>
                <c:pt idx="16">
                  <c:v>3637.8822</c:v>
                </c:pt>
                <c:pt idx="17">
                  <c:v>2562.3312999999998</c:v>
                </c:pt>
                <c:pt idx="18">
                  <c:v>3512.6109999999999</c:v>
                </c:pt>
                <c:pt idx="19">
                  <c:v>9591.1532999999999</c:v>
                </c:pt>
                <c:pt idx="20">
                  <c:v>2994.6983</c:v>
                </c:pt>
                <c:pt idx="21">
                  <c:v>6395.7217000000001</c:v>
                </c:pt>
                <c:pt idx="22">
                  <c:v>7788.7402999999995</c:v>
                </c:pt>
                <c:pt idx="23">
                  <c:v>2822.1061</c:v>
                </c:pt>
                <c:pt idx="24">
                  <c:v>2708.5878999999995</c:v>
                </c:pt>
                <c:pt idx="25">
                  <c:v>2171.7565000000004</c:v>
                </c:pt>
                <c:pt idx="26">
                  <c:v>544.79970000000003</c:v>
                </c:pt>
                <c:pt idx="27">
                  <c:v>1816.8040000000001</c:v>
                </c:pt>
                <c:pt idx="28">
                  <c:v>1407.2154</c:v>
                </c:pt>
                <c:pt idx="29">
                  <c:v>1197.5896</c:v>
                </c:pt>
                <c:pt idx="30">
                  <c:v>2243.8220999999999</c:v>
                </c:pt>
                <c:pt idx="31">
                  <c:v>1395.6398999999999</c:v>
                </c:pt>
                <c:pt idx="32">
                  <c:v>2421.1547</c:v>
                </c:pt>
                <c:pt idx="33">
                  <c:v>3884.6671000000001</c:v>
                </c:pt>
                <c:pt idx="34">
                  <c:v>3741.7344000000003</c:v>
                </c:pt>
                <c:pt idx="35">
                  <c:v>1685.9032</c:v>
                </c:pt>
                <c:pt idx="36">
                  <c:v>3859.1995999999999</c:v>
                </c:pt>
                <c:pt idx="37">
                  <c:v>2160.3575999999998</c:v>
                </c:pt>
                <c:pt idx="38">
                  <c:v>1903.6010000000001</c:v>
                </c:pt>
                <c:pt idx="39">
                  <c:v>1893.2657000000002</c:v>
                </c:pt>
                <c:pt idx="40">
                  <c:v>3628.0079000000001</c:v>
                </c:pt>
                <c:pt idx="41">
                  <c:v>6044.5442000000003</c:v>
                </c:pt>
                <c:pt idx="42">
                  <c:v>1898.7445</c:v>
                </c:pt>
                <c:pt idx="43">
                  <c:v>2892.5864000000001</c:v>
                </c:pt>
                <c:pt idx="44">
                  <c:v>2130.0311999999999</c:v>
                </c:pt>
                <c:pt idx="45">
                  <c:v>2714.6736000000001</c:v>
                </c:pt>
                <c:pt idx="46">
                  <c:v>2734.8119999999999</c:v>
                </c:pt>
                <c:pt idx="47">
                  <c:v>4277.0594000000001</c:v>
                </c:pt>
                <c:pt idx="48">
                  <c:v>1593.3153</c:v>
                </c:pt>
                <c:pt idx="49">
                  <c:v>2046.3182000000002</c:v>
                </c:pt>
                <c:pt idx="50">
                  <c:v>1130.8742999999999</c:v>
                </c:pt>
                <c:pt idx="51">
                  <c:v>2191.4211</c:v>
                </c:pt>
                <c:pt idx="52">
                  <c:v>1193.2972</c:v>
                </c:pt>
                <c:pt idx="53">
                  <c:v>1752.2656000000002</c:v>
                </c:pt>
                <c:pt idx="54">
                  <c:v>1823.2211</c:v>
                </c:pt>
                <c:pt idx="55">
                  <c:v>1325.8767</c:v>
                </c:pt>
                <c:pt idx="56">
                  <c:v>238.04150000000001</c:v>
                </c:pt>
                <c:pt idx="57">
                  <c:v>445.3698</c:v>
                </c:pt>
                <c:pt idx="58">
                  <c:v>595.36030000000005</c:v>
                </c:pt>
                <c:pt idx="59">
                  <c:v>1748.4809999999998</c:v>
                </c:pt>
                <c:pt idx="60">
                  <c:v>2722.4638</c:v>
                </c:pt>
                <c:pt idx="61">
                  <c:v>0</c:v>
                </c:pt>
                <c:pt idx="62">
                  <c:v>356.00009999999997</c:v>
                </c:pt>
                <c:pt idx="63">
                  <c:v>0</c:v>
                </c:pt>
                <c:pt idx="64">
                  <c:v>844.47050000000002</c:v>
                </c:pt>
                <c:pt idx="65">
                  <c:v>205.54570000000001</c:v>
                </c:pt>
                <c:pt idx="66">
                  <c:v>0</c:v>
                </c:pt>
                <c:pt idx="67">
                  <c:v>182.99289999999999</c:v>
                </c:pt>
                <c:pt idx="68">
                  <c:v>453.81959999999998</c:v>
                </c:pt>
                <c:pt idx="69">
                  <c:v>116.1605</c:v>
                </c:pt>
                <c:pt idx="70">
                  <c:v>0</c:v>
                </c:pt>
                <c:pt idx="71">
                  <c:v>278.09249999999997</c:v>
                </c:pt>
                <c:pt idx="72">
                  <c:v>0</c:v>
                </c:pt>
                <c:pt idx="73">
                  <c:v>294.14159999999998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4F-4399-8968-4B25EFE6F2E1}"/>
            </c:ext>
          </c:extLst>
        </c:ser>
        <c:ser>
          <c:idx val="1"/>
          <c:order val="1"/>
          <c:tx>
            <c:strRef>
              <c:f>TDFD!$K$10</c:f>
              <c:strCache>
                <c:ptCount val="1"/>
                <c:pt idx="0">
                  <c:v>BKRCast (LODES)</c:v>
                </c:pt>
              </c:strCache>
            </c:strRef>
          </c:tx>
          <c:marker>
            <c:symbol val="none"/>
          </c:marker>
          <c:val>
            <c:numRef>
              <c:f>TDFD!$K$11:$K$99</c:f>
              <c:numCache>
                <c:formatCode>_(* #,##0_);_(* \(#,##0\);_(* "-"??_);_(@_)</c:formatCode>
                <c:ptCount val="89"/>
                <c:pt idx="0">
                  <c:v>414</c:v>
                </c:pt>
                <c:pt idx="1">
                  <c:v>1179</c:v>
                </c:pt>
                <c:pt idx="2">
                  <c:v>3403</c:v>
                </c:pt>
                <c:pt idx="3">
                  <c:v>5420</c:v>
                </c:pt>
                <c:pt idx="4">
                  <c:v>5074</c:v>
                </c:pt>
                <c:pt idx="5">
                  <c:v>5161</c:v>
                </c:pt>
                <c:pt idx="6">
                  <c:v>5718</c:v>
                </c:pt>
                <c:pt idx="7">
                  <c:v>6140</c:v>
                </c:pt>
                <c:pt idx="8">
                  <c:v>6360</c:v>
                </c:pt>
                <c:pt idx="9">
                  <c:v>6937</c:v>
                </c:pt>
                <c:pt idx="10">
                  <c:v>7211</c:v>
                </c:pt>
                <c:pt idx="11">
                  <c:v>7050</c:v>
                </c:pt>
                <c:pt idx="12">
                  <c:v>6627</c:v>
                </c:pt>
                <c:pt idx="13">
                  <c:v>6646</c:v>
                </c:pt>
                <c:pt idx="14">
                  <c:v>6000</c:v>
                </c:pt>
                <c:pt idx="15">
                  <c:v>5113</c:v>
                </c:pt>
                <c:pt idx="16">
                  <c:v>5434</c:v>
                </c:pt>
                <c:pt idx="17">
                  <c:v>5198</c:v>
                </c:pt>
                <c:pt idx="18">
                  <c:v>4887</c:v>
                </c:pt>
                <c:pt idx="19">
                  <c:v>5284</c:v>
                </c:pt>
                <c:pt idx="20">
                  <c:v>5524</c:v>
                </c:pt>
                <c:pt idx="21">
                  <c:v>5712</c:v>
                </c:pt>
                <c:pt idx="22">
                  <c:v>4594</c:v>
                </c:pt>
                <c:pt idx="23">
                  <c:v>5625</c:v>
                </c:pt>
                <c:pt idx="24">
                  <c:v>4693</c:v>
                </c:pt>
                <c:pt idx="25">
                  <c:v>4044</c:v>
                </c:pt>
                <c:pt idx="26">
                  <c:v>4505</c:v>
                </c:pt>
                <c:pt idx="27">
                  <c:v>4817</c:v>
                </c:pt>
                <c:pt idx="28">
                  <c:v>4672</c:v>
                </c:pt>
                <c:pt idx="29">
                  <c:v>4900</c:v>
                </c:pt>
                <c:pt idx="30">
                  <c:v>4020</c:v>
                </c:pt>
                <c:pt idx="31">
                  <c:v>3616</c:v>
                </c:pt>
                <c:pt idx="32">
                  <c:v>4596</c:v>
                </c:pt>
                <c:pt idx="33">
                  <c:v>4901</c:v>
                </c:pt>
                <c:pt idx="34">
                  <c:v>4435</c:v>
                </c:pt>
                <c:pt idx="35">
                  <c:v>4797</c:v>
                </c:pt>
                <c:pt idx="36">
                  <c:v>4994</c:v>
                </c:pt>
                <c:pt idx="37">
                  <c:v>3682</c:v>
                </c:pt>
                <c:pt idx="38">
                  <c:v>4072</c:v>
                </c:pt>
                <c:pt idx="39">
                  <c:v>3767</c:v>
                </c:pt>
                <c:pt idx="40">
                  <c:v>3933</c:v>
                </c:pt>
                <c:pt idx="41">
                  <c:v>3657</c:v>
                </c:pt>
                <c:pt idx="42">
                  <c:v>3865</c:v>
                </c:pt>
                <c:pt idx="43">
                  <c:v>3442</c:v>
                </c:pt>
                <c:pt idx="44">
                  <c:v>3573</c:v>
                </c:pt>
                <c:pt idx="45">
                  <c:v>3802</c:v>
                </c:pt>
                <c:pt idx="46">
                  <c:v>2728</c:v>
                </c:pt>
                <c:pt idx="47">
                  <c:v>2440</c:v>
                </c:pt>
                <c:pt idx="48">
                  <c:v>2711</c:v>
                </c:pt>
                <c:pt idx="49">
                  <c:v>2367</c:v>
                </c:pt>
                <c:pt idx="50">
                  <c:v>2574</c:v>
                </c:pt>
                <c:pt idx="51">
                  <c:v>2548</c:v>
                </c:pt>
                <c:pt idx="52">
                  <c:v>2125</c:v>
                </c:pt>
                <c:pt idx="53">
                  <c:v>1564</c:v>
                </c:pt>
                <c:pt idx="54">
                  <c:v>1472</c:v>
                </c:pt>
                <c:pt idx="55">
                  <c:v>923</c:v>
                </c:pt>
                <c:pt idx="56">
                  <c:v>979</c:v>
                </c:pt>
                <c:pt idx="57">
                  <c:v>1184</c:v>
                </c:pt>
                <c:pt idx="58">
                  <c:v>984</c:v>
                </c:pt>
                <c:pt idx="59">
                  <c:v>1064</c:v>
                </c:pt>
                <c:pt idx="60">
                  <c:v>1045</c:v>
                </c:pt>
                <c:pt idx="61">
                  <c:v>829</c:v>
                </c:pt>
                <c:pt idx="62">
                  <c:v>738</c:v>
                </c:pt>
                <c:pt idx="63">
                  <c:v>541</c:v>
                </c:pt>
                <c:pt idx="64">
                  <c:v>554</c:v>
                </c:pt>
                <c:pt idx="65">
                  <c:v>355</c:v>
                </c:pt>
                <c:pt idx="66">
                  <c:v>516</c:v>
                </c:pt>
                <c:pt idx="67">
                  <c:v>311</c:v>
                </c:pt>
                <c:pt idx="68">
                  <c:v>205</c:v>
                </c:pt>
                <c:pt idx="69">
                  <c:v>124</c:v>
                </c:pt>
                <c:pt idx="70">
                  <c:v>232</c:v>
                </c:pt>
                <c:pt idx="71">
                  <c:v>171</c:v>
                </c:pt>
                <c:pt idx="72">
                  <c:v>85</c:v>
                </c:pt>
                <c:pt idx="73">
                  <c:v>78</c:v>
                </c:pt>
                <c:pt idx="74">
                  <c:v>74</c:v>
                </c:pt>
                <c:pt idx="75">
                  <c:v>65</c:v>
                </c:pt>
                <c:pt idx="76">
                  <c:v>40</c:v>
                </c:pt>
                <c:pt idx="77">
                  <c:v>61</c:v>
                </c:pt>
                <c:pt idx="78">
                  <c:v>87</c:v>
                </c:pt>
                <c:pt idx="79">
                  <c:v>56</c:v>
                </c:pt>
                <c:pt idx="80">
                  <c:v>32</c:v>
                </c:pt>
                <c:pt idx="81">
                  <c:v>119</c:v>
                </c:pt>
                <c:pt idx="82">
                  <c:v>38</c:v>
                </c:pt>
                <c:pt idx="83">
                  <c:v>24</c:v>
                </c:pt>
                <c:pt idx="84">
                  <c:v>44</c:v>
                </c:pt>
                <c:pt idx="85">
                  <c:v>27</c:v>
                </c:pt>
                <c:pt idx="86">
                  <c:v>28</c:v>
                </c:pt>
                <c:pt idx="87">
                  <c:v>19</c:v>
                </c:pt>
                <c:pt idx="88">
                  <c:v>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34F-4399-8968-4B25EFE6F2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187376"/>
        <c:axId val="125188160"/>
      </c:lineChart>
      <c:catAx>
        <c:axId val="1251873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Duration (mins)</a:t>
                </a:r>
              </a:p>
            </c:rich>
          </c:tx>
          <c:overlay val="0"/>
        </c:title>
        <c:majorTickMark val="out"/>
        <c:minorTickMark val="none"/>
        <c:tickLblPos val="nextTo"/>
        <c:crossAx val="125188160"/>
        <c:crosses val="autoZero"/>
        <c:auto val="1"/>
        <c:lblAlgn val="ctr"/>
        <c:lblOffset val="100"/>
        <c:tickLblSkip val="10"/>
        <c:noMultiLvlLbl val="0"/>
      </c:catAx>
      <c:valAx>
        <c:axId val="1251881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</a:t>
                </a:r>
                <a:r>
                  <a:rPr lang="en-US" baseline="0"/>
                  <a:t> of Persons</a:t>
                </a:r>
                <a:endParaRPr lang="en-US"/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251873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511" l="0.70000000000000062" r="0.70000000000000062" t="0.75000000000000511" header="0.30000000000000032" footer="0.30000000000000032"/>
    <c:pageSetup/>
  </c:printSettings>
</c:chartSpace>
</file>

<file path=xl/drawings/_rels/drawing1.xml.rels><?xml version="1.0" encoding="UTF-8" standalone="no"?><Relationships xmlns="http://schemas.openxmlformats.org/package/2006/relationships"><Relationship Id="rId1" Target="../charts/chart1.xml" Type="http://schemas.openxmlformats.org/officeDocument/2006/relationships/chart"/></Relationships>
</file>

<file path=xl/drawings/_rels/drawing2.xml.rels><?xml version="1.0" encoding="UTF-8" standalone="no"?><Relationships xmlns="http://schemas.openxmlformats.org/package/2006/relationships"><Relationship Id="rId1" Target="../charts/chart2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9524</xdr:colOff>
      <xdr:row>16</xdr:row>
      <xdr:rowOff>123825</xdr:rowOff>
    </xdr:from>
    <xdr:to>
      <xdr:col>22</xdr:col>
      <xdr:colOff>114299</xdr:colOff>
      <xdr:row>33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28575</xdr:colOff>
      <xdr:row>15</xdr:row>
      <xdr:rowOff>171450</xdr:rowOff>
    </xdr:from>
    <xdr:to>
      <xdr:col>21</xdr:col>
      <xdr:colOff>333375</xdr:colOff>
      <xdr:row>32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2.xml.rels><?xml version="1.0" encoding="UTF-8" standalone="no"?><Relationships xmlns="http://schemas.openxmlformats.org/package/2006/relationships"><Relationship Id="rId1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/Relationships>
</file>

<file path=xl/worksheets/_rels/sheet6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/Relationships>
</file>

<file path=xl/worksheets/_rels/sheet9.xml.rels><?xml version="1.0" encoding="UTF-8" standalone="no"?><Relationships xmlns="http://schemas.openxmlformats.org/package/2006/relationships"><Relationship Id="rId1" Target="../printerSettings/printerSettings5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101"/>
  <sheetViews>
    <sheetView workbookViewId="0">
      <selection activeCell="L19" sqref="L19"/>
    </sheetView>
  </sheetViews>
  <sheetFormatPr defaultRowHeight="14.25" x14ac:dyDescent="0.45"/>
  <cols>
    <col min="1" max="1" customWidth="true" width="13.59765625" collapsed="true"/>
    <col min="2" max="3" bestFit="true" customWidth="true" width="10.59765625" collapsed="true"/>
    <col min="4" max="4" bestFit="true" customWidth="true" width="9.59765625" collapsed="true"/>
    <col min="5" max="5" bestFit="true" customWidth="true" width="10.59765625" collapsed="true"/>
    <col min="8" max="8" bestFit="true" customWidth="true" width="10.59765625" collapsed="true"/>
    <col min="9" max="10" bestFit="true" customWidth="true" width="9.59765625" collapsed="true"/>
    <col min="11" max="11" bestFit="true" customWidth="true" width="11.59765625" collapsed="true"/>
    <col min="15" max="15" bestFit="true" customWidth="true" width="15.73046875" collapsed="true"/>
  </cols>
  <sheetData>
    <row r="1" spans="1:23" x14ac:dyDescent="0.45">
      <c r="A1" t="s">
        <v>1</v>
      </c>
    </row>
    <row r="2" spans="1:23" x14ac:dyDescent="0.45">
      <c r="A2" t="s">
        <v>273</v>
      </c>
    </row>
    <row r="3" spans="1:23" x14ac:dyDescent="0.45">
      <c r="A3" t="s">
        <v>257</v>
      </c>
    </row>
    <row r="4" spans="1:23" x14ac:dyDescent="0.45">
      <c r="A4" t="s">
        <v>5</v>
      </c>
    </row>
    <row r="5" spans="1:23" x14ac:dyDescent="0.45">
      <c r="A5" t="s">
        <v>6</v>
      </c>
    </row>
    <row r="7" spans="1:23" x14ac:dyDescent="0.45">
      <c r="A7" t="s">
        <v>12</v>
      </c>
    </row>
    <row r="9" spans="1:23" ht="14.65" thickBot="1" x14ac:dyDescent="0.5">
      <c r="A9" s="4" t="s">
        <v>219</v>
      </c>
      <c r="B9" s="1"/>
      <c r="C9" s="1"/>
      <c r="D9" s="1"/>
      <c r="E9" s="1"/>
      <c r="G9" s="4" t="s">
        <v>13</v>
      </c>
      <c r="H9" s="1"/>
      <c r="I9" s="1"/>
      <c r="J9" s="1"/>
      <c r="K9" s="1"/>
      <c r="M9" s="36" t="s">
        <v>278</v>
      </c>
      <c r="N9" s="32"/>
      <c r="O9" s="32"/>
    </row>
    <row r="10" spans="1:23" x14ac:dyDescent="0.45">
      <c r="A10" s="2" t="s">
        <v>3</v>
      </c>
      <c r="B10" s="5" t="s">
        <v>9</v>
      </c>
      <c r="C10" s="5" t="s">
        <v>10</v>
      </c>
      <c r="D10" s="5" t="s">
        <v>11</v>
      </c>
      <c r="E10" s="5" t="s">
        <v>213</v>
      </c>
      <c r="G10" s="2" t="s">
        <v>3</v>
      </c>
      <c r="H10" s="5" t="s">
        <v>9</v>
      </c>
      <c r="I10" s="5" t="s">
        <v>10</v>
      </c>
      <c r="J10" s="5" t="s">
        <v>11</v>
      </c>
      <c r="K10" s="37" t="s">
        <v>277</v>
      </c>
      <c r="M10" s="31"/>
      <c r="N10" s="37" t="s">
        <v>213</v>
      </c>
      <c r="O10" s="37" t="s">
        <v>277</v>
      </c>
    </row>
    <row r="11" spans="1:23" x14ac:dyDescent="0.45">
      <c r="A11">
        <v>0</v>
      </c>
      <c r="B11" s="78" t="n">
        <v>7664.5803</v>
      </c>
      <c r="C11" s="78" t="n">
        <v>2073.5628</v>
      </c>
      <c r="D11" s="78" t="n">
        <v>346.7271</v>
      </c>
      <c r="E11" s="78">
        <f>SUM(B11:D11)</f>
        <v>10084.870199999999</v>
      </c>
      <c r="G11">
        <v>0</v>
      </c>
      <c r="H11" s="88" t="n">
        <v>5588.0</v>
      </c>
      <c r="I11" s="88" t="n">
        <v>2282.0</v>
      </c>
      <c r="J11" s="88" t="n">
        <v>748.0</v>
      </c>
      <c r="K11" s="78">
        <f>SUM(H11:J11)</f>
        <v>8430</v>
      </c>
      <c r="M11" s="32" t="s">
        <v>9</v>
      </c>
      <c r="N11" s="85" t="n">
        <v>9.526970697161763</v>
      </c>
      <c r="O11" s="85" t="n">
        <v>12.215178732607438</v>
      </c>
    </row>
    <row r="12" spans="1:23" x14ac:dyDescent="0.45">
      <c r="A12">
        <v>1</v>
      </c>
      <c r="B12" s="78" t="n">
        <v>8361.4722</v>
      </c>
      <c r="C12" s="78" t="n">
        <v>1557.8172</v>
      </c>
      <c r="D12" s="78" t="n">
        <v>423.099</v>
      </c>
      <c r="E12" s="78">
        <f t="shared" ref="E12:E75" si="0">SUM(B12:D12)</f>
        <v>10342.3884</v>
      </c>
      <c r="G12">
        <v>1</v>
      </c>
      <c r="H12" s="88" t="n">
        <v>7169.0</v>
      </c>
      <c r="I12" s="88" t="n">
        <v>3492.0</v>
      </c>
      <c r="J12" s="88" t="n">
        <v>1351.0</v>
      </c>
      <c r="K12" s="78">
        <f t="shared" ref="K12:K75" si="1">SUM(H12:J12)</f>
        <v>11882</v>
      </c>
      <c r="M12" s="32" t="s">
        <v>10</v>
      </c>
      <c r="N12" s="85" t="n">
        <v>8.778356612745236</v>
      </c>
      <c r="O12" s="85" t="n">
        <v>8.427687717755594</v>
      </c>
    </row>
    <row r="13" spans="1:23" x14ac:dyDescent="0.45">
      <c r="A13">
        <v>2</v>
      </c>
      <c r="B13" s="78" t="n">
        <v>11188.7888</v>
      </c>
      <c r="C13" s="78" t="n">
        <v>318.6042</v>
      </c>
      <c r="D13" s="78" t="n">
        <v>315.9825</v>
      </c>
      <c r="E13" s="78">
        <f t="shared" si="0"/>
        <v>11823.3755</v>
      </c>
      <c r="G13">
        <v>2</v>
      </c>
      <c r="H13" s="88" t="n">
        <v>7859.0</v>
      </c>
      <c r="I13" s="88" t="n">
        <v>3454.0</v>
      </c>
      <c r="J13" s="88" t="n">
        <v>1528.0</v>
      </c>
      <c r="K13" s="78">
        <f t="shared" si="1"/>
        <v>12569</v>
      </c>
      <c r="M13" s="34" t="s">
        <v>11</v>
      </c>
      <c r="N13" s="86" t="n">
        <v>7.660375399843155</v>
      </c>
      <c r="O13" s="86" t="n">
        <v>9.424793475415687</v>
      </c>
    </row>
    <row r="14" spans="1:23" ht="14.65" thickBot="1" x14ac:dyDescent="0.5">
      <c r="A14">
        <v>3</v>
      </c>
      <c r="B14" s="78" t="n">
        <v>13262.3537</v>
      </c>
      <c r="C14" s="78" t="n">
        <v>1453.6518</v>
      </c>
      <c r="D14" s="78" t="n">
        <v>0.0</v>
      </c>
      <c r="E14" s="78">
        <f t="shared" si="0"/>
        <v>14716.005499999999</v>
      </c>
      <c r="G14">
        <v>3</v>
      </c>
      <c r="H14" s="88" t="n">
        <v>9931.0</v>
      </c>
      <c r="I14" s="88" t="n">
        <v>3794.0</v>
      </c>
      <c r="J14" s="88" t="n">
        <v>1867.0</v>
      </c>
      <c r="K14" s="78">
        <f t="shared" si="1"/>
        <v>15089</v>
      </c>
      <c r="M14" s="30" t="s">
        <v>4</v>
      </c>
      <c r="N14" s="87" t="n">
        <v>9.38657935968651</v>
      </c>
      <c r="O14" s="87" t="n">
        <v>11.334143696416978</v>
      </c>
      <c r="S14" s="9"/>
    </row>
    <row r="15" spans="1:23" x14ac:dyDescent="0.45">
      <c r="A15">
        <v>4</v>
      </c>
      <c r="B15" s="78" t="n">
        <v>10360.8633</v>
      </c>
      <c r="C15" s="78" t="n">
        <v>4028.6227</v>
      </c>
      <c r="D15" s="78" t="n">
        <v>0.0</v>
      </c>
      <c r="E15" s="78">
        <f t="shared" si="0"/>
        <v>14389.486000000001</v>
      </c>
      <c r="G15">
        <v>4</v>
      </c>
      <c r="H15" s="88" t="n">
        <v>10253.0</v>
      </c>
      <c r="I15" s="88" t="n">
        <v>3719.0</v>
      </c>
      <c r="J15" s="88" t="n">
        <v>1855.0</v>
      </c>
      <c r="K15" s="78">
        <f t="shared" si="1"/>
        <v>15758</v>
      </c>
      <c r="W15" s="9"/>
    </row>
    <row r="16" spans="1:23" x14ac:dyDescent="0.45">
      <c r="A16">
        <v>5</v>
      </c>
      <c r="B16" s="78" t="n">
        <v>7497.1581</v>
      </c>
      <c r="C16" s="78" t="n">
        <v>1632.2693</v>
      </c>
      <c r="D16" s="78" t="n">
        <v>199.9952</v>
      </c>
      <c r="E16" s="78">
        <f t="shared" si="0"/>
        <v>9329.4225999999999</v>
      </c>
      <c r="G16">
        <v>5</v>
      </c>
      <c r="H16" s="88" t="n">
        <v>10563.0</v>
      </c>
      <c r="I16" s="88" t="n">
        <v>3469.0</v>
      </c>
      <c r="J16" s="88" t="n">
        <v>1706.0</v>
      </c>
      <c r="K16" s="78">
        <f t="shared" si="1"/>
        <v>15596</v>
      </c>
      <c r="W16" s="9"/>
    </row>
    <row r="17" spans="1:23" x14ac:dyDescent="0.45">
      <c r="A17">
        <v>6</v>
      </c>
      <c r="B17" s="78" t="n">
        <v>8767.3684</v>
      </c>
      <c r="C17" s="78" t="n">
        <v>756.7786</v>
      </c>
      <c r="D17" s="78" t="n">
        <v>83.9342</v>
      </c>
      <c r="E17" s="78">
        <f t="shared" si="0"/>
        <v>9608.0811999999987</v>
      </c>
      <c r="G17">
        <v>6</v>
      </c>
      <c r="H17" s="88" t="n">
        <v>9040.0</v>
      </c>
      <c r="I17" s="88" t="n">
        <v>2719.0</v>
      </c>
      <c r="J17" s="88" t="n">
        <v>1485.0</v>
      </c>
      <c r="K17" s="78">
        <f t="shared" si="1"/>
        <v>13052</v>
      </c>
      <c r="W17" s="9"/>
    </row>
    <row r="18" spans="1:23" x14ac:dyDescent="0.45">
      <c r="A18">
        <v>7</v>
      </c>
      <c r="B18" s="78" t="n">
        <v>10634.9976</v>
      </c>
      <c r="C18" s="78" t="n">
        <v>126.6505</v>
      </c>
      <c r="D18" s="78" t="n">
        <v>0.0</v>
      </c>
      <c r="E18" s="78">
        <f t="shared" si="0"/>
        <v>10761.6481</v>
      </c>
      <c r="G18">
        <v>7</v>
      </c>
      <c r="H18" s="88" t="n">
        <v>8855.0</v>
      </c>
      <c r="I18" s="88" t="n">
        <v>2443.0</v>
      </c>
      <c r="J18" s="88" t="n">
        <v>1403.0</v>
      </c>
      <c r="K18" s="78">
        <f t="shared" si="1"/>
        <v>12547</v>
      </c>
      <c r="W18" s="9"/>
    </row>
    <row r="19" spans="1:23" x14ac:dyDescent="0.45">
      <c r="A19">
        <v>8</v>
      </c>
      <c r="B19" s="78" t="n">
        <v>7270.4132</v>
      </c>
      <c r="C19" s="78" t="n">
        <v>3734.7201</v>
      </c>
      <c r="D19" s="78" t="n">
        <v>236.0467</v>
      </c>
      <c r="E19" s="78">
        <f t="shared" si="0"/>
        <v>11241.18</v>
      </c>
      <c r="G19">
        <v>8</v>
      </c>
      <c r="H19" s="88" t="n">
        <v>9277.0</v>
      </c>
      <c r="I19" s="88" t="n">
        <v>2290.0</v>
      </c>
      <c r="J19" s="88" t="n">
        <v>1258.0</v>
      </c>
      <c r="K19" s="78">
        <f t="shared" si="1"/>
        <v>13041</v>
      </c>
      <c r="W19" s="9"/>
    </row>
    <row r="20" spans="1:23" x14ac:dyDescent="0.45">
      <c r="A20">
        <v>9</v>
      </c>
      <c r="B20" s="78" t="n">
        <v>6539.223199999999</v>
      </c>
      <c r="C20" s="78" t="n">
        <v>1947.2551</v>
      </c>
      <c r="D20" s="78" t="n">
        <v>0.0</v>
      </c>
      <c r="E20" s="78">
        <f t="shared" si="0"/>
        <v>8486.4782999999989</v>
      </c>
      <c r="G20">
        <v>9</v>
      </c>
      <c r="H20" s="88" t="n">
        <v>7387.0</v>
      </c>
      <c r="I20" s="88" t="n">
        <v>1695.0</v>
      </c>
      <c r="J20" s="88" t="n">
        <v>978.0</v>
      </c>
      <c r="K20" s="78">
        <f t="shared" si="1"/>
        <v>9906</v>
      </c>
      <c r="W20" s="9"/>
    </row>
    <row r="21" spans="1:23" x14ac:dyDescent="0.45">
      <c r="A21">
        <v>10</v>
      </c>
      <c r="B21" s="78" t="n">
        <v>8008.4787</v>
      </c>
      <c r="C21" s="78" t="n">
        <v>1847.9024</v>
      </c>
      <c r="D21" s="78" t="n">
        <v>1112.3691</v>
      </c>
      <c r="E21" s="78">
        <f t="shared" si="0"/>
        <v>10968.750199999999</v>
      </c>
      <c r="G21">
        <v>10</v>
      </c>
      <c r="H21" s="88" t="n">
        <v>7485.0</v>
      </c>
      <c r="I21" s="88" t="n">
        <v>1598.0</v>
      </c>
      <c r="J21" s="88" t="n">
        <v>938.0</v>
      </c>
      <c r="K21" s="78">
        <f t="shared" si="1"/>
        <v>10973</v>
      </c>
      <c r="W21" s="9"/>
    </row>
    <row r="22" spans="1:23" x14ac:dyDescent="0.45">
      <c r="A22">
        <v>11</v>
      </c>
      <c r="B22" s="78" t="n">
        <v>5528.1326</v>
      </c>
      <c r="C22" s="78" t="n">
        <v>1900.5928000000001</v>
      </c>
      <c r="D22" s="78" t="n">
        <v>0.0</v>
      </c>
      <c r="E22" s="78">
        <f t="shared" si="0"/>
        <v>7428.7254000000003</v>
      </c>
      <c r="G22">
        <v>11</v>
      </c>
      <c r="H22" s="88" t="n">
        <v>7733.0</v>
      </c>
      <c r="I22" s="88" t="n">
        <v>1404.0</v>
      </c>
      <c r="J22" s="88" t="n">
        <v>884.0</v>
      </c>
      <c r="K22" s="78">
        <f t="shared" si="1"/>
        <v>9681</v>
      </c>
      <c r="W22" s="9"/>
    </row>
    <row r="23" spans="1:23" x14ac:dyDescent="0.45">
      <c r="A23">
        <v>12</v>
      </c>
      <c r="B23" s="78" t="n">
        <v>4201.4169</v>
      </c>
      <c r="C23" s="78" t="n">
        <v>405.0826</v>
      </c>
      <c r="D23" s="78" t="n">
        <v>192.7896</v>
      </c>
      <c r="E23" s="78">
        <f t="shared" si="0"/>
        <v>4799.2891</v>
      </c>
      <c r="G23">
        <v>12</v>
      </c>
      <c r="H23" s="88" t="n">
        <v>8442.0</v>
      </c>
      <c r="I23" s="88" t="n">
        <v>1377.0</v>
      </c>
      <c r="J23" s="88" t="n">
        <v>772.0</v>
      </c>
      <c r="K23" s="78">
        <f t="shared" si="1"/>
        <v>10255</v>
      </c>
      <c r="W23" s="9"/>
    </row>
    <row r="24" spans="1:23" x14ac:dyDescent="0.45">
      <c r="A24">
        <v>13</v>
      </c>
      <c r="B24" s="78" t="n">
        <v>4836.5982</v>
      </c>
      <c r="C24" s="78" t="n">
        <v>0.0</v>
      </c>
      <c r="D24" s="78" t="n">
        <v>0.0</v>
      </c>
      <c r="E24" s="78">
        <f t="shared" si="0"/>
        <v>4836.5982000000004</v>
      </c>
      <c r="G24">
        <v>13</v>
      </c>
      <c r="H24" s="88" t="n">
        <v>7940.0</v>
      </c>
      <c r="I24" s="88" t="n">
        <v>1158.0</v>
      </c>
      <c r="J24" s="88" t="n">
        <v>747.0</v>
      </c>
      <c r="K24" s="78">
        <f t="shared" si="1"/>
        <v>9738</v>
      </c>
      <c r="W24" s="9"/>
    </row>
    <row r="25" spans="1:23" x14ac:dyDescent="0.45">
      <c r="A25">
        <v>14</v>
      </c>
      <c r="B25" s="78" t="n">
        <v>7155.0511</v>
      </c>
      <c r="C25" s="78" t="n">
        <v>869.2103</v>
      </c>
      <c r="D25" s="78" t="n">
        <v>0.0</v>
      </c>
      <c r="E25" s="78">
        <f t="shared" si="0"/>
        <v>8024.2613999999994</v>
      </c>
      <c r="G25">
        <v>14</v>
      </c>
      <c r="H25" s="88" t="n">
        <v>8519.0</v>
      </c>
      <c r="I25" s="88" t="n">
        <v>1034.0</v>
      </c>
      <c r="J25" s="88" t="n">
        <v>697.0</v>
      </c>
      <c r="K25" s="78">
        <f t="shared" si="1"/>
        <v>9719</v>
      </c>
      <c r="W25" s="9"/>
    </row>
    <row r="26" spans="1:23" x14ac:dyDescent="0.45">
      <c r="A26">
        <v>15</v>
      </c>
      <c r="B26" s="78" t="n">
        <v>7430.897</v>
      </c>
      <c r="C26" s="78" t="n">
        <v>0.0</v>
      </c>
      <c r="D26" s="78" t="n">
        <v>0.0</v>
      </c>
      <c r="E26" s="78">
        <f t="shared" si="0"/>
        <v>7430.8969999999999</v>
      </c>
      <c r="G26">
        <v>15</v>
      </c>
      <c r="H26" s="88" t="n">
        <v>8234.0</v>
      </c>
      <c r="I26" s="88" t="n">
        <v>981.0</v>
      </c>
      <c r="J26" s="88" t="n">
        <v>678.0</v>
      </c>
      <c r="K26" s="78">
        <f t="shared" si="1"/>
        <v>9795</v>
      </c>
      <c r="W26" s="9"/>
    </row>
    <row r="27" spans="1:23" x14ac:dyDescent="0.45">
      <c r="A27">
        <v>16</v>
      </c>
      <c r="B27" s="78" t="n">
        <v>2448.5463999999997</v>
      </c>
      <c r="C27" s="78" t="n">
        <v>1260.709</v>
      </c>
      <c r="D27" s="78" t="n">
        <v>0.0</v>
      </c>
      <c r="E27" s="78">
        <f t="shared" si="0"/>
        <v>3709.2554</v>
      </c>
      <c r="G27">
        <v>16</v>
      </c>
      <c r="H27" s="88" t="n">
        <v>7441.0</v>
      </c>
      <c r="I27" s="88" t="n">
        <v>781.0</v>
      </c>
      <c r="J27" s="88" t="n">
        <v>532.0</v>
      </c>
      <c r="K27" s="78">
        <f t="shared" si="1"/>
        <v>8155</v>
      </c>
      <c r="W27" s="9"/>
    </row>
    <row r="28" spans="1:23" x14ac:dyDescent="0.45">
      <c r="A28">
        <v>17</v>
      </c>
      <c r="B28" s="78" t="n">
        <v>5849.0984</v>
      </c>
      <c r="C28" s="78" t="n">
        <v>446.5381</v>
      </c>
      <c r="D28" s="78" t="n">
        <v>0.0</v>
      </c>
      <c r="E28" s="78">
        <f t="shared" si="0"/>
        <v>6295.6364999999996</v>
      </c>
      <c r="G28">
        <v>17</v>
      </c>
      <c r="H28" s="88" t="n">
        <v>6784.0</v>
      </c>
      <c r="I28" s="88" t="n">
        <v>710.0</v>
      </c>
      <c r="J28" s="88" t="n">
        <v>481.0</v>
      </c>
      <c r="K28" s="78">
        <f t="shared" si="1"/>
        <v>7680</v>
      </c>
      <c r="W28" s="9"/>
    </row>
    <row r="29" spans="1:23" x14ac:dyDescent="0.45">
      <c r="A29">
        <v>18</v>
      </c>
      <c r="B29" s="78" t="n">
        <v>7596.6656</v>
      </c>
      <c r="C29" s="78" t="n">
        <v>1569.102</v>
      </c>
      <c r="D29" s="78" t="n">
        <v>0.0</v>
      </c>
      <c r="E29" s="78">
        <f t="shared" si="0"/>
        <v>9165.767600000001</v>
      </c>
      <c r="G29">
        <v>18</v>
      </c>
      <c r="H29" s="88" t="n">
        <v>5171.0</v>
      </c>
      <c r="I29" s="88" t="n">
        <v>567.0</v>
      </c>
      <c r="J29" s="88" t="n">
        <v>405.0</v>
      </c>
      <c r="K29" s="78">
        <f t="shared" si="1"/>
        <v>6325</v>
      </c>
      <c r="W29" s="9"/>
    </row>
    <row r="30" spans="1:23" x14ac:dyDescent="0.45">
      <c r="A30">
        <v>19</v>
      </c>
      <c r="B30" s="78" t="n">
        <v>4128.3389</v>
      </c>
      <c r="C30" s="78" t="n">
        <v>156.7628</v>
      </c>
      <c r="D30" s="78" t="n">
        <v>0.0</v>
      </c>
      <c r="E30" s="78">
        <f t="shared" si="0"/>
        <v>4285.1017000000002</v>
      </c>
      <c r="G30">
        <v>19</v>
      </c>
      <c r="H30" s="88" t="n">
        <v>5362.0</v>
      </c>
      <c r="I30" s="88" t="n">
        <v>546.0</v>
      </c>
      <c r="J30" s="88" t="n">
        <v>344.0</v>
      </c>
      <c r="K30" s="78">
        <f t="shared" si="1"/>
        <v>5613</v>
      </c>
      <c r="W30" s="9"/>
    </row>
    <row r="31" spans="1:23" x14ac:dyDescent="0.45">
      <c r="A31">
        <v>20</v>
      </c>
      <c r="B31" s="78" t="n">
        <v>1265.7013</v>
      </c>
      <c r="C31" s="78" t="n">
        <v>910.0523000000001</v>
      </c>
      <c r="D31" s="78" t="n">
        <v>195.24859999999998</v>
      </c>
      <c r="E31" s="78">
        <f t="shared" si="0"/>
        <v>2371.0021999999999</v>
      </c>
      <c r="G31">
        <v>20</v>
      </c>
      <c r="H31" s="88" t="n">
        <v>4935.0</v>
      </c>
      <c r="I31" s="88" t="n">
        <v>460.0</v>
      </c>
      <c r="J31" s="88" t="n">
        <v>321.0</v>
      </c>
      <c r="K31" s="78">
        <f t="shared" si="1"/>
        <v>5530</v>
      </c>
      <c r="W31" s="9"/>
    </row>
    <row r="32" spans="1:23" x14ac:dyDescent="0.45">
      <c r="A32">
        <v>21</v>
      </c>
      <c r="B32" s="78" t="n">
        <v>3502.1714</v>
      </c>
      <c r="C32" s="78" t="n">
        <v>0.0</v>
      </c>
      <c r="D32" s="78" t="n">
        <v>0.0</v>
      </c>
      <c r="E32" s="78">
        <f t="shared" si="0"/>
        <v>3502.1714000000002</v>
      </c>
      <c r="G32">
        <v>21</v>
      </c>
      <c r="H32" s="88" t="n">
        <v>3882.0</v>
      </c>
      <c r="I32" s="88" t="n">
        <v>370.0</v>
      </c>
      <c r="J32" s="88" t="n">
        <v>280.0</v>
      </c>
      <c r="K32" s="78">
        <f t="shared" si="1"/>
        <v>5286</v>
      </c>
      <c r="W32" s="9"/>
    </row>
    <row r="33" spans="1:23" x14ac:dyDescent="0.45">
      <c r="A33">
        <v>22</v>
      </c>
      <c r="B33" s="78" t="n">
        <v>1410.8605</v>
      </c>
      <c r="C33" s="78" t="n">
        <v>575.608</v>
      </c>
      <c r="D33" s="78" t="n">
        <v>0.0</v>
      </c>
      <c r="E33" s="78">
        <f t="shared" si="0"/>
        <v>1986.4684999999999</v>
      </c>
      <c r="G33">
        <v>22</v>
      </c>
      <c r="H33" s="88" t="n">
        <v>3306.0</v>
      </c>
      <c r="I33" s="88" t="n">
        <v>313.0</v>
      </c>
      <c r="J33" s="88" t="n">
        <v>218.0</v>
      </c>
      <c r="K33" s="78">
        <f t="shared" si="1"/>
        <v>3910</v>
      </c>
      <c r="W33" s="9"/>
    </row>
    <row r="34" spans="1:23" x14ac:dyDescent="0.45">
      <c r="A34">
        <v>23</v>
      </c>
      <c r="B34" s="78" t="n">
        <v>1540.5993</v>
      </c>
      <c r="C34" s="78" t="n">
        <v>0.0</v>
      </c>
      <c r="D34" s="78" t="n">
        <v>0.0</v>
      </c>
      <c r="E34" s="78">
        <f t="shared" si="0"/>
        <v>1540.5993000000001</v>
      </c>
      <c r="G34">
        <v>23</v>
      </c>
      <c r="H34" s="88" t="n">
        <v>2660.0</v>
      </c>
      <c r="I34" s="88" t="n">
        <v>278.0</v>
      </c>
      <c r="J34" s="88" t="n">
        <v>180.0</v>
      </c>
      <c r="K34" s="78">
        <f t="shared" si="1"/>
        <v>3099</v>
      </c>
      <c r="W34" s="9"/>
    </row>
    <row r="35" spans="1:23" x14ac:dyDescent="0.45">
      <c r="A35">
        <v>24</v>
      </c>
      <c r="B35" s="78" t="n">
        <v>903.6698</v>
      </c>
      <c r="C35" s="78" t="n">
        <v>0.0</v>
      </c>
      <c r="D35" s="78" t="n">
        <v>0.0</v>
      </c>
      <c r="E35" s="78">
        <f t="shared" si="0"/>
        <v>903.66980000000001</v>
      </c>
      <c r="G35">
        <v>24</v>
      </c>
      <c r="H35" s="88" t="n">
        <v>2230.0</v>
      </c>
      <c r="I35" s="88" t="n">
        <v>196.0</v>
      </c>
      <c r="J35" s="88" t="n">
        <v>137.0</v>
      </c>
      <c r="K35" s="78">
        <f t="shared" si="1"/>
        <v>2587</v>
      </c>
      <c r="W35" s="9"/>
    </row>
    <row r="36" spans="1:23" x14ac:dyDescent="0.45">
      <c r="A36">
        <v>25</v>
      </c>
      <c r="B36" s="78" t="n">
        <v>618.4189</v>
      </c>
      <c r="C36" s="78" t="n">
        <v>542.3908</v>
      </c>
      <c r="D36" s="78" t="n">
        <v>0.0</v>
      </c>
      <c r="E36" s="78">
        <f t="shared" si="0"/>
        <v>1160.8097</v>
      </c>
      <c r="G36">
        <v>25</v>
      </c>
      <c r="H36" s="88" t="n">
        <v>1980.0</v>
      </c>
      <c r="I36" s="88" t="n">
        <v>189.0</v>
      </c>
      <c r="J36" s="88" t="n">
        <v>124.0</v>
      </c>
      <c r="K36" s="78">
        <f t="shared" si="1"/>
        <v>2414</v>
      </c>
      <c r="W36" s="9"/>
    </row>
    <row r="37" spans="1:23" x14ac:dyDescent="0.45">
      <c r="A37">
        <v>26</v>
      </c>
      <c r="B37" s="78" t="n">
        <v>344.25600000000003</v>
      </c>
      <c r="C37" s="78" t="n">
        <v>0.0</v>
      </c>
      <c r="D37" s="78" t="n">
        <v>109.3501</v>
      </c>
      <c r="E37" s="78">
        <f t="shared" si="0"/>
        <v>453.60610000000003</v>
      </c>
      <c r="G37">
        <v>26</v>
      </c>
      <c r="H37" s="88" t="n">
        <v>1923.0</v>
      </c>
      <c r="I37" s="88" t="n">
        <v>184.0</v>
      </c>
      <c r="J37" s="88" t="n">
        <v>108.0</v>
      </c>
      <c r="K37" s="78">
        <f t="shared" si="1"/>
        <v>2163</v>
      </c>
      <c r="W37" s="9"/>
    </row>
    <row r="38" spans="1:23" x14ac:dyDescent="0.45">
      <c r="A38">
        <v>27</v>
      </c>
      <c r="B38" s="78" t="n">
        <v>239.2617</v>
      </c>
      <c r="C38" s="78" t="n">
        <v>0.0</v>
      </c>
      <c r="D38" s="78" t="n">
        <v>0.0</v>
      </c>
      <c r="E38" s="78">
        <f t="shared" si="0"/>
        <v>239.26169999999999</v>
      </c>
      <c r="G38">
        <v>27</v>
      </c>
      <c r="H38" s="88" t="n">
        <v>1724.0</v>
      </c>
      <c r="I38" s="88" t="n">
        <v>187.0</v>
      </c>
      <c r="J38" s="88" t="n">
        <v>96.0</v>
      </c>
      <c r="K38" s="78">
        <f t="shared" si="1"/>
        <v>1974</v>
      </c>
      <c r="W38" s="9"/>
    </row>
    <row r="39" spans="1:23" x14ac:dyDescent="0.45">
      <c r="A39">
        <v>28</v>
      </c>
      <c r="B39" s="78" t="n">
        <v>1493.1774999999998</v>
      </c>
      <c r="C39" s="78" t="n">
        <v>0.0</v>
      </c>
      <c r="D39" s="78" t="n">
        <v>0.0</v>
      </c>
      <c r="E39" s="78">
        <f t="shared" si="0"/>
        <v>1493.1774999999998</v>
      </c>
      <c r="G39">
        <v>28</v>
      </c>
      <c r="H39" s="88" t="n">
        <v>1057.0</v>
      </c>
      <c r="I39" s="88" t="n">
        <v>103.0</v>
      </c>
      <c r="J39" s="88" t="n">
        <v>69.0</v>
      </c>
      <c r="K39" s="78">
        <f t="shared" si="1"/>
        <v>1251</v>
      </c>
      <c r="W39" s="9"/>
    </row>
    <row r="40" spans="1:23" x14ac:dyDescent="0.45">
      <c r="A40">
        <v>29</v>
      </c>
      <c r="B40" s="78" t="n">
        <v>0.0</v>
      </c>
      <c r="C40" s="78" t="n">
        <v>0.0</v>
      </c>
      <c r="D40" s="78" t="n">
        <v>0.0</v>
      </c>
      <c r="E40" s="78">
        <f t="shared" si="0"/>
        <v>0</v>
      </c>
      <c r="G40">
        <v>29</v>
      </c>
      <c r="H40" s="88" t="n">
        <v>949.0</v>
      </c>
      <c r="I40" s="88" t="n">
        <v>97.0</v>
      </c>
      <c r="J40" s="88" t="n">
        <v>71.0</v>
      </c>
      <c r="K40" s="78">
        <f t="shared" si="1"/>
        <v>1244</v>
      </c>
      <c r="W40" s="9"/>
    </row>
    <row r="41" spans="1:23" x14ac:dyDescent="0.45">
      <c r="A41">
        <v>30</v>
      </c>
      <c r="B41" s="78" t="n">
        <v>343.1413</v>
      </c>
      <c r="C41" s="78" t="n">
        <v>0.0</v>
      </c>
      <c r="D41" s="78" t="n">
        <v>0.0</v>
      </c>
      <c r="E41" s="78">
        <f t="shared" si="0"/>
        <v>343.1413</v>
      </c>
      <c r="G41">
        <v>30</v>
      </c>
      <c r="H41" s="88" t="n">
        <v>819.0</v>
      </c>
      <c r="I41" s="88" t="n">
        <v>94.0</v>
      </c>
      <c r="J41" s="88" t="n">
        <v>59.0</v>
      </c>
      <c r="K41" s="78">
        <f t="shared" si="1"/>
        <v>1010</v>
      </c>
      <c r="W41" s="9"/>
    </row>
    <row r="42" spans="1:23" x14ac:dyDescent="0.45">
      <c r="A42">
        <v>31</v>
      </c>
      <c r="B42" s="78" t="n">
        <v>0.0</v>
      </c>
      <c r="C42" s="78" t="n">
        <v>0.0</v>
      </c>
      <c r="D42" s="78" t="n">
        <v>0.0</v>
      </c>
      <c r="E42" s="78">
        <f t="shared" si="0"/>
        <v>0</v>
      </c>
      <c r="G42">
        <v>31</v>
      </c>
      <c r="H42" s="88" t="n">
        <v>788.0</v>
      </c>
      <c r="I42" s="88" t="n">
        <v>90.0</v>
      </c>
      <c r="J42" s="88" t="n">
        <v>42.0</v>
      </c>
      <c r="K42" s="78">
        <f t="shared" si="1"/>
        <v>934</v>
      </c>
      <c r="W42" s="9"/>
    </row>
    <row r="43" spans="1:23" x14ac:dyDescent="0.45">
      <c r="A43">
        <v>32</v>
      </c>
      <c r="B43" s="78" t="n">
        <v>0.0</v>
      </c>
      <c r="C43" s="78" t="n">
        <v>142.4146</v>
      </c>
      <c r="D43" s="78" t="n">
        <v>0.0</v>
      </c>
      <c r="E43" s="78">
        <f t="shared" si="0"/>
        <v>142.41460000000001</v>
      </c>
      <c r="G43">
        <v>32</v>
      </c>
      <c r="H43" s="88" t="n">
        <v>509.0</v>
      </c>
      <c r="I43" s="88" t="n">
        <v>55.0</v>
      </c>
      <c r="J43" s="88" t="n">
        <v>39.0</v>
      </c>
      <c r="K43" s="78">
        <f t="shared" si="1"/>
        <v>684</v>
      </c>
      <c r="W43" s="9"/>
    </row>
    <row r="44" spans="1:23" x14ac:dyDescent="0.45">
      <c r="A44">
        <v>33</v>
      </c>
      <c r="B44" s="78" t="n">
        <v>0.0</v>
      </c>
      <c r="C44" s="78" t="n">
        <v>0.0</v>
      </c>
      <c r="D44" s="78" t="n">
        <v>0.0</v>
      </c>
      <c r="E44" s="78">
        <f t="shared" si="0"/>
        <v>0</v>
      </c>
      <c r="G44">
        <v>33</v>
      </c>
      <c r="H44" s="88" t="n">
        <v>577.0</v>
      </c>
      <c r="I44" s="88" t="n">
        <v>71.0</v>
      </c>
      <c r="J44" s="88" t="n">
        <v>44.0</v>
      </c>
      <c r="K44" s="78">
        <f t="shared" si="1"/>
        <v>667</v>
      </c>
      <c r="W44" s="9"/>
    </row>
    <row r="45" spans="1:23" x14ac:dyDescent="0.45">
      <c r="A45">
        <v>34</v>
      </c>
      <c r="B45" s="78" t="n">
        <v>0.0</v>
      </c>
      <c r="C45" s="78" t="n">
        <v>0.0</v>
      </c>
      <c r="D45" s="78" t="n">
        <v>0.0</v>
      </c>
      <c r="E45" s="78">
        <f t="shared" si="0"/>
        <v>0</v>
      </c>
      <c r="G45">
        <v>34</v>
      </c>
      <c r="H45" s="88" t="n">
        <v>283.0</v>
      </c>
      <c r="I45" s="88" t="n">
        <v>37.0</v>
      </c>
      <c r="J45" s="88" t="n">
        <v>22.0</v>
      </c>
      <c r="K45" s="78">
        <f t="shared" si="1"/>
        <v>388</v>
      </c>
      <c r="W45" s="9"/>
    </row>
    <row r="46" spans="1:23" x14ac:dyDescent="0.45">
      <c r="A46">
        <v>35</v>
      </c>
      <c r="B46" s="78" t="n">
        <v>213.5855</v>
      </c>
      <c r="C46" s="78" t="n">
        <v>0.0</v>
      </c>
      <c r="D46" s="78" t="n">
        <v>0.0</v>
      </c>
      <c r="E46" s="78">
        <f t="shared" si="0"/>
        <v>213.5855</v>
      </c>
      <c r="G46">
        <v>35</v>
      </c>
      <c r="H46" s="88" t="n">
        <v>267.0</v>
      </c>
      <c r="I46" s="88" t="n">
        <v>30.0</v>
      </c>
      <c r="J46" s="88" t="n">
        <v>16.0</v>
      </c>
      <c r="K46" s="78">
        <f t="shared" si="1"/>
        <v>320</v>
      </c>
      <c r="W46" s="9"/>
    </row>
    <row r="47" spans="1:23" x14ac:dyDescent="0.45">
      <c r="A47">
        <v>36</v>
      </c>
      <c r="B47" s="78" t="n">
        <v>205.5457</v>
      </c>
      <c r="C47" s="78" t="n">
        <v>0.0</v>
      </c>
      <c r="D47" s="78" t="n">
        <v>0.0</v>
      </c>
      <c r="E47" s="78">
        <f t="shared" si="0"/>
        <v>205.54570000000001</v>
      </c>
      <c r="G47">
        <v>36</v>
      </c>
      <c r="H47" s="88" t="n">
        <v>354.0</v>
      </c>
      <c r="I47" s="88" t="n">
        <v>57.0</v>
      </c>
      <c r="J47" s="88" t="n">
        <v>22.0</v>
      </c>
      <c r="K47" s="78">
        <f t="shared" si="1"/>
        <v>432</v>
      </c>
      <c r="W47" s="9"/>
    </row>
    <row r="48" spans="1:23" x14ac:dyDescent="0.45">
      <c r="A48">
        <v>37</v>
      </c>
      <c r="B48" s="78" t="n">
        <v>334.1928</v>
      </c>
      <c r="C48" s="78" t="n">
        <v>0.0</v>
      </c>
      <c r="D48" s="78" t="n">
        <v>0.0</v>
      </c>
      <c r="E48" s="78">
        <f t="shared" si="0"/>
        <v>334.19279999999998</v>
      </c>
      <c r="G48">
        <v>37</v>
      </c>
      <c r="H48" s="88" t="n">
        <v>292.0</v>
      </c>
      <c r="I48" s="88" t="n">
        <v>33.0</v>
      </c>
      <c r="J48" s="88" t="n">
        <v>19.0</v>
      </c>
      <c r="K48" s="78">
        <f t="shared" si="1"/>
        <v>263</v>
      </c>
      <c r="W48" s="9"/>
    </row>
    <row r="49" spans="1:23" x14ac:dyDescent="0.45">
      <c r="A49">
        <v>38</v>
      </c>
      <c r="B49" s="78" t="n">
        <v>0.0</v>
      </c>
      <c r="C49" s="78" t="n">
        <v>0.0</v>
      </c>
      <c r="D49" s="78" t="n">
        <v>0.0</v>
      </c>
      <c r="E49" s="78">
        <f t="shared" si="0"/>
        <v>0</v>
      </c>
      <c r="G49">
        <v>38</v>
      </c>
      <c r="H49" s="88" t="n">
        <v>252.0</v>
      </c>
      <c r="I49" s="88" t="n">
        <v>23.0</v>
      </c>
      <c r="J49" s="88" t="n">
        <v>11.0</v>
      </c>
      <c r="K49" s="78">
        <f t="shared" si="1"/>
        <v>256</v>
      </c>
      <c r="W49" s="9"/>
    </row>
    <row r="50" spans="1:23" x14ac:dyDescent="0.45">
      <c r="A50">
        <v>39</v>
      </c>
      <c r="B50" s="78" t="n">
        <v>60.0602</v>
      </c>
      <c r="C50" s="78" t="n">
        <v>0.0</v>
      </c>
      <c r="D50" s="78" t="n">
        <v>0.0</v>
      </c>
      <c r="E50" s="78">
        <f t="shared" si="0"/>
        <v>60.060200000000002</v>
      </c>
      <c r="G50">
        <v>39</v>
      </c>
      <c r="H50" s="88" t="n">
        <v>181.0</v>
      </c>
      <c r="I50" s="88" t="n">
        <v>21.0</v>
      </c>
      <c r="J50" s="88" t="n">
        <v>8.0</v>
      </c>
      <c r="K50" s="78">
        <f t="shared" si="1"/>
        <v>290</v>
      </c>
      <c r="W50" s="9"/>
    </row>
    <row r="51" spans="1:23" x14ac:dyDescent="0.45">
      <c r="A51">
        <v>40</v>
      </c>
      <c r="B51" s="78" t="n">
        <v>453.8196</v>
      </c>
      <c r="C51" s="78" t="n">
        <v>0.0</v>
      </c>
      <c r="D51" s="78" t="n">
        <v>0.0</v>
      </c>
      <c r="E51" s="78">
        <f t="shared" si="0"/>
        <v>453.81959999999998</v>
      </c>
      <c r="G51">
        <v>40</v>
      </c>
      <c r="H51" s="88" t="n">
        <v>160.0</v>
      </c>
      <c r="I51" s="88" t="n">
        <v>23.0</v>
      </c>
      <c r="J51" s="88" t="n">
        <v>8.0</v>
      </c>
      <c r="K51" s="78">
        <f t="shared" si="1"/>
        <v>176</v>
      </c>
      <c r="W51" s="9"/>
    </row>
    <row r="52" spans="1:23" x14ac:dyDescent="0.45">
      <c r="A52">
        <v>41</v>
      </c>
      <c r="B52" s="78" t="n">
        <v>294.1416</v>
      </c>
      <c r="C52" s="78" t="n">
        <v>0.0</v>
      </c>
      <c r="D52" s="78" t="n">
        <v>0.0</v>
      </c>
      <c r="E52" s="78">
        <f t="shared" si="0"/>
        <v>294.14159999999998</v>
      </c>
      <c r="G52">
        <v>41</v>
      </c>
      <c r="H52" s="88" t="n">
        <v>131.0</v>
      </c>
      <c r="I52" s="88" t="n">
        <v>20.0</v>
      </c>
      <c r="J52" s="88" t="n">
        <v>7.0</v>
      </c>
      <c r="K52" s="78">
        <f t="shared" si="1"/>
        <v>166</v>
      </c>
      <c r="W52" s="9"/>
    </row>
    <row r="53" spans="1:23" x14ac:dyDescent="0.45">
      <c r="A53">
        <v>42</v>
      </c>
      <c r="B53" s="78" t="n">
        <v>0.0</v>
      </c>
      <c r="C53" s="78" t="n">
        <v>0.0</v>
      </c>
      <c r="D53" s="78" t="n">
        <v>0.0</v>
      </c>
      <c r="E53" s="78">
        <f t="shared" si="0"/>
        <v>0</v>
      </c>
      <c r="G53">
        <v>42</v>
      </c>
      <c r="H53" s="88" t="n">
        <v>112.0</v>
      </c>
      <c r="I53" s="88" t="n">
        <v>17.0</v>
      </c>
      <c r="J53" s="88" t="n">
        <v>8.0</v>
      </c>
      <c r="K53" s="78">
        <f t="shared" si="1"/>
        <v>183</v>
      </c>
      <c r="W53" s="9"/>
    </row>
    <row r="54" spans="1:23" x14ac:dyDescent="0.45">
      <c r="A54">
        <v>43</v>
      </c>
      <c r="B54" s="78" t="n">
        <v>0.0</v>
      </c>
      <c r="C54" s="78" t="n">
        <v>0.0</v>
      </c>
      <c r="D54" s="78" t="n">
        <v>0.0</v>
      </c>
      <c r="E54" s="78">
        <f t="shared" si="0"/>
        <v>0</v>
      </c>
      <c r="G54">
        <v>43</v>
      </c>
      <c r="H54" s="88" t="n">
        <v>106.0</v>
      </c>
      <c r="I54" s="88" t="n">
        <v>14.0</v>
      </c>
      <c r="J54" s="88" t="n">
        <v>10.0</v>
      </c>
      <c r="K54" s="78">
        <f t="shared" si="1"/>
        <v>126</v>
      </c>
      <c r="W54" s="9"/>
    </row>
    <row r="55" spans="1:23" x14ac:dyDescent="0.45">
      <c r="A55">
        <v>44</v>
      </c>
      <c r="B55" s="78" t="n">
        <v>0.0</v>
      </c>
      <c r="C55" s="78" t="n">
        <v>0.0</v>
      </c>
      <c r="D55" s="78" t="n">
        <v>0.0</v>
      </c>
      <c r="E55" s="78">
        <f t="shared" si="0"/>
        <v>0</v>
      </c>
      <c r="G55">
        <v>44</v>
      </c>
      <c r="H55" s="88" t="n">
        <v>104.0</v>
      </c>
      <c r="I55" s="88" t="n">
        <v>9.0</v>
      </c>
      <c r="J55" s="88" t="n">
        <v>5.0</v>
      </c>
      <c r="K55" s="78">
        <f t="shared" si="1"/>
        <v>166</v>
      </c>
      <c r="W55" s="9"/>
    </row>
    <row r="56" spans="1:23" x14ac:dyDescent="0.45">
      <c r="A56">
        <v>45</v>
      </c>
      <c r="B56" s="78" t="n">
        <v>0.0</v>
      </c>
      <c r="C56" s="78" t="n">
        <v>0.0</v>
      </c>
      <c r="D56" s="78" t="n">
        <v>0.0</v>
      </c>
      <c r="E56" s="78">
        <f t="shared" si="0"/>
        <v>0</v>
      </c>
      <c r="G56">
        <v>45</v>
      </c>
      <c r="H56" s="88" t="n">
        <v>137.0</v>
      </c>
      <c r="I56" s="88" t="n">
        <v>16.0</v>
      </c>
      <c r="J56" s="88" t="n">
        <v>7.0</v>
      </c>
      <c r="K56" s="78">
        <f t="shared" si="1"/>
        <v>126</v>
      </c>
      <c r="W56" s="9"/>
    </row>
    <row r="57" spans="1:23" x14ac:dyDescent="0.45">
      <c r="A57">
        <v>46</v>
      </c>
      <c r="B57" s="78" t="n">
        <v>0.0</v>
      </c>
      <c r="C57" s="78" t="n">
        <v>0.0</v>
      </c>
      <c r="D57" s="78" t="n">
        <v>0.0</v>
      </c>
      <c r="E57" s="78">
        <f t="shared" si="0"/>
        <v>0</v>
      </c>
      <c r="G57">
        <v>46</v>
      </c>
      <c r="H57" s="88" t="n">
        <v>80.0</v>
      </c>
      <c r="I57" s="88" t="n">
        <v>8.0</v>
      </c>
      <c r="J57" s="88" t="n">
        <v>4.0</v>
      </c>
      <c r="K57" s="78">
        <f t="shared" si="1"/>
        <v>114</v>
      </c>
      <c r="W57" s="9"/>
    </row>
    <row r="58" spans="1:23" x14ac:dyDescent="0.45">
      <c r="A58">
        <v>47</v>
      </c>
      <c r="B58" s="78" t="n">
        <v>0.0</v>
      </c>
      <c r="C58" s="78" t="n">
        <v>0.0</v>
      </c>
      <c r="D58" s="78" t="n">
        <v>0.0</v>
      </c>
      <c r="E58" s="78">
        <f t="shared" si="0"/>
        <v>0</v>
      </c>
      <c r="G58">
        <v>47</v>
      </c>
      <c r="H58" s="88" t="n">
        <v>114.0</v>
      </c>
      <c r="I58" s="88" t="n">
        <v>13.0</v>
      </c>
      <c r="J58" s="88" t="n">
        <v>6.0</v>
      </c>
      <c r="K58" s="78">
        <f t="shared" si="1"/>
        <v>122</v>
      </c>
      <c r="W58" s="9"/>
    </row>
    <row r="59" spans="1:23" x14ac:dyDescent="0.45">
      <c r="A59">
        <v>48</v>
      </c>
      <c r="B59" s="78" t="n">
        <v>0.0</v>
      </c>
      <c r="C59" s="78" t="n">
        <v>0.0</v>
      </c>
      <c r="D59" s="78" t="n">
        <v>0.0</v>
      </c>
      <c r="E59" s="78">
        <f t="shared" si="0"/>
        <v>0</v>
      </c>
      <c r="G59">
        <v>48</v>
      </c>
      <c r="H59" s="88" t="n">
        <v>62.0</v>
      </c>
      <c r="I59" s="88" t="n">
        <v>5.0</v>
      </c>
      <c r="J59" s="88" t="n">
        <v>4.0</v>
      </c>
      <c r="K59" s="78">
        <f t="shared" si="1"/>
        <v>85</v>
      </c>
      <c r="W59" s="9"/>
    </row>
    <row r="60" spans="1:23" x14ac:dyDescent="0.45">
      <c r="A60">
        <v>49</v>
      </c>
      <c r="B60" s="78" t="n">
        <v>0.0</v>
      </c>
      <c r="C60" s="78" t="n">
        <v>0.0</v>
      </c>
      <c r="D60" s="78" t="n">
        <v>0.0</v>
      </c>
      <c r="E60" s="78">
        <f t="shared" si="0"/>
        <v>0</v>
      </c>
      <c r="G60">
        <v>49</v>
      </c>
      <c r="H60" s="88" t="n">
        <v>42.0</v>
      </c>
      <c r="I60" s="88" t="n">
        <v>3.0</v>
      </c>
      <c r="J60" s="88" t="n">
        <v>1.0</v>
      </c>
      <c r="K60" s="78">
        <f t="shared" si="1"/>
        <v>68</v>
      </c>
      <c r="W60" s="9"/>
    </row>
    <row r="61" spans="1:23" x14ac:dyDescent="0.45">
      <c r="A61">
        <v>50</v>
      </c>
      <c r="B61" s="78" t="n">
        <v>0.0</v>
      </c>
      <c r="C61" s="78" t="n">
        <v>0.0</v>
      </c>
      <c r="D61" s="78" t="n">
        <v>0.0</v>
      </c>
      <c r="E61" s="78">
        <f t="shared" si="0"/>
        <v>0</v>
      </c>
      <c r="G61">
        <v>50</v>
      </c>
      <c r="H61" s="88" t="n">
        <v>42.0</v>
      </c>
      <c r="I61" s="88" t="n">
        <v>0.0</v>
      </c>
      <c r="J61" s="88" t="n">
        <v>2.0</v>
      </c>
      <c r="K61" s="78">
        <f t="shared" si="1"/>
        <v>37</v>
      </c>
      <c r="W61" s="9"/>
    </row>
    <row r="62" spans="1:23" x14ac:dyDescent="0.45">
      <c r="A62">
        <v>51</v>
      </c>
      <c r="B62" s="78" t="n">
        <v>0.0</v>
      </c>
      <c r="C62" s="78" t="n">
        <v>0.0</v>
      </c>
      <c r="D62" s="78" t="n">
        <v>0.0</v>
      </c>
      <c r="E62" s="78">
        <f t="shared" si="0"/>
        <v>0</v>
      </c>
      <c r="G62">
        <v>51</v>
      </c>
      <c r="H62" s="88" t="n">
        <v>56.0</v>
      </c>
      <c r="I62" s="88" t="n">
        <v>4.0</v>
      </c>
      <c r="J62" s="88" t="n">
        <v>3.0</v>
      </c>
      <c r="K62" s="78">
        <f t="shared" si="1"/>
        <v>30</v>
      </c>
      <c r="W62" s="9"/>
    </row>
    <row r="63" spans="1:23" x14ac:dyDescent="0.45">
      <c r="A63">
        <v>52</v>
      </c>
      <c r="B63" s="78" t="n">
        <v>0.0</v>
      </c>
      <c r="C63" s="78" t="n">
        <v>0.0</v>
      </c>
      <c r="D63" s="78" t="n">
        <v>0.0</v>
      </c>
      <c r="E63" s="78">
        <f t="shared" si="0"/>
        <v>0</v>
      </c>
      <c r="G63">
        <v>52</v>
      </c>
      <c r="H63" s="88" t="n">
        <v>35.0</v>
      </c>
      <c r="I63" s="88" t="n">
        <v>2.0</v>
      </c>
      <c r="J63" s="88" t="n">
        <v>1.0</v>
      </c>
      <c r="K63" s="78">
        <f t="shared" si="1"/>
        <v>43</v>
      </c>
      <c r="W63" s="9"/>
    </row>
    <row r="64" spans="1:23" x14ac:dyDescent="0.45">
      <c r="A64">
        <v>53</v>
      </c>
      <c r="B64" s="78" t="n">
        <v>0.0</v>
      </c>
      <c r="C64" s="78" t="n">
        <v>0.0</v>
      </c>
      <c r="D64" s="78" t="n">
        <v>0.0</v>
      </c>
      <c r="E64" s="78">
        <f t="shared" si="0"/>
        <v>0</v>
      </c>
      <c r="G64">
        <v>53</v>
      </c>
      <c r="H64" s="88" t="n">
        <v>23.0</v>
      </c>
      <c r="I64" s="88" t="n">
        <v>0.0</v>
      </c>
      <c r="J64" s="88" t="n">
        <v>1.0</v>
      </c>
      <c r="K64" s="78">
        <f t="shared" si="1"/>
        <v>35</v>
      </c>
      <c r="W64" s="9"/>
    </row>
    <row r="65" spans="1:23" x14ac:dyDescent="0.45">
      <c r="A65">
        <v>54</v>
      </c>
      <c r="B65" s="78" t="n">
        <v>0.0</v>
      </c>
      <c r="C65" s="78" t="n">
        <v>0.0</v>
      </c>
      <c r="D65" s="78" t="n">
        <v>0.0</v>
      </c>
      <c r="E65" s="78">
        <f t="shared" si="0"/>
        <v>0</v>
      </c>
      <c r="G65">
        <v>54</v>
      </c>
      <c r="H65" s="88" t="n">
        <v>31.0</v>
      </c>
      <c r="I65" s="88" t="n">
        <v>3.0</v>
      </c>
      <c r="J65" s="88" t="n">
        <v>3.0</v>
      </c>
      <c r="K65" s="78">
        <f t="shared" si="1"/>
        <v>22</v>
      </c>
      <c r="W65" s="9"/>
    </row>
    <row r="66" spans="1:23" x14ac:dyDescent="0.45">
      <c r="A66">
        <v>55</v>
      </c>
      <c r="B66" s="78" t="n">
        <v>0.0</v>
      </c>
      <c r="C66" s="78" t="n">
        <v>0.0</v>
      </c>
      <c r="D66" s="78" t="n">
        <v>0.0</v>
      </c>
      <c r="E66" s="78">
        <f t="shared" si="0"/>
        <v>0</v>
      </c>
      <c r="G66">
        <v>55</v>
      </c>
      <c r="H66" s="88" t="n">
        <v>35.0</v>
      </c>
      <c r="I66" s="88" t="n">
        <v>1.0</v>
      </c>
      <c r="J66" s="88" t="n">
        <v>0.0</v>
      </c>
      <c r="K66" s="78">
        <f t="shared" si="1"/>
        <v>25</v>
      </c>
      <c r="W66" s="9"/>
    </row>
    <row r="67" spans="1:23" x14ac:dyDescent="0.45">
      <c r="A67">
        <v>56</v>
      </c>
      <c r="B67" s="78" t="n">
        <v>0.0</v>
      </c>
      <c r="C67" s="78" t="n">
        <v>0.0</v>
      </c>
      <c r="D67" s="78" t="n">
        <v>0.0</v>
      </c>
      <c r="E67" s="78">
        <f t="shared" si="0"/>
        <v>0</v>
      </c>
      <c r="G67">
        <v>56</v>
      </c>
      <c r="H67" s="88" t="n">
        <v>22.0</v>
      </c>
      <c r="I67" s="88" t="n">
        <v>3.0</v>
      </c>
      <c r="J67" s="88" t="n">
        <v>2.0</v>
      </c>
      <c r="K67" s="78">
        <f t="shared" si="1"/>
        <v>22</v>
      </c>
      <c r="W67" s="9"/>
    </row>
    <row r="68" spans="1:23" x14ac:dyDescent="0.45">
      <c r="A68">
        <v>57</v>
      </c>
      <c r="B68" s="78" t="n">
        <v>0.0</v>
      </c>
      <c r="C68" s="78" t="n">
        <v>0.0</v>
      </c>
      <c r="D68" s="78" t="n">
        <v>0.0</v>
      </c>
      <c r="E68" s="78">
        <f t="shared" si="0"/>
        <v>0</v>
      </c>
      <c r="G68">
        <v>57</v>
      </c>
      <c r="H68" s="88" t="n">
        <v>42.0</v>
      </c>
      <c r="I68" s="88" t="n">
        <v>7.0</v>
      </c>
      <c r="J68" s="88" t="n">
        <v>2.0</v>
      </c>
      <c r="K68" s="78">
        <f t="shared" si="1"/>
        <v>43</v>
      </c>
      <c r="W68" s="9"/>
    </row>
    <row r="69" spans="1:23" x14ac:dyDescent="0.45">
      <c r="A69">
        <v>58</v>
      </c>
      <c r="B69" s="78" t="n">
        <v>0.0</v>
      </c>
      <c r="C69" s="78" t="n">
        <v>0.0</v>
      </c>
      <c r="D69" s="78" t="n">
        <v>0.0</v>
      </c>
      <c r="E69" s="78">
        <f t="shared" si="0"/>
        <v>0</v>
      </c>
      <c r="G69">
        <v>58</v>
      </c>
      <c r="H69" s="88" t="n">
        <v>22.0</v>
      </c>
      <c r="I69" s="88" t="n">
        <v>0.0</v>
      </c>
      <c r="J69" s="88" t="n">
        <v>1.0</v>
      </c>
      <c r="K69" s="78">
        <f t="shared" si="1"/>
        <v>43</v>
      </c>
      <c r="W69" s="9"/>
    </row>
    <row r="70" spans="1:23" x14ac:dyDescent="0.45">
      <c r="A70">
        <v>59</v>
      </c>
      <c r="B70" s="78" t="n">
        <v>0.0</v>
      </c>
      <c r="C70" s="78" t="n">
        <v>0.0</v>
      </c>
      <c r="D70" s="78" t="n">
        <v>0.0</v>
      </c>
      <c r="E70" s="78">
        <f t="shared" si="0"/>
        <v>0</v>
      </c>
      <c r="G70">
        <v>59</v>
      </c>
      <c r="H70" s="88" t="n">
        <v>16.0</v>
      </c>
      <c r="I70" s="88" t="n">
        <v>1.0</v>
      </c>
      <c r="J70" s="88" t="n">
        <v>1.0</v>
      </c>
      <c r="K70" s="78">
        <f t="shared" si="1"/>
        <v>8</v>
      </c>
      <c r="W70" s="9"/>
    </row>
    <row r="71" spans="1:23" x14ac:dyDescent="0.45">
      <c r="A71">
        <v>60</v>
      </c>
      <c r="B71" s="78" t="n">
        <v>0.0</v>
      </c>
      <c r="C71" s="78" t="n">
        <v>0.0</v>
      </c>
      <c r="D71" s="78" t="n">
        <v>0.0</v>
      </c>
      <c r="E71" s="78">
        <f t="shared" si="0"/>
        <v>0</v>
      </c>
      <c r="G71">
        <v>60</v>
      </c>
      <c r="H71" s="88" t="n">
        <v>13.0</v>
      </c>
      <c r="I71" s="88" t="n">
        <v>1.0</v>
      </c>
      <c r="J71" s="88" t="n">
        <v>0.0</v>
      </c>
      <c r="K71" s="78">
        <f t="shared" si="1"/>
        <v>11</v>
      </c>
      <c r="W71" s="9"/>
    </row>
    <row r="72" spans="1:23" x14ac:dyDescent="0.45">
      <c r="A72">
        <v>61</v>
      </c>
      <c r="B72" s="78" t="n">
        <v>0.0</v>
      </c>
      <c r="C72" s="78" t="n">
        <v>0.0</v>
      </c>
      <c r="D72" s="78" t="n">
        <v>0.0</v>
      </c>
      <c r="E72" s="78">
        <f t="shared" si="0"/>
        <v>0</v>
      </c>
      <c r="G72">
        <v>61</v>
      </c>
      <c r="H72" s="88" t="n">
        <v>14.0</v>
      </c>
      <c r="I72" s="88" t="n">
        <v>2.0</v>
      </c>
      <c r="J72" s="88" t="n">
        <v>2.0</v>
      </c>
      <c r="K72" s="78">
        <f t="shared" si="1"/>
        <v>18</v>
      </c>
      <c r="W72" s="9"/>
    </row>
    <row r="73" spans="1:23" x14ac:dyDescent="0.45">
      <c r="A73">
        <v>62</v>
      </c>
      <c r="B73" s="78" t="n">
        <v>0.0</v>
      </c>
      <c r="C73" s="78" t="n">
        <v>0.0</v>
      </c>
      <c r="D73" s="78" t="n">
        <v>0.0</v>
      </c>
      <c r="E73" s="78">
        <f t="shared" si="0"/>
        <v>0</v>
      </c>
      <c r="G73">
        <v>62</v>
      </c>
      <c r="H73" s="88" t="n">
        <v>9.0</v>
      </c>
      <c r="I73" s="88" t="n">
        <v>1.0</v>
      </c>
      <c r="J73" s="88" t="n">
        <v>1.0</v>
      </c>
      <c r="K73" s="78">
        <f t="shared" si="1"/>
        <v>5</v>
      </c>
      <c r="W73" s="9"/>
    </row>
    <row r="74" spans="1:23" x14ac:dyDescent="0.45">
      <c r="A74">
        <v>63</v>
      </c>
      <c r="B74" s="78" t="n">
        <v>0.0</v>
      </c>
      <c r="C74" s="78" t="n">
        <v>0.0</v>
      </c>
      <c r="D74" s="78" t="n">
        <v>0.0</v>
      </c>
      <c r="E74" s="78">
        <f t="shared" si="0"/>
        <v>0</v>
      </c>
      <c r="G74">
        <v>63</v>
      </c>
      <c r="H74" s="88" t="n">
        <v>4.0</v>
      </c>
      <c r="I74" s="88" t="n">
        <v>1.0</v>
      </c>
      <c r="J74" s="88" t="n">
        <v>0.0</v>
      </c>
      <c r="K74" s="78">
        <f t="shared" si="1"/>
        <v>0</v>
      </c>
      <c r="W74" s="9"/>
    </row>
    <row r="75" spans="1:23" x14ac:dyDescent="0.45">
      <c r="A75">
        <v>64</v>
      </c>
      <c r="B75" s="78" t="n">
        <v>0.0</v>
      </c>
      <c r="C75" s="78" t="n">
        <v>0.0</v>
      </c>
      <c r="D75" s="78" t="n">
        <v>0.0</v>
      </c>
      <c r="E75" s="78">
        <f t="shared" si="0"/>
        <v>0</v>
      </c>
      <c r="G75">
        <v>64</v>
      </c>
      <c r="H75" s="88" t="n">
        <v>1.0</v>
      </c>
      <c r="I75" s="88" t="n">
        <v>1.0</v>
      </c>
      <c r="J75" s="88" t="n">
        <v>0.0</v>
      </c>
      <c r="K75" s="78">
        <f t="shared" si="1"/>
        <v>4</v>
      </c>
      <c r="W75" s="9"/>
    </row>
    <row r="76" spans="1:23" x14ac:dyDescent="0.45">
      <c r="A76">
        <v>65</v>
      </c>
      <c r="B76" s="78" t="n">
        <v>0.0</v>
      </c>
      <c r="C76" s="78" t="n">
        <v>0.0</v>
      </c>
      <c r="D76" s="78" t="n">
        <v>0.0</v>
      </c>
      <c r="E76" s="78">
        <f t="shared" ref="E76:E100" si="2">SUM(B76:D76)</f>
        <v>0</v>
      </c>
      <c r="G76">
        <v>65</v>
      </c>
      <c r="H76" s="88" t="n">
        <v>3.0</v>
      </c>
      <c r="I76" s="88" t="n">
        <v>2.0</v>
      </c>
      <c r="J76" s="88" t="n">
        <v>0.0</v>
      </c>
      <c r="K76" s="78">
        <f t="shared" ref="K76:K101" si="3">SUM(H76:J76)</f>
        <v>2</v>
      </c>
      <c r="W76" s="9"/>
    </row>
    <row r="77" spans="1:23" x14ac:dyDescent="0.45">
      <c r="A77">
        <v>66</v>
      </c>
      <c r="B77" s="78" t="n">
        <v>0.0</v>
      </c>
      <c r="C77" s="78" t="n">
        <v>0.0</v>
      </c>
      <c r="D77" s="78" t="n">
        <v>0.0</v>
      </c>
      <c r="E77" s="78">
        <f t="shared" si="2"/>
        <v>0</v>
      </c>
      <c r="G77">
        <v>66</v>
      </c>
      <c r="H77" s="88" t="n">
        <v>0.0</v>
      </c>
      <c r="I77" s="88" t="n">
        <v>0.0</v>
      </c>
      <c r="J77" s="88" t="n">
        <v>0.0</v>
      </c>
      <c r="K77" s="78">
        <f t="shared" si="3"/>
        <v>2</v>
      </c>
      <c r="W77" s="9"/>
    </row>
    <row r="78" spans="1:23" x14ac:dyDescent="0.45">
      <c r="A78">
        <v>67</v>
      </c>
      <c r="B78" s="78" t="n">
        <v>0.0</v>
      </c>
      <c r="C78" s="78" t="n">
        <v>0.0</v>
      </c>
      <c r="D78" s="78" t="n">
        <v>0.0</v>
      </c>
      <c r="E78" s="78">
        <f t="shared" si="2"/>
        <v>0</v>
      </c>
      <c r="G78">
        <v>67</v>
      </c>
      <c r="H78" s="88" t="n">
        <v>3.0</v>
      </c>
      <c r="I78" s="88" t="n">
        <v>0.0</v>
      </c>
      <c r="J78" s="88" t="n">
        <v>0.0</v>
      </c>
      <c r="K78" s="78">
        <f t="shared" si="3"/>
        <v>1</v>
      </c>
      <c r="W78" s="9"/>
    </row>
    <row r="79" spans="1:23" x14ac:dyDescent="0.45">
      <c r="A79">
        <v>68</v>
      </c>
      <c r="B79" s="78" t="n">
        <v>0.0</v>
      </c>
      <c r="C79" s="78" t="n">
        <v>0.0</v>
      </c>
      <c r="D79" s="78" t="n">
        <v>0.0</v>
      </c>
      <c r="E79" s="78">
        <f t="shared" si="2"/>
        <v>0</v>
      </c>
      <c r="G79">
        <v>68</v>
      </c>
      <c r="H79" s="88" t="n">
        <v>2.0</v>
      </c>
      <c r="I79" s="88" t="n">
        <v>0.0</v>
      </c>
      <c r="J79" s="88" t="n">
        <v>0.0</v>
      </c>
      <c r="K79" s="78">
        <f t="shared" si="3"/>
        <v>5</v>
      </c>
      <c r="W79" s="9"/>
    </row>
    <row r="80" spans="1:23" x14ac:dyDescent="0.45">
      <c r="A80">
        <v>69</v>
      </c>
      <c r="B80" s="78" t="n">
        <v>0.0</v>
      </c>
      <c r="C80" s="78" t="n">
        <v>0.0</v>
      </c>
      <c r="D80" s="78" t="n">
        <v>0.0</v>
      </c>
      <c r="E80" s="78">
        <f t="shared" si="2"/>
        <v>0</v>
      </c>
      <c r="G80">
        <v>69</v>
      </c>
      <c r="H80" s="88" t="n">
        <v>2.0</v>
      </c>
      <c r="I80" s="88" t="n">
        <v>0.0</v>
      </c>
      <c r="J80" s="88" t="n">
        <v>0.0</v>
      </c>
      <c r="K80" s="78">
        <f t="shared" si="3"/>
        <v>0</v>
      </c>
      <c r="W80" s="9"/>
    </row>
    <row r="81" spans="1:23" x14ac:dyDescent="0.45">
      <c r="A81">
        <v>70</v>
      </c>
      <c r="B81" s="78" t="n">
        <v>0.0</v>
      </c>
      <c r="C81" s="78" t="n">
        <v>0.0</v>
      </c>
      <c r="D81" s="78" t="n">
        <v>0.0</v>
      </c>
      <c r="E81" s="78">
        <f t="shared" si="2"/>
        <v>0</v>
      </c>
      <c r="G81">
        <v>70</v>
      </c>
      <c r="H81" s="88" t="n">
        <v>0.0</v>
      </c>
      <c r="I81" s="88" t="n">
        <v>1.0</v>
      </c>
      <c r="J81" s="88" t="n">
        <v>0.0</v>
      </c>
      <c r="K81" s="78">
        <f t="shared" si="3"/>
        <v>0</v>
      </c>
      <c r="W81" s="9"/>
    </row>
    <row r="82" spans="1:23" x14ac:dyDescent="0.45">
      <c r="A82">
        <v>71</v>
      </c>
      <c r="B82" s="78" t="n">
        <v>0.0</v>
      </c>
      <c r="C82" s="78" t="n">
        <v>0.0</v>
      </c>
      <c r="D82" s="78" t="n">
        <v>0.0</v>
      </c>
      <c r="E82" s="78">
        <f t="shared" si="2"/>
        <v>0</v>
      </c>
      <c r="G82">
        <v>71</v>
      </c>
      <c r="H82" s="88" t="n">
        <v>0.0</v>
      </c>
      <c r="I82" s="88" t="n">
        <v>0.0</v>
      </c>
      <c r="J82" s="88" t="n">
        <v>0.0</v>
      </c>
      <c r="K82" s="78">
        <f t="shared" si="3"/>
        <v>0</v>
      </c>
      <c r="W82" s="9"/>
    </row>
    <row r="83" spans="1:23" x14ac:dyDescent="0.45">
      <c r="A83">
        <v>72</v>
      </c>
      <c r="B83" s="78" t="n">
        <v>0.0</v>
      </c>
      <c r="C83" s="78" t="n">
        <v>0.0</v>
      </c>
      <c r="D83" s="78" t="n">
        <v>0.0</v>
      </c>
      <c r="E83" s="78">
        <f t="shared" si="2"/>
        <v>0</v>
      </c>
      <c r="G83">
        <v>72</v>
      </c>
      <c r="H83" s="88" t="n">
        <v>0.0</v>
      </c>
      <c r="I83" s="88" t="n">
        <v>0.0</v>
      </c>
      <c r="J83" s="88" t="n">
        <v>0.0</v>
      </c>
      <c r="K83" s="78">
        <f t="shared" si="3"/>
        <v>0</v>
      </c>
      <c r="W83" s="9"/>
    </row>
    <row r="84" spans="1:23" x14ac:dyDescent="0.45">
      <c r="A84">
        <v>73</v>
      </c>
      <c r="B84" s="78" t="n">
        <v>0.0</v>
      </c>
      <c r="C84" s="78" t="n">
        <v>0.0</v>
      </c>
      <c r="D84" s="78" t="n">
        <v>0.0</v>
      </c>
      <c r="E84" s="78">
        <f t="shared" si="2"/>
        <v>0</v>
      </c>
      <c r="G84">
        <v>73</v>
      </c>
      <c r="H84" s="88" t="n">
        <v>0.0</v>
      </c>
      <c r="I84" s="78" t="n">
        <v>0.0</v>
      </c>
      <c r="J84" s="88" t="n">
        <v>0.0</v>
      </c>
      <c r="K84" s="78">
        <f t="shared" si="3"/>
        <v>0</v>
      </c>
      <c r="W84" s="9"/>
    </row>
    <row r="85" spans="1:23" x14ac:dyDescent="0.45">
      <c r="A85">
        <v>74</v>
      </c>
      <c r="B85" s="78" t="n">
        <v>0.0</v>
      </c>
      <c r="C85" s="78" t="n">
        <v>0.0</v>
      </c>
      <c r="D85" s="78" t="n">
        <v>0.0</v>
      </c>
      <c r="E85" s="78">
        <f t="shared" si="2"/>
        <v>0</v>
      </c>
      <c r="G85">
        <v>74</v>
      </c>
      <c r="H85" s="88" t="n">
        <v>0.0</v>
      </c>
      <c r="I85" s="88" t="n">
        <v>0.0</v>
      </c>
      <c r="J85" s="88" t="n">
        <v>0.0</v>
      </c>
      <c r="K85" s="78">
        <f t="shared" si="3"/>
        <v>0</v>
      </c>
      <c r="W85" s="9"/>
    </row>
    <row r="86" spans="1:23" x14ac:dyDescent="0.45">
      <c r="A86">
        <v>75</v>
      </c>
      <c r="B86" s="78" t="n">
        <v>0.0</v>
      </c>
      <c r="C86" s="78" t="n">
        <v>0.0</v>
      </c>
      <c r="D86" s="78" t="n">
        <v>0.0</v>
      </c>
      <c r="E86" s="78">
        <f t="shared" si="2"/>
        <v>0</v>
      </c>
      <c r="G86">
        <v>75</v>
      </c>
      <c r="H86" s="88" t="n">
        <v>0.0</v>
      </c>
      <c r="I86" s="78" t="n">
        <v>0.0</v>
      </c>
      <c r="J86" s="88" t="n">
        <v>0.0</v>
      </c>
      <c r="K86" s="78">
        <f t="shared" si="3"/>
        <v>0</v>
      </c>
      <c r="W86" s="9"/>
    </row>
    <row r="87" spans="1:23" x14ac:dyDescent="0.45">
      <c r="A87">
        <v>76</v>
      </c>
      <c r="B87" s="78" t="n">
        <v>0.0</v>
      </c>
      <c r="C87" s="78" t="n">
        <v>0.0</v>
      </c>
      <c r="D87" s="78" t="n">
        <v>0.0</v>
      </c>
      <c r="E87" s="78">
        <f t="shared" si="2"/>
        <v>0</v>
      </c>
      <c r="G87">
        <v>76</v>
      </c>
      <c r="H87" s="88" t="n">
        <v>0.0</v>
      </c>
      <c r="I87" s="78" t="n">
        <v>0.0</v>
      </c>
      <c r="J87" s="88" t="n">
        <v>0.0</v>
      </c>
      <c r="K87" s="78">
        <f t="shared" si="3"/>
        <v>0</v>
      </c>
      <c r="W87" s="9"/>
    </row>
    <row r="88" spans="1:23" x14ac:dyDescent="0.45">
      <c r="A88">
        <v>77</v>
      </c>
      <c r="B88" s="78" t="n">
        <v>0.0</v>
      </c>
      <c r="C88" s="78" t="n">
        <v>0.0</v>
      </c>
      <c r="D88" s="78" t="n">
        <v>0.0</v>
      </c>
      <c r="E88" s="78">
        <f t="shared" si="2"/>
        <v>0</v>
      </c>
      <c r="G88">
        <v>77</v>
      </c>
      <c r="H88" s="88" t="n">
        <v>0.0</v>
      </c>
      <c r="I88" s="78" t="n">
        <v>0.0</v>
      </c>
      <c r="J88" s="78" t="n">
        <v>0.0</v>
      </c>
      <c r="K88" s="78">
        <f t="shared" si="3"/>
        <v>0</v>
      </c>
      <c r="W88" s="9"/>
    </row>
    <row r="89" spans="1:23" x14ac:dyDescent="0.45">
      <c r="A89">
        <v>78</v>
      </c>
      <c r="B89" s="78" t="n">
        <v>0.0</v>
      </c>
      <c r="C89" s="78" t="n">
        <v>0.0</v>
      </c>
      <c r="D89" s="78" t="n">
        <v>0.0</v>
      </c>
      <c r="E89" s="78">
        <f t="shared" si="2"/>
        <v>0</v>
      </c>
      <c r="G89">
        <v>78</v>
      </c>
      <c r="H89" s="88" t="n">
        <v>0.0</v>
      </c>
      <c r="I89" s="78" t="n">
        <v>0.0</v>
      </c>
      <c r="J89" s="78" t="n">
        <v>0.0</v>
      </c>
      <c r="K89" s="78">
        <f t="shared" si="3"/>
        <v>0</v>
      </c>
      <c r="W89" s="9"/>
    </row>
    <row r="90" spans="1:23" x14ac:dyDescent="0.45">
      <c r="A90">
        <v>79</v>
      </c>
      <c r="B90" s="78" t="n">
        <v>0.0</v>
      </c>
      <c r="C90" s="78" t="n">
        <v>0.0</v>
      </c>
      <c r="D90" s="78" t="n">
        <v>0.0</v>
      </c>
      <c r="E90" s="78">
        <f t="shared" si="2"/>
        <v>0</v>
      </c>
      <c r="G90">
        <v>79</v>
      </c>
      <c r="H90" s="88" t="n">
        <v>0.0</v>
      </c>
      <c r="I90" s="78" t="n">
        <v>0.0</v>
      </c>
      <c r="J90" s="78" t="n">
        <v>0.0</v>
      </c>
      <c r="K90" s="78">
        <f t="shared" si="3"/>
        <v>0</v>
      </c>
      <c r="W90" s="9"/>
    </row>
    <row r="91" spans="1:23" x14ac:dyDescent="0.45">
      <c r="A91">
        <v>80</v>
      </c>
      <c r="B91" s="78" t="n">
        <v>0.0</v>
      </c>
      <c r="C91" s="78" t="n">
        <v>0.0</v>
      </c>
      <c r="D91" s="78" t="n">
        <v>0.0</v>
      </c>
      <c r="E91" s="78">
        <f t="shared" si="2"/>
        <v>0</v>
      </c>
      <c r="G91">
        <v>80</v>
      </c>
      <c r="H91" s="88" t="n">
        <v>0.0</v>
      </c>
      <c r="I91" s="78" t="n">
        <v>0.0</v>
      </c>
      <c r="J91" s="78" t="n">
        <v>0.0</v>
      </c>
      <c r="K91" s="78">
        <f t="shared" si="3"/>
        <v>0</v>
      </c>
      <c r="W91" s="9"/>
    </row>
    <row r="92" spans="1:23" x14ac:dyDescent="0.45">
      <c r="A92">
        <v>81</v>
      </c>
      <c r="B92" s="78" t="n">
        <v>0.0</v>
      </c>
      <c r="C92" s="78" t="n">
        <v>0.0</v>
      </c>
      <c r="D92" s="78" t="n">
        <v>0.0</v>
      </c>
      <c r="E92" s="78">
        <f t="shared" si="2"/>
        <v>0</v>
      </c>
      <c r="G92">
        <v>81</v>
      </c>
      <c r="H92" s="88" t="n">
        <v>0.0</v>
      </c>
      <c r="I92" s="78" t="n">
        <v>0.0</v>
      </c>
      <c r="J92" s="78" t="n">
        <v>0.0</v>
      </c>
      <c r="K92" s="78">
        <f t="shared" si="3"/>
        <v>0</v>
      </c>
      <c r="W92" s="9"/>
    </row>
    <row r="93" spans="1:23" x14ac:dyDescent="0.45">
      <c r="A93">
        <v>82</v>
      </c>
      <c r="B93" s="78" t="n">
        <v>0.0</v>
      </c>
      <c r="C93" s="78" t="n">
        <v>0.0</v>
      </c>
      <c r="D93" s="78" t="n">
        <v>0.0</v>
      </c>
      <c r="E93" s="78">
        <f t="shared" si="2"/>
        <v>0</v>
      </c>
      <c r="G93">
        <v>82</v>
      </c>
      <c r="H93" s="88" t="n">
        <v>0.0</v>
      </c>
      <c r="I93" s="78" t="n">
        <v>0.0</v>
      </c>
      <c r="J93" s="78" t="n">
        <v>0.0</v>
      </c>
      <c r="K93" s="78">
        <f t="shared" si="3"/>
        <v>0</v>
      </c>
      <c r="W93" s="9"/>
    </row>
    <row r="94" spans="1:23" x14ac:dyDescent="0.45">
      <c r="A94">
        <v>83</v>
      </c>
      <c r="B94" s="78" t="n">
        <v>0.0</v>
      </c>
      <c r="C94" s="78" t="n">
        <v>0.0</v>
      </c>
      <c r="D94" s="78" t="n">
        <v>0.0</v>
      </c>
      <c r="E94" s="78">
        <f t="shared" si="2"/>
        <v>0</v>
      </c>
      <c r="G94">
        <v>83</v>
      </c>
      <c r="H94" s="88" t="n">
        <v>0.0</v>
      </c>
      <c r="I94" s="78" t="n">
        <v>0.0</v>
      </c>
      <c r="J94" s="78" t="n">
        <v>0.0</v>
      </c>
      <c r="K94" s="78">
        <f t="shared" si="3"/>
        <v>0</v>
      </c>
      <c r="W94" s="9"/>
    </row>
    <row r="95" spans="1:23" x14ac:dyDescent="0.45">
      <c r="A95">
        <v>84</v>
      </c>
      <c r="B95" s="78" t="n">
        <v>0.0</v>
      </c>
      <c r="C95" s="78" t="n">
        <v>0.0</v>
      </c>
      <c r="D95" s="78" t="n">
        <v>0.0</v>
      </c>
      <c r="E95" s="78">
        <f t="shared" si="2"/>
        <v>0</v>
      </c>
      <c r="G95">
        <v>84</v>
      </c>
      <c r="H95" s="88" t="n">
        <v>0.0</v>
      </c>
      <c r="I95" s="78" t="n">
        <v>0.0</v>
      </c>
      <c r="J95" s="78" t="n">
        <v>0.0</v>
      </c>
      <c r="K95" s="78">
        <f t="shared" si="3"/>
        <v>0</v>
      </c>
      <c r="W95" s="9"/>
    </row>
    <row r="96" spans="1:23" x14ac:dyDescent="0.45">
      <c r="A96">
        <v>85</v>
      </c>
      <c r="B96" s="78" t="n">
        <v>0.0</v>
      </c>
      <c r="C96" s="78" t="n">
        <v>0.0</v>
      </c>
      <c r="D96" s="78" t="n">
        <v>0.0</v>
      </c>
      <c r="E96" s="78">
        <f t="shared" si="2"/>
        <v>0</v>
      </c>
      <c r="G96">
        <v>85</v>
      </c>
      <c r="H96" s="88" t="n">
        <v>0.0</v>
      </c>
      <c r="I96" s="78" t="n">
        <v>0.0</v>
      </c>
      <c r="J96" s="78" t="n">
        <v>0.0</v>
      </c>
      <c r="K96" s="78">
        <f t="shared" si="3"/>
        <v>0</v>
      </c>
      <c r="W96" s="9"/>
    </row>
    <row r="97" spans="1:23" x14ac:dyDescent="0.45">
      <c r="A97">
        <v>86</v>
      </c>
      <c r="B97" s="78" t="n">
        <v>0.0</v>
      </c>
      <c r="C97" s="78" t="n">
        <v>0.0</v>
      </c>
      <c r="D97" s="78" t="n">
        <v>0.0</v>
      </c>
      <c r="E97" s="78">
        <f t="shared" si="2"/>
        <v>0</v>
      </c>
      <c r="G97">
        <v>86</v>
      </c>
      <c r="H97" s="88" t="n">
        <v>0.0</v>
      </c>
      <c r="I97" s="78" t="n">
        <v>0.0</v>
      </c>
      <c r="J97" s="78" t="n">
        <v>0.0</v>
      </c>
      <c r="K97" s="78">
        <f t="shared" si="3"/>
        <v>0</v>
      </c>
      <c r="W97" s="9"/>
    </row>
    <row r="98" spans="1:23" x14ac:dyDescent="0.45">
      <c r="A98">
        <v>87</v>
      </c>
      <c r="B98" s="78" t="n">
        <v>0.0</v>
      </c>
      <c r="C98" s="78" t="n">
        <v>0.0</v>
      </c>
      <c r="D98" s="78" t="n">
        <v>0.0</v>
      </c>
      <c r="E98" s="78">
        <f t="shared" si="2"/>
        <v>0</v>
      </c>
      <c r="G98">
        <v>87</v>
      </c>
      <c r="H98" s="88" t="n">
        <v>0.0</v>
      </c>
      <c r="I98" s="78" t="n">
        <v>0.0</v>
      </c>
      <c r="J98" s="78" t="n">
        <v>0.0</v>
      </c>
      <c r="K98" s="78">
        <f t="shared" si="3"/>
        <v>0</v>
      </c>
      <c r="W98" s="9"/>
    </row>
    <row r="99" spans="1:23" x14ac:dyDescent="0.45">
      <c r="A99">
        <v>88</v>
      </c>
      <c r="B99" s="78" t="n">
        <v>0.0</v>
      </c>
      <c r="C99" s="78" t="n">
        <v>0.0</v>
      </c>
      <c r="D99" s="78" t="n">
        <v>0.0</v>
      </c>
      <c r="E99" s="78">
        <f t="shared" si="2"/>
        <v>0</v>
      </c>
      <c r="G99">
        <v>88</v>
      </c>
      <c r="H99" s="88" t="n">
        <v>0.0</v>
      </c>
      <c r="I99" s="78" t="n">
        <v>0.0</v>
      </c>
      <c r="J99" s="78" t="n">
        <v>0.0</v>
      </c>
      <c r="K99" s="78">
        <f t="shared" si="3"/>
        <v>0</v>
      </c>
      <c r="W99" s="9"/>
    </row>
    <row r="100" spans="1:23" x14ac:dyDescent="0.45">
      <c r="A100">
        <v>89</v>
      </c>
      <c r="B100" s="78" t="n">
        <v>0.0</v>
      </c>
      <c r="C100" s="78" t="n">
        <v>0.0</v>
      </c>
      <c r="D100" s="78" t="n">
        <v>0.0</v>
      </c>
      <c r="E100" s="78">
        <f t="shared" si="2"/>
        <v>0</v>
      </c>
      <c r="G100">
        <v>89</v>
      </c>
      <c r="H100" s="88" t="n">
        <v>0.0</v>
      </c>
      <c r="I100" s="78" t="n">
        <v>0.0</v>
      </c>
      <c r="J100" s="78" t="n">
        <v>0.0</v>
      </c>
      <c r="K100" s="78">
        <f t="shared" si="3"/>
        <v>0</v>
      </c>
      <c r="W100" s="9"/>
    </row>
    <row r="101" spans="1:23" ht="14.65" thickBot="1" x14ac:dyDescent="0.5">
      <c r="A101" s="1" t="s">
        <v>272</v>
      </c>
      <c r="B101" s="79" t="n">
        <v>12081.4439</v>
      </c>
      <c r="C101" s="79" t="n">
        <v>7466.5424</v>
      </c>
      <c r="D101" s="79" t="n">
        <v>792.3663</v>
      </c>
      <c r="E101" s="10">
        <f>SUM(B101:D101)</f>
        <v>20340.352600000002</v>
      </c>
      <c r="G101" s="1" t="s">
        <v>272</v>
      </c>
      <c r="H101" s="89" t="n">
        <v>0.0</v>
      </c>
      <c r="I101" s="79" t="n">
        <v>0.0</v>
      </c>
      <c r="J101" s="79" t="n">
        <v>0.0</v>
      </c>
      <c r="K101" s="79">
        <f t="shared" si="3"/>
        <v>0</v>
      </c>
      <c r="W101" s="10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W101"/>
  <sheetViews>
    <sheetView workbookViewId="0">
      <selection activeCell="P11" sqref="P11"/>
    </sheetView>
  </sheetViews>
  <sheetFormatPr defaultRowHeight="14.25" x14ac:dyDescent="0.45"/>
  <cols>
    <col min="2" max="3" bestFit="true" customWidth="true" width="10.59765625" collapsed="true"/>
    <col min="4" max="4" bestFit="true" customWidth="true" width="9.59765625" collapsed="true"/>
    <col min="5" max="5" bestFit="true" customWidth="true" width="10.59765625" collapsed="true"/>
    <col min="8" max="8" bestFit="true" customWidth="true" width="10.59765625" collapsed="true"/>
    <col min="9" max="10" bestFit="true" customWidth="true" width="9.59765625" collapsed="true"/>
    <col min="11" max="11" bestFit="true" customWidth="true" width="10.59765625" collapsed="true"/>
    <col min="15" max="15" bestFit="true" customWidth="true" width="15.73046875" collapsed="true"/>
  </cols>
  <sheetData>
    <row r="1" spans="1:23" x14ac:dyDescent="0.45">
      <c r="A1" t="s">
        <v>0</v>
      </c>
    </row>
    <row r="2" spans="1:23" x14ac:dyDescent="0.45">
      <c r="A2" t="s">
        <v>273</v>
      </c>
    </row>
    <row r="3" spans="1:23" x14ac:dyDescent="0.45">
      <c r="A3" t="s">
        <v>274</v>
      </c>
    </row>
    <row r="4" spans="1:23" x14ac:dyDescent="0.45">
      <c r="A4" t="s">
        <v>7</v>
      </c>
    </row>
    <row r="5" spans="1:23" x14ac:dyDescent="0.45">
      <c r="A5" t="s">
        <v>8</v>
      </c>
    </row>
    <row r="7" spans="1:23" x14ac:dyDescent="0.45">
      <c r="A7" t="s">
        <v>12</v>
      </c>
    </row>
    <row r="9" spans="1:23" ht="14.65" thickBot="1" x14ac:dyDescent="0.5">
      <c r="A9" s="4" t="s">
        <v>215</v>
      </c>
      <c r="B9" s="1"/>
      <c r="C9" s="1"/>
      <c r="D9" s="1"/>
      <c r="E9" s="1"/>
      <c r="G9" s="4" t="s">
        <v>14</v>
      </c>
      <c r="H9" s="1"/>
      <c r="I9" s="1"/>
      <c r="J9" s="1"/>
      <c r="K9" s="1"/>
      <c r="M9" s="11" t="s">
        <v>43</v>
      </c>
      <c r="W9" s="9"/>
    </row>
    <row r="10" spans="1:23" x14ac:dyDescent="0.45">
      <c r="A10" s="2" t="s">
        <v>23</v>
      </c>
      <c r="B10" s="5" t="s">
        <v>9</v>
      </c>
      <c r="C10" s="5" t="s">
        <v>10</v>
      </c>
      <c r="D10" s="5" t="s">
        <v>11</v>
      </c>
      <c r="E10" s="5" t="s">
        <v>213</v>
      </c>
      <c r="G10" s="2" t="s">
        <v>23</v>
      </c>
      <c r="H10" s="5" t="s">
        <v>9</v>
      </c>
      <c r="I10" s="5" t="s">
        <v>10</v>
      </c>
      <c r="J10" s="5" t="s">
        <v>11</v>
      </c>
      <c r="K10" s="37" t="s">
        <v>277</v>
      </c>
      <c r="M10" s="2"/>
      <c r="N10" s="5" t="s">
        <v>213</v>
      </c>
      <c r="O10" s="37" t="s">
        <v>277</v>
      </c>
      <c r="W10" s="9"/>
    </row>
    <row r="11" spans="1:23" x14ac:dyDescent="0.45">
      <c r="A11">
        <v>0</v>
      </c>
      <c r="B11" s="78" t="n">
        <v>976.8606</v>
      </c>
      <c r="C11" s="78" t="n">
        <v>772.9955</v>
      </c>
      <c r="D11" s="78" t="n">
        <v>0.0</v>
      </c>
      <c r="E11" s="78">
        <f>SUM(B11:D11)</f>
        <v>1749.8561</v>
      </c>
      <c r="G11">
        <v>0</v>
      </c>
      <c r="H11" s="88" t="n">
        <v>226.0</v>
      </c>
      <c r="I11" s="88" t="n">
        <v>126.0</v>
      </c>
      <c r="J11" s="88" t="n">
        <v>59.0</v>
      </c>
      <c r="K11" s="78">
        <f>SUM(H11:J11)</f>
        <v>414</v>
      </c>
      <c r="M11" t="s">
        <v>9</v>
      </c>
      <c r="N11" s="82" t="n">
        <v>25.82750244319734</v>
      </c>
      <c r="O11" s="82" t="n">
        <v>27.352752293704167</v>
      </c>
      <c r="W11" s="9"/>
    </row>
    <row r="12" spans="1:23" x14ac:dyDescent="0.45">
      <c r="A12">
        <v>1</v>
      </c>
      <c r="B12" s="78" t="n">
        <v>768.7115</v>
      </c>
      <c r="C12" s="78" t="n">
        <v>795.2279</v>
      </c>
      <c r="D12" s="78" t="n">
        <v>0.0</v>
      </c>
      <c r="E12" s="78">
        <f t="shared" ref="E12:E75" si="0">SUM(B12:D12)</f>
        <v>1563.9394</v>
      </c>
      <c r="G12">
        <v>1</v>
      </c>
      <c r="H12" s="88" t="n">
        <v>708.0</v>
      </c>
      <c r="I12" s="88" t="n">
        <v>389.0</v>
      </c>
      <c r="J12" s="88" t="n">
        <v>105.0</v>
      </c>
      <c r="K12" s="78">
        <f t="shared" ref="K12:K75" si="1">SUM(H12:J12)</f>
        <v>1179</v>
      </c>
      <c r="M12" t="s">
        <v>10</v>
      </c>
      <c r="N12" s="82" t="n">
        <v>20.608722540369588</v>
      </c>
      <c r="O12" s="82" t="n">
        <v>19.948938850155454</v>
      </c>
      <c r="W12" s="9"/>
    </row>
    <row r="13" spans="1:23" x14ac:dyDescent="0.45">
      <c r="A13">
        <v>2</v>
      </c>
      <c r="B13" s="78" t="n">
        <v>3333.5511</v>
      </c>
      <c r="C13" s="78" t="n">
        <v>103.4239</v>
      </c>
      <c r="D13" s="78" t="n">
        <v>0.0</v>
      </c>
      <c r="E13" s="78">
        <f t="shared" si="0"/>
        <v>3436.9750000000004</v>
      </c>
      <c r="G13">
        <v>2</v>
      </c>
      <c r="H13" s="88" t="n">
        <v>2290.0</v>
      </c>
      <c r="I13" s="88" t="n">
        <v>906.0</v>
      </c>
      <c r="J13" s="88" t="n">
        <v>256.0</v>
      </c>
      <c r="K13" s="78">
        <f t="shared" si="1"/>
        <v>3403</v>
      </c>
      <c r="M13" s="6" t="s">
        <v>11</v>
      </c>
      <c r="N13" s="83" t="n">
        <v>19.78717628980818</v>
      </c>
      <c r="O13" s="83" t="n">
        <v>22.29846899174268</v>
      </c>
      <c r="W13" s="9"/>
    </row>
    <row r="14" spans="1:23" ht="14.65" thickBot="1" x14ac:dyDescent="0.5">
      <c r="A14">
        <v>3</v>
      </c>
      <c r="B14" s="78" t="n">
        <v>1714.568</v>
      </c>
      <c r="C14" s="78" t="n">
        <v>0.0</v>
      </c>
      <c r="D14" s="78" t="n">
        <v>205.5457</v>
      </c>
      <c r="E14" s="78">
        <f t="shared" si="0"/>
        <v>1920.1136999999999</v>
      </c>
      <c r="G14">
        <v>3</v>
      </c>
      <c r="H14" s="88" t="n">
        <v>3590.0</v>
      </c>
      <c r="I14" s="88" t="n">
        <v>1506.0</v>
      </c>
      <c r="J14" s="88" t="n">
        <v>493.0</v>
      </c>
      <c r="K14" s="78">
        <f t="shared" si="1"/>
        <v>5420</v>
      </c>
      <c r="M14" s="1" t="s">
        <v>4</v>
      </c>
      <c r="N14" s="84" t="n">
        <v>24.96470589825211</v>
      </c>
      <c r="O14" s="84" t="n">
        <v>25.666073347096823</v>
      </c>
      <c r="W14" s="9"/>
    </row>
    <row r="15" spans="1:23" x14ac:dyDescent="0.45">
      <c r="A15">
        <v>4</v>
      </c>
      <c r="B15" s="78" t="n">
        <v>2708.037</v>
      </c>
      <c r="C15" s="78" t="n">
        <v>0.0</v>
      </c>
      <c r="D15" s="78" t="n">
        <v>0.0</v>
      </c>
      <c r="E15" s="78">
        <f t="shared" si="0"/>
        <v>2708.0369999999998</v>
      </c>
      <c r="G15">
        <v>4</v>
      </c>
      <c r="H15" s="88" t="n">
        <v>3207.0</v>
      </c>
      <c r="I15" s="88" t="n">
        <v>1465.0</v>
      </c>
      <c r="J15" s="88" t="n">
        <v>551.0</v>
      </c>
      <c r="K15" s="78">
        <f t="shared" si="1"/>
        <v>5074</v>
      </c>
      <c r="W15" s="9"/>
    </row>
    <row r="16" spans="1:23" x14ac:dyDescent="0.45">
      <c r="A16">
        <v>5</v>
      </c>
      <c r="B16" s="78" t="n">
        <v>1898.4920000000002</v>
      </c>
      <c r="C16" s="78" t="n">
        <v>148.4103</v>
      </c>
      <c r="D16" s="78" t="n">
        <v>0.0</v>
      </c>
      <c r="E16" s="78">
        <f t="shared" si="0"/>
        <v>2046.9023000000002</v>
      </c>
      <c r="G16">
        <v>5</v>
      </c>
      <c r="H16" s="88" t="n">
        <v>3148.0</v>
      </c>
      <c r="I16" s="88" t="n">
        <v>1460.0</v>
      </c>
      <c r="J16" s="88" t="n">
        <v>607.0</v>
      </c>
      <c r="K16" s="78">
        <f t="shared" si="1"/>
        <v>5161</v>
      </c>
      <c r="W16" s="9"/>
    </row>
    <row r="17" spans="1:23" x14ac:dyDescent="0.45">
      <c r="A17">
        <v>6</v>
      </c>
      <c r="B17" s="78" t="n">
        <v>7370.984</v>
      </c>
      <c r="C17" s="78" t="n">
        <v>987.1274</v>
      </c>
      <c r="D17" s="78" t="n">
        <v>423.099</v>
      </c>
      <c r="E17" s="78">
        <f t="shared" si="0"/>
        <v>8781.2103999999999</v>
      </c>
      <c r="G17">
        <v>6</v>
      </c>
      <c r="H17" s="88" t="n">
        <v>3553.0</v>
      </c>
      <c r="I17" s="88" t="n">
        <v>1521.0</v>
      </c>
      <c r="J17" s="88" t="n">
        <v>703.0</v>
      </c>
      <c r="K17" s="78">
        <f t="shared" si="1"/>
        <v>5718</v>
      </c>
      <c r="W17" s="9"/>
    </row>
    <row r="18" spans="1:23" x14ac:dyDescent="0.45">
      <c r="A18">
        <v>7</v>
      </c>
      <c r="B18" s="78" t="n">
        <v>4514.9535</v>
      </c>
      <c r="C18" s="78" t="n">
        <v>987.6433</v>
      </c>
      <c r="D18" s="78" t="n">
        <v>0.0</v>
      </c>
      <c r="E18" s="78">
        <f t="shared" si="0"/>
        <v>5502.5967999999993</v>
      </c>
      <c r="G18">
        <v>7</v>
      </c>
      <c r="H18" s="88" t="n">
        <v>4014.0</v>
      </c>
      <c r="I18" s="88" t="n">
        <v>1700.0</v>
      </c>
      <c r="J18" s="88" t="n">
        <v>769.0</v>
      </c>
      <c r="K18" s="78">
        <f t="shared" si="1"/>
        <v>6140</v>
      </c>
      <c r="W18" s="9"/>
    </row>
    <row r="19" spans="1:23" x14ac:dyDescent="0.45">
      <c r="A19">
        <v>8</v>
      </c>
      <c r="B19" s="78" t="n">
        <v>6966.0753</v>
      </c>
      <c r="C19" s="78" t="n">
        <v>1264.2972</v>
      </c>
      <c r="D19" s="78" t="n">
        <v>315.9825</v>
      </c>
      <c r="E19" s="78">
        <f t="shared" si="0"/>
        <v>8546.3550000000014</v>
      </c>
      <c r="G19">
        <v>8</v>
      </c>
      <c r="H19" s="88" t="n">
        <v>4096.0</v>
      </c>
      <c r="I19" s="88" t="n">
        <v>1610.0</v>
      </c>
      <c r="J19" s="88" t="n">
        <v>776.0</v>
      </c>
      <c r="K19" s="78">
        <f t="shared" si="1"/>
        <v>6360</v>
      </c>
      <c r="W19" s="9"/>
    </row>
    <row r="20" spans="1:23" x14ac:dyDescent="0.45">
      <c r="A20">
        <v>9</v>
      </c>
      <c r="B20" s="78" t="n">
        <v>4860.673</v>
      </c>
      <c r="C20" s="78" t="n">
        <v>1593.8565</v>
      </c>
      <c r="D20" s="78" t="n">
        <v>199.9952</v>
      </c>
      <c r="E20" s="78">
        <f t="shared" si="0"/>
        <v>6654.5246999999999</v>
      </c>
      <c r="G20">
        <v>9</v>
      </c>
      <c r="H20" s="88" t="n">
        <v>4660.0</v>
      </c>
      <c r="I20" s="88" t="n">
        <v>1628.0</v>
      </c>
      <c r="J20" s="88" t="n">
        <v>787.0</v>
      </c>
      <c r="K20" s="78">
        <f t="shared" si="1"/>
        <v>6937</v>
      </c>
      <c r="W20" s="9"/>
    </row>
    <row r="21" spans="1:23" x14ac:dyDescent="0.45">
      <c r="A21">
        <v>10</v>
      </c>
      <c r="B21" s="78" t="n">
        <v>7907.7172</v>
      </c>
      <c r="C21" s="78" t="n">
        <v>738.6853</v>
      </c>
      <c r="D21" s="78" t="n">
        <v>0.0</v>
      </c>
      <c r="E21" s="78">
        <f t="shared" si="0"/>
        <v>8646.4025000000001</v>
      </c>
      <c r="G21">
        <v>10</v>
      </c>
      <c r="H21" s="88" t="n">
        <v>4884.0</v>
      </c>
      <c r="I21" s="88" t="n">
        <v>1722.0</v>
      </c>
      <c r="J21" s="88" t="n">
        <v>832.0</v>
      </c>
      <c r="K21" s="78">
        <f t="shared" si="1"/>
        <v>7211</v>
      </c>
      <c r="W21" s="9"/>
    </row>
    <row r="22" spans="1:23" x14ac:dyDescent="0.45">
      <c r="A22">
        <v>11</v>
      </c>
      <c r="B22" s="78" t="n">
        <v>3026.5495</v>
      </c>
      <c r="C22" s="78" t="n">
        <v>315.328</v>
      </c>
      <c r="D22" s="78" t="n">
        <v>0.0</v>
      </c>
      <c r="E22" s="78">
        <f t="shared" si="0"/>
        <v>3341.8775000000001</v>
      </c>
      <c r="G22">
        <v>11</v>
      </c>
      <c r="H22" s="88" t="n">
        <v>4747.0</v>
      </c>
      <c r="I22" s="88" t="n">
        <v>1592.0</v>
      </c>
      <c r="J22" s="88" t="n">
        <v>865.0</v>
      </c>
      <c r="K22" s="78">
        <f t="shared" si="1"/>
        <v>7050</v>
      </c>
      <c r="W22" s="9"/>
    </row>
    <row r="23" spans="1:23" x14ac:dyDescent="0.45">
      <c r="A23">
        <v>12</v>
      </c>
      <c r="B23" s="78" t="n">
        <v>4370.7211</v>
      </c>
      <c r="C23" s="78" t="n">
        <v>1220.2571</v>
      </c>
      <c r="D23" s="78" t="n">
        <v>0.0</v>
      </c>
      <c r="E23" s="78">
        <f t="shared" si="0"/>
        <v>5590.9781999999996</v>
      </c>
      <c r="G23">
        <v>12</v>
      </c>
      <c r="H23" s="88" t="n">
        <v>4466.0</v>
      </c>
      <c r="I23" s="88" t="n">
        <v>1485.0</v>
      </c>
      <c r="J23" s="88" t="n">
        <v>763.0</v>
      </c>
      <c r="K23" s="78">
        <f t="shared" si="1"/>
        <v>6627</v>
      </c>
      <c r="W23" s="9"/>
    </row>
    <row r="24" spans="1:23" x14ac:dyDescent="0.45">
      <c r="A24">
        <v>13</v>
      </c>
      <c r="B24" s="78" t="n">
        <v>3321.4909000000002</v>
      </c>
      <c r="C24" s="78" t="n">
        <v>698.1031</v>
      </c>
      <c r="D24" s="78" t="n">
        <v>0.0</v>
      </c>
      <c r="E24" s="78">
        <f t="shared" si="0"/>
        <v>4019.5940000000001</v>
      </c>
      <c r="G24">
        <v>13</v>
      </c>
      <c r="H24" s="88" t="n">
        <v>4465.0</v>
      </c>
      <c r="I24" s="88" t="n">
        <v>1488.0</v>
      </c>
      <c r="J24" s="88" t="n">
        <v>736.0</v>
      </c>
      <c r="K24" s="78">
        <f t="shared" si="1"/>
        <v>6646</v>
      </c>
      <c r="W24" s="9"/>
    </row>
    <row r="25" spans="1:23" x14ac:dyDescent="0.45">
      <c r="A25">
        <v>14</v>
      </c>
      <c r="B25" s="78" t="n">
        <v>2588.9769</v>
      </c>
      <c r="C25" s="78" t="n">
        <v>1236.2482</v>
      </c>
      <c r="D25" s="78" t="n">
        <v>0.0</v>
      </c>
      <c r="E25" s="78">
        <f t="shared" si="0"/>
        <v>3825.2251000000001</v>
      </c>
      <c r="G25">
        <v>14</v>
      </c>
      <c r="H25" s="88" t="n">
        <v>4052.0</v>
      </c>
      <c r="I25" s="88" t="n">
        <v>1220.0</v>
      </c>
      <c r="J25" s="88" t="n">
        <v>641.0</v>
      </c>
      <c r="K25" s="78">
        <f t="shared" si="1"/>
        <v>6000</v>
      </c>
      <c r="W25" s="9"/>
    </row>
    <row r="26" spans="1:23" x14ac:dyDescent="0.45">
      <c r="A26">
        <v>15</v>
      </c>
      <c r="B26" s="78" t="n">
        <v>2334.1185</v>
      </c>
      <c r="C26" s="78" t="n">
        <v>472.9143</v>
      </c>
      <c r="D26" s="78" t="n">
        <v>83.9342</v>
      </c>
      <c r="E26" s="78">
        <f t="shared" si="0"/>
        <v>2890.9670000000001</v>
      </c>
      <c r="G26">
        <v>15</v>
      </c>
      <c r="H26" s="88" t="n">
        <v>3559.0</v>
      </c>
      <c r="I26" s="88" t="n">
        <v>1107.0</v>
      </c>
      <c r="J26" s="88" t="n">
        <v>548.0</v>
      </c>
      <c r="K26" s="78">
        <f t="shared" si="1"/>
        <v>5113</v>
      </c>
      <c r="W26" s="9"/>
    </row>
    <row r="27" spans="1:23" x14ac:dyDescent="0.45">
      <c r="A27">
        <v>16</v>
      </c>
      <c r="B27" s="78" t="n">
        <v>2181.5479</v>
      </c>
      <c r="C27" s="78" t="n">
        <v>1456.3343</v>
      </c>
      <c r="D27" s="78" t="n">
        <v>0.0</v>
      </c>
      <c r="E27" s="78">
        <f t="shared" si="0"/>
        <v>3637.8822</v>
      </c>
      <c r="G27">
        <v>16</v>
      </c>
      <c r="H27" s="88" t="n">
        <v>3700.0</v>
      </c>
      <c r="I27" s="88" t="n">
        <v>1181.0</v>
      </c>
      <c r="J27" s="88" t="n">
        <v>611.0</v>
      </c>
      <c r="K27" s="78">
        <f t="shared" si="1"/>
        <v>5434</v>
      </c>
      <c r="W27" s="9"/>
    </row>
    <row r="28" spans="1:23" x14ac:dyDescent="0.45">
      <c r="A28">
        <v>17</v>
      </c>
      <c r="B28" s="78" t="n">
        <v>1896.5810999999999</v>
      </c>
      <c r="C28" s="78" t="n">
        <v>665.7502</v>
      </c>
      <c r="D28" s="78" t="n">
        <v>0.0</v>
      </c>
      <c r="E28" s="78">
        <f t="shared" si="0"/>
        <v>2562.3312999999998</v>
      </c>
      <c r="G28">
        <v>17</v>
      </c>
      <c r="H28" s="88" t="n">
        <v>3645.0</v>
      </c>
      <c r="I28" s="88" t="n">
        <v>1108.0</v>
      </c>
      <c r="J28" s="88" t="n">
        <v>545.0</v>
      </c>
      <c r="K28" s="78">
        <f t="shared" si="1"/>
        <v>5198</v>
      </c>
      <c r="W28" s="9"/>
    </row>
    <row r="29" spans="1:23" x14ac:dyDescent="0.45">
      <c r="A29">
        <v>18</v>
      </c>
      <c r="B29" s="78" t="n">
        <v>3447.6829</v>
      </c>
      <c r="C29" s="78" t="n">
        <v>64.9281</v>
      </c>
      <c r="D29" s="78" t="n">
        <v>0.0</v>
      </c>
      <c r="E29" s="78">
        <f t="shared" si="0"/>
        <v>3512.6109999999999</v>
      </c>
      <c r="G29">
        <v>18</v>
      </c>
      <c r="H29" s="88" t="n">
        <v>3409.0</v>
      </c>
      <c r="I29" s="88" t="n">
        <v>892.0</v>
      </c>
      <c r="J29" s="88" t="n">
        <v>478.0</v>
      </c>
      <c r="K29" s="78">
        <f t="shared" si="1"/>
        <v>4887</v>
      </c>
      <c r="W29" s="9"/>
    </row>
    <row r="30" spans="1:23" x14ac:dyDescent="0.45">
      <c r="A30">
        <v>19</v>
      </c>
      <c r="B30" s="78" t="n">
        <v>6966.6005</v>
      </c>
      <c r="C30" s="78" t="n">
        <v>2314.1123000000002</v>
      </c>
      <c r="D30" s="78" t="n">
        <v>310.4405</v>
      </c>
      <c r="E30" s="78">
        <f t="shared" si="0"/>
        <v>9591.1532999999999</v>
      </c>
      <c r="G30">
        <v>19</v>
      </c>
      <c r="H30" s="88" t="n">
        <v>3856.0</v>
      </c>
      <c r="I30" s="88" t="n">
        <v>963.0</v>
      </c>
      <c r="J30" s="88" t="n">
        <v>633.0</v>
      </c>
      <c r="K30" s="78">
        <f t="shared" si="1"/>
        <v>5284</v>
      </c>
      <c r="W30" s="9"/>
    </row>
    <row r="31" spans="1:23" x14ac:dyDescent="0.45">
      <c r="A31">
        <v>20</v>
      </c>
      <c r="B31" s="78" t="n">
        <v>2994.6983</v>
      </c>
      <c r="C31" s="78" t="n">
        <v>0.0</v>
      </c>
      <c r="D31" s="78" t="n">
        <v>0.0</v>
      </c>
      <c r="E31" s="78">
        <f t="shared" si="0"/>
        <v>2994.6983</v>
      </c>
      <c r="G31">
        <v>20</v>
      </c>
      <c r="H31" s="88" t="n">
        <v>4059.0</v>
      </c>
      <c r="I31" s="88" t="n">
        <v>1006.0</v>
      </c>
      <c r="J31" s="88" t="n">
        <v>575.0</v>
      </c>
      <c r="K31" s="78">
        <f t="shared" si="1"/>
        <v>5524</v>
      </c>
      <c r="W31" s="9"/>
    </row>
    <row r="32" spans="1:23" x14ac:dyDescent="0.45">
      <c r="A32">
        <v>21</v>
      </c>
      <c r="B32" s="78" t="n">
        <v>5020.5075</v>
      </c>
      <c r="C32" s="78" t="n">
        <v>1375.2142000000001</v>
      </c>
      <c r="D32" s="78" t="n">
        <v>0.0</v>
      </c>
      <c r="E32" s="78">
        <f t="shared" si="0"/>
        <v>6395.7217000000001</v>
      </c>
      <c r="G32">
        <v>21</v>
      </c>
      <c r="H32" s="88" t="n">
        <v>3888.0</v>
      </c>
      <c r="I32" s="88" t="n">
        <v>1119.0</v>
      </c>
      <c r="J32" s="88" t="n">
        <v>607.0</v>
      </c>
      <c r="K32" s="78">
        <f t="shared" si="1"/>
        <v>5712</v>
      </c>
      <c r="W32" s="9"/>
    </row>
    <row r="33" spans="1:23" x14ac:dyDescent="0.45">
      <c r="A33">
        <v>22</v>
      </c>
      <c r="B33" s="78" t="n">
        <v>6093.2391</v>
      </c>
      <c r="C33" s="78" t="n">
        <v>1695.5012</v>
      </c>
      <c r="D33" s="78" t="n">
        <v>0.0</v>
      </c>
      <c r="E33" s="78">
        <f t="shared" si="0"/>
        <v>7788.7402999999995</v>
      </c>
      <c r="G33">
        <v>22</v>
      </c>
      <c r="H33" s="88" t="n">
        <v>3423.0</v>
      </c>
      <c r="I33" s="88" t="n">
        <v>844.0</v>
      </c>
      <c r="J33" s="88" t="n">
        <v>494.0</v>
      </c>
      <c r="K33" s="78">
        <f t="shared" si="1"/>
        <v>4594</v>
      </c>
      <c r="W33" s="9"/>
    </row>
    <row r="34" spans="1:23" x14ac:dyDescent="0.45">
      <c r="A34">
        <v>23</v>
      </c>
      <c r="B34" s="78" t="n">
        <v>1043.5829</v>
      </c>
      <c r="C34" s="78" t="n">
        <v>1778.5232</v>
      </c>
      <c r="D34" s="78" t="n">
        <v>0.0</v>
      </c>
      <c r="E34" s="78">
        <f t="shared" si="0"/>
        <v>2822.1061</v>
      </c>
      <c r="G34">
        <v>23</v>
      </c>
      <c r="H34" s="88" t="n">
        <v>4056.0</v>
      </c>
      <c r="I34" s="88" t="n">
        <v>1046.0</v>
      </c>
      <c r="J34" s="88" t="n">
        <v>577.0</v>
      </c>
      <c r="K34" s="78">
        <f t="shared" si="1"/>
        <v>5625</v>
      </c>
      <c r="W34" s="9"/>
    </row>
    <row r="35" spans="1:23" x14ac:dyDescent="0.45">
      <c r="A35">
        <v>24</v>
      </c>
      <c r="B35" s="78" t="n">
        <v>1300.7926</v>
      </c>
      <c r="C35" s="78" t="n">
        <v>177.0304</v>
      </c>
      <c r="D35" s="78" t="n">
        <v>1230.7649</v>
      </c>
      <c r="E35" s="78">
        <f t="shared" si="0"/>
        <v>2708.5878999999995</v>
      </c>
      <c r="G35">
        <v>24</v>
      </c>
      <c r="H35" s="88" t="n">
        <v>3537.0</v>
      </c>
      <c r="I35" s="88" t="n">
        <v>832.0</v>
      </c>
      <c r="J35" s="88" t="n">
        <v>413.0</v>
      </c>
      <c r="K35" s="78">
        <f t="shared" si="1"/>
        <v>4693</v>
      </c>
      <c r="W35" s="9"/>
    </row>
    <row r="36" spans="1:23" x14ac:dyDescent="0.45">
      <c r="A36">
        <v>25</v>
      </c>
      <c r="B36" s="78" t="n">
        <v>1413.9307000000001</v>
      </c>
      <c r="C36" s="78" t="n">
        <v>757.8258000000001</v>
      </c>
      <c r="D36" s="78" t="n">
        <v>0.0</v>
      </c>
      <c r="E36" s="78">
        <f t="shared" si="0"/>
        <v>2171.7565000000004</v>
      </c>
      <c r="G36">
        <v>25</v>
      </c>
      <c r="H36" s="88" t="n">
        <v>3420.0</v>
      </c>
      <c r="I36" s="88" t="n">
        <v>690.0</v>
      </c>
      <c r="J36" s="88" t="n">
        <v>440.0</v>
      </c>
      <c r="K36" s="78">
        <f t="shared" si="1"/>
        <v>4044</v>
      </c>
      <c r="W36" s="9"/>
    </row>
    <row r="37" spans="1:23" x14ac:dyDescent="0.45">
      <c r="A37">
        <v>26</v>
      </c>
      <c r="B37" s="78" t="n">
        <v>0.0</v>
      </c>
      <c r="C37" s="78" t="n">
        <v>544.7997</v>
      </c>
      <c r="D37" s="78" t="n">
        <v>0.0</v>
      </c>
      <c r="E37" s="78">
        <f t="shared" si="0"/>
        <v>544.79970000000003</v>
      </c>
      <c r="G37">
        <v>26</v>
      </c>
      <c r="H37" s="88" t="n">
        <v>3270.0</v>
      </c>
      <c r="I37" s="88" t="n">
        <v>698.0</v>
      </c>
      <c r="J37" s="88" t="n">
        <v>421.0</v>
      </c>
      <c r="K37" s="78">
        <f t="shared" si="1"/>
        <v>4505</v>
      </c>
      <c r="W37" s="9"/>
    </row>
    <row r="38" spans="1:23" x14ac:dyDescent="0.45">
      <c r="A38">
        <v>27</v>
      </c>
      <c r="B38" s="78" t="n">
        <v>1816.804</v>
      </c>
      <c r="C38" s="78" t="n">
        <v>0.0</v>
      </c>
      <c r="D38" s="78" t="n">
        <v>0.0</v>
      </c>
      <c r="E38" s="78">
        <f t="shared" si="0"/>
        <v>1816.8040000000001</v>
      </c>
      <c r="G38">
        <v>27</v>
      </c>
      <c r="H38" s="88" t="n">
        <v>3818.0</v>
      </c>
      <c r="I38" s="88" t="n">
        <v>750.0</v>
      </c>
      <c r="J38" s="88" t="n">
        <v>446.0</v>
      </c>
      <c r="K38" s="78">
        <f t="shared" si="1"/>
        <v>4817</v>
      </c>
      <c r="W38" s="9"/>
    </row>
    <row r="39" spans="1:23" x14ac:dyDescent="0.45">
      <c r="A39">
        <v>28</v>
      </c>
      <c r="B39" s="78" t="n">
        <v>850.2482</v>
      </c>
      <c r="C39" s="78" t="n">
        <v>556.9672</v>
      </c>
      <c r="D39" s="78" t="n">
        <v>0.0</v>
      </c>
      <c r="E39" s="78">
        <f t="shared" si="0"/>
        <v>1407.2154</v>
      </c>
      <c r="G39">
        <v>28</v>
      </c>
      <c r="H39" s="88" t="n">
        <v>3925.0</v>
      </c>
      <c r="I39" s="88" t="n">
        <v>710.0</v>
      </c>
      <c r="J39" s="88" t="n">
        <v>400.0</v>
      </c>
      <c r="K39" s="78">
        <f t="shared" si="1"/>
        <v>4672</v>
      </c>
      <c r="W39" s="9"/>
    </row>
    <row r="40" spans="1:23" x14ac:dyDescent="0.45">
      <c r="A40">
        <v>29</v>
      </c>
      <c r="B40" s="78" t="n">
        <v>1197.5896</v>
      </c>
      <c r="C40" s="78" t="n">
        <v>0.0</v>
      </c>
      <c r="D40" s="78" t="n">
        <v>0.0</v>
      </c>
      <c r="E40" s="78">
        <f t="shared" si="0"/>
        <v>1197.5896</v>
      </c>
      <c r="G40">
        <v>29</v>
      </c>
      <c r="H40" s="88" t="n">
        <v>3848.0</v>
      </c>
      <c r="I40" s="88" t="n">
        <v>646.0</v>
      </c>
      <c r="J40" s="88" t="n">
        <v>393.0</v>
      </c>
      <c r="K40" s="78">
        <f t="shared" si="1"/>
        <v>4900</v>
      </c>
      <c r="W40" s="9"/>
    </row>
    <row r="41" spans="1:23" x14ac:dyDescent="0.45">
      <c r="A41">
        <v>30</v>
      </c>
      <c r="B41" s="78" t="n">
        <v>2243.8221</v>
      </c>
      <c r="C41" s="78" t="n">
        <v>0.0</v>
      </c>
      <c r="D41" s="78" t="n">
        <v>0.0</v>
      </c>
      <c r="E41" s="78">
        <f t="shared" si="0"/>
        <v>2243.8220999999999</v>
      </c>
      <c r="G41">
        <v>30</v>
      </c>
      <c r="H41" s="88" t="n">
        <v>3332.0</v>
      </c>
      <c r="I41" s="88" t="n">
        <v>559.0</v>
      </c>
      <c r="J41" s="88" t="n">
        <v>316.0</v>
      </c>
      <c r="K41" s="78">
        <f t="shared" si="1"/>
        <v>4020</v>
      </c>
      <c r="W41" s="9"/>
    </row>
    <row r="42" spans="1:23" x14ac:dyDescent="0.45">
      <c r="A42">
        <v>31</v>
      </c>
      <c r="B42" s="78" t="n">
        <v>1395.6399</v>
      </c>
      <c r="C42" s="78" t="n">
        <v>0.0</v>
      </c>
      <c r="D42" s="78" t="n">
        <v>0.0</v>
      </c>
      <c r="E42" s="78">
        <f t="shared" si="0"/>
        <v>1395.6398999999999</v>
      </c>
      <c r="G42">
        <v>31</v>
      </c>
      <c r="H42" s="88" t="n">
        <v>3519.0</v>
      </c>
      <c r="I42" s="88" t="n">
        <v>540.0</v>
      </c>
      <c r="J42" s="88" t="n">
        <v>318.0</v>
      </c>
      <c r="K42" s="78">
        <f t="shared" si="1"/>
        <v>3616</v>
      </c>
      <c r="W42" s="9"/>
    </row>
    <row r="43" spans="1:23" x14ac:dyDescent="0.45">
      <c r="A43">
        <v>32</v>
      </c>
      <c r="B43" s="78" t="n">
        <v>2421.1547</v>
      </c>
      <c r="C43" s="78" t="n">
        <v>0.0</v>
      </c>
      <c r="D43" s="78" t="n">
        <v>0.0</v>
      </c>
      <c r="E43" s="78">
        <f t="shared" si="0"/>
        <v>2421.1547</v>
      </c>
      <c r="G43">
        <v>32</v>
      </c>
      <c r="H43" s="88" t="n">
        <v>4781.0</v>
      </c>
      <c r="I43" s="88" t="n">
        <v>612.0</v>
      </c>
      <c r="J43" s="88" t="n">
        <v>363.0</v>
      </c>
      <c r="K43" s="78">
        <f t="shared" si="1"/>
        <v>4596</v>
      </c>
      <c r="W43" s="9"/>
    </row>
    <row r="44" spans="1:23" x14ac:dyDescent="0.45">
      <c r="A44">
        <v>33</v>
      </c>
      <c r="B44" s="78" t="n">
        <v>3884.6671</v>
      </c>
      <c r="C44" s="78" t="n">
        <v>0.0</v>
      </c>
      <c r="D44" s="78" t="n">
        <v>0.0</v>
      </c>
      <c r="E44" s="78">
        <f t="shared" si="0"/>
        <v>3884.6671000000001</v>
      </c>
      <c r="G44">
        <v>33</v>
      </c>
      <c r="H44" s="88" t="n">
        <v>4818.0</v>
      </c>
      <c r="I44" s="88" t="n">
        <v>589.0</v>
      </c>
      <c r="J44" s="88" t="n">
        <v>405.0</v>
      </c>
      <c r="K44" s="78">
        <f t="shared" si="1"/>
        <v>4901</v>
      </c>
      <c r="W44" s="9"/>
    </row>
    <row r="45" spans="1:23" x14ac:dyDescent="0.45">
      <c r="A45">
        <v>34</v>
      </c>
      <c r="B45" s="78" t="n">
        <v>3005.2755</v>
      </c>
      <c r="C45" s="78" t="n">
        <v>736.4589</v>
      </c>
      <c r="D45" s="78" t="n">
        <v>0.0</v>
      </c>
      <c r="E45" s="78">
        <f t="shared" si="0"/>
        <v>3741.7344000000003</v>
      </c>
      <c r="G45">
        <v>34</v>
      </c>
      <c r="H45" s="88" t="n">
        <v>4158.0</v>
      </c>
      <c r="I45" s="88" t="n">
        <v>524.0</v>
      </c>
      <c r="J45" s="88" t="n">
        <v>317.0</v>
      </c>
      <c r="K45" s="78">
        <f t="shared" si="1"/>
        <v>4435</v>
      </c>
      <c r="W45" s="9"/>
    </row>
    <row r="46" spans="1:23" x14ac:dyDescent="0.45">
      <c r="A46">
        <v>35</v>
      </c>
      <c r="B46" s="78" t="n">
        <v>1685.9032</v>
      </c>
      <c r="C46" s="78" t="n">
        <v>0.0</v>
      </c>
      <c r="D46" s="78" t="n">
        <v>0.0</v>
      </c>
      <c r="E46" s="78">
        <f t="shared" si="0"/>
        <v>1685.9032</v>
      </c>
      <c r="G46">
        <v>35</v>
      </c>
      <c r="H46" s="88" t="n">
        <v>4142.0</v>
      </c>
      <c r="I46" s="88" t="n">
        <v>525.0</v>
      </c>
      <c r="J46" s="88" t="n">
        <v>359.0</v>
      </c>
      <c r="K46" s="78">
        <f t="shared" si="1"/>
        <v>4797</v>
      </c>
      <c r="W46" s="9"/>
    </row>
    <row r="47" spans="1:23" x14ac:dyDescent="0.45">
      <c r="A47">
        <v>36</v>
      </c>
      <c r="B47" s="78" t="n">
        <v>3729.1495</v>
      </c>
      <c r="C47" s="78" t="n">
        <v>0.0</v>
      </c>
      <c r="D47" s="78" t="n">
        <v>130.0501</v>
      </c>
      <c r="E47" s="78">
        <f t="shared" si="0"/>
        <v>3859.1995999999999</v>
      </c>
      <c r="G47">
        <v>36</v>
      </c>
      <c r="H47" s="88" t="n">
        <v>4465.0</v>
      </c>
      <c r="I47" s="88" t="n">
        <v>445.0</v>
      </c>
      <c r="J47" s="88" t="n">
        <v>306.0</v>
      </c>
      <c r="K47" s="78">
        <f t="shared" si="1"/>
        <v>4994</v>
      </c>
      <c r="W47" s="9"/>
    </row>
    <row r="48" spans="1:23" x14ac:dyDescent="0.45">
      <c r="A48">
        <v>37</v>
      </c>
      <c r="B48" s="78" t="n">
        <v>2095.1591</v>
      </c>
      <c r="C48" s="78" t="n">
        <v>0.0</v>
      </c>
      <c r="D48" s="78" t="n">
        <v>65.1985</v>
      </c>
      <c r="E48" s="78">
        <f t="shared" si="0"/>
        <v>2160.3575999999998</v>
      </c>
      <c r="G48">
        <v>37</v>
      </c>
      <c r="H48" s="88" t="n">
        <v>3615.0</v>
      </c>
      <c r="I48" s="88" t="n">
        <v>391.0</v>
      </c>
      <c r="J48" s="88" t="n">
        <v>282.0</v>
      </c>
      <c r="K48" s="78">
        <f t="shared" si="1"/>
        <v>3682</v>
      </c>
      <c r="W48" s="9"/>
    </row>
    <row r="49" spans="1:23" x14ac:dyDescent="0.45">
      <c r="A49">
        <v>38</v>
      </c>
      <c r="B49" s="78" t="n">
        <v>1903.601</v>
      </c>
      <c r="C49" s="78" t="n">
        <v>0.0</v>
      </c>
      <c r="D49" s="78" t="n">
        <v>0.0</v>
      </c>
      <c r="E49" s="78">
        <f t="shared" si="0"/>
        <v>1903.6010000000001</v>
      </c>
      <c r="G49">
        <v>38</v>
      </c>
      <c r="H49" s="88" t="n">
        <v>4100.0</v>
      </c>
      <c r="I49" s="88" t="n">
        <v>440.0</v>
      </c>
      <c r="J49" s="88" t="n">
        <v>324.0</v>
      </c>
      <c r="K49" s="78">
        <f t="shared" si="1"/>
        <v>4072</v>
      </c>
      <c r="W49" s="9"/>
    </row>
    <row r="50" spans="1:23" x14ac:dyDescent="0.45">
      <c r="A50">
        <v>39</v>
      </c>
      <c r="B50" s="78" t="n">
        <v>1893.2657000000002</v>
      </c>
      <c r="C50" s="78" t="n">
        <v>0.0</v>
      </c>
      <c r="D50" s="78" t="n">
        <v>0.0</v>
      </c>
      <c r="E50" s="78">
        <f t="shared" si="0"/>
        <v>1893.2657000000002</v>
      </c>
      <c r="G50">
        <v>39</v>
      </c>
      <c r="H50" s="88" t="n">
        <v>3904.0</v>
      </c>
      <c r="I50" s="88" t="n">
        <v>401.0</v>
      </c>
      <c r="J50" s="88" t="n">
        <v>294.0</v>
      </c>
      <c r="K50" s="78">
        <f t="shared" si="1"/>
        <v>3767</v>
      </c>
      <c r="W50" s="9"/>
    </row>
    <row r="51" spans="1:23" x14ac:dyDescent="0.45">
      <c r="A51">
        <v>40</v>
      </c>
      <c r="B51" s="78" t="n">
        <v>3286.8853</v>
      </c>
      <c r="C51" s="78" t="n">
        <v>341.12260000000003</v>
      </c>
      <c r="D51" s="78" t="n">
        <v>0.0</v>
      </c>
      <c r="E51" s="78">
        <f t="shared" si="0"/>
        <v>3628.0079000000001</v>
      </c>
      <c r="G51">
        <v>40</v>
      </c>
      <c r="H51" s="88" t="n">
        <v>3457.0</v>
      </c>
      <c r="I51" s="88" t="n">
        <v>345.0</v>
      </c>
      <c r="J51" s="88" t="n">
        <v>229.0</v>
      </c>
      <c r="K51" s="78">
        <f t="shared" si="1"/>
        <v>3933</v>
      </c>
      <c r="W51" s="9"/>
    </row>
    <row r="52" spans="1:23" x14ac:dyDescent="0.45">
      <c r="A52">
        <v>41</v>
      </c>
      <c r="B52" s="78" t="n">
        <v>4475.4422</v>
      </c>
      <c r="C52" s="78" t="n">
        <v>1569.102</v>
      </c>
      <c r="D52" s="78" t="n">
        <v>0.0</v>
      </c>
      <c r="E52" s="78">
        <f t="shared" si="0"/>
        <v>6044.5442000000003</v>
      </c>
      <c r="G52">
        <v>41</v>
      </c>
      <c r="H52" s="88" t="n">
        <v>3121.0</v>
      </c>
      <c r="I52" s="88" t="n">
        <v>321.0</v>
      </c>
      <c r="J52" s="88" t="n">
        <v>199.0</v>
      </c>
      <c r="K52" s="78">
        <f t="shared" si="1"/>
        <v>3657</v>
      </c>
      <c r="W52" s="9"/>
    </row>
    <row r="53" spans="1:23" x14ac:dyDescent="0.45">
      <c r="A53">
        <v>42</v>
      </c>
      <c r="B53" s="78" t="n">
        <v>1898.7445</v>
      </c>
      <c r="C53" s="78" t="n">
        <v>0.0</v>
      </c>
      <c r="D53" s="78" t="n">
        <v>0.0</v>
      </c>
      <c r="E53" s="78">
        <f t="shared" si="0"/>
        <v>1898.7445</v>
      </c>
      <c r="G53">
        <v>42</v>
      </c>
      <c r="H53" s="88" t="n">
        <v>2962.0</v>
      </c>
      <c r="I53" s="88" t="n">
        <v>322.0</v>
      </c>
      <c r="J53" s="88" t="n">
        <v>201.0</v>
      </c>
      <c r="K53" s="78">
        <f t="shared" si="1"/>
        <v>3865</v>
      </c>
      <c r="W53" s="9"/>
    </row>
    <row r="54" spans="1:23" x14ac:dyDescent="0.45">
      <c r="A54">
        <v>43</v>
      </c>
      <c r="B54" s="78" t="n">
        <v>2316.9784</v>
      </c>
      <c r="C54" s="78" t="n">
        <v>575.608</v>
      </c>
      <c r="D54" s="78" t="n">
        <v>0.0</v>
      </c>
      <c r="E54" s="78">
        <f t="shared" si="0"/>
        <v>2892.5864000000001</v>
      </c>
      <c r="G54">
        <v>43</v>
      </c>
      <c r="H54" s="88" t="n">
        <v>2878.0</v>
      </c>
      <c r="I54" s="88" t="n">
        <v>268.0</v>
      </c>
      <c r="J54" s="88" t="n">
        <v>210.0</v>
      </c>
      <c r="K54" s="78">
        <f t="shared" si="1"/>
        <v>3442</v>
      </c>
      <c r="W54" s="9"/>
    </row>
    <row r="55" spans="1:23" x14ac:dyDescent="0.45">
      <c r="A55">
        <v>44</v>
      </c>
      <c r="B55" s="78" t="n">
        <v>1973.2684</v>
      </c>
      <c r="C55" s="78" t="n">
        <v>156.7628</v>
      </c>
      <c r="D55" s="78" t="n">
        <v>0.0</v>
      </c>
      <c r="E55" s="78">
        <f t="shared" si="0"/>
        <v>2130.0311999999999</v>
      </c>
      <c r="G55">
        <v>44</v>
      </c>
      <c r="H55" s="88" t="n">
        <v>2975.0</v>
      </c>
      <c r="I55" s="88" t="n">
        <v>283.0</v>
      </c>
      <c r="J55" s="88" t="n">
        <v>235.0</v>
      </c>
      <c r="K55" s="78">
        <f t="shared" si="1"/>
        <v>3573</v>
      </c>
      <c r="W55" s="9"/>
    </row>
    <row r="56" spans="1:23" x14ac:dyDescent="0.45">
      <c r="A56">
        <v>45</v>
      </c>
      <c r="B56" s="78" t="n">
        <v>2251.8714</v>
      </c>
      <c r="C56" s="78" t="n">
        <v>462.8022</v>
      </c>
      <c r="D56" s="78" t="n">
        <v>0.0</v>
      </c>
      <c r="E56" s="78">
        <f t="shared" si="0"/>
        <v>2714.6736000000001</v>
      </c>
      <c r="G56">
        <v>45</v>
      </c>
      <c r="H56" s="88" t="n">
        <v>2236.0</v>
      </c>
      <c r="I56" s="88" t="n">
        <v>227.0</v>
      </c>
      <c r="J56" s="88" t="n">
        <v>172.0</v>
      </c>
      <c r="K56" s="78">
        <f t="shared" si="1"/>
        <v>3802</v>
      </c>
      <c r="W56" s="9"/>
    </row>
    <row r="57" spans="1:23" x14ac:dyDescent="0.45">
      <c r="A57">
        <v>46</v>
      </c>
      <c r="B57" s="78" t="n">
        <v>2290.2293</v>
      </c>
      <c r="C57" s="78" t="n">
        <v>444.5827</v>
      </c>
      <c r="D57" s="78" t="n">
        <v>0.0</v>
      </c>
      <c r="E57" s="78">
        <f t="shared" si="0"/>
        <v>2734.8119999999999</v>
      </c>
      <c r="G57">
        <v>46</v>
      </c>
      <c r="H57" s="88" t="n">
        <v>1952.0</v>
      </c>
      <c r="I57" s="88" t="n">
        <v>183.0</v>
      </c>
      <c r="J57" s="88" t="n">
        <v>133.0</v>
      </c>
      <c r="K57" s="78">
        <f t="shared" si="1"/>
        <v>2728</v>
      </c>
      <c r="W57" s="9"/>
    </row>
    <row r="58" spans="1:23" x14ac:dyDescent="0.45">
      <c r="A58">
        <v>47</v>
      </c>
      <c r="B58" s="78" t="n">
        <v>4277.0594</v>
      </c>
      <c r="C58" s="78" t="n">
        <v>0.0</v>
      </c>
      <c r="D58" s="78" t="n">
        <v>0.0</v>
      </c>
      <c r="E58" s="78">
        <f t="shared" si="0"/>
        <v>4277.0594000000001</v>
      </c>
      <c r="G58">
        <v>47</v>
      </c>
      <c r="H58" s="88" t="n">
        <v>2278.0</v>
      </c>
      <c r="I58" s="88" t="n">
        <v>227.0</v>
      </c>
      <c r="J58" s="88" t="n">
        <v>169.0</v>
      </c>
      <c r="K58" s="78">
        <f t="shared" si="1"/>
        <v>2440</v>
      </c>
      <c r="W58" s="9"/>
    </row>
    <row r="59" spans="1:23" x14ac:dyDescent="0.45">
      <c r="A59">
        <v>48</v>
      </c>
      <c r="B59" s="78" t="n">
        <v>1452.1339</v>
      </c>
      <c r="C59" s="78" t="n">
        <v>0.0</v>
      </c>
      <c r="D59" s="78" t="n">
        <v>141.1814</v>
      </c>
      <c r="E59" s="78">
        <f t="shared" si="0"/>
        <v>1593.3153</v>
      </c>
      <c r="G59">
        <v>48</v>
      </c>
      <c r="H59" s="88" t="n">
        <v>2188.0</v>
      </c>
      <c r="I59" s="88" t="n">
        <v>224.0</v>
      </c>
      <c r="J59" s="88" t="n">
        <v>141.0</v>
      </c>
      <c r="K59" s="78">
        <f t="shared" si="1"/>
        <v>2711</v>
      </c>
      <c r="W59" s="9"/>
    </row>
    <row r="60" spans="1:23" x14ac:dyDescent="0.45">
      <c r="A60">
        <v>49</v>
      </c>
      <c r="B60" s="78" t="n">
        <v>2046.3182000000002</v>
      </c>
      <c r="C60" s="78" t="n">
        <v>0.0</v>
      </c>
      <c r="D60" s="78" t="n">
        <v>0.0</v>
      </c>
      <c r="E60" s="78">
        <f t="shared" si="0"/>
        <v>2046.3182000000002</v>
      </c>
      <c r="G60">
        <v>49</v>
      </c>
      <c r="H60" s="88" t="n">
        <v>2002.0</v>
      </c>
      <c r="I60" s="88" t="n">
        <v>181.0</v>
      </c>
      <c r="J60" s="88" t="n">
        <v>101.0</v>
      </c>
      <c r="K60" s="78">
        <f t="shared" si="1"/>
        <v>2367</v>
      </c>
      <c r="W60" s="9"/>
    </row>
    <row r="61" spans="1:23" x14ac:dyDescent="0.45">
      <c r="A61">
        <v>50</v>
      </c>
      <c r="B61" s="78" t="n">
        <v>1130.8743</v>
      </c>
      <c r="C61" s="78" t="n">
        <v>0.0</v>
      </c>
      <c r="D61" s="78" t="n">
        <v>0.0</v>
      </c>
      <c r="E61" s="78">
        <f t="shared" si="0"/>
        <v>1130.8742999999999</v>
      </c>
      <c r="G61">
        <v>50</v>
      </c>
      <c r="H61" s="88" t="n">
        <v>1956.0</v>
      </c>
      <c r="I61" s="88" t="n">
        <v>174.0</v>
      </c>
      <c r="J61" s="88" t="n">
        <v>137.0</v>
      </c>
      <c r="K61" s="78">
        <f t="shared" si="1"/>
        <v>2574</v>
      </c>
      <c r="W61" s="9"/>
    </row>
    <row r="62" spans="1:23" x14ac:dyDescent="0.45">
      <c r="A62">
        <v>51</v>
      </c>
      <c r="B62" s="78" t="n">
        <v>2082.071</v>
      </c>
      <c r="C62" s="78" t="n">
        <v>0.0</v>
      </c>
      <c r="D62" s="78" t="n">
        <v>109.3501</v>
      </c>
      <c r="E62" s="78">
        <f t="shared" si="0"/>
        <v>2191.4211</v>
      </c>
      <c r="G62">
        <v>51</v>
      </c>
      <c r="H62" s="88" t="n">
        <v>1250.0</v>
      </c>
      <c r="I62" s="88" t="n">
        <v>107.0</v>
      </c>
      <c r="J62" s="88" t="n">
        <v>82.0</v>
      </c>
      <c r="K62" s="78">
        <f t="shared" si="1"/>
        <v>2548</v>
      </c>
      <c r="W62" s="9"/>
    </row>
    <row r="63" spans="1:23" x14ac:dyDescent="0.45">
      <c r="A63">
        <v>52</v>
      </c>
      <c r="B63" s="78" t="n">
        <v>1193.2972</v>
      </c>
      <c r="C63" s="78" t="n">
        <v>0.0</v>
      </c>
      <c r="D63" s="78" t="n">
        <v>0.0</v>
      </c>
      <c r="E63" s="78">
        <f t="shared" si="0"/>
        <v>1193.2972</v>
      </c>
      <c r="G63">
        <v>52</v>
      </c>
      <c r="H63" s="88" t="n">
        <v>1234.0</v>
      </c>
      <c r="I63" s="88" t="n">
        <v>110.0</v>
      </c>
      <c r="J63" s="88" t="n">
        <v>80.0</v>
      </c>
      <c r="K63" s="78">
        <f t="shared" si="1"/>
        <v>2125</v>
      </c>
      <c r="W63" s="9"/>
    </row>
    <row r="64" spans="1:23" x14ac:dyDescent="0.45">
      <c r="A64">
        <v>53</v>
      </c>
      <c r="B64" s="78" t="n">
        <v>1209.8748</v>
      </c>
      <c r="C64" s="78" t="n">
        <v>542.3908</v>
      </c>
      <c r="D64" s="78" t="n">
        <v>0.0</v>
      </c>
      <c r="E64" s="78">
        <f t="shared" si="0"/>
        <v>1752.2656000000002</v>
      </c>
      <c r="G64">
        <v>53</v>
      </c>
      <c r="H64" s="88" t="n">
        <v>1039.0</v>
      </c>
      <c r="I64" s="88" t="n">
        <v>106.0</v>
      </c>
      <c r="J64" s="88" t="n">
        <v>74.0</v>
      </c>
      <c r="K64" s="78">
        <f t="shared" si="1"/>
        <v>1564</v>
      </c>
      <c r="W64" s="9"/>
    </row>
    <row r="65" spans="1:23" x14ac:dyDescent="0.45">
      <c r="A65">
        <v>54</v>
      </c>
      <c r="B65" s="78" t="n">
        <v>1823.2211</v>
      </c>
      <c r="C65" s="78" t="n">
        <v>0.0</v>
      </c>
      <c r="D65" s="78" t="n">
        <v>0.0</v>
      </c>
      <c r="E65" s="78">
        <f t="shared" si="0"/>
        <v>1823.2211</v>
      </c>
      <c r="G65">
        <v>54</v>
      </c>
      <c r="H65" s="88" t="n">
        <v>842.0</v>
      </c>
      <c r="I65" s="88" t="n">
        <v>77.0</v>
      </c>
      <c r="J65" s="88" t="n">
        <v>50.0</v>
      </c>
      <c r="K65" s="78">
        <f t="shared" si="1"/>
        <v>1472</v>
      </c>
      <c r="W65" s="9"/>
    </row>
    <row r="66" spans="1:23" x14ac:dyDescent="0.45">
      <c r="A66">
        <v>55</v>
      </c>
      <c r="B66" s="78" t="n">
        <v>762.3279</v>
      </c>
      <c r="C66" s="78" t="n">
        <v>563.5488</v>
      </c>
      <c r="D66" s="78" t="n">
        <v>0.0</v>
      </c>
      <c r="E66" s="78">
        <f t="shared" si="0"/>
        <v>1325.8767</v>
      </c>
      <c r="G66">
        <v>55</v>
      </c>
      <c r="H66" s="88" t="n">
        <v>869.0</v>
      </c>
      <c r="I66" s="88" t="n">
        <v>93.0</v>
      </c>
      <c r="J66" s="88" t="n">
        <v>43.0</v>
      </c>
      <c r="K66" s="78">
        <f t="shared" si="1"/>
        <v>923</v>
      </c>
      <c r="W66" s="9"/>
    </row>
    <row r="67" spans="1:23" x14ac:dyDescent="0.45">
      <c r="A67">
        <v>56</v>
      </c>
      <c r="B67" s="78" t="n">
        <v>238.0415</v>
      </c>
      <c r="C67" s="78" t="n">
        <v>0.0</v>
      </c>
      <c r="D67" s="78" t="n">
        <v>0.0</v>
      </c>
      <c r="E67" s="78">
        <f t="shared" si="0"/>
        <v>238.04150000000001</v>
      </c>
      <c r="G67">
        <v>56</v>
      </c>
      <c r="H67" s="88" t="n">
        <v>880.0</v>
      </c>
      <c r="I67" s="88" t="n">
        <v>93.0</v>
      </c>
      <c r="J67" s="88" t="n">
        <v>53.0</v>
      </c>
      <c r="K67" s="78">
        <f t="shared" si="1"/>
        <v>979</v>
      </c>
      <c r="W67" s="9"/>
    </row>
    <row r="68" spans="1:23" x14ac:dyDescent="0.45">
      <c r="A68">
        <v>57</v>
      </c>
      <c r="B68" s="78" t="n">
        <v>445.3698</v>
      </c>
      <c r="C68" s="78" t="n">
        <v>0.0</v>
      </c>
      <c r="D68" s="78" t="n">
        <v>0.0</v>
      </c>
      <c r="E68" s="78">
        <f t="shared" si="0"/>
        <v>445.3698</v>
      </c>
      <c r="G68">
        <v>57</v>
      </c>
      <c r="H68" s="88" t="n">
        <v>1194.0</v>
      </c>
      <c r="I68" s="88" t="n">
        <v>122.0</v>
      </c>
      <c r="J68" s="88" t="n">
        <v>65.0</v>
      </c>
      <c r="K68" s="78">
        <f t="shared" si="1"/>
        <v>1184</v>
      </c>
      <c r="W68" s="9"/>
    </row>
    <row r="69" spans="1:23" x14ac:dyDescent="0.45">
      <c r="A69">
        <v>58</v>
      </c>
      <c r="B69" s="78" t="n">
        <v>595.3603</v>
      </c>
      <c r="C69" s="78" t="n">
        <v>0.0</v>
      </c>
      <c r="D69" s="78" t="n">
        <v>0.0</v>
      </c>
      <c r="E69" s="78">
        <f t="shared" si="0"/>
        <v>595.36030000000005</v>
      </c>
      <c r="G69">
        <v>58</v>
      </c>
      <c r="H69" s="88" t="n">
        <v>737.0</v>
      </c>
      <c r="I69" s="88" t="n">
        <v>71.0</v>
      </c>
      <c r="J69" s="88" t="n">
        <v>46.0</v>
      </c>
      <c r="K69" s="78">
        <f t="shared" si="1"/>
        <v>984</v>
      </c>
      <c r="W69" s="9"/>
    </row>
    <row r="70" spans="1:23" x14ac:dyDescent="0.45">
      <c r="A70">
        <v>59</v>
      </c>
      <c r="B70" s="78" t="n">
        <v>1748.4809999999998</v>
      </c>
      <c r="C70" s="78" t="n">
        <v>0.0</v>
      </c>
      <c r="D70" s="78" t="n">
        <v>0.0</v>
      </c>
      <c r="E70" s="78">
        <f t="shared" si="0"/>
        <v>1748.4809999999998</v>
      </c>
      <c r="G70">
        <v>59</v>
      </c>
      <c r="H70" s="88" t="n">
        <v>872.0</v>
      </c>
      <c r="I70" s="88" t="n">
        <v>87.0</v>
      </c>
      <c r="J70" s="88" t="n">
        <v>67.0</v>
      </c>
      <c r="K70" s="78">
        <f t="shared" si="1"/>
        <v>1064</v>
      </c>
      <c r="W70" s="9"/>
    </row>
    <row r="71" spans="1:23" x14ac:dyDescent="0.45">
      <c r="A71">
        <v>60</v>
      </c>
      <c r="B71" s="78" t="n">
        <v>2722.4638</v>
      </c>
      <c r="C71" s="78" t="n">
        <v>0.0</v>
      </c>
      <c r="D71" s="78" t="n">
        <v>0.0</v>
      </c>
      <c r="E71" s="78">
        <f t="shared" si="0"/>
        <v>2722.4638</v>
      </c>
      <c r="G71">
        <v>60</v>
      </c>
      <c r="H71" s="88" t="n">
        <v>624.0</v>
      </c>
      <c r="I71" s="88" t="n">
        <v>53.0</v>
      </c>
      <c r="J71" s="88" t="n">
        <v>34.0</v>
      </c>
      <c r="K71" s="78">
        <f t="shared" si="1"/>
        <v>1045</v>
      </c>
      <c r="W71" s="9"/>
    </row>
    <row r="72" spans="1:23" x14ac:dyDescent="0.45">
      <c r="A72">
        <v>61</v>
      </c>
      <c r="B72" s="78" t="n">
        <v>0.0</v>
      </c>
      <c r="C72" s="78" t="n">
        <v>0.0</v>
      </c>
      <c r="D72" s="78" t="n">
        <v>0.0</v>
      </c>
      <c r="E72" s="78">
        <f t="shared" si="0"/>
        <v>0</v>
      </c>
      <c r="G72">
        <v>61</v>
      </c>
      <c r="H72" s="88" t="n">
        <v>426.0</v>
      </c>
      <c r="I72" s="88" t="n">
        <v>40.0</v>
      </c>
      <c r="J72" s="88" t="n">
        <v>26.0</v>
      </c>
      <c r="K72" s="78">
        <f t="shared" si="1"/>
        <v>829</v>
      </c>
      <c r="W72" s="9"/>
    </row>
    <row r="73" spans="1:23" x14ac:dyDescent="0.45">
      <c r="A73">
        <v>62</v>
      </c>
      <c r="B73" s="78" t="n">
        <v>213.5855</v>
      </c>
      <c r="C73" s="78" t="n">
        <v>142.4146</v>
      </c>
      <c r="D73" s="78" t="n">
        <v>0.0</v>
      </c>
      <c r="E73" s="78">
        <f t="shared" si="0"/>
        <v>356.00009999999997</v>
      </c>
      <c r="G73">
        <v>62</v>
      </c>
      <c r="H73" s="88" t="n">
        <v>477.0</v>
      </c>
      <c r="I73" s="88" t="n">
        <v>38.0</v>
      </c>
      <c r="J73" s="88" t="n">
        <v>22.0</v>
      </c>
      <c r="K73" s="78">
        <f t="shared" si="1"/>
        <v>738</v>
      </c>
      <c r="W73" s="9"/>
    </row>
    <row r="74" spans="1:23" x14ac:dyDescent="0.45">
      <c r="A74">
        <v>63</v>
      </c>
      <c r="B74" s="78" t="n">
        <v>0.0</v>
      </c>
      <c r="C74" s="78" t="n">
        <v>0.0</v>
      </c>
      <c r="D74" s="78" t="n">
        <v>0.0</v>
      </c>
      <c r="E74" s="78">
        <f t="shared" si="0"/>
        <v>0</v>
      </c>
      <c r="G74">
        <v>63</v>
      </c>
      <c r="H74" s="88" t="n">
        <v>312.0</v>
      </c>
      <c r="I74" s="88" t="n">
        <v>35.0</v>
      </c>
      <c r="J74" s="88" t="n">
        <v>25.0</v>
      </c>
      <c r="K74" s="78">
        <f t="shared" si="1"/>
        <v>541</v>
      </c>
      <c r="W74" s="9"/>
    </row>
    <row r="75" spans="1:23" x14ac:dyDescent="0.45">
      <c r="A75">
        <v>64</v>
      </c>
      <c r="B75" s="78" t="n">
        <v>844.4705</v>
      </c>
      <c r="C75" s="78" t="n">
        <v>0.0</v>
      </c>
      <c r="D75" s="78" t="n">
        <v>0.0</v>
      </c>
      <c r="E75" s="78">
        <f t="shared" si="0"/>
        <v>844.47050000000002</v>
      </c>
      <c r="G75">
        <v>64</v>
      </c>
      <c r="H75" s="88" t="n">
        <v>235.0</v>
      </c>
      <c r="I75" s="88" t="n">
        <v>27.0</v>
      </c>
      <c r="J75" s="88" t="n">
        <v>23.0</v>
      </c>
      <c r="K75" s="78">
        <f t="shared" si="1"/>
        <v>554</v>
      </c>
      <c r="W75" s="9"/>
    </row>
    <row r="76" spans="1:23" x14ac:dyDescent="0.45">
      <c r="A76">
        <v>65</v>
      </c>
      <c r="B76" s="78" t="n">
        <v>205.5457</v>
      </c>
      <c r="C76" s="78" t="n">
        <v>0.0</v>
      </c>
      <c r="D76" s="78" t="n">
        <v>0.0</v>
      </c>
      <c r="E76" s="78">
        <f t="shared" ref="E76:E101" si="2">SUM(B76:D76)</f>
        <v>205.54570000000001</v>
      </c>
      <c r="G76">
        <v>65</v>
      </c>
      <c r="H76" s="88" t="n">
        <v>339.0</v>
      </c>
      <c r="I76" s="88" t="n">
        <v>30.0</v>
      </c>
      <c r="J76" s="88" t="n">
        <v>26.0</v>
      </c>
      <c r="K76" s="78">
        <f t="shared" ref="K76:K101" si="3">SUM(H76:J76)</f>
        <v>355</v>
      </c>
      <c r="W76" s="9"/>
    </row>
    <row r="77" spans="1:23" x14ac:dyDescent="0.45">
      <c r="A77">
        <v>66</v>
      </c>
      <c r="B77" s="78" t="n">
        <v>0.0</v>
      </c>
      <c r="C77" s="78" t="n">
        <v>0.0</v>
      </c>
      <c r="D77" s="78" t="n">
        <v>0.0</v>
      </c>
      <c r="E77" s="78">
        <f t="shared" si="2"/>
        <v>0</v>
      </c>
      <c r="G77">
        <v>66</v>
      </c>
      <c r="H77" s="88" t="n">
        <v>197.0</v>
      </c>
      <c r="I77" s="88" t="n">
        <v>22.0</v>
      </c>
      <c r="J77" s="88" t="n">
        <v>20.0</v>
      </c>
      <c r="K77" s="78">
        <f t="shared" si="3"/>
        <v>516</v>
      </c>
      <c r="W77" s="9"/>
    </row>
    <row r="78" spans="1:23" x14ac:dyDescent="0.45">
      <c r="A78">
        <v>67</v>
      </c>
      <c r="B78" s="78" t="n">
        <v>182.9929</v>
      </c>
      <c r="C78" s="78" t="n">
        <v>0.0</v>
      </c>
      <c r="D78" s="78" t="n">
        <v>0.0</v>
      </c>
      <c r="E78" s="78">
        <f t="shared" si="2"/>
        <v>182.99289999999999</v>
      </c>
      <c r="G78">
        <v>67</v>
      </c>
      <c r="H78" s="88" t="n">
        <v>119.0</v>
      </c>
      <c r="I78" s="88" t="n">
        <v>11.0</v>
      </c>
      <c r="J78" s="88" t="n">
        <v>9.0</v>
      </c>
      <c r="K78" s="78">
        <f t="shared" si="3"/>
        <v>311</v>
      </c>
      <c r="W78" s="9"/>
    </row>
    <row r="79" spans="1:23" x14ac:dyDescent="0.45">
      <c r="A79">
        <v>68</v>
      </c>
      <c r="B79" s="78" t="n">
        <v>453.8196</v>
      </c>
      <c r="C79" s="78" t="n">
        <v>0.0</v>
      </c>
      <c r="D79" s="78" t="n">
        <v>0.0</v>
      </c>
      <c r="E79" s="78">
        <f t="shared" si="2"/>
        <v>453.81959999999998</v>
      </c>
      <c r="G79">
        <v>68</v>
      </c>
      <c r="H79" s="88" t="n">
        <v>121.0</v>
      </c>
      <c r="I79" s="88" t="n">
        <v>13.0</v>
      </c>
      <c r="J79" s="88" t="n">
        <v>7.0</v>
      </c>
      <c r="K79" s="78">
        <f t="shared" si="3"/>
        <v>205</v>
      </c>
      <c r="W79" s="9"/>
    </row>
    <row r="80" spans="1:23" x14ac:dyDescent="0.45">
      <c r="A80">
        <v>69</v>
      </c>
      <c r="B80" s="78" t="n">
        <v>116.1605</v>
      </c>
      <c r="C80" s="78" t="n">
        <v>0.0</v>
      </c>
      <c r="D80" s="78" t="n">
        <v>0.0</v>
      </c>
      <c r="E80" s="78">
        <f t="shared" si="2"/>
        <v>116.1605</v>
      </c>
      <c r="G80">
        <v>69</v>
      </c>
      <c r="H80" s="88" t="n">
        <v>236.0</v>
      </c>
      <c r="I80" s="88" t="n">
        <v>30.0</v>
      </c>
      <c r="J80" s="88" t="n">
        <v>10.0</v>
      </c>
      <c r="K80" s="78">
        <f t="shared" si="3"/>
        <v>124</v>
      </c>
      <c r="W80" s="9"/>
    </row>
    <row r="81" spans="1:23" x14ac:dyDescent="0.45">
      <c r="A81">
        <v>70</v>
      </c>
      <c r="B81" s="78" t="n">
        <v>0.0</v>
      </c>
      <c r="C81" s="78" t="n">
        <v>0.0</v>
      </c>
      <c r="D81" s="78" t="n">
        <v>0.0</v>
      </c>
      <c r="E81" s="78">
        <f t="shared" si="2"/>
        <v>0</v>
      </c>
      <c r="G81">
        <v>70</v>
      </c>
      <c r="H81" s="88" t="n">
        <v>77.0</v>
      </c>
      <c r="I81" s="88" t="n">
        <v>8.0</v>
      </c>
      <c r="J81" s="88" t="n">
        <v>2.0</v>
      </c>
      <c r="K81" s="78">
        <f t="shared" si="3"/>
        <v>232</v>
      </c>
      <c r="W81" s="9"/>
    </row>
    <row r="82" spans="1:23" x14ac:dyDescent="0.45">
      <c r="A82">
        <v>71</v>
      </c>
      <c r="B82" s="78" t="n">
        <v>278.0925</v>
      </c>
      <c r="C82" s="78" t="n">
        <v>0.0</v>
      </c>
      <c r="D82" s="78" t="n">
        <v>0.0</v>
      </c>
      <c r="E82" s="78">
        <f t="shared" si="2"/>
        <v>278.09249999999997</v>
      </c>
      <c r="G82">
        <v>71</v>
      </c>
      <c r="H82" s="88" t="n">
        <v>45.0</v>
      </c>
      <c r="I82" s="88" t="n">
        <v>1.0</v>
      </c>
      <c r="J82" s="88" t="n">
        <v>4.0</v>
      </c>
      <c r="K82" s="78">
        <f t="shared" si="3"/>
        <v>171</v>
      </c>
      <c r="W82" s="9"/>
    </row>
    <row r="83" spans="1:23" x14ac:dyDescent="0.45">
      <c r="A83">
        <v>72</v>
      </c>
      <c r="B83" s="78" t="n">
        <v>0.0</v>
      </c>
      <c r="C83" s="78" t="n">
        <v>0.0</v>
      </c>
      <c r="D83" s="78" t="n">
        <v>0.0</v>
      </c>
      <c r="E83" s="78">
        <f t="shared" si="2"/>
        <v>0</v>
      </c>
      <c r="G83">
        <v>72</v>
      </c>
      <c r="H83" s="88" t="n">
        <v>52.0</v>
      </c>
      <c r="I83" s="88" t="n">
        <v>5.0</v>
      </c>
      <c r="J83" s="88" t="n">
        <v>3.0</v>
      </c>
      <c r="K83" s="78">
        <f t="shared" si="3"/>
        <v>85</v>
      </c>
      <c r="W83" s="9"/>
    </row>
    <row r="84" spans="1:23" x14ac:dyDescent="0.45">
      <c r="A84">
        <v>73</v>
      </c>
      <c r="B84" s="78" t="n">
        <v>294.1416</v>
      </c>
      <c r="C84" s="78" t="n">
        <v>0.0</v>
      </c>
      <c r="D84" s="78" t="n">
        <v>0.0</v>
      </c>
      <c r="E84" s="78">
        <f t="shared" si="2"/>
        <v>294.14159999999998</v>
      </c>
      <c r="G84">
        <v>73</v>
      </c>
      <c r="H84" s="88" t="n">
        <v>44.0</v>
      </c>
      <c r="I84" s="88" t="n">
        <v>10.0</v>
      </c>
      <c r="J84" s="88" t="n">
        <v>7.0</v>
      </c>
      <c r="K84" s="78">
        <f t="shared" si="3"/>
        <v>78</v>
      </c>
      <c r="W84" s="9"/>
    </row>
    <row r="85" spans="1:23" x14ac:dyDescent="0.45">
      <c r="A85">
        <v>74</v>
      </c>
      <c r="B85" s="78" t="n">
        <v>0.0</v>
      </c>
      <c r="C85" s="78" t="n">
        <v>0.0</v>
      </c>
      <c r="D85" s="78" t="n">
        <v>0.0</v>
      </c>
      <c r="E85" s="78">
        <f t="shared" si="2"/>
        <v>0</v>
      </c>
      <c r="G85">
        <v>74</v>
      </c>
      <c r="H85" s="88" t="n">
        <v>65.0</v>
      </c>
      <c r="I85" s="88" t="n">
        <v>3.0</v>
      </c>
      <c r="J85" s="88" t="n">
        <v>11.0</v>
      </c>
      <c r="K85" s="78">
        <f t="shared" si="3"/>
        <v>74</v>
      </c>
      <c r="W85" s="9"/>
    </row>
    <row r="86" spans="1:23" x14ac:dyDescent="0.45">
      <c r="A86">
        <v>75</v>
      </c>
      <c r="B86" s="78" t="n">
        <v>0.0</v>
      </c>
      <c r="C86" s="78" t="n">
        <v>0.0</v>
      </c>
      <c r="D86" s="78" t="n">
        <v>0.0</v>
      </c>
      <c r="E86" s="78">
        <f t="shared" si="2"/>
        <v>0</v>
      </c>
      <c r="G86">
        <v>75</v>
      </c>
      <c r="H86" s="88" t="n">
        <v>38.0</v>
      </c>
      <c r="I86" s="88" t="n">
        <v>4.0</v>
      </c>
      <c r="J86" s="88" t="n">
        <v>1.0</v>
      </c>
      <c r="K86" s="78">
        <f t="shared" si="3"/>
        <v>65</v>
      </c>
      <c r="W86" s="9"/>
    </row>
    <row r="87" spans="1:23" x14ac:dyDescent="0.45">
      <c r="A87">
        <v>76</v>
      </c>
      <c r="B87" s="78" t="n">
        <v>0.0</v>
      </c>
      <c r="C87" s="78" t="n">
        <v>0.0</v>
      </c>
      <c r="D87" s="78" t="n">
        <v>0.0</v>
      </c>
      <c r="E87" s="78">
        <f t="shared" si="2"/>
        <v>0</v>
      </c>
      <c r="G87">
        <v>76</v>
      </c>
      <c r="H87" s="88" t="n">
        <v>42.0</v>
      </c>
      <c r="I87" s="88" t="n">
        <v>4.0</v>
      </c>
      <c r="J87" s="88" t="n">
        <v>1.0</v>
      </c>
      <c r="K87" s="78">
        <f t="shared" si="3"/>
        <v>40</v>
      </c>
      <c r="W87" s="9"/>
    </row>
    <row r="88" spans="1:23" x14ac:dyDescent="0.45">
      <c r="A88">
        <v>77</v>
      </c>
      <c r="B88" s="78" t="n">
        <v>0.0</v>
      </c>
      <c r="C88" s="78" t="n">
        <v>0.0</v>
      </c>
      <c r="D88" s="78" t="n">
        <v>0.0</v>
      </c>
      <c r="E88" s="78">
        <f t="shared" si="2"/>
        <v>0</v>
      </c>
      <c r="G88">
        <v>77</v>
      </c>
      <c r="H88" s="88" t="n">
        <v>44.0</v>
      </c>
      <c r="I88" s="88" t="n">
        <v>4.0</v>
      </c>
      <c r="J88" s="88" t="n">
        <v>1.0</v>
      </c>
      <c r="K88" s="78">
        <f t="shared" si="3"/>
        <v>61</v>
      </c>
      <c r="W88" s="9"/>
    </row>
    <row r="89" spans="1:23" x14ac:dyDescent="0.45">
      <c r="A89">
        <v>78</v>
      </c>
      <c r="B89" s="78" t="n">
        <v>0.0</v>
      </c>
      <c r="C89" s="78" t="n">
        <v>0.0</v>
      </c>
      <c r="D89" s="78" t="n">
        <v>0.0</v>
      </c>
      <c r="E89" s="78">
        <f t="shared" si="2"/>
        <v>0</v>
      </c>
      <c r="G89">
        <v>78</v>
      </c>
      <c r="H89" s="88" t="n">
        <v>64.0</v>
      </c>
      <c r="I89" s="88" t="n">
        <v>7.0</v>
      </c>
      <c r="J89" s="88" t="n">
        <v>6.0</v>
      </c>
      <c r="K89" s="78">
        <f t="shared" si="3"/>
        <v>87</v>
      </c>
      <c r="W89" s="9"/>
    </row>
    <row r="90" spans="1:23" x14ac:dyDescent="0.45">
      <c r="A90">
        <v>79</v>
      </c>
      <c r="B90" s="78" t="n">
        <v>0.0</v>
      </c>
      <c r="C90" s="78" t="n">
        <v>0.0</v>
      </c>
      <c r="D90" s="78" t="n">
        <v>0.0</v>
      </c>
      <c r="E90" s="78">
        <f t="shared" si="2"/>
        <v>0</v>
      </c>
      <c r="G90">
        <v>79</v>
      </c>
      <c r="H90" s="88" t="n">
        <v>38.0</v>
      </c>
      <c r="I90" s="88" t="n">
        <v>4.0</v>
      </c>
      <c r="J90" s="88" t="n">
        <v>3.0</v>
      </c>
      <c r="K90" s="78">
        <f t="shared" si="3"/>
        <v>56</v>
      </c>
      <c r="W90" s="9"/>
    </row>
    <row r="91" spans="1:23" x14ac:dyDescent="0.45">
      <c r="A91">
        <v>80</v>
      </c>
      <c r="B91" s="78" t="n">
        <v>0.0</v>
      </c>
      <c r="C91" s="78" t="n">
        <v>0.0</v>
      </c>
      <c r="D91" s="78" t="n">
        <v>0.0</v>
      </c>
      <c r="E91" s="78">
        <f t="shared" si="2"/>
        <v>0</v>
      </c>
      <c r="G91">
        <v>80</v>
      </c>
      <c r="H91" s="88" t="n">
        <v>37.0</v>
      </c>
      <c r="I91" s="88" t="n">
        <v>3.0</v>
      </c>
      <c r="J91" s="88" t="n">
        <v>5.0</v>
      </c>
      <c r="K91" s="78">
        <f t="shared" si="3"/>
        <v>32</v>
      </c>
      <c r="W91" s="9"/>
    </row>
    <row r="92" spans="1:23" x14ac:dyDescent="0.45">
      <c r="A92">
        <v>81</v>
      </c>
      <c r="B92" s="78" t="n">
        <v>0.0</v>
      </c>
      <c r="C92" s="78" t="n">
        <v>0.0</v>
      </c>
      <c r="D92" s="78" t="n">
        <v>0.0</v>
      </c>
      <c r="E92" s="78">
        <f t="shared" si="2"/>
        <v>0</v>
      </c>
      <c r="G92">
        <v>81</v>
      </c>
      <c r="H92" s="88" t="n">
        <v>52.0</v>
      </c>
      <c r="I92" s="88" t="n">
        <v>25.0</v>
      </c>
      <c r="J92" s="88" t="n">
        <v>12.0</v>
      </c>
      <c r="K92" s="78">
        <f t="shared" si="3"/>
        <v>119</v>
      </c>
      <c r="W92" s="9"/>
    </row>
    <row r="93" spans="1:23" x14ac:dyDescent="0.45">
      <c r="A93">
        <v>82</v>
      </c>
      <c r="B93" s="78" t="n">
        <v>0.0</v>
      </c>
      <c r="C93" s="78" t="n">
        <v>0.0</v>
      </c>
      <c r="D93" s="78" t="n">
        <v>0.0</v>
      </c>
      <c r="E93" s="78">
        <f t="shared" si="2"/>
        <v>0</v>
      </c>
      <c r="G93">
        <v>82</v>
      </c>
      <c r="H93" s="88" t="n">
        <v>37.0</v>
      </c>
      <c r="I93" s="88" t="n">
        <v>5.0</v>
      </c>
      <c r="J93" s="88" t="n">
        <v>1.0</v>
      </c>
      <c r="K93" s="78">
        <f t="shared" si="3"/>
        <v>38</v>
      </c>
      <c r="W93" s="9"/>
    </row>
    <row r="94" spans="1:23" x14ac:dyDescent="0.45">
      <c r="A94">
        <v>83</v>
      </c>
      <c r="B94" s="78" t="n">
        <v>0.0</v>
      </c>
      <c r="C94" s="78" t="n">
        <v>0.0</v>
      </c>
      <c r="D94" s="78" t="n">
        <v>0.0</v>
      </c>
      <c r="E94" s="78">
        <f t="shared" si="2"/>
        <v>0</v>
      </c>
      <c r="G94">
        <v>83</v>
      </c>
      <c r="H94" s="88" t="n">
        <v>30.0</v>
      </c>
      <c r="I94" s="88" t="n">
        <v>2.0</v>
      </c>
      <c r="J94" s="78" t="n">
        <v>0.0</v>
      </c>
      <c r="K94" s="78">
        <f t="shared" si="3"/>
        <v>24</v>
      </c>
      <c r="W94" s="9"/>
    </row>
    <row r="95" spans="1:23" ht="14.65" thickBot="1" x14ac:dyDescent="0.5">
      <c r="A95">
        <v>84</v>
      </c>
      <c r="B95" s="78" t="n">
        <v>0.0</v>
      </c>
      <c r="C95" s="78" t="n">
        <v>0.0</v>
      </c>
      <c r="D95" s="78" t="n">
        <v>0.0</v>
      </c>
      <c r="E95" s="78">
        <f t="shared" si="2"/>
        <v>0</v>
      </c>
      <c r="G95">
        <v>84</v>
      </c>
      <c r="H95" s="88" t="n">
        <v>41.0</v>
      </c>
      <c r="I95" s="88" t="n">
        <v>7.0</v>
      </c>
      <c r="J95" s="88" t="n">
        <v>4.0</v>
      </c>
      <c r="K95" s="78">
        <f t="shared" si="3"/>
        <v>44</v>
      </c>
      <c r="W95" s="10"/>
    </row>
    <row r="96" spans="1:23" x14ac:dyDescent="0.45">
      <c r="A96">
        <v>85</v>
      </c>
      <c r="B96" s="78" t="n">
        <v>0.0</v>
      </c>
      <c r="C96" s="78" t="n">
        <v>0.0</v>
      </c>
      <c r="D96" s="78" t="n">
        <v>0.0</v>
      </c>
      <c r="E96" s="78">
        <f t="shared" si="2"/>
        <v>0</v>
      </c>
      <c r="G96">
        <v>85</v>
      </c>
      <c r="H96" s="88" t="n">
        <v>28.0</v>
      </c>
      <c r="I96" s="88" t="n">
        <v>3.0</v>
      </c>
      <c r="J96" s="78" t="n">
        <v>2.0</v>
      </c>
      <c r="K96" s="78">
        <f t="shared" si="3"/>
        <v>27</v>
      </c>
    </row>
    <row r="97" spans="1:11" x14ac:dyDescent="0.45">
      <c r="A97">
        <v>86</v>
      </c>
      <c r="B97" s="78" t="n">
        <v>0.0</v>
      </c>
      <c r="C97" s="78" t="n">
        <v>0.0</v>
      </c>
      <c r="D97" s="78" t="n">
        <v>0.0</v>
      </c>
      <c r="E97" s="78">
        <f t="shared" si="2"/>
        <v>0</v>
      </c>
      <c r="G97">
        <v>86</v>
      </c>
      <c r="H97" s="88" t="n">
        <v>28.0</v>
      </c>
      <c r="I97" s="88" t="n">
        <v>1.0</v>
      </c>
      <c r="J97" s="88" t="n">
        <v>2.0</v>
      </c>
      <c r="K97" s="78">
        <f t="shared" si="3"/>
        <v>28</v>
      </c>
    </row>
    <row r="98" spans="1:11" x14ac:dyDescent="0.45">
      <c r="A98">
        <v>87</v>
      </c>
      <c r="B98" s="78" t="n">
        <v>0.0</v>
      </c>
      <c r="C98" s="78" t="n">
        <v>0.0</v>
      </c>
      <c r="D98" s="78" t="n">
        <v>0.0</v>
      </c>
      <c r="E98" s="78">
        <f t="shared" si="2"/>
        <v>0</v>
      </c>
      <c r="G98">
        <v>87</v>
      </c>
      <c r="H98" s="88" t="n">
        <v>16.0</v>
      </c>
      <c r="I98" s="88" t="n">
        <v>5.0</v>
      </c>
      <c r="J98" s="88" t="n">
        <v>3.0</v>
      </c>
      <c r="K98" s="78">
        <f t="shared" si="3"/>
        <v>19</v>
      </c>
    </row>
    <row r="99" spans="1:11" x14ac:dyDescent="0.45">
      <c r="A99">
        <v>88</v>
      </c>
      <c r="B99" s="78" t="n">
        <v>0.0</v>
      </c>
      <c r="C99" s="78" t="n">
        <v>0.0</v>
      </c>
      <c r="D99" s="78" t="n">
        <v>0.0</v>
      </c>
      <c r="E99" s="78">
        <f t="shared" si="2"/>
        <v>0</v>
      </c>
      <c r="G99">
        <v>88</v>
      </c>
      <c r="H99" s="88" t="n">
        <v>18.0</v>
      </c>
      <c r="I99" s="88" t="n">
        <v>0.0</v>
      </c>
      <c r="J99" s="88" t="n">
        <v>0.0</v>
      </c>
      <c r="K99" s="78">
        <f t="shared" si="3"/>
        <v>33</v>
      </c>
    </row>
    <row r="100" spans="1:11" x14ac:dyDescent="0.45">
      <c r="A100">
        <v>89</v>
      </c>
      <c r="B100" s="78" t="n">
        <v>0.0</v>
      </c>
      <c r="C100" s="78" t="n">
        <v>0.0</v>
      </c>
      <c r="D100" s="78" t="n">
        <v>0.0</v>
      </c>
      <c r="E100" s="78">
        <f t="shared" si="2"/>
        <v>0</v>
      </c>
      <c r="G100">
        <v>89</v>
      </c>
      <c r="H100" s="88" t="n">
        <v>267.0</v>
      </c>
      <c r="I100" s="88" t="n">
        <v>102.0</v>
      </c>
      <c r="J100" s="78" t="n">
        <v>57.0</v>
      </c>
      <c r="K100" s="78">
        <f t="shared" si="3"/>
        <v>506</v>
      </c>
    </row>
    <row r="101" spans="1:11" ht="14.65" thickBot="1" x14ac:dyDescent="0.5">
      <c r="A101" s="1">
        <v>90</v>
      </c>
      <c r="B101" s="79" t="n">
        <v>12081.4439</v>
      </c>
      <c r="C101" s="79" t="n">
        <v>7466.5424</v>
      </c>
      <c r="D101" s="79" t="n">
        <v>792.3663</v>
      </c>
      <c r="E101" s="79">
        <f t="shared" si="2"/>
        <v>20340.352600000002</v>
      </c>
      <c r="G101" s="1">
        <v>90</v>
      </c>
      <c r="H101" s="79" t="n">
        <v>0.0</v>
      </c>
      <c r="I101" s="79" t="n">
        <v>0.0</v>
      </c>
      <c r="J101" s="79" t="n">
        <v>0.0</v>
      </c>
      <c r="K101" s="79">
        <f t="shared" si="3"/>
        <v>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22"/>
  <sheetViews>
    <sheetView workbookViewId="0">
      <selection activeCell="A4" sqref="A4"/>
    </sheetView>
  </sheetViews>
  <sheetFormatPr defaultRowHeight="14.25" x14ac:dyDescent="0.45"/>
  <cols>
    <col min="1" max="1" customWidth="true" width="12.1328125" collapsed="true"/>
    <col min="5" max="5" bestFit="true" customWidth="true" width="9.59765625" collapsed="true"/>
    <col min="7" max="7" customWidth="true" width="10.86328125" collapsed="true"/>
    <col min="13" max="13" customWidth="true" width="10.86328125" collapsed="true"/>
    <col min="17" max="17" bestFit="true" customWidth="true" width="9.59765625" collapsed="true"/>
  </cols>
  <sheetData>
    <row r="1" spans="1:17" x14ac:dyDescent="0.45">
      <c r="A1" t="s">
        <v>25</v>
      </c>
    </row>
    <row r="2" spans="1:17" x14ac:dyDescent="0.45">
      <c r="A2" t="s">
        <v>275</v>
      </c>
    </row>
    <row r="3" spans="1:17" x14ac:dyDescent="0.45">
      <c r="A3" t="s">
        <v>276</v>
      </c>
    </row>
    <row r="4" spans="1:17" x14ac:dyDescent="0.45">
      <c r="A4" t="s">
        <v>7</v>
      </c>
    </row>
    <row r="5" spans="1:17" x14ac:dyDescent="0.45">
      <c r="A5" t="s">
        <v>8</v>
      </c>
    </row>
    <row r="7" spans="1:17" x14ac:dyDescent="0.45">
      <c r="A7" t="s">
        <v>12</v>
      </c>
    </row>
    <row r="9" spans="1:17" ht="14.65" thickBot="1" x14ac:dyDescent="0.5">
      <c r="A9" s="4" t="s">
        <v>215</v>
      </c>
      <c r="B9" s="1"/>
      <c r="C9" s="1"/>
      <c r="D9" s="1"/>
      <c r="E9" s="1"/>
      <c r="G9" s="4" t="s">
        <v>26</v>
      </c>
      <c r="H9" s="1"/>
      <c r="I9" s="1"/>
      <c r="J9" s="1"/>
      <c r="K9" s="1"/>
      <c r="M9" s="4" t="s">
        <v>14</v>
      </c>
      <c r="N9" s="1"/>
      <c r="O9" s="1"/>
      <c r="P9" s="1"/>
      <c r="Q9" s="1"/>
    </row>
    <row r="10" spans="1:17" x14ac:dyDescent="0.45">
      <c r="A10" s="2" t="s">
        <v>23</v>
      </c>
      <c r="B10" s="5" t="s">
        <v>9</v>
      </c>
      <c r="C10" s="5" t="s">
        <v>10</v>
      </c>
      <c r="D10" s="5" t="s">
        <v>11</v>
      </c>
      <c r="E10" s="5" t="s">
        <v>4</v>
      </c>
      <c r="G10" s="2" t="s">
        <v>23</v>
      </c>
      <c r="H10" s="5" t="s">
        <v>9</v>
      </c>
      <c r="I10" s="5" t="s">
        <v>10</v>
      </c>
      <c r="J10" s="5" t="s">
        <v>11</v>
      </c>
      <c r="K10" s="5" t="s">
        <v>4</v>
      </c>
      <c r="M10" s="2" t="s">
        <v>23</v>
      </c>
      <c r="N10" s="5" t="s">
        <v>9</v>
      </c>
      <c r="O10" s="5" t="s">
        <v>10</v>
      </c>
      <c r="P10" s="5" t="s">
        <v>11</v>
      </c>
      <c r="Q10" s="5" t="s">
        <v>4</v>
      </c>
    </row>
    <row r="11" spans="1:17" x14ac:dyDescent="0.45">
      <c r="A11" t="s">
        <v>27</v>
      </c>
      <c r="B11" s="12">
        <f>SUM(TDFD!B11:B15)</f>
        <v>9501.7281999999996</v>
      </c>
      <c r="C11" s="12">
        <f>SUM(TDFD!C11:C15)</f>
        <v>1671.6472999999999</v>
      </c>
      <c r="D11" s="12">
        <f>SUM(TDFD!D11:D15)</f>
        <v>205.54570000000001</v>
      </c>
      <c r="E11" s="12">
        <f>SUM(TDFD!E11:E15)</f>
        <v>11378.921200000001</v>
      </c>
      <c r="G11" t="s">
        <v>27</v>
      </c>
      <c r="H11" s="12"/>
      <c r="I11" s="12"/>
      <c r="J11" s="12"/>
      <c r="K11" s="12">
        <v>13509</v>
      </c>
      <c r="M11" t="s">
        <v>27</v>
      </c>
      <c r="N11" s="12">
        <f>SUM(TDFD!H11:H15)</f>
        <v>9810</v>
      </c>
      <c r="O11" s="12">
        <f>SUM(TDFD!I11:I15)</f>
        <v>4250</v>
      </c>
      <c r="P11" s="12">
        <f>SUM(TDFD!J11:J15)</f>
        <v>1430</v>
      </c>
      <c r="Q11" s="12">
        <f>SUM(TDFD!K11:K15)</f>
        <v>15490</v>
      </c>
    </row>
    <row r="12" spans="1:17" x14ac:dyDescent="0.45">
      <c r="A12" t="s">
        <v>28</v>
      </c>
      <c r="B12" s="12">
        <f>SUM(TDFD!B16:B20)</f>
        <v>25611.177800000001</v>
      </c>
      <c r="C12" s="12">
        <f>SUM(TDFD!C16:C20)</f>
        <v>4981.3346999999994</v>
      </c>
      <c r="D12" s="12">
        <f>SUM(TDFD!D16:D20)</f>
        <v>939.07670000000007</v>
      </c>
      <c r="E12" s="12">
        <f>SUM(TDFD!E16:E20)</f>
        <v>31531.589200000002</v>
      </c>
      <c r="G12" t="s">
        <v>28</v>
      </c>
      <c r="H12" s="12"/>
      <c r="I12" s="12"/>
      <c r="J12" s="12"/>
      <c r="K12" s="12">
        <v>48039</v>
      </c>
      <c r="M12" t="s">
        <v>28</v>
      </c>
      <c r="N12" s="12">
        <f>SUM(TDFD!H16:H20)</f>
        <v>19019</v>
      </c>
      <c r="O12" s="12">
        <f>SUM(TDFD!I16:I20)</f>
        <v>7791</v>
      </c>
      <c r="P12" s="12">
        <f>SUM(TDFD!J16:J20)</f>
        <v>3506</v>
      </c>
      <c r="Q12" s="12">
        <f>SUM(TDFD!K16:K20)</f>
        <v>30316</v>
      </c>
    </row>
    <row r="13" spans="1:17" x14ac:dyDescent="0.45">
      <c r="A13" t="s">
        <v>29</v>
      </c>
      <c r="B13" s="12">
        <f>SUM(TDFD!B21:B25)</f>
        <v>21215.455600000001</v>
      </c>
      <c r="C13" s="12">
        <f>SUM(TDFD!C21:C25)</f>
        <v>4208.6217000000006</v>
      </c>
      <c r="D13" s="12">
        <f>SUM(TDFD!D21:D25)</f>
        <v>0</v>
      </c>
      <c r="E13" s="12">
        <f>SUM(TDFD!E21:E25)</f>
        <v>25424.077300000001</v>
      </c>
      <c r="G13" t="s">
        <v>29</v>
      </c>
      <c r="H13" s="12"/>
      <c r="I13" s="12"/>
      <c r="J13" s="12"/>
      <c r="K13" s="12">
        <v>73140</v>
      </c>
      <c r="M13" t="s">
        <v>29</v>
      </c>
      <c r="N13" s="12">
        <f>SUM(TDFD!H21:H25)</f>
        <v>22415</v>
      </c>
      <c r="O13" s="12">
        <f>SUM(TDFD!I21:I25)</f>
        <v>7299</v>
      </c>
      <c r="P13" s="12">
        <f>SUM(TDFD!J21:J25)</f>
        <v>3820</v>
      </c>
      <c r="Q13" s="12">
        <f>SUM(TDFD!K21:K25)</f>
        <v>33534</v>
      </c>
    </row>
    <row r="14" spans="1:17" x14ac:dyDescent="0.45">
      <c r="A14" t="s">
        <v>30</v>
      </c>
      <c r="B14" s="12">
        <f>SUM(TDFD!B26:B30)</f>
        <v>16826.530899999998</v>
      </c>
      <c r="C14" s="12">
        <f>SUM(TDFD!C26:C30)</f>
        <v>4974.0392000000002</v>
      </c>
      <c r="D14" s="12">
        <f>SUM(TDFD!D26:D30)</f>
        <v>394.37469999999996</v>
      </c>
      <c r="E14" s="12">
        <f>SUM(TDFD!E26:E30)</f>
        <v>22194.944799999997</v>
      </c>
      <c r="G14" t="s">
        <v>30</v>
      </c>
      <c r="H14" s="12"/>
      <c r="I14" s="12"/>
      <c r="J14" s="12"/>
      <c r="K14" s="12">
        <v>91600</v>
      </c>
      <c r="M14" t="s">
        <v>30</v>
      </c>
      <c r="N14" s="12">
        <f>SUM(TDFD!H26:H30)</f>
        <v>17866</v>
      </c>
      <c r="O14" s="12">
        <f>SUM(TDFD!I26:I30)</f>
        <v>5279</v>
      </c>
      <c r="P14" s="12">
        <f>SUM(TDFD!J26:J30)</f>
        <v>2771</v>
      </c>
      <c r="Q14" s="12">
        <f>SUM(TDFD!K26:K30)</f>
        <v>25916</v>
      </c>
    </row>
    <row r="15" spans="1:17" x14ac:dyDescent="0.45">
      <c r="A15" t="s">
        <v>31</v>
      </c>
      <c r="B15" s="12">
        <f>SUM(TDFD!B31:B35)</f>
        <v>16452.820399999997</v>
      </c>
      <c r="C15" s="12">
        <f>SUM(TDFD!C31:C35)</f>
        <v>5026.2690000000002</v>
      </c>
      <c r="D15" s="12">
        <f>SUM(TDFD!D31:D35)</f>
        <v>1230.7648999999999</v>
      </c>
      <c r="E15" s="12">
        <f>SUM(TDFD!E31:E35)</f>
        <v>22709.854299999999</v>
      </c>
      <c r="G15" t="s">
        <v>31</v>
      </c>
      <c r="H15" s="12"/>
      <c r="I15" s="12"/>
      <c r="J15" s="12"/>
      <c r="K15" s="12">
        <v>100858</v>
      </c>
      <c r="M15" t="s">
        <v>31</v>
      </c>
      <c r="N15" s="12">
        <f>SUM(TDFD!H31:H35)</f>
        <v>18704</v>
      </c>
      <c r="O15" s="12">
        <f>SUM(TDFD!I31:I35)</f>
        <v>4779</v>
      </c>
      <c r="P15" s="12">
        <f>SUM(TDFD!J31:J35)</f>
        <v>2665</v>
      </c>
      <c r="Q15" s="12">
        <f>SUM(TDFD!K31:K35)</f>
        <v>26148</v>
      </c>
    </row>
    <row r="16" spans="1:17" x14ac:dyDescent="0.45">
      <c r="A16" t="s">
        <v>32</v>
      </c>
      <c r="B16" s="12">
        <f>SUM(TDFD!B36:B40)</f>
        <v>5278.5725000000002</v>
      </c>
      <c r="C16" s="12">
        <f>SUM(TDFD!C36:C40)</f>
        <v>1859.5927000000001</v>
      </c>
      <c r="D16" s="12">
        <f>SUM(TDFD!D36:D40)</f>
        <v>0</v>
      </c>
      <c r="E16" s="12">
        <f>SUM(TDFD!E36:E40)</f>
        <v>7138.1652000000013</v>
      </c>
      <c r="G16" t="s">
        <v>32</v>
      </c>
      <c r="H16" s="12"/>
      <c r="I16" s="12"/>
      <c r="J16" s="12"/>
      <c r="K16" s="12">
        <v>40453</v>
      </c>
      <c r="M16" t="s">
        <v>32</v>
      </c>
      <c r="N16" s="12">
        <f>SUM(TDFD!H36:H40)</f>
        <v>17547</v>
      </c>
      <c r="O16" s="12">
        <f>SUM(TDFD!I36:I40)</f>
        <v>3416</v>
      </c>
      <c r="P16" s="12">
        <f>SUM(TDFD!J36:J40)</f>
        <v>1975</v>
      </c>
      <c r="Q16" s="12">
        <f>SUM(TDFD!K36:K40)</f>
        <v>22938</v>
      </c>
    </row>
    <row r="17" spans="1:17" x14ac:dyDescent="0.45">
      <c r="A17" t="s">
        <v>33</v>
      </c>
      <c r="B17" s="12">
        <f>SUM(TDFD!B41:B45)</f>
        <v>12950.559299999999</v>
      </c>
      <c r="C17" s="12">
        <f>SUM(TDFD!C41:C45)</f>
        <v>736.45889999999997</v>
      </c>
      <c r="D17" s="12">
        <f>SUM(TDFD!D41:D45)</f>
        <v>0</v>
      </c>
      <c r="E17" s="12">
        <f>SUM(TDFD!E41:E45)</f>
        <v>13687.018199999999</v>
      </c>
      <c r="G17" t="s">
        <v>33</v>
      </c>
      <c r="H17" s="12"/>
      <c r="I17" s="12"/>
      <c r="J17" s="12"/>
      <c r="K17" s="12">
        <v>102299</v>
      </c>
      <c r="M17" t="s">
        <v>33</v>
      </c>
      <c r="N17" s="12">
        <f>SUM(TDFD!H41:H45)</f>
        <v>17508</v>
      </c>
      <c r="O17" s="12">
        <f>SUM(TDFD!I41:I45)</f>
        <v>2576</v>
      </c>
      <c r="P17" s="12">
        <f>SUM(TDFD!J41:J45)</f>
        <v>1484</v>
      </c>
      <c r="Q17" s="12">
        <f>SUM(TDFD!K41:K45)</f>
        <v>21568</v>
      </c>
    </row>
    <row r="18" spans="1:17" x14ac:dyDescent="0.45">
      <c r="A18" t="s">
        <v>34</v>
      </c>
      <c r="B18" s="12">
        <f>SUM(TDFD!B46:B50)</f>
        <v>11307.0785</v>
      </c>
      <c r="C18" s="12">
        <f>SUM(TDFD!C46:C50)</f>
        <v>0</v>
      </c>
      <c r="D18" s="12">
        <f>SUM(TDFD!D46:D50)</f>
        <v>195.24859999999998</v>
      </c>
      <c r="E18" s="12">
        <f>SUM(TDFD!E46:E50)</f>
        <v>11502.3271</v>
      </c>
      <c r="G18" t="s">
        <v>34</v>
      </c>
      <c r="H18" s="12"/>
      <c r="I18" s="12"/>
      <c r="J18" s="12"/>
      <c r="K18" s="12">
        <v>17547</v>
      </c>
      <c r="M18" t="s">
        <v>34</v>
      </c>
      <c r="N18" s="12">
        <f>SUM(TDFD!H46:H50)</f>
        <v>17722</v>
      </c>
      <c r="O18" s="12">
        <f>SUM(TDFD!I46:I50)</f>
        <v>2143</v>
      </c>
      <c r="P18" s="12">
        <f>SUM(TDFD!J46:J50)</f>
        <v>1447</v>
      </c>
      <c r="Q18" s="12">
        <f>SUM(TDFD!K46:K50)</f>
        <v>21312</v>
      </c>
    </row>
    <row r="19" spans="1:17" x14ac:dyDescent="0.45">
      <c r="A19" t="s">
        <v>35</v>
      </c>
      <c r="B19" s="12">
        <f>SUM(TDFD!B51:B55)</f>
        <v>13951.318800000001</v>
      </c>
      <c r="C19" s="12">
        <f>SUM(TDFD!C51:C55)</f>
        <v>2642.5953999999997</v>
      </c>
      <c r="D19" s="12">
        <f>SUM(TDFD!D51:D55)</f>
        <v>0</v>
      </c>
      <c r="E19" s="12">
        <f>SUM(TDFD!E51:E55)</f>
        <v>16593.914200000003</v>
      </c>
      <c r="G19" t="s">
        <v>35</v>
      </c>
      <c r="H19" s="12"/>
      <c r="I19" s="12"/>
      <c r="J19" s="12"/>
      <c r="K19" s="12">
        <v>20353</v>
      </c>
      <c r="M19" t="s">
        <v>35</v>
      </c>
      <c r="N19" s="12">
        <f>SUM(TDFD!H51:H55)</f>
        <v>15600</v>
      </c>
      <c r="O19" s="12">
        <f>SUM(TDFD!I51:I55)</f>
        <v>1655</v>
      </c>
      <c r="P19" s="12">
        <f>SUM(TDFD!J51:J55)</f>
        <v>1215</v>
      </c>
      <c r="Q19" s="12">
        <f>SUM(TDFD!K51:K55)</f>
        <v>18470</v>
      </c>
    </row>
    <row r="20" spans="1:17" x14ac:dyDescent="0.45">
      <c r="A20" t="s">
        <v>36</v>
      </c>
      <c r="B20" s="12">
        <f>SUM(TDFD!B56:B70)</f>
        <v>23546.5311</v>
      </c>
      <c r="C20" s="12">
        <f>SUM(TDFD!C56:C70)</f>
        <v>2013.3245000000002</v>
      </c>
      <c r="D20" s="12">
        <f>SUM(TDFD!D56:D70)</f>
        <v>250.53149999999999</v>
      </c>
      <c r="E20" s="12">
        <f>SUM(TDFD!E56:E70)</f>
        <v>25810.3871</v>
      </c>
      <c r="G20" t="s">
        <v>36</v>
      </c>
      <c r="H20" s="12"/>
      <c r="I20" s="12"/>
      <c r="J20" s="12"/>
      <c r="K20" s="12">
        <v>49147</v>
      </c>
      <c r="M20" t="s">
        <v>36</v>
      </c>
      <c r="N20" s="12">
        <f>SUM(TDFD!H56:H70)</f>
        <v>25276</v>
      </c>
      <c r="O20" s="12">
        <f>SUM(TDFD!I56:I70)</f>
        <v>2395</v>
      </c>
      <c r="P20" s="12">
        <f>SUM(TDFD!J56:J70)</f>
        <v>1794</v>
      </c>
      <c r="Q20" s="12">
        <f>SUM(TDFD!K56:K70)</f>
        <v>29465</v>
      </c>
    </row>
    <row r="21" spans="1:17" x14ac:dyDescent="0.45">
      <c r="A21" t="s">
        <v>37</v>
      </c>
      <c r="B21" s="12">
        <f>SUM(TDFD!B71:B100)</f>
        <v>5311.2725999999993</v>
      </c>
      <c r="C21" s="12">
        <f>SUM(TDFD!C71:C100)</f>
        <v>142.41460000000001</v>
      </c>
      <c r="D21" s="12">
        <f>SUM(TDFD!D71:D100)</f>
        <v>0</v>
      </c>
      <c r="E21" s="12">
        <f>SUM(TDFD!E71:E100)</f>
        <v>5453.6871999999994</v>
      </c>
      <c r="G21" t="s">
        <v>37</v>
      </c>
      <c r="H21" s="12"/>
      <c r="I21" s="12"/>
      <c r="J21" s="12"/>
      <c r="K21" s="12">
        <v>24219</v>
      </c>
      <c r="M21" t="s">
        <v>37</v>
      </c>
      <c r="N21" s="12">
        <f>SUM(TDFD!H71:H100)</f>
        <v>5891</v>
      </c>
      <c r="O21" s="12">
        <f>SUM(TDFD!I71:I100)</f>
        <v>652</v>
      </c>
      <c r="P21" s="12">
        <f>SUM(TDFD!J71:J100)</f>
        <v>494</v>
      </c>
      <c r="Q21" s="12">
        <f>SUM(TDFD!K71:K100)</f>
        <v>7037</v>
      </c>
    </row>
    <row r="22" spans="1:17" ht="14.65" thickBot="1" x14ac:dyDescent="0.5">
      <c r="A22" s="1" t="s">
        <v>38</v>
      </c>
      <c r="B22" s="13">
        <f>TDFD!B101</f>
        <v>12081.4439</v>
      </c>
      <c r="C22" s="13">
        <f>TDFD!C101</f>
        <v>7466.5424000000003</v>
      </c>
      <c r="D22" s="13">
        <f>TDFD!D101</f>
        <v>792.36630000000002</v>
      </c>
      <c r="E22" s="13">
        <f>TDFD!E101</f>
        <v>20340.352600000002</v>
      </c>
      <c r="G22" s="1" t="s">
        <v>38</v>
      </c>
      <c r="H22" s="13"/>
      <c r="I22" s="13"/>
      <c r="J22" s="13"/>
      <c r="K22" s="13">
        <v>9010</v>
      </c>
      <c r="M22" s="1" t="s">
        <v>38</v>
      </c>
      <c r="N22" s="13">
        <f>TDFD!H101</f>
        <v>0</v>
      </c>
      <c r="O22" s="13">
        <f>TDFD!I101</f>
        <v>0</v>
      </c>
      <c r="P22" s="13">
        <f>TDFD!J101</f>
        <v>0</v>
      </c>
      <c r="Q22" s="13">
        <f>TDFD!K101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J56"/>
  <sheetViews>
    <sheetView topLeftCell="K1" zoomScaleNormal="100" workbookViewId="0">
      <selection activeCell="AH46" sqref="AH46"/>
    </sheetView>
  </sheetViews>
  <sheetFormatPr defaultRowHeight="14.25" x14ac:dyDescent="0.45"/>
  <cols>
    <col min="1" max="1" customWidth="true" width="19.59765625" collapsed="true"/>
    <col min="3" max="3" bestFit="true" customWidth="true" width="9.73046875" collapsed="true"/>
    <col min="4" max="4" customWidth="true" width="8.86328125" collapsed="true"/>
    <col min="12" max="12" customWidth="true" width="19.1328125" collapsed="true"/>
    <col min="15" max="15" customWidth="true" width="10.1328125" collapsed="true"/>
    <col min="20" max="21" bestFit="true" customWidth="true" width="9.59765625" collapsed="true"/>
    <col min="23" max="23" customWidth="true" width="19.3984375" collapsed="true"/>
    <col min="26" max="26" customWidth="true" width="9.1328125" collapsed="true"/>
  </cols>
  <sheetData>
    <row r="1" spans="1:36" x14ac:dyDescent="0.45">
      <c r="A1" t="s">
        <v>2</v>
      </c>
    </row>
    <row r="2" spans="1:36" x14ac:dyDescent="0.45">
      <c r="A2" t="s">
        <v>273</v>
      </c>
    </row>
    <row r="3" spans="1:36" x14ac:dyDescent="0.45">
      <c r="A3" t="s">
        <v>18</v>
      </c>
    </row>
    <row r="4" spans="1:36" x14ac:dyDescent="0.45">
      <c r="AH4" s="7"/>
      <c r="AI4" s="7"/>
      <c r="AJ4" s="7"/>
    </row>
    <row r="5" spans="1:36" ht="14.65" thickBot="1" x14ac:dyDescent="0.5">
      <c r="A5" s="4" t="s">
        <v>214</v>
      </c>
      <c r="B5" s="1"/>
      <c r="C5" s="1"/>
      <c r="D5" s="1"/>
      <c r="E5" s="1"/>
      <c r="F5" s="1"/>
      <c r="G5" s="1"/>
      <c r="H5" s="1"/>
      <c r="I5" s="1"/>
      <c r="J5" s="1"/>
      <c r="L5" s="4" t="s">
        <v>57</v>
      </c>
      <c r="M5" s="1"/>
      <c r="N5" s="1"/>
      <c r="O5" s="1"/>
      <c r="P5" s="1"/>
      <c r="Q5" s="1"/>
      <c r="R5" s="1"/>
      <c r="S5" s="1"/>
      <c r="T5" s="1"/>
      <c r="U5" s="1"/>
      <c r="W5" s="4" t="s">
        <v>16</v>
      </c>
      <c r="X5" s="1"/>
      <c r="Y5" s="1"/>
      <c r="Z5" s="1"/>
      <c r="AA5" s="1"/>
      <c r="AB5" s="1"/>
      <c r="AC5" s="1"/>
      <c r="AD5" s="1"/>
      <c r="AE5" s="1"/>
      <c r="AF5" s="1"/>
      <c r="AH5" s="28"/>
      <c r="AI5" s="7"/>
      <c r="AJ5" s="7"/>
    </row>
    <row r="6" spans="1:36" x14ac:dyDescent="0.45">
      <c r="A6" s="2" t="s">
        <v>15</v>
      </c>
      <c r="B6" s="2" t="str">
        <f>$A$7</f>
        <v>Bellevue</v>
      </c>
      <c r="C6" s="2" t="str">
        <f>$A$8</f>
        <v>Bellevue Downtown</v>
      </c>
      <c r="D6" s="2" t="str">
        <f>$A$9</f>
        <v>Kirkland</v>
      </c>
      <c r="E6" s="2" t="str">
        <f>$A$10</f>
        <v>Redmond</v>
      </c>
      <c r="F6" s="2" t="str">
        <f>$A$11</f>
        <v>Seattle</v>
      </c>
      <c r="G6" s="2" t="str">
        <f>$A$12</f>
        <v>Seattle Downtown</v>
      </c>
      <c r="H6" s="2" t="str">
        <f>$A$13</f>
        <v>Rest</v>
      </c>
      <c r="I6" s="3" t="str">
        <f>$A$14</f>
        <v>Outside</v>
      </c>
      <c r="J6" s="3" t="s">
        <v>4</v>
      </c>
      <c r="L6" s="2" t="s">
        <v>15</v>
      </c>
      <c r="M6" s="2" t="str">
        <f>$A$7</f>
        <v>Bellevue</v>
      </c>
      <c r="N6" s="2" t="str">
        <f>$A$8</f>
        <v>Bellevue Downtown</v>
      </c>
      <c r="O6" s="2" t="str">
        <f>$A$9</f>
        <v>Kirkland</v>
      </c>
      <c r="P6" s="2" t="str">
        <f>$A$10</f>
        <v>Redmond</v>
      </c>
      <c r="Q6" s="2" t="str">
        <f>$A$11</f>
        <v>Seattle</v>
      </c>
      <c r="R6" s="2" t="str">
        <f>$A$12</f>
        <v>Seattle Downtown</v>
      </c>
      <c r="S6" s="2" t="str">
        <f>$A$13</f>
        <v>Rest</v>
      </c>
      <c r="T6" s="3" t="str">
        <f>$A$14</f>
        <v>Outside</v>
      </c>
      <c r="U6" s="3" t="s">
        <v>4</v>
      </c>
      <c r="W6" s="2" t="s">
        <v>15</v>
      </c>
      <c r="X6" s="2" t="str">
        <f>$A$7</f>
        <v>Bellevue</v>
      </c>
      <c r="Y6" s="2" t="str">
        <f>$A$8</f>
        <v>Bellevue Downtown</v>
      </c>
      <c r="Z6" s="2" t="str">
        <f>$A$9</f>
        <v>Kirkland</v>
      </c>
      <c r="AA6" s="2" t="str">
        <f>$A$10</f>
        <v>Redmond</v>
      </c>
      <c r="AB6" s="2" t="str">
        <f>$A$11</f>
        <v>Seattle</v>
      </c>
      <c r="AC6" s="2" t="str">
        <f>$A$12</f>
        <v>Seattle Downtown</v>
      </c>
      <c r="AD6" s="2" t="str">
        <f>$A$13</f>
        <v>Rest</v>
      </c>
      <c r="AE6" s="3" t="str">
        <f>$A$14</f>
        <v>Outside</v>
      </c>
      <c r="AF6" s="3" t="s">
        <v>4</v>
      </c>
      <c r="AH6" s="20"/>
      <c r="AI6" s="20"/>
      <c r="AJ6" s="7"/>
    </row>
    <row r="7" spans="1:36" x14ac:dyDescent="0.45">
      <c r="A7" s="41" t="s">
        <v>280</v>
      </c>
      <c r="B7" s="15" t="n">
        <v>18622.2188</v>
      </c>
      <c r="C7" s="15" t="n">
        <v>6072.1702000000005</v>
      </c>
      <c r="D7" s="15" t="n">
        <v>4862.4175000000005</v>
      </c>
      <c r="E7" s="15" t="n">
        <v>10577.337</v>
      </c>
      <c r="F7" s="15" t="n">
        <v>12444.7887</v>
      </c>
      <c r="G7" s="15" t="n">
        <v>9302.9043</v>
      </c>
      <c r="H7" s="15" t="n">
        <v>11449.3001</v>
      </c>
      <c r="I7" s="15">
        <v>20340.352599999998</v>
      </c>
      <c r="J7" s="15">
        <f>SUM(B7:I7)</f>
        <v>93671.489199999996</v>
      </c>
      <c r="K7" s="15"/>
      <c r="L7" t="str">
        <f>$A$7</f>
        <v>Bellevue</v>
      </c>
      <c r="T7" s="15"/>
      <c r="U7" s="15">
        <f>SUM(M7:T7)</f>
        <v>0</v>
      </c>
      <c r="V7" s="15"/>
      <c r="W7" t="str">
        <f>$A$7</f>
        <v>Bellevue</v>
      </c>
      <c r="X7" t="n">
        <v>18333.0</v>
      </c>
      <c r="Y7" t="n">
        <v>11346.0</v>
      </c>
      <c r="Z7" t="n">
        <v>3998.0</v>
      </c>
      <c r="AA7" t="n">
        <v>12214.0</v>
      </c>
      <c r="AB7" t="n">
        <v>12745.0</v>
      </c>
      <c r="AC7" t="n">
        <v>7855.0</v>
      </c>
      <c r="AD7" t="n">
        <v>22011.0</v>
      </c>
      <c r="AE7" s="15">
        <v>0</v>
      </c>
      <c r="AF7" s="15">
        <f>SUM(X7:AE7)</f>
        <v>86582</v>
      </c>
      <c r="AH7" s="16"/>
      <c r="AI7" s="16"/>
      <c r="AJ7" s="7"/>
    </row>
    <row r="8" spans="1:36" x14ac:dyDescent="0.45">
      <c r="A8" t="s">
        <v>281</v>
      </c>
      <c r="B8" s="15" t="n">
        <v>770.9271</v>
      </c>
      <c r="C8" s="15" t="n">
        <v>1361.1623</v>
      </c>
      <c r="D8" s="15" t="n">
        <v>76.2762</v>
      </c>
      <c r="E8" s="15" t="n">
        <v>1415.9551000000001</v>
      </c>
      <c r="F8" s="15" t="n">
        <v>654.9437</v>
      </c>
      <c r="G8" s="15" t="n">
        <v>355.7554</v>
      </c>
      <c r="H8" s="15" t="n">
        <v>579.1288</v>
      </c>
      <c r="I8" s="15">
        <v>13601.5198</v>
      </c>
      <c r="J8" s="15">
        <f>SUM(B8:I8)</f>
        <v>18815.668400000002</v>
      </c>
      <c r="K8" s="15"/>
      <c r="L8" t="str">
        <f>$A$8</f>
        <v>Bellevue Downtown</v>
      </c>
      <c r="T8" s="15"/>
      <c r="U8" s="15">
        <f t="shared" ref="U8:U14" si="0">SUM(M8:T8)</f>
        <v>0</v>
      </c>
      <c r="V8" s="15"/>
      <c r="W8" t="str">
        <f>$A$8</f>
        <v>Bellevue Downtown</v>
      </c>
      <c r="X8" t="n">
        <v>1558.0</v>
      </c>
      <c r="Y8" t="n">
        <v>2645.0</v>
      </c>
      <c r="Z8" t="n">
        <v>461.0</v>
      </c>
      <c r="AA8" t="n">
        <v>852.0</v>
      </c>
      <c r="AB8" t="n">
        <v>1107.0</v>
      </c>
      <c r="AC8" t="n">
        <v>668.0</v>
      </c>
      <c r="AD8" t="n">
        <v>1469.0</v>
      </c>
      <c r="AE8" s="15">
        <v>0</v>
      </c>
      <c r="AF8" s="15">
        <f t="shared" ref="AF8:AF14" si="1">SUM(X8:AE8)</f>
        <v>8736</v>
      </c>
      <c r="AH8" s="16"/>
      <c r="AI8" s="16"/>
      <c r="AJ8" s="7"/>
    </row>
    <row r="9" spans="1:36" x14ac:dyDescent="0.45">
      <c r="A9" t="s">
        <v>282</v>
      </c>
      <c r="B9" s="15" t="n">
        <v>3744.751</v>
      </c>
      <c r="C9" s="15" t="n">
        <v>5539.7495</v>
      </c>
      <c r="D9" s="15" t="n">
        <v>16450.3303</v>
      </c>
      <c r="E9" s="15" t="n">
        <v>14257.4123</v>
      </c>
      <c r="F9" s="15" t="n">
        <v>9962.1424</v>
      </c>
      <c r="G9" s="15" t="n">
        <v>6764.6253</v>
      </c>
      <c r="H9" s="15" t="n">
        <v>8479.9245</v>
      </c>
      <c r="I9" s="15">
        <v>38089.508500000004</v>
      </c>
      <c r="J9" s="15">
        <f t="shared" ref="J9:J11" si="2">SUM(B9:I9)</f>
        <v>103288.44380000001</v>
      </c>
      <c r="K9" s="15"/>
      <c r="L9" t="str">
        <f>$A$9</f>
        <v>Kirkland</v>
      </c>
      <c r="T9" s="15"/>
      <c r="U9" s="15">
        <f t="shared" si="0"/>
        <v>0</v>
      </c>
      <c r="V9" s="15"/>
      <c r="W9" t="str">
        <f>$A$9</f>
        <v>Kirkland</v>
      </c>
      <c r="X9" t="n">
        <v>8648.0</v>
      </c>
      <c r="Y9" t="n">
        <v>7673.0</v>
      </c>
      <c r="Z9" t="n">
        <v>14289.0</v>
      </c>
      <c r="AA9" t="n">
        <v>13450.0</v>
      </c>
      <c r="AB9" t="n">
        <v>14574.0</v>
      </c>
      <c r="AC9" t="n">
        <v>6745.0</v>
      </c>
      <c r="AD9" t="n">
        <v>22825.0</v>
      </c>
      <c r="AE9" s="15">
        <v>0</v>
      </c>
      <c r="AF9" s="15">
        <f t="shared" si="1"/>
        <v>87836</v>
      </c>
      <c r="AH9" s="16"/>
      <c r="AI9" s="16"/>
      <c r="AJ9" s="7"/>
    </row>
    <row r="10" spans="1:36" x14ac:dyDescent="0.45">
      <c r="A10" t="s">
        <v>283</v>
      </c>
      <c r="B10" s="15" t="n">
        <v>8579.2613</v>
      </c>
      <c r="C10" s="15" t="n">
        <v>4296.2137999999995</v>
      </c>
      <c r="D10" s="15" t="n">
        <v>5724.8873</v>
      </c>
      <c r="E10" s="15" t="n">
        <v>17795.3069</v>
      </c>
      <c r="F10" s="15" t="n">
        <v>4389.9072</v>
      </c>
      <c r="G10" s="15" t="n">
        <v>3855.6452</v>
      </c>
      <c r="H10" s="15" t="n">
        <v>5039.4436</v>
      </c>
      <c r="I10" s="15">
        <v>46131.155899999998</v>
      </c>
      <c r="J10" s="15">
        <f t="shared" si="2"/>
        <v>95811.821199999991</v>
      </c>
      <c r="K10" s="15"/>
      <c r="L10" t="str">
        <f>$A$10</f>
        <v>Redmond</v>
      </c>
      <c r="T10" s="15"/>
      <c r="U10" s="15">
        <f t="shared" si="0"/>
        <v>0</v>
      </c>
      <c r="V10" s="15"/>
      <c r="W10" t="str">
        <f>$A$10</f>
        <v>Redmond</v>
      </c>
      <c r="X10" t="n">
        <v>8623.0</v>
      </c>
      <c r="Y10" t="n">
        <v>5540.0</v>
      </c>
      <c r="Z10" t="n">
        <v>6370.0</v>
      </c>
      <c r="AA10" t="n">
        <v>19796.0</v>
      </c>
      <c r="AB10" t="n">
        <v>7766.0</v>
      </c>
      <c r="AC10" t="n">
        <v>4459.0</v>
      </c>
      <c r="AD10" t="n">
        <v>16585.0</v>
      </c>
      <c r="AE10" s="15">
        <v>0</v>
      </c>
      <c r="AF10" s="15">
        <f t="shared" si="1"/>
        <v>69040</v>
      </c>
      <c r="AH10" s="16"/>
      <c r="AI10" s="16"/>
      <c r="AJ10" s="7"/>
    </row>
    <row r="11" spans="1:36" x14ac:dyDescent="0.45">
      <c r="A11" t="s">
        <v>279</v>
      </c>
      <c r="B11" s="15" t="n">
        <v>0.0</v>
      </c>
      <c r="C11" s="15" t="n">
        <v>0.0</v>
      </c>
      <c r="D11" s="15" t="n">
        <v>0.0</v>
      </c>
      <c r="E11" s="15" t="n">
        <v>0.0</v>
      </c>
      <c r="F11" s="15" t="n">
        <v>0.0</v>
      </c>
      <c r="G11" s="15" t="n">
        <v>0.0</v>
      </c>
      <c r="H11" s="15" t="n">
        <v>0.0</v>
      </c>
      <c r="I11" s="15">
        <v>41395.866000000002</v>
      </c>
      <c r="J11" s="15">
        <f t="shared" si="2"/>
        <v>41395.866000000002</v>
      </c>
      <c r="K11" s="15"/>
      <c r="L11" t="str">
        <f>$A$11</f>
        <v>Seattle</v>
      </c>
      <c r="T11" s="15"/>
      <c r="U11" s="15">
        <f t="shared" si="0"/>
        <v>0</v>
      </c>
      <c r="V11" s="15"/>
      <c r="W11" t="str">
        <f>$A$11</f>
        <v>Seattle</v>
      </c>
      <c r="X11" t="n">
        <v>0.0</v>
      </c>
      <c r="Y11" t="n">
        <v>0.0</v>
      </c>
      <c r="Z11" t="n">
        <v>0.0</v>
      </c>
      <c r="AA11" t="n">
        <v>0.0</v>
      </c>
      <c r="AB11" t="n">
        <v>0.0</v>
      </c>
      <c r="AC11" t="n">
        <v>0.0</v>
      </c>
      <c r="AD11" t="n">
        <v>0.0</v>
      </c>
      <c r="AE11" s="15">
        <v>0</v>
      </c>
      <c r="AF11" s="15">
        <f t="shared" si="1"/>
        <v>0</v>
      </c>
      <c r="AH11" s="16"/>
      <c r="AI11" s="16"/>
      <c r="AJ11" s="7"/>
    </row>
    <row r="12" spans="1:36" x14ac:dyDescent="0.45">
      <c r="A12" t="s">
        <v>284</v>
      </c>
      <c r="B12" s="15" t="n">
        <v>0.0</v>
      </c>
      <c r="C12" s="15" t="n">
        <v>0.0</v>
      </c>
      <c r="D12" s="15" t="n">
        <v>0.0</v>
      </c>
      <c r="E12" s="15" t="n">
        <v>0.0</v>
      </c>
      <c r="F12" s="15" t="n">
        <v>0.0</v>
      </c>
      <c r="G12" s="15" t="n">
        <v>0.0</v>
      </c>
      <c r="H12" s="15" t="n">
        <v>0.0</v>
      </c>
      <c r="I12" s="15">
        <v>33252.839999999997</v>
      </c>
      <c r="J12" s="15">
        <f>SUM(B12:I12)</f>
        <v>33252.839999999997</v>
      </c>
      <c r="K12" s="15"/>
      <c r="L12" t="str">
        <f>$A$12</f>
        <v>Seattle Downtown</v>
      </c>
      <c r="T12" s="16"/>
      <c r="U12" s="15">
        <f t="shared" si="0"/>
        <v>0</v>
      </c>
      <c r="V12" s="16"/>
      <c r="W12" t="str">
        <f>$A$12</f>
        <v>Seattle Downtown</v>
      </c>
      <c r="X12" t="n">
        <v>0.0</v>
      </c>
      <c r="Y12" t="n">
        <v>0.0</v>
      </c>
      <c r="Z12" t="n">
        <v>0.0</v>
      </c>
      <c r="AA12" t="n">
        <v>0.0</v>
      </c>
      <c r="AB12" t="n">
        <v>0.0</v>
      </c>
      <c r="AC12" t="n">
        <v>0.0</v>
      </c>
      <c r="AD12" t="n">
        <v>0.0</v>
      </c>
      <c r="AE12" s="16">
        <v>0</v>
      </c>
      <c r="AF12" s="15">
        <f t="shared" si="1"/>
        <v>0</v>
      </c>
      <c r="AH12" s="16"/>
      <c r="AI12" s="16"/>
      <c r="AJ12" s="7"/>
    </row>
    <row r="13" spans="1:36" x14ac:dyDescent="0.45">
      <c r="A13" t="s">
        <v>285</v>
      </c>
      <c r="B13" s="15" t="n">
        <v>0.0</v>
      </c>
      <c r="C13" s="15" t="n">
        <v>0.0</v>
      </c>
      <c r="D13" s="15" t="n">
        <v>0.0</v>
      </c>
      <c r="E13" s="15" t="n">
        <v>0.0</v>
      </c>
      <c r="F13" s="15" t="n">
        <v>0.0</v>
      </c>
      <c r="G13" s="15" t="n">
        <v>0.0</v>
      </c>
      <c r="H13" s="15" t="n">
        <v>0.0</v>
      </c>
      <c r="I13" s="15"/>
      <c r="J13" s="15">
        <f>SUM(B13:I13)</f>
        <v>0</v>
      </c>
      <c r="K13" s="15"/>
      <c r="L13" t="str">
        <f>$A$13</f>
        <v>Rest</v>
      </c>
      <c r="T13" s="16"/>
      <c r="U13" s="15">
        <f t="shared" si="0"/>
        <v>0</v>
      </c>
      <c r="V13" s="16"/>
      <c r="W13" t="str">
        <f>$A$13</f>
        <v>Rest</v>
      </c>
      <c r="X13" t="n">
        <v>0.0</v>
      </c>
      <c r="Y13" t="n">
        <v>0.0</v>
      </c>
      <c r="Z13" t="n">
        <v>0.0</v>
      </c>
      <c r="AA13" t="n">
        <v>0.0</v>
      </c>
      <c r="AB13" t="n">
        <v>0.0</v>
      </c>
      <c r="AC13" t="n">
        <v>0.0</v>
      </c>
      <c r="AD13" t="n">
        <v>0.0</v>
      </c>
      <c r="AE13" s="16"/>
      <c r="AF13" s="15">
        <f t="shared" si="1"/>
        <v>0</v>
      </c>
      <c r="AH13" s="16"/>
      <c r="AI13" s="16"/>
      <c r="AJ13" s="7"/>
    </row>
    <row r="14" spans="1:36" x14ac:dyDescent="0.45">
      <c r="A14" s="8" t="s">
        <v>17</v>
      </c>
      <c r="B14" s="17"/>
      <c r="C14" s="17"/>
      <c r="D14" s="17"/>
      <c r="E14" s="17"/>
      <c r="F14" s="17"/>
      <c r="G14" s="17"/>
      <c r="H14" s="17"/>
      <c r="I14" s="17"/>
      <c r="J14" s="17">
        <f>SUM(B14:I14)</f>
        <v>0</v>
      </c>
      <c r="K14" s="15"/>
      <c r="L14" s="18" t="s">
        <v>17</v>
      </c>
      <c r="M14" s="17"/>
      <c r="N14" s="17"/>
      <c r="O14" s="17"/>
      <c r="P14" s="17"/>
      <c r="Q14" s="17"/>
      <c r="R14" s="17"/>
      <c r="S14" s="17"/>
      <c r="T14" s="17"/>
      <c r="U14" s="15">
        <f t="shared" si="0"/>
        <v>0</v>
      </c>
      <c r="V14" s="15"/>
      <c r="W14" s="18" t="s">
        <v>17</v>
      </c>
      <c r="X14" s="17"/>
      <c r="Y14" s="17"/>
      <c r="Z14" s="17"/>
      <c r="AA14" s="17"/>
      <c r="AB14" s="17"/>
      <c r="AC14" s="17"/>
      <c r="AD14" s="17"/>
      <c r="AE14" s="17"/>
      <c r="AF14" s="17">
        <f t="shared" si="1"/>
        <v>0</v>
      </c>
      <c r="AI14" s="16"/>
      <c r="AJ14" s="7"/>
    </row>
    <row r="15" spans="1:36" ht="14.65" thickBot="1" x14ac:dyDescent="0.5">
      <c r="A15" s="1" t="s">
        <v>4</v>
      </c>
      <c r="B15" s="19">
        <f>SUM(B7:B14)</f>
        <v>31717.158199999998</v>
      </c>
      <c r="C15" s="19">
        <f>SUM(C7:C14)</f>
        <v>17269.2958</v>
      </c>
      <c r="D15" s="19">
        <f>SUM(D7:D14)</f>
        <v>27113.9113</v>
      </c>
      <c r="E15" s="19">
        <f t="shared" ref="E15:H15" si="3">SUM(E7:E14)</f>
        <v>44046.011299999998</v>
      </c>
      <c r="F15" s="19">
        <f t="shared" si="3"/>
        <v>27451.781999999999</v>
      </c>
      <c r="G15" s="19">
        <f t="shared" si="3"/>
        <v>20278.930199999999</v>
      </c>
      <c r="H15" s="19">
        <f t="shared" si="3"/>
        <v>25547.796999999999</v>
      </c>
      <c r="I15" s="19">
        <f>SUM(I7:I14)</f>
        <v>192811.24280000001</v>
      </c>
      <c r="J15" s="19">
        <f>SUM(J7:J14)</f>
        <v>386236.12859999994</v>
      </c>
      <c r="K15" s="15"/>
      <c r="L15" s="19" t="s">
        <v>4</v>
      </c>
      <c r="M15" s="19">
        <f>SUM(M7:M14)</f>
        <v>0</v>
      </c>
      <c r="N15" s="19">
        <f t="shared" ref="N15:U15" si="4">SUM(N7:N14)</f>
        <v>0</v>
      </c>
      <c r="O15" s="19">
        <f t="shared" si="4"/>
        <v>0</v>
      </c>
      <c r="P15" s="19">
        <f t="shared" si="4"/>
        <v>0</v>
      </c>
      <c r="Q15" s="19">
        <f t="shared" si="4"/>
        <v>0</v>
      </c>
      <c r="R15" s="19">
        <f t="shared" si="4"/>
        <v>0</v>
      </c>
      <c r="S15" s="19">
        <f t="shared" si="4"/>
        <v>0</v>
      </c>
      <c r="T15" s="19">
        <f t="shared" si="4"/>
        <v>0</v>
      </c>
      <c r="U15" s="19">
        <f t="shared" si="4"/>
        <v>0</v>
      </c>
      <c r="V15" s="15"/>
      <c r="W15" s="19" t="s">
        <v>4</v>
      </c>
      <c r="X15" s="19">
        <f>SUM(X7:X14)</f>
        <v>36629</v>
      </c>
      <c r="Y15" s="19">
        <f t="shared" ref="Y15:AF15" si="5">SUM(Y7:Y14)</f>
        <v>27384</v>
      </c>
      <c r="Z15" s="19">
        <f t="shared" si="5"/>
        <v>24615</v>
      </c>
      <c r="AA15" s="19">
        <f t="shared" si="5"/>
        <v>45324</v>
      </c>
      <c r="AB15" s="19">
        <f t="shared" si="5"/>
        <v>37988</v>
      </c>
      <c r="AC15" s="19">
        <f t="shared" si="5"/>
        <v>18766</v>
      </c>
      <c r="AD15" s="19">
        <f t="shared" si="5"/>
        <v>61488</v>
      </c>
      <c r="AE15" s="19">
        <f t="shared" si="5"/>
        <v>0</v>
      </c>
      <c r="AF15" s="19">
        <f t="shared" si="5"/>
        <v>252194</v>
      </c>
      <c r="AH15" s="21"/>
      <c r="AI15" s="16"/>
      <c r="AJ15" s="7"/>
    </row>
    <row r="16" spans="1:36" x14ac:dyDescent="0.45">
      <c r="AH16" s="7"/>
      <c r="AI16" s="7"/>
      <c r="AJ16" s="7"/>
    </row>
    <row r="17" spans="1:36" x14ac:dyDescent="0.45">
      <c r="AH17" s="7"/>
      <c r="AI17" s="7"/>
      <c r="AJ17" s="7"/>
    </row>
    <row r="18" spans="1:36" ht="14.65" thickBot="1" x14ac:dyDescent="0.5">
      <c r="A18" s="4" t="s">
        <v>214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58</v>
      </c>
      <c r="M18" s="1"/>
      <c r="N18" s="1"/>
      <c r="O18" s="1"/>
      <c r="P18" s="1"/>
      <c r="Q18" s="1"/>
      <c r="R18" s="1"/>
      <c r="S18" s="1"/>
      <c r="T18" s="1"/>
      <c r="U18" s="1"/>
    </row>
    <row r="19" spans="1:36" x14ac:dyDescent="0.45">
      <c r="A19" s="2" t="s">
        <v>15</v>
      </c>
      <c r="B19" s="2" t="str">
        <f>$A$7</f>
        <v>Bellevue</v>
      </c>
      <c r="C19" s="2" t="str">
        <f>$A$8</f>
        <v>Bellevue Downtown</v>
      </c>
      <c r="D19" s="2" t="str">
        <f>$A$9</f>
        <v>Kirkland</v>
      </c>
      <c r="E19" s="2" t="str">
        <f>$A$10</f>
        <v>Redmond</v>
      </c>
      <c r="F19" s="2" t="str">
        <f>$A$11</f>
        <v>Seattle</v>
      </c>
      <c r="G19" s="2" t="str">
        <f>$A$12</f>
        <v>Seattle Downtown</v>
      </c>
      <c r="H19" s="2" t="str">
        <f>$A$13</f>
        <v>Rest</v>
      </c>
      <c r="I19" s="3" t="str">
        <f>$A$14</f>
        <v>Outside</v>
      </c>
      <c r="J19" s="3" t="s">
        <v>4</v>
      </c>
      <c r="L19" s="2" t="s">
        <v>15</v>
      </c>
      <c r="M19" s="2" t="str">
        <f>$A$7</f>
        <v>Bellevue</v>
      </c>
      <c r="N19" s="2" t="str">
        <f>$A$8</f>
        <v>Bellevue Downtown</v>
      </c>
      <c r="O19" s="2" t="str">
        <f>$A$9</f>
        <v>Kirkland</v>
      </c>
      <c r="P19" s="2" t="str">
        <f>$A$10</f>
        <v>Redmond</v>
      </c>
      <c r="Q19" s="2" t="str">
        <f>$A$11</f>
        <v>Seattle</v>
      </c>
      <c r="R19" s="2" t="str">
        <f>$A$12</f>
        <v>Seattle Downtown</v>
      </c>
      <c r="S19" s="2" t="str">
        <f>$A$13</f>
        <v>Rest</v>
      </c>
      <c r="T19" s="3" t="str">
        <f>$A$14</f>
        <v>Outside</v>
      </c>
      <c r="U19" s="3" t="s">
        <v>4</v>
      </c>
    </row>
    <row r="20" spans="1:36" x14ac:dyDescent="0.45">
      <c r="A20" s="41" t="str">
        <f>A7</f>
        <v>Bellevue</v>
      </c>
      <c r="B20" s="15">
        <f t="shared" ref="B20:G26" si="6">(B7/$J7)*$AF7</f>
        <v>17212.803617320948</v>
      </c>
      <c r="C20" s="15">
        <f t="shared" si="6"/>
        <v>5612.6004267304852</v>
      </c>
      <c r="D20" s="15">
        <f t="shared" si="6"/>
        <v>4494.4073760386</v>
      </c>
      <c r="E20" s="15">
        <f t="shared" si="6"/>
        <v>9776.7954791306984</v>
      </c>
      <c r="F20" s="15">
        <f t="shared" si="6"/>
        <v>11502.909844027545</v>
      </c>
      <c r="G20" s="15">
        <f t="shared" si="6"/>
        <v>8598.8177083726787</v>
      </c>
      <c r="H20" s="15">
        <f t="shared" ref="H20:I20" si="7">(H7/$J7)*$AF7</f>
        <v>10582.764400613372</v>
      </c>
      <c r="I20" s="15">
        <f t="shared" si="7"/>
        <v>18800.901147765675</v>
      </c>
      <c r="J20" s="15">
        <f>SUM(B20:I20)</f>
        <v>86582</v>
      </c>
      <c r="L20" t="str">
        <f>$A$7</f>
        <v>Bellevue</v>
      </c>
      <c r="M20" s="15" t="e">
        <f t="shared" ref="M20:T26" si="8">M7*($AF7/$U7)</f>
        <v>#DIV/0!</v>
      </c>
      <c r="N20" s="15" t="e">
        <f t="shared" si="8"/>
        <v>#DIV/0!</v>
      </c>
      <c r="O20" s="15" t="e">
        <f t="shared" si="8"/>
        <v>#DIV/0!</v>
      </c>
      <c r="P20" s="15" t="e">
        <f t="shared" si="8"/>
        <v>#DIV/0!</v>
      </c>
      <c r="Q20" s="15" t="e">
        <f t="shared" si="8"/>
        <v>#DIV/0!</v>
      </c>
      <c r="R20" s="15" t="e">
        <f t="shared" si="8"/>
        <v>#DIV/0!</v>
      </c>
      <c r="S20" s="15" t="e">
        <f t="shared" si="8"/>
        <v>#DIV/0!</v>
      </c>
      <c r="T20" s="15" t="e">
        <f t="shared" ref="T20:T25" si="9">T7*($AF7/$U7)</f>
        <v>#DIV/0!</v>
      </c>
      <c r="U20" s="15" t="e">
        <f>SUM(M20:T20)</f>
        <v>#DIV/0!</v>
      </c>
    </row>
    <row r="21" spans="1:36" x14ac:dyDescent="0.45">
      <c r="A21" s="41" t="str">
        <f t="shared" ref="A21:A27" si="10">A8</f>
        <v>Bellevue Downtown</v>
      </c>
      <c r="B21" s="15">
        <f t="shared" si="6"/>
        <v>357.93674731214963</v>
      </c>
      <c r="C21" s="15">
        <f t="shared" si="6"/>
        <v>631.97934827550409</v>
      </c>
      <c r="D21" s="15">
        <f t="shared" si="6"/>
        <v>35.414574121640022</v>
      </c>
      <c r="E21" s="15">
        <f t="shared" si="6"/>
        <v>657.41931089729451</v>
      </c>
      <c r="F21" s="15">
        <f t="shared" si="6"/>
        <v>304.0863625764153</v>
      </c>
      <c r="G21" s="15">
        <f t="shared" si="6"/>
        <v>165.17506092953889</v>
      </c>
      <c r="H21" s="15">
        <f t="shared" ref="H21:I21" si="11">(H8/$J8)*$AF8</f>
        <v>268.88596722931186</v>
      </c>
      <c r="I21" s="15">
        <f t="shared" si="11"/>
        <v>6315.1026286581446</v>
      </c>
      <c r="J21" s="15">
        <f>SUM(B21:I21)</f>
        <v>8736</v>
      </c>
      <c r="L21" t="str">
        <f>$A$8</f>
        <v>Bellevue Downtown</v>
      </c>
      <c r="M21" s="15" t="e">
        <f t="shared" si="8"/>
        <v>#DIV/0!</v>
      </c>
      <c r="N21" s="15" t="e">
        <f t="shared" si="8"/>
        <v>#DIV/0!</v>
      </c>
      <c r="O21" s="15" t="e">
        <f t="shared" si="8"/>
        <v>#DIV/0!</v>
      </c>
      <c r="P21" s="15" t="e">
        <f t="shared" si="8"/>
        <v>#DIV/0!</v>
      </c>
      <c r="Q21" s="15" t="e">
        <f t="shared" si="8"/>
        <v>#DIV/0!</v>
      </c>
      <c r="R21" s="15" t="e">
        <f t="shared" si="8"/>
        <v>#DIV/0!</v>
      </c>
      <c r="S21" s="15" t="e">
        <f t="shared" ref="S21" si="12">S8*($AF8/$U8)</f>
        <v>#DIV/0!</v>
      </c>
      <c r="T21" s="15" t="e">
        <f t="shared" si="9"/>
        <v>#DIV/0!</v>
      </c>
      <c r="U21" s="15" t="e">
        <f>SUM(M21:T21)</f>
        <v>#DIV/0!</v>
      </c>
    </row>
    <row r="22" spans="1:36" x14ac:dyDescent="0.45">
      <c r="A22" s="41" t="str">
        <f t="shared" si="10"/>
        <v>Kirkland</v>
      </c>
      <c r="B22" s="15">
        <f t="shared" si="6"/>
        <v>3184.5183907785818</v>
      </c>
      <c r="C22" s="15">
        <f t="shared" si="6"/>
        <v>4710.9765543974627</v>
      </c>
      <c r="D22" s="15">
        <f t="shared" si="6"/>
        <v>13989.282431524058</v>
      </c>
      <c r="E22" s="15">
        <f t="shared" si="6"/>
        <v>12124.43542287932</v>
      </c>
      <c r="F22" s="15">
        <f t="shared" si="6"/>
        <v>8471.7583850982555</v>
      </c>
      <c r="G22" s="15">
        <f t="shared" si="6"/>
        <v>5752.6050929891144</v>
      </c>
      <c r="H22" s="15">
        <f t="shared" ref="H22:I22" si="13">(H9/$J9)*$AF9</f>
        <v>7211.2873519931936</v>
      </c>
      <c r="I22" s="15">
        <f t="shared" si="13"/>
        <v>32391.136370340009</v>
      </c>
      <c r="J22" s="15">
        <f t="shared" ref="J22:J24" si="14">SUM(B22:I22)</f>
        <v>87836</v>
      </c>
      <c r="L22" t="str">
        <f>$A$9</f>
        <v>Kirkland</v>
      </c>
      <c r="M22" s="15" t="e">
        <f t="shared" si="8"/>
        <v>#DIV/0!</v>
      </c>
      <c r="N22" s="15" t="e">
        <f t="shared" si="8"/>
        <v>#DIV/0!</v>
      </c>
      <c r="O22" s="15" t="e">
        <f t="shared" si="8"/>
        <v>#DIV/0!</v>
      </c>
      <c r="P22" s="15" t="e">
        <f t="shared" si="8"/>
        <v>#DIV/0!</v>
      </c>
      <c r="Q22" s="15" t="e">
        <f t="shared" si="8"/>
        <v>#DIV/0!</v>
      </c>
      <c r="R22" s="15" t="e">
        <f t="shared" si="8"/>
        <v>#DIV/0!</v>
      </c>
      <c r="S22" s="15" t="e">
        <f t="shared" ref="S22" si="15">S9*($AF9/$U9)</f>
        <v>#DIV/0!</v>
      </c>
      <c r="T22" s="15" t="e">
        <f t="shared" si="9"/>
        <v>#DIV/0!</v>
      </c>
      <c r="U22" s="15" t="e">
        <f>SUM(M22:T22)</f>
        <v>#DIV/0!</v>
      </c>
    </row>
    <row r="23" spans="1:36" x14ac:dyDescent="0.45">
      <c r="A23" s="41" t="str">
        <f t="shared" si="10"/>
        <v>Redmond</v>
      </c>
      <c r="B23" s="15">
        <f t="shared" si="6"/>
        <v>6182.036754270569</v>
      </c>
      <c r="C23" s="15">
        <f t="shared" si="6"/>
        <v>3095.7620577198668</v>
      </c>
      <c r="D23" s="15">
        <f t="shared" si="6"/>
        <v>4125.2343838340485</v>
      </c>
      <c r="E23" s="15">
        <f t="shared" si="6"/>
        <v>12822.926993647419</v>
      </c>
      <c r="F23" s="15">
        <f t="shared" si="6"/>
        <v>3163.2755675872695</v>
      </c>
      <c r="G23" s="15">
        <f t="shared" si="6"/>
        <v>2778.2975135431411</v>
      </c>
      <c r="H23" s="15">
        <f t="shared" ref="H23:I23" si="16">(H10/$J10)*$AF10</f>
        <v>3631.3179499817297</v>
      </c>
      <c r="I23" s="15">
        <f t="shared" si="16"/>
        <v>33241.148779415955</v>
      </c>
      <c r="J23" s="15">
        <f t="shared" si="14"/>
        <v>69040</v>
      </c>
      <c r="L23" t="str">
        <f>$A$10</f>
        <v>Redmond</v>
      </c>
      <c r="M23" s="15" t="e">
        <f t="shared" si="8"/>
        <v>#DIV/0!</v>
      </c>
      <c r="N23" s="15" t="e">
        <f t="shared" si="8"/>
        <v>#DIV/0!</v>
      </c>
      <c r="O23" s="15" t="e">
        <f t="shared" si="8"/>
        <v>#DIV/0!</v>
      </c>
      <c r="P23" s="15" t="e">
        <f t="shared" si="8"/>
        <v>#DIV/0!</v>
      </c>
      <c r="Q23" s="15" t="e">
        <f t="shared" si="8"/>
        <v>#DIV/0!</v>
      </c>
      <c r="R23" s="15" t="e">
        <f t="shared" si="8"/>
        <v>#DIV/0!</v>
      </c>
      <c r="S23" s="15" t="e">
        <f t="shared" ref="S23" si="17">S10*($AF10/$U10)</f>
        <v>#DIV/0!</v>
      </c>
      <c r="T23" s="15" t="e">
        <f t="shared" si="9"/>
        <v>#DIV/0!</v>
      </c>
      <c r="U23" s="15" t="e">
        <f t="shared" ref="U23:U26" si="18">SUM(M23:T23)</f>
        <v>#DIV/0!</v>
      </c>
    </row>
    <row r="24" spans="1:36" x14ac:dyDescent="0.45">
      <c r="A24" s="41" t="str">
        <f t="shared" si="10"/>
        <v>Seattle</v>
      </c>
      <c r="B24" s="15">
        <f t="shared" si="6"/>
        <v>0</v>
      </c>
      <c r="C24" s="15">
        <f t="shared" si="6"/>
        <v>0</v>
      </c>
      <c r="D24" s="15">
        <f t="shared" si="6"/>
        <v>0</v>
      </c>
      <c r="E24" s="15">
        <f t="shared" si="6"/>
        <v>0</v>
      </c>
      <c r="F24" s="15">
        <f t="shared" si="6"/>
        <v>0</v>
      </c>
      <c r="G24" s="15">
        <f t="shared" si="6"/>
        <v>0</v>
      </c>
      <c r="H24" s="15">
        <f t="shared" ref="H24:I24" si="19">(H11/$J11)*$AF11</f>
        <v>0</v>
      </c>
      <c r="I24" s="15">
        <f t="shared" si="19"/>
        <v>0</v>
      </c>
      <c r="J24" s="15">
        <f t="shared" si="14"/>
        <v>0</v>
      </c>
      <c r="L24" t="str">
        <f>$A$11</f>
        <v>Seattle</v>
      </c>
      <c r="M24" s="15" t="e">
        <f t="shared" si="8"/>
        <v>#DIV/0!</v>
      </c>
      <c r="N24" s="15" t="e">
        <f t="shared" si="8"/>
        <v>#DIV/0!</v>
      </c>
      <c r="O24" s="15" t="e">
        <f t="shared" si="8"/>
        <v>#DIV/0!</v>
      </c>
      <c r="P24" s="15" t="e">
        <f t="shared" si="8"/>
        <v>#DIV/0!</v>
      </c>
      <c r="Q24" s="15" t="e">
        <f t="shared" si="8"/>
        <v>#DIV/0!</v>
      </c>
      <c r="R24" s="15" t="e">
        <f t="shared" si="8"/>
        <v>#DIV/0!</v>
      </c>
      <c r="S24" s="15" t="e">
        <f t="shared" ref="S24" si="20">S11*($AF11/$U11)</f>
        <v>#DIV/0!</v>
      </c>
      <c r="T24" s="15" t="e">
        <f t="shared" si="9"/>
        <v>#DIV/0!</v>
      </c>
      <c r="U24" s="15" t="e">
        <f t="shared" si="18"/>
        <v>#DIV/0!</v>
      </c>
    </row>
    <row r="25" spans="1:36" x14ac:dyDescent="0.45">
      <c r="A25" s="41" t="str">
        <f t="shared" si="10"/>
        <v>Seattle Downtown</v>
      </c>
      <c r="B25" s="15">
        <f t="shared" si="6"/>
        <v>0</v>
      </c>
      <c r="C25" s="15">
        <f t="shared" si="6"/>
        <v>0</v>
      </c>
      <c r="D25" s="15">
        <f t="shared" si="6"/>
        <v>0</v>
      </c>
      <c r="E25" s="15">
        <f t="shared" si="6"/>
        <v>0</v>
      </c>
      <c r="F25" s="15">
        <f t="shared" si="6"/>
        <v>0</v>
      </c>
      <c r="G25" s="15">
        <f t="shared" si="6"/>
        <v>0</v>
      </c>
      <c r="H25" s="15">
        <f t="shared" ref="H25:I26" si="21">(H12/$J12)*$AF12</f>
        <v>0</v>
      </c>
      <c r="I25" s="15">
        <f t="shared" si="21"/>
        <v>0</v>
      </c>
      <c r="J25" s="15">
        <f>SUM(B25:I25)</f>
        <v>0</v>
      </c>
      <c r="L25" t="str">
        <f>$A$12</f>
        <v>Seattle Downtown</v>
      </c>
      <c r="M25" s="15" t="e">
        <f t="shared" si="8"/>
        <v>#DIV/0!</v>
      </c>
      <c r="N25" s="15" t="e">
        <f t="shared" si="8"/>
        <v>#DIV/0!</v>
      </c>
      <c r="O25" s="15" t="e">
        <f t="shared" si="8"/>
        <v>#DIV/0!</v>
      </c>
      <c r="P25" s="15" t="e">
        <f t="shared" si="8"/>
        <v>#DIV/0!</v>
      </c>
      <c r="Q25" s="15" t="e">
        <f t="shared" si="8"/>
        <v>#DIV/0!</v>
      </c>
      <c r="R25" s="15" t="e">
        <f t="shared" si="8"/>
        <v>#DIV/0!</v>
      </c>
      <c r="S25" s="15" t="e">
        <f t="shared" ref="S25" si="22">S12*($AF12/$U12)</f>
        <v>#DIV/0!</v>
      </c>
      <c r="T25" s="15" t="e">
        <f t="shared" si="9"/>
        <v>#DIV/0!</v>
      </c>
      <c r="U25" s="15" t="e">
        <f t="shared" si="18"/>
        <v>#DIV/0!</v>
      </c>
    </row>
    <row r="26" spans="1:36" x14ac:dyDescent="0.45">
      <c r="A26" s="41" t="str">
        <f t="shared" si="10"/>
        <v>Rest</v>
      </c>
      <c r="B26" s="15" t="e">
        <f t="shared" si="6"/>
        <v>#DIV/0!</v>
      </c>
      <c r="C26" s="15" t="e">
        <f t="shared" si="6"/>
        <v>#DIV/0!</v>
      </c>
      <c r="D26" s="15" t="e">
        <f t="shared" si="6"/>
        <v>#DIV/0!</v>
      </c>
      <c r="E26" s="15" t="e">
        <f t="shared" si="6"/>
        <v>#DIV/0!</v>
      </c>
      <c r="F26" s="15" t="e">
        <f t="shared" si="6"/>
        <v>#DIV/0!</v>
      </c>
      <c r="G26" s="15" t="e">
        <f t="shared" si="6"/>
        <v>#DIV/0!</v>
      </c>
      <c r="H26" s="15" t="e">
        <f t="shared" si="21"/>
        <v>#DIV/0!</v>
      </c>
      <c r="I26" s="15" t="e">
        <f t="shared" si="21"/>
        <v>#DIV/0!</v>
      </c>
      <c r="J26" s="15" t="e">
        <f>SUM(B26:I26)</f>
        <v>#DIV/0!</v>
      </c>
      <c r="L26" t="str">
        <f>$A$13</f>
        <v>Rest</v>
      </c>
      <c r="M26" s="15" t="e">
        <f t="shared" si="8"/>
        <v>#DIV/0!</v>
      </c>
      <c r="N26" s="15" t="e">
        <f t="shared" si="8"/>
        <v>#DIV/0!</v>
      </c>
      <c r="O26" s="15" t="e">
        <f t="shared" si="8"/>
        <v>#DIV/0!</v>
      </c>
      <c r="P26" s="15" t="e">
        <f t="shared" si="8"/>
        <v>#DIV/0!</v>
      </c>
      <c r="Q26" s="15" t="e">
        <f t="shared" si="8"/>
        <v>#DIV/0!</v>
      </c>
      <c r="R26" s="15" t="e">
        <f t="shared" si="8"/>
        <v>#DIV/0!</v>
      </c>
      <c r="S26" s="15" t="e">
        <f t="shared" ref="S26" si="23">S13*($AF13/$U13)</f>
        <v>#DIV/0!</v>
      </c>
      <c r="T26" s="15" t="e">
        <f t="shared" si="8"/>
        <v>#DIV/0!</v>
      </c>
      <c r="U26" s="15" t="e">
        <f t="shared" si="18"/>
        <v>#DIV/0!</v>
      </c>
    </row>
    <row r="27" spans="1:36" x14ac:dyDescent="0.45">
      <c r="A27" s="91" t="str">
        <f t="shared" si="10"/>
        <v>Outside</v>
      </c>
      <c r="B27" s="17"/>
      <c r="C27" s="17"/>
      <c r="D27" s="17"/>
      <c r="E27" s="17"/>
      <c r="F27" s="17"/>
      <c r="G27" s="17"/>
      <c r="H27" s="17"/>
      <c r="I27" s="17"/>
      <c r="J27" s="17">
        <f>SUM(B27:I27)</f>
        <v>0</v>
      </c>
      <c r="L27" s="18" t="s">
        <v>17</v>
      </c>
      <c r="M27" s="17" t="e">
        <f t="shared" ref="M27:S27" si="24">M14*($AF14/$U14)</f>
        <v>#DIV/0!</v>
      </c>
      <c r="N27" s="17" t="e">
        <f t="shared" si="24"/>
        <v>#DIV/0!</v>
      </c>
      <c r="O27" s="17" t="e">
        <f t="shared" si="24"/>
        <v>#DIV/0!</v>
      </c>
      <c r="P27" s="17" t="e">
        <f t="shared" si="24"/>
        <v>#DIV/0!</v>
      </c>
      <c r="Q27" s="17" t="e">
        <f t="shared" si="24"/>
        <v>#DIV/0!</v>
      </c>
      <c r="R27" s="17" t="e">
        <f t="shared" si="24"/>
        <v>#DIV/0!</v>
      </c>
      <c r="S27" s="15" t="e">
        <f t="shared" si="24"/>
        <v>#DIV/0!</v>
      </c>
      <c r="T27" s="17" t="e">
        <f>T14*($AF14/$U14)</f>
        <v>#DIV/0!</v>
      </c>
      <c r="U27" s="17" t="e">
        <f>SUM(M27:T27)</f>
        <v>#DIV/0!</v>
      </c>
    </row>
    <row r="28" spans="1:36" ht="14.65" thickBot="1" x14ac:dyDescent="0.5">
      <c r="A28" s="1" t="s">
        <v>4</v>
      </c>
      <c r="B28" s="19" t="e">
        <f>SUM(B20:B27)</f>
        <v>#DIV/0!</v>
      </c>
      <c r="C28" s="19" t="e">
        <f>SUM(C20:C27)</f>
        <v>#DIV/0!</v>
      </c>
      <c r="D28" s="19" t="e">
        <f>SUM(D20:D27)</f>
        <v>#DIV/0!</v>
      </c>
      <c r="E28" s="19" t="e">
        <f t="shared" ref="E28:H28" si="25">SUM(E20:E27)</f>
        <v>#DIV/0!</v>
      </c>
      <c r="F28" s="19" t="e">
        <f t="shared" si="25"/>
        <v>#DIV/0!</v>
      </c>
      <c r="G28" s="19" t="e">
        <f t="shared" si="25"/>
        <v>#DIV/0!</v>
      </c>
      <c r="H28" s="19" t="e">
        <f t="shared" si="25"/>
        <v>#DIV/0!</v>
      </c>
      <c r="I28" s="19" t="e">
        <f>SUM(I20:I27)</f>
        <v>#DIV/0!</v>
      </c>
      <c r="J28" s="19" t="e">
        <f>SUM(J20:J27)</f>
        <v>#DIV/0!</v>
      </c>
      <c r="L28" s="19" t="s">
        <v>4</v>
      </c>
      <c r="M28" s="19" t="e">
        <f>SUM(M20:M27)</f>
        <v>#DIV/0!</v>
      </c>
      <c r="N28" s="19" t="e">
        <f t="shared" ref="N28:S28" si="26">SUM(N20:N27)</f>
        <v>#DIV/0!</v>
      </c>
      <c r="O28" s="19" t="e">
        <f t="shared" si="26"/>
        <v>#DIV/0!</v>
      </c>
      <c r="P28" s="19" t="e">
        <f t="shared" si="26"/>
        <v>#DIV/0!</v>
      </c>
      <c r="Q28" s="19" t="e">
        <f t="shared" si="26"/>
        <v>#DIV/0!</v>
      </c>
      <c r="R28" s="19" t="e">
        <f t="shared" si="26"/>
        <v>#DIV/0!</v>
      </c>
      <c r="S28" s="19" t="e">
        <f t="shared" si="26"/>
        <v>#DIV/0!</v>
      </c>
      <c r="T28" s="19" t="e">
        <f>SUM(T20:T27)</f>
        <v>#DIV/0!</v>
      </c>
      <c r="U28" s="19" t="e">
        <f>SUM(U20:U27)</f>
        <v>#DIV/0!</v>
      </c>
    </row>
    <row r="32" spans="1:36" ht="14.65" thickBot="1" x14ac:dyDescent="0.5">
      <c r="A32" s="4" t="s">
        <v>214</v>
      </c>
      <c r="B32" s="1"/>
      <c r="C32" s="1"/>
      <c r="D32" s="1"/>
      <c r="E32" s="1"/>
      <c r="F32" s="1"/>
      <c r="G32" s="1"/>
      <c r="H32" s="1"/>
      <c r="I32" s="1"/>
      <c r="J32" s="1"/>
      <c r="L32" s="4" t="s">
        <v>58</v>
      </c>
      <c r="M32" s="1"/>
      <c r="N32" s="1"/>
      <c r="O32" s="1"/>
      <c r="P32" s="1"/>
      <c r="Q32" s="1"/>
      <c r="R32" s="1"/>
      <c r="S32" s="1"/>
      <c r="T32" s="1"/>
      <c r="U32" s="1"/>
      <c r="W32" s="4" t="s">
        <v>44</v>
      </c>
      <c r="X32" s="1"/>
      <c r="Y32" s="1"/>
      <c r="Z32" s="1"/>
      <c r="AA32" s="1"/>
      <c r="AB32" s="1"/>
      <c r="AC32" s="1"/>
      <c r="AD32" s="1"/>
      <c r="AE32" s="1"/>
      <c r="AF32" s="1"/>
    </row>
    <row r="33" spans="1:32" x14ac:dyDescent="0.45">
      <c r="A33" s="2" t="s">
        <v>15</v>
      </c>
      <c r="B33" s="2" t="str">
        <f>$A$7</f>
        <v>Bellevue</v>
      </c>
      <c r="C33" s="2" t="str">
        <f>$A$8</f>
        <v>Bellevue Downtown</v>
      </c>
      <c r="D33" s="2" t="str">
        <f>$A$9</f>
        <v>Kirkland</v>
      </c>
      <c r="E33" s="2" t="str">
        <f>$A$10</f>
        <v>Redmond</v>
      </c>
      <c r="F33" s="2" t="str">
        <f>$A$11</f>
        <v>Seattle</v>
      </c>
      <c r="G33" s="2" t="str">
        <f>$A$12</f>
        <v>Seattle Downtown</v>
      </c>
      <c r="H33" s="2" t="str">
        <f>$A$13</f>
        <v>Rest</v>
      </c>
      <c r="I33" s="3" t="str">
        <f>$A$14</f>
        <v>Outside</v>
      </c>
      <c r="J33" s="3" t="s">
        <v>4</v>
      </c>
      <c r="L33" s="2" t="s">
        <v>15</v>
      </c>
      <c r="M33" s="2" t="str">
        <f>$A$7</f>
        <v>Bellevue</v>
      </c>
      <c r="N33" s="2" t="str">
        <f>$A$8</f>
        <v>Bellevue Downtown</v>
      </c>
      <c r="O33" s="2" t="str">
        <f>$A$9</f>
        <v>Kirkland</v>
      </c>
      <c r="P33" s="2" t="str">
        <f>$A$10</f>
        <v>Redmond</v>
      </c>
      <c r="Q33" s="2" t="str">
        <f>$A$11</f>
        <v>Seattle</v>
      </c>
      <c r="R33" s="2" t="str">
        <f>$A$12</f>
        <v>Seattle Downtown</v>
      </c>
      <c r="S33" s="2" t="str">
        <f>$A$13</f>
        <v>Rest</v>
      </c>
      <c r="T33" s="3" t="str">
        <f>$A$14</f>
        <v>Outside</v>
      </c>
      <c r="U33" s="3" t="s">
        <v>4</v>
      </c>
      <c r="W33" s="2" t="s">
        <v>15</v>
      </c>
      <c r="X33" s="2" t="str">
        <f>$A$7</f>
        <v>Bellevue</v>
      </c>
      <c r="Y33" s="2" t="str">
        <f>$A$8</f>
        <v>Bellevue Downtown</v>
      </c>
      <c r="Z33" s="2" t="str">
        <f>$A$9</f>
        <v>Kirkland</v>
      </c>
      <c r="AA33" s="2" t="str">
        <f>$A$10</f>
        <v>Redmond</v>
      </c>
      <c r="AB33" s="2" t="str">
        <f>$A$11</f>
        <v>Seattle</v>
      </c>
      <c r="AC33" s="2" t="str">
        <f>$A$12</f>
        <v>Seattle Downtown</v>
      </c>
      <c r="AD33" s="2" t="str">
        <f>$A$13</f>
        <v>Rest</v>
      </c>
      <c r="AE33" s="3" t="str">
        <f>$A$14</f>
        <v>Outside</v>
      </c>
      <c r="AF33" s="3" t="s">
        <v>4</v>
      </c>
    </row>
    <row r="34" spans="1:32" x14ac:dyDescent="0.45">
      <c r="A34" s="92" t="str">
        <f>A20</f>
        <v>Bellevue</v>
      </c>
      <c r="B34" s="25" t="e">
        <f>B20/$J$28</f>
        <v>#DIV/0!</v>
      </c>
      <c r="C34" s="25" t="e">
        <f t="shared" ref="C34:J34" si="27">C20/$J$28</f>
        <v>#DIV/0!</v>
      </c>
      <c r="D34" s="25" t="e">
        <f t="shared" si="27"/>
        <v>#DIV/0!</v>
      </c>
      <c r="E34" s="25" t="e">
        <f t="shared" si="27"/>
        <v>#DIV/0!</v>
      </c>
      <c r="F34" s="25" t="e">
        <f t="shared" si="27"/>
        <v>#DIV/0!</v>
      </c>
      <c r="G34" s="25" t="e">
        <f t="shared" si="27"/>
        <v>#DIV/0!</v>
      </c>
      <c r="H34" s="25" t="e">
        <f t="shared" ref="H34:I34" si="28">H20/$J$28</f>
        <v>#DIV/0!</v>
      </c>
      <c r="I34" s="25" t="e">
        <f t="shared" si="28"/>
        <v>#DIV/0!</v>
      </c>
      <c r="J34" s="25" t="e">
        <f t="shared" si="27"/>
        <v>#DIV/0!</v>
      </c>
      <c r="L34" t="str">
        <f>$A$7</f>
        <v>Bellevue</v>
      </c>
      <c r="M34" s="25" t="e">
        <f t="shared" ref="M34:T41" si="29">M20/$U$28</f>
        <v>#DIV/0!</v>
      </c>
      <c r="N34" s="25" t="e">
        <f t="shared" si="29"/>
        <v>#DIV/0!</v>
      </c>
      <c r="O34" s="25" t="e">
        <f t="shared" si="29"/>
        <v>#DIV/0!</v>
      </c>
      <c r="P34" s="25" t="e">
        <f t="shared" si="29"/>
        <v>#DIV/0!</v>
      </c>
      <c r="Q34" s="25" t="e">
        <f t="shared" si="29"/>
        <v>#DIV/0!</v>
      </c>
      <c r="R34" s="25" t="e">
        <f t="shared" si="29"/>
        <v>#DIV/0!</v>
      </c>
      <c r="S34" s="25" t="e">
        <f t="shared" si="29"/>
        <v>#DIV/0!</v>
      </c>
      <c r="T34" s="25" t="e">
        <f t="shared" ref="T34:T39" si="30">T20/$U$28</f>
        <v>#DIV/0!</v>
      </c>
      <c r="U34" s="25" t="e">
        <f>SUM(M34:T34)</f>
        <v>#DIV/0!</v>
      </c>
      <c r="W34" t="str">
        <f>$A$7</f>
        <v>Bellevue</v>
      </c>
      <c r="X34" s="25">
        <f t="shared" ref="X34:AC40" si="31">X7/$AF$15</f>
        <v>7.0969174524374096E-2</v>
      </c>
      <c r="Y34" s="25">
        <f t="shared" si="31"/>
        <v>4.4679889291577117E-2</v>
      </c>
      <c r="Z34" s="25">
        <f t="shared" si="31"/>
        <v>1.4508671895445569E-2</v>
      </c>
      <c r="AA34" s="25">
        <f t="shared" si="31"/>
        <v>4.6384925890385974E-2</v>
      </c>
      <c r="AB34" s="25">
        <f t="shared" si="31"/>
        <v>5.2614257278127158E-2</v>
      </c>
      <c r="AC34" s="25">
        <f t="shared" si="31"/>
        <v>2.9750906048518204E-2</v>
      </c>
      <c r="AD34" s="25">
        <f t="shared" ref="AD34:AE34" si="32">AD7/$AF$15</f>
        <v>8.4407242043823411E-2</v>
      </c>
      <c r="AE34" s="25">
        <f t="shared" si="32"/>
        <v>0</v>
      </c>
      <c r="AF34" s="25">
        <f>SUM(X34:AE34)</f>
        <v>0.34331506697225156</v>
      </c>
    </row>
    <row r="35" spans="1:32" x14ac:dyDescent="0.45">
      <c r="A35" s="93" t="str">
        <f t="shared" ref="A35:A41" si="33">A21</f>
        <v>Bellevue Downtown</v>
      </c>
      <c r="B35" s="25" t="e">
        <f t="shared" ref="B35:J35" si="34">B21/$J$28</f>
        <v>#DIV/0!</v>
      </c>
      <c r="C35" s="25" t="e">
        <f t="shared" si="34"/>
        <v>#DIV/0!</v>
      </c>
      <c r="D35" s="25" t="e">
        <f t="shared" si="34"/>
        <v>#DIV/0!</v>
      </c>
      <c r="E35" s="25" t="e">
        <f t="shared" si="34"/>
        <v>#DIV/0!</v>
      </c>
      <c r="F35" s="25" t="e">
        <f t="shared" si="34"/>
        <v>#DIV/0!</v>
      </c>
      <c r="G35" s="25" t="e">
        <f t="shared" si="34"/>
        <v>#DIV/0!</v>
      </c>
      <c r="H35" s="25" t="e">
        <f t="shared" ref="H35:I35" si="35">H21/$J$28</f>
        <v>#DIV/0!</v>
      </c>
      <c r="I35" s="25" t="e">
        <f t="shared" si="35"/>
        <v>#DIV/0!</v>
      </c>
      <c r="J35" s="25" t="e">
        <f t="shared" si="34"/>
        <v>#DIV/0!</v>
      </c>
      <c r="L35" t="str">
        <f>$A$8</f>
        <v>Bellevue Downtown</v>
      </c>
      <c r="M35" s="25" t="e">
        <f t="shared" si="29"/>
        <v>#DIV/0!</v>
      </c>
      <c r="N35" s="25" t="e">
        <f t="shared" si="29"/>
        <v>#DIV/0!</v>
      </c>
      <c r="O35" s="25" t="e">
        <f t="shared" si="29"/>
        <v>#DIV/0!</v>
      </c>
      <c r="P35" s="25" t="e">
        <f t="shared" si="29"/>
        <v>#DIV/0!</v>
      </c>
      <c r="Q35" s="25" t="e">
        <f t="shared" si="29"/>
        <v>#DIV/0!</v>
      </c>
      <c r="R35" s="25" t="e">
        <f t="shared" si="29"/>
        <v>#DIV/0!</v>
      </c>
      <c r="S35" s="25" t="e">
        <f t="shared" ref="S35" si="36">S21/$U$28</f>
        <v>#DIV/0!</v>
      </c>
      <c r="T35" s="25" t="e">
        <f t="shared" si="30"/>
        <v>#DIV/0!</v>
      </c>
      <c r="U35" s="25" t="e">
        <f>SUM(M35:T35)</f>
        <v>#DIV/0!</v>
      </c>
      <c r="W35" t="str">
        <f>$A$8</f>
        <v>Bellevue Downtown</v>
      </c>
      <c r="X35" s="25">
        <f t="shared" si="31"/>
        <v>6.3562178323037025E-3</v>
      </c>
      <c r="Y35" s="25">
        <f t="shared" si="31"/>
        <v>1.0448305669444951E-2</v>
      </c>
      <c r="Z35" s="25">
        <f t="shared" si="31"/>
        <v>1.7327930085569046E-3</v>
      </c>
      <c r="AA35" s="25">
        <f t="shared" si="31"/>
        <v>3.2118131279887706E-3</v>
      </c>
      <c r="AB35" s="25">
        <f t="shared" si="31"/>
        <v>4.8851281156569943E-3</v>
      </c>
      <c r="AC35" s="25">
        <f t="shared" si="31"/>
        <v>2.4425640578284971E-3</v>
      </c>
      <c r="AD35" s="25">
        <f t="shared" ref="AD35:AE35" si="37">AD8/$AF$15</f>
        <v>5.5631775537879572E-3</v>
      </c>
      <c r="AE35" s="25">
        <f t="shared" si="37"/>
        <v>0</v>
      </c>
      <c r="AF35" s="25">
        <f>SUM(X35:AE35)</f>
        <v>3.4639999365567775E-2</v>
      </c>
    </row>
    <row r="36" spans="1:32" x14ac:dyDescent="0.45">
      <c r="A36" s="93" t="str">
        <f t="shared" si="33"/>
        <v>Kirkland</v>
      </c>
      <c r="B36" s="25" t="e">
        <f t="shared" ref="B36:J36" si="38">B22/$J$28</f>
        <v>#DIV/0!</v>
      </c>
      <c r="C36" s="25" t="e">
        <f t="shared" si="38"/>
        <v>#DIV/0!</v>
      </c>
      <c r="D36" s="25" t="e">
        <f t="shared" si="38"/>
        <v>#DIV/0!</v>
      </c>
      <c r="E36" s="25" t="e">
        <f t="shared" si="38"/>
        <v>#DIV/0!</v>
      </c>
      <c r="F36" s="25" t="e">
        <f t="shared" si="38"/>
        <v>#DIV/0!</v>
      </c>
      <c r="G36" s="25" t="e">
        <f t="shared" si="38"/>
        <v>#DIV/0!</v>
      </c>
      <c r="H36" s="25" t="e">
        <f t="shared" ref="H36:I36" si="39">H22/$J$28</f>
        <v>#DIV/0!</v>
      </c>
      <c r="I36" s="25" t="e">
        <f t="shared" si="39"/>
        <v>#DIV/0!</v>
      </c>
      <c r="J36" s="25" t="e">
        <f t="shared" si="38"/>
        <v>#DIV/0!</v>
      </c>
      <c r="L36" t="str">
        <f>$A$9</f>
        <v>Kirkland</v>
      </c>
      <c r="M36" s="25" t="e">
        <f t="shared" si="29"/>
        <v>#DIV/0!</v>
      </c>
      <c r="N36" s="25" t="e">
        <f t="shared" si="29"/>
        <v>#DIV/0!</v>
      </c>
      <c r="O36" s="25" t="e">
        <f t="shared" si="29"/>
        <v>#DIV/0!</v>
      </c>
      <c r="P36" s="25" t="e">
        <f t="shared" si="29"/>
        <v>#DIV/0!</v>
      </c>
      <c r="Q36" s="25" t="e">
        <f t="shared" si="29"/>
        <v>#DIV/0!</v>
      </c>
      <c r="R36" s="25" t="e">
        <f t="shared" si="29"/>
        <v>#DIV/0!</v>
      </c>
      <c r="S36" s="25" t="e">
        <f t="shared" ref="S36" si="40">S22/$U$28</f>
        <v>#DIV/0!</v>
      </c>
      <c r="T36" s="25" t="e">
        <f t="shared" si="30"/>
        <v>#DIV/0!</v>
      </c>
      <c r="U36" s="25" t="e">
        <f>SUM(M36:T36)</f>
        <v>#DIV/0!</v>
      </c>
      <c r="W36" t="str">
        <f>$A$9</f>
        <v>Kirkland</v>
      </c>
      <c r="X36" s="25">
        <f t="shared" si="31"/>
        <v>3.3668525024385991E-2</v>
      </c>
      <c r="Y36" s="25">
        <f t="shared" si="31"/>
        <v>3.1543177077963787E-2</v>
      </c>
      <c r="Z36" s="25">
        <f t="shared" si="31"/>
        <v>5.638516380246953E-2</v>
      </c>
      <c r="AA36" s="25">
        <f t="shared" si="31"/>
        <v>5.2487370833564639E-2</v>
      </c>
      <c r="AB36" s="25">
        <f t="shared" si="31"/>
        <v>6.0124348715671266E-2</v>
      </c>
      <c r="AC36" s="25">
        <f t="shared" si="31"/>
        <v>2.557951418352538E-2</v>
      </c>
      <c r="AD36" s="25">
        <f t="shared" ref="AD36:AE36" si="41">AD9/$AF$15</f>
        <v>8.849932988096465E-2</v>
      </c>
      <c r="AE36" s="25">
        <f t="shared" si="41"/>
        <v>0</v>
      </c>
      <c r="AF36" s="25">
        <f>SUM(X36:AE36)</f>
        <v>0.34828742951854524</v>
      </c>
    </row>
    <row r="37" spans="1:32" x14ac:dyDescent="0.45">
      <c r="A37" s="93" t="str">
        <f t="shared" si="33"/>
        <v>Redmond</v>
      </c>
      <c r="B37" s="25" t="e">
        <f t="shared" ref="B37:J37" si="42">B23/$J$28</f>
        <v>#DIV/0!</v>
      </c>
      <c r="C37" s="25" t="e">
        <f t="shared" si="42"/>
        <v>#DIV/0!</v>
      </c>
      <c r="D37" s="25" t="e">
        <f t="shared" si="42"/>
        <v>#DIV/0!</v>
      </c>
      <c r="E37" s="25" t="e">
        <f t="shared" si="42"/>
        <v>#DIV/0!</v>
      </c>
      <c r="F37" s="25" t="e">
        <f t="shared" si="42"/>
        <v>#DIV/0!</v>
      </c>
      <c r="G37" s="25" t="e">
        <f t="shared" si="42"/>
        <v>#DIV/0!</v>
      </c>
      <c r="H37" s="25" t="e">
        <f t="shared" ref="H37:I37" si="43">H23/$J$28</f>
        <v>#DIV/0!</v>
      </c>
      <c r="I37" s="25" t="e">
        <f t="shared" si="43"/>
        <v>#DIV/0!</v>
      </c>
      <c r="J37" s="25" t="e">
        <f t="shared" si="42"/>
        <v>#DIV/0!</v>
      </c>
      <c r="L37" t="str">
        <f>$A$10</f>
        <v>Redmond</v>
      </c>
      <c r="M37" s="25" t="e">
        <f t="shared" si="29"/>
        <v>#DIV/0!</v>
      </c>
      <c r="N37" s="25" t="e">
        <f t="shared" si="29"/>
        <v>#DIV/0!</v>
      </c>
      <c r="O37" s="25" t="e">
        <f t="shared" si="29"/>
        <v>#DIV/0!</v>
      </c>
      <c r="P37" s="25" t="e">
        <f t="shared" si="29"/>
        <v>#DIV/0!</v>
      </c>
      <c r="Q37" s="25" t="e">
        <f t="shared" si="29"/>
        <v>#DIV/0!</v>
      </c>
      <c r="R37" s="25" t="e">
        <f t="shared" si="29"/>
        <v>#DIV/0!</v>
      </c>
      <c r="S37" s="25" t="e">
        <f t="shared" ref="S37" si="44">S23/$U$28</f>
        <v>#DIV/0!</v>
      </c>
      <c r="T37" s="25" t="e">
        <f t="shared" si="30"/>
        <v>#DIV/0!</v>
      </c>
      <c r="U37" s="25" t="e">
        <f t="shared" ref="U37:U40" si="45">SUM(M37:T37)</f>
        <v>#DIV/0!</v>
      </c>
      <c r="W37" t="str">
        <f>$A$10</f>
        <v>Redmond</v>
      </c>
      <c r="X37" s="25">
        <f t="shared" si="31"/>
        <v>3.4247444427702486E-2</v>
      </c>
      <c r="Y37" s="25">
        <f t="shared" si="31"/>
        <v>2.1911702895390055E-2</v>
      </c>
      <c r="Z37" s="25">
        <f t="shared" si="31"/>
        <v>2.4976803571853414E-2</v>
      </c>
      <c r="AA37" s="25">
        <f t="shared" si="31"/>
        <v>7.7634678065298932E-2</v>
      </c>
      <c r="AB37" s="25">
        <f t="shared" si="31"/>
        <v>3.300633639182534E-2</v>
      </c>
      <c r="AC37" s="25">
        <f t="shared" si="31"/>
        <v>1.6637985043260348E-2</v>
      </c>
      <c r="AD37" s="25">
        <f t="shared" ref="AD37:AE37" si="46">AD10/$AF$15</f>
        <v>6.5342553748304874E-2</v>
      </c>
      <c r="AE37" s="25">
        <f t="shared" si="46"/>
        <v>0</v>
      </c>
      <c r="AF37" s="25">
        <f t="shared" ref="AF37:AF40" si="47">SUM(X37:AE37)</f>
        <v>0.27375750414363548</v>
      </c>
    </row>
    <row r="38" spans="1:32" x14ac:dyDescent="0.45">
      <c r="A38" s="93" t="str">
        <f t="shared" si="33"/>
        <v>Seattle</v>
      </c>
      <c r="B38" s="25" t="e">
        <f t="shared" ref="B38:J38" si="48">B24/$J$28</f>
        <v>#DIV/0!</v>
      </c>
      <c r="C38" s="25" t="e">
        <f t="shared" si="48"/>
        <v>#DIV/0!</v>
      </c>
      <c r="D38" s="25" t="e">
        <f t="shared" si="48"/>
        <v>#DIV/0!</v>
      </c>
      <c r="E38" s="25" t="e">
        <f t="shared" si="48"/>
        <v>#DIV/0!</v>
      </c>
      <c r="F38" s="25" t="e">
        <f t="shared" si="48"/>
        <v>#DIV/0!</v>
      </c>
      <c r="G38" s="25" t="e">
        <f t="shared" si="48"/>
        <v>#DIV/0!</v>
      </c>
      <c r="H38" s="25" t="e">
        <f t="shared" ref="H38:I38" si="49">H24/$J$28</f>
        <v>#DIV/0!</v>
      </c>
      <c r="I38" s="25" t="e">
        <f t="shared" si="49"/>
        <v>#DIV/0!</v>
      </c>
      <c r="J38" s="25" t="e">
        <f t="shared" si="48"/>
        <v>#DIV/0!</v>
      </c>
      <c r="L38" t="str">
        <f>$A$11</f>
        <v>Seattle</v>
      </c>
      <c r="M38" s="25" t="e">
        <f t="shared" si="29"/>
        <v>#DIV/0!</v>
      </c>
      <c r="N38" s="25" t="e">
        <f t="shared" si="29"/>
        <v>#DIV/0!</v>
      </c>
      <c r="O38" s="25" t="e">
        <f t="shared" si="29"/>
        <v>#DIV/0!</v>
      </c>
      <c r="P38" s="25" t="e">
        <f t="shared" si="29"/>
        <v>#DIV/0!</v>
      </c>
      <c r="Q38" s="25" t="e">
        <f t="shared" si="29"/>
        <v>#DIV/0!</v>
      </c>
      <c r="R38" s="25" t="e">
        <f t="shared" si="29"/>
        <v>#DIV/0!</v>
      </c>
      <c r="S38" s="25" t="e">
        <f t="shared" ref="S38" si="50">S24/$U$28</f>
        <v>#DIV/0!</v>
      </c>
      <c r="T38" s="25" t="e">
        <f t="shared" si="30"/>
        <v>#DIV/0!</v>
      </c>
      <c r="U38" s="25" t="e">
        <f t="shared" si="45"/>
        <v>#DIV/0!</v>
      </c>
      <c r="W38" t="str">
        <f>$A$11</f>
        <v>Seattle</v>
      </c>
      <c r="X38" s="25">
        <f t="shared" si="31"/>
        <v>0</v>
      </c>
      <c r="Y38" s="25">
        <f t="shared" si="31"/>
        <v>0</v>
      </c>
      <c r="Z38" s="25">
        <f t="shared" si="31"/>
        <v>0</v>
      </c>
      <c r="AA38" s="25">
        <f t="shared" si="31"/>
        <v>0</v>
      </c>
      <c r="AB38" s="25">
        <f t="shared" si="31"/>
        <v>0</v>
      </c>
      <c r="AC38" s="25">
        <f t="shared" si="31"/>
        <v>0</v>
      </c>
      <c r="AD38" s="25">
        <f t="shared" ref="AD38:AE38" si="51">AD11/$AF$15</f>
        <v>0</v>
      </c>
      <c r="AE38" s="25">
        <f t="shared" si="51"/>
        <v>0</v>
      </c>
      <c r="AF38" s="25">
        <f t="shared" si="47"/>
        <v>0</v>
      </c>
    </row>
    <row r="39" spans="1:32" x14ac:dyDescent="0.45">
      <c r="A39" s="93" t="str">
        <f t="shared" si="33"/>
        <v>Seattle Downtown</v>
      </c>
      <c r="B39" s="25" t="e">
        <f t="shared" ref="B39:J40" si="52">B25/$J$28</f>
        <v>#DIV/0!</v>
      </c>
      <c r="C39" s="25" t="e">
        <f t="shared" si="52"/>
        <v>#DIV/0!</v>
      </c>
      <c r="D39" s="25" t="e">
        <f t="shared" si="52"/>
        <v>#DIV/0!</v>
      </c>
      <c r="E39" s="25" t="e">
        <f t="shared" si="52"/>
        <v>#DIV/0!</v>
      </c>
      <c r="F39" s="25" t="e">
        <f t="shared" si="52"/>
        <v>#DIV/0!</v>
      </c>
      <c r="G39" s="25" t="e">
        <f t="shared" si="52"/>
        <v>#DIV/0!</v>
      </c>
      <c r="H39" s="25" t="e">
        <f t="shared" ref="H39:I40" si="53">H25/$J$28</f>
        <v>#DIV/0!</v>
      </c>
      <c r="I39" s="25" t="e">
        <f t="shared" si="53"/>
        <v>#DIV/0!</v>
      </c>
      <c r="J39" s="25" t="e">
        <f t="shared" si="52"/>
        <v>#DIV/0!</v>
      </c>
      <c r="L39" t="str">
        <f>$A$12</f>
        <v>Seattle Downtown</v>
      </c>
      <c r="M39" s="25" t="e">
        <f t="shared" si="29"/>
        <v>#DIV/0!</v>
      </c>
      <c r="N39" s="25" t="e">
        <f t="shared" si="29"/>
        <v>#DIV/0!</v>
      </c>
      <c r="O39" s="25" t="e">
        <f t="shared" si="29"/>
        <v>#DIV/0!</v>
      </c>
      <c r="P39" s="25" t="e">
        <f t="shared" si="29"/>
        <v>#DIV/0!</v>
      </c>
      <c r="Q39" s="25" t="e">
        <f t="shared" si="29"/>
        <v>#DIV/0!</v>
      </c>
      <c r="R39" s="25" t="e">
        <f t="shared" si="29"/>
        <v>#DIV/0!</v>
      </c>
      <c r="S39" s="25" t="e">
        <f t="shared" ref="S39" si="54">S25/$U$28</f>
        <v>#DIV/0!</v>
      </c>
      <c r="T39" s="25" t="e">
        <f t="shared" si="30"/>
        <v>#DIV/0!</v>
      </c>
      <c r="U39" s="25" t="e">
        <f t="shared" si="45"/>
        <v>#DIV/0!</v>
      </c>
      <c r="W39" t="str">
        <f>$A$12</f>
        <v>Seattle Downtown</v>
      </c>
      <c r="X39" s="25">
        <f t="shared" si="31"/>
        <v>0</v>
      </c>
      <c r="Y39" s="25">
        <f t="shared" si="31"/>
        <v>0</v>
      </c>
      <c r="Z39" s="25">
        <f t="shared" si="31"/>
        <v>0</v>
      </c>
      <c r="AA39" s="25">
        <f t="shared" si="31"/>
        <v>0</v>
      </c>
      <c r="AB39" s="25">
        <f t="shared" si="31"/>
        <v>0</v>
      </c>
      <c r="AC39" s="25">
        <f t="shared" si="31"/>
        <v>0</v>
      </c>
      <c r="AD39" s="25">
        <f t="shared" ref="AD39:AE40" si="55">AD12/$AF$15</f>
        <v>0</v>
      </c>
      <c r="AE39" s="25">
        <f t="shared" si="55"/>
        <v>0</v>
      </c>
      <c r="AF39" s="25">
        <f t="shared" si="47"/>
        <v>0</v>
      </c>
    </row>
    <row r="40" spans="1:32" x14ac:dyDescent="0.45">
      <c r="A40" s="93" t="str">
        <f t="shared" si="33"/>
        <v>Rest</v>
      </c>
      <c r="B40" s="25" t="e">
        <f t="shared" si="52"/>
        <v>#DIV/0!</v>
      </c>
      <c r="C40" s="25" t="e">
        <f t="shared" si="52"/>
        <v>#DIV/0!</v>
      </c>
      <c r="D40" s="25" t="e">
        <f t="shared" si="52"/>
        <v>#DIV/0!</v>
      </c>
      <c r="E40" s="25" t="e">
        <f t="shared" si="52"/>
        <v>#DIV/0!</v>
      </c>
      <c r="F40" s="25" t="e">
        <f t="shared" si="52"/>
        <v>#DIV/0!</v>
      </c>
      <c r="G40" s="25" t="e">
        <f t="shared" si="52"/>
        <v>#DIV/0!</v>
      </c>
      <c r="H40" s="25" t="e">
        <f t="shared" si="53"/>
        <v>#DIV/0!</v>
      </c>
      <c r="I40" s="25" t="e">
        <f t="shared" si="53"/>
        <v>#DIV/0!</v>
      </c>
      <c r="J40" s="25" t="e">
        <f t="shared" ref="J40" si="56">J26/$J$28</f>
        <v>#DIV/0!</v>
      </c>
      <c r="L40" t="str">
        <f>$A$13</f>
        <v>Rest</v>
      </c>
      <c r="M40" s="25" t="e">
        <f t="shared" si="29"/>
        <v>#DIV/0!</v>
      </c>
      <c r="N40" s="25" t="e">
        <f t="shared" si="29"/>
        <v>#DIV/0!</v>
      </c>
      <c r="O40" s="25" t="e">
        <f t="shared" si="29"/>
        <v>#DIV/0!</v>
      </c>
      <c r="P40" s="25" t="e">
        <f t="shared" si="29"/>
        <v>#DIV/0!</v>
      </c>
      <c r="Q40" s="25" t="e">
        <f t="shared" si="29"/>
        <v>#DIV/0!</v>
      </c>
      <c r="R40" s="25" t="e">
        <f t="shared" si="29"/>
        <v>#DIV/0!</v>
      </c>
      <c r="S40" s="25" t="e">
        <f t="shared" ref="S40" si="57">S26/$U$28</f>
        <v>#DIV/0!</v>
      </c>
      <c r="T40" s="25" t="e">
        <f t="shared" si="29"/>
        <v>#DIV/0!</v>
      </c>
      <c r="U40" s="25" t="e">
        <f t="shared" si="45"/>
        <v>#DIV/0!</v>
      </c>
      <c r="W40" t="str">
        <f>$A$13</f>
        <v>Rest</v>
      </c>
      <c r="X40" s="25">
        <f t="shared" si="31"/>
        <v>0</v>
      </c>
      <c r="Y40" s="25">
        <f t="shared" si="31"/>
        <v>0</v>
      </c>
      <c r="Z40" s="25">
        <f t="shared" si="31"/>
        <v>0</v>
      </c>
      <c r="AA40" s="25">
        <f t="shared" si="31"/>
        <v>0</v>
      </c>
      <c r="AB40" s="25">
        <f t="shared" si="31"/>
        <v>0</v>
      </c>
      <c r="AC40" s="25">
        <f t="shared" si="31"/>
        <v>0</v>
      </c>
      <c r="AD40" s="25">
        <f t="shared" si="55"/>
        <v>0</v>
      </c>
      <c r="AE40" s="25">
        <f t="shared" si="55"/>
        <v>0</v>
      </c>
      <c r="AF40" s="25">
        <f t="shared" si="47"/>
        <v>0</v>
      </c>
    </row>
    <row r="41" spans="1:32" x14ac:dyDescent="0.45">
      <c r="A41" s="91" t="str">
        <f t="shared" si="33"/>
        <v>Outside</v>
      </c>
      <c r="B41" s="26"/>
      <c r="C41" s="26"/>
      <c r="D41" s="26"/>
      <c r="E41" s="26"/>
      <c r="F41" s="26"/>
      <c r="G41" s="26"/>
      <c r="H41" s="26"/>
      <c r="I41" s="26"/>
      <c r="J41" s="26">
        <f>SUM(B41:I41)</f>
        <v>0</v>
      </c>
      <c r="L41" s="43" t="s">
        <v>17</v>
      </c>
      <c r="M41" s="25" t="e">
        <f t="shared" si="29"/>
        <v>#DIV/0!</v>
      </c>
      <c r="N41" s="25" t="e">
        <f t="shared" si="29"/>
        <v>#DIV/0!</v>
      </c>
      <c r="O41" s="25" t="e">
        <f t="shared" si="29"/>
        <v>#DIV/0!</v>
      </c>
      <c r="P41" s="25" t="e">
        <f t="shared" si="29"/>
        <v>#DIV/0!</v>
      </c>
      <c r="Q41" s="25" t="e">
        <f t="shared" si="29"/>
        <v>#DIV/0!</v>
      </c>
      <c r="R41" s="25" t="e">
        <f t="shared" si="29"/>
        <v>#DIV/0!</v>
      </c>
      <c r="S41" s="25" t="e">
        <f t="shared" si="29"/>
        <v>#DIV/0!</v>
      </c>
      <c r="T41" s="25" t="e">
        <f t="shared" si="29"/>
        <v>#DIV/0!</v>
      </c>
      <c r="U41" s="40" t="e">
        <f>SUM(M41:T41)</f>
        <v>#DIV/0!</v>
      </c>
      <c r="W41" s="8" t="s">
        <v>17</v>
      </c>
      <c r="X41" s="26"/>
      <c r="Y41" s="26"/>
      <c r="Z41" s="26"/>
      <c r="AA41" s="26"/>
      <c r="AB41" s="26"/>
      <c r="AC41" s="26"/>
      <c r="AD41" s="26"/>
      <c r="AE41" s="26"/>
      <c r="AF41" s="26">
        <f>SUM(X41:AE41)</f>
        <v>0</v>
      </c>
    </row>
    <row r="42" spans="1:32" ht="14.65" thickBot="1" x14ac:dyDescent="0.5">
      <c r="A42" s="1" t="s">
        <v>4</v>
      </c>
      <c r="B42" s="27" t="e">
        <f>SUM(B34:B41)</f>
        <v>#DIV/0!</v>
      </c>
      <c r="C42" s="27" t="e">
        <f>SUM(C34:C41)</f>
        <v>#DIV/0!</v>
      </c>
      <c r="D42" s="27" t="e">
        <f>SUM(D34:D41)</f>
        <v>#DIV/0!</v>
      </c>
      <c r="E42" s="27" t="e">
        <f t="shared" ref="E42:H42" si="58">SUM(E34:E41)</f>
        <v>#DIV/0!</v>
      </c>
      <c r="F42" s="27" t="e">
        <f t="shared" si="58"/>
        <v>#DIV/0!</v>
      </c>
      <c r="G42" s="27" t="e">
        <f t="shared" si="58"/>
        <v>#DIV/0!</v>
      </c>
      <c r="H42" s="27" t="e">
        <f t="shared" si="58"/>
        <v>#DIV/0!</v>
      </c>
      <c r="I42" s="27" t="e">
        <f>SUM(I34:I41)</f>
        <v>#DIV/0!</v>
      </c>
      <c r="J42" s="27" t="e">
        <f>SUM(J34:J41)</f>
        <v>#DIV/0!</v>
      </c>
      <c r="L42" s="44" t="s">
        <v>4</v>
      </c>
      <c r="M42" s="45" t="e">
        <f>SUM(M34:M41)</f>
        <v>#DIV/0!</v>
      </c>
      <c r="N42" s="45" t="e">
        <f t="shared" ref="N42:S42" si="59">SUM(N34:N41)</f>
        <v>#DIV/0!</v>
      </c>
      <c r="O42" s="45" t="e">
        <f t="shared" si="59"/>
        <v>#DIV/0!</v>
      </c>
      <c r="P42" s="45" t="e">
        <f t="shared" si="59"/>
        <v>#DIV/0!</v>
      </c>
      <c r="Q42" s="45" t="e">
        <f t="shared" si="59"/>
        <v>#DIV/0!</v>
      </c>
      <c r="R42" s="45" t="e">
        <f t="shared" si="59"/>
        <v>#DIV/0!</v>
      </c>
      <c r="S42" s="45" t="e">
        <f t="shared" si="59"/>
        <v>#DIV/0!</v>
      </c>
      <c r="T42" s="45" t="e">
        <f>SUM(T34:T41)</f>
        <v>#DIV/0!</v>
      </c>
      <c r="U42" s="45" t="e">
        <f>SUM(U34:U41)</f>
        <v>#DIV/0!</v>
      </c>
      <c r="W42" s="1" t="s">
        <v>4</v>
      </c>
      <c r="X42" s="27">
        <f>SUM(X34:X41)</f>
        <v>0.14524136180876629</v>
      </c>
      <c r="Y42" s="27">
        <f>SUM(Y34:Y41)</f>
        <v>0.10858307493437591</v>
      </c>
      <c r="Z42" s="27">
        <f>SUM(Z34:Z41)</f>
        <v>9.7603432278325422E-2</v>
      </c>
      <c r="AA42" s="27">
        <f t="shared" ref="AA42:AD42" si="60">SUM(AA34:AA41)</f>
        <v>0.17971878791723833</v>
      </c>
      <c r="AB42" s="27">
        <f t="shared" si="60"/>
        <v>0.15063007050128077</v>
      </c>
      <c r="AC42" s="27">
        <f t="shared" si="60"/>
        <v>7.4410969333132432E-2</v>
      </c>
      <c r="AD42" s="27">
        <f t="shared" si="60"/>
        <v>0.24381230322688091</v>
      </c>
      <c r="AE42" s="27">
        <f>SUM(AE34:AE41)</f>
        <v>0</v>
      </c>
      <c r="AF42" s="27">
        <f>SUM(AF34:AF41)</f>
        <v>1</v>
      </c>
    </row>
    <row r="46" spans="1:32" ht="14.65" thickBot="1" x14ac:dyDescent="0.5">
      <c r="W46" s="29" t="s">
        <v>59</v>
      </c>
      <c r="X46" s="30"/>
      <c r="Y46" s="30"/>
      <c r="Z46" s="30"/>
      <c r="AA46" s="30"/>
      <c r="AB46" s="30"/>
      <c r="AC46" s="30"/>
      <c r="AD46" s="30"/>
      <c r="AE46" s="30"/>
      <c r="AF46" s="30"/>
    </row>
    <row r="47" spans="1:32" x14ac:dyDescent="0.45">
      <c r="W47" s="31" t="s">
        <v>15</v>
      </c>
      <c r="X47" s="2" t="str">
        <f>$A$7</f>
        <v>Bellevue</v>
      </c>
      <c r="Y47" s="2" t="str">
        <f>$A$8</f>
        <v>Bellevue Downtown</v>
      </c>
      <c r="Z47" s="2" t="str">
        <f>$A$9</f>
        <v>Kirkland</v>
      </c>
      <c r="AA47" s="2" t="str">
        <f>$A$10</f>
        <v>Redmond</v>
      </c>
      <c r="AB47" s="2" t="str">
        <f>$A$11</f>
        <v>Seattle</v>
      </c>
      <c r="AC47" s="2" t="str">
        <f>$A$12</f>
        <v>Seattle Downtown</v>
      </c>
      <c r="AD47" s="2" t="str">
        <f>$A$13</f>
        <v>Rest</v>
      </c>
      <c r="AE47" s="3" t="str">
        <f>$A$14</f>
        <v>Outside</v>
      </c>
      <c r="AF47" s="38" t="s">
        <v>4</v>
      </c>
    </row>
    <row r="48" spans="1:32" x14ac:dyDescent="0.45">
      <c r="W48" t="str">
        <f>$A$7</f>
        <v>Bellevue</v>
      </c>
      <c r="X48" s="33" t="e">
        <f>X34-B34</f>
        <v>#DIV/0!</v>
      </c>
      <c r="Y48" s="33" t="e">
        <f t="shared" ref="Y48:AF48" si="61">Y34-C34</f>
        <v>#DIV/0!</v>
      </c>
      <c r="Z48" s="33" t="e">
        <f t="shared" si="61"/>
        <v>#DIV/0!</v>
      </c>
      <c r="AA48" s="33" t="e">
        <f t="shared" si="61"/>
        <v>#DIV/0!</v>
      </c>
      <c r="AB48" s="33" t="e">
        <f t="shared" si="61"/>
        <v>#DIV/0!</v>
      </c>
      <c r="AC48" s="33" t="e">
        <f t="shared" si="61"/>
        <v>#DIV/0!</v>
      </c>
      <c r="AD48" s="33" t="e">
        <f t="shared" si="61"/>
        <v>#DIV/0!</v>
      </c>
      <c r="AE48" s="33" t="e">
        <f t="shared" si="61"/>
        <v>#DIV/0!</v>
      </c>
      <c r="AF48" s="33" t="e">
        <f t="shared" si="61"/>
        <v>#DIV/0!</v>
      </c>
    </row>
    <row r="49" spans="23:32" x14ac:dyDescent="0.45">
      <c r="W49" t="str">
        <f>$A$8</f>
        <v>Bellevue Downtown</v>
      </c>
      <c r="X49" s="33" t="e">
        <f t="shared" ref="X49:AF49" si="62">X35-B35</f>
        <v>#DIV/0!</v>
      </c>
      <c r="Y49" s="33" t="e">
        <f t="shared" si="62"/>
        <v>#DIV/0!</v>
      </c>
      <c r="Z49" s="33" t="e">
        <f t="shared" si="62"/>
        <v>#DIV/0!</v>
      </c>
      <c r="AA49" s="33" t="e">
        <f t="shared" si="62"/>
        <v>#DIV/0!</v>
      </c>
      <c r="AB49" s="33" t="e">
        <f t="shared" si="62"/>
        <v>#DIV/0!</v>
      </c>
      <c r="AC49" s="33" t="e">
        <f t="shared" si="62"/>
        <v>#DIV/0!</v>
      </c>
      <c r="AD49" s="33" t="e">
        <f t="shared" si="62"/>
        <v>#DIV/0!</v>
      </c>
      <c r="AE49" s="33" t="e">
        <f t="shared" si="62"/>
        <v>#DIV/0!</v>
      </c>
      <c r="AF49" s="33" t="e">
        <f t="shared" si="62"/>
        <v>#DIV/0!</v>
      </c>
    </row>
    <row r="50" spans="23:32" x14ac:dyDescent="0.45">
      <c r="W50" t="str">
        <f>$A$9</f>
        <v>Kirkland</v>
      </c>
      <c r="X50" s="33" t="e">
        <f t="shared" ref="X50:AF50" si="63">X36-B36</f>
        <v>#DIV/0!</v>
      </c>
      <c r="Y50" s="33" t="e">
        <f t="shared" si="63"/>
        <v>#DIV/0!</v>
      </c>
      <c r="Z50" s="33" t="e">
        <f t="shared" si="63"/>
        <v>#DIV/0!</v>
      </c>
      <c r="AA50" s="33" t="e">
        <f t="shared" si="63"/>
        <v>#DIV/0!</v>
      </c>
      <c r="AB50" s="33" t="e">
        <f t="shared" si="63"/>
        <v>#DIV/0!</v>
      </c>
      <c r="AC50" s="33" t="e">
        <f t="shared" si="63"/>
        <v>#DIV/0!</v>
      </c>
      <c r="AD50" s="33" t="e">
        <f t="shared" si="63"/>
        <v>#DIV/0!</v>
      </c>
      <c r="AE50" s="33" t="e">
        <f t="shared" si="63"/>
        <v>#DIV/0!</v>
      </c>
      <c r="AF50" s="33" t="e">
        <f t="shared" si="63"/>
        <v>#DIV/0!</v>
      </c>
    </row>
    <row r="51" spans="23:32" x14ac:dyDescent="0.45">
      <c r="W51" t="str">
        <f>$A$10</f>
        <v>Redmond</v>
      </c>
      <c r="X51" s="33" t="e">
        <f t="shared" ref="X51:AF51" si="64">X37-B37</f>
        <v>#DIV/0!</v>
      </c>
      <c r="Y51" s="33" t="e">
        <f t="shared" si="64"/>
        <v>#DIV/0!</v>
      </c>
      <c r="Z51" s="33" t="e">
        <f t="shared" si="64"/>
        <v>#DIV/0!</v>
      </c>
      <c r="AA51" s="33" t="e">
        <f t="shared" si="64"/>
        <v>#DIV/0!</v>
      </c>
      <c r="AB51" s="33" t="e">
        <f t="shared" si="64"/>
        <v>#DIV/0!</v>
      </c>
      <c r="AC51" s="33" t="e">
        <f t="shared" si="64"/>
        <v>#DIV/0!</v>
      </c>
      <c r="AD51" s="33" t="e">
        <f t="shared" si="64"/>
        <v>#DIV/0!</v>
      </c>
      <c r="AE51" s="33" t="e">
        <f t="shared" si="64"/>
        <v>#DIV/0!</v>
      </c>
      <c r="AF51" s="33" t="e">
        <f t="shared" si="64"/>
        <v>#DIV/0!</v>
      </c>
    </row>
    <row r="52" spans="23:32" x14ac:dyDescent="0.45">
      <c r="W52" t="str">
        <f>$A$11</f>
        <v>Seattle</v>
      </c>
      <c r="X52" s="33" t="e">
        <f t="shared" ref="X52:AF52" si="65">X38-B38</f>
        <v>#DIV/0!</v>
      </c>
      <c r="Y52" s="33" t="e">
        <f t="shared" si="65"/>
        <v>#DIV/0!</v>
      </c>
      <c r="Z52" s="33" t="e">
        <f t="shared" si="65"/>
        <v>#DIV/0!</v>
      </c>
      <c r="AA52" s="33" t="e">
        <f t="shared" si="65"/>
        <v>#DIV/0!</v>
      </c>
      <c r="AB52" s="33" t="e">
        <f t="shared" si="65"/>
        <v>#DIV/0!</v>
      </c>
      <c r="AC52" s="33" t="e">
        <f t="shared" si="65"/>
        <v>#DIV/0!</v>
      </c>
      <c r="AD52" s="33" t="e">
        <f t="shared" si="65"/>
        <v>#DIV/0!</v>
      </c>
      <c r="AE52" s="33" t="e">
        <f t="shared" si="65"/>
        <v>#DIV/0!</v>
      </c>
      <c r="AF52" s="33" t="e">
        <f t="shared" si="65"/>
        <v>#DIV/0!</v>
      </c>
    </row>
    <row r="53" spans="23:32" x14ac:dyDescent="0.45">
      <c r="W53" t="str">
        <f>$A$12</f>
        <v>Seattle Downtown</v>
      </c>
      <c r="X53" s="33" t="e">
        <f t="shared" ref="X53:AF53" si="66">X39-B39</f>
        <v>#DIV/0!</v>
      </c>
      <c r="Y53" s="33" t="e">
        <f t="shared" si="66"/>
        <v>#DIV/0!</v>
      </c>
      <c r="Z53" s="33" t="e">
        <f t="shared" si="66"/>
        <v>#DIV/0!</v>
      </c>
      <c r="AA53" s="33" t="e">
        <f t="shared" si="66"/>
        <v>#DIV/0!</v>
      </c>
      <c r="AB53" s="33" t="e">
        <f t="shared" si="66"/>
        <v>#DIV/0!</v>
      </c>
      <c r="AC53" s="33" t="e">
        <f t="shared" si="66"/>
        <v>#DIV/0!</v>
      </c>
      <c r="AD53" s="33" t="e">
        <f t="shared" si="66"/>
        <v>#DIV/0!</v>
      </c>
      <c r="AE53" s="33" t="e">
        <f t="shared" si="66"/>
        <v>#DIV/0!</v>
      </c>
      <c r="AF53" s="33" t="e">
        <f t="shared" si="66"/>
        <v>#DIV/0!</v>
      </c>
    </row>
    <row r="54" spans="23:32" x14ac:dyDescent="0.45">
      <c r="W54" t="str">
        <f>$A$13</f>
        <v>Rest</v>
      </c>
      <c r="X54" s="33" t="e">
        <f t="shared" ref="X54:AF54" si="67">X40-B40</f>
        <v>#DIV/0!</v>
      </c>
      <c r="Y54" s="33" t="e">
        <f t="shared" si="67"/>
        <v>#DIV/0!</v>
      </c>
      <c r="Z54" s="33" t="e">
        <f t="shared" si="67"/>
        <v>#DIV/0!</v>
      </c>
      <c r="AA54" s="33" t="e">
        <f t="shared" si="67"/>
        <v>#DIV/0!</v>
      </c>
      <c r="AB54" s="33" t="e">
        <f t="shared" si="67"/>
        <v>#DIV/0!</v>
      </c>
      <c r="AC54" s="33" t="e">
        <f t="shared" si="67"/>
        <v>#DIV/0!</v>
      </c>
      <c r="AD54" s="33" t="e">
        <f t="shared" si="67"/>
        <v>#DIV/0!</v>
      </c>
      <c r="AE54" s="33" t="e">
        <f t="shared" si="67"/>
        <v>#DIV/0!</v>
      </c>
      <c r="AF54" s="33" t="e">
        <f t="shared" si="67"/>
        <v>#DIV/0!</v>
      </c>
    </row>
    <row r="55" spans="23:32" x14ac:dyDescent="0.45">
      <c r="W55" s="34" t="s">
        <v>17</v>
      </c>
      <c r="X55" s="39">
        <f t="shared" ref="X55:AF55" si="68">X41-B41</f>
        <v>0</v>
      </c>
      <c r="Y55" s="39">
        <f t="shared" si="68"/>
        <v>0</v>
      </c>
      <c r="Z55" s="39">
        <f t="shared" si="68"/>
        <v>0</v>
      </c>
      <c r="AA55" s="39">
        <f t="shared" si="68"/>
        <v>0</v>
      </c>
      <c r="AB55" s="39">
        <f t="shared" si="68"/>
        <v>0</v>
      </c>
      <c r="AC55" s="39">
        <f t="shared" si="68"/>
        <v>0</v>
      </c>
      <c r="AD55" s="39">
        <f t="shared" si="68"/>
        <v>0</v>
      </c>
      <c r="AE55" s="39">
        <f t="shared" si="68"/>
        <v>0</v>
      </c>
      <c r="AF55" s="33">
        <f t="shared" si="68"/>
        <v>0</v>
      </c>
    </row>
    <row r="56" spans="23:32" ht="14.65" thickBot="1" x14ac:dyDescent="0.5">
      <c r="W56" s="30" t="s">
        <v>4</v>
      </c>
      <c r="X56" s="35" t="e">
        <f t="shared" ref="X56:AF56" si="69">X42-B42</f>
        <v>#DIV/0!</v>
      </c>
      <c r="Y56" s="35" t="e">
        <f t="shared" si="69"/>
        <v>#DIV/0!</v>
      </c>
      <c r="Z56" s="35" t="e">
        <f t="shared" si="69"/>
        <v>#DIV/0!</v>
      </c>
      <c r="AA56" s="35" t="e">
        <f t="shared" si="69"/>
        <v>#DIV/0!</v>
      </c>
      <c r="AB56" s="35" t="e">
        <f t="shared" si="69"/>
        <v>#DIV/0!</v>
      </c>
      <c r="AC56" s="35" t="e">
        <f t="shared" si="69"/>
        <v>#DIV/0!</v>
      </c>
      <c r="AD56" s="35" t="e">
        <f t="shared" si="69"/>
        <v>#DIV/0!</v>
      </c>
      <c r="AE56" s="35" t="e">
        <f t="shared" si="69"/>
        <v>#DIV/0!</v>
      </c>
      <c r="AF56" s="42" t="e">
        <f t="shared" si="69"/>
        <v>#DIV/0!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Z36"/>
  <sheetViews>
    <sheetView tabSelected="1" zoomScaleNormal="100" workbookViewId="0">
      <selection activeCell="T26" sqref="T26"/>
    </sheetView>
  </sheetViews>
  <sheetFormatPr defaultRowHeight="14.25" x14ac:dyDescent="0.45"/>
  <cols>
    <col min="2" max="2" bestFit="true" customWidth="true" width="9.59765625" collapsed="true"/>
    <col min="3" max="4" bestFit="true" customWidth="true" width="9.265625" collapsed="true"/>
    <col min="5" max="5" bestFit="true" customWidth="true" width="9.59765625" collapsed="true"/>
    <col min="14" max="15" bestFit="true" customWidth="true" width="9.59765625" collapsed="true"/>
  </cols>
  <sheetData>
    <row r="1" spans="1:26" x14ac:dyDescent="0.45">
      <c r="A1" t="s">
        <v>24</v>
      </c>
    </row>
    <row r="2" spans="1:26" x14ac:dyDescent="0.45">
      <c r="A2" t="s">
        <v>273</v>
      </c>
    </row>
    <row r="3" spans="1:26" x14ac:dyDescent="0.45">
      <c r="A3" t="s">
        <v>39</v>
      </c>
    </row>
    <row r="5" spans="1:26" ht="14.65" thickBot="1" x14ac:dyDescent="0.5">
      <c r="A5" s="4" t="s">
        <v>216</v>
      </c>
      <c r="B5" s="1"/>
      <c r="C5" s="1"/>
      <c r="D5" s="1"/>
      <c r="E5" s="1"/>
      <c r="H5" s="4" t="s">
        <v>40</v>
      </c>
      <c r="I5" s="1"/>
      <c r="J5" s="1"/>
      <c r="K5" s="1"/>
      <c r="L5" s="1"/>
      <c r="O5" s="4" t="s">
        <v>60</v>
      </c>
      <c r="P5" s="1"/>
      <c r="Q5" s="1"/>
      <c r="R5" s="1"/>
      <c r="S5" s="1"/>
      <c r="V5" s="4" t="s">
        <v>63</v>
      </c>
      <c r="W5" s="1"/>
      <c r="X5" s="1"/>
      <c r="Y5" s="1"/>
      <c r="Z5" s="1"/>
    </row>
    <row r="6" spans="1:26" x14ac:dyDescent="0.45">
      <c r="A6" s="2"/>
      <c r="B6" s="3" t="s">
        <v>9</v>
      </c>
      <c r="C6" s="3" t="s">
        <v>10</v>
      </c>
      <c r="D6" s="3" t="s">
        <v>11</v>
      </c>
      <c r="E6" s="3" t="s">
        <v>4</v>
      </c>
      <c r="H6" s="2"/>
      <c r="I6" s="3" t="s">
        <v>9</v>
      </c>
      <c r="J6" s="3" t="s">
        <v>10</v>
      </c>
      <c r="K6" s="3" t="s">
        <v>11</v>
      </c>
      <c r="L6" s="3" t="s">
        <v>4</v>
      </c>
      <c r="O6" s="2"/>
      <c r="P6" s="3" t="s">
        <v>9</v>
      </c>
      <c r="Q6" s="3" t="s">
        <v>10</v>
      </c>
      <c r="R6" s="3" t="s">
        <v>11</v>
      </c>
      <c r="S6" s="3" t="s">
        <v>4</v>
      </c>
      <c r="V6" s="2"/>
      <c r="W6" s="3" t="s">
        <v>9</v>
      </c>
      <c r="X6" s="3" t="s">
        <v>10</v>
      </c>
      <c r="Y6" s="3" t="s">
        <v>11</v>
      </c>
      <c r="Z6" s="3" t="s">
        <v>4</v>
      </c>
    </row>
    <row r="7" spans="1:26" x14ac:dyDescent="0.45">
      <c r="A7" s="41" t="s">
        <v>280</v>
      </c>
      <c r="B7" s="15" t="n">
        <v>126.2846</v>
      </c>
      <c r="C7" s="15" t="n">
        <v>98.1093</v>
      </c>
      <c r="D7" s="15" t="n">
        <v>0.0</v>
      </c>
      <c r="E7" s="15">
        <f>SUM(B7:D7)</f>
        <v>224.3939</v>
      </c>
      <c r="F7" s="15"/>
      <c r="G7" s="15"/>
      <c r="H7" t="str">
        <f>$A$7</f>
        <v>Bellevue</v>
      </c>
      <c r="I7" s="15" t="n">
        <v>137.0</v>
      </c>
      <c r="J7" s="15" t="n">
        <v>109.0</v>
      </c>
      <c r="K7" s="15" t="n">
        <v>86.0</v>
      </c>
      <c r="L7" s="15">
        <f>SUM(I7:K7)</f>
        <v>421</v>
      </c>
      <c r="O7" t="str">
        <f>$A$7</f>
        <v>Bellevue</v>
      </c>
      <c r="P7" s="15">
        <f>I7-B7</f>
        <v>97.715400000000002</v>
      </c>
      <c r="Q7" s="15">
        <f t="shared" ref="Q7:Q14" si="0">J7-C7</f>
        <v>20.890699999999995</v>
      </c>
      <c r="R7" s="15">
        <f t="shared" ref="R7:R14" si="1">K7-D7</f>
        <v>78</v>
      </c>
      <c r="S7" s="15">
        <f t="shared" ref="S7:S14" si="2">L7-E7</f>
        <v>196.6061</v>
      </c>
      <c r="V7" t="str">
        <f>$A$7</f>
        <v>Bellevue</v>
      </c>
      <c r="W7" s="15"/>
      <c r="X7" s="15"/>
      <c r="Y7" s="15"/>
      <c r="Z7" s="15"/>
    </row>
    <row r="8" spans="1:26" x14ac:dyDescent="0.45">
      <c r="A8" t="s">
        <v>281</v>
      </c>
      <c r="B8" s="15" t="n">
        <v>0.0</v>
      </c>
      <c r="C8" s="15" t="n">
        <v>0.0</v>
      </c>
      <c r="D8" s="15" t="n">
        <v>0.0</v>
      </c>
      <c r="E8" s="15">
        <f t="shared" ref="E8:E11" si="3">SUM(B8:D8)</f>
        <v>0</v>
      </c>
      <c r="F8" s="15"/>
      <c r="G8" s="15"/>
      <c r="H8" t="str">
        <f>$A$8</f>
        <v>Bellevue Downtown</v>
      </c>
      <c r="I8" s="15" t="n">
        <v>87.0</v>
      </c>
      <c r="J8" s="15" t="n">
        <v>72.0</v>
      </c>
      <c r="K8" s="15" t="n">
        <v>47.0</v>
      </c>
      <c r="L8" s="15">
        <f t="shared" ref="L8:L13" si="4">SUM(I8:K8)</f>
        <v>210</v>
      </c>
      <c r="O8" t="str">
        <f>$A$8</f>
        <v>Bellevue Downtown</v>
      </c>
      <c r="P8" s="15">
        <f t="shared" ref="P8:P14" si="5">I8-B8</f>
        <v>82</v>
      </c>
      <c r="Q8" s="15">
        <f t="shared" si="0"/>
        <v>86</v>
      </c>
      <c r="R8" s="15">
        <f t="shared" si="1"/>
        <v>42</v>
      </c>
      <c r="S8" s="15">
        <f t="shared" si="2"/>
        <v>210</v>
      </c>
      <c r="V8" t="str">
        <f>$A$8</f>
        <v>Bellevue Downtown</v>
      </c>
      <c r="W8" s="15"/>
      <c r="X8" s="15"/>
      <c r="Y8" s="15"/>
      <c r="Z8" s="15"/>
    </row>
    <row r="9" spans="1:26" x14ac:dyDescent="0.45">
      <c r="A9" t="s">
        <v>282</v>
      </c>
      <c r="B9" s="15" t="n">
        <v>0.0</v>
      </c>
      <c r="C9" s="15" t="n">
        <v>0.0</v>
      </c>
      <c r="D9" s="15" t="n">
        <v>0.0</v>
      </c>
      <c r="E9" s="15">
        <f t="shared" si="3"/>
        <v>0</v>
      </c>
      <c r="F9" s="15"/>
      <c r="G9" s="15"/>
      <c r="H9" t="str">
        <f>$A$9</f>
        <v>Kirkland</v>
      </c>
      <c r="I9" s="15" t="n">
        <v>294.0</v>
      </c>
      <c r="J9" s="15" t="n">
        <v>281.0</v>
      </c>
      <c r="K9" s="15" t="n">
        <v>188.0</v>
      </c>
      <c r="L9" s="15">
        <f t="shared" si="4"/>
        <v>773</v>
      </c>
      <c r="O9" t="str">
        <f>$A$9</f>
        <v>Kirkland</v>
      </c>
      <c r="P9" s="15">
        <f t="shared" ref="P9:P11" si="6">I9-B9</f>
        <v>324</v>
      </c>
      <c r="Q9" s="15">
        <f t="shared" ref="Q9:Q11" si="7">J9-C9</f>
        <v>266</v>
      </c>
      <c r="R9" s="15">
        <f t="shared" ref="R9:R11" si="8">K9-D9</f>
        <v>183</v>
      </c>
      <c r="S9" s="15">
        <f t="shared" ref="S9:S11" si="9">L9-E9</f>
        <v>773</v>
      </c>
      <c r="V9" t="str">
        <f>$A$9</f>
        <v>Kirkland</v>
      </c>
      <c r="W9" s="15"/>
      <c r="X9" s="15"/>
      <c r="Y9" s="15"/>
      <c r="Z9" s="15"/>
    </row>
    <row r="10" spans="1:26" x14ac:dyDescent="0.45">
      <c r="A10" t="s">
        <v>283</v>
      </c>
      <c r="B10" s="15" t="n">
        <v>0.0</v>
      </c>
      <c r="C10" s="15" t="n">
        <v>0.0</v>
      </c>
      <c r="D10" s="15" t="n">
        <v>0.0</v>
      </c>
      <c r="E10" s="15">
        <f t="shared" si="3"/>
        <v>0</v>
      </c>
      <c r="F10" s="15"/>
      <c r="G10" s="15"/>
      <c r="H10" t="str">
        <f>$A$10</f>
        <v>Redmond</v>
      </c>
      <c r="I10" s="15" t="n">
        <v>172.0</v>
      </c>
      <c r="J10" s="15" t="n">
        <v>153.0</v>
      </c>
      <c r="K10" s="15" t="n">
        <v>105.0</v>
      </c>
      <c r="L10" s="15">
        <f t="shared" si="4"/>
        <v>462</v>
      </c>
      <c r="O10" t="str">
        <f>$A$10</f>
        <v>Redmond</v>
      </c>
      <c r="P10" s="15">
        <f t="shared" si="6"/>
        <v>236</v>
      </c>
      <c r="Q10" s="15">
        <f t="shared" si="7"/>
        <v>155</v>
      </c>
      <c r="R10" s="15">
        <f t="shared" si="8"/>
        <v>71</v>
      </c>
      <c r="S10" s="15">
        <f t="shared" si="9"/>
        <v>462</v>
      </c>
      <c r="V10" t="str">
        <f>$A$10</f>
        <v>Redmond</v>
      </c>
      <c r="W10" s="15"/>
      <c r="X10" s="15"/>
      <c r="Y10" s="15"/>
      <c r="Z10" s="15"/>
    </row>
    <row r="11" spans="1:26" x14ac:dyDescent="0.45">
      <c r="A11" t="s">
        <v>279</v>
      </c>
      <c r="B11" s="15" t="n">
        <v>0.0</v>
      </c>
      <c r="C11" s="15" t="n">
        <v>0.0</v>
      </c>
      <c r="D11" s="15" t="n">
        <v>0.0</v>
      </c>
      <c r="E11" s="15">
        <f t="shared" si="3"/>
        <v>0</v>
      </c>
      <c r="F11" s="15"/>
      <c r="G11" s="15"/>
      <c r="H11" t="str">
        <f>$A$11</f>
        <v>Seattle</v>
      </c>
      <c r="I11" s="15" t="n">
        <v>0.0</v>
      </c>
      <c r="J11" s="15" t="n">
        <v>0.0</v>
      </c>
      <c r="K11" s="15" t="n">
        <v>0.0</v>
      </c>
      <c r="L11" s="15">
        <f t="shared" si="4"/>
        <v>0</v>
      </c>
      <c r="O11" t="str">
        <f>$A$11</f>
        <v>Seattle</v>
      </c>
      <c r="P11" s="15">
        <f t="shared" si="6"/>
        <v>0</v>
      </c>
      <c r="Q11" s="15">
        <f t="shared" si="7"/>
        <v>0</v>
      </c>
      <c r="R11" s="15">
        <f t="shared" si="8"/>
        <v>0</v>
      </c>
      <c r="S11" s="15">
        <f t="shared" si="9"/>
        <v>0</v>
      </c>
      <c r="V11" t="str">
        <f>$A$11</f>
        <v>Seattle</v>
      </c>
      <c r="W11" s="15"/>
      <c r="X11" s="15"/>
      <c r="Y11" s="15"/>
      <c r="Z11" s="15"/>
    </row>
    <row r="12" spans="1:26" x14ac:dyDescent="0.45">
      <c r="A12" t="s">
        <v>284</v>
      </c>
      <c r="B12" s="16" t="n">
        <v>0.0</v>
      </c>
      <c r="C12" s="16" t="n">
        <v>0.0</v>
      </c>
      <c r="D12" s="16" t="n">
        <v>0.0</v>
      </c>
      <c r="E12" s="16">
        <f t="shared" ref="E12:E13" si="10">SUM(B12:D12)</f>
        <v>0</v>
      </c>
      <c r="F12" s="15"/>
      <c r="G12" s="15"/>
      <c r="H12" t="str">
        <f>$A$12</f>
        <v>Seattle Downtown</v>
      </c>
      <c r="I12" s="16" t="n">
        <v>0.0</v>
      </c>
      <c r="J12" s="16" t="n">
        <v>0.0</v>
      </c>
      <c r="K12" s="16" t="n">
        <v>0.0</v>
      </c>
      <c r="L12" s="16">
        <f t="shared" si="4"/>
        <v>0</v>
      </c>
      <c r="O12" t="str">
        <f>$A$12</f>
        <v>Seattle Downtown</v>
      </c>
      <c r="P12" s="16">
        <f t="shared" si="5"/>
        <v>0</v>
      </c>
      <c r="Q12" s="16">
        <f t="shared" si="0"/>
        <v>0</v>
      </c>
      <c r="R12" s="16">
        <f t="shared" si="1"/>
        <v>0</v>
      </c>
      <c r="S12" s="16">
        <f t="shared" si="2"/>
        <v>0</v>
      </c>
      <c r="V12" t="str">
        <f>$A$12</f>
        <v>Seattle Downtown</v>
      </c>
      <c r="W12" s="16"/>
      <c r="X12" s="16"/>
      <c r="Y12" s="16"/>
      <c r="Z12" s="16"/>
    </row>
    <row r="13" spans="1:26" x14ac:dyDescent="0.45">
      <c r="A13" s="6" t="s">
        <v>285</v>
      </c>
      <c r="B13" s="17" t="n">
        <v>0.0</v>
      </c>
      <c r="C13" s="17" t="n">
        <v>0.0</v>
      </c>
      <c r="D13" s="17" t="n">
        <v>0.0</v>
      </c>
      <c r="E13" s="16">
        <f t="shared" si="10"/>
        <v>0</v>
      </c>
      <c r="F13" s="15"/>
      <c r="G13" s="15"/>
      <c r="H13" s="15" t="str">
        <f>$A$13</f>
        <v>Rest</v>
      </c>
      <c r="I13" s="17" t="n">
        <v>0.0</v>
      </c>
      <c r="J13" s="17" t="n">
        <v>0.0</v>
      </c>
      <c r="K13" s="17" t="n">
        <v>0.0</v>
      </c>
      <c r="L13" s="16">
        <f t="shared" si="4"/>
        <v>0</v>
      </c>
      <c r="O13" s="15" t="str">
        <f>H13</f>
        <v>Rest</v>
      </c>
      <c r="P13" s="16">
        <f t="shared" ref="P13" si="11">I13-B13</f>
        <v>0</v>
      </c>
      <c r="Q13" s="16">
        <f t="shared" ref="Q13" si="12">J13-C13</f>
        <v>0</v>
      </c>
      <c r="R13" s="16">
        <f t="shared" ref="R13" si="13">K13-D13</f>
        <v>0</v>
      </c>
      <c r="S13" s="16">
        <f t="shared" ref="S13" si="14">L13-E13</f>
        <v>0</v>
      </c>
      <c r="V13" s="15" t="str">
        <f>$A$13</f>
        <v>Rest</v>
      </c>
      <c r="W13" s="17"/>
      <c r="X13" s="17"/>
      <c r="Y13" s="17"/>
      <c r="Z13" s="17"/>
    </row>
    <row r="14" spans="1:26" ht="14.65" thickBot="1" x14ac:dyDescent="0.5">
      <c r="A14" s="19" t="s">
        <v>4</v>
      </c>
      <c r="B14" s="19">
        <f>SUM(B7:B13)</f>
        <v>126.2846</v>
      </c>
      <c r="C14" s="19">
        <f t="shared" ref="C14:E14" si="15">SUM(C7:C13)</f>
        <v>98.109300000000005</v>
      </c>
      <c r="D14" s="19">
        <f t="shared" si="15"/>
        <v>0</v>
      </c>
      <c r="E14" s="19">
        <f t="shared" si="15"/>
        <v>224.3939</v>
      </c>
      <c r="F14" s="15"/>
      <c r="G14" s="15"/>
      <c r="H14" s="19" t="s">
        <v>4</v>
      </c>
      <c r="I14" s="19">
        <f>SUM(I7:I13)</f>
        <v>866</v>
      </c>
      <c r="J14" s="19">
        <f t="shared" ref="J14:L14" si="16">SUM(J7:J13)</f>
        <v>626</v>
      </c>
      <c r="K14" s="19">
        <f t="shared" si="16"/>
        <v>374</v>
      </c>
      <c r="L14" s="19">
        <f t="shared" si="16"/>
        <v>1866</v>
      </c>
      <c r="O14" s="19" t="s">
        <v>4</v>
      </c>
      <c r="P14" s="19">
        <f t="shared" si="5"/>
        <v>739.71540000000005</v>
      </c>
      <c r="Q14" s="19">
        <f t="shared" si="0"/>
        <v>527.89070000000004</v>
      </c>
      <c r="R14" s="19">
        <f t="shared" si="1"/>
        <v>374</v>
      </c>
      <c r="S14" s="19">
        <f t="shared" si="2"/>
        <v>1641.6061</v>
      </c>
      <c r="V14" s="19" t="s">
        <v>4</v>
      </c>
      <c r="W14" s="19">
        <f>SUM(W7:W13)</f>
        <v>0</v>
      </c>
      <c r="X14" s="19">
        <f t="shared" ref="X14:Z14" si="17">SUM(X7:X13)</f>
        <v>0</v>
      </c>
      <c r="Y14" s="19">
        <f t="shared" si="17"/>
        <v>0</v>
      </c>
      <c r="Z14" s="19">
        <f t="shared" si="17"/>
        <v>0</v>
      </c>
    </row>
    <row r="15" spans="1:26" x14ac:dyDescent="0.45"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O15" s="15"/>
      <c r="P15" s="15"/>
      <c r="Q15" s="15"/>
      <c r="R15" s="15"/>
      <c r="S15" s="15"/>
      <c r="W15" s="15"/>
      <c r="X15" s="15"/>
      <c r="Y15" s="15"/>
      <c r="Z15" s="15"/>
    </row>
    <row r="16" spans="1:26" ht="14.65" thickBot="1" x14ac:dyDescent="0.5">
      <c r="A16" s="4" t="s">
        <v>217</v>
      </c>
      <c r="B16" s="19"/>
      <c r="C16" s="19"/>
      <c r="D16" s="19"/>
      <c r="E16" s="19"/>
      <c r="F16" s="15"/>
      <c r="G16" s="15"/>
      <c r="H16" s="22" t="s">
        <v>41</v>
      </c>
      <c r="I16" s="19"/>
      <c r="J16" s="19"/>
      <c r="K16" s="19"/>
      <c r="L16" s="19"/>
      <c r="O16" s="22" t="s">
        <v>61</v>
      </c>
      <c r="P16" s="19"/>
      <c r="Q16" s="19"/>
      <c r="R16" s="19"/>
      <c r="S16" s="19"/>
      <c r="V16" s="4" t="s">
        <v>64</v>
      </c>
      <c r="W16" s="19"/>
      <c r="X16" s="19"/>
      <c r="Y16" s="19"/>
      <c r="Z16" s="19"/>
    </row>
    <row r="17" spans="1:26" x14ac:dyDescent="0.45">
      <c r="A17" s="2"/>
      <c r="B17" s="23" t="s">
        <v>9</v>
      </c>
      <c r="C17" s="23" t="s">
        <v>10</v>
      </c>
      <c r="D17" s="23" t="s">
        <v>11</v>
      </c>
      <c r="E17" s="23" t="s">
        <v>4</v>
      </c>
      <c r="F17" s="15"/>
      <c r="G17" s="15"/>
      <c r="H17" s="24"/>
      <c r="I17" s="23" t="s">
        <v>9</v>
      </c>
      <c r="J17" s="23" t="s">
        <v>10</v>
      </c>
      <c r="K17" s="23" t="s">
        <v>11</v>
      </c>
      <c r="L17" s="23" t="s">
        <v>4</v>
      </c>
      <c r="O17" s="24"/>
      <c r="P17" s="23" t="s">
        <v>9</v>
      </c>
      <c r="Q17" s="23" t="s">
        <v>10</v>
      </c>
      <c r="R17" s="23" t="s">
        <v>11</v>
      </c>
      <c r="S17" s="23" t="s">
        <v>4</v>
      </c>
      <c r="V17" s="2"/>
      <c r="W17" s="23" t="s">
        <v>9</v>
      </c>
      <c r="X17" s="23" t="s">
        <v>10</v>
      </c>
      <c r="Y17" s="23" t="s">
        <v>11</v>
      </c>
      <c r="Z17" s="23" t="s">
        <v>4</v>
      </c>
    </row>
    <row r="18" spans="1:26" x14ac:dyDescent="0.45">
      <c r="A18" t="str">
        <f>$A$7</f>
        <v>Bellevue</v>
      </c>
      <c r="B18" s="15" t="n">
        <v>67542.7374</v>
      </c>
      <c r="C18" s="15" t="n">
        <v>12706.5116</v>
      </c>
      <c r="D18" s="15" t="n">
        <v>991.766</v>
      </c>
      <c r="E18" s="15">
        <f>SUM(B18:D18)</f>
        <v>81241.014999999999</v>
      </c>
      <c r="F18" s="15"/>
      <c r="G18" s="15"/>
      <c r="H18" t="str">
        <f>$A$7</f>
        <v>Bellevue</v>
      </c>
      <c r="I18" s="15" t="n">
        <v>65666.0</v>
      </c>
      <c r="J18" s="15" t="n">
        <v>14627.0</v>
      </c>
      <c r="K18" s="15" t="n">
        <v>8209.0</v>
      </c>
      <c r="L18" s="15">
        <f>SUM(I18:K18)</f>
        <v>86582</v>
      </c>
      <c r="O18" t="str">
        <f>$A$7</f>
        <v>Bellevue</v>
      </c>
      <c r="P18" s="15">
        <f t="shared" ref="P18:P25" si="18">I18-B18</f>
        <v>-3399.7373999999982</v>
      </c>
      <c r="Q18" s="15">
        <f t="shared" ref="Q18:Q25" si="19">J18-C18</f>
        <v>1611.4884000000002</v>
      </c>
      <c r="R18" s="15">
        <f t="shared" ref="R18:R25" si="20">K18-D18</f>
        <v>7129.2340000000004</v>
      </c>
      <c r="S18" s="15">
        <f t="shared" ref="S18:S25" si="21">L18-E18</f>
        <v>5340.9850000000006</v>
      </c>
      <c r="V18" t="str">
        <f>$A$7</f>
        <v>Bellevue</v>
      </c>
      <c r="W18" s="15"/>
      <c r="X18" s="15"/>
      <c r="Y18" s="15"/>
      <c r="Z18" s="15"/>
    </row>
    <row r="19" spans="1:26" x14ac:dyDescent="0.45">
      <c r="A19" t="str">
        <f>$A$8</f>
        <v>Bellevue Downtown</v>
      </c>
      <c r="B19" s="15" t="n">
        <v>4996.582</v>
      </c>
      <c r="C19" s="15" t="n">
        <v>378.6098</v>
      </c>
      <c r="D19" s="15" t="n">
        <v>83.9342</v>
      </c>
      <c r="E19" s="15">
        <f t="shared" ref="E19:E24" si="22">SUM(B19:D19)</f>
        <v>5459.1260000000002</v>
      </c>
      <c r="F19" s="15"/>
      <c r="G19" s="15"/>
      <c r="H19" t="str">
        <f>$A$8</f>
        <v>Bellevue Downtown</v>
      </c>
      <c r="I19" s="15" t="n">
        <v>6649.0</v>
      </c>
      <c r="J19" s="15" t="n">
        <v>1483.0</v>
      </c>
      <c r="K19" s="15" t="n">
        <v>628.0</v>
      </c>
      <c r="L19" s="15">
        <f>SUM(I19:K19)</f>
        <v>8736</v>
      </c>
      <c r="O19" t="str">
        <f>$A$8</f>
        <v>Bellevue Downtown</v>
      </c>
      <c r="P19" s="15">
        <f t="shared" si="18"/>
        <v>1626.4179999999997</v>
      </c>
      <c r="Q19" s="15">
        <f t="shared" si="19"/>
        <v>1099.3902</v>
      </c>
      <c r="R19" s="15">
        <f t="shared" si="20"/>
        <v>551.06579999999997</v>
      </c>
      <c r="S19" s="15">
        <f t="shared" si="21"/>
        <v>3276.8739999999998</v>
      </c>
      <c r="V19" t="str">
        <f>$A$8</f>
        <v>Bellevue Downtown</v>
      </c>
      <c r="W19" s="15"/>
      <c r="X19" s="15"/>
      <c r="Y19" s="15"/>
      <c r="Z19" s="15"/>
    </row>
    <row r="20" spans="1:26" x14ac:dyDescent="0.45">
      <c r="A20" t="str">
        <f>$A$9</f>
        <v>Kirkland</v>
      </c>
      <c r="B20" s="15" t="n">
        <v>56770.7963</v>
      </c>
      <c r="C20" s="15" t="n">
        <v>12551.3848</v>
      </c>
      <c r="D20" s="15" t="n">
        <v>844.9634</v>
      </c>
      <c r="E20" s="15">
        <f t="shared" si="22"/>
        <v>70167.144499999995</v>
      </c>
      <c r="F20" s="15"/>
      <c r="G20" s="15"/>
      <c r="H20" t="str">
        <f>$A$9</f>
        <v>Kirkland</v>
      </c>
      <c r="I20" s="15" t="n">
        <v>65279.0</v>
      </c>
      <c r="J20" s="15" t="n">
        <v>14974.0</v>
      </c>
      <c r="K20" s="15" t="n">
        <v>7951.0</v>
      </c>
      <c r="L20" s="15">
        <f t="shared" ref="L20:L22" si="23">SUM(I20:K20)</f>
        <v>87836</v>
      </c>
      <c r="O20" t="str">
        <f>$A$9</f>
        <v>Kirkland</v>
      </c>
      <c r="P20" s="15">
        <f t="shared" ref="P20:P22" si="24">I20-B20</f>
        <v>8116.2036999999982</v>
      </c>
      <c r="Q20" s="15">
        <f t="shared" ref="Q20:Q22" si="25">J20-C20</f>
        <v>2417.6152000000002</v>
      </c>
      <c r="R20" s="15">
        <f t="shared" ref="R20:R22" si="26">K20-D20</f>
        <v>7135.0366000000004</v>
      </c>
      <c r="S20" s="15">
        <f t="shared" ref="S20:S22" si="27">L20-E20</f>
        <v>17668.855500000005</v>
      </c>
      <c r="V20" t="str">
        <f>$A$9</f>
        <v>Kirkland</v>
      </c>
      <c r="W20" s="15"/>
      <c r="X20" s="15"/>
      <c r="Y20" s="15"/>
      <c r="Z20" s="15"/>
    </row>
    <row r="21" spans="1:26" x14ac:dyDescent="0.45">
      <c r="A21" t="str">
        <f>$A$10</f>
        <v>Redmond</v>
      </c>
      <c r="B21" s="15" t="n">
        <v>44724.3739</v>
      </c>
      <c r="C21" s="15" t="n">
        <v>10086.334200000001</v>
      </c>
      <c r="D21" s="15" t="n">
        <v>2087.2448</v>
      </c>
      <c r="E21" s="15">
        <f t="shared" si="22"/>
        <v>56897.952900000004</v>
      </c>
      <c r="F21" s="15"/>
      <c r="G21" s="15"/>
      <c r="H21" t="str">
        <f>$A$10</f>
        <v>Redmond</v>
      </c>
      <c r="I21" s="15" t="n">
        <v>51830.0</v>
      </c>
      <c r="J21" s="15" t="n">
        <v>11475.0</v>
      </c>
      <c r="K21" s="15" t="n">
        <v>5834.0</v>
      </c>
      <c r="L21" s="15">
        <f t="shared" si="23"/>
        <v>69040</v>
      </c>
      <c r="O21" t="str">
        <f>$A$10</f>
        <v>Redmond</v>
      </c>
      <c r="P21" s="15">
        <f t="shared" si="24"/>
        <v>6980.6261000000013</v>
      </c>
      <c r="Q21" s="15">
        <f t="shared" si="25"/>
        <v>1383.6657999999989</v>
      </c>
      <c r="R21" s="15">
        <f t="shared" si="26"/>
        <v>3777.7552000000001</v>
      </c>
      <c r="S21" s="15">
        <f t="shared" si="27"/>
        <v>12142.047099999996</v>
      </c>
      <c r="V21" t="str">
        <f>$A$10</f>
        <v>Redmond</v>
      </c>
      <c r="W21" s="15"/>
      <c r="X21" s="15"/>
      <c r="Y21" s="15"/>
      <c r="Z21" s="15"/>
    </row>
    <row r="22" spans="1:26" x14ac:dyDescent="0.45">
      <c r="A22" t="str">
        <f>$A$11</f>
        <v>Seattle</v>
      </c>
      <c r="B22" s="15" t="n">
        <v>0.0</v>
      </c>
      <c r="C22" s="15" t="n">
        <v>0.0</v>
      </c>
      <c r="D22" s="15" t="n">
        <v>0.0</v>
      </c>
      <c r="E22" s="15">
        <f t="shared" si="22"/>
        <v>0</v>
      </c>
      <c r="F22" s="15"/>
      <c r="G22" s="15"/>
      <c r="H22" t="str">
        <f>$A$11</f>
        <v>Seattle</v>
      </c>
      <c r="I22" s="15" t="n">
        <v>0.0</v>
      </c>
      <c r="J22" s="15" t="n">
        <v>0.0</v>
      </c>
      <c r="K22" s="15" t="n">
        <v>0.0</v>
      </c>
      <c r="L22" s="15">
        <f t="shared" si="23"/>
        <v>0</v>
      </c>
      <c r="O22" t="str">
        <f>$A$11</f>
        <v>Seattle</v>
      </c>
      <c r="P22" s="15">
        <f t="shared" si="24"/>
        <v>0</v>
      </c>
      <c r="Q22" s="15">
        <f t="shared" si="25"/>
        <v>0</v>
      </c>
      <c r="R22" s="15">
        <f t="shared" si="26"/>
        <v>0</v>
      </c>
      <c r="S22" s="15">
        <f t="shared" si="27"/>
        <v>0</v>
      </c>
      <c r="V22" t="str">
        <f>$A$11</f>
        <v>Seattle</v>
      </c>
      <c r="W22" s="15"/>
      <c r="X22" s="15"/>
      <c r="Y22" s="15"/>
      <c r="Z22" s="15"/>
    </row>
    <row r="23" spans="1:26" x14ac:dyDescent="0.45">
      <c r="A23" t="str">
        <f>$A$12</f>
        <v>Seattle Downtown</v>
      </c>
      <c r="B23" s="16" t="n">
        <v>0.0</v>
      </c>
      <c r="C23" s="16" t="n">
        <v>0.0</v>
      </c>
      <c r="D23" s="16" t="n">
        <v>0.0</v>
      </c>
      <c r="E23" s="16">
        <f t="shared" si="22"/>
        <v>0</v>
      </c>
      <c r="F23" s="15"/>
      <c r="G23" s="15"/>
      <c r="H23" t="str">
        <f>$A$12</f>
        <v>Seattle Downtown</v>
      </c>
      <c r="I23" s="16" t="n">
        <v>0.0</v>
      </c>
      <c r="J23" s="16" t="n">
        <v>0.0</v>
      </c>
      <c r="K23" s="16" t="n">
        <v>0.0</v>
      </c>
      <c r="L23" s="16">
        <f>SUM(I23:K23)</f>
        <v>0</v>
      </c>
      <c r="O23" t="str">
        <f>$A$12</f>
        <v>Seattle Downtown</v>
      </c>
      <c r="P23" s="16">
        <f t="shared" si="18"/>
        <v>0</v>
      </c>
      <c r="Q23" s="16">
        <f t="shared" si="19"/>
        <v>0</v>
      </c>
      <c r="R23" s="16">
        <f t="shared" si="20"/>
        <v>0</v>
      </c>
      <c r="S23" s="16">
        <f t="shared" si="21"/>
        <v>0</v>
      </c>
      <c r="V23" t="str">
        <f>$A$12</f>
        <v>Seattle Downtown</v>
      </c>
      <c r="W23" s="16"/>
      <c r="X23" s="16"/>
      <c r="Y23" s="16"/>
      <c r="Z23" s="16"/>
    </row>
    <row r="24" spans="1:26" x14ac:dyDescent="0.45">
      <c r="A24" s="15" t="str">
        <f>A13</f>
        <v>Rest</v>
      </c>
      <c r="B24" s="17" t="n">
        <v>0.0</v>
      </c>
      <c r="C24" s="17" t="n">
        <v>0.0</v>
      </c>
      <c r="D24" s="17" t="n">
        <v>0.0</v>
      </c>
      <c r="E24" s="16">
        <f t="shared" si="22"/>
        <v>0</v>
      </c>
      <c r="F24" s="15"/>
      <c r="G24" s="15"/>
      <c r="H24" s="15" t="str">
        <f>H13</f>
        <v>Rest</v>
      </c>
      <c r="I24" s="17" t="n">
        <v>0.0</v>
      </c>
      <c r="J24" s="17" t="n">
        <v>0.0</v>
      </c>
      <c r="K24" s="17" t="n">
        <v>0.0</v>
      </c>
      <c r="L24" s="16">
        <f>SUM(I24:K24)</f>
        <v>0</v>
      </c>
      <c r="O24" s="15" t="str">
        <f>O13</f>
        <v>Rest</v>
      </c>
      <c r="P24" s="16">
        <f t="shared" ref="P24" si="28">I24-B24</f>
        <v>0</v>
      </c>
      <c r="Q24" s="16">
        <f t="shared" ref="Q24" si="29">J24-C24</f>
        <v>0</v>
      </c>
      <c r="R24" s="16">
        <f t="shared" ref="R24" si="30">K24-D24</f>
        <v>0</v>
      </c>
      <c r="S24" s="16">
        <f t="shared" ref="S24" si="31">L24-E24</f>
        <v>0</v>
      </c>
      <c r="V24" s="15" t="str">
        <f>$A$13</f>
        <v>Rest</v>
      </c>
      <c r="W24" s="17"/>
      <c r="X24" s="17"/>
      <c r="Y24" s="17"/>
      <c r="Z24" s="17"/>
    </row>
    <row r="25" spans="1:26" ht="14.65" thickBot="1" x14ac:dyDescent="0.5">
      <c r="A25" s="19" t="s">
        <v>4</v>
      </c>
      <c r="B25" s="19">
        <f>SUM(B18:B24)</f>
        <v>174034.4896</v>
      </c>
      <c r="C25" s="19">
        <f t="shared" ref="C25:E25" si="32">SUM(C18:C24)</f>
        <v>35722.840400000001</v>
      </c>
      <c r="D25" s="19">
        <f t="shared" si="32"/>
        <v>4007.9083999999998</v>
      </c>
      <c r="E25" s="19">
        <f t="shared" si="32"/>
        <v>213765.2384</v>
      </c>
      <c r="F25" s="15"/>
      <c r="G25" s="15"/>
      <c r="H25" s="19" t="s">
        <v>4</v>
      </c>
      <c r="I25" s="19">
        <f>SUM(I18:I24)</f>
        <v>187358</v>
      </c>
      <c r="J25" s="19">
        <f t="shared" ref="J25:L25" si="33">SUM(J18:J24)</f>
        <v>42235</v>
      </c>
      <c r="K25" s="19">
        <f t="shared" si="33"/>
        <v>22601</v>
      </c>
      <c r="L25" s="19">
        <f t="shared" si="33"/>
        <v>252194</v>
      </c>
      <c r="O25" s="19" t="s">
        <v>4</v>
      </c>
      <c r="P25" s="19">
        <f t="shared" si="18"/>
        <v>13323.510399999999</v>
      </c>
      <c r="Q25" s="19">
        <f t="shared" si="19"/>
        <v>6512.159599999999</v>
      </c>
      <c r="R25" s="19">
        <f t="shared" si="20"/>
        <v>18593.0916</v>
      </c>
      <c r="S25" s="19">
        <f t="shared" si="21"/>
        <v>38428.761599999998</v>
      </c>
      <c r="V25" s="19" t="s">
        <v>4</v>
      </c>
      <c r="W25" s="19">
        <f>SUM(W18:W24)</f>
        <v>0</v>
      </c>
      <c r="X25" s="19">
        <f t="shared" ref="X25:Z25" si="34">SUM(X18:X24)</f>
        <v>0</v>
      </c>
      <c r="Y25" s="19">
        <f t="shared" si="34"/>
        <v>0</v>
      </c>
      <c r="Z25" s="19">
        <f t="shared" si="34"/>
        <v>0</v>
      </c>
    </row>
    <row r="27" spans="1:26" ht="14.65" thickBot="1" x14ac:dyDescent="0.5">
      <c r="A27" s="4" t="s">
        <v>218</v>
      </c>
      <c r="B27" s="1"/>
      <c r="C27" s="1"/>
      <c r="D27" s="1"/>
      <c r="E27" s="1"/>
      <c r="H27" s="4" t="s">
        <v>42</v>
      </c>
      <c r="I27" s="1"/>
      <c r="J27" s="1"/>
      <c r="K27" s="1"/>
      <c r="L27" s="1"/>
      <c r="O27" s="4" t="s">
        <v>62</v>
      </c>
      <c r="P27" s="1"/>
      <c r="Q27" s="1"/>
      <c r="R27" s="1"/>
      <c r="S27" s="1"/>
      <c r="V27" s="4" t="s">
        <v>65</v>
      </c>
      <c r="W27" s="1"/>
      <c r="X27" s="1"/>
      <c r="Y27" s="1"/>
      <c r="Z27" s="1"/>
    </row>
    <row r="28" spans="1:26" x14ac:dyDescent="0.45">
      <c r="A28" s="2"/>
      <c r="B28" s="3" t="s">
        <v>9</v>
      </c>
      <c r="C28" s="3" t="s">
        <v>10</v>
      </c>
      <c r="D28" s="3" t="s">
        <v>11</v>
      </c>
      <c r="E28" s="3" t="s">
        <v>4</v>
      </c>
      <c r="H28" s="2"/>
      <c r="I28" s="3" t="s">
        <v>9</v>
      </c>
      <c r="J28" s="3" t="s">
        <v>10</v>
      </c>
      <c r="K28" s="3" t="s">
        <v>11</v>
      </c>
      <c r="L28" s="3" t="s">
        <v>4</v>
      </c>
      <c r="O28" s="2"/>
      <c r="P28" s="3" t="s">
        <v>9</v>
      </c>
      <c r="Q28" s="3" t="s">
        <v>10</v>
      </c>
      <c r="R28" s="3" t="s">
        <v>11</v>
      </c>
      <c r="S28" s="3" t="s">
        <v>4</v>
      </c>
      <c r="V28" s="2"/>
      <c r="W28" s="3" t="s">
        <v>9</v>
      </c>
      <c r="X28" s="3" t="s">
        <v>10</v>
      </c>
      <c r="Y28" s="3" t="s">
        <v>11</v>
      </c>
      <c r="Z28" s="3" t="s">
        <v>4</v>
      </c>
    </row>
    <row r="29" spans="1:26" x14ac:dyDescent="0.45">
      <c r="A29" t="str">
        <f>$A$7</f>
        <v>Bellevue</v>
      </c>
      <c r="B29" s="25">
        <f>B7/B18</f>
        <v>1.8696991691663359E-3</v>
      </c>
      <c r="C29" s="25">
        <f t="shared" ref="B29:E36" si="35">C7/C18</f>
        <v>7.7211828933442285E-3</v>
      </c>
      <c r="D29" s="25">
        <f t="shared" si="35"/>
        <v>0</v>
      </c>
      <c r="E29" s="25">
        <f t="shared" si="35"/>
        <v>2.7620765200927141E-3</v>
      </c>
      <c r="F29" s="25"/>
      <c r="G29" s="25"/>
      <c r="H29" t="str">
        <f>$A$7</f>
        <v>Bellevue</v>
      </c>
      <c r="I29" s="25">
        <f t="shared" ref="I29:L36" si="36">I7/I18</f>
        <v>3.4921971220554073E-3</v>
      </c>
      <c r="J29" s="25">
        <f t="shared" si="36"/>
        <v>8.3112166503701637E-3</v>
      </c>
      <c r="K29" s="25">
        <f t="shared" si="36"/>
        <v>9.6047284817140748E-3</v>
      </c>
      <c r="L29" s="25">
        <f t="shared" si="36"/>
        <v>4.8624425400198654E-3</v>
      </c>
      <c r="O29" t="str">
        <f>$A$7</f>
        <v>Bellevue</v>
      </c>
      <c r="P29" s="25">
        <f>I29-B29</f>
        <v>1.6224979528890713E-3</v>
      </c>
      <c r="Q29" s="25">
        <f t="shared" ref="Q29:Q36" si="37">J29-C29</f>
        <v>5.9003375702593522E-4</v>
      </c>
      <c r="R29" s="25">
        <f t="shared" ref="R29:R36" si="38">K29-D29</f>
        <v>9.6047284817140748E-3</v>
      </c>
      <c r="S29" s="25">
        <f t="shared" ref="S29:S36" si="39">L29-E29</f>
        <v>2.1003660199271513E-3</v>
      </c>
      <c r="V29" t="str">
        <f>$A$7</f>
        <v>Bellevue</v>
      </c>
      <c r="W29" s="25" t="e">
        <f t="shared" ref="W29:Z35" si="40">W7/W18</f>
        <v>#DIV/0!</v>
      </c>
      <c r="X29" s="25" t="e">
        <f t="shared" si="40"/>
        <v>#DIV/0!</v>
      </c>
      <c r="Y29" s="25" t="e">
        <f t="shared" si="40"/>
        <v>#DIV/0!</v>
      </c>
      <c r="Z29" s="25" t="e">
        <f t="shared" si="40"/>
        <v>#DIV/0!</v>
      </c>
    </row>
    <row r="30" spans="1:26" x14ac:dyDescent="0.45">
      <c r="A30" t="str">
        <f>$A$8</f>
        <v>Bellevue Downtown</v>
      </c>
      <c r="B30" s="25">
        <f t="shared" si="35"/>
        <v>0</v>
      </c>
      <c r="C30" s="25">
        <f t="shared" si="35"/>
        <v>0</v>
      </c>
      <c r="D30" s="25">
        <f t="shared" si="35"/>
        <v>0</v>
      </c>
      <c r="E30" s="25">
        <f t="shared" si="35"/>
        <v>0</v>
      </c>
      <c r="F30" s="25"/>
      <c r="G30" s="25"/>
      <c r="H30" t="str">
        <f>$A$8</f>
        <v>Bellevue Downtown</v>
      </c>
      <c r="I30" s="25">
        <f t="shared" si="36"/>
        <v>1.2381096179978861E-2</v>
      </c>
      <c r="J30" s="25">
        <f t="shared" si="36"/>
        <v>5.8186738836265225E-2</v>
      </c>
      <c r="K30" s="25">
        <f t="shared" si="36"/>
        <v>6.6141732283464566E-2</v>
      </c>
      <c r="L30" s="25">
        <f t="shared" si="36"/>
        <v>2.403846153846154E-2</v>
      </c>
      <c r="O30" t="str">
        <f>$A$8</f>
        <v>Bellevue Downtown</v>
      </c>
      <c r="P30" s="25">
        <f t="shared" ref="P30:P36" si="41">I30-B30</f>
        <v>1.2381096179978861E-2</v>
      </c>
      <c r="Q30" s="25">
        <f t="shared" si="37"/>
        <v>5.8186738836265225E-2</v>
      </c>
      <c r="R30" s="25">
        <f t="shared" si="38"/>
        <v>6.6141732283464566E-2</v>
      </c>
      <c r="S30" s="25">
        <f t="shared" si="39"/>
        <v>2.403846153846154E-2</v>
      </c>
      <c r="V30" t="str">
        <f>$A$8</f>
        <v>Bellevue Downtown</v>
      </c>
      <c r="W30" s="25" t="e">
        <f t="shared" si="40"/>
        <v>#DIV/0!</v>
      </c>
      <c r="X30" s="25" t="e">
        <f t="shared" si="40"/>
        <v>#DIV/0!</v>
      </c>
      <c r="Y30" s="25" t="e">
        <f t="shared" si="40"/>
        <v>#DIV/0!</v>
      </c>
      <c r="Z30" s="25" t="e">
        <f t="shared" si="40"/>
        <v>#DIV/0!</v>
      </c>
    </row>
    <row r="31" spans="1:26" x14ac:dyDescent="0.45">
      <c r="A31" t="str">
        <f>$A$9</f>
        <v>Kirkland</v>
      </c>
      <c r="B31" s="25">
        <f t="shared" si="35"/>
        <v>0</v>
      </c>
      <c r="C31" s="25">
        <f t="shared" si="35"/>
        <v>0</v>
      </c>
      <c r="D31" s="25">
        <f t="shared" si="35"/>
        <v>0</v>
      </c>
      <c r="E31" s="25">
        <f t="shared" si="35"/>
        <v>0</v>
      </c>
      <c r="F31" s="25"/>
      <c r="G31" s="25"/>
      <c r="H31" t="str">
        <f>$A$9</f>
        <v>Kirkland</v>
      </c>
      <c r="I31" s="25">
        <f t="shared" si="36"/>
        <v>4.9932960377271256E-3</v>
      </c>
      <c r="J31" s="25">
        <f t="shared" si="36"/>
        <v>1.7770058120114902E-2</v>
      </c>
      <c r="K31" s="25">
        <f t="shared" si="36"/>
        <v>2.2932330827067669E-2</v>
      </c>
      <c r="L31" s="25">
        <f t="shared" si="36"/>
        <v>8.8004918256751226E-3</v>
      </c>
      <c r="O31" t="str">
        <f>$A$9</f>
        <v>Kirkland</v>
      </c>
      <c r="P31" s="25">
        <f t="shared" ref="P31:P33" si="42">I31-B31</f>
        <v>4.9932960377271256E-3</v>
      </c>
      <c r="Q31" s="25">
        <f t="shared" ref="Q31:Q33" si="43">J31-C31</f>
        <v>1.7770058120114902E-2</v>
      </c>
      <c r="R31" s="25">
        <f t="shared" ref="R31:R33" si="44">K31-D31</f>
        <v>2.2932330827067669E-2</v>
      </c>
      <c r="S31" s="25">
        <f t="shared" ref="S31:S33" si="45">L31-E31</f>
        <v>8.8004918256751226E-3</v>
      </c>
      <c r="V31" t="str">
        <f>$A$9</f>
        <v>Kirkland</v>
      </c>
      <c r="W31" s="25" t="e">
        <f t="shared" si="40"/>
        <v>#DIV/0!</v>
      </c>
      <c r="X31" s="25" t="e">
        <f t="shared" si="40"/>
        <v>#DIV/0!</v>
      </c>
      <c r="Y31" s="25" t="e">
        <f t="shared" si="40"/>
        <v>#DIV/0!</v>
      </c>
      <c r="Z31" s="25" t="e">
        <f t="shared" si="40"/>
        <v>#DIV/0!</v>
      </c>
    </row>
    <row r="32" spans="1:26" x14ac:dyDescent="0.45">
      <c r="A32" t="str">
        <f>$A$10</f>
        <v>Redmond</v>
      </c>
      <c r="B32" s="25">
        <f t="shared" si="35"/>
        <v>0</v>
      </c>
      <c r="C32" s="25">
        <f t="shared" si="35"/>
        <v>0</v>
      </c>
      <c r="D32" s="25">
        <f t="shared" si="35"/>
        <v>0</v>
      </c>
      <c r="E32" s="25">
        <f t="shared" si="35"/>
        <v>0</v>
      </c>
      <c r="F32" s="25"/>
      <c r="G32" s="25"/>
      <c r="H32" t="str">
        <f>$A$10</f>
        <v>Redmond</v>
      </c>
      <c r="I32" s="25">
        <f t="shared" si="36"/>
        <v>4.5643554781935984E-3</v>
      </c>
      <c r="J32" s="25">
        <f t="shared" si="36"/>
        <v>1.3513513513513514E-2</v>
      </c>
      <c r="K32" s="25">
        <f t="shared" si="36"/>
        <v>1.2105711849957373E-2</v>
      </c>
      <c r="L32" s="25">
        <f t="shared" si="36"/>
        <v>6.6917728852838934E-3</v>
      </c>
      <c r="O32" t="str">
        <f>$A$10</f>
        <v>Redmond</v>
      </c>
      <c r="P32" s="25">
        <f t="shared" si="42"/>
        <v>4.5643554781935984E-3</v>
      </c>
      <c r="Q32" s="25">
        <f t="shared" si="43"/>
        <v>1.3513513513513514E-2</v>
      </c>
      <c r="R32" s="25">
        <f t="shared" si="44"/>
        <v>1.2105711849957373E-2</v>
      </c>
      <c r="S32" s="25">
        <f t="shared" si="45"/>
        <v>6.6917728852838934E-3</v>
      </c>
      <c r="V32" t="str">
        <f>$A$10</f>
        <v>Redmond</v>
      </c>
      <c r="W32" s="25" t="e">
        <f t="shared" si="40"/>
        <v>#DIV/0!</v>
      </c>
      <c r="X32" s="25" t="e">
        <f t="shared" si="40"/>
        <v>#DIV/0!</v>
      </c>
      <c r="Y32" s="25" t="e">
        <f t="shared" si="40"/>
        <v>#DIV/0!</v>
      </c>
      <c r="Z32" s="25" t="e">
        <f t="shared" si="40"/>
        <v>#DIV/0!</v>
      </c>
    </row>
    <row r="33" spans="1:26" x14ac:dyDescent="0.45">
      <c r="A33" t="str">
        <f>$A$11</f>
        <v>Seattle</v>
      </c>
      <c r="B33" s="25" t="e">
        <f t="shared" si="35"/>
        <v>#DIV/0!</v>
      </c>
      <c r="C33" s="25" t="e">
        <f t="shared" si="35"/>
        <v>#DIV/0!</v>
      </c>
      <c r="D33" s="25" t="e">
        <f t="shared" si="35"/>
        <v>#DIV/0!</v>
      </c>
      <c r="E33" s="25" t="e">
        <f t="shared" si="35"/>
        <v>#DIV/0!</v>
      </c>
      <c r="F33" s="25"/>
      <c r="G33" s="25"/>
      <c r="H33" t="str">
        <f>$A$11</f>
        <v>Seattle</v>
      </c>
      <c r="I33" s="25" t="e">
        <f t="shared" si="36"/>
        <v>#DIV/0!</v>
      </c>
      <c r="J33" s="25" t="e">
        <f t="shared" si="36"/>
        <v>#DIV/0!</v>
      </c>
      <c r="K33" s="25" t="e">
        <f t="shared" si="36"/>
        <v>#DIV/0!</v>
      </c>
      <c r="L33" s="25" t="e">
        <f t="shared" si="36"/>
        <v>#DIV/0!</v>
      </c>
      <c r="O33" t="str">
        <f>$A$11</f>
        <v>Seattle</v>
      </c>
      <c r="P33" s="25" t="e">
        <f t="shared" si="42"/>
        <v>#DIV/0!</v>
      </c>
      <c r="Q33" s="25" t="e">
        <f t="shared" si="43"/>
        <v>#DIV/0!</v>
      </c>
      <c r="R33" s="25" t="e">
        <f t="shared" si="44"/>
        <v>#DIV/0!</v>
      </c>
      <c r="S33" s="25" t="e">
        <f t="shared" si="45"/>
        <v>#DIV/0!</v>
      </c>
      <c r="V33" t="str">
        <f>$A$11</f>
        <v>Seattle</v>
      </c>
      <c r="W33" s="25" t="e">
        <f t="shared" si="40"/>
        <v>#DIV/0!</v>
      </c>
      <c r="X33" s="25" t="e">
        <f t="shared" si="40"/>
        <v>#DIV/0!</v>
      </c>
      <c r="Y33" s="25" t="e">
        <f t="shared" si="40"/>
        <v>#DIV/0!</v>
      </c>
      <c r="Z33" s="25" t="e">
        <f t="shared" si="40"/>
        <v>#DIV/0!</v>
      </c>
    </row>
    <row r="34" spans="1:26" x14ac:dyDescent="0.45">
      <c r="A34" t="str">
        <f>$A$12</f>
        <v>Seattle Downtown</v>
      </c>
      <c r="B34" s="40" t="e">
        <f t="shared" si="35"/>
        <v>#DIV/0!</v>
      </c>
      <c r="C34" s="40" t="e">
        <f t="shared" si="35"/>
        <v>#DIV/0!</v>
      </c>
      <c r="D34" s="40" t="e">
        <f t="shared" si="35"/>
        <v>#DIV/0!</v>
      </c>
      <c r="E34" s="40" t="e">
        <f t="shared" si="35"/>
        <v>#DIV/0!</v>
      </c>
      <c r="F34" s="25"/>
      <c r="G34" s="25"/>
      <c r="H34" t="str">
        <f>$A$12</f>
        <v>Seattle Downtown</v>
      </c>
      <c r="I34" s="40" t="e">
        <f t="shared" si="36"/>
        <v>#DIV/0!</v>
      </c>
      <c r="J34" s="40" t="e">
        <f t="shared" si="36"/>
        <v>#DIV/0!</v>
      </c>
      <c r="K34" s="40" t="e">
        <f t="shared" si="36"/>
        <v>#DIV/0!</v>
      </c>
      <c r="L34" s="40" t="e">
        <f t="shared" si="36"/>
        <v>#DIV/0!</v>
      </c>
      <c r="O34" t="str">
        <f>$A$12</f>
        <v>Seattle Downtown</v>
      </c>
      <c r="P34" s="40" t="e">
        <f t="shared" si="41"/>
        <v>#DIV/0!</v>
      </c>
      <c r="Q34" s="40" t="e">
        <f t="shared" si="37"/>
        <v>#DIV/0!</v>
      </c>
      <c r="R34" s="40" t="e">
        <f t="shared" si="38"/>
        <v>#DIV/0!</v>
      </c>
      <c r="S34" s="40" t="e">
        <f t="shared" si="39"/>
        <v>#DIV/0!</v>
      </c>
      <c r="V34" t="str">
        <f>$A$12</f>
        <v>Seattle Downtown</v>
      </c>
      <c r="W34" s="40" t="e">
        <f t="shared" si="40"/>
        <v>#DIV/0!</v>
      </c>
      <c r="X34" s="40" t="e">
        <f t="shared" si="40"/>
        <v>#DIV/0!</v>
      </c>
      <c r="Y34" s="40" t="e">
        <f t="shared" si="40"/>
        <v>#DIV/0!</v>
      </c>
      <c r="Z34" s="40" t="e">
        <f t="shared" si="40"/>
        <v>#DIV/0!</v>
      </c>
    </row>
    <row r="35" spans="1:26" x14ac:dyDescent="0.45">
      <c r="A35" s="15" t="str">
        <f>A24</f>
        <v>Rest</v>
      </c>
      <c r="B35" s="40" t="e">
        <f t="shared" si="35"/>
        <v>#DIV/0!</v>
      </c>
      <c r="C35" s="40" t="e">
        <f t="shared" si="35"/>
        <v>#DIV/0!</v>
      </c>
      <c r="D35" s="40" t="e">
        <f t="shared" si="35"/>
        <v>#DIV/0!</v>
      </c>
      <c r="E35" s="40" t="e">
        <f t="shared" si="35"/>
        <v>#DIV/0!</v>
      </c>
      <c r="F35" s="25"/>
      <c r="G35" s="25"/>
      <c r="H35" s="15" t="str">
        <f>H24</f>
        <v>Rest</v>
      </c>
      <c r="I35" s="40" t="e">
        <f t="shared" si="36"/>
        <v>#DIV/0!</v>
      </c>
      <c r="J35" s="40" t="e">
        <f t="shared" si="36"/>
        <v>#DIV/0!</v>
      </c>
      <c r="K35" s="40" t="e">
        <f t="shared" si="36"/>
        <v>#DIV/0!</v>
      </c>
      <c r="L35" s="40" t="e">
        <f t="shared" si="36"/>
        <v>#DIV/0!</v>
      </c>
      <c r="O35" s="17" t="str">
        <f>O24</f>
        <v>Rest</v>
      </c>
      <c r="P35" s="40" t="e">
        <f t="shared" ref="P35" si="46">I35-B35</f>
        <v>#DIV/0!</v>
      </c>
      <c r="Q35" s="40" t="e">
        <f t="shared" ref="Q35" si="47">J35-C35</f>
        <v>#DIV/0!</v>
      </c>
      <c r="R35" s="40" t="e">
        <f t="shared" ref="R35" si="48">K35-D35</f>
        <v>#DIV/0!</v>
      </c>
      <c r="S35" s="40" t="e">
        <f t="shared" ref="S35" si="49">L35-E35</f>
        <v>#DIV/0!</v>
      </c>
      <c r="V35" s="15" t="str">
        <f>$A$13</f>
        <v>Rest</v>
      </c>
      <c r="W35" s="17" t="e">
        <f t="shared" si="40"/>
        <v>#DIV/0!</v>
      </c>
      <c r="X35" s="17" t="e">
        <f t="shared" si="40"/>
        <v>#DIV/0!</v>
      </c>
      <c r="Y35" s="17" t="e">
        <f t="shared" si="40"/>
        <v>#DIV/0!</v>
      </c>
      <c r="Z35" s="17" t="e">
        <f t="shared" si="40"/>
        <v>#DIV/0!</v>
      </c>
    </row>
    <row r="36" spans="1:26" ht="14.65" thickBot="1" x14ac:dyDescent="0.5">
      <c r="A36" s="19" t="s">
        <v>4</v>
      </c>
      <c r="B36" s="27">
        <f t="shared" si="35"/>
        <v>7.2562973172876188E-4</v>
      </c>
      <c r="C36" s="27">
        <f t="shared" si="35"/>
        <v>2.7464025509012996E-3</v>
      </c>
      <c r="D36" s="27">
        <f t="shared" si="35"/>
        <v>0</v>
      </c>
      <c r="E36" s="27">
        <f t="shared" si="35"/>
        <v>1.0497211879702888E-3</v>
      </c>
      <c r="F36" s="7"/>
      <c r="H36" s="19" t="s">
        <v>4</v>
      </c>
      <c r="I36" s="27">
        <f t="shared" si="36"/>
        <v>4.622167187950341E-3</v>
      </c>
      <c r="J36" s="27">
        <f t="shared" si="36"/>
        <v>1.4821830235586598E-2</v>
      </c>
      <c r="K36" s="27">
        <f t="shared" si="36"/>
        <v>1.6547940356621389E-2</v>
      </c>
      <c r="L36" s="27">
        <f t="shared" si="36"/>
        <v>7.3990657985519084E-3</v>
      </c>
      <c r="O36" s="19" t="s">
        <v>4</v>
      </c>
      <c r="P36" s="27">
        <f t="shared" si="41"/>
        <v>3.896537456221579E-3</v>
      </c>
      <c r="Q36" s="27">
        <f t="shared" si="37"/>
        <v>1.2075427684685298E-2</v>
      </c>
      <c r="R36" s="27">
        <f t="shared" si="38"/>
        <v>1.6547940356621389E-2</v>
      </c>
      <c r="S36" s="27">
        <f t="shared" si="39"/>
        <v>6.3493446105816198E-3</v>
      </c>
      <c r="V36" s="19" t="s">
        <v>4</v>
      </c>
      <c r="W36" s="19" t="e">
        <f>W14/W25</f>
        <v>#DIV/0!</v>
      </c>
      <c r="X36" s="19" t="e">
        <f t="shared" ref="X36:Z36" si="50">X14/X25</f>
        <v>#DIV/0!</v>
      </c>
      <c r="Y36" s="19" t="e">
        <f t="shared" si="50"/>
        <v>#DIV/0!</v>
      </c>
      <c r="Z36" s="19" t="e">
        <f t="shared" si="50"/>
        <v>#DIV/0!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D33"/>
  <sheetViews>
    <sheetView workbookViewId="0">
      <selection activeCell="B17" sqref="B17"/>
    </sheetView>
  </sheetViews>
  <sheetFormatPr defaultRowHeight="14.25" x14ac:dyDescent="0.45"/>
  <sheetData>
    <row r="1" spans="1:2" x14ac:dyDescent="0.45">
      <c r="A1" s="11" t="s">
        <v>220</v>
      </c>
    </row>
    <row r="11" spans="1:2" x14ac:dyDescent="0.45">
      <c r="A11" s="11" t="s">
        <v>19</v>
      </c>
    </row>
    <row r="12" spans="1:2" x14ac:dyDescent="0.45">
      <c r="A12">
        <v>1</v>
      </c>
      <c r="B12" t="s">
        <v>45</v>
      </c>
    </row>
    <row r="14" spans="1:2" x14ac:dyDescent="0.45">
      <c r="A14">
        <v>2</v>
      </c>
      <c r="B14" t="s">
        <v>221</v>
      </c>
    </row>
    <row r="15" spans="1:2" x14ac:dyDescent="0.45">
      <c r="B15" t="s">
        <v>46</v>
      </c>
    </row>
    <row r="17" spans="1:4" x14ac:dyDescent="0.45">
      <c r="A17">
        <v>3</v>
      </c>
      <c r="B17" t="s">
        <v>47</v>
      </c>
    </row>
    <row r="18" spans="1:4" x14ac:dyDescent="0.45">
      <c r="B18" t="s">
        <v>222</v>
      </c>
    </row>
    <row r="19" spans="1:4" x14ac:dyDescent="0.45">
      <c r="B19" t="s">
        <v>9</v>
      </c>
      <c r="C19" t="s">
        <v>53</v>
      </c>
      <c r="D19" t="s">
        <v>20</v>
      </c>
    </row>
    <row r="20" spans="1:4" x14ac:dyDescent="0.45">
      <c r="B20" t="s">
        <v>10</v>
      </c>
      <c r="C20" t="s">
        <v>54</v>
      </c>
      <c r="D20" t="s">
        <v>21</v>
      </c>
    </row>
    <row r="21" spans="1:4" x14ac:dyDescent="0.45">
      <c r="B21" t="s">
        <v>11</v>
      </c>
      <c r="C21" t="s">
        <v>55</v>
      </c>
      <c r="D21" t="s">
        <v>22</v>
      </c>
    </row>
    <row r="23" spans="1:4" x14ac:dyDescent="0.45">
      <c r="A23" s="11" t="s">
        <v>48</v>
      </c>
    </row>
    <row r="24" spans="1:4" x14ac:dyDescent="0.45">
      <c r="A24">
        <v>1</v>
      </c>
      <c r="B24" t="s">
        <v>49</v>
      </c>
    </row>
    <row r="26" spans="1:4" x14ac:dyDescent="0.45">
      <c r="A26">
        <v>2</v>
      </c>
      <c r="B26" t="s">
        <v>50</v>
      </c>
    </row>
    <row r="28" spans="1:4" x14ac:dyDescent="0.45">
      <c r="A28" s="11" t="s">
        <v>51</v>
      </c>
    </row>
    <row r="29" spans="1:4" x14ac:dyDescent="0.45">
      <c r="A29">
        <v>1</v>
      </c>
      <c r="B29" t="s">
        <v>52</v>
      </c>
    </row>
    <row r="31" spans="1:4" x14ac:dyDescent="0.45">
      <c r="A31" s="11">
        <v>2</v>
      </c>
      <c r="B31" t="s">
        <v>223</v>
      </c>
    </row>
    <row r="33" spans="1:2" x14ac:dyDescent="0.45">
      <c r="A33">
        <v>3</v>
      </c>
      <c r="B33" t="s">
        <v>56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E74"/>
  <sheetViews>
    <sheetView workbookViewId="0">
      <selection activeCell="E9" sqref="E9"/>
    </sheetView>
  </sheetViews>
  <sheetFormatPr defaultRowHeight="14.25" x14ac:dyDescent="0.45"/>
  <cols>
    <col min="4" max="4" bestFit="true" customWidth="true" width="12.73046875" collapsed="true"/>
    <col min="5" max="5" bestFit="true" customWidth="true" style="47" width="94.73046875" collapsed="true"/>
  </cols>
  <sheetData>
    <row r="1" spans="1:5" x14ac:dyDescent="0.45">
      <c r="A1" t="s">
        <v>141</v>
      </c>
      <c r="B1" t="s">
        <v>142</v>
      </c>
      <c r="E1" s="47" t="s">
        <v>143</v>
      </c>
    </row>
    <row r="2" spans="1:5" x14ac:dyDescent="0.45">
      <c r="A2">
        <v>1</v>
      </c>
      <c r="B2" t="s">
        <v>66</v>
      </c>
      <c r="C2" t="s">
        <v>67</v>
      </c>
      <c r="D2">
        <v>1</v>
      </c>
      <c r="E2" s="47" t="s">
        <v>149</v>
      </c>
    </row>
    <row r="3" spans="1:5" x14ac:dyDescent="0.45">
      <c r="A3">
        <v>2</v>
      </c>
      <c r="B3" t="s">
        <v>68</v>
      </c>
      <c r="C3" t="s">
        <v>67</v>
      </c>
      <c r="D3">
        <v>0.7</v>
      </c>
      <c r="E3" s="47" t="s">
        <v>145</v>
      </c>
    </row>
    <row r="4" spans="1:5" x14ac:dyDescent="0.45">
      <c r="A4">
        <v>3</v>
      </c>
      <c r="B4" t="s">
        <v>69</v>
      </c>
      <c r="C4" t="s">
        <v>67</v>
      </c>
      <c r="D4">
        <v>1</v>
      </c>
      <c r="E4" s="47" t="s">
        <v>144</v>
      </c>
    </row>
    <row r="5" spans="1:5" x14ac:dyDescent="0.45">
      <c r="A5">
        <v>4</v>
      </c>
      <c r="B5" t="s">
        <v>70</v>
      </c>
      <c r="C5" t="s">
        <v>67</v>
      </c>
      <c r="D5">
        <v>0.5</v>
      </c>
      <c r="E5" s="47" t="s">
        <v>150</v>
      </c>
    </row>
    <row r="6" spans="1:5" x14ac:dyDescent="0.45">
      <c r="A6">
        <v>5</v>
      </c>
      <c r="B6" t="s">
        <v>71</v>
      </c>
      <c r="C6" t="s">
        <v>67</v>
      </c>
      <c r="D6">
        <v>0</v>
      </c>
      <c r="E6" s="47" t="s">
        <v>146</v>
      </c>
    </row>
    <row r="7" spans="1:5" x14ac:dyDescent="0.45">
      <c r="A7">
        <v>6</v>
      </c>
      <c r="B7" t="s">
        <v>72</v>
      </c>
      <c r="C7" t="s">
        <v>67</v>
      </c>
      <c r="D7">
        <v>-4.1530549264700003</v>
      </c>
      <c r="E7" s="47" t="s">
        <v>151</v>
      </c>
    </row>
    <row r="8" spans="1:5" x14ac:dyDescent="0.45">
      <c r="A8">
        <v>7</v>
      </c>
      <c r="B8" t="s">
        <v>73</v>
      </c>
      <c r="C8" t="s">
        <v>67</v>
      </c>
      <c r="D8">
        <v>-0.64354735537100005</v>
      </c>
      <c r="E8" s="47" t="s">
        <v>152</v>
      </c>
    </row>
    <row r="9" spans="1:5" x14ac:dyDescent="0.45">
      <c r="A9">
        <v>8</v>
      </c>
      <c r="B9" t="s">
        <v>74</v>
      </c>
      <c r="C9" t="s">
        <v>67</v>
      </c>
      <c r="D9">
        <v>-0.732358148145</v>
      </c>
      <c r="E9" s="47" t="s">
        <v>153</v>
      </c>
    </row>
    <row r="10" spans="1:5" x14ac:dyDescent="0.45">
      <c r="A10">
        <v>9</v>
      </c>
      <c r="B10" t="s">
        <v>75</v>
      </c>
      <c r="C10" t="s">
        <v>67</v>
      </c>
      <c r="D10">
        <v>-2.6263992007099999</v>
      </c>
      <c r="E10" s="47" t="s">
        <v>154</v>
      </c>
    </row>
    <row r="11" spans="1:5" x14ac:dyDescent="0.45">
      <c r="A11">
        <v>10</v>
      </c>
      <c r="B11" t="s">
        <v>76</v>
      </c>
      <c r="C11" t="s">
        <v>67</v>
      </c>
      <c r="D11">
        <v>-3.4653118418800002</v>
      </c>
      <c r="E11" s="47" t="s">
        <v>155</v>
      </c>
    </row>
    <row r="12" spans="1:5" x14ac:dyDescent="0.45">
      <c r="A12">
        <v>11</v>
      </c>
      <c r="B12" t="s">
        <v>77</v>
      </c>
      <c r="C12" t="s">
        <v>67</v>
      </c>
      <c r="D12">
        <v>0.125312575308</v>
      </c>
      <c r="E12" s="47" t="s">
        <v>156</v>
      </c>
    </row>
    <row r="13" spans="1:5" x14ac:dyDescent="0.45">
      <c r="A13">
        <v>12</v>
      </c>
      <c r="B13" t="s">
        <v>78</v>
      </c>
      <c r="C13" t="s">
        <v>67</v>
      </c>
      <c r="D13">
        <v>0.24676672684299999</v>
      </c>
      <c r="E13" s="47" t="s">
        <v>157</v>
      </c>
    </row>
    <row r="14" spans="1:5" x14ac:dyDescent="0.45">
      <c r="A14">
        <v>13</v>
      </c>
      <c r="B14" t="s">
        <v>79</v>
      </c>
      <c r="C14" t="s">
        <v>67</v>
      </c>
      <c r="D14">
        <v>0.40796503771199999</v>
      </c>
      <c r="E14" s="47" t="s">
        <v>158</v>
      </c>
    </row>
    <row r="15" spans="1:5" x14ac:dyDescent="0.45">
      <c r="A15">
        <v>14</v>
      </c>
      <c r="B15" t="s">
        <v>80</v>
      </c>
      <c r="C15" t="s">
        <v>67</v>
      </c>
      <c r="D15">
        <v>-0.50293651045300003</v>
      </c>
      <c r="E15" s="47" t="s">
        <v>159</v>
      </c>
    </row>
    <row r="16" spans="1:5" x14ac:dyDescent="0.45">
      <c r="A16">
        <v>15</v>
      </c>
      <c r="B16" t="s">
        <v>81</v>
      </c>
      <c r="C16" t="s">
        <v>67</v>
      </c>
      <c r="D16">
        <v>-1.61322160644</v>
      </c>
      <c r="E16" s="47" t="s">
        <v>160</v>
      </c>
    </row>
    <row r="17" spans="1:5" x14ac:dyDescent="0.45">
      <c r="A17">
        <v>16</v>
      </c>
      <c r="B17" t="s">
        <v>82</v>
      </c>
      <c r="C17" t="s">
        <v>67</v>
      </c>
      <c r="D17">
        <v>0.130749629122</v>
      </c>
      <c r="E17" s="47" t="s">
        <v>161</v>
      </c>
    </row>
    <row r="18" spans="1:5" x14ac:dyDescent="0.45">
      <c r="A18">
        <v>17</v>
      </c>
      <c r="B18" t="s">
        <v>83</v>
      </c>
      <c r="C18" t="s">
        <v>67</v>
      </c>
      <c r="D18" s="46">
        <v>8.4077289836199998E-2</v>
      </c>
      <c r="E18" s="47" t="s">
        <v>162</v>
      </c>
    </row>
    <row r="19" spans="1:5" x14ac:dyDescent="0.45">
      <c r="A19">
        <v>18</v>
      </c>
      <c r="B19" t="s">
        <v>84</v>
      </c>
      <c r="C19" t="s">
        <v>67</v>
      </c>
      <c r="D19">
        <v>0</v>
      </c>
      <c r="E19" s="47" t="s">
        <v>163</v>
      </c>
    </row>
    <row r="20" spans="1:5" x14ac:dyDescent="0.45">
      <c r="A20">
        <v>19</v>
      </c>
      <c r="B20" t="s">
        <v>85</v>
      </c>
      <c r="C20" t="s">
        <v>67</v>
      </c>
      <c r="D20">
        <v>0.106386053639</v>
      </c>
      <c r="E20" s="47" t="s">
        <v>147</v>
      </c>
    </row>
    <row r="21" spans="1:5" x14ac:dyDescent="0.45">
      <c r="A21">
        <v>20</v>
      </c>
      <c r="B21" t="s">
        <v>86</v>
      </c>
      <c r="C21" t="s">
        <v>67</v>
      </c>
      <c r="D21">
        <v>0.88087687792799996</v>
      </c>
      <c r="E21" s="47" t="s">
        <v>148</v>
      </c>
    </row>
    <row r="22" spans="1:5" x14ac:dyDescent="0.45">
      <c r="A22">
        <v>21</v>
      </c>
      <c r="B22" t="s">
        <v>87</v>
      </c>
      <c r="C22" t="s">
        <v>67</v>
      </c>
      <c r="D22">
        <v>-0.16458061134300001</v>
      </c>
      <c r="E22" s="47" t="s">
        <v>200</v>
      </c>
    </row>
    <row r="23" spans="1:5" x14ac:dyDescent="0.45">
      <c r="A23">
        <v>22</v>
      </c>
      <c r="B23" t="s">
        <v>88</v>
      </c>
      <c r="C23" t="s">
        <v>67</v>
      </c>
      <c r="D23">
        <v>0.154182014038</v>
      </c>
      <c r="E23" s="47" t="s">
        <v>201</v>
      </c>
    </row>
    <row r="24" spans="1:5" x14ac:dyDescent="0.45">
      <c r="A24">
        <v>23</v>
      </c>
      <c r="B24" t="s">
        <v>89</v>
      </c>
      <c r="C24" t="s">
        <v>67</v>
      </c>
      <c r="D24" s="46">
        <v>4.79448884421E-2</v>
      </c>
      <c r="E24" s="47" t="s">
        <v>202</v>
      </c>
    </row>
    <row r="25" spans="1:5" x14ac:dyDescent="0.45">
      <c r="A25">
        <v>24</v>
      </c>
      <c r="B25" t="s">
        <v>90</v>
      </c>
      <c r="C25" t="s">
        <v>67</v>
      </c>
      <c r="D25" s="46">
        <v>6.4843520043099998E-2</v>
      </c>
      <c r="E25" s="47" t="s">
        <v>203</v>
      </c>
    </row>
    <row r="26" spans="1:5" x14ac:dyDescent="0.45">
      <c r="A26">
        <v>25</v>
      </c>
      <c r="B26" t="s">
        <v>91</v>
      </c>
      <c r="C26" t="s">
        <v>67</v>
      </c>
      <c r="D26">
        <v>0.15272053169499999</v>
      </c>
      <c r="E26" s="47" t="s">
        <v>204</v>
      </c>
    </row>
    <row r="27" spans="1:5" x14ac:dyDescent="0.45">
      <c r="A27">
        <v>26</v>
      </c>
      <c r="B27" t="s">
        <v>92</v>
      </c>
      <c r="C27" t="s">
        <v>67</v>
      </c>
      <c r="D27" s="46">
        <v>7.2028590735099998E-2</v>
      </c>
      <c r="E27" s="47" t="s">
        <v>205</v>
      </c>
    </row>
    <row r="28" spans="1:5" x14ac:dyDescent="0.45">
      <c r="A28">
        <v>27</v>
      </c>
      <c r="B28" t="s">
        <v>93</v>
      </c>
      <c r="C28" t="s">
        <v>67</v>
      </c>
      <c r="D28">
        <v>-0.27934224041799999</v>
      </c>
      <c r="E28" s="47" t="s">
        <v>209</v>
      </c>
    </row>
    <row r="29" spans="1:5" x14ac:dyDescent="0.45">
      <c r="A29">
        <v>28</v>
      </c>
      <c r="B29" t="s">
        <v>94</v>
      </c>
      <c r="C29" t="s">
        <v>67</v>
      </c>
      <c r="D29" s="46">
        <v>4.3626229225700003E-2</v>
      </c>
      <c r="E29" s="47" t="s">
        <v>164</v>
      </c>
    </row>
    <row r="30" spans="1:5" x14ac:dyDescent="0.45">
      <c r="A30">
        <v>29</v>
      </c>
      <c r="B30" t="s">
        <v>95</v>
      </c>
      <c r="C30" t="s">
        <v>67</v>
      </c>
      <c r="D30" s="46">
        <v>-8.7886819411100006E-2</v>
      </c>
      <c r="E30" s="47" t="s">
        <v>184</v>
      </c>
    </row>
    <row r="31" spans="1:5" x14ac:dyDescent="0.45">
      <c r="A31">
        <v>30</v>
      </c>
      <c r="B31" t="s">
        <v>96</v>
      </c>
      <c r="C31" t="s">
        <v>67</v>
      </c>
      <c r="D31" s="46">
        <v>-4.2894941477000001E-2</v>
      </c>
      <c r="E31" s="47" t="s">
        <v>185</v>
      </c>
    </row>
    <row r="32" spans="1:5" x14ac:dyDescent="0.45">
      <c r="A32">
        <v>31</v>
      </c>
      <c r="B32" t="s">
        <v>97</v>
      </c>
      <c r="C32" t="s">
        <v>67</v>
      </c>
      <c r="D32">
        <v>-0.13045579928000001</v>
      </c>
      <c r="E32" s="47" t="s">
        <v>186</v>
      </c>
    </row>
    <row r="33" spans="1:5" x14ac:dyDescent="0.45">
      <c r="A33">
        <v>32</v>
      </c>
      <c r="B33" t="s">
        <v>98</v>
      </c>
      <c r="C33" t="s">
        <v>67</v>
      </c>
      <c r="D33">
        <v>0.18945088644899999</v>
      </c>
      <c r="E33" s="47" t="s">
        <v>187</v>
      </c>
    </row>
    <row r="34" spans="1:5" x14ac:dyDescent="0.45">
      <c r="A34">
        <v>33</v>
      </c>
      <c r="B34" t="s">
        <v>99</v>
      </c>
      <c r="C34" t="s">
        <v>67</v>
      </c>
      <c r="D34">
        <v>-0.179523169776</v>
      </c>
      <c r="E34" s="47" t="s">
        <v>188</v>
      </c>
    </row>
    <row r="35" spans="1:5" x14ac:dyDescent="0.45">
      <c r="A35">
        <v>34</v>
      </c>
      <c r="B35" t="s">
        <v>100</v>
      </c>
      <c r="C35" t="s">
        <v>67</v>
      </c>
      <c r="D35">
        <v>0.17233347539499999</v>
      </c>
      <c r="E35" s="47" t="s">
        <v>189</v>
      </c>
    </row>
    <row r="36" spans="1:5" x14ac:dyDescent="0.45">
      <c r="A36">
        <v>35</v>
      </c>
      <c r="B36" t="s">
        <v>101</v>
      </c>
      <c r="C36" t="s">
        <v>67</v>
      </c>
      <c r="D36">
        <v>-0.194698386872</v>
      </c>
      <c r="E36" s="47" t="s">
        <v>190</v>
      </c>
    </row>
    <row r="37" spans="1:5" x14ac:dyDescent="0.45">
      <c r="A37">
        <v>36</v>
      </c>
      <c r="B37" t="s">
        <v>102</v>
      </c>
      <c r="C37" t="s">
        <v>67</v>
      </c>
      <c r="D37">
        <v>0.38785322122799998</v>
      </c>
      <c r="E37" s="47" t="s">
        <v>191</v>
      </c>
    </row>
    <row r="38" spans="1:5" x14ac:dyDescent="0.45">
      <c r="A38">
        <v>41</v>
      </c>
      <c r="B38" t="s">
        <v>103</v>
      </c>
      <c r="C38" t="s">
        <v>104</v>
      </c>
      <c r="D38">
        <v>-2.9745332256100001</v>
      </c>
      <c r="E38" s="47" t="s">
        <v>224</v>
      </c>
    </row>
    <row r="39" spans="1:5" x14ac:dyDescent="0.45">
      <c r="A39">
        <v>42</v>
      </c>
      <c r="B39" t="s">
        <v>105</v>
      </c>
      <c r="C39" t="s">
        <v>104</v>
      </c>
      <c r="D39">
        <v>5.0782043482699999</v>
      </c>
      <c r="E39" s="47" t="s">
        <v>210</v>
      </c>
    </row>
    <row r="40" spans="1:5" x14ac:dyDescent="0.45">
      <c r="A40">
        <v>43</v>
      </c>
      <c r="B40" t="s">
        <v>106</v>
      </c>
      <c r="C40" t="s">
        <v>104</v>
      </c>
      <c r="D40">
        <v>-3.0391245094800001</v>
      </c>
      <c r="E40" s="47" t="s">
        <v>211</v>
      </c>
    </row>
    <row r="41" spans="1:5" x14ac:dyDescent="0.45">
      <c r="A41">
        <v>44</v>
      </c>
      <c r="B41" t="s">
        <v>107</v>
      </c>
      <c r="C41" t="s">
        <v>104</v>
      </c>
      <c r="D41">
        <v>-2.3320263859599999</v>
      </c>
      <c r="E41" s="47" t="s">
        <v>212</v>
      </c>
    </row>
    <row r="42" spans="1:5" x14ac:dyDescent="0.45">
      <c r="A42">
        <v>50</v>
      </c>
      <c r="B42" t="s">
        <v>108</v>
      </c>
      <c r="C42" t="s">
        <v>67</v>
      </c>
      <c r="D42">
        <v>0.33566647407</v>
      </c>
    </row>
    <row r="43" spans="1:5" x14ac:dyDescent="0.45">
      <c r="A43">
        <v>51</v>
      </c>
      <c r="B43" t="s">
        <v>109</v>
      </c>
      <c r="C43" t="s">
        <v>67</v>
      </c>
      <c r="D43">
        <v>-0.78911507665199998</v>
      </c>
      <c r="E43" s="47" t="s">
        <v>165</v>
      </c>
    </row>
    <row r="44" spans="1:5" x14ac:dyDescent="0.45">
      <c r="A44">
        <v>52</v>
      </c>
      <c r="B44" t="s">
        <v>110</v>
      </c>
      <c r="C44" t="s">
        <v>67</v>
      </c>
      <c r="D44">
        <v>0.56564055394500001</v>
      </c>
      <c r="E44" s="47" t="s">
        <v>166</v>
      </c>
    </row>
    <row r="45" spans="1:5" x14ac:dyDescent="0.45">
      <c r="A45">
        <v>53</v>
      </c>
      <c r="B45" t="s">
        <v>111</v>
      </c>
      <c r="C45" t="s">
        <v>67</v>
      </c>
      <c r="D45">
        <v>-1.85416848242</v>
      </c>
      <c r="E45" s="47" t="s">
        <v>167</v>
      </c>
    </row>
    <row r="46" spans="1:5" x14ac:dyDescent="0.45">
      <c r="A46">
        <v>54</v>
      </c>
      <c r="B46" t="s">
        <v>112</v>
      </c>
      <c r="C46" t="s">
        <v>67</v>
      </c>
      <c r="D46">
        <v>0</v>
      </c>
      <c r="E46" s="47" t="s">
        <v>168</v>
      </c>
    </row>
    <row r="47" spans="1:5" x14ac:dyDescent="0.45">
      <c r="A47">
        <v>55</v>
      </c>
      <c r="B47" t="s">
        <v>113</v>
      </c>
      <c r="C47" t="s">
        <v>67</v>
      </c>
      <c r="D47">
        <v>-1.1156286956100001</v>
      </c>
      <c r="E47" s="47" t="s">
        <v>169</v>
      </c>
    </row>
    <row r="48" spans="1:5" x14ac:dyDescent="0.45">
      <c r="A48">
        <v>56</v>
      </c>
      <c r="B48" t="s">
        <v>114</v>
      </c>
      <c r="C48" t="s">
        <v>67</v>
      </c>
      <c r="D48">
        <v>-0.81792869186600003</v>
      </c>
      <c r="E48" s="47" t="s">
        <v>170</v>
      </c>
    </row>
    <row r="49" spans="1:5" x14ac:dyDescent="0.45">
      <c r="A49">
        <v>57</v>
      </c>
      <c r="B49" t="s">
        <v>115</v>
      </c>
      <c r="C49" t="s">
        <v>67</v>
      </c>
      <c r="D49">
        <v>-1.04729487823</v>
      </c>
      <c r="E49" s="47" t="s">
        <v>171</v>
      </c>
    </row>
    <row r="50" spans="1:5" x14ac:dyDescent="0.45">
      <c r="A50">
        <v>58</v>
      </c>
      <c r="B50" t="s">
        <v>116</v>
      </c>
      <c r="C50" t="s">
        <v>67</v>
      </c>
      <c r="D50">
        <v>-2.0228517391</v>
      </c>
      <c r="E50" s="47" t="s">
        <v>172</v>
      </c>
    </row>
    <row r="51" spans="1:5" x14ac:dyDescent="0.45">
      <c r="A51">
        <v>59</v>
      </c>
      <c r="B51" t="s">
        <v>117</v>
      </c>
      <c r="C51" t="s">
        <v>67</v>
      </c>
      <c r="D51">
        <v>-1.2945321250099999</v>
      </c>
      <c r="E51" s="47" t="s">
        <v>173</v>
      </c>
    </row>
    <row r="52" spans="1:5" x14ac:dyDescent="0.45">
      <c r="A52">
        <v>60</v>
      </c>
      <c r="B52" t="s">
        <v>118</v>
      </c>
      <c r="C52" t="s">
        <v>67</v>
      </c>
      <c r="D52">
        <v>-0.66178028021599999</v>
      </c>
      <c r="E52" s="47" t="s">
        <v>192</v>
      </c>
    </row>
    <row r="53" spans="1:5" x14ac:dyDescent="0.45">
      <c r="A53">
        <v>61</v>
      </c>
      <c r="B53" t="s">
        <v>119</v>
      </c>
      <c r="C53" t="s">
        <v>67</v>
      </c>
      <c r="D53">
        <v>-0.55504741134900004</v>
      </c>
      <c r="E53" s="47" t="s">
        <v>193</v>
      </c>
    </row>
    <row r="54" spans="1:5" x14ac:dyDescent="0.45">
      <c r="A54">
        <v>62</v>
      </c>
      <c r="B54" t="s">
        <v>120</v>
      </c>
      <c r="C54" t="s">
        <v>67</v>
      </c>
      <c r="D54">
        <v>-1.7449233454799999</v>
      </c>
      <c r="E54" s="47" t="s">
        <v>194</v>
      </c>
    </row>
    <row r="55" spans="1:5" x14ac:dyDescent="0.45">
      <c r="A55">
        <v>63</v>
      </c>
      <c r="B55" t="s">
        <v>121</v>
      </c>
      <c r="C55" t="s">
        <v>67</v>
      </c>
      <c r="D55">
        <v>1.1995398853399999</v>
      </c>
      <c r="E55" s="47" t="s">
        <v>195</v>
      </c>
    </row>
    <row r="56" spans="1:5" x14ac:dyDescent="0.45">
      <c r="A56">
        <v>64</v>
      </c>
      <c r="B56" t="s">
        <v>122</v>
      </c>
      <c r="C56" t="s">
        <v>67</v>
      </c>
      <c r="D56">
        <v>0.19542046398099999</v>
      </c>
      <c r="E56" s="47" t="s">
        <v>196</v>
      </c>
    </row>
    <row r="57" spans="1:5" x14ac:dyDescent="0.45">
      <c r="A57">
        <v>65</v>
      </c>
      <c r="B57" t="s">
        <v>123</v>
      </c>
      <c r="C57" t="s">
        <v>67</v>
      </c>
      <c r="D57">
        <v>-0.90594458676599998</v>
      </c>
      <c r="E57" s="47" t="s">
        <v>197</v>
      </c>
    </row>
    <row r="58" spans="1:5" x14ac:dyDescent="0.45">
      <c r="A58">
        <v>66</v>
      </c>
      <c r="B58" t="s">
        <v>124</v>
      </c>
      <c r="C58" t="s">
        <v>67</v>
      </c>
      <c r="D58">
        <v>-2.05104130438</v>
      </c>
      <c r="E58" s="47" t="s">
        <v>174</v>
      </c>
    </row>
    <row r="59" spans="1:5" x14ac:dyDescent="0.45">
      <c r="A59">
        <v>67</v>
      </c>
      <c r="B59" t="s">
        <v>125</v>
      </c>
      <c r="C59" t="s">
        <v>67</v>
      </c>
      <c r="D59">
        <v>-2.2381608455899999</v>
      </c>
      <c r="E59" s="47" t="s">
        <v>175</v>
      </c>
    </row>
    <row r="60" spans="1:5" x14ac:dyDescent="0.45">
      <c r="A60">
        <v>68</v>
      </c>
      <c r="B60" t="s">
        <v>126</v>
      </c>
      <c r="C60" t="s">
        <v>67</v>
      </c>
      <c r="D60">
        <v>-0.40946320528300001</v>
      </c>
      <c r="E60" s="47" t="s">
        <v>176</v>
      </c>
    </row>
    <row r="61" spans="1:5" x14ac:dyDescent="0.45">
      <c r="A61">
        <v>69</v>
      </c>
      <c r="B61" t="s">
        <v>127</v>
      </c>
      <c r="C61" t="s">
        <v>67</v>
      </c>
      <c r="D61">
        <v>-1.1700902309500001</v>
      </c>
      <c r="E61" s="47" t="s">
        <v>177</v>
      </c>
    </row>
    <row r="62" spans="1:5" x14ac:dyDescent="0.45">
      <c r="A62">
        <v>70</v>
      </c>
      <c r="B62" t="s">
        <v>128</v>
      </c>
      <c r="C62" t="s">
        <v>67</v>
      </c>
      <c r="D62">
        <v>1.8412445021999999</v>
      </c>
      <c r="E62" s="47" t="s">
        <v>178</v>
      </c>
    </row>
    <row r="63" spans="1:5" x14ac:dyDescent="0.45">
      <c r="A63">
        <v>71</v>
      </c>
      <c r="B63" t="s">
        <v>129</v>
      </c>
      <c r="C63" t="s">
        <v>67</v>
      </c>
      <c r="D63">
        <v>0.71619685052500004</v>
      </c>
      <c r="E63" s="47" t="s">
        <v>179</v>
      </c>
    </row>
    <row r="64" spans="1:5" x14ac:dyDescent="0.45">
      <c r="A64">
        <v>72</v>
      </c>
      <c r="B64" t="s">
        <v>130</v>
      </c>
      <c r="C64" t="s">
        <v>67</v>
      </c>
      <c r="D64">
        <v>-0.101060642888</v>
      </c>
      <c r="E64" s="47" t="s">
        <v>180</v>
      </c>
    </row>
    <row r="65" spans="1:5" x14ac:dyDescent="0.45">
      <c r="A65">
        <v>73</v>
      </c>
      <c r="B65" t="s">
        <v>131</v>
      </c>
      <c r="C65" t="s">
        <v>67</v>
      </c>
      <c r="D65">
        <v>-0.34132571646100002</v>
      </c>
      <c r="E65" s="47" t="s">
        <v>181</v>
      </c>
    </row>
    <row r="66" spans="1:5" x14ac:dyDescent="0.45">
      <c r="A66">
        <v>74</v>
      </c>
      <c r="B66" t="s">
        <v>132</v>
      </c>
      <c r="C66" t="s">
        <v>67</v>
      </c>
      <c r="D66">
        <v>1.0486549950899999</v>
      </c>
      <c r="E66" s="47" t="s">
        <v>198</v>
      </c>
    </row>
    <row r="67" spans="1:5" x14ac:dyDescent="0.45">
      <c r="A67">
        <v>75</v>
      </c>
      <c r="B67" t="s">
        <v>133</v>
      </c>
      <c r="C67" t="s">
        <v>67</v>
      </c>
      <c r="D67">
        <v>-30</v>
      </c>
      <c r="E67" s="47" t="s">
        <v>206</v>
      </c>
    </row>
    <row r="68" spans="1:5" x14ac:dyDescent="0.45">
      <c r="A68">
        <v>76</v>
      </c>
      <c r="B68" t="s">
        <v>134</v>
      </c>
      <c r="C68" t="s">
        <v>67</v>
      </c>
      <c r="D68">
        <v>0.91468797064200003</v>
      </c>
      <c r="E68" s="47" t="s">
        <v>207</v>
      </c>
    </row>
    <row r="69" spans="1:5" x14ac:dyDescent="0.45">
      <c r="A69">
        <v>77</v>
      </c>
      <c r="B69" t="s">
        <v>135</v>
      </c>
      <c r="C69" t="s">
        <v>67</v>
      </c>
      <c r="D69">
        <v>-1.1830909132</v>
      </c>
      <c r="E69" s="47" t="s">
        <v>199</v>
      </c>
    </row>
    <row r="70" spans="1:5" x14ac:dyDescent="0.45">
      <c r="A70">
        <v>78</v>
      </c>
      <c r="B70" t="s">
        <v>136</v>
      </c>
      <c r="C70" t="s">
        <v>67</v>
      </c>
      <c r="D70">
        <v>1.4576625009499999</v>
      </c>
      <c r="E70" s="47" t="s">
        <v>208</v>
      </c>
    </row>
    <row r="71" spans="1:5" x14ac:dyDescent="0.45">
      <c r="A71">
        <v>79</v>
      </c>
      <c r="B71" t="s">
        <v>137</v>
      </c>
      <c r="C71" t="s">
        <v>67</v>
      </c>
      <c r="D71">
        <v>-1.62636517084</v>
      </c>
      <c r="E71" s="47" t="s">
        <v>182</v>
      </c>
    </row>
    <row r="72" spans="1:5" x14ac:dyDescent="0.45">
      <c r="A72">
        <v>80</v>
      </c>
      <c r="B72" t="s">
        <v>138</v>
      </c>
      <c r="C72" t="s">
        <v>67</v>
      </c>
      <c r="D72">
        <v>0</v>
      </c>
      <c r="E72" s="47" t="s">
        <v>183</v>
      </c>
    </row>
    <row r="73" spans="1:5" x14ac:dyDescent="0.45">
      <c r="A73">
        <v>90</v>
      </c>
      <c r="B73" t="s">
        <v>139</v>
      </c>
      <c r="C73" t="s">
        <v>67</v>
      </c>
      <c r="D73">
        <v>0</v>
      </c>
      <c r="E73" s="47">
        <v>100</v>
      </c>
    </row>
    <row r="74" spans="1:5" x14ac:dyDescent="0.45">
      <c r="A74">
        <v>98</v>
      </c>
      <c r="B74" t="s">
        <v>140</v>
      </c>
      <c r="C74" t="s">
        <v>104</v>
      </c>
      <c r="D74">
        <v>0.196146395147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rgb="FFFFFF00"/>
  </sheetPr>
  <dimension ref="A1:K349"/>
  <sheetViews>
    <sheetView workbookViewId="0">
      <selection activeCell="A8" sqref="A8:K348"/>
    </sheetView>
  </sheetViews>
  <sheetFormatPr defaultRowHeight="14.25" x14ac:dyDescent="0.45"/>
  <sheetData>
    <row r="1" spans="1:10" x14ac:dyDescent="0.45">
      <c r="A1" s="49" t="s">
        <v>247</v>
      </c>
      <c r="H1" t="s">
        <v>254</v>
      </c>
    </row>
    <row r="2" spans="1:10" x14ac:dyDescent="0.45">
      <c r="A2">
        <v>1</v>
      </c>
      <c r="B2" t="s">
        <v>248</v>
      </c>
    </row>
    <row r="3" spans="1:10" x14ac:dyDescent="0.45">
      <c r="A3">
        <v>2</v>
      </c>
      <c r="B3" t="s">
        <v>249</v>
      </c>
    </row>
    <row r="4" spans="1:10" x14ac:dyDescent="0.45">
      <c r="A4">
        <v>3</v>
      </c>
      <c r="B4" t="s">
        <v>251</v>
      </c>
    </row>
    <row r="5" spans="1:10" x14ac:dyDescent="0.45">
      <c r="A5">
        <v>4</v>
      </c>
      <c r="B5" t="s">
        <v>250</v>
      </c>
    </row>
    <row r="8" spans="1:10" x14ac:dyDescent="0.45">
      <c r="A8" t="s">
        <v>239</v>
      </c>
      <c r="B8" t="s">
        <v>240</v>
      </c>
      <c r="C8" t="s">
        <v>259</v>
      </c>
      <c r="D8" t="s">
        <v>260</v>
      </c>
      <c r="E8" t="s">
        <v>261</v>
      </c>
      <c r="F8" t="s">
        <v>262</v>
      </c>
      <c r="G8" t="s">
        <v>263</v>
      </c>
      <c r="H8" t="s">
        <v>264</v>
      </c>
    </row>
    <row r="9" spans="1:10" x14ac:dyDescent="0.45">
      <c r="A9" t="s">
        <v>241</v>
      </c>
      <c r="B9" t="s">
        <v>242</v>
      </c>
      <c r="C9" t="s">
        <v>243</v>
      </c>
      <c r="D9" t="s">
        <v>244</v>
      </c>
      <c r="E9">
        <v>4</v>
      </c>
      <c r="F9" s="52">
        <v>0.67841435185185184</v>
      </c>
      <c r="G9" t="s">
        <v>245</v>
      </c>
      <c r="H9">
        <v>5</v>
      </c>
      <c r="I9" t="s">
        <v>265</v>
      </c>
      <c r="J9">
        <v>12</v>
      </c>
    </row>
    <row r="10" spans="1:10" x14ac:dyDescent="0.45">
      <c r="A10" t="s">
        <v>246</v>
      </c>
    </row>
    <row r="11" spans="1:10" x14ac:dyDescent="0.45">
      <c r="B11">
        <v>1</v>
      </c>
      <c r="C11" t="s">
        <v>66</v>
      </c>
      <c r="D11" t="s">
        <v>67</v>
      </c>
      <c r="E11">
        <v>1</v>
      </c>
      <c r="F11">
        <v>0</v>
      </c>
    </row>
    <row r="12" spans="1:10" x14ac:dyDescent="0.45">
      <c r="B12">
        <v>2</v>
      </c>
      <c r="C12" t="s">
        <v>68</v>
      </c>
      <c r="D12" t="s">
        <v>67</v>
      </c>
      <c r="E12">
        <v>0.7</v>
      </c>
      <c r="F12">
        <v>0</v>
      </c>
    </row>
    <row r="13" spans="1:10" x14ac:dyDescent="0.45">
      <c r="B13">
        <v>3</v>
      </c>
      <c r="C13" t="s">
        <v>69</v>
      </c>
      <c r="D13" t="s">
        <v>67</v>
      </c>
      <c r="E13">
        <v>1</v>
      </c>
      <c r="F13">
        <v>0</v>
      </c>
    </row>
    <row r="14" spans="1:10" x14ac:dyDescent="0.45">
      <c r="B14">
        <v>4</v>
      </c>
      <c r="C14" t="s">
        <v>70</v>
      </c>
      <c r="D14" t="s">
        <v>67</v>
      </c>
      <c r="E14">
        <v>0.5</v>
      </c>
      <c r="F14">
        <v>0</v>
      </c>
    </row>
    <row r="15" spans="1:10" x14ac:dyDescent="0.45">
      <c r="B15">
        <v>5</v>
      </c>
      <c r="C15" t="s">
        <v>71</v>
      </c>
      <c r="D15" t="s">
        <v>67</v>
      </c>
      <c r="E15">
        <v>0</v>
      </c>
      <c r="F15">
        <v>0</v>
      </c>
    </row>
    <row r="16" spans="1:10" x14ac:dyDescent="0.45">
      <c r="B16">
        <v>6</v>
      </c>
      <c r="C16" t="s">
        <v>72</v>
      </c>
      <c r="D16" t="s">
        <v>67</v>
      </c>
      <c r="E16">
        <v>-4.1530549264700003</v>
      </c>
      <c r="F16">
        <v>0</v>
      </c>
    </row>
    <row r="17" spans="2:6" x14ac:dyDescent="0.45">
      <c r="B17">
        <v>7</v>
      </c>
      <c r="C17" t="s">
        <v>73</v>
      </c>
      <c r="D17" t="s">
        <v>67</v>
      </c>
      <c r="E17">
        <v>-1.68452606998</v>
      </c>
      <c r="F17">
        <v>0</v>
      </c>
    </row>
    <row r="18" spans="2:6" x14ac:dyDescent="0.45">
      <c r="B18">
        <v>8</v>
      </c>
      <c r="C18" t="s">
        <v>74</v>
      </c>
      <c r="D18" t="s">
        <v>67</v>
      </c>
      <c r="E18">
        <v>0.13162300973999999</v>
      </c>
      <c r="F18">
        <v>0</v>
      </c>
    </row>
    <row r="19" spans="2:6" x14ac:dyDescent="0.45">
      <c r="B19">
        <v>9</v>
      </c>
      <c r="C19" t="s">
        <v>75</v>
      </c>
      <c r="D19" t="s">
        <v>67</v>
      </c>
      <c r="E19">
        <v>-3.1050660724200001</v>
      </c>
      <c r="F19">
        <v>0</v>
      </c>
    </row>
    <row r="20" spans="2:6" x14ac:dyDescent="0.45">
      <c r="B20">
        <v>10</v>
      </c>
      <c r="C20" t="s">
        <v>76</v>
      </c>
      <c r="D20" t="s">
        <v>67</v>
      </c>
      <c r="E20">
        <v>-3.4653118418800002</v>
      </c>
      <c r="F20">
        <v>0</v>
      </c>
    </row>
    <row r="21" spans="2:6" x14ac:dyDescent="0.45">
      <c r="B21">
        <v>11</v>
      </c>
      <c r="C21" t="s">
        <v>77</v>
      </c>
      <c r="D21" t="s">
        <v>67</v>
      </c>
      <c r="E21">
        <v>-0.22974879339000001</v>
      </c>
      <c r="F21">
        <v>0</v>
      </c>
    </row>
    <row r="22" spans="2:6" x14ac:dyDescent="0.45">
      <c r="B22">
        <v>12</v>
      </c>
      <c r="C22" t="s">
        <v>78</v>
      </c>
      <c r="D22" t="s">
        <v>67</v>
      </c>
      <c r="E22">
        <v>-0.93478838755000004</v>
      </c>
      <c r="F22">
        <v>0</v>
      </c>
    </row>
    <row r="23" spans="2:6" x14ac:dyDescent="0.45">
      <c r="B23">
        <v>13</v>
      </c>
      <c r="C23" t="s">
        <v>79</v>
      </c>
      <c r="D23" t="s">
        <v>67</v>
      </c>
      <c r="E23">
        <v>0.40796503771199999</v>
      </c>
      <c r="F23">
        <v>0</v>
      </c>
    </row>
    <row r="24" spans="2:6" x14ac:dyDescent="0.45">
      <c r="B24">
        <v>14</v>
      </c>
      <c r="C24" t="s">
        <v>80</v>
      </c>
      <c r="D24" t="s">
        <v>67</v>
      </c>
      <c r="E24">
        <v>-0.50293651045300003</v>
      </c>
      <c r="F24">
        <v>0</v>
      </c>
    </row>
    <row r="25" spans="2:6" x14ac:dyDescent="0.45">
      <c r="B25">
        <v>15</v>
      </c>
      <c r="C25" t="s">
        <v>81</v>
      </c>
      <c r="D25" t="s">
        <v>67</v>
      </c>
      <c r="E25">
        <v>-1.61322160644</v>
      </c>
      <c r="F25">
        <v>0</v>
      </c>
    </row>
    <row r="26" spans="2:6" x14ac:dyDescent="0.45">
      <c r="B26">
        <v>16</v>
      </c>
      <c r="C26" t="s">
        <v>82</v>
      </c>
      <c r="D26" t="s">
        <v>67</v>
      </c>
      <c r="E26">
        <v>0.130749629122</v>
      </c>
      <c r="F26">
        <v>0</v>
      </c>
    </row>
    <row r="27" spans="2:6" x14ac:dyDescent="0.45">
      <c r="B27">
        <v>17</v>
      </c>
      <c r="C27" t="s">
        <v>83</v>
      </c>
      <c r="D27" t="s">
        <v>67</v>
      </c>
      <c r="E27" s="46">
        <v>8.4077289836199998E-2</v>
      </c>
      <c r="F27">
        <v>0</v>
      </c>
    </row>
    <row r="28" spans="2:6" x14ac:dyDescent="0.45">
      <c r="B28">
        <v>18</v>
      </c>
      <c r="C28" t="s">
        <v>84</v>
      </c>
      <c r="D28" t="s">
        <v>67</v>
      </c>
      <c r="E28">
        <v>0</v>
      </c>
      <c r="F28">
        <v>0</v>
      </c>
    </row>
    <row r="29" spans="2:6" x14ac:dyDescent="0.45">
      <c r="B29">
        <v>19</v>
      </c>
      <c r="C29" t="s">
        <v>85</v>
      </c>
      <c r="D29" t="s">
        <v>67</v>
      </c>
      <c r="E29">
        <v>0.106386053639</v>
      </c>
      <c r="F29">
        <v>0</v>
      </c>
    </row>
    <row r="30" spans="2:6" x14ac:dyDescent="0.45">
      <c r="B30">
        <v>20</v>
      </c>
      <c r="C30" t="s">
        <v>86</v>
      </c>
      <c r="D30" t="s">
        <v>67</v>
      </c>
      <c r="E30">
        <v>0.88087687792799996</v>
      </c>
      <c r="F30">
        <v>0</v>
      </c>
    </row>
    <row r="31" spans="2:6" x14ac:dyDescent="0.45">
      <c r="B31">
        <v>21</v>
      </c>
      <c r="C31" t="s">
        <v>87</v>
      </c>
      <c r="D31" t="s">
        <v>67</v>
      </c>
      <c r="E31">
        <v>-0.16458061134300001</v>
      </c>
      <c r="F31">
        <v>0</v>
      </c>
    </row>
    <row r="32" spans="2:6" x14ac:dyDescent="0.45">
      <c r="B32">
        <v>22</v>
      </c>
      <c r="C32" t="s">
        <v>88</v>
      </c>
      <c r="D32" t="s">
        <v>67</v>
      </c>
      <c r="E32">
        <v>0.154182014038</v>
      </c>
      <c r="F32">
        <v>0</v>
      </c>
    </row>
    <row r="33" spans="2:6" x14ac:dyDescent="0.45">
      <c r="B33">
        <v>23</v>
      </c>
      <c r="C33" t="s">
        <v>89</v>
      </c>
      <c r="D33" t="s">
        <v>67</v>
      </c>
      <c r="E33" s="46">
        <v>4.79448884421E-2</v>
      </c>
      <c r="F33">
        <v>0</v>
      </c>
    </row>
    <row r="34" spans="2:6" x14ac:dyDescent="0.45">
      <c r="B34">
        <v>24</v>
      </c>
      <c r="C34" t="s">
        <v>90</v>
      </c>
      <c r="D34" t="s">
        <v>67</v>
      </c>
      <c r="E34" s="46">
        <v>6.4843520043099998E-2</v>
      </c>
      <c r="F34">
        <v>0</v>
      </c>
    </row>
    <row r="35" spans="2:6" x14ac:dyDescent="0.45">
      <c r="B35">
        <v>25</v>
      </c>
      <c r="C35" t="s">
        <v>91</v>
      </c>
      <c r="D35" t="s">
        <v>67</v>
      </c>
      <c r="E35">
        <v>0.15272053169499999</v>
      </c>
      <c r="F35">
        <v>0</v>
      </c>
    </row>
    <row r="36" spans="2:6" x14ac:dyDescent="0.45">
      <c r="B36">
        <v>26</v>
      </c>
      <c r="C36" t="s">
        <v>92</v>
      </c>
      <c r="D36" t="s">
        <v>67</v>
      </c>
      <c r="E36" s="46">
        <v>7.2028590735099998E-2</v>
      </c>
      <c r="F36">
        <v>0</v>
      </c>
    </row>
    <row r="37" spans="2:6" x14ac:dyDescent="0.45">
      <c r="B37">
        <v>27</v>
      </c>
      <c r="C37" t="s">
        <v>93</v>
      </c>
      <c r="D37" t="s">
        <v>67</v>
      </c>
      <c r="E37">
        <v>-0.27934224041799999</v>
      </c>
      <c r="F37">
        <v>0</v>
      </c>
    </row>
    <row r="38" spans="2:6" x14ac:dyDescent="0.45">
      <c r="B38">
        <v>28</v>
      </c>
      <c r="C38" t="s">
        <v>94</v>
      </c>
      <c r="D38" t="s">
        <v>67</v>
      </c>
      <c r="E38" s="46">
        <v>4.3626229225700003E-2</v>
      </c>
      <c r="F38">
        <v>0</v>
      </c>
    </row>
    <row r="39" spans="2:6" x14ac:dyDescent="0.45">
      <c r="B39">
        <v>29</v>
      </c>
      <c r="C39" t="s">
        <v>95</v>
      </c>
      <c r="D39" t="s">
        <v>67</v>
      </c>
      <c r="E39" s="46">
        <v>-8.7886819411100006E-2</v>
      </c>
      <c r="F39">
        <v>0</v>
      </c>
    </row>
    <row r="40" spans="2:6" x14ac:dyDescent="0.45">
      <c r="B40">
        <v>30</v>
      </c>
      <c r="C40" t="s">
        <v>96</v>
      </c>
      <c r="D40" t="s">
        <v>67</v>
      </c>
      <c r="E40" s="46">
        <v>-4.2894941477000001E-2</v>
      </c>
      <c r="F40">
        <v>0</v>
      </c>
    </row>
    <row r="41" spans="2:6" x14ac:dyDescent="0.45">
      <c r="B41">
        <v>31</v>
      </c>
      <c r="C41" t="s">
        <v>97</v>
      </c>
      <c r="D41" t="s">
        <v>67</v>
      </c>
      <c r="E41">
        <v>-0.13045579928000001</v>
      </c>
      <c r="F41">
        <v>0</v>
      </c>
    </row>
    <row r="42" spans="2:6" x14ac:dyDescent="0.45">
      <c r="B42">
        <v>32</v>
      </c>
      <c r="C42" t="s">
        <v>98</v>
      </c>
      <c r="D42" t="s">
        <v>67</v>
      </c>
      <c r="E42">
        <v>0.18945088644899999</v>
      </c>
      <c r="F42">
        <v>0</v>
      </c>
    </row>
    <row r="43" spans="2:6" x14ac:dyDescent="0.45">
      <c r="B43">
        <v>33</v>
      </c>
      <c r="C43" t="s">
        <v>99</v>
      </c>
      <c r="D43" t="s">
        <v>67</v>
      </c>
      <c r="E43">
        <v>-0.179523169776</v>
      </c>
      <c r="F43">
        <v>0</v>
      </c>
    </row>
    <row r="44" spans="2:6" x14ac:dyDescent="0.45">
      <c r="B44">
        <v>34</v>
      </c>
      <c r="C44" t="s">
        <v>100</v>
      </c>
      <c r="D44" t="s">
        <v>67</v>
      </c>
      <c r="E44">
        <v>0.17233347539499999</v>
      </c>
      <c r="F44">
        <v>0</v>
      </c>
    </row>
    <row r="45" spans="2:6" x14ac:dyDescent="0.45">
      <c r="B45">
        <v>35</v>
      </c>
      <c r="C45" t="s">
        <v>101</v>
      </c>
      <c r="D45" t="s">
        <v>67</v>
      </c>
      <c r="E45">
        <v>-0.194698386872</v>
      </c>
      <c r="F45">
        <v>0</v>
      </c>
    </row>
    <row r="46" spans="2:6" x14ac:dyDescent="0.45">
      <c r="B46">
        <v>36</v>
      </c>
      <c r="C46" t="s">
        <v>102</v>
      </c>
      <c r="D46" t="s">
        <v>67</v>
      </c>
      <c r="E46">
        <v>0.38785322122799998</v>
      </c>
      <c r="F46">
        <v>0</v>
      </c>
    </row>
    <row r="47" spans="2:6" x14ac:dyDescent="0.45">
      <c r="B47">
        <v>41</v>
      </c>
      <c r="C47" t="s">
        <v>103</v>
      </c>
      <c r="D47" t="s">
        <v>104</v>
      </c>
      <c r="E47">
        <v>-3.8051604915000001</v>
      </c>
      <c r="F47">
        <v>0</v>
      </c>
    </row>
    <row r="48" spans="2:6" x14ac:dyDescent="0.45">
      <c r="B48">
        <v>42</v>
      </c>
      <c r="C48" t="s">
        <v>105</v>
      </c>
      <c r="D48" t="s">
        <v>104</v>
      </c>
      <c r="E48">
        <v>5.07828619993</v>
      </c>
      <c r="F48">
        <v>1.6177792075899999</v>
      </c>
    </row>
    <row r="49" spans="2:6" x14ac:dyDescent="0.45">
      <c r="B49">
        <v>43</v>
      </c>
      <c r="C49" t="s">
        <v>106</v>
      </c>
      <c r="D49" t="s">
        <v>104</v>
      </c>
      <c r="E49">
        <v>-3.0390882271000002</v>
      </c>
      <c r="F49">
        <v>1.4512014550300001</v>
      </c>
    </row>
    <row r="50" spans="2:6" x14ac:dyDescent="0.45">
      <c r="B50">
        <v>44</v>
      </c>
      <c r="C50" t="s">
        <v>107</v>
      </c>
      <c r="D50" t="s">
        <v>104</v>
      </c>
      <c r="E50">
        <v>-2.3320026601800001</v>
      </c>
      <c r="F50">
        <v>0.81624078360300001</v>
      </c>
    </row>
    <row r="51" spans="2:6" x14ac:dyDescent="0.45">
      <c r="B51">
        <v>50</v>
      </c>
      <c r="C51" t="s">
        <v>108</v>
      </c>
      <c r="D51" t="s">
        <v>67</v>
      </c>
      <c r="E51">
        <v>0.33566647407</v>
      </c>
      <c r="F51">
        <v>0</v>
      </c>
    </row>
    <row r="52" spans="2:6" x14ac:dyDescent="0.45">
      <c r="B52">
        <v>51</v>
      </c>
      <c r="C52" t="s">
        <v>109</v>
      </c>
      <c r="D52" t="s">
        <v>67</v>
      </c>
      <c r="E52">
        <v>-0.78911507665199998</v>
      </c>
      <c r="F52">
        <v>0</v>
      </c>
    </row>
    <row r="53" spans="2:6" x14ac:dyDescent="0.45">
      <c r="B53">
        <v>52</v>
      </c>
      <c r="C53" t="s">
        <v>110</v>
      </c>
      <c r="D53" t="s">
        <v>67</v>
      </c>
      <c r="E53">
        <v>0.56564055394500001</v>
      </c>
      <c r="F53">
        <v>0</v>
      </c>
    </row>
    <row r="54" spans="2:6" x14ac:dyDescent="0.45">
      <c r="B54">
        <v>53</v>
      </c>
      <c r="C54" t="s">
        <v>111</v>
      </c>
      <c r="D54" t="s">
        <v>67</v>
      </c>
      <c r="E54">
        <v>-1.85416848242</v>
      </c>
      <c r="F54">
        <v>0</v>
      </c>
    </row>
    <row r="55" spans="2:6" x14ac:dyDescent="0.45">
      <c r="B55">
        <v>54</v>
      </c>
      <c r="C55" t="s">
        <v>112</v>
      </c>
      <c r="D55" t="s">
        <v>67</v>
      </c>
      <c r="E55">
        <v>0</v>
      </c>
      <c r="F55">
        <v>0</v>
      </c>
    </row>
    <row r="56" spans="2:6" x14ac:dyDescent="0.45">
      <c r="B56">
        <v>55</v>
      </c>
      <c r="C56" t="s">
        <v>113</v>
      </c>
      <c r="D56" t="s">
        <v>67</v>
      </c>
      <c r="E56">
        <v>-1.1156286956100001</v>
      </c>
      <c r="F56">
        <v>0</v>
      </c>
    </row>
    <row r="57" spans="2:6" x14ac:dyDescent="0.45">
      <c r="B57">
        <v>56</v>
      </c>
      <c r="C57" t="s">
        <v>114</v>
      </c>
      <c r="D57" t="s">
        <v>67</v>
      </c>
      <c r="E57">
        <v>-0.81792869186600003</v>
      </c>
      <c r="F57">
        <v>0</v>
      </c>
    </row>
    <row r="58" spans="2:6" x14ac:dyDescent="0.45">
      <c r="B58">
        <v>57</v>
      </c>
      <c r="C58" t="s">
        <v>115</v>
      </c>
      <c r="D58" t="s">
        <v>67</v>
      </c>
      <c r="E58">
        <v>-1.04729487823</v>
      </c>
      <c r="F58">
        <v>0</v>
      </c>
    </row>
    <row r="59" spans="2:6" x14ac:dyDescent="0.45">
      <c r="B59">
        <v>58</v>
      </c>
      <c r="C59" t="s">
        <v>116</v>
      </c>
      <c r="D59" t="s">
        <v>67</v>
      </c>
      <c r="E59">
        <v>-2.0228517391</v>
      </c>
      <c r="F59">
        <v>0</v>
      </c>
    </row>
    <row r="60" spans="2:6" x14ac:dyDescent="0.45">
      <c r="B60">
        <v>59</v>
      </c>
      <c r="C60" t="s">
        <v>117</v>
      </c>
      <c r="D60" t="s">
        <v>67</v>
      </c>
      <c r="E60">
        <v>-1.2945321250099999</v>
      </c>
      <c r="F60">
        <v>0</v>
      </c>
    </row>
    <row r="61" spans="2:6" x14ac:dyDescent="0.45">
      <c r="B61">
        <v>60</v>
      </c>
      <c r="C61" t="s">
        <v>118</v>
      </c>
      <c r="D61" t="s">
        <v>67</v>
      </c>
      <c r="E61">
        <v>-0.66178028021599999</v>
      </c>
      <c r="F61">
        <v>0</v>
      </c>
    </row>
    <row r="62" spans="2:6" x14ac:dyDescent="0.45">
      <c r="B62">
        <v>61</v>
      </c>
      <c r="C62" t="s">
        <v>119</v>
      </c>
      <c r="D62" t="s">
        <v>67</v>
      </c>
      <c r="E62">
        <v>-0.55504741134900004</v>
      </c>
      <c r="F62">
        <v>0</v>
      </c>
    </row>
    <row r="63" spans="2:6" x14ac:dyDescent="0.45">
      <c r="B63">
        <v>62</v>
      </c>
      <c r="C63" t="s">
        <v>120</v>
      </c>
      <c r="D63" t="s">
        <v>67</v>
      </c>
      <c r="E63">
        <v>-1.7449233454799999</v>
      </c>
      <c r="F63">
        <v>0</v>
      </c>
    </row>
    <row r="64" spans="2:6" x14ac:dyDescent="0.45">
      <c r="B64">
        <v>63</v>
      </c>
      <c r="C64" t="s">
        <v>121</v>
      </c>
      <c r="D64" t="s">
        <v>67</v>
      </c>
      <c r="E64">
        <v>1.1995398853399999</v>
      </c>
      <c r="F64">
        <v>0</v>
      </c>
    </row>
    <row r="65" spans="2:6" x14ac:dyDescent="0.45">
      <c r="B65">
        <v>64</v>
      </c>
      <c r="C65" t="s">
        <v>122</v>
      </c>
      <c r="D65" t="s">
        <v>67</v>
      </c>
      <c r="E65">
        <v>0.19542046398099999</v>
      </c>
      <c r="F65">
        <v>0</v>
      </c>
    </row>
    <row r="66" spans="2:6" x14ac:dyDescent="0.45">
      <c r="B66">
        <v>65</v>
      </c>
      <c r="C66" t="s">
        <v>123</v>
      </c>
      <c r="D66" t="s">
        <v>67</v>
      </c>
      <c r="E66">
        <v>-0.90594458676599998</v>
      </c>
      <c r="F66">
        <v>0</v>
      </c>
    </row>
    <row r="67" spans="2:6" x14ac:dyDescent="0.45">
      <c r="B67">
        <v>66</v>
      </c>
      <c r="C67" t="s">
        <v>124</v>
      </c>
      <c r="D67" t="s">
        <v>67</v>
      </c>
      <c r="E67">
        <v>-2.05104130438</v>
      </c>
      <c r="F67">
        <v>0</v>
      </c>
    </row>
    <row r="68" spans="2:6" x14ac:dyDescent="0.45">
      <c r="B68">
        <v>67</v>
      </c>
      <c r="C68" t="s">
        <v>125</v>
      </c>
      <c r="D68" t="s">
        <v>67</v>
      </c>
      <c r="E68">
        <v>-2.2381608455899999</v>
      </c>
      <c r="F68">
        <v>0</v>
      </c>
    </row>
    <row r="69" spans="2:6" x14ac:dyDescent="0.45">
      <c r="B69">
        <v>68</v>
      </c>
      <c r="C69" t="s">
        <v>126</v>
      </c>
      <c r="D69" t="s">
        <v>67</v>
      </c>
      <c r="E69">
        <v>-0.40946320528300001</v>
      </c>
      <c r="F69">
        <v>0</v>
      </c>
    </row>
    <row r="70" spans="2:6" x14ac:dyDescent="0.45">
      <c r="B70">
        <v>69</v>
      </c>
      <c r="C70" t="s">
        <v>127</v>
      </c>
      <c r="D70" t="s">
        <v>67</v>
      </c>
      <c r="E70">
        <v>-1.1700902309500001</v>
      </c>
      <c r="F70">
        <v>0</v>
      </c>
    </row>
    <row r="71" spans="2:6" x14ac:dyDescent="0.45">
      <c r="B71">
        <v>70</v>
      </c>
      <c r="C71" t="s">
        <v>128</v>
      </c>
      <c r="D71" t="s">
        <v>67</v>
      </c>
      <c r="E71">
        <v>1.8412445021999999</v>
      </c>
      <c r="F71">
        <v>0</v>
      </c>
    </row>
    <row r="72" spans="2:6" x14ac:dyDescent="0.45">
      <c r="B72">
        <v>71</v>
      </c>
      <c r="C72" t="s">
        <v>129</v>
      </c>
      <c r="D72" t="s">
        <v>67</v>
      </c>
      <c r="E72">
        <v>0.71619685052500004</v>
      </c>
      <c r="F72">
        <v>0</v>
      </c>
    </row>
    <row r="73" spans="2:6" x14ac:dyDescent="0.45">
      <c r="B73">
        <v>72</v>
      </c>
      <c r="C73" t="s">
        <v>130</v>
      </c>
      <c r="D73" t="s">
        <v>67</v>
      </c>
      <c r="E73">
        <v>-0.101060642888</v>
      </c>
      <c r="F73">
        <v>0</v>
      </c>
    </row>
    <row r="74" spans="2:6" x14ac:dyDescent="0.45">
      <c r="B74">
        <v>73</v>
      </c>
      <c r="C74" t="s">
        <v>131</v>
      </c>
      <c r="D74" t="s">
        <v>67</v>
      </c>
      <c r="E74">
        <v>-0.34132571646100002</v>
      </c>
      <c r="F74">
        <v>0</v>
      </c>
    </row>
    <row r="75" spans="2:6" x14ac:dyDescent="0.45">
      <c r="B75">
        <v>74</v>
      </c>
      <c r="C75" t="s">
        <v>132</v>
      </c>
      <c r="D75" t="s">
        <v>67</v>
      </c>
      <c r="E75">
        <v>1.0486549950899999</v>
      </c>
      <c r="F75">
        <v>0</v>
      </c>
    </row>
    <row r="76" spans="2:6" x14ac:dyDescent="0.45">
      <c r="B76">
        <v>75</v>
      </c>
      <c r="C76" t="s">
        <v>133</v>
      </c>
      <c r="D76" t="s">
        <v>67</v>
      </c>
      <c r="E76">
        <v>-30</v>
      </c>
      <c r="F76">
        <v>0</v>
      </c>
    </row>
    <row r="77" spans="2:6" x14ac:dyDescent="0.45">
      <c r="B77">
        <v>76</v>
      </c>
      <c r="C77" t="s">
        <v>134</v>
      </c>
      <c r="D77" t="s">
        <v>67</v>
      </c>
      <c r="E77">
        <v>0.91468797064200003</v>
      </c>
      <c r="F77">
        <v>0</v>
      </c>
    </row>
    <row r="78" spans="2:6" x14ac:dyDescent="0.45">
      <c r="B78">
        <v>77</v>
      </c>
      <c r="C78" t="s">
        <v>135</v>
      </c>
      <c r="D78" t="s">
        <v>67</v>
      </c>
      <c r="E78">
        <v>-1.1830909132</v>
      </c>
      <c r="F78">
        <v>0</v>
      </c>
    </row>
    <row r="79" spans="2:6" x14ac:dyDescent="0.45">
      <c r="B79">
        <v>78</v>
      </c>
      <c r="C79" t="s">
        <v>136</v>
      </c>
      <c r="D79" t="s">
        <v>67</v>
      </c>
      <c r="E79">
        <v>1.4576625009499999</v>
      </c>
      <c r="F79">
        <v>0</v>
      </c>
    </row>
    <row r="80" spans="2:6" x14ac:dyDescent="0.45">
      <c r="B80">
        <v>79</v>
      </c>
      <c r="C80" t="s">
        <v>137</v>
      </c>
      <c r="D80" t="s">
        <v>67</v>
      </c>
      <c r="E80">
        <v>-1.62636517084</v>
      </c>
      <c r="F80">
        <v>0</v>
      </c>
    </row>
    <row r="81" spans="2:11" x14ac:dyDescent="0.45">
      <c r="B81">
        <v>80</v>
      </c>
      <c r="C81" t="s">
        <v>138</v>
      </c>
      <c r="D81" t="s">
        <v>67</v>
      </c>
      <c r="E81">
        <v>0</v>
      </c>
      <c r="F81">
        <v>0</v>
      </c>
    </row>
    <row r="82" spans="2:11" x14ac:dyDescent="0.45">
      <c r="B82">
        <v>98</v>
      </c>
      <c r="C82" t="s">
        <v>140</v>
      </c>
      <c r="D82" t="s">
        <v>104</v>
      </c>
      <c r="E82">
        <v>0.196143079927</v>
      </c>
      <c r="F82" s="46">
        <v>5.2787786365599998E-2</v>
      </c>
    </row>
    <row r="83" spans="2:11" x14ac:dyDescent="0.45">
      <c r="B83">
        <v>-1</v>
      </c>
      <c r="F83" s="46"/>
    </row>
    <row r="84" spans="2:11" x14ac:dyDescent="0.45">
      <c r="B84">
        <v>4094</v>
      </c>
      <c r="C84" s="46">
        <v>-7858.2822859199996</v>
      </c>
      <c r="D84" s="46">
        <v>-18684.837435699999</v>
      </c>
      <c r="E84" s="46">
        <v>-15176.5511826</v>
      </c>
    </row>
    <row r="85" spans="2:11" x14ac:dyDescent="0.45">
      <c r="B85">
        <v>4</v>
      </c>
      <c r="C85" s="46" t="s">
        <v>266</v>
      </c>
      <c r="D85" s="46" t="s">
        <v>245</v>
      </c>
      <c r="E85" s="46">
        <v>5</v>
      </c>
      <c r="F85" t="s">
        <v>265</v>
      </c>
      <c r="G85">
        <v>12</v>
      </c>
    </row>
    <row r="86" spans="2:11" x14ac:dyDescent="0.45"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</row>
    <row r="87" spans="2:11" x14ac:dyDescent="0.45"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</row>
    <row r="88" spans="2:11" x14ac:dyDescent="0.45"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</row>
    <row r="89" spans="2:11" x14ac:dyDescent="0.45"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</row>
    <row r="90" spans="2:11" x14ac:dyDescent="0.45"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</row>
    <row r="91" spans="2:11" x14ac:dyDescent="0.45"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</row>
    <row r="92" spans="2:11" x14ac:dyDescent="0.45"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</row>
    <row r="93" spans="2:11" x14ac:dyDescent="0.45"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</row>
    <row r="94" spans="2:11" x14ac:dyDescent="0.45"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</row>
    <row r="95" spans="2:11" x14ac:dyDescent="0.45"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</row>
    <row r="96" spans="2:11" x14ac:dyDescent="0.45"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</row>
    <row r="97" spans="2:11" x14ac:dyDescent="0.45"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</row>
    <row r="98" spans="2:11" x14ac:dyDescent="0.45"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</row>
    <row r="99" spans="2:11" x14ac:dyDescent="0.45"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</row>
    <row r="100" spans="2:11" x14ac:dyDescent="0.45"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</row>
    <row r="101" spans="2:11" x14ac:dyDescent="0.45"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</row>
    <row r="102" spans="2:11" x14ac:dyDescent="0.45"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</row>
    <row r="103" spans="2:11" x14ac:dyDescent="0.45"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</row>
    <row r="104" spans="2:11" x14ac:dyDescent="0.45"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</row>
    <row r="105" spans="2:11" x14ac:dyDescent="0.45"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</row>
    <row r="106" spans="2:11" x14ac:dyDescent="0.45"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</row>
    <row r="107" spans="2:11" x14ac:dyDescent="0.45"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</row>
    <row r="108" spans="2:11" x14ac:dyDescent="0.45"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</row>
    <row r="109" spans="2:11" x14ac:dyDescent="0.45"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</row>
    <row r="110" spans="2:11" x14ac:dyDescent="0.45"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</row>
    <row r="111" spans="2:11" x14ac:dyDescent="0.45"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</row>
    <row r="112" spans="2:11" x14ac:dyDescent="0.45"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</row>
    <row r="113" spans="2:11" x14ac:dyDescent="0.45"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</row>
    <row r="114" spans="2:11" x14ac:dyDescent="0.45"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</row>
    <row r="115" spans="2:11" x14ac:dyDescent="0.45"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</row>
    <row r="116" spans="2:11" x14ac:dyDescent="0.45"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</row>
    <row r="117" spans="2:11" x14ac:dyDescent="0.45"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</row>
    <row r="118" spans="2:11" x14ac:dyDescent="0.45"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</row>
    <row r="119" spans="2:11" x14ac:dyDescent="0.45"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</row>
    <row r="120" spans="2:11" x14ac:dyDescent="0.45"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</row>
    <row r="121" spans="2:11" x14ac:dyDescent="0.45"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</row>
    <row r="122" spans="2:11" x14ac:dyDescent="0.45"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</row>
    <row r="123" spans="2:11" x14ac:dyDescent="0.45"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</row>
    <row r="124" spans="2:11" x14ac:dyDescent="0.45"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</row>
    <row r="125" spans="2:11" x14ac:dyDescent="0.45"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</row>
    <row r="126" spans="2:11" x14ac:dyDescent="0.45"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</row>
    <row r="127" spans="2:11" x14ac:dyDescent="0.45"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</row>
    <row r="128" spans="2:11" x14ac:dyDescent="0.4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4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4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4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4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45"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</row>
    <row r="134" spans="2:11" x14ac:dyDescent="0.45"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</row>
    <row r="135" spans="2:11" x14ac:dyDescent="0.45"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</row>
    <row r="136" spans="2:11" x14ac:dyDescent="0.45"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</row>
    <row r="137" spans="2:11" x14ac:dyDescent="0.45"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</row>
    <row r="138" spans="2:11" x14ac:dyDescent="0.45"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</row>
    <row r="139" spans="2:11" x14ac:dyDescent="0.45"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</row>
    <row r="140" spans="2:11" x14ac:dyDescent="0.45"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</row>
    <row r="141" spans="2:11" x14ac:dyDescent="0.45"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</row>
    <row r="142" spans="2:11" x14ac:dyDescent="0.45"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</row>
    <row r="143" spans="2:11" x14ac:dyDescent="0.45"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</row>
    <row r="144" spans="2:11" x14ac:dyDescent="0.4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4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45"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</row>
    <row r="147" spans="2:11" x14ac:dyDescent="0.45"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</row>
    <row r="148" spans="2:11" x14ac:dyDescent="0.45"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</row>
    <row r="149" spans="2:11" x14ac:dyDescent="0.45"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</row>
    <row r="150" spans="2:11" x14ac:dyDescent="0.45"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</row>
    <row r="151" spans="2:11" x14ac:dyDescent="0.45"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</row>
    <row r="152" spans="2:11" x14ac:dyDescent="0.45"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</row>
    <row r="153" spans="2:11" x14ac:dyDescent="0.45"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</row>
    <row r="154" spans="2:11" x14ac:dyDescent="0.45"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</row>
    <row r="155" spans="2:11" x14ac:dyDescent="0.45"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</row>
    <row r="156" spans="2:11" x14ac:dyDescent="0.45">
      <c r="B156">
        <v>0</v>
      </c>
      <c r="C156">
        <v>0</v>
      </c>
      <c r="D156">
        <v>-93357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</row>
    <row r="157" spans="2:11" x14ac:dyDescent="0.45"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</row>
    <row r="158" spans="2:11" x14ac:dyDescent="0.45"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</row>
    <row r="159" spans="2:11" x14ac:dyDescent="0.45"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21016</v>
      </c>
    </row>
    <row r="160" spans="2:11" x14ac:dyDescent="0.45">
      <c r="B160">
        <v>-15064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</row>
    <row r="161" spans="2:11" x14ac:dyDescent="0.45"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</row>
    <row r="162" spans="2:11" x14ac:dyDescent="0.45"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</row>
    <row r="163" spans="2:11" x14ac:dyDescent="0.45"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61408</v>
      </c>
      <c r="J163">
        <v>-67476</v>
      </c>
      <c r="K163">
        <v>11445</v>
      </c>
    </row>
    <row r="164" spans="2:11" x14ac:dyDescent="0.45"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</row>
    <row r="165" spans="2:11" x14ac:dyDescent="0.45"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</row>
    <row r="166" spans="2:11" x14ac:dyDescent="0.4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4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4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4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4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4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4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4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4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4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</row>
    <row r="176" spans="2:11" x14ac:dyDescent="0.45"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</row>
    <row r="177" spans="2:11" x14ac:dyDescent="0.45"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</row>
    <row r="178" spans="2:11" x14ac:dyDescent="0.45"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</row>
    <row r="179" spans="2:11" x14ac:dyDescent="0.45"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</row>
    <row r="180" spans="2:11" x14ac:dyDescent="0.45"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</row>
    <row r="181" spans="2:11" x14ac:dyDescent="0.45"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</row>
    <row r="182" spans="2:11" x14ac:dyDescent="0.45"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</row>
    <row r="183" spans="2:11" x14ac:dyDescent="0.45"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</row>
    <row r="184" spans="2:11" x14ac:dyDescent="0.45"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</row>
    <row r="185" spans="2:11" x14ac:dyDescent="0.45"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</row>
    <row r="186" spans="2:11" x14ac:dyDescent="0.45"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</row>
    <row r="187" spans="2:11" x14ac:dyDescent="0.45"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</row>
    <row r="188" spans="2:11" x14ac:dyDescent="0.45"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</row>
    <row r="189" spans="2:11" x14ac:dyDescent="0.45"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</row>
    <row r="190" spans="2:11" x14ac:dyDescent="0.45"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</row>
    <row r="191" spans="2:11" x14ac:dyDescent="0.45"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</row>
    <row r="192" spans="2:11" x14ac:dyDescent="0.45"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</row>
    <row r="193" spans="2:11" x14ac:dyDescent="0.45"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</row>
    <row r="194" spans="2:11" x14ac:dyDescent="0.45"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</row>
    <row r="195" spans="2:11" x14ac:dyDescent="0.45"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</row>
    <row r="196" spans="2:11" x14ac:dyDescent="0.45"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</row>
    <row r="197" spans="2:11" x14ac:dyDescent="0.45"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</row>
    <row r="198" spans="2:11" x14ac:dyDescent="0.45"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</row>
    <row r="199" spans="2:11" x14ac:dyDescent="0.45"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</row>
    <row r="200" spans="2:11" x14ac:dyDescent="0.45"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</row>
    <row r="201" spans="2:11" x14ac:dyDescent="0.45"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</row>
    <row r="202" spans="2:11" x14ac:dyDescent="0.45"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</row>
    <row r="203" spans="2:11" x14ac:dyDescent="0.45"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</row>
    <row r="204" spans="2:11" x14ac:dyDescent="0.45"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</row>
    <row r="205" spans="2:11" x14ac:dyDescent="0.45"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</row>
    <row r="206" spans="2:11" x14ac:dyDescent="0.45"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</row>
    <row r="207" spans="2:11" x14ac:dyDescent="0.45"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</row>
    <row r="208" spans="2:11" x14ac:dyDescent="0.45"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</row>
    <row r="209" spans="2:11" x14ac:dyDescent="0.45"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</row>
    <row r="210" spans="2:11" x14ac:dyDescent="0.45"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</row>
    <row r="211" spans="2:11" x14ac:dyDescent="0.45"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</row>
    <row r="212" spans="2:11" x14ac:dyDescent="0.45"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</row>
    <row r="213" spans="2:11" x14ac:dyDescent="0.45"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</row>
    <row r="214" spans="2:11" x14ac:dyDescent="0.45"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</row>
    <row r="215" spans="2:11" x14ac:dyDescent="0.45"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</row>
    <row r="216" spans="2:11" x14ac:dyDescent="0.45"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</row>
    <row r="217" spans="2:11" x14ac:dyDescent="0.45"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</row>
    <row r="218" spans="2:11" x14ac:dyDescent="0.45"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</row>
    <row r="219" spans="2:11" x14ac:dyDescent="0.45"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</row>
    <row r="220" spans="2:11" x14ac:dyDescent="0.45"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</row>
    <row r="221" spans="2:11" x14ac:dyDescent="0.45"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</row>
    <row r="222" spans="2:11" x14ac:dyDescent="0.45"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</row>
    <row r="223" spans="2:11" x14ac:dyDescent="0.45"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</row>
    <row r="224" spans="2:11" x14ac:dyDescent="0.45"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</row>
    <row r="225" spans="2:11" x14ac:dyDescent="0.45"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</row>
    <row r="226" spans="2:11" x14ac:dyDescent="0.45"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</row>
    <row r="227" spans="2:11" x14ac:dyDescent="0.45"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</row>
    <row r="228" spans="2:11" x14ac:dyDescent="0.45"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</row>
    <row r="229" spans="2:11" x14ac:dyDescent="0.45"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</row>
    <row r="230" spans="2:11" x14ac:dyDescent="0.45"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</row>
    <row r="231" spans="2:11" x14ac:dyDescent="0.45"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</row>
    <row r="232" spans="2:11" x14ac:dyDescent="0.45"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</row>
    <row r="233" spans="2:11" x14ac:dyDescent="0.45"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</row>
    <row r="234" spans="2:11" x14ac:dyDescent="0.45"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</row>
    <row r="235" spans="2:11" x14ac:dyDescent="0.45"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</row>
    <row r="236" spans="2:11" x14ac:dyDescent="0.45"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</row>
    <row r="237" spans="2:11" x14ac:dyDescent="0.45"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</row>
    <row r="238" spans="2:11" x14ac:dyDescent="0.45"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</row>
    <row r="239" spans="2:11" x14ac:dyDescent="0.45"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</row>
    <row r="240" spans="2:11" x14ac:dyDescent="0.45"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</row>
    <row r="241" spans="2:11" x14ac:dyDescent="0.45"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</row>
    <row r="242" spans="2:11" x14ac:dyDescent="0.45"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</row>
    <row r="243" spans="2:11" x14ac:dyDescent="0.45"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</row>
    <row r="244" spans="2:11" x14ac:dyDescent="0.45"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</row>
    <row r="245" spans="2:11" x14ac:dyDescent="0.45"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</row>
    <row r="246" spans="2:11" x14ac:dyDescent="0.45"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</row>
    <row r="247" spans="2:11" x14ac:dyDescent="0.45"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</row>
    <row r="248" spans="2:11" x14ac:dyDescent="0.45"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</row>
    <row r="249" spans="2:11" x14ac:dyDescent="0.45"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</row>
    <row r="250" spans="2:11" x14ac:dyDescent="0.45"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</row>
    <row r="251" spans="2:11" x14ac:dyDescent="0.45"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</row>
    <row r="252" spans="2:11" x14ac:dyDescent="0.45"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</row>
    <row r="253" spans="2:11" x14ac:dyDescent="0.45"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</row>
    <row r="254" spans="2:11" x14ac:dyDescent="0.45"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</row>
    <row r="255" spans="2:11" x14ac:dyDescent="0.45"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</row>
    <row r="256" spans="2:11" x14ac:dyDescent="0.45"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</row>
    <row r="257" spans="2:11" x14ac:dyDescent="0.45"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</row>
    <row r="258" spans="2:11" x14ac:dyDescent="0.45"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</row>
    <row r="259" spans="2:11" x14ac:dyDescent="0.45"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</row>
    <row r="260" spans="2:11" x14ac:dyDescent="0.45"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</row>
    <row r="261" spans="2:11" x14ac:dyDescent="0.45"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</row>
    <row r="262" spans="2:11" x14ac:dyDescent="0.45"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</row>
    <row r="263" spans="2:11" x14ac:dyDescent="0.45"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</row>
    <row r="264" spans="2:11" x14ac:dyDescent="0.45"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</row>
    <row r="265" spans="2:11" x14ac:dyDescent="0.45"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</row>
    <row r="266" spans="2:11" x14ac:dyDescent="0.45"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</row>
    <row r="267" spans="2:11" x14ac:dyDescent="0.45"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</row>
    <row r="268" spans="2:11" x14ac:dyDescent="0.45"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</row>
    <row r="269" spans="2:11" x14ac:dyDescent="0.45"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</row>
    <row r="270" spans="2:11" x14ac:dyDescent="0.45"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</row>
    <row r="271" spans="2:11" x14ac:dyDescent="0.45"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</row>
    <row r="272" spans="2:11" x14ac:dyDescent="0.45"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</row>
    <row r="273" spans="2:11" x14ac:dyDescent="0.45"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</row>
    <row r="274" spans="2:11" x14ac:dyDescent="0.45"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</row>
    <row r="275" spans="2:11" x14ac:dyDescent="0.45"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</row>
    <row r="276" spans="2:11" x14ac:dyDescent="0.45"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</row>
    <row r="277" spans="2:11" x14ac:dyDescent="0.45"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</row>
    <row r="278" spans="2:11" x14ac:dyDescent="0.45"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</row>
    <row r="279" spans="2:11" x14ac:dyDescent="0.45"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</row>
    <row r="280" spans="2:11" x14ac:dyDescent="0.45"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</row>
    <row r="281" spans="2:11" x14ac:dyDescent="0.45"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4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4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4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4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4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45"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</row>
    <row r="288" spans="2:11" x14ac:dyDescent="0.45"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</row>
    <row r="289" spans="2:11" x14ac:dyDescent="0.45"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</row>
    <row r="290" spans="2:11" x14ac:dyDescent="0.45"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</row>
    <row r="291" spans="2:11" x14ac:dyDescent="0.45"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</row>
    <row r="292" spans="2:11" x14ac:dyDescent="0.45"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</row>
    <row r="293" spans="2:11" x14ac:dyDescent="0.45"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</row>
    <row r="294" spans="2:11" x14ac:dyDescent="0.45"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</row>
    <row r="295" spans="2:11" x14ac:dyDescent="0.45"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</row>
    <row r="296" spans="2:11" x14ac:dyDescent="0.45"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</row>
    <row r="297" spans="2:11" x14ac:dyDescent="0.45"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</row>
    <row r="298" spans="2:11" x14ac:dyDescent="0.45"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</row>
    <row r="299" spans="2:11" x14ac:dyDescent="0.45"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</row>
    <row r="300" spans="2:11" x14ac:dyDescent="0.45"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</row>
    <row r="301" spans="2:11" x14ac:dyDescent="0.45"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</row>
    <row r="302" spans="2:11" x14ac:dyDescent="0.45"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</row>
    <row r="303" spans="2:11" x14ac:dyDescent="0.45"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</row>
    <row r="304" spans="2:11" x14ac:dyDescent="0.45"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</row>
    <row r="305" spans="2:11" x14ac:dyDescent="0.45"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</row>
    <row r="306" spans="2:11" x14ac:dyDescent="0.45"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</row>
    <row r="307" spans="2:11" x14ac:dyDescent="0.45"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</row>
    <row r="308" spans="2:11" x14ac:dyDescent="0.45"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</row>
    <row r="309" spans="2:11" x14ac:dyDescent="0.45"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</row>
    <row r="310" spans="2:11" x14ac:dyDescent="0.45"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</row>
    <row r="311" spans="2:11" x14ac:dyDescent="0.45"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</row>
    <row r="312" spans="2:11" x14ac:dyDescent="0.45"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</row>
    <row r="313" spans="2:11" x14ac:dyDescent="0.45"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</row>
    <row r="314" spans="2:11" x14ac:dyDescent="0.45"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</row>
    <row r="315" spans="2:11" x14ac:dyDescent="0.45"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</row>
    <row r="316" spans="2:11" x14ac:dyDescent="0.45"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</row>
    <row r="317" spans="2:11" x14ac:dyDescent="0.45"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</row>
    <row r="318" spans="2:11" x14ac:dyDescent="0.45"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</row>
    <row r="319" spans="2:11" x14ac:dyDescent="0.45"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</row>
    <row r="320" spans="2:11" x14ac:dyDescent="0.45"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</row>
    <row r="321" spans="2:11" x14ac:dyDescent="0.45"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</row>
    <row r="322" spans="2:11" x14ac:dyDescent="0.45"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</row>
    <row r="323" spans="2:11" x14ac:dyDescent="0.45"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</row>
    <row r="324" spans="2:11" x14ac:dyDescent="0.45"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</row>
    <row r="325" spans="2:11" x14ac:dyDescent="0.45"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</row>
    <row r="326" spans="2:11" x14ac:dyDescent="0.45"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</row>
    <row r="327" spans="2:11" x14ac:dyDescent="0.45"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</row>
    <row r="328" spans="2:11" x14ac:dyDescent="0.45"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</row>
    <row r="329" spans="2:11" x14ac:dyDescent="0.45"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</row>
    <row r="330" spans="2:11" x14ac:dyDescent="0.45"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</row>
    <row r="331" spans="2:11" x14ac:dyDescent="0.45"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</row>
    <row r="332" spans="2:11" x14ac:dyDescent="0.45"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</row>
    <row r="333" spans="2:11" x14ac:dyDescent="0.45"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</row>
    <row r="334" spans="2:11" x14ac:dyDescent="0.45"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</row>
    <row r="335" spans="2:11" x14ac:dyDescent="0.45"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</row>
    <row r="336" spans="2:11" x14ac:dyDescent="0.45"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</row>
    <row r="337" spans="2:11" x14ac:dyDescent="0.45"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</row>
    <row r="338" spans="2:11" x14ac:dyDescent="0.45"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</row>
    <row r="339" spans="2:11" x14ac:dyDescent="0.45"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</row>
    <row r="340" spans="2:11" x14ac:dyDescent="0.45"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</row>
    <row r="341" spans="2:11" x14ac:dyDescent="0.45"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</row>
    <row r="342" spans="2:11" x14ac:dyDescent="0.45"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</row>
    <row r="343" spans="2:11" x14ac:dyDescent="0.45"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</row>
    <row r="344" spans="2:11" x14ac:dyDescent="0.45"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</row>
    <row r="345" spans="2:11" x14ac:dyDescent="0.45">
      <c r="B345">
        <v>0</v>
      </c>
      <c r="C345">
        <v>0</v>
      </c>
      <c r="D345">
        <v>99207</v>
      </c>
      <c r="E345">
        <v>-91957</v>
      </c>
      <c r="F345">
        <v>23803</v>
      </c>
      <c r="G345">
        <v>66371</v>
      </c>
      <c r="H345">
        <v>0</v>
      </c>
      <c r="I345">
        <v>0</v>
      </c>
      <c r="J345">
        <v>0</v>
      </c>
      <c r="K345">
        <v>0</v>
      </c>
    </row>
    <row r="346" spans="2:11" x14ac:dyDescent="0.45"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</row>
    <row r="347" spans="2:11" x14ac:dyDescent="0.45"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</row>
    <row r="348" spans="2:11" x14ac:dyDescent="0.45"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</row>
    <row r="349" spans="2:11" x14ac:dyDescent="0.45"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00B050"/>
  </sheetPr>
  <dimension ref="A1:W75"/>
  <sheetViews>
    <sheetView workbookViewId="0">
      <selection activeCell="L6" sqref="L6"/>
    </sheetView>
  </sheetViews>
  <sheetFormatPr defaultRowHeight="14.25" x14ac:dyDescent="0.45"/>
  <cols>
    <col min="1" max="1" bestFit="true" customWidth="true" width="12.73046875" collapsed="true"/>
    <col min="2" max="2" bestFit="true" customWidth="true" width="11.59765625" collapsed="true"/>
    <col min="3" max="4" bestFit="true" customWidth="true" width="10.59765625" collapsed="true"/>
    <col min="5" max="5" bestFit="true" customWidth="true" width="11.59765625" collapsed="true"/>
    <col min="7" max="7" bestFit="true" customWidth="true" width="12.73046875" collapsed="true"/>
    <col min="8" max="8" bestFit="true" customWidth="true" width="11.59765625" collapsed="true"/>
    <col min="9" max="10" bestFit="true" customWidth="true" width="10.59765625" collapsed="true"/>
    <col min="11" max="11" bestFit="true" customWidth="true" width="11.59765625" collapsed="true"/>
    <col min="13" max="13" bestFit="true" customWidth="true" width="10.86328125" collapsed="true"/>
    <col min="14" max="14" bestFit="true" customWidth="true" width="16.3984375" collapsed="true"/>
    <col min="15" max="15" bestFit="true" customWidth="true" width="9.3984375" collapsed="true"/>
    <col min="16" max="16" customWidth="true" width="5.59765625" collapsed="true"/>
    <col min="17" max="17" bestFit="true" customWidth="true" width="16.3984375" collapsed="true"/>
    <col min="21" max="21" bestFit="true" customWidth="true" width="10.0" collapsed="true"/>
    <col min="22" max="23" bestFit="true" customWidth="true" width="17.59765625" collapsed="true"/>
  </cols>
  <sheetData>
    <row r="1" spans="1:23" x14ac:dyDescent="0.45">
      <c r="M1" s="49" t="s">
        <v>247</v>
      </c>
      <c r="T1" s="49" t="s">
        <v>237</v>
      </c>
    </row>
    <row r="2" spans="1:23" x14ac:dyDescent="0.45">
      <c r="M2">
        <v>1</v>
      </c>
      <c r="N2" t="s">
        <v>255</v>
      </c>
      <c r="V2" s="60" t="s">
        <v>252</v>
      </c>
      <c r="W2" s="60" t="s">
        <v>253</v>
      </c>
    </row>
    <row r="3" spans="1:23" x14ac:dyDescent="0.45">
      <c r="M3">
        <v>2</v>
      </c>
      <c r="N3" t="s">
        <v>256</v>
      </c>
      <c r="T3">
        <v>1</v>
      </c>
      <c r="U3" t="s">
        <v>66</v>
      </c>
      <c r="V3" s="54">
        <f>WorkLocationCoefficients!E11</f>
        <v>1</v>
      </c>
      <c r="W3" s="59">
        <f>V3</f>
        <v>1</v>
      </c>
    </row>
    <row r="4" spans="1:23" x14ac:dyDescent="0.45">
      <c r="C4" s="11" t="s">
        <v>213</v>
      </c>
      <c r="I4" s="11" t="s">
        <v>230</v>
      </c>
      <c r="T4">
        <v>2</v>
      </c>
      <c r="U4" t="s">
        <v>68</v>
      </c>
      <c r="V4" s="54">
        <f>WorkLocationCoefficients!E12</f>
        <v>0.7</v>
      </c>
      <c r="W4" s="59">
        <f t="shared" ref="W4:W67" si="0">V4</f>
        <v>0.7</v>
      </c>
    </row>
    <row r="5" spans="1:23" ht="14.65" thickBot="1" x14ac:dyDescent="0.5">
      <c r="A5" s="49" t="s">
        <v>231</v>
      </c>
      <c r="M5" s="72"/>
      <c r="N5" s="43"/>
      <c r="O5" s="43"/>
      <c r="P5" s="43"/>
      <c r="Q5" s="43"/>
      <c r="T5">
        <v>3</v>
      </c>
      <c r="U5" t="s">
        <v>69</v>
      </c>
      <c r="V5" s="54">
        <f>WorkLocationCoefficients!E13</f>
        <v>1</v>
      </c>
      <c r="W5" s="59">
        <f t="shared" si="0"/>
        <v>1</v>
      </c>
    </row>
    <row r="6" spans="1:23" x14ac:dyDescent="0.45">
      <c r="A6" s="5" t="s">
        <v>3</v>
      </c>
      <c r="B6" s="5" t="s">
        <v>9</v>
      </c>
      <c r="C6" s="5" t="s">
        <v>10</v>
      </c>
      <c r="D6" s="5" t="s">
        <v>11</v>
      </c>
      <c r="E6" s="5" t="s">
        <v>229</v>
      </c>
      <c r="G6" s="5" t="s">
        <v>3</v>
      </c>
      <c r="H6" s="5" t="s">
        <v>9</v>
      </c>
      <c r="I6" s="5" t="s">
        <v>10</v>
      </c>
      <c r="J6" s="5" t="s">
        <v>11</v>
      </c>
      <c r="K6" s="5" t="s">
        <v>229</v>
      </c>
      <c r="M6" s="73"/>
      <c r="N6" s="73"/>
      <c r="O6" s="73"/>
      <c r="P6" s="73"/>
      <c r="Q6" s="73"/>
      <c r="T6">
        <v>4</v>
      </c>
      <c r="U6" t="s">
        <v>70</v>
      </c>
      <c r="V6" s="54">
        <f>WorkLocationCoefficients!E14</f>
        <v>0.5</v>
      </c>
      <c r="W6" s="59">
        <f t="shared" si="0"/>
        <v>0.5</v>
      </c>
    </row>
    <row r="7" spans="1:23" x14ac:dyDescent="0.45">
      <c r="A7" s="48" t="s">
        <v>225</v>
      </c>
      <c r="B7" s="78">
        <f>SUM(TLFD!B11:B13)+0.5*(TLFD!B14)</f>
        <v>33846.018150000004</v>
      </c>
      <c r="C7" s="78">
        <f>SUM(TLFD!C11:C13)+0.5*(TLFD!C14)</f>
        <v>4676.8100999999997</v>
      </c>
      <c r="D7" s="78">
        <f>SUM(TLFD!D11:D13)+0.5*(TLFD!D14)</f>
        <v>1085.8086000000001</v>
      </c>
      <c r="E7" s="78">
        <f>SUM(B7:D7)</f>
        <v>39608.636850000003</v>
      </c>
      <c r="G7" s="48" t="s">
        <v>225</v>
      </c>
      <c r="H7" s="78">
        <f>SUM(TLFD!H11:H13)+0.5*(TLFD!H14)</f>
        <v>25164.5</v>
      </c>
      <c r="I7" s="78">
        <f>SUM(TLFD!I11:I13)+0.5*(TLFD!I14)</f>
        <v>10881</v>
      </c>
      <c r="J7" s="78">
        <f>SUM(TLFD!J11:J13)+0.5*(TLFD!J14)</f>
        <v>4380</v>
      </c>
      <c r="K7" s="78">
        <f>SUM(H7:J7)</f>
        <v>40425.5</v>
      </c>
      <c r="M7" s="43"/>
      <c r="N7" s="64"/>
      <c r="O7" s="65"/>
      <c r="P7" s="65"/>
      <c r="Q7" s="64"/>
      <c r="T7">
        <v>5</v>
      </c>
      <c r="U7" t="s">
        <v>71</v>
      </c>
      <c r="V7" s="54">
        <f>WorkLocationCoefficients!E15</f>
        <v>0</v>
      </c>
      <c r="W7" s="59">
        <f t="shared" si="0"/>
        <v>0</v>
      </c>
    </row>
    <row r="8" spans="1:23" x14ac:dyDescent="0.45">
      <c r="A8" s="48" t="s">
        <v>226</v>
      </c>
      <c r="B8" s="78">
        <f>0.5*(TLFD!B14)+SUM(TLFD!B15:B20)</f>
        <v>57701.200649999999</v>
      </c>
      <c r="C8" s="78">
        <f>0.5*(TLFD!C14)+SUM(TLFD!C15:C20)</f>
        <v>12953.1222</v>
      </c>
      <c r="D8" s="78">
        <f>0.5*(TLFD!D14)+SUM(TLFD!D15:D20)</f>
        <v>519.97609999999997</v>
      </c>
      <c r="E8" s="78">
        <f>SUM(B8:D8)</f>
        <v>71174.298949999997</v>
      </c>
      <c r="G8" s="48" t="s">
        <v>226</v>
      </c>
      <c r="H8" s="78">
        <f>0.5*(TLFD!H14)+SUM(TLFD!H15:H20)</f>
        <v>59911.5</v>
      </c>
      <c r="I8" s="78">
        <f>0.5*(TLFD!I14)+SUM(TLFD!I15:I20)</f>
        <v>18015</v>
      </c>
      <c r="J8" s="78">
        <f>0.5*(TLFD!J14)+SUM(TLFD!J15:J20)</f>
        <v>9518</v>
      </c>
      <c r="K8" s="78">
        <f>SUM(H8:J8)</f>
        <v>87444.5</v>
      </c>
      <c r="M8" s="43" t="s">
        <v>269</v>
      </c>
      <c r="N8" s="64"/>
      <c r="O8" s="65"/>
      <c r="P8" s="65"/>
      <c r="Q8" s="64"/>
      <c r="T8" s="53">
        <v>6</v>
      </c>
      <c r="U8" s="53" t="s">
        <v>72</v>
      </c>
      <c r="V8" s="55">
        <f>WorkLocationCoefficients!E16</f>
        <v>-4.1530549264700003</v>
      </c>
      <c r="W8" s="59">
        <f>Q14</f>
        <v>-4.1530549264700003</v>
      </c>
    </row>
    <row r="9" spans="1:23" x14ac:dyDescent="0.45">
      <c r="A9" s="66" t="s">
        <v>227</v>
      </c>
      <c r="B9" s="80">
        <f>SUM(TLFD!B21:B101)</f>
        <v>82487.270800000042</v>
      </c>
      <c r="C9" s="80">
        <f>SUM(TLFD!C21:C101)</f>
        <v>18092.908100000001</v>
      </c>
      <c r="D9" s="80">
        <f>SUM(TLFD!D21:D101)</f>
        <v>2402.1237000000001</v>
      </c>
      <c r="E9" s="80">
        <f>SUM(B9:D9)</f>
        <v>102982.30260000004</v>
      </c>
      <c r="G9" s="66" t="s">
        <v>227</v>
      </c>
      <c r="H9" s="80">
        <f>SUM(TLFD!H21:H101)</f>
        <v>102282</v>
      </c>
      <c r="I9" s="80">
        <f>SUM(TLFD!I21:I101)</f>
        <v>13339</v>
      </c>
      <c r="J9" s="80">
        <f>SUM(TLFD!J21:J101)</f>
        <v>8703</v>
      </c>
      <c r="K9" s="80">
        <f>SUM(H9:J9)</f>
        <v>124324</v>
      </c>
      <c r="M9" s="43" t="s">
        <v>270</v>
      </c>
      <c r="N9" s="64"/>
      <c r="O9" s="65"/>
      <c r="P9" s="65"/>
      <c r="Q9" s="64"/>
      <c r="T9" s="53">
        <v>7</v>
      </c>
      <c r="U9" s="53" t="s">
        <v>73</v>
      </c>
      <c r="V9" s="55">
        <f>WorkLocationCoefficients!E17</f>
        <v>-1.68452606998</v>
      </c>
      <c r="W9" s="59">
        <f t="shared" ref="W9:W10" si="1">Q15</f>
        <v>-2.0185036506017133</v>
      </c>
    </row>
    <row r="10" spans="1:23" ht="14.65" thickBot="1" x14ac:dyDescent="0.5">
      <c r="A10" s="68" t="s">
        <v>4</v>
      </c>
      <c r="B10" s="81">
        <f>SUM(B7:B9)</f>
        <v>174034.48960000003</v>
      </c>
      <c r="C10" s="81">
        <f t="shared" ref="C10:E10" si="2">SUM(C7:C9)</f>
        <v>35722.840400000001</v>
      </c>
      <c r="D10" s="81">
        <f t="shared" si="2"/>
        <v>4007.9084000000003</v>
      </c>
      <c r="E10" s="81">
        <f t="shared" si="2"/>
        <v>213765.23840000003</v>
      </c>
      <c r="F10" s="43"/>
      <c r="G10" s="68" t="s">
        <v>4</v>
      </c>
      <c r="H10" s="81">
        <f>SUM(H7:H9)</f>
        <v>187358</v>
      </c>
      <c r="I10" s="81">
        <f t="shared" ref="I10:K10" si="3">SUM(I7:I9)</f>
        <v>42235</v>
      </c>
      <c r="J10" s="81">
        <f t="shared" si="3"/>
        <v>22601</v>
      </c>
      <c r="K10" s="81">
        <f t="shared" si="3"/>
        <v>252194</v>
      </c>
      <c r="L10" s="43"/>
      <c r="M10" s="43" t="s">
        <v>271</v>
      </c>
      <c r="N10" s="43"/>
      <c r="O10" s="43"/>
      <c r="P10" s="43"/>
      <c r="Q10" s="43"/>
      <c r="T10" s="53">
        <v>8</v>
      </c>
      <c r="U10" s="53" t="s">
        <v>74</v>
      </c>
      <c r="V10" s="55">
        <f>WorkLocationCoefficients!E18</f>
        <v>0.13162300973999999</v>
      </c>
      <c r="W10" s="59">
        <f t="shared" si="1"/>
        <v>-0.41603103356885074</v>
      </c>
    </row>
    <row r="11" spans="1:23" x14ac:dyDescent="0.45">
      <c r="T11">
        <v>9</v>
      </c>
      <c r="U11" t="s">
        <v>75</v>
      </c>
      <c r="V11" s="54">
        <f>WorkLocationCoefficients!E19</f>
        <v>-3.1050660724200001</v>
      </c>
      <c r="W11" s="59">
        <f t="shared" si="0"/>
        <v>-3.1050660724200001</v>
      </c>
    </row>
    <row r="12" spans="1:23" ht="14.65" thickBot="1" x14ac:dyDescent="0.5">
      <c r="A12" s="61" t="s">
        <v>267</v>
      </c>
      <c r="M12" s="11" t="s">
        <v>236</v>
      </c>
      <c r="T12">
        <v>10</v>
      </c>
      <c r="U12" t="s">
        <v>76</v>
      </c>
      <c r="V12" s="54">
        <f>WorkLocationCoefficients!E20</f>
        <v>-3.4653118418800002</v>
      </c>
      <c r="W12" s="59">
        <f t="shared" si="0"/>
        <v>-3.4653118418800002</v>
      </c>
    </row>
    <row r="13" spans="1:23" x14ac:dyDescent="0.45">
      <c r="A13" s="5" t="s">
        <v>3</v>
      </c>
      <c r="B13" s="5" t="s">
        <v>9</v>
      </c>
      <c r="C13" s="5" t="s">
        <v>10</v>
      </c>
      <c r="D13" s="5" t="s">
        <v>11</v>
      </c>
      <c r="E13" s="5" t="s">
        <v>229</v>
      </c>
      <c r="G13" s="5" t="s">
        <v>3</v>
      </c>
      <c r="H13" s="5" t="s">
        <v>9</v>
      </c>
      <c r="I13" s="5" t="s">
        <v>10</v>
      </c>
      <c r="J13" s="5" t="s">
        <v>11</v>
      </c>
      <c r="K13" s="5" t="s">
        <v>229</v>
      </c>
      <c r="M13" s="5" t="s">
        <v>238</v>
      </c>
      <c r="N13" s="5" t="s">
        <v>234</v>
      </c>
      <c r="O13" s="5" t="s">
        <v>232</v>
      </c>
      <c r="P13" s="5" t="s">
        <v>233</v>
      </c>
      <c r="Q13" s="5" t="s">
        <v>235</v>
      </c>
      <c r="T13">
        <v>11</v>
      </c>
      <c r="U13" t="s">
        <v>77</v>
      </c>
      <c r="V13" s="54">
        <f>WorkLocationCoefficients!E21</f>
        <v>-0.22974879339000001</v>
      </c>
      <c r="W13" s="59">
        <f t="shared" si="0"/>
        <v>-0.22974879339000001</v>
      </c>
    </row>
    <row r="14" spans="1:23" x14ac:dyDescent="0.45">
      <c r="A14" s="48" t="s">
        <v>225</v>
      </c>
      <c r="B14" s="77">
        <f>B7/B$10</f>
        <v>0.19447879686257313</v>
      </c>
      <c r="C14" s="69">
        <f t="shared" ref="C14:E14" si="4">C7/C$10</f>
        <v>0.13091932353732991</v>
      </c>
      <c r="D14" s="69">
        <f t="shared" si="4"/>
        <v>0.27091652094643681</v>
      </c>
      <c r="E14" s="69">
        <f t="shared" si="4"/>
        <v>0.18529035472027428</v>
      </c>
      <c r="G14" s="48" t="s">
        <v>225</v>
      </c>
      <c r="H14" s="77">
        <f>H7/H$10</f>
        <v>0.13431238591359856</v>
      </c>
      <c r="I14" s="69">
        <f t="shared" ref="I14:K14" si="5">I7/I$10</f>
        <v>0.25762992778501242</v>
      </c>
      <c r="J14" s="69">
        <f t="shared" si="5"/>
        <v>0.19379673465775851</v>
      </c>
      <c r="K14" s="69">
        <f t="shared" si="5"/>
        <v>0.16029524889569141</v>
      </c>
      <c r="M14">
        <v>6</v>
      </c>
      <c r="N14" s="56">
        <f>V8</f>
        <v>-4.1530549264700003</v>
      </c>
      <c r="O14" s="9">
        <f>B14/H14</f>
        <v>1.4479587682083084</v>
      </c>
      <c r="P14" s="9">
        <f>LN(O14)-LN(O$14)</f>
        <v>0</v>
      </c>
      <c r="Q14" s="55">
        <f>N14+P14</f>
        <v>-4.1530549264700003</v>
      </c>
      <c r="T14">
        <v>12</v>
      </c>
      <c r="U14" t="s">
        <v>78</v>
      </c>
      <c r="V14" s="54">
        <f>WorkLocationCoefficients!E22</f>
        <v>-0.93478838755000004</v>
      </c>
      <c r="W14" s="59">
        <f t="shared" si="0"/>
        <v>-0.93478838755000004</v>
      </c>
    </row>
    <row r="15" spans="1:23" x14ac:dyDescent="0.45">
      <c r="A15" s="48" t="s">
        <v>226</v>
      </c>
      <c r="B15" s="77">
        <f t="shared" ref="B15:E15" si="6">B8/B$10</f>
        <v>0.33155037706962648</v>
      </c>
      <c r="C15" s="69">
        <f t="shared" si="6"/>
        <v>0.36260056745095776</v>
      </c>
      <c r="D15" s="69">
        <f t="shared" si="6"/>
        <v>0.12973752094733501</v>
      </c>
      <c r="E15" s="69">
        <f t="shared" si="6"/>
        <v>0.33295543972784675</v>
      </c>
      <c r="G15" s="48" t="s">
        <v>226</v>
      </c>
      <c r="H15" s="77">
        <f t="shared" ref="H15:K15" si="7">H8/H$10</f>
        <v>0.31977017261072388</v>
      </c>
      <c r="I15" s="69">
        <f t="shared" si="7"/>
        <v>0.42654196756244822</v>
      </c>
      <c r="J15" s="69">
        <f t="shared" si="7"/>
        <v>0.42113180832706515</v>
      </c>
      <c r="K15" s="69">
        <f t="shared" si="7"/>
        <v>0.34673505317335068</v>
      </c>
      <c r="M15">
        <v>7</v>
      </c>
      <c r="N15" s="56">
        <f t="shared" ref="N15:N16" si="8">V9</f>
        <v>-1.68452606998</v>
      </c>
      <c r="O15" s="9">
        <f>B15/H15</f>
        <v>1.0368395975231979</v>
      </c>
      <c r="P15" s="9">
        <f t="shared" ref="P15" si="9">LN(O15)-LN(O$14)</f>
        <v>-0.33397758062171334</v>
      </c>
      <c r="Q15" s="55">
        <f>N15+P15</f>
        <v>-2.0185036506017133</v>
      </c>
      <c r="T15">
        <v>13</v>
      </c>
      <c r="U15" t="s">
        <v>79</v>
      </c>
      <c r="V15" s="54">
        <f>WorkLocationCoefficients!E23</f>
        <v>0.40796503771199999</v>
      </c>
      <c r="W15" s="59">
        <f t="shared" si="0"/>
        <v>0.40796503771199999</v>
      </c>
    </row>
    <row r="16" spans="1:23" x14ac:dyDescent="0.45">
      <c r="A16" s="66" t="s">
        <v>227</v>
      </c>
      <c r="B16" s="77">
        <f t="shared" ref="B16:E16" si="10">B9/B$10</f>
        <v>0.47397082606780044</v>
      </c>
      <c r="C16" s="69">
        <f t="shared" si="10"/>
        <v>0.50648010901171225</v>
      </c>
      <c r="D16" s="69">
        <f t="shared" si="10"/>
        <v>0.59934595810622815</v>
      </c>
      <c r="E16" s="69">
        <f t="shared" si="10"/>
        <v>0.48175420555187903</v>
      </c>
      <c r="G16" s="66" t="s">
        <v>227</v>
      </c>
      <c r="H16" s="77">
        <f t="shared" ref="H16:K16" si="11">H9/H$10</f>
        <v>0.54591744147567756</v>
      </c>
      <c r="I16" s="69">
        <f t="shared" si="11"/>
        <v>0.31582810465253935</v>
      </c>
      <c r="J16" s="69">
        <f t="shared" si="11"/>
        <v>0.38507145701517631</v>
      </c>
      <c r="K16" s="69">
        <f t="shared" si="11"/>
        <v>0.49296969793095791</v>
      </c>
      <c r="L16" s="43"/>
      <c r="M16" s="6">
        <v>8</v>
      </c>
      <c r="N16" s="57">
        <f t="shared" si="8"/>
        <v>0.13162300973999999</v>
      </c>
      <c r="O16" s="14">
        <f>B16/H16</f>
        <v>0.86820971461655971</v>
      </c>
      <c r="P16" s="14">
        <f>LN(O16)-LN(O15)-LN(O$14)</f>
        <v>-0.5476540433088507</v>
      </c>
      <c r="Q16" s="58">
        <f>N16+P16</f>
        <v>-0.41603103356885074</v>
      </c>
      <c r="T16">
        <v>14</v>
      </c>
      <c r="U16" t="s">
        <v>80</v>
      </c>
      <c r="V16" s="54">
        <f>WorkLocationCoefficients!E24</f>
        <v>-0.50293651045300003</v>
      </c>
      <c r="W16" s="59">
        <f t="shared" si="0"/>
        <v>-0.50293651045300003</v>
      </c>
    </row>
    <row r="17" spans="1:23" ht="14.65" thickBot="1" x14ac:dyDescent="0.5">
      <c r="A17" s="68" t="s">
        <v>4</v>
      </c>
      <c r="B17" s="70">
        <f t="shared" ref="B17" si="12">B10/B$10</f>
        <v>1</v>
      </c>
      <c r="C17" s="70">
        <f t="shared" ref="C17" si="13">SUM(C14:C16)</f>
        <v>0.99999999999999989</v>
      </c>
      <c r="D17" s="70">
        <f t="shared" ref="D17" si="14">SUM(D14:D16)</f>
        <v>1</v>
      </c>
      <c r="E17" s="70">
        <f t="shared" ref="E17" si="15">SUM(E14:E16)</f>
        <v>1</v>
      </c>
      <c r="F17" s="43"/>
      <c r="G17" s="68" t="s">
        <v>4</v>
      </c>
      <c r="H17" s="70">
        <f>SUM(H14:H16)</f>
        <v>1</v>
      </c>
      <c r="I17" s="70">
        <f t="shared" ref="I17" si="16">SUM(I14:I16)</f>
        <v>1</v>
      </c>
      <c r="J17" s="70">
        <f t="shared" ref="J17" si="17">SUM(J14:J16)</f>
        <v>1</v>
      </c>
      <c r="K17" s="70">
        <f t="shared" ref="K17" si="18">SUM(K14:K16)</f>
        <v>1</v>
      </c>
      <c r="L17" s="43"/>
      <c r="M17" s="43"/>
      <c r="N17" s="64"/>
      <c r="O17" s="65"/>
      <c r="P17" s="65"/>
      <c r="Q17" s="64"/>
      <c r="T17">
        <v>15</v>
      </c>
      <c r="U17" t="s">
        <v>81</v>
      </c>
      <c r="V17" s="54">
        <f>WorkLocationCoefficients!E25</f>
        <v>-1.61322160644</v>
      </c>
      <c r="W17" s="59">
        <f t="shared" si="0"/>
        <v>-1.61322160644</v>
      </c>
    </row>
    <row r="18" spans="1:23" x14ac:dyDescent="0.45">
      <c r="A18" s="62"/>
      <c r="B18" s="63"/>
      <c r="C18" s="63"/>
      <c r="D18" s="63"/>
      <c r="E18" s="63"/>
      <c r="F18" s="43"/>
      <c r="G18" s="62"/>
      <c r="H18" s="63"/>
      <c r="I18" s="63"/>
      <c r="J18" s="63"/>
      <c r="K18" s="63"/>
      <c r="L18" s="43"/>
      <c r="M18" s="43"/>
      <c r="N18" s="64"/>
      <c r="O18" s="65"/>
      <c r="P18" s="65"/>
      <c r="Q18" s="64"/>
      <c r="T18">
        <v>16</v>
      </c>
      <c r="U18" t="s">
        <v>82</v>
      </c>
      <c r="V18" s="54">
        <f>WorkLocationCoefficients!E26</f>
        <v>0.130749629122</v>
      </c>
      <c r="W18" s="59">
        <f t="shared" si="0"/>
        <v>0.130749629122</v>
      </c>
    </row>
    <row r="19" spans="1:23" x14ac:dyDescent="0.45">
      <c r="A19" s="62"/>
      <c r="B19" s="63"/>
      <c r="C19" s="63"/>
      <c r="D19" s="63"/>
      <c r="E19" s="63"/>
      <c r="F19" s="43"/>
      <c r="G19" s="62"/>
      <c r="H19" s="63"/>
      <c r="I19" s="63"/>
      <c r="J19" s="63"/>
      <c r="K19" s="63"/>
      <c r="L19" s="43"/>
      <c r="M19" s="43"/>
      <c r="N19" s="64"/>
      <c r="O19" s="65"/>
      <c r="P19" s="65"/>
      <c r="Q19" s="64"/>
      <c r="R19" s="7"/>
      <c r="T19">
        <v>17</v>
      </c>
      <c r="U19" t="s">
        <v>83</v>
      </c>
      <c r="V19" s="54">
        <f>WorkLocationCoefficients!E27</f>
        <v>8.4077289836199998E-2</v>
      </c>
      <c r="W19" s="59">
        <f t="shared" si="0"/>
        <v>8.4077289836199998E-2</v>
      </c>
    </row>
    <row r="20" spans="1:23" x14ac:dyDescent="0.45">
      <c r="A20" s="43"/>
      <c r="B20" s="63"/>
      <c r="C20" s="63"/>
      <c r="D20" s="63"/>
      <c r="E20" s="63"/>
      <c r="F20" s="43"/>
      <c r="G20" s="43"/>
      <c r="H20" s="63"/>
      <c r="I20" s="63"/>
      <c r="J20" s="63"/>
      <c r="K20" s="63"/>
      <c r="L20" s="43"/>
      <c r="M20" s="43"/>
      <c r="N20" s="43"/>
      <c r="O20" s="43"/>
      <c r="P20" s="43"/>
      <c r="Q20" s="43"/>
      <c r="T20">
        <v>18</v>
      </c>
      <c r="U20" t="s">
        <v>84</v>
      </c>
      <c r="V20" s="54">
        <f>WorkLocationCoefficients!E28</f>
        <v>0</v>
      </c>
      <c r="W20" s="59">
        <f t="shared" si="0"/>
        <v>0</v>
      </c>
    </row>
    <row r="21" spans="1:23" x14ac:dyDescent="0.45">
      <c r="T21">
        <v>19</v>
      </c>
      <c r="U21" t="s">
        <v>85</v>
      </c>
      <c r="V21" s="54">
        <f>WorkLocationCoefficients!E29</f>
        <v>0.106386053639</v>
      </c>
      <c r="W21" s="59">
        <f t="shared" si="0"/>
        <v>0.106386053639</v>
      </c>
    </row>
    <row r="22" spans="1:23" x14ac:dyDescent="0.45">
      <c r="N22" s="50"/>
      <c r="Q22" s="51"/>
      <c r="T22">
        <v>20</v>
      </c>
      <c r="U22" t="s">
        <v>86</v>
      </c>
      <c r="V22" s="54">
        <f>WorkLocationCoefficients!E30</f>
        <v>0.88087687792799996</v>
      </c>
      <c r="W22" s="59">
        <f t="shared" si="0"/>
        <v>0.88087687792799996</v>
      </c>
    </row>
    <row r="23" spans="1:23" x14ac:dyDescent="0.45">
      <c r="A23" s="61" t="s">
        <v>258</v>
      </c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T23">
        <v>21</v>
      </c>
      <c r="U23" t="s">
        <v>87</v>
      </c>
      <c r="V23" s="54">
        <f>WorkLocationCoefficients!E31</f>
        <v>-0.16458061134300001</v>
      </c>
      <c r="W23" s="59">
        <f t="shared" si="0"/>
        <v>-0.16458061134300001</v>
      </c>
    </row>
    <row r="24" spans="1:23" ht="14.65" thickBot="1" x14ac:dyDescent="0.5">
      <c r="A24" s="43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T24">
        <v>22</v>
      </c>
      <c r="U24" t="s">
        <v>88</v>
      </c>
      <c r="V24" s="54">
        <f>WorkLocationCoefficients!E32</f>
        <v>0.154182014038</v>
      </c>
      <c r="W24" s="59">
        <f t="shared" si="0"/>
        <v>0.154182014038</v>
      </c>
    </row>
    <row r="25" spans="1:23" x14ac:dyDescent="0.45">
      <c r="A25" s="5"/>
      <c r="B25" s="5" t="s">
        <v>268</v>
      </c>
      <c r="C25" s="71"/>
      <c r="D25" s="71"/>
      <c r="E25" s="71"/>
      <c r="G25" s="5"/>
      <c r="H25" s="5" t="s">
        <v>268</v>
      </c>
      <c r="I25" s="71"/>
      <c r="J25" s="71"/>
      <c r="K25" s="71"/>
      <c r="M25" s="73"/>
      <c r="N25" s="73"/>
      <c r="O25" s="73"/>
      <c r="P25" s="73"/>
      <c r="Q25" s="73"/>
      <c r="T25">
        <v>23</v>
      </c>
      <c r="U25" t="s">
        <v>89</v>
      </c>
      <c r="V25" s="54">
        <f>WorkLocationCoefficients!E33</f>
        <v>4.79448884421E-2</v>
      </c>
      <c r="W25" s="59">
        <f t="shared" si="0"/>
        <v>4.79448884421E-2</v>
      </c>
    </row>
    <row r="26" spans="1:23" x14ac:dyDescent="0.45">
      <c r="A26" s="67" t="s">
        <v>228</v>
      </c>
      <c r="B26" s="90">
        <f>WorkAtHome!E14</f>
        <v>224.3939</v>
      </c>
      <c r="C26" s="74"/>
      <c r="D26" s="74"/>
      <c r="E26" s="74"/>
      <c r="G26" s="67" t="s">
        <v>228</v>
      </c>
      <c r="H26" s="90">
        <f>WorkAtHome!L14</f>
        <v>1866</v>
      </c>
      <c r="I26" s="74"/>
      <c r="J26" s="74"/>
      <c r="K26" s="74"/>
      <c r="L26" s="43"/>
      <c r="M26" s="43"/>
      <c r="N26" s="64"/>
      <c r="O26" s="65"/>
      <c r="P26" s="65"/>
      <c r="Q26" s="64"/>
      <c r="T26">
        <v>24</v>
      </c>
      <c r="U26" t="s">
        <v>90</v>
      </c>
      <c r="V26" s="54">
        <f>WorkLocationCoefficients!E34</f>
        <v>6.4843520043099998E-2</v>
      </c>
      <c r="W26" s="59">
        <f t="shared" si="0"/>
        <v>6.4843520043099998E-2</v>
      </c>
    </row>
    <row r="27" spans="1:23" ht="14.65" thickBot="1" x14ac:dyDescent="0.5">
      <c r="A27" s="68" t="s">
        <v>4</v>
      </c>
      <c r="B27" s="81">
        <f>WorkAtHome!E25</f>
        <v>213765.2384</v>
      </c>
      <c r="G27" s="68" t="s">
        <v>4</v>
      </c>
      <c r="H27" s="81">
        <f>WorkAtHome!L25</f>
        <v>252194</v>
      </c>
      <c r="I27" s="7"/>
      <c r="J27" s="7"/>
      <c r="K27" s="7"/>
      <c r="M27" s="43"/>
      <c r="N27" s="43"/>
      <c r="O27" s="43"/>
      <c r="P27" s="43"/>
      <c r="Q27" s="43"/>
      <c r="T27">
        <v>25</v>
      </c>
      <c r="U27" t="s">
        <v>91</v>
      </c>
      <c r="V27" s="54">
        <f>WorkLocationCoefficients!E35</f>
        <v>0.15272053169499999</v>
      </c>
      <c r="W27" s="59">
        <f t="shared" si="0"/>
        <v>0.15272053169499999</v>
      </c>
    </row>
    <row r="28" spans="1:23" x14ac:dyDescent="0.45">
      <c r="T28">
        <v>26</v>
      </c>
      <c r="U28" t="s">
        <v>92</v>
      </c>
      <c r="V28" s="54">
        <f>WorkLocationCoefficients!E36</f>
        <v>7.2028590735099998E-2</v>
      </c>
      <c r="W28" s="59">
        <f t="shared" si="0"/>
        <v>7.2028590735099998E-2</v>
      </c>
    </row>
    <row r="29" spans="1:23" ht="14.65" thickBot="1" x14ac:dyDescent="0.5">
      <c r="A29" t="s">
        <v>267</v>
      </c>
      <c r="T29">
        <v>27</v>
      </c>
      <c r="U29" t="s">
        <v>93</v>
      </c>
      <c r="V29" s="54">
        <f>WorkLocationCoefficients!E37</f>
        <v>-0.27934224041799999</v>
      </c>
      <c r="W29" s="59">
        <f t="shared" si="0"/>
        <v>-0.27934224041799999</v>
      </c>
    </row>
    <row r="30" spans="1:23" x14ac:dyDescent="0.45">
      <c r="A30" s="5"/>
      <c r="B30" s="5" t="s">
        <v>268</v>
      </c>
      <c r="C30" s="71"/>
      <c r="D30" s="71"/>
      <c r="E30" s="71"/>
      <c r="G30" s="5"/>
      <c r="H30" s="5" t="s">
        <v>268</v>
      </c>
      <c r="I30" s="71"/>
      <c r="J30" s="71"/>
      <c r="K30" s="71"/>
      <c r="M30" s="5" t="s">
        <v>238</v>
      </c>
      <c r="N30" s="5" t="s">
        <v>234</v>
      </c>
      <c r="O30" s="5" t="s">
        <v>232</v>
      </c>
      <c r="P30" s="5" t="s">
        <v>233</v>
      </c>
      <c r="Q30" s="5" t="s">
        <v>235</v>
      </c>
      <c r="T30">
        <v>28</v>
      </c>
      <c r="U30" t="s">
        <v>94</v>
      </c>
      <c r="V30" s="54">
        <f>WorkLocationCoefficients!E38</f>
        <v>4.3626229225700003E-2</v>
      </c>
      <c r="W30" s="59">
        <f t="shared" si="0"/>
        <v>4.3626229225700003E-2</v>
      </c>
    </row>
    <row r="31" spans="1:23" x14ac:dyDescent="0.45">
      <c r="A31" s="67" t="s">
        <v>228</v>
      </c>
      <c r="B31" s="76">
        <f>B26/B27</f>
        <v>1.0497211879702888E-3</v>
      </c>
      <c r="C31" s="74"/>
      <c r="D31" s="74"/>
      <c r="E31" s="74"/>
      <c r="G31" s="67" t="s">
        <v>228</v>
      </c>
      <c r="H31" s="76">
        <f>H26/H27</f>
        <v>7.3990657985519084E-3</v>
      </c>
      <c r="I31" s="74"/>
      <c r="J31" s="74"/>
      <c r="K31" s="74"/>
      <c r="M31" s="6">
        <v>41</v>
      </c>
      <c r="N31" s="57">
        <f>V39</f>
        <v>-3.8051604915000001</v>
      </c>
      <c r="O31" s="14">
        <f>B31/H31</f>
        <v>0.14187212501553004</v>
      </c>
      <c r="P31" s="14">
        <f>LN(O31)</f>
        <v>-1.9528291551595096</v>
      </c>
      <c r="Q31" s="58">
        <f t="shared" ref="Q31" si="19">N31+P31</f>
        <v>-5.7579896466595102</v>
      </c>
      <c r="T31">
        <v>29</v>
      </c>
      <c r="U31" t="s">
        <v>95</v>
      </c>
      <c r="V31" s="54">
        <f>WorkLocationCoefficients!E39</f>
        <v>-8.7886819411100006E-2</v>
      </c>
      <c r="W31" s="59">
        <f t="shared" si="0"/>
        <v>-8.7886819411100006E-2</v>
      </c>
    </row>
    <row r="32" spans="1:23" ht="14.65" thickBot="1" x14ac:dyDescent="0.5">
      <c r="A32" s="68" t="s">
        <v>4</v>
      </c>
      <c r="B32" s="75">
        <f>B27/B27</f>
        <v>1</v>
      </c>
      <c r="G32" s="68" t="s">
        <v>4</v>
      </c>
      <c r="H32" s="75">
        <f>H27/H27</f>
        <v>1</v>
      </c>
      <c r="T32">
        <v>30</v>
      </c>
      <c r="U32" t="s">
        <v>96</v>
      </c>
      <c r="V32" s="54">
        <f>WorkLocationCoefficients!E40</f>
        <v>-4.2894941477000001E-2</v>
      </c>
      <c r="W32" s="59">
        <f t="shared" si="0"/>
        <v>-4.2894941477000001E-2</v>
      </c>
    </row>
    <row r="33" spans="20:23" x14ac:dyDescent="0.45">
      <c r="T33">
        <v>31</v>
      </c>
      <c r="U33" t="s">
        <v>97</v>
      </c>
      <c r="V33" s="54">
        <f>WorkLocationCoefficients!E41</f>
        <v>-0.13045579928000001</v>
      </c>
      <c r="W33" s="59">
        <f t="shared" si="0"/>
        <v>-0.13045579928000001</v>
      </c>
    </row>
    <row r="34" spans="20:23" x14ac:dyDescent="0.45">
      <c r="T34">
        <v>32</v>
      </c>
      <c r="U34" t="s">
        <v>98</v>
      </c>
      <c r="V34" s="54">
        <f>WorkLocationCoefficients!E42</f>
        <v>0.18945088644899999</v>
      </c>
      <c r="W34" s="59">
        <f t="shared" si="0"/>
        <v>0.18945088644899999</v>
      </c>
    </row>
    <row r="35" spans="20:23" x14ac:dyDescent="0.45">
      <c r="T35">
        <v>33</v>
      </c>
      <c r="U35" t="s">
        <v>99</v>
      </c>
      <c r="V35" s="54">
        <f>WorkLocationCoefficients!E43</f>
        <v>-0.179523169776</v>
      </c>
      <c r="W35" s="59">
        <f t="shared" si="0"/>
        <v>-0.179523169776</v>
      </c>
    </row>
    <row r="36" spans="20:23" x14ac:dyDescent="0.45">
      <c r="T36">
        <v>34</v>
      </c>
      <c r="U36" t="s">
        <v>100</v>
      </c>
      <c r="V36" s="54">
        <f>WorkLocationCoefficients!E44</f>
        <v>0.17233347539499999</v>
      </c>
      <c r="W36" s="59">
        <f t="shared" si="0"/>
        <v>0.17233347539499999</v>
      </c>
    </row>
    <row r="37" spans="20:23" x14ac:dyDescent="0.45">
      <c r="T37">
        <v>35</v>
      </c>
      <c r="U37" t="s">
        <v>101</v>
      </c>
      <c r="V37" s="54">
        <f>WorkLocationCoefficients!E45</f>
        <v>-0.194698386872</v>
      </c>
      <c r="W37" s="59">
        <f t="shared" si="0"/>
        <v>-0.194698386872</v>
      </c>
    </row>
    <row r="38" spans="20:23" x14ac:dyDescent="0.45">
      <c r="T38">
        <v>36</v>
      </c>
      <c r="U38" t="s">
        <v>102</v>
      </c>
      <c r="V38" s="54">
        <f>WorkLocationCoefficients!E46</f>
        <v>0.38785322122799998</v>
      </c>
      <c r="W38" s="59">
        <f t="shared" si="0"/>
        <v>0.38785322122799998</v>
      </c>
    </row>
    <row r="39" spans="20:23" x14ac:dyDescent="0.45">
      <c r="T39" s="53">
        <v>41</v>
      </c>
      <c r="U39" s="53" t="s">
        <v>103</v>
      </c>
      <c r="V39" s="55">
        <f>WorkLocationCoefficients!E47</f>
        <v>-3.8051604915000001</v>
      </c>
      <c r="W39" s="59">
        <f>Q31</f>
        <v>-5.7579896466595102</v>
      </c>
    </row>
    <row r="40" spans="20:23" x14ac:dyDescent="0.45">
      <c r="T40">
        <v>42</v>
      </c>
      <c r="U40" t="s">
        <v>105</v>
      </c>
      <c r="V40" s="54">
        <f>WorkLocationCoefficients!E48</f>
        <v>5.07828619993</v>
      </c>
      <c r="W40" s="59">
        <f t="shared" si="0"/>
        <v>5.07828619993</v>
      </c>
    </row>
    <row r="41" spans="20:23" x14ac:dyDescent="0.45">
      <c r="T41">
        <v>43</v>
      </c>
      <c r="U41" t="s">
        <v>106</v>
      </c>
      <c r="V41" s="54">
        <f>WorkLocationCoefficients!E49</f>
        <v>-3.0390882271000002</v>
      </c>
      <c r="W41" s="59">
        <f t="shared" si="0"/>
        <v>-3.0390882271000002</v>
      </c>
    </row>
    <row r="42" spans="20:23" x14ac:dyDescent="0.45">
      <c r="T42">
        <v>44</v>
      </c>
      <c r="U42" t="s">
        <v>107</v>
      </c>
      <c r="V42" s="54">
        <f>WorkLocationCoefficients!E50</f>
        <v>-2.3320026601800001</v>
      </c>
      <c r="W42" s="59">
        <f t="shared" si="0"/>
        <v>-2.3320026601800001</v>
      </c>
    </row>
    <row r="43" spans="20:23" x14ac:dyDescent="0.45">
      <c r="T43">
        <v>50</v>
      </c>
      <c r="U43" t="s">
        <v>108</v>
      </c>
      <c r="V43" s="54">
        <f>WorkLocationCoefficients!E51</f>
        <v>0.33566647407</v>
      </c>
      <c r="W43" s="59">
        <f t="shared" si="0"/>
        <v>0.33566647407</v>
      </c>
    </row>
    <row r="44" spans="20:23" x14ac:dyDescent="0.45">
      <c r="T44">
        <v>51</v>
      </c>
      <c r="U44" t="s">
        <v>109</v>
      </c>
      <c r="V44" s="54">
        <f>WorkLocationCoefficients!E52</f>
        <v>-0.78911507665199998</v>
      </c>
      <c r="W44" s="59">
        <f t="shared" si="0"/>
        <v>-0.78911507665199998</v>
      </c>
    </row>
    <row r="45" spans="20:23" x14ac:dyDescent="0.45">
      <c r="T45">
        <v>52</v>
      </c>
      <c r="U45" t="s">
        <v>110</v>
      </c>
      <c r="V45" s="54">
        <f>WorkLocationCoefficients!E53</f>
        <v>0.56564055394500001</v>
      </c>
      <c r="W45" s="59">
        <f t="shared" si="0"/>
        <v>0.56564055394500001</v>
      </c>
    </row>
    <row r="46" spans="20:23" x14ac:dyDescent="0.45">
      <c r="T46">
        <v>53</v>
      </c>
      <c r="U46" t="s">
        <v>111</v>
      </c>
      <c r="V46" s="54">
        <f>WorkLocationCoefficients!E54</f>
        <v>-1.85416848242</v>
      </c>
      <c r="W46" s="59">
        <f t="shared" si="0"/>
        <v>-1.85416848242</v>
      </c>
    </row>
    <row r="47" spans="20:23" x14ac:dyDescent="0.45">
      <c r="T47">
        <v>54</v>
      </c>
      <c r="U47" t="s">
        <v>112</v>
      </c>
      <c r="V47" s="54">
        <f>WorkLocationCoefficients!E55</f>
        <v>0</v>
      </c>
      <c r="W47" s="59">
        <f t="shared" si="0"/>
        <v>0</v>
      </c>
    </row>
    <row r="48" spans="20:23" x14ac:dyDescent="0.45">
      <c r="T48">
        <v>55</v>
      </c>
      <c r="U48" t="s">
        <v>113</v>
      </c>
      <c r="V48" s="54">
        <f>WorkLocationCoefficients!E56</f>
        <v>-1.1156286956100001</v>
      </c>
      <c r="W48" s="59">
        <f t="shared" si="0"/>
        <v>-1.1156286956100001</v>
      </c>
    </row>
    <row r="49" spans="20:23" x14ac:dyDescent="0.45">
      <c r="T49">
        <v>56</v>
      </c>
      <c r="U49" t="s">
        <v>114</v>
      </c>
      <c r="V49" s="54">
        <f>WorkLocationCoefficients!E57</f>
        <v>-0.81792869186600003</v>
      </c>
      <c r="W49" s="59">
        <f t="shared" si="0"/>
        <v>-0.81792869186600003</v>
      </c>
    </row>
    <row r="50" spans="20:23" x14ac:dyDescent="0.45">
      <c r="T50">
        <v>57</v>
      </c>
      <c r="U50" t="s">
        <v>115</v>
      </c>
      <c r="V50" s="54">
        <f>WorkLocationCoefficients!E58</f>
        <v>-1.04729487823</v>
      </c>
      <c r="W50" s="59">
        <f t="shared" si="0"/>
        <v>-1.04729487823</v>
      </c>
    </row>
    <row r="51" spans="20:23" x14ac:dyDescent="0.45">
      <c r="T51">
        <v>58</v>
      </c>
      <c r="U51" t="s">
        <v>116</v>
      </c>
      <c r="V51" s="54">
        <f>WorkLocationCoefficients!E59</f>
        <v>-2.0228517391</v>
      </c>
      <c r="W51" s="59">
        <f t="shared" si="0"/>
        <v>-2.0228517391</v>
      </c>
    </row>
    <row r="52" spans="20:23" x14ac:dyDescent="0.45">
      <c r="T52">
        <v>59</v>
      </c>
      <c r="U52" t="s">
        <v>117</v>
      </c>
      <c r="V52" s="54">
        <f>WorkLocationCoefficients!E60</f>
        <v>-1.2945321250099999</v>
      </c>
      <c r="W52" s="59">
        <f t="shared" si="0"/>
        <v>-1.2945321250099999</v>
      </c>
    </row>
    <row r="53" spans="20:23" x14ac:dyDescent="0.45">
      <c r="T53">
        <v>60</v>
      </c>
      <c r="U53" t="s">
        <v>118</v>
      </c>
      <c r="V53" s="54">
        <f>WorkLocationCoefficients!E61</f>
        <v>-0.66178028021599999</v>
      </c>
      <c r="W53" s="59">
        <f t="shared" si="0"/>
        <v>-0.66178028021599999</v>
      </c>
    </row>
    <row r="54" spans="20:23" x14ac:dyDescent="0.45">
      <c r="T54">
        <v>61</v>
      </c>
      <c r="U54" t="s">
        <v>119</v>
      </c>
      <c r="V54" s="54">
        <f>WorkLocationCoefficients!E62</f>
        <v>-0.55504741134900004</v>
      </c>
      <c r="W54" s="59">
        <f t="shared" si="0"/>
        <v>-0.55504741134900004</v>
      </c>
    </row>
    <row r="55" spans="20:23" x14ac:dyDescent="0.45">
      <c r="T55">
        <v>62</v>
      </c>
      <c r="U55" t="s">
        <v>120</v>
      </c>
      <c r="V55" s="54">
        <f>WorkLocationCoefficients!E63</f>
        <v>-1.7449233454799999</v>
      </c>
      <c r="W55" s="59">
        <f t="shared" si="0"/>
        <v>-1.7449233454799999</v>
      </c>
    </row>
    <row r="56" spans="20:23" x14ac:dyDescent="0.45">
      <c r="T56">
        <v>63</v>
      </c>
      <c r="U56" t="s">
        <v>121</v>
      </c>
      <c r="V56" s="54">
        <f>WorkLocationCoefficients!E64</f>
        <v>1.1995398853399999</v>
      </c>
      <c r="W56" s="59">
        <f t="shared" si="0"/>
        <v>1.1995398853399999</v>
      </c>
    </row>
    <row r="57" spans="20:23" x14ac:dyDescent="0.45">
      <c r="T57">
        <v>64</v>
      </c>
      <c r="U57" t="s">
        <v>122</v>
      </c>
      <c r="V57" s="54">
        <f>WorkLocationCoefficients!E65</f>
        <v>0.19542046398099999</v>
      </c>
      <c r="W57" s="59">
        <f t="shared" si="0"/>
        <v>0.19542046398099999</v>
      </c>
    </row>
    <row r="58" spans="20:23" x14ac:dyDescent="0.45">
      <c r="T58">
        <v>65</v>
      </c>
      <c r="U58" t="s">
        <v>123</v>
      </c>
      <c r="V58" s="54">
        <f>WorkLocationCoefficients!E66</f>
        <v>-0.90594458676599998</v>
      </c>
      <c r="W58" s="59">
        <f t="shared" si="0"/>
        <v>-0.90594458676599998</v>
      </c>
    </row>
    <row r="59" spans="20:23" x14ac:dyDescent="0.45">
      <c r="T59">
        <v>66</v>
      </c>
      <c r="U59" t="s">
        <v>124</v>
      </c>
      <c r="V59" s="54">
        <f>WorkLocationCoefficients!E67</f>
        <v>-2.05104130438</v>
      </c>
      <c r="W59" s="59">
        <f t="shared" si="0"/>
        <v>-2.05104130438</v>
      </c>
    </row>
    <row r="60" spans="20:23" x14ac:dyDescent="0.45">
      <c r="T60">
        <v>67</v>
      </c>
      <c r="U60" t="s">
        <v>125</v>
      </c>
      <c r="V60" s="54">
        <f>WorkLocationCoefficients!E68</f>
        <v>-2.2381608455899999</v>
      </c>
      <c r="W60" s="59">
        <f t="shared" si="0"/>
        <v>-2.2381608455899999</v>
      </c>
    </row>
    <row r="61" spans="20:23" x14ac:dyDescent="0.45">
      <c r="T61">
        <v>68</v>
      </c>
      <c r="U61" t="s">
        <v>126</v>
      </c>
      <c r="V61" s="54">
        <f>WorkLocationCoefficients!E69</f>
        <v>-0.40946320528300001</v>
      </c>
      <c r="W61" s="59">
        <f t="shared" si="0"/>
        <v>-0.40946320528300001</v>
      </c>
    </row>
    <row r="62" spans="20:23" x14ac:dyDescent="0.45">
      <c r="T62">
        <v>69</v>
      </c>
      <c r="U62" t="s">
        <v>127</v>
      </c>
      <c r="V62" s="54">
        <f>WorkLocationCoefficients!E70</f>
        <v>-1.1700902309500001</v>
      </c>
      <c r="W62" s="59">
        <f t="shared" si="0"/>
        <v>-1.1700902309500001</v>
      </c>
    </row>
    <row r="63" spans="20:23" x14ac:dyDescent="0.45">
      <c r="T63">
        <v>70</v>
      </c>
      <c r="U63" t="s">
        <v>128</v>
      </c>
      <c r="V63" s="54">
        <f>WorkLocationCoefficients!E71</f>
        <v>1.8412445021999999</v>
      </c>
      <c r="W63" s="59">
        <f t="shared" si="0"/>
        <v>1.8412445021999999</v>
      </c>
    </row>
    <row r="64" spans="20:23" x14ac:dyDescent="0.45">
      <c r="T64">
        <v>71</v>
      </c>
      <c r="U64" t="s">
        <v>129</v>
      </c>
      <c r="V64" s="54">
        <f>WorkLocationCoefficients!E72</f>
        <v>0.71619685052500004</v>
      </c>
      <c r="W64" s="59">
        <f t="shared" si="0"/>
        <v>0.71619685052500004</v>
      </c>
    </row>
    <row r="65" spans="20:23" x14ac:dyDescent="0.45">
      <c r="T65">
        <v>72</v>
      </c>
      <c r="U65" t="s">
        <v>130</v>
      </c>
      <c r="V65" s="54">
        <f>WorkLocationCoefficients!E73</f>
        <v>-0.101060642888</v>
      </c>
      <c r="W65" s="59">
        <f t="shared" si="0"/>
        <v>-0.101060642888</v>
      </c>
    </row>
    <row r="66" spans="20:23" x14ac:dyDescent="0.45">
      <c r="T66">
        <v>73</v>
      </c>
      <c r="U66" t="s">
        <v>131</v>
      </c>
      <c r="V66" s="54">
        <f>WorkLocationCoefficients!E74</f>
        <v>-0.34132571646100002</v>
      </c>
      <c r="W66" s="59">
        <f t="shared" si="0"/>
        <v>-0.34132571646100002</v>
      </c>
    </row>
    <row r="67" spans="20:23" x14ac:dyDescent="0.45">
      <c r="T67">
        <v>74</v>
      </c>
      <c r="U67" t="s">
        <v>132</v>
      </c>
      <c r="V67" s="54">
        <f>WorkLocationCoefficients!E75</f>
        <v>1.0486549950899999</v>
      </c>
      <c r="W67" s="59">
        <f t="shared" si="0"/>
        <v>1.0486549950899999</v>
      </c>
    </row>
    <row r="68" spans="20:23" x14ac:dyDescent="0.45">
      <c r="T68">
        <v>75</v>
      </c>
      <c r="U68" t="s">
        <v>133</v>
      </c>
      <c r="V68" s="54">
        <f>WorkLocationCoefficients!E76</f>
        <v>-30</v>
      </c>
      <c r="W68" s="59">
        <f t="shared" ref="W68:W75" si="20">V68</f>
        <v>-30</v>
      </c>
    </row>
    <row r="69" spans="20:23" x14ac:dyDescent="0.45">
      <c r="T69">
        <v>76</v>
      </c>
      <c r="U69" t="s">
        <v>134</v>
      </c>
      <c r="V69" s="54">
        <f>WorkLocationCoefficients!E77</f>
        <v>0.91468797064200003</v>
      </c>
      <c r="W69" s="59">
        <f t="shared" si="20"/>
        <v>0.91468797064200003</v>
      </c>
    </row>
    <row r="70" spans="20:23" x14ac:dyDescent="0.45">
      <c r="T70">
        <v>77</v>
      </c>
      <c r="U70" t="s">
        <v>135</v>
      </c>
      <c r="V70" s="54">
        <f>WorkLocationCoefficients!E78</f>
        <v>-1.1830909132</v>
      </c>
      <c r="W70" s="59">
        <f t="shared" si="20"/>
        <v>-1.1830909132</v>
      </c>
    </row>
    <row r="71" spans="20:23" x14ac:dyDescent="0.45">
      <c r="T71">
        <v>78</v>
      </c>
      <c r="U71" t="s">
        <v>136</v>
      </c>
      <c r="V71" s="54">
        <f>WorkLocationCoefficients!E79</f>
        <v>1.4576625009499999</v>
      </c>
      <c r="W71" s="59">
        <f t="shared" si="20"/>
        <v>1.4576625009499999</v>
      </c>
    </row>
    <row r="72" spans="20:23" x14ac:dyDescent="0.45">
      <c r="T72">
        <v>79</v>
      </c>
      <c r="U72" t="s">
        <v>137</v>
      </c>
      <c r="V72" s="54">
        <f>WorkLocationCoefficients!E80</f>
        <v>-1.62636517084</v>
      </c>
      <c r="W72" s="59">
        <f t="shared" si="20"/>
        <v>-1.62636517084</v>
      </c>
    </row>
    <row r="73" spans="20:23" x14ac:dyDescent="0.45">
      <c r="T73">
        <v>80</v>
      </c>
      <c r="U73" t="s">
        <v>138</v>
      </c>
      <c r="V73" s="54">
        <f>WorkLocationCoefficients!E81</f>
        <v>0</v>
      </c>
      <c r="W73" s="59">
        <f t="shared" si="20"/>
        <v>0</v>
      </c>
    </row>
    <row r="74" spans="20:23" x14ac:dyDescent="0.45">
      <c r="T74">
        <v>90</v>
      </c>
      <c r="U74" t="s">
        <v>139</v>
      </c>
      <c r="V74" s="54">
        <f>WorkLocationCoefficients!E82</f>
        <v>0.196143079927</v>
      </c>
      <c r="W74" s="59">
        <f t="shared" si="20"/>
        <v>0.196143079927</v>
      </c>
    </row>
    <row r="75" spans="20:23" x14ac:dyDescent="0.45">
      <c r="T75">
        <v>98</v>
      </c>
      <c r="U75" t="s">
        <v>140</v>
      </c>
      <c r="V75" s="54">
        <f>WorkLocationCoefficients!E83</f>
        <v>0</v>
      </c>
      <c r="W75" s="59">
        <f t="shared" si="20"/>
        <v>0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35</vt:i4>
      </vt:variant>
    </vt:vector>
  </HeadingPairs>
  <TitlesOfParts>
    <vt:vector size="44" baseType="lpstr">
      <vt:lpstr>TLFD</vt:lpstr>
      <vt:lpstr>TDFD</vt:lpstr>
      <vt:lpstr>TDFD_Agg</vt:lpstr>
      <vt:lpstr>County_Flow</vt:lpstr>
      <vt:lpstr>WorkAtHome</vt:lpstr>
      <vt:lpstr>Documentation</vt:lpstr>
      <vt:lpstr>CoeffDef</vt:lpstr>
      <vt:lpstr>WorkLocationCoefficients</vt:lpstr>
      <vt:lpstr>calibration</vt:lpstr>
      <vt:lpstr>athm</vt:lpstr>
      <vt:lpstr>avgdist</vt:lpstr>
      <vt:lpstr>avgtime</vt:lpstr>
      <vt:lpstr>flows</vt:lpstr>
      <vt:lpstr>out_1</vt:lpstr>
      <vt:lpstr>out_10</vt:lpstr>
      <vt:lpstr>out_11</vt:lpstr>
      <vt:lpstr>out_12</vt:lpstr>
      <vt:lpstr>out_13</vt:lpstr>
      <vt:lpstr>out_14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out11</vt:lpstr>
      <vt:lpstr>out12</vt:lpstr>
      <vt:lpstr>out13</vt:lpstr>
      <vt:lpstr>out14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tot</vt:lpstr>
      <vt:lpstr>Wrk_dist</vt:lpstr>
      <vt:lpstr>Wrk_time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Dong, Hu</cp:lastModifiedBy>
  <dcterms:modified xsi:type="dcterms:W3CDTF">2022-01-21T23:36:36Z</dcterms:modified>
</cp:coreProperties>
</file>