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baseyear\BKR0V1-02\daysim_summaries\bkrcast_inbkr\output\"/>
    </mc:Choice>
  </mc:AlternateContent>
  <xr:revisionPtr revIDLastSave="0" documentId="13_ncr:1_{76EC9AD3-01C8-4552-9F55-12FB42D8FCF3}" xr6:coauthVersionLast="41" xr6:coauthVersionMax="41" xr10:uidLastSave="{00000000-0000-0000-0000-000000000000}"/>
  <bookViews>
    <workbookView xWindow="25440" yWindow="1950" windowWidth="18900" windowHeight="11055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WorkbasedSubtourGenerationCoeff" sheetId="25" r:id="rId16"/>
    <sheet name="calibration" sheetId="24" r:id="rId17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">output_NHTS!$O$262:$V$269</definedName>
    <definedName name="out_10">output!$O$168:$U$174</definedName>
    <definedName name="out_11">output_NHTS!$O$178:$V$185</definedName>
    <definedName name="out_12">output!$O$178:$V$185</definedName>
    <definedName name="out_13">output_NHTS!$O$189:$R$196</definedName>
    <definedName name="out_14">output!$O$189:$R$196</definedName>
    <definedName name="out_15">output_NHTS!$O$200:$R$207</definedName>
    <definedName name="out_16">output!$O$200:$R$207</definedName>
    <definedName name="out_17">output_NHTS!$O$211:$U$218</definedName>
    <definedName name="out_18">output!$O$211:$U$218</definedName>
    <definedName name="out_19">output_NHTS!$O$80:$V$83</definedName>
    <definedName name="out_2">output!$O$262:$V$269</definedName>
    <definedName name="out_20">output!$O$80:$V$83</definedName>
    <definedName name="out_21">output_NHTS!$O$87:$V$90</definedName>
    <definedName name="out_22">output!$O$87:$V$90</definedName>
    <definedName name="out_23">output_NHTS!$O$94:$V$97</definedName>
    <definedName name="out_24">output!$O$94:$V$97</definedName>
    <definedName name="out_25">output_NHTS!$O$101:$V$104</definedName>
    <definedName name="out_26">output!$O$101:$V$104</definedName>
    <definedName name="out_27">output_NHTS!$O$108:$V$111</definedName>
    <definedName name="out_28">output!$O$108:$V$111</definedName>
    <definedName name="out_29">output_NHTS!$O$115:$V$118</definedName>
    <definedName name="out_3">output_NHTS!$O$273:$R$280</definedName>
    <definedName name="out_30">output!$O$115:$V$118</definedName>
    <definedName name="out_31">output_NHTS!$O$122:$V$125</definedName>
    <definedName name="out_32">output!$O$122:$V$125</definedName>
    <definedName name="out_33">output_NHTS!$O$222:$V$222</definedName>
    <definedName name="out_34">output!$O$222:$V$222</definedName>
    <definedName name="out_35">output_NHTS!$O$223:$V$223</definedName>
    <definedName name="out_36">output!$O$223:$V$223</definedName>
    <definedName name="out_37">output_NHTS!$O$224:$V$224</definedName>
    <definedName name="out_38">output!$O$224:$V$224</definedName>
    <definedName name="out_39">output_NHTS!$O$225:$V$225</definedName>
    <definedName name="out_4">output!$O$273:$R$280</definedName>
    <definedName name="out_40">output!$O$225:$V$225</definedName>
    <definedName name="out_41">output_NHTS!$O$226:$V$226</definedName>
    <definedName name="out_42">output!$O$226:$V$226</definedName>
    <definedName name="out_43">output_NHTS!$O$227:$V$227</definedName>
    <definedName name="out_44">output!$O$227:$V$227</definedName>
    <definedName name="out_45">output_NHTS!$O$228:$V$228</definedName>
    <definedName name="out_46">output!$O$228:$V$228</definedName>
    <definedName name="out_47">output_NHTS!$O$232:$R$232</definedName>
    <definedName name="out_48">output!$O$232:$R$232</definedName>
    <definedName name="out_49">output_NHTS!$O$233:$R$233</definedName>
    <definedName name="out_5">output_NHTS!$O$284:$R$291</definedName>
    <definedName name="out_50">output!$O$233:$R$233</definedName>
    <definedName name="out_51">output_NHTS!$O$234:$R$234</definedName>
    <definedName name="out_52">output!$O$234:$R$234</definedName>
    <definedName name="out_53">output_NHTS!$O$235:$R$235</definedName>
    <definedName name="out_54">output!$O$235:$R$235</definedName>
    <definedName name="out_55">output_NHTS!$O$236:$R$236</definedName>
    <definedName name="out_56">output!$O$236:$R$236</definedName>
    <definedName name="out_57">output_NHTS!$O$237:$R$237</definedName>
    <definedName name="out_58">output!$O$237:$R$237</definedName>
    <definedName name="out_59">output_NHTS!$O$238:$R$238</definedName>
    <definedName name="out_6">output!$O$284:$R$291</definedName>
    <definedName name="out_60">output!$O$238:$R$238</definedName>
    <definedName name="out_61">output_NHTS!$O$242:$R$242</definedName>
    <definedName name="out_62">output!$O$242:$R$242</definedName>
    <definedName name="out_63">output_NHTS!$O$243:$R$243</definedName>
    <definedName name="out_64">output!$O$243:$R$243</definedName>
    <definedName name="out_65">output_NHTS!$O$244:$R$244</definedName>
    <definedName name="out_66">output!$O$244:$R$244</definedName>
    <definedName name="out_67">output_NHTS!$O$245:$R$245</definedName>
    <definedName name="out_68">output!$O$245:$R$245</definedName>
    <definedName name="out_69">output_NHTS!$O$246:$R$246</definedName>
    <definedName name="out_7">output_NHTS!$O$295:$U$302</definedName>
    <definedName name="out_70">output!$O$246:$R$246</definedName>
    <definedName name="out_71">output_NHTS!$O$247:$R$247</definedName>
    <definedName name="out_72">output!$O$247:$R$247</definedName>
    <definedName name="out_73">output_NHTS!$O$248:$R$248</definedName>
    <definedName name="out_74">output!$O$248:$R$248</definedName>
    <definedName name="out_75">output_NHTS!$O$252:$U$252</definedName>
    <definedName name="out_76">output!$O$252:$U$252</definedName>
    <definedName name="out_77">output_NHTS!$O$253:$U$253</definedName>
    <definedName name="out_78">output!$O$253:$U$253</definedName>
    <definedName name="out_79">output_NHTS!$O$254:$U$254</definedName>
    <definedName name="out_8">output!$O$295:$U$302</definedName>
    <definedName name="out_80">output!$O$254:$U$254</definedName>
    <definedName name="out_81">output_NHTS!$O$255:$U$255</definedName>
    <definedName name="out_82">output!$O$255:$U$255</definedName>
    <definedName name="out_83">output_NHTS!$O$256:$U$256</definedName>
    <definedName name="out_84">output!$O$256:$U$256</definedName>
    <definedName name="out_85">output_NHTS!$O$257:$U$257</definedName>
    <definedName name="out_86">output!$O$257:$U$257</definedName>
    <definedName name="out_87">output_NHTS!$O$258:$U$258</definedName>
    <definedName name="out_88">output!$O$258:$U$258</definedName>
    <definedName name="out_89">output_NHTS!$O$306:$O$313</definedName>
    <definedName name="out_9">output_NHTS!$O$168:$U$174</definedName>
    <definedName name="out_90">output!$O$306:$O$313</definedName>
    <definedName name="out_91">output_NHTS!$O$317:$O$320</definedName>
    <definedName name="out_92">output!$O$317:$O$320</definedName>
    <definedName name="out_93">output_NHTS!$O$324:$O$327</definedName>
    <definedName name="out_94">output!$O$324:$O$327</definedName>
    <definedName name="out_95">output_NHTS!$O$331:$O$337</definedName>
    <definedName name="out_96">output!$O$331:$O$337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23" i="12" l="1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B628" i="23"/>
  <c r="D634" i="23"/>
  <c r="D644" i="23"/>
  <c r="B793" i="23"/>
  <c r="B799" i="23"/>
  <c r="B808" i="23"/>
  <c r="D808" i="23"/>
  <c r="D809" i="23"/>
  <c r="D857" i="23"/>
  <c r="D867" i="23"/>
  <c r="D868" i="23"/>
  <c r="B882" i="23"/>
  <c r="D886" i="23"/>
  <c r="D887" i="23"/>
  <c r="D892" i="23"/>
  <c r="D917" i="23"/>
  <c r="B918" i="23"/>
  <c r="D918" i="23"/>
  <c r="D966" i="23"/>
  <c r="D1038" i="23"/>
  <c r="D1041" i="23"/>
  <c r="D1057" i="23"/>
  <c r="D1073" i="23"/>
  <c r="D1088" i="23"/>
  <c r="B1105" i="23"/>
  <c r="D1154" i="23"/>
  <c r="B1186" i="23"/>
  <c r="D1264" i="23"/>
  <c r="D1360" i="23"/>
  <c r="D1405" i="23"/>
  <c r="B1408" i="23"/>
  <c r="B1419" i="23"/>
  <c r="B1493" i="23"/>
  <c r="D1569" i="23"/>
  <c r="D1607" i="23"/>
  <c r="B1616" i="23"/>
  <c r="B1650" i="23"/>
  <c r="D1674" i="23"/>
  <c r="B1872" i="23"/>
  <c r="B1881" i="23"/>
  <c r="D2003" i="23"/>
  <c r="D2017" i="23"/>
  <c r="D2026" i="23"/>
  <c r="D2036" i="23"/>
  <c r="B2208" i="23"/>
  <c r="B2268" i="23"/>
  <c r="D2384" i="23"/>
  <c r="D2394" i="23"/>
  <c r="B2442" i="23"/>
  <c r="D2496" i="23"/>
  <c r="D2528" i="23"/>
  <c r="D2804" i="23"/>
  <c r="B2871" i="23"/>
  <c r="B2880" i="23"/>
  <c r="B3068" i="23"/>
  <c r="B3495" i="23"/>
  <c r="D3614" i="23"/>
  <c r="D3688" i="23"/>
  <c r="D3713" i="23"/>
  <c r="B3717" i="23"/>
  <c r="B3720" i="23"/>
  <c r="B3795" i="23"/>
  <c r="D3798" i="23"/>
  <c r="D3816" i="23"/>
  <c r="D3831" i="23"/>
  <c r="B4005" i="23"/>
  <c r="B4031" i="23"/>
  <c r="D4044" i="23"/>
  <c r="B4087" i="23"/>
  <c r="B4196" i="23"/>
  <c r="B4200" i="23"/>
  <c r="D4221" i="23"/>
  <c r="D4346" i="23"/>
  <c r="B4477" i="23"/>
  <c r="B4499" i="23"/>
  <c r="B4539" i="23"/>
  <c r="B4623" i="23"/>
  <c r="D4686" i="23"/>
  <c r="D4697" i="23"/>
  <c r="D4722" i="23"/>
  <c r="B4726" i="23"/>
  <c r="D4792" i="23"/>
  <c r="D4834" i="23"/>
  <c r="B5011" i="23"/>
  <c r="B5029" i="23"/>
  <c r="D5033" i="23"/>
  <c r="B503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70" i="23"/>
  <c r="D5401" i="23"/>
  <c r="D5442" i="23"/>
  <c r="D5451" i="23"/>
  <c r="B5468" i="23"/>
  <c r="D5529" i="23"/>
  <c r="D5538" i="23"/>
  <c r="D5539" i="23"/>
  <c r="B5542" i="23"/>
  <c r="D5547" i="23"/>
  <c r="D5594" i="23"/>
  <c r="B5604" i="23"/>
  <c r="B5606" i="23"/>
  <c r="D5626" i="23"/>
  <c r="D5637" i="23"/>
  <c r="B5767" i="23"/>
  <c r="D5822" i="23"/>
  <c r="D5855" i="23"/>
  <c r="B5893" i="23"/>
  <c r="D5921" i="23"/>
  <c r="D5931" i="23"/>
  <c r="B5935" i="23"/>
  <c r="D5940" i="23"/>
  <c r="B6055" i="23"/>
  <c r="D6055" i="23"/>
  <c r="D6062" i="23"/>
  <c r="D6066" i="23"/>
  <c r="D6074" i="23"/>
  <c r="B6100" i="23"/>
  <c r="D6100" i="23"/>
  <c r="D6108" i="23"/>
  <c r="D6136" i="23"/>
  <c r="D6169" i="23"/>
  <c r="D6170" i="23"/>
  <c r="D6193" i="23"/>
  <c r="B6205" i="23"/>
  <c r="D6210" i="23"/>
  <c r="B6227" i="23"/>
  <c r="B6228" i="23"/>
  <c r="D6228" i="23"/>
  <c r="D6229" i="23"/>
  <c r="B6291" i="23"/>
  <c r="B6358" i="23"/>
  <c r="D6363" i="23"/>
  <c r="B6389" i="23"/>
  <c r="D6395" i="23"/>
  <c r="D6431" i="23"/>
  <c r="D6435" i="23"/>
  <c r="D6448" i="23"/>
  <c r="S13" i="24"/>
  <c r="T13" i="24"/>
  <c r="U13" i="24"/>
  <c r="S14" i="24"/>
  <c r="T14" i="24"/>
  <c r="U14" i="24"/>
  <c r="S15" i="24"/>
  <c r="T15" i="24"/>
  <c r="U15" i="24"/>
  <c r="S16" i="24"/>
  <c r="T16" i="24"/>
  <c r="U16" i="24"/>
  <c r="U4" i="24"/>
  <c r="U5" i="24"/>
  <c r="U6" i="24"/>
  <c r="U7" i="24"/>
  <c r="U8" i="24"/>
  <c r="U9" i="24"/>
  <c r="U10" i="24"/>
  <c r="U11" i="24"/>
  <c r="U12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" i="24"/>
  <c r="T3" i="24"/>
  <c r="S3" i="24"/>
  <c r="D72" i="24"/>
  <c r="H16" i="24"/>
  <c r="S4" i="24"/>
  <c r="S5" i="24"/>
  <c r="S6" i="24"/>
  <c r="S7" i="24"/>
  <c r="S8" i="24"/>
  <c r="S9" i="24"/>
  <c r="S10" i="24"/>
  <c r="S11" i="24"/>
  <c r="S12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70" i="24"/>
  <c r="S71" i="24"/>
  <c r="S72" i="24"/>
  <c r="S73" i="24"/>
  <c r="S74" i="24"/>
  <c r="S75" i="24"/>
  <c r="S76" i="24"/>
  <c r="S77" i="24"/>
  <c r="S78" i="24"/>
  <c r="S79" i="24"/>
  <c r="S80" i="24"/>
  <c r="S81" i="24"/>
  <c r="S82" i="24"/>
  <c r="S83" i="24"/>
  <c r="S84" i="24"/>
  <c r="S85" i="24"/>
  <c r="S86" i="24"/>
  <c r="S87" i="24"/>
  <c r="S88" i="24"/>
  <c r="S89" i="24"/>
  <c r="S90" i="24"/>
  <c r="S91" i="24"/>
  <c r="S92" i="24"/>
  <c r="S93" i="24"/>
  <c r="S94" i="24"/>
  <c r="S95" i="24"/>
  <c r="S96" i="24"/>
  <c r="S97" i="24"/>
  <c r="S98" i="24"/>
  <c r="S99" i="24"/>
  <c r="S100" i="24"/>
  <c r="S101" i="24"/>
  <c r="S102" i="24"/>
  <c r="S103" i="24"/>
  <c r="S104" i="24"/>
  <c r="S105" i="24"/>
  <c r="S106" i="24"/>
  <c r="S107" i="24"/>
  <c r="S108" i="24"/>
  <c r="S109" i="24"/>
  <c r="S110" i="24"/>
  <c r="S111" i="24"/>
  <c r="S112" i="24"/>
  <c r="S113" i="24"/>
  <c r="S114" i="24"/>
  <c r="S115" i="24"/>
  <c r="S116" i="24"/>
  <c r="S117" i="24"/>
  <c r="S118" i="24"/>
  <c r="S119" i="24"/>
  <c r="S120" i="24"/>
  <c r="S121" i="24"/>
  <c r="S122" i="24"/>
  <c r="S123" i="24"/>
  <c r="S124" i="24"/>
  <c r="S125" i="24"/>
  <c r="S126" i="24"/>
  <c r="S127" i="24"/>
  <c r="S128" i="24"/>
  <c r="S129" i="24"/>
  <c r="S130" i="24"/>
  <c r="S131" i="24"/>
  <c r="S132" i="24"/>
  <c r="S133" i="24"/>
  <c r="S134" i="24"/>
  <c r="S135" i="24"/>
  <c r="S136" i="24"/>
  <c r="S137" i="24"/>
  <c r="S138" i="24"/>
  <c r="S139" i="24"/>
  <c r="S140" i="24"/>
  <c r="S141" i="24"/>
  <c r="S142" i="24"/>
  <c r="S143" i="24"/>
  <c r="S144" i="24"/>
  <c r="S145" i="24"/>
  <c r="S146" i="24"/>
  <c r="S147" i="24"/>
  <c r="S148" i="24"/>
  <c r="S149" i="24"/>
  <c r="S150" i="24"/>
  <c r="S151" i="24"/>
  <c r="S152" i="24"/>
  <c r="S153" i="24"/>
  <c r="S154" i="24"/>
  <c r="S155" i="24"/>
  <c r="S156" i="24"/>
  <c r="S157" i="24"/>
  <c r="S158" i="24"/>
  <c r="S159" i="24"/>
  <c r="S160" i="24"/>
  <c r="S161" i="24"/>
  <c r="S162" i="24"/>
  <c r="S163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S197" i="24"/>
  <c r="S198" i="24"/>
  <c r="S199" i="24"/>
  <c r="S200" i="24"/>
  <c r="S201" i="24"/>
  <c r="S202" i="24"/>
  <c r="S203" i="24"/>
  <c r="S204" i="24"/>
  <c r="S205" i="24"/>
  <c r="S206" i="24"/>
  <c r="S207" i="24"/>
  <c r="S208" i="24"/>
  <c r="S209" i="24"/>
  <c r="S210" i="24"/>
  <c r="S211" i="24"/>
  <c r="S212" i="24"/>
  <c r="S213" i="24"/>
  <c r="S214" i="24"/>
  <c r="S215" i="24"/>
  <c r="S216" i="24"/>
  <c r="S217" i="24"/>
  <c r="S218" i="24"/>
  <c r="S219" i="24"/>
  <c r="S220" i="24"/>
  <c r="S221" i="24"/>
  <c r="S222" i="24"/>
  <c r="S223" i="24"/>
  <c r="S224" i="24"/>
  <c r="S225" i="24"/>
  <c r="S226" i="24"/>
  <c r="S227" i="24"/>
  <c r="S228" i="24"/>
  <c r="S229" i="24"/>
  <c r="S230" i="24"/>
  <c r="S231" i="24"/>
  <c r="S232" i="24"/>
  <c r="S233" i="24"/>
  <c r="S234" i="24"/>
  <c r="S235" i="24"/>
  <c r="S236" i="24"/>
  <c r="S237" i="24"/>
  <c r="S238" i="24"/>
  <c r="S239" i="24"/>
  <c r="S240" i="24"/>
  <c r="S241" i="24"/>
  <c r="S242" i="24"/>
  <c r="S243" i="24"/>
  <c r="S244" i="24"/>
  <c r="S245" i="24"/>
  <c r="S246" i="24"/>
  <c r="S247" i="24"/>
  <c r="S248" i="24"/>
  <c r="S249" i="24"/>
  <c r="S250" i="24"/>
  <c r="S251" i="24"/>
  <c r="S252" i="24"/>
  <c r="S253" i="24"/>
  <c r="S254" i="24"/>
  <c r="S255" i="24"/>
  <c r="S256" i="24"/>
  <c r="S257" i="24"/>
  <c r="S258" i="24"/>
  <c r="S259" i="24"/>
  <c r="S260" i="24"/>
  <c r="S261" i="24"/>
  <c r="S262" i="24"/>
  <c r="S263" i="24"/>
  <c r="S264" i="24"/>
  <c r="S265" i="24"/>
  <c r="S266" i="24"/>
  <c r="S267" i="24"/>
  <c r="S268" i="24"/>
  <c r="S269" i="24"/>
  <c r="S270" i="24"/>
  <c r="S271" i="24"/>
  <c r="S272" i="24"/>
  <c r="S273" i="24"/>
  <c r="S274" i="24"/>
  <c r="S275" i="24"/>
  <c r="S276" i="24"/>
  <c r="S277" i="24"/>
  <c r="S278" i="24"/>
  <c r="S279" i="24"/>
  <c r="S280" i="24"/>
  <c r="S281" i="24"/>
  <c r="S282" i="24"/>
  <c r="S283" i="24"/>
  <c r="S284" i="24"/>
  <c r="S285" i="24"/>
  <c r="S286" i="24"/>
  <c r="S287" i="24"/>
  <c r="S288" i="24"/>
  <c r="S289" i="24"/>
  <c r="S290" i="24"/>
  <c r="S291" i="24"/>
  <c r="S292" i="24"/>
  <c r="S293" i="24"/>
  <c r="S294" i="24"/>
  <c r="S295" i="24"/>
  <c r="S296" i="24"/>
  <c r="S297" i="24"/>
  <c r="S298" i="24"/>
  <c r="S299" i="24"/>
  <c r="S300" i="24"/>
  <c r="S301" i="24"/>
  <c r="S302" i="24"/>
  <c r="S303" i="24"/>
  <c r="S304" i="24"/>
  <c r="S305" i="24"/>
  <c r="S306" i="24"/>
  <c r="S307" i="24"/>
  <c r="S308" i="24"/>
  <c r="S309" i="24"/>
  <c r="S310" i="24"/>
  <c r="S311" i="24"/>
  <c r="S312" i="24"/>
  <c r="S313" i="24"/>
  <c r="S314" i="24"/>
  <c r="S315" i="24"/>
  <c r="S316" i="24"/>
  <c r="S317" i="24"/>
  <c r="S318" i="24"/>
  <c r="S319" i="24"/>
  <c r="S320" i="24"/>
  <c r="S321" i="24"/>
  <c r="S322" i="24"/>
  <c r="S323" i="24"/>
  <c r="S324" i="24"/>
  <c r="S325" i="24"/>
  <c r="S326" i="24"/>
  <c r="S327" i="24"/>
  <c r="S328" i="24"/>
  <c r="S329" i="24"/>
  <c r="S330" i="24"/>
  <c r="S331" i="24"/>
  <c r="S332" i="24"/>
  <c r="S333" i="24"/>
  <c r="S334" i="24"/>
  <c r="S335" i="24"/>
  <c r="S336" i="24"/>
  <c r="S337" i="24"/>
  <c r="S338" i="24"/>
  <c r="S339" i="24"/>
  <c r="S340" i="24"/>
  <c r="S341" i="24"/>
  <c r="S342" i="24"/>
  <c r="S343" i="24"/>
  <c r="S344" i="24"/>
  <c r="S345" i="24"/>
  <c r="S346" i="24"/>
  <c r="S347" i="24"/>
  <c r="S348" i="24"/>
  <c r="S349" i="24"/>
  <c r="S350" i="24"/>
  <c r="S351" i="24"/>
  <c r="S352" i="24"/>
  <c r="V14" i="24" l="1"/>
  <c r="V13" i="24"/>
  <c r="V15" i="24"/>
  <c r="V16" i="24"/>
  <c r="H24" i="24"/>
  <c r="H22" i="24"/>
  <c r="H20" i="24"/>
  <c r="H23" i="24"/>
  <c r="H21" i="24"/>
  <c r="H5" i="24"/>
  <c r="H11" i="24"/>
  <c r="H10" i="24"/>
  <c r="H9" i="24"/>
  <c r="H8" i="24"/>
  <c r="H7" i="24"/>
  <c r="H6" i="24"/>
  <c r="H19" i="24"/>
  <c r="H25" i="24"/>
  <c r="V8" i="24" l="1"/>
  <c r="V9" i="24"/>
  <c r="V10" i="24"/>
  <c r="V11" i="24"/>
  <c r="V12" i="24"/>
  <c r="V17" i="24"/>
  <c r="V18" i="24"/>
  <c r="V19" i="24"/>
  <c r="V20" i="24"/>
  <c r="V21" i="24"/>
  <c r="V22" i="24"/>
  <c r="V23" i="24"/>
  <c r="V24" i="24"/>
  <c r="V25" i="24"/>
  <c r="V26" i="24"/>
  <c r="V27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T4" i="24"/>
  <c r="T5" i="24"/>
  <c r="K56" i="24" s="1"/>
  <c r="T6" i="24"/>
  <c r="K72" i="24" s="1"/>
  <c r="T7" i="24"/>
  <c r="K79" i="24" s="1"/>
  <c r="T8" i="24"/>
  <c r="T9" i="24"/>
  <c r="T10" i="24"/>
  <c r="T11" i="24"/>
  <c r="T12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K49" i="24" s="1"/>
  <c r="T29" i="24"/>
  <c r="T30" i="24"/>
  <c r="T31" i="24"/>
  <c r="K73" i="24" s="1"/>
  <c r="T32" i="24"/>
  <c r="K80" i="24" s="1"/>
  <c r="T33" i="24"/>
  <c r="K86" i="24" s="1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K50" i="24" s="1"/>
  <c r="T56" i="24"/>
  <c r="T57" i="24"/>
  <c r="T58" i="24"/>
  <c r="K57" i="24" s="1"/>
  <c r="T59" i="24"/>
  <c r="K62" i="24" s="1"/>
  <c r="T60" i="24"/>
  <c r="K67" i="24" s="1"/>
  <c r="T61" i="24"/>
  <c r="K74" i="24" s="1"/>
  <c r="T62" i="24"/>
  <c r="K81" i="24" s="1"/>
  <c r="T63" i="24"/>
  <c r="K87" i="24" s="1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K51" i="24" s="1"/>
  <c r="T86" i="24"/>
  <c r="T87" i="24"/>
  <c r="T88" i="24"/>
  <c r="K58" i="24" s="1"/>
  <c r="T89" i="24"/>
  <c r="K63" i="24" s="1"/>
  <c r="T90" i="24"/>
  <c r="K68" i="24" s="1"/>
  <c r="T91" i="24"/>
  <c r="K75" i="24" s="1"/>
  <c r="T92" i="24"/>
  <c r="K82" i="24" s="1"/>
  <c r="T93" i="24"/>
  <c r="K88" i="24" s="1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K52" i="24" s="1"/>
  <c r="T116" i="24"/>
  <c r="T117" i="24"/>
  <c r="T118" i="24"/>
  <c r="K59" i="24" s="1"/>
  <c r="T119" i="24"/>
  <c r="K64" i="24" s="1"/>
  <c r="T120" i="24"/>
  <c r="K69" i="24" s="1"/>
  <c r="T121" i="24"/>
  <c r="K76" i="24" s="1"/>
  <c r="T122" i="24"/>
  <c r="K83" i="24" s="1"/>
  <c r="T123" i="24"/>
  <c r="K89" i="24" s="1"/>
  <c r="T124" i="24"/>
  <c r="T125" i="24"/>
  <c r="T126" i="24"/>
  <c r="T127" i="24"/>
  <c r="T128" i="24"/>
  <c r="T129" i="24"/>
  <c r="T130" i="24"/>
  <c r="T131" i="24"/>
  <c r="T132" i="24"/>
  <c r="T133" i="24"/>
  <c r="T134" i="24"/>
  <c r="T135" i="24"/>
  <c r="T136" i="24"/>
  <c r="T137" i="24"/>
  <c r="T138" i="24"/>
  <c r="T139" i="24"/>
  <c r="T140" i="24"/>
  <c r="T141" i="24"/>
  <c r="T142" i="24"/>
  <c r="T143" i="24"/>
  <c r="T144" i="24"/>
  <c r="T145" i="24"/>
  <c r="K53" i="24" s="1"/>
  <c r="T146" i="24"/>
  <c r="T147" i="24"/>
  <c r="T148" i="24"/>
  <c r="K60" i="24" s="1"/>
  <c r="T149" i="24"/>
  <c r="K65" i="24" s="1"/>
  <c r="T150" i="24"/>
  <c r="K70" i="24" s="1"/>
  <c r="T151" i="24"/>
  <c r="K77" i="24" s="1"/>
  <c r="T152" i="24"/>
  <c r="K84" i="24" s="1"/>
  <c r="T153" i="24"/>
  <c r="K90" i="24" s="1"/>
  <c r="T154" i="24"/>
  <c r="T155" i="24"/>
  <c r="T156" i="24"/>
  <c r="T157" i="24"/>
  <c r="T158" i="24"/>
  <c r="T159" i="24"/>
  <c r="T160" i="24"/>
  <c r="T161" i="24"/>
  <c r="T162" i="24"/>
  <c r="T163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K54" i="24" s="1"/>
  <c r="T176" i="24"/>
  <c r="T177" i="24"/>
  <c r="T178" i="24"/>
  <c r="K61" i="24" s="1"/>
  <c r="T179" i="24"/>
  <c r="K66" i="24" s="1"/>
  <c r="T180" i="24"/>
  <c r="K71" i="24" s="1"/>
  <c r="T181" i="24"/>
  <c r="K78" i="24" s="1"/>
  <c r="T182" i="24"/>
  <c r="K85" i="24" s="1"/>
  <c r="T183" i="24"/>
  <c r="K91" i="24" s="1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K55" i="24" s="1"/>
  <c r="T206" i="24"/>
  <c r="T207" i="24"/>
  <c r="T208" i="24"/>
  <c r="T209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226" i="24"/>
  <c r="T227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250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272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316" i="24"/>
  <c r="T317" i="24"/>
  <c r="T318" i="24"/>
  <c r="T319" i="24"/>
  <c r="T320" i="24"/>
  <c r="T321" i="24"/>
  <c r="T322" i="24"/>
  <c r="T323" i="24"/>
  <c r="T324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341" i="24"/>
  <c r="T342" i="24"/>
  <c r="T343" i="24"/>
  <c r="T344" i="24"/>
  <c r="T345" i="24"/>
  <c r="T346" i="24"/>
  <c r="T347" i="24"/>
  <c r="T348" i="24"/>
  <c r="T349" i="24"/>
  <c r="T350" i="24"/>
  <c r="T351" i="24"/>
  <c r="T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Z4" i="24" l="1"/>
  <c r="H102" i="24" s="1"/>
  <c r="Z5" i="24"/>
  <c r="H103" i="24" s="1"/>
  <c r="Z6" i="24"/>
  <c r="H104" i="24" s="1"/>
  <c r="Z7" i="24"/>
  <c r="H105" i="24" s="1"/>
  <c r="Z8" i="24"/>
  <c r="H106" i="24" s="1"/>
  <c r="Z9" i="24"/>
  <c r="H107" i="24" s="1"/>
  <c r="Z10" i="24"/>
  <c r="Z11" i="24"/>
  <c r="Z12" i="24"/>
  <c r="Z13" i="24"/>
  <c r="Z14" i="24"/>
  <c r="Z15" i="24"/>
  <c r="Z16" i="24"/>
  <c r="Z17" i="24"/>
  <c r="Z3" i="24"/>
  <c r="H101" i="24" s="1"/>
  <c r="AA17" i="24" l="1"/>
  <c r="AA16" i="24"/>
  <c r="AA15" i="24"/>
  <c r="AA14" i="24"/>
  <c r="AA13" i="24"/>
  <c r="AA12" i="24"/>
  <c r="AA11" i="24"/>
  <c r="AA10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D18" i="24" l="1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B102" i="24" s="1"/>
  <c r="D138" i="21"/>
  <c r="B103" i="24" s="1"/>
  <c r="D139" i="21"/>
  <c r="B104" i="24" s="1"/>
  <c r="D140" i="21"/>
  <c r="B105" i="24" s="1"/>
  <c r="D141" i="21"/>
  <c r="B106" i="24" s="1"/>
  <c r="D142" i="21"/>
  <c r="B107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C12" i="24" s="1"/>
  <c r="F206" i="20"/>
  <c r="R80" i="10" s="1"/>
  <c r="C11" i="24" s="1"/>
  <c r="F205" i="20"/>
  <c r="R79" i="10" s="1"/>
  <c r="C10" i="24" s="1"/>
  <c r="F204" i="20"/>
  <c r="R78" i="10" s="1"/>
  <c r="C9" i="24" s="1"/>
  <c r="F203" i="20"/>
  <c r="R77" i="10" s="1"/>
  <c r="C8" i="24" s="1"/>
  <c r="F202" i="20"/>
  <c r="R76" i="10" s="1"/>
  <c r="C7" i="24" s="1"/>
  <c r="F201" i="20"/>
  <c r="R75" i="10" s="1"/>
  <c r="C6" i="24" s="1"/>
  <c r="F200" i="20"/>
  <c r="R74" i="10" s="1"/>
  <c r="C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B101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G80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C102" i="24" s="1"/>
  <c r="D138" i="20"/>
  <c r="C103" i="24" s="1"/>
  <c r="D139" i="20"/>
  <c r="C104" i="24" s="1"/>
  <c r="D140" i="20"/>
  <c r="C105" i="24" s="1"/>
  <c r="D141" i="20"/>
  <c r="C106" i="24" s="1"/>
  <c r="D142" i="20"/>
  <c r="C107" i="24" s="1"/>
  <c r="D136" i="20"/>
  <c r="C101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M64" i="16" l="1"/>
  <c r="H254" i="21"/>
  <c r="H102" i="11"/>
  <c r="I102" i="11" s="1"/>
  <c r="H213" i="21"/>
  <c r="H109" i="10"/>
  <c r="I109" i="10" s="1"/>
  <c r="D105" i="24"/>
  <c r="D104" i="24"/>
  <c r="J222" i="21"/>
  <c r="K5" i="11" s="1"/>
  <c r="B19" i="24"/>
  <c r="J228" i="21"/>
  <c r="K11" i="11" s="1"/>
  <c r="B25" i="24"/>
  <c r="J227" i="21"/>
  <c r="K10" i="11" s="1"/>
  <c r="B24" i="24"/>
  <c r="J226" i="21"/>
  <c r="K9" i="11" s="1"/>
  <c r="B23" i="24"/>
  <c r="J225" i="21"/>
  <c r="K8" i="11" s="1"/>
  <c r="B22" i="24"/>
  <c r="J224" i="21"/>
  <c r="K7" i="11" s="1"/>
  <c r="B21" i="24"/>
  <c r="J223" i="21"/>
  <c r="K6" i="11" s="1"/>
  <c r="B20" i="24"/>
  <c r="J222" i="20"/>
  <c r="W5" i="11" s="1"/>
  <c r="AL5" i="11" s="1"/>
  <c r="C19" i="24"/>
  <c r="J228" i="20"/>
  <c r="W11" i="11" s="1"/>
  <c r="AL11" i="11" s="1"/>
  <c r="C25" i="24"/>
  <c r="J227" i="20"/>
  <c r="W10" i="11" s="1"/>
  <c r="C24" i="24"/>
  <c r="J226" i="20"/>
  <c r="W9" i="11" s="1"/>
  <c r="AL9" i="11" s="1"/>
  <c r="C23" i="24"/>
  <c r="J225" i="20"/>
  <c r="W8" i="11" s="1"/>
  <c r="AL8" i="11" s="1"/>
  <c r="C22" i="24"/>
  <c r="J224" i="20"/>
  <c r="W7" i="11" s="1"/>
  <c r="AL7" i="11" s="1"/>
  <c r="C21" i="24"/>
  <c r="J223" i="20"/>
  <c r="W6" i="11" s="1"/>
  <c r="C20" i="24"/>
  <c r="D107" i="24"/>
  <c r="D106" i="24"/>
  <c r="D103" i="24"/>
  <c r="D102" i="24"/>
  <c r="D101" i="24"/>
  <c r="B5" i="24"/>
  <c r="B33" i="16"/>
  <c r="L63" i="16" s="1"/>
  <c r="B6" i="24"/>
  <c r="B34" i="16"/>
  <c r="L64" i="16" s="1"/>
  <c r="B7" i="24"/>
  <c r="B35" i="16"/>
  <c r="L65" i="16" s="1"/>
  <c r="B8" i="24"/>
  <c r="B36" i="16"/>
  <c r="L66" i="16" s="1"/>
  <c r="B9" i="24"/>
  <c r="B37" i="16"/>
  <c r="L67" i="16" s="1"/>
  <c r="B10" i="24"/>
  <c r="B38" i="16"/>
  <c r="L68" i="16" s="1"/>
  <c r="B11" i="24"/>
  <c r="B39" i="16"/>
  <c r="L69" i="16" s="1"/>
  <c r="B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S8" i="6" s="1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H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AD32" i="2" s="1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AA80" i="2" l="1"/>
  <c r="L21" i="13"/>
  <c r="K12" i="11"/>
  <c r="K22" i="11" s="1"/>
  <c r="M66" i="16"/>
  <c r="M63" i="16"/>
  <c r="T63" i="6"/>
  <c r="L71" i="16"/>
  <c r="Y39" i="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AE63" i="6" s="1"/>
  <c r="I21" i="2"/>
  <c r="I101" i="24"/>
  <c r="J101" i="24" s="1"/>
  <c r="AI5" i="11"/>
  <c r="I102" i="24"/>
  <c r="J102" i="24" s="1"/>
  <c r="I104" i="24"/>
  <c r="J104" i="24" s="1"/>
  <c r="I103" i="24"/>
  <c r="J103" i="24" s="1"/>
  <c r="I105" i="24"/>
  <c r="J105" i="24" s="1"/>
  <c r="I106" i="24"/>
  <c r="J106" i="24" s="1"/>
  <c r="I107" i="24"/>
  <c r="J107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E42" i="24"/>
  <c r="B51" i="16"/>
  <c r="B25" i="12"/>
  <c r="B78" i="16"/>
  <c r="G78" i="16" s="1"/>
  <c r="F42" i="24"/>
  <c r="B52" i="16"/>
  <c r="G52" i="16" s="1"/>
  <c r="D20" i="24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41" i="16" l="1"/>
  <c r="AE52" i="6"/>
  <c r="AE74" i="6"/>
  <c r="H63" i="16"/>
  <c r="H66" i="16"/>
  <c r="X81" i="15"/>
  <c r="AF41" i="6"/>
  <c r="AE30" i="6"/>
  <c r="AE21" i="2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I33" i="16" s="1"/>
  <c r="J33" i="16" s="1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I39" i="16" s="1"/>
  <c r="J39" i="16" s="1"/>
  <c r="H36" i="16"/>
  <c r="I36" i="16" s="1"/>
  <c r="J36" i="16" s="1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A9" i="24"/>
  <c r="AA8" i="24"/>
  <c r="AA7" i="24"/>
  <c r="AA5" i="24"/>
  <c r="AA6" i="24"/>
  <c r="AA4" i="24"/>
  <c r="AA3" i="24"/>
  <c r="W15" i="11"/>
  <c r="AI15" i="11" s="1"/>
  <c r="AI12" i="11"/>
  <c r="W24" i="11"/>
  <c r="AI24" i="11" s="1"/>
  <c r="W22" i="11"/>
  <c r="AI22" i="11" s="1"/>
  <c r="AE81" i="2"/>
  <c r="W27" i="11"/>
  <c r="AI27" i="11" s="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I20" i="24"/>
  <c r="J20" i="24" s="1"/>
  <c r="V30" i="24" s="1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I19" i="24" s="1"/>
  <c r="AA56" i="9"/>
  <c r="D69" i="16"/>
  <c r="E69" i="16" s="1"/>
  <c r="D25" i="24"/>
  <c r="AE45" i="15"/>
  <c r="D68" i="16"/>
  <c r="E68" i="16" s="1"/>
  <c r="D24" i="24"/>
  <c r="AE9" i="1"/>
  <c r="D66" i="16"/>
  <c r="E66" i="16" s="1"/>
  <c r="D22" i="24"/>
  <c r="D67" i="16"/>
  <c r="E67" i="16" s="1"/>
  <c r="D23" i="24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I34" i="16" l="1"/>
  <c r="J34" i="16" s="1"/>
  <c r="I38" i="16"/>
  <c r="J38" i="16" s="1"/>
  <c r="I40" i="16"/>
  <c r="J40" i="16" s="1"/>
  <c r="I69" i="16"/>
  <c r="J69" i="16" s="1"/>
  <c r="I70" i="16"/>
  <c r="J70" i="16" s="1"/>
  <c r="I68" i="16"/>
  <c r="J68" i="16" s="1"/>
  <c r="I35" i="16"/>
  <c r="J35" i="16" s="1"/>
  <c r="I64" i="16"/>
  <c r="J64" i="16" s="1"/>
  <c r="I67" i="16"/>
  <c r="J67" i="16" s="1"/>
  <c r="I37" i="16"/>
  <c r="J37" i="16" s="1"/>
  <c r="I111" i="10"/>
  <c r="H216" i="21"/>
  <c r="H112" i="10"/>
  <c r="I104" i="11"/>
  <c r="AF104" i="11"/>
  <c r="H257" i="21"/>
  <c r="H105" i="11"/>
  <c r="AG104" i="11"/>
  <c r="K101" i="24"/>
  <c r="L101" i="24" s="1"/>
  <c r="K102" i="24"/>
  <c r="L102" i="24" s="1"/>
  <c r="K104" i="24"/>
  <c r="L104" i="24" s="1"/>
  <c r="K103" i="24"/>
  <c r="L103" i="24" s="1"/>
  <c r="K105" i="24"/>
  <c r="L105" i="24" s="1"/>
  <c r="K106" i="24"/>
  <c r="L106" i="24" s="1"/>
  <c r="K107" i="24"/>
  <c r="L107" i="24" s="1"/>
  <c r="K20" i="24"/>
  <c r="L20" i="24" s="1"/>
  <c r="I23" i="24"/>
  <c r="J23" i="24" s="1"/>
  <c r="V117" i="24" s="1"/>
  <c r="I22" i="24"/>
  <c r="J22" i="24" s="1"/>
  <c r="V87" i="24" s="1"/>
  <c r="I24" i="24"/>
  <c r="J24" i="24" s="1"/>
  <c r="V147" i="24" s="1"/>
  <c r="I25" i="24"/>
  <c r="J25" i="24" s="1"/>
  <c r="V177" i="24" s="1"/>
  <c r="G75" i="24"/>
  <c r="G88" i="24" s="1"/>
  <c r="L79" i="24" s="1"/>
  <c r="V7" i="24" s="1"/>
  <c r="B75" i="24"/>
  <c r="B88" i="24" s="1"/>
  <c r="L49" i="24" s="1"/>
  <c r="V28" i="24" s="1"/>
  <c r="C75" i="24"/>
  <c r="C88" i="24" s="1"/>
  <c r="L56" i="24" s="1"/>
  <c r="V5" i="24" s="1"/>
  <c r="F75" i="24"/>
  <c r="F88" i="24" s="1"/>
  <c r="L72" i="24" s="1"/>
  <c r="V6" i="24" s="1"/>
  <c r="B76" i="24"/>
  <c r="B89" i="24" s="1"/>
  <c r="L50" i="24" s="1"/>
  <c r="V55" i="24" s="1"/>
  <c r="F76" i="24"/>
  <c r="F89" i="24" s="1"/>
  <c r="L73" i="24" s="1"/>
  <c r="V31" i="24" s="1"/>
  <c r="G76" i="24"/>
  <c r="G89" i="24" s="1"/>
  <c r="L80" i="24" s="1"/>
  <c r="V32" i="24" s="1"/>
  <c r="H76" i="24"/>
  <c r="H89" i="24" s="1"/>
  <c r="L86" i="24" s="1"/>
  <c r="V33" i="24" s="1"/>
  <c r="H77" i="24"/>
  <c r="H90" i="24" s="1"/>
  <c r="L87" i="24" s="1"/>
  <c r="V63" i="24" s="1"/>
  <c r="G77" i="24"/>
  <c r="G90" i="24" s="1"/>
  <c r="L81" i="24" s="1"/>
  <c r="V62" i="24" s="1"/>
  <c r="B77" i="24"/>
  <c r="B90" i="24" s="1"/>
  <c r="L51" i="24" s="1"/>
  <c r="V85" i="24" s="1"/>
  <c r="C77" i="24"/>
  <c r="C90" i="24" s="1"/>
  <c r="L57" i="24" s="1"/>
  <c r="V58" i="24" s="1"/>
  <c r="D77" i="24"/>
  <c r="D90" i="24" s="1"/>
  <c r="L62" i="24" s="1"/>
  <c r="V59" i="24" s="1"/>
  <c r="E77" i="24"/>
  <c r="E90" i="24" s="1"/>
  <c r="L67" i="24" s="1"/>
  <c r="V60" i="24" s="1"/>
  <c r="F77" i="24"/>
  <c r="F90" i="24" s="1"/>
  <c r="L74" i="24" s="1"/>
  <c r="V61" i="24" s="1"/>
  <c r="H78" i="24"/>
  <c r="H91" i="24" s="1"/>
  <c r="L88" i="24" s="1"/>
  <c r="V93" i="24" s="1"/>
  <c r="B78" i="24"/>
  <c r="B91" i="24" s="1"/>
  <c r="L52" i="24" s="1"/>
  <c r="V115" i="24" s="1"/>
  <c r="C78" i="24"/>
  <c r="C91" i="24" s="1"/>
  <c r="L58" i="24" s="1"/>
  <c r="V88" i="24" s="1"/>
  <c r="D78" i="24"/>
  <c r="D91" i="24" s="1"/>
  <c r="L63" i="24" s="1"/>
  <c r="V89" i="24" s="1"/>
  <c r="E78" i="24"/>
  <c r="E91" i="24" s="1"/>
  <c r="L68" i="24" s="1"/>
  <c r="V90" i="24" s="1"/>
  <c r="F78" i="24"/>
  <c r="F91" i="24" s="1"/>
  <c r="L75" i="24" s="1"/>
  <c r="V91" i="24" s="1"/>
  <c r="G78" i="24"/>
  <c r="G91" i="24" s="1"/>
  <c r="L82" i="24" s="1"/>
  <c r="V92" i="24" s="1"/>
  <c r="B81" i="24"/>
  <c r="B94" i="24" s="1"/>
  <c r="L55" i="24" s="1"/>
  <c r="V205" i="24" s="1"/>
  <c r="C81" i="24"/>
  <c r="C94" i="24" s="1"/>
  <c r="L61" i="24" s="1"/>
  <c r="V178" i="24" s="1"/>
  <c r="D81" i="24"/>
  <c r="D94" i="24" s="1"/>
  <c r="L66" i="24" s="1"/>
  <c r="V179" i="24" s="1"/>
  <c r="E81" i="24"/>
  <c r="E94" i="24" s="1"/>
  <c r="L71" i="24" s="1"/>
  <c r="V180" i="24" s="1"/>
  <c r="F81" i="24"/>
  <c r="F94" i="24" s="1"/>
  <c r="L78" i="24" s="1"/>
  <c r="V181" i="24" s="1"/>
  <c r="G81" i="24"/>
  <c r="G94" i="24" s="1"/>
  <c r="L85" i="24" s="1"/>
  <c r="V182" i="24" s="1"/>
  <c r="H81" i="24"/>
  <c r="H94" i="24" s="1"/>
  <c r="L91" i="24" s="1"/>
  <c r="V183" i="24" s="1"/>
  <c r="G79" i="24"/>
  <c r="G92" i="24" s="1"/>
  <c r="L83" i="24" s="1"/>
  <c r="V122" i="24" s="1"/>
  <c r="H79" i="24"/>
  <c r="H92" i="24" s="1"/>
  <c r="L89" i="24" s="1"/>
  <c r="V123" i="24" s="1"/>
  <c r="B79" i="24"/>
  <c r="B92" i="24" s="1"/>
  <c r="L53" i="24" s="1"/>
  <c r="V145" i="24" s="1"/>
  <c r="C79" i="24"/>
  <c r="C92" i="24" s="1"/>
  <c r="L59" i="24" s="1"/>
  <c r="V118" i="24" s="1"/>
  <c r="D79" i="24"/>
  <c r="D92" i="24" s="1"/>
  <c r="L64" i="24" s="1"/>
  <c r="V119" i="24" s="1"/>
  <c r="E79" i="24"/>
  <c r="E92" i="24" s="1"/>
  <c r="L69" i="24" s="1"/>
  <c r="V120" i="24" s="1"/>
  <c r="F79" i="24"/>
  <c r="F92" i="24" s="1"/>
  <c r="L76" i="24" s="1"/>
  <c r="V121" i="24" s="1"/>
  <c r="B80" i="24"/>
  <c r="B93" i="24" s="1"/>
  <c r="L54" i="24" s="1"/>
  <c r="V175" i="24" s="1"/>
  <c r="C80" i="24"/>
  <c r="C93" i="24" s="1"/>
  <c r="L60" i="24" s="1"/>
  <c r="V148" i="24" s="1"/>
  <c r="D80" i="24"/>
  <c r="D93" i="24" s="1"/>
  <c r="L65" i="24" s="1"/>
  <c r="V149" i="24" s="1"/>
  <c r="E80" i="24"/>
  <c r="E93" i="24" s="1"/>
  <c r="L70" i="24" s="1"/>
  <c r="V150" i="24" s="1"/>
  <c r="F80" i="24"/>
  <c r="F93" i="24" s="1"/>
  <c r="L77" i="24" s="1"/>
  <c r="V151" i="24" s="1"/>
  <c r="G93" i="24"/>
  <c r="L84" i="24" s="1"/>
  <c r="H80" i="24"/>
  <c r="H93" i="24" s="1"/>
  <c r="L90" i="24" s="1"/>
  <c r="V153" i="24" s="1"/>
  <c r="E78" i="16"/>
  <c r="D86" i="16"/>
  <c r="E86" i="16" s="1"/>
  <c r="B13" i="24"/>
  <c r="D13" i="24" s="1"/>
  <c r="J6" i="24"/>
  <c r="J7" i="24"/>
  <c r="J8" i="24"/>
  <c r="J9" i="24"/>
  <c r="J10" i="24"/>
  <c r="J11" i="24"/>
  <c r="J5" i="24"/>
  <c r="J19" i="24"/>
  <c r="V4" i="24" s="1"/>
  <c r="D21" i="24"/>
  <c r="B27" i="24"/>
  <c r="D27" i="24" s="1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I105" i="11" l="1"/>
  <c r="AG105" i="11" s="1"/>
  <c r="AF105" i="11"/>
  <c r="H258" i="21"/>
  <c r="H106" i="11"/>
  <c r="I112" i="10"/>
  <c r="AF112" i="10"/>
  <c r="H217" i="21"/>
  <c r="H113" i="10"/>
  <c r="L108" i="24"/>
  <c r="V56" i="24"/>
  <c r="K7" i="24" s="1"/>
  <c r="L7" i="24" s="1"/>
  <c r="V116" i="24"/>
  <c r="K9" i="24" s="1"/>
  <c r="L9" i="24" s="1"/>
  <c r="V29" i="24"/>
  <c r="K6" i="24" s="1"/>
  <c r="L6" i="24" s="1"/>
  <c r="V176" i="24"/>
  <c r="K11" i="24" s="1"/>
  <c r="L11" i="24" s="1"/>
  <c r="V146" i="24"/>
  <c r="K10" i="24" s="1"/>
  <c r="L10" i="24" s="1"/>
  <c r="V86" i="24"/>
  <c r="K8" i="24" s="1"/>
  <c r="L8" i="24" s="1"/>
  <c r="V3" i="24"/>
  <c r="K5" i="24" s="1"/>
  <c r="L5" i="24" s="1"/>
  <c r="M74" i="24"/>
  <c r="N74" i="24" s="1"/>
  <c r="M67" i="24"/>
  <c r="N67" i="24" s="1"/>
  <c r="M62" i="24"/>
  <c r="N62" i="24" s="1"/>
  <c r="M57" i="24"/>
  <c r="N57" i="24" s="1"/>
  <c r="M51" i="24"/>
  <c r="N51" i="24" s="1"/>
  <c r="M70" i="24"/>
  <c r="N70" i="24" s="1"/>
  <c r="M81" i="24"/>
  <c r="N81" i="24" s="1"/>
  <c r="M65" i="24"/>
  <c r="N65" i="24" s="1"/>
  <c r="M87" i="24"/>
  <c r="N87" i="24" s="1"/>
  <c r="M54" i="24"/>
  <c r="N54" i="24" s="1"/>
  <c r="M86" i="24"/>
  <c r="N86" i="24" s="1"/>
  <c r="M89" i="24"/>
  <c r="N89" i="24" s="1"/>
  <c r="M80" i="24"/>
  <c r="N80" i="24" s="1"/>
  <c r="M73" i="24"/>
  <c r="N73" i="24" s="1"/>
  <c r="M52" i="24"/>
  <c r="N52" i="24" s="1"/>
  <c r="M91" i="24"/>
  <c r="N91" i="24" s="1"/>
  <c r="M50" i="24"/>
  <c r="N50" i="24" s="1"/>
  <c r="M60" i="24"/>
  <c r="N60" i="24" s="1"/>
  <c r="M85" i="24"/>
  <c r="N85" i="24" s="1"/>
  <c r="M72" i="24"/>
  <c r="N72" i="24" s="1"/>
  <c r="M64" i="24"/>
  <c r="N64" i="24" s="1"/>
  <c r="M56" i="24"/>
  <c r="N56" i="24" s="1"/>
  <c r="M77" i="24"/>
  <c r="N77" i="24" s="1"/>
  <c r="K19" i="24"/>
  <c r="L19" i="24" s="1"/>
  <c r="M49" i="24"/>
  <c r="N49" i="24" s="1"/>
  <c r="M88" i="24"/>
  <c r="N88" i="24" s="1"/>
  <c r="M66" i="24"/>
  <c r="N66" i="24" s="1"/>
  <c r="M79" i="24"/>
  <c r="N79" i="24" s="1"/>
  <c r="M59" i="24"/>
  <c r="N59" i="24" s="1"/>
  <c r="M61" i="24"/>
  <c r="N61" i="24" s="1"/>
  <c r="K25" i="24"/>
  <c r="L25" i="24" s="1"/>
  <c r="M58" i="24"/>
  <c r="N58" i="24" s="1"/>
  <c r="M83" i="24"/>
  <c r="N83" i="24" s="1"/>
  <c r="K24" i="24"/>
  <c r="L24" i="24" s="1"/>
  <c r="M76" i="24"/>
  <c r="N76" i="24" s="1"/>
  <c r="M78" i="24"/>
  <c r="N78" i="24" s="1"/>
  <c r="M82" i="24"/>
  <c r="N82" i="24" s="1"/>
  <c r="K22" i="24"/>
  <c r="L22" i="24" s="1"/>
  <c r="M53" i="24"/>
  <c r="N53" i="24" s="1"/>
  <c r="M75" i="24"/>
  <c r="N75" i="24" s="1"/>
  <c r="K23" i="24"/>
  <c r="L23" i="24" s="1"/>
  <c r="M69" i="24"/>
  <c r="N69" i="24" s="1"/>
  <c r="M71" i="24"/>
  <c r="N71" i="24" s="1"/>
  <c r="M55" i="24"/>
  <c r="N55" i="24" s="1"/>
  <c r="M68" i="24"/>
  <c r="N68" i="24" s="1"/>
  <c r="M90" i="24"/>
  <c r="N90" i="24" s="1"/>
  <c r="M63" i="24"/>
  <c r="N63" i="24" s="1"/>
  <c r="V152" i="24"/>
  <c r="I21" i="24"/>
  <c r="J21" i="24" s="1"/>
  <c r="V57" i="24" s="1"/>
  <c r="AG111" i="10"/>
  <c r="AF113" i="10"/>
  <c r="U113" i="10"/>
  <c r="R106" i="11"/>
  <c r="U106" i="11" s="1"/>
  <c r="AD105" i="11"/>
  <c r="H218" i="20"/>
  <c r="T115" i="10" s="1"/>
  <c r="U111" i="12"/>
  <c r="H302" i="20"/>
  <c r="T114" i="12" s="1"/>
  <c r="I113" i="10" l="1"/>
  <c r="H218" i="21"/>
  <c r="H114" i="10"/>
  <c r="AG112" i="10"/>
  <c r="I106" i="11"/>
  <c r="AG106" i="11" s="1"/>
  <c r="AF106" i="11"/>
  <c r="H252" i="21"/>
  <c r="H107" i="11"/>
  <c r="I107" i="11" s="1"/>
  <c r="L12" i="24"/>
  <c r="K21" i="24"/>
  <c r="L21" i="24" s="1"/>
  <c r="L26" i="24" s="1"/>
  <c r="M84" i="24"/>
  <c r="N84" i="24" s="1"/>
  <c r="N92" i="24" s="1"/>
  <c r="H295" i="20"/>
  <c r="T107" i="12" s="1"/>
  <c r="AF114" i="10"/>
  <c r="U114" i="10"/>
  <c r="AF112" i="12"/>
  <c r="U112" i="12"/>
  <c r="AG113" i="10"/>
  <c r="H211" i="20"/>
  <c r="T108" i="10" s="1"/>
  <c r="T116" i="10" s="1"/>
  <c r="T119" i="10" s="1"/>
  <c r="H258" i="20"/>
  <c r="T107" i="11" s="1"/>
  <c r="AD106" i="11"/>
  <c r="T115" i="12" l="1"/>
  <c r="T118" i="12" s="1"/>
  <c r="I114" i="10"/>
  <c r="AG114" i="10" s="1"/>
  <c r="H296" i="21"/>
  <c r="H101" i="11"/>
  <c r="H211" i="21"/>
  <c r="H108" i="10" s="1"/>
  <c r="AF108" i="10" s="1"/>
  <c r="H115" i="10"/>
  <c r="T108" i="11"/>
  <c r="U107" i="11"/>
  <c r="AG112" i="12"/>
  <c r="AF115" i="10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20" i="11" l="1"/>
  <c r="U124" i="11"/>
  <c r="U117" i="11"/>
  <c r="AG117" i="11" s="1"/>
  <c r="U118" i="11"/>
  <c r="U119" i="11"/>
  <c r="U111" i="11"/>
  <c r="U122" i="11"/>
  <c r="U121" i="11"/>
  <c r="I111" i="11"/>
  <c r="I118" i="11"/>
  <c r="AG118" i="11" s="1"/>
  <c r="I119" i="11"/>
  <c r="AG119" i="11" s="1"/>
  <c r="I124" i="11"/>
  <c r="AG124" i="11" s="1"/>
  <c r="I120" i="11"/>
  <c r="AG120" i="11" s="1"/>
  <c r="I121" i="11"/>
  <c r="AG121" i="11" s="1"/>
  <c r="I123" i="11"/>
  <c r="AG123" i="11" s="1"/>
  <c r="I122" i="11"/>
  <c r="AG122" i="11" s="1"/>
  <c r="H299" i="21"/>
  <c r="H110" i="12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11" i="11" l="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<sst xmlns="http://schemas.openxmlformats.org/spreadsheetml/2006/main" count="26305" uniqueCount="10873">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</sst>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8" fillId="6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2" fillId="0" borderId="0"/>
    <xf numFmtId="0" fontId="30" fillId="0" borderId="0" applyNumberFormat="0" applyFill="0" applyBorder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36" fillId="20" borderId="0" applyNumberFormat="0" applyBorder="0" applyAlignment="0" applyProtection="0"/>
    <xf numFmtId="0" fontId="37" fillId="21" borderId="17" applyNumberFormat="0" applyAlignment="0" applyProtection="0"/>
    <xf numFmtId="0" fontId="38" fillId="22" borderId="18" applyNumberFormat="0" applyAlignment="0" applyProtection="0"/>
    <xf numFmtId="0" fontId="39" fillId="22" borderId="17" applyNumberFormat="0" applyAlignment="0" applyProtection="0"/>
    <xf numFmtId="0" fontId="40" fillId="0" borderId="19" applyNumberFormat="0" applyFill="0" applyAlignment="0" applyProtection="0"/>
    <xf numFmtId="0" fontId="41" fillId="23" borderId="20" applyNumberFormat="0" applyAlignment="0" applyProtection="0"/>
    <xf numFmtId="0" fontId="42" fillId="0" borderId="0" applyNumberFormat="0" applyFill="0" applyBorder="0" applyAlignment="0" applyProtection="0"/>
    <xf numFmtId="0" fontId="2" fillId="24" borderId="21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4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45" fillId="48" borderId="0" applyNumberFormat="0" applyBorder="0" applyAlignment="0" applyProtection="0"/>
    <xf numFmtId="43" fontId="2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" fillId="0" borderId="0"/>
    <xf numFmtId="0" fontId="4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6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9">
    <xf numFmtId="0" fontId="0" fillId="0" borderId="0" xfId="0"/>
    <xf numFmtId="0" fontId="0" fillId="0" borderId="10" xfId="0" applyBorder="1"/>
    <xf numFmtId="0" fontId="6" fillId="0" borderId="0" xfId="0" applyFont="1"/>
    <xf numFmtId="0" fontId="7" fillId="0" borderId="0" xfId="0" applyFont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11" xfId="0" applyFont="1" applyBorder="1" applyAlignment="1">
      <alignment horizontal="center"/>
    </xf>
    <xf numFmtId="3" fontId="7" fillId="0" borderId="0" xfId="0" applyNumberFormat="1" applyFont="1"/>
    <xf numFmtId="0" fontId="7" fillId="0" borderId="12" xfId="0" applyFont="1" applyBorder="1"/>
    <xf numFmtId="3" fontId="7" fillId="0" borderId="12" xfId="0" applyNumberFormat="1" applyFont="1" applyBorder="1"/>
    <xf numFmtId="0" fontId="7" fillId="0" borderId="13" xfId="0" applyFont="1" applyBorder="1"/>
    <xf numFmtId="3" fontId="7" fillId="0" borderId="13" xfId="0" applyNumberFormat="1" applyFont="1" applyBorder="1"/>
    <xf numFmtId="164" fontId="7" fillId="0" borderId="0" xfId="0" applyNumberFormat="1" applyFont="1"/>
    <xf numFmtId="164" fontId="7" fillId="0" borderId="12" xfId="0" applyNumberFormat="1" applyFont="1" applyBorder="1"/>
    <xf numFmtId="164" fontId="7" fillId="0" borderId="13" xfId="0" applyNumberFormat="1" applyFont="1" applyBorder="1"/>
    <xf numFmtId="0" fontId="7" fillId="0" borderId="10" xfId="0" applyFont="1" applyBorder="1"/>
    <xf numFmtId="0" fontId="6" fillId="0" borderId="11" xfId="0" applyFont="1" applyBorder="1"/>
    <xf numFmtId="164" fontId="7" fillId="0" borderId="10" xfId="0" applyNumberFormat="1" applyFont="1" applyBorder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13" xfId="0" applyFont="1" applyBorder="1" applyAlignment="1">
      <alignment horizontal="left"/>
    </xf>
    <xf numFmtId="3" fontId="7" fillId="0" borderId="10" xfId="0" applyNumberFormat="1" applyFont="1" applyBorder="1"/>
    <xf numFmtId="0" fontId="7" fillId="0" borderId="12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7" fillId="0" borderId="0" xfId="0" applyFont="1" applyBorder="1"/>
    <xf numFmtId="10" fontId="7" fillId="0" borderId="0" xfId="0" applyNumberFormat="1" applyFont="1" applyBorder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right"/>
    </xf>
    <xf numFmtId="49" fontId="7" fillId="0" borderId="12" xfId="0" applyNumberFormat="1" applyFont="1" applyBorder="1" applyAlignment="1">
      <alignment horizontal="left"/>
    </xf>
    <xf numFmtId="164" fontId="7" fillId="0" borderId="12" xfId="0" applyNumberFormat="1" applyFont="1" applyBorder="1" applyAlignment="1">
      <alignment horizontal="right"/>
    </xf>
    <xf numFmtId="164" fontId="7" fillId="0" borderId="10" xfId="0" applyNumberFormat="1" applyFont="1" applyBorder="1" applyAlignment="1">
      <alignment horizontal="right"/>
    </xf>
    <xf numFmtId="0" fontId="6" fillId="0" borderId="12" xfId="0" applyFont="1" applyBorder="1" applyAlignment="1">
      <alignment horizontal="center"/>
    </xf>
    <xf numFmtId="3" fontId="7" fillId="0" borderId="0" xfId="0" applyNumberFormat="1" applyFont="1" applyBorder="1"/>
    <xf numFmtId="164" fontId="7" fillId="0" borderId="0" xfId="0" applyNumberFormat="1" applyFont="1" applyBorder="1"/>
    <xf numFmtId="0" fontId="25" fillId="0" borderId="0" xfId="0" applyFont="1"/>
    <xf numFmtId="10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/>
    <xf numFmtId="0" fontId="7" fillId="0" borderId="0" xfId="0" applyFont="1" applyFill="1"/>
    <xf numFmtId="0" fontId="6" fillId="0" borderId="10" xfId="0" applyFont="1" applyFill="1" applyBorder="1"/>
    <xf numFmtId="0" fontId="6" fillId="0" borderId="11" xfId="0" applyFont="1" applyFill="1" applyBorder="1" applyAlignment="1">
      <alignment horizontal="center"/>
    </xf>
    <xf numFmtId="164" fontId="7" fillId="0" borderId="0" xfId="0" applyNumberFormat="1" applyFont="1" applyFill="1"/>
    <xf numFmtId="164" fontId="7" fillId="0" borderId="12" xfId="0" applyNumberFormat="1" applyFont="1" applyFill="1" applyBorder="1"/>
    <xf numFmtId="164" fontId="7" fillId="0" borderId="10" xfId="0" applyNumberFormat="1" applyFont="1" applyFill="1" applyBorder="1"/>
    <xf numFmtId="10" fontId="7" fillId="0" borderId="0" xfId="0" applyNumberFormat="1" applyFont="1" applyFill="1" applyBorder="1"/>
    <xf numFmtId="0" fontId="6" fillId="0" borderId="0" xfId="0" applyFont="1" applyFill="1"/>
    <xf numFmtId="0" fontId="6" fillId="0" borderId="1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7" fillId="0" borderId="13" xfId="0" applyNumberFormat="1" applyFont="1" applyFill="1" applyBorder="1"/>
    <xf numFmtId="164" fontId="6" fillId="0" borderId="11" xfId="0" applyNumberFormat="1" applyFont="1" applyFill="1" applyBorder="1" applyAlignment="1">
      <alignment horizontal="center"/>
    </xf>
    <xf numFmtId="3" fontId="7" fillId="0" borderId="0" xfId="0" applyNumberFormat="1" applyFont="1" applyFill="1"/>
    <xf numFmtId="3" fontId="7" fillId="0" borderId="0" xfId="0" applyNumberFormat="1" applyFont="1" applyFill="1" applyBorder="1"/>
    <xf numFmtId="3" fontId="7" fillId="0" borderId="13" xfId="0" applyNumberFormat="1" applyFont="1" applyFill="1" applyBorder="1"/>
    <xf numFmtId="164" fontId="7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7" fillId="0" borderId="12" xfId="0" applyNumberFormat="1" applyFont="1" applyFill="1" applyBorder="1"/>
    <xf numFmtId="3" fontId="7" fillId="0" borderId="10" xfId="0" applyNumberFormat="1" applyFont="1" applyFill="1" applyBorder="1"/>
    <xf numFmtId="0" fontId="7" fillId="0" borderId="10" xfId="0" applyFont="1" applyFill="1" applyBorder="1"/>
    <xf numFmtId="0" fontId="3" fillId="0" borderId="0" xfId="0" applyFont="1"/>
    <xf numFmtId="0" fontId="26" fillId="0" borderId="12" xfId="0" applyFont="1" applyBorder="1" applyAlignment="1">
      <alignment horizontal="center"/>
    </xf>
    <xf numFmtId="0" fontId="3" fillId="0" borderId="0" xfId="0" applyFont="1" applyFill="1" applyBorder="1"/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7" fillId="0" borderId="0" xfId="0" applyFont="1"/>
    <xf numFmtId="3" fontId="27" fillId="0" borderId="0" xfId="0" applyNumberFormat="1" applyFont="1"/>
    <xf numFmtId="0" fontId="27" fillId="0" borderId="13" xfId="0" applyFont="1" applyBorder="1"/>
    <xf numFmtId="3" fontId="27" fillId="0" borderId="13" xfId="0" applyNumberFormat="1" applyFont="1" applyBorder="1"/>
    <xf numFmtId="9" fontId="27" fillId="0" borderId="0" xfId="0" applyNumberFormat="1" applyFont="1"/>
    <xf numFmtId="0" fontId="27" fillId="0" borderId="0" xfId="0" applyFont="1" applyBorder="1"/>
    <xf numFmtId="3" fontId="27" fillId="0" borderId="12" xfId="0" applyNumberFormat="1" applyFont="1" applyBorder="1"/>
    <xf numFmtId="9" fontId="27" fillId="0" borderId="12" xfId="0" applyNumberFormat="1" applyFont="1" applyBorder="1"/>
    <xf numFmtId="3" fontId="27" fillId="0" borderId="10" xfId="0" applyNumberFormat="1" applyFont="1" applyBorder="1"/>
    <xf numFmtId="9" fontId="27" fillId="0" borderId="10" xfId="0" applyNumberFormat="1" applyFont="1" applyBorder="1"/>
    <xf numFmtId="2" fontId="27" fillId="0" borderId="0" xfId="0" applyNumberFormat="1" applyFont="1"/>
    <xf numFmtId="2" fontId="27" fillId="0" borderId="12" xfId="0" applyNumberFormat="1" applyFont="1" applyBorder="1"/>
    <xf numFmtId="2" fontId="27" fillId="0" borderId="10" xfId="0" applyNumberFormat="1" applyFont="1" applyBorder="1"/>
    <xf numFmtId="0" fontId="27" fillId="0" borderId="12" xfId="0" applyFont="1" applyBorder="1"/>
    <xf numFmtId="9" fontId="27" fillId="0" borderId="13" xfId="0" applyNumberFormat="1" applyFont="1" applyBorder="1"/>
    <xf numFmtId="0" fontId="27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7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7" fillId="17" borderId="12" xfId="0" applyNumberFormat="1" applyFont="1" applyFill="1" applyBorder="1"/>
    <xf numFmtId="164" fontId="7" fillId="17" borderId="10" xfId="0" applyNumberFormat="1" applyFont="1" applyFill="1" applyBorder="1"/>
    <xf numFmtId="164" fontId="7" fillId="17" borderId="0" xfId="0" applyNumberFormat="1" applyFont="1" applyFill="1"/>
    <xf numFmtId="16" fontId="0" fillId="0" borderId="0" xfId="0" applyNumberFormat="1"/>
    <xf numFmtId="0" fontId="6" fillId="17" borderId="11" xfId="0" applyFont="1" applyFill="1" applyBorder="1" applyAlignment="1">
      <alignment horizontal="center"/>
    </xf>
    <xf numFmtId="17" fontId="0" fillId="0" borderId="0" xfId="0" applyNumberFormat="1"/>
    <xf numFmtId="167" fontId="7" fillId="0" borderId="0" xfId="0" applyNumberFormat="1" applyFont="1" applyBorder="1"/>
    <xf numFmtId="0" fontId="25" fillId="0" borderId="0" xfId="0" applyFont="1" applyBorder="1"/>
    <xf numFmtId="0" fontId="6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/>
    <xf numFmtId="165" fontId="7" fillId="0" borderId="0" xfId="0" applyNumberFormat="1" applyFont="1" applyBorder="1"/>
    <xf numFmtId="165" fontId="0" fillId="0" borderId="0" xfId="0" applyNumberFormat="1"/>
    <xf numFmtId="0" fontId="28" fillId="0" borderId="0" xfId="43" applyAlignment="1"/>
    <xf numFmtId="0" fontId="6" fillId="0" borderId="0" xfId="0" applyFont="1"/>
    <xf numFmtId="0" fontId="2" fillId="0" borderId="0" xfId="49"/>
    <xf numFmtId="0" fontId="2" fillId="0" borderId="0" xfId="49" applyAlignment="1">
      <alignment horizontal="center"/>
    </xf>
    <xf numFmtId="11" fontId="2" fillId="0" borderId="0" xfId="49" applyNumberFormat="1" applyAlignment="1">
      <alignment horizontal="center"/>
    </xf>
    <xf numFmtId="0" fontId="44" fillId="0" borderId="0" xfId="49" applyFont="1" applyAlignment="1">
      <alignment horizontal="center"/>
    </xf>
    <xf numFmtId="11" fontId="44" fillId="0" borderId="0" xfId="49" applyNumberFormat="1" applyFont="1" applyAlignment="1">
      <alignment horizontal="center"/>
    </xf>
    <xf numFmtId="0" fontId="44" fillId="0" borderId="0" xfId="49" applyFont="1" applyAlignment="1">
      <alignment horizontal="left"/>
    </xf>
    <xf numFmtId="11" fontId="2" fillId="49" borderId="0" xfId="49" applyNumberFormat="1" applyFill="1" applyAlignment="1">
      <alignment horizontal="center"/>
    </xf>
    <xf numFmtId="0" fontId="46" fillId="0" borderId="0" xfId="0" applyFont="1"/>
    <xf numFmtId="0" fontId="47" fillId="0" borderId="0" xfId="0" applyFont="1"/>
    <xf numFmtId="21" fontId="47" fillId="0" borderId="0" xfId="0" applyNumberFormat="1" applyFont="1"/>
    <xf numFmtId="11" fontId="47" fillId="0" borderId="0" xfId="0" applyNumberFormat="1" applyFont="1"/>
    <xf numFmtId="2" fontId="47" fillId="0" borderId="0" xfId="0" applyNumberFormat="1" applyFont="1"/>
    <xf numFmtId="0" fontId="48" fillId="0" borderId="0" xfId="0" applyFont="1"/>
    <xf numFmtId="0" fontId="48" fillId="0" borderId="12" xfId="0" applyFont="1" applyBorder="1"/>
    <xf numFmtId="0" fontId="47" fillId="0" borderId="12" xfId="0" applyFont="1" applyBorder="1"/>
    <xf numFmtId="2" fontId="47" fillId="0" borderId="12" xfId="0" applyNumberFormat="1" applyFont="1" applyBorder="1"/>
    <xf numFmtId="0" fontId="47" fillId="0" borderId="0" xfId="0" applyFont="1" applyBorder="1"/>
    <xf numFmtId="0" fontId="47" fillId="0" borderId="10" xfId="0" applyFont="1" applyBorder="1"/>
    <xf numFmtId="3" fontId="47" fillId="0" borderId="0" xfId="0" applyNumberFormat="1" applyFont="1"/>
    <xf numFmtId="17" fontId="47" fillId="0" borderId="0" xfId="0" applyNumberFormat="1" applyFont="1"/>
    <xf numFmtId="16" fontId="47" fillId="0" borderId="0" xfId="0" applyNumberFormat="1" applyFont="1"/>
    <xf numFmtId="0" fontId="49" fillId="0" borderId="0" xfId="0" applyFont="1"/>
    <xf numFmtId="167" fontId="47" fillId="0" borderId="0" xfId="0" applyNumberFormat="1" applyFont="1"/>
    <xf numFmtId="0" fontId="48" fillId="0" borderId="0" xfId="0" applyFont="1" applyBorder="1"/>
    <xf numFmtId="1" fontId="47" fillId="0" borderId="0" xfId="0" quotePrefix="1" applyNumberFormat="1" applyFont="1" applyBorder="1" applyAlignment="1">
      <alignment horizontal="right"/>
    </xf>
    <xf numFmtId="167" fontId="47" fillId="0" borderId="10" xfId="0" applyNumberFormat="1" applyFont="1" applyBorder="1"/>
    <xf numFmtId="0" fontId="47" fillId="0" borderId="0" xfId="0" applyNumberFormat="1" applyFont="1"/>
    <xf numFmtId="0" fontId="47" fillId="0" borderId="10" xfId="0" applyNumberFormat="1" applyFont="1" applyBorder="1"/>
    <xf numFmtId="169" fontId="47" fillId="0" borderId="0" xfId="0" applyNumberFormat="1" applyFont="1"/>
    <xf numFmtId="169" fontId="47" fillId="0" borderId="10" xfId="0" applyNumberFormat="1" applyFont="1" applyBorder="1"/>
    <xf numFmtId="0" fontId="47" fillId="51" borderId="0" xfId="0" applyFont="1" applyFill="1"/>
    <xf numFmtId="167" fontId="47" fillId="51" borderId="0" xfId="0" applyNumberFormat="1" applyFont="1" applyFill="1"/>
    <xf numFmtId="3" fontId="47" fillId="0" borderId="10" xfId="0" applyNumberFormat="1" applyFont="1" applyBorder="1"/>
    <xf numFmtId="2" fontId="47" fillId="0" borderId="10" xfId="0" applyNumberFormat="1" applyFont="1" applyBorder="1"/>
    <xf numFmtId="3" fontId="47" fillId="0" borderId="12" xfId="0" applyNumberFormat="1" applyFont="1" applyBorder="1"/>
    <xf numFmtId="1" fontId="47" fillId="0" borderId="12" xfId="0" quotePrefix="1" applyNumberFormat="1" applyFont="1" applyBorder="1" applyAlignment="1">
      <alignment horizontal="right"/>
    </xf>
    <xf numFmtId="0" fontId="48" fillId="0" borderId="10" xfId="0" applyFont="1" applyBorder="1"/>
    <xf numFmtId="170" fontId="7" fillId="0" borderId="0" xfId="0" applyNumberFormat="1" applyFont="1"/>
    <xf numFmtId="170" fontId="7" fillId="0" borderId="10" xfId="0" applyNumberFormat="1" applyFont="1" applyBorder="1"/>
    <xf numFmtId="0" fontId="47" fillId="52" borderId="0" xfId="0" applyFont="1" applyFill="1"/>
    <xf numFmtId="0" fontId="6" fillId="0" borderId="0" xfId="0" applyFont="1"/>
    <xf numFmtId="0" fontId="6" fillId="0" borderId="0" xfId="0" applyNumberFormat="1" applyFont="1" applyFill="1" applyBorder="1"/>
    <xf numFmtId="0" fontId="7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47" fillId="0" borderId="0" xfId="0" applyNumberFormat="1" applyFont="1" applyFill="1" applyBorder="1"/>
    <xf numFmtId="0" fontId="6" fillId="0" borderId="12" xfId="0" applyFont="1" applyBorder="1"/>
    <xf numFmtId="2" fontId="7" fillId="0" borderId="0" xfId="0" applyNumberFormat="1" applyFont="1"/>
    <xf numFmtId="171" fontId="7" fillId="0" borderId="0" xfId="0" applyNumberFormat="1" applyFont="1"/>
    <xf numFmtId="2" fontId="7" fillId="0" borderId="10" xfId="0" applyNumberFormat="1" applyFont="1" applyBorder="1"/>
    <xf numFmtId="172" fontId="47" fillId="0" borderId="0" xfId="0" applyNumberFormat="1" applyFont="1" applyFill="1"/>
    <xf numFmtId="167" fontId="47" fillId="0" borderId="0" xfId="0" applyNumberFormat="1" applyFont="1" applyFill="1"/>
    <xf numFmtId="172" fontId="47" fillId="51" borderId="0" xfId="0" applyNumberFormat="1" applyFont="1" applyFill="1"/>
    <xf numFmtId="0" fontId="26" fillId="0" borderId="0" xfId="0" applyFont="1" applyBorder="1" applyAlignment="1">
      <alignment horizontal="center"/>
    </xf>
    <xf numFmtId="14" fontId="47" fillId="0" borderId="0" xfId="0" applyNumberFormat="1" applyFont="1"/>
    <xf numFmtId="0" fontId="3" fillId="0" borderId="11" xfId="0" applyFont="1" applyBorder="1" applyAlignment="1">
      <alignment horizontal="right"/>
    </xf>
    <xf numFmtId="0" fontId="6" fillId="0" borderId="0" xfId="0" applyFont="1"/>
    <xf numFmtId="0" fontId="47" fillId="0" borderId="0" xfId="0" applyFont="1" applyFill="1"/>
    <xf numFmtId="0" fontId="47" fillId="49" borderId="0" xfId="0" applyFont="1" applyFill="1"/>
    <xf numFmtId="0" fontId="48" fillId="0" borderId="12" xfId="0" applyFont="1" applyBorder="1" applyAlignment="1">
      <alignment horizontal="right"/>
    </xf>
    <xf numFmtId="3" fontId="7" fillId="0" borderId="0" xfId="94" applyNumberFormat="1" applyFont="1" applyBorder="1"/>
    <xf numFmtId="0" fontId="48" fillId="51" borderId="12" xfId="0" applyFont="1" applyFill="1" applyBorder="1" applyAlignment="1">
      <alignment horizontal="right"/>
    </xf>
    <xf numFmtId="0" fontId="47" fillId="54" borderId="0" xfId="0" applyFont="1" applyFill="1"/>
    <xf numFmtId="167" fontId="47" fillId="51" borderId="10" xfId="0" applyNumberFormat="1" applyFont="1" applyFill="1" applyBorder="1"/>
    <xf numFmtId="3" fontId="7" fillId="0" borderId="10" xfId="94" applyNumberFormat="1" applyFont="1" applyBorder="1"/>
    <xf numFmtId="0" fontId="47" fillId="54" borderId="10" xfId="0" applyFont="1" applyFill="1" applyBorder="1"/>
    <xf numFmtId="0" fontId="48" fillId="54" borderId="12" xfId="0" applyFont="1" applyFill="1" applyBorder="1" applyAlignment="1">
      <alignment horizontal="right"/>
    </xf>
    <xf numFmtId="0" fontId="48" fillId="0" borderId="0" xfId="0" applyFont="1" applyAlignment="1">
      <alignment horizontal="right"/>
    </xf>
    <xf numFmtId="0" fontId="47" fillId="54" borderId="0" xfId="0" applyFont="1" applyFill="1" applyBorder="1"/>
    <xf numFmtId="0" fontId="48" fillId="54" borderId="11" xfId="0" applyFont="1" applyFill="1" applyBorder="1" applyAlignment="1">
      <alignment horizontal="right"/>
    </xf>
    <xf numFmtId="0" fontId="7" fillId="49" borderId="0" xfId="0" applyFont="1" applyFill="1"/>
    <xf numFmtId="172" fontId="45" fillId="50" borderId="0" xfId="0" applyNumberFormat="1" applyFont="1" applyFill="1"/>
    <xf numFmtId="167" fontId="45" fillId="50" borderId="0" xfId="0" applyNumberFormat="1" applyFont="1" applyFill="1"/>
    <xf numFmtId="0" fontId="41" fillId="50" borderId="12" xfId="0" applyFont="1" applyFill="1" applyBorder="1"/>
    <xf numFmtId="0" fontId="41" fillId="50" borderId="12" xfId="0" applyFont="1" applyFill="1" applyBorder="1" applyAlignment="1">
      <alignment horizontal="right"/>
    </xf>
    <xf numFmtId="171" fontId="45" fillId="50" borderId="0" xfId="0" applyNumberFormat="1" applyFont="1" applyFill="1"/>
    <xf numFmtId="170" fontId="45" fillId="50" borderId="0" xfId="0" applyNumberFormat="1" applyFont="1" applyFill="1"/>
    <xf numFmtId="170" fontId="51" fillId="50" borderId="0" xfId="0" applyNumberFormat="1" applyFont="1" applyFill="1" applyBorder="1"/>
    <xf numFmtId="170" fontId="51" fillId="50" borderId="10" xfId="0" applyNumberFormat="1" applyFont="1" applyFill="1" applyBorder="1"/>
    <xf numFmtId="0" fontId="47" fillId="0" borderId="10" xfId="0" applyNumberFormat="1" applyFont="1" applyFill="1" applyBorder="1"/>
    <xf numFmtId="0" fontId="48" fillId="54" borderId="12" xfId="0" applyNumberFormat="1" applyFont="1" applyFill="1" applyBorder="1" applyAlignment="1">
      <alignment horizontal="right"/>
    </xf>
    <xf numFmtId="171" fontId="51" fillId="50" borderId="0" xfId="0" applyNumberFormat="1" applyFont="1" applyFill="1"/>
    <xf numFmtId="171" fontId="51" fillId="50" borderId="10" xfId="0" applyNumberFormat="1" applyFont="1" applyFill="1" applyBorder="1"/>
    <xf numFmtId="171" fontId="7" fillId="51" borderId="0" xfId="0" applyNumberFormat="1" applyFont="1" applyFill="1"/>
    <xf numFmtId="171" fontId="7" fillId="51" borderId="10" xfId="0" applyNumberFormat="1" applyFont="1" applyFill="1" applyBorder="1"/>
    <xf numFmtId="171" fontId="47" fillId="54" borderId="0" xfId="0" applyNumberFormat="1" applyFont="1" applyFill="1"/>
    <xf numFmtId="171" fontId="47" fillId="54" borderId="10" xfId="0" applyNumberFormat="1" applyFont="1" applyFill="1" applyBorder="1"/>
    <xf numFmtId="171" fontId="47" fillId="54" borderId="0" xfId="0" applyNumberFormat="1" applyFont="1" applyFill="1" applyBorder="1"/>
    <xf numFmtId="173" fontId="45" fillId="50" borderId="0" xfId="0" applyNumberFormat="1" applyFont="1" applyFill="1"/>
    <xf numFmtId="173" fontId="45" fillId="50" borderId="10" xfId="0" applyNumberFormat="1" applyFont="1" applyFill="1" applyBorder="1"/>
    <xf numFmtId="173" fontId="47" fillId="54" borderId="0" xfId="0" applyNumberFormat="1" applyFont="1" applyFill="1"/>
    <xf numFmtId="173" fontId="47" fillId="54" borderId="10" xfId="0" applyNumberFormat="1" applyFont="1" applyFill="1" applyBorder="1"/>
    <xf numFmtId="0" fontId="46" fillId="53" borderId="23" xfId="0" applyFont="1" applyFill="1" applyBorder="1"/>
    <xf numFmtId="0" fontId="47" fillId="53" borderId="24" xfId="0" applyFont="1" applyFill="1" applyBorder="1"/>
    <xf numFmtId="0" fontId="47" fillId="53" borderId="25" xfId="0" applyFont="1" applyFill="1" applyBorder="1"/>
    <xf numFmtId="0" fontId="47" fillId="53" borderId="26" xfId="0" applyFont="1" applyFill="1" applyBorder="1"/>
    <xf numFmtId="0" fontId="47" fillId="53" borderId="0" xfId="0" applyFont="1" applyFill="1" applyBorder="1"/>
    <xf numFmtId="0" fontId="47" fillId="53" borderId="27" xfId="0" applyFont="1" applyFill="1" applyBorder="1"/>
    <xf numFmtId="0" fontId="47" fillId="53" borderId="12" xfId="0" applyFont="1" applyFill="1" applyBorder="1"/>
    <xf numFmtId="0" fontId="47" fillId="53" borderId="29" xfId="0" applyFont="1" applyFill="1" applyBorder="1"/>
    <xf numFmtId="0" fontId="48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7" fillId="53" borderId="28" xfId="0" applyFont="1" applyFill="1" applyBorder="1"/>
    <xf numFmtId="3" fontId="7" fillId="0" borderId="0" xfId="0" quotePrefix="1" applyNumberFormat="1" applyFont="1" applyAlignment="1">
      <alignment horizontal="right"/>
    </xf>
    <xf numFmtId="2" fontId="27" fillId="0" borderId="13" xfId="0" applyNumberFormat="1" applyFont="1" applyBorder="1"/>
    <xf numFmtId="0" fontId="4" fillId="0" borderId="0" xfId="0" applyFont="1" applyBorder="1"/>
    <xf numFmtId="3" fontId="27" fillId="0" borderId="0" xfId="0" applyNumberFormat="1" applyFont="1" applyBorder="1"/>
    <xf numFmtId="9" fontId="0" fillId="0" borderId="0" xfId="92" applyFont="1" applyBorder="1"/>
    <xf numFmtId="9" fontId="27" fillId="0" borderId="0" xfId="0" applyNumberFormat="1" applyFont="1" applyBorder="1"/>
    <xf numFmtId="9" fontId="27" fillId="0" borderId="0" xfId="92" applyFont="1"/>
    <xf numFmtId="164" fontId="27" fillId="0" borderId="0" xfId="92" applyNumberFormat="1" applyFont="1"/>
    <xf numFmtId="0" fontId="6" fillId="0" borderId="0" xfId="0" applyFont="1"/>
  </cellXfs>
  <cellStyles count="159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2" xfId="2" builtinId="34" customBuiltin="1"/>
    <cellStyle name="20% - Accent2 2" xfId="72" xr:uid="{00000000-0005-0000-0000-000005000000}"/>
    <cellStyle name="20% - Accent2 2 2" xfId="147" xr:uid="{00000000-0005-0000-0000-000006000000}"/>
    <cellStyle name="20% - Accent2 3" xfId="96" xr:uid="{00000000-0005-0000-0000-000007000000}"/>
    <cellStyle name="20% - Accent3" xfId="3" builtinId="38" customBuiltin="1"/>
    <cellStyle name="20% - Accent3 2" xfId="76" xr:uid="{00000000-0005-0000-0000-000009000000}"/>
    <cellStyle name="20% - Accent3 2 2" xfId="149" xr:uid="{00000000-0005-0000-0000-00000A000000}"/>
    <cellStyle name="20% - Accent3 3" xfId="97" xr:uid="{00000000-0005-0000-0000-00000B000000}"/>
    <cellStyle name="20% - Accent4" xfId="4" builtinId="42" customBuiltin="1"/>
    <cellStyle name="20% - Accent4 2" xfId="80" xr:uid="{00000000-0005-0000-0000-00000D000000}"/>
    <cellStyle name="20% - Accent4 2 2" xfId="151" xr:uid="{00000000-0005-0000-0000-00000E000000}"/>
    <cellStyle name="20% - Accent4 3" xfId="98" xr:uid="{00000000-0005-0000-0000-00000F000000}"/>
    <cellStyle name="20% - Accent5" xfId="5" builtinId="46" customBuiltin="1"/>
    <cellStyle name="20% - Accent5 2" xfId="84" xr:uid="{00000000-0005-0000-0000-000011000000}"/>
    <cellStyle name="20% - Accent5 2 2" xfId="153" xr:uid="{00000000-0005-0000-0000-000012000000}"/>
    <cellStyle name="20% - Accent5 3" xfId="99" xr:uid="{00000000-0005-0000-0000-000013000000}"/>
    <cellStyle name="20% - Accent6" xfId="6" builtinId="50" customBuiltin="1"/>
    <cellStyle name="20% - Accent6 2" xfId="88" xr:uid="{00000000-0005-0000-0000-000015000000}"/>
    <cellStyle name="20% - Accent6 2 2" xfId="155" xr:uid="{00000000-0005-0000-0000-000016000000}"/>
    <cellStyle name="20% - Accent6 3" xfId="100" xr:uid="{00000000-0005-0000-0000-000017000000}"/>
    <cellStyle name="40% - Accent1" xfId="7" builtinId="31" customBuiltin="1"/>
    <cellStyle name="40% - Accent1 2" xfId="69" xr:uid="{00000000-0005-0000-0000-000019000000}"/>
    <cellStyle name="40% - Accent1 2 2" xfId="146" xr:uid="{00000000-0005-0000-0000-00001A000000}"/>
    <cellStyle name="40% - Accent1 3" xfId="101" xr:uid="{00000000-0005-0000-0000-00001B000000}"/>
    <cellStyle name="40% - Accent2" xfId="8" builtinId="35" customBuiltin="1"/>
    <cellStyle name="40% - Accent2 2" xfId="73" xr:uid="{00000000-0005-0000-0000-00001D000000}"/>
    <cellStyle name="40% - Accent2 2 2" xfId="148" xr:uid="{00000000-0005-0000-0000-00001E000000}"/>
    <cellStyle name="40% - Accent2 3" xfId="102" xr:uid="{00000000-0005-0000-0000-00001F000000}"/>
    <cellStyle name="40% - Accent3" xfId="9" builtinId="39" customBuiltin="1"/>
    <cellStyle name="40% - Accent3 2" xfId="77" xr:uid="{00000000-0005-0000-0000-000021000000}"/>
    <cellStyle name="40% - Accent3 2 2" xfId="150" xr:uid="{00000000-0005-0000-0000-000022000000}"/>
    <cellStyle name="40% - Accent3 3" xfId="103" xr:uid="{00000000-0005-0000-0000-000023000000}"/>
    <cellStyle name="40% - Accent4" xfId="10" builtinId="43" customBuiltin="1"/>
    <cellStyle name="40% - Accent4 2" xfId="81" xr:uid="{00000000-0005-0000-0000-000025000000}"/>
    <cellStyle name="40% - Accent4 2 2" xfId="152" xr:uid="{00000000-0005-0000-0000-000026000000}"/>
    <cellStyle name="40% - Accent4 3" xfId="104" xr:uid="{00000000-0005-0000-0000-000027000000}"/>
    <cellStyle name="40% - Accent5" xfId="11" builtinId="47" customBuiltin="1"/>
    <cellStyle name="40% - Accent5 2" xfId="85" xr:uid="{00000000-0005-0000-0000-000029000000}"/>
    <cellStyle name="40% - Accent5 2 2" xfId="154" xr:uid="{00000000-0005-0000-0000-00002A000000}"/>
    <cellStyle name="40% - Accent5 3" xfId="105" xr:uid="{00000000-0005-0000-0000-00002B000000}"/>
    <cellStyle name="40% - Accent6" xfId="12" builtinId="51" customBuiltin="1"/>
    <cellStyle name="40% - Accent6 2" xfId="89" xr:uid="{00000000-0005-0000-0000-00002D000000}"/>
    <cellStyle name="40% - Accent6 2 2" xfId="156" xr:uid="{00000000-0005-0000-0000-00002E000000}"/>
    <cellStyle name="40% - Accent6 3" xfId="106" xr:uid="{00000000-0005-0000-0000-00002F000000}"/>
    <cellStyle name="60% - Accent1" xfId="13" builtinId="32" customBuiltin="1"/>
    <cellStyle name="60% - Accent1 2" xfId="70" xr:uid="{00000000-0005-0000-0000-000031000000}"/>
    <cellStyle name="60% - Accent1 3" xfId="107" xr:uid="{00000000-0005-0000-0000-000032000000}"/>
    <cellStyle name="60% - Accent2" xfId="14" builtinId="36" customBuiltin="1"/>
    <cellStyle name="60% - Accent2 2" xfId="74" xr:uid="{00000000-0005-0000-0000-000034000000}"/>
    <cellStyle name="60% - Accent2 3" xfId="108" xr:uid="{00000000-0005-0000-0000-000035000000}"/>
    <cellStyle name="60% - Accent3" xfId="15" builtinId="40" customBuiltin="1"/>
    <cellStyle name="60% - Accent3 2" xfId="78" xr:uid="{00000000-0005-0000-0000-000037000000}"/>
    <cellStyle name="60% - Accent3 3" xfId="109" xr:uid="{00000000-0005-0000-0000-000038000000}"/>
    <cellStyle name="60% - Accent4" xfId="16" builtinId="44" customBuiltin="1"/>
    <cellStyle name="60% - Accent4 2" xfId="82" xr:uid="{00000000-0005-0000-0000-00003A000000}"/>
    <cellStyle name="60% - Accent4 3" xfId="110" xr:uid="{00000000-0005-0000-0000-00003B000000}"/>
    <cellStyle name="60% - Accent5" xfId="17" builtinId="48" customBuiltin="1"/>
    <cellStyle name="60% - Accent5 2" xfId="86" xr:uid="{00000000-0005-0000-0000-00003D000000}"/>
    <cellStyle name="60% - Accent5 3" xfId="111" xr:uid="{00000000-0005-0000-0000-00003E000000}"/>
    <cellStyle name="60% - Accent6" xfId="18" builtinId="52" customBuiltin="1"/>
    <cellStyle name="60% - Accent6 2" xfId="90" xr:uid="{00000000-0005-0000-0000-000040000000}"/>
    <cellStyle name="60% - Accent6 3" xfId="112" xr:uid="{00000000-0005-0000-0000-000041000000}"/>
    <cellStyle name="Accent1" xfId="19" builtinId="29" customBuiltin="1"/>
    <cellStyle name="Accent1 2" xfId="67" xr:uid="{00000000-0005-0000-0000-000043000000}"/>
    <cellStyle name="Accent1 3" xfId="113" xr:uid="{00000000-0005-0000-0000-000044000000}"/>
    <cellStyle name="Accent2" xfId="20" builtinId="33" customBuiltin="1"/>
    <cellStyle name="Accent2 2" xfId="71" xr:uid="{00000000-0005-0000-0000-000046000000}"/>
    <cellStyle name="Accent2 3" xfId="114" xr:uid="{00000000-0005-0000-0000-000047000000}"/>
    <cellStyle name="Accent3" xfId="21" builtinId="37" customBuiltin="1"/>
    <cellStyle name="Accent3 2" xfId="75" xr:uid="{00000000-0005-0000-0000-000049000000}"/>
    <cellStyle name="Accent3 3" xfId="115" xr:uid="{00000000-0005-0000-0000-00004A000000}"/>
    <cellStyle name="Accent4" xfId="22" builtinId="41" customBuiltin="1"/>
    <cellStyle name="Accent4 2" xfId="79" xr:uid="{00000000-0005-0000-0000-00004C000000}"/>
    <cellStyle name="Accent4 3" xfId="116" xr:uid="{00000000-0005-0000-0000-00004D000000}"/>
    <cellStyle name="Accent5" xfId="23" builtinId="45" customBuiltin="1"/>
    <cellStyle name="Accent5 2" xfId="83" xr:uid="{00000000-0005-0000-0000-00004F000000}"/>
    <cellStyle name="Accent5 3" xfId="117" xr:uid="{00000000-0005-0000-0000-000050000000}"/>
    <cellStyle name="Accent6" xfId="24" builtinId="49" customBuiltin="1"/>
    <cellStyle name="Accent6 2" xfId="87" xr:uid="{00000000-0005-0000-0000-000052000000}"/>
    <cellStyle name="Accent6 3" xfId="118" xr:uid="{00000000-0005-0000-0000-000053000000}"/>
    <cellStyle name="Bad" xfId="25" builtinId="27" customBuiltin="1"/>
    <cellStyle name="Bad 2" xfId="56" xr:uid="{00000000-0005-0000-0000-000055000000}"/>
    <cellStyle name="Bad 3" xfId="119" xr:uid="{00000000-0005-0000-0000-000056000000}"/>
    <cellStyle name="Calculation" xfId="26" builtinId="22" customBuiltin="1"/>
    <cellStyle name="Calculation 2" xfId="60" xr:uid="{00000000-0005-0000-0000-000058000000}"/>
    <cellStyle name="Calculation 3" xfId="120" xr:uid="{00000000-0005-0000-0000-000059000000}"/>
    <cellStyle name="Check Cell" xfId="27" builtinId="23" customBuiltin="1"/>
    <cellStyle name="Check Cell 2" xfId="62" xr:uid="{00000000-0005-0000-0000-00005B000000}"/>
    <cellStyle name="Check Cell 3" xfId="121" xr:uid="{00000000-0005-0000-0000-00005C000000}"/>
    <cellStyle name="Comma 2" xfId="91" xr:uid="{00000000-0005-0000-0000-00005D000000}"/>
    <cellStyle name="Comma 2 2" xfId="157" xr:uid="{00000000-0005-0000-0000-00005E000000}"/>
    <cellStyle name="Explanatory Text" xfId="28" builtinId="53" customBuiltin="1"/>
    <cellStyle name="Explanatory Text 2" xfId="65" xr:uid="{00000000-0005-0000-0000-000060000000}"/>
    <cellStyle name="Explanatory Text 3" xfId="122" xr:uid="{00000000-0005-0000-0000-000061000000}"/>
    <cellStyle name="Good" xfId="29" builtinId="26" customBuiltin="1"/>
    <cellStyle name="Good 2" xfId="55" xr:uid="{00000000-0005-0000-0000-000063000000}"/>
    <cellStyle name="Good 3" xfId="123" xr:uid="{00000000-0005-0000-0000-000064000000}"/>
    <cellStyle name="Heading 1" xfId="30" builtinId="16" customBuiltin="1"/>
    <cellStyle name="Heading 1 2" xfId="51" xr:uid="{00000000-0005-0000-0000-000066000000}"/>
    <cellStyle name="Heading 1 3" xfId="124" xr:uid="{00000000-0005-0000-0000-000067000000}"/>
    <cellStyle name="Heading 2" xfId="31" builtinId="17" customBuiltin="1"/>
    <cellStyle name="Heading 2 2" xfId="52" xr:uid="{00000000-0005-0000-0000-000069000000}"/>
    <cellStyle name="Heading 2 3" xfId="125" xr:uid="{00000000-0005-0000-0000-00006A000000}"/>
    <cellStyle name="Heading 3" xfId="32" builtinId="18" customBuiltin="1"/>
    <cellStyle name="Heading 3 2" xfId="53" xr:uid="{00000000-0005-0000-0000-00006C000000}"/>
    <cellStyle name="Heading 3 3" xfId="126" xr:uid="{00000000-0005-0000-0000-00006D000000}"/>
    <cellStyle name="Heading 4" xfId="33" builtinId="19" customBuiltin="1"/>
    <cellStyle name="Heading 4 2" xfId="54" xr:uid="{00000000-0005-0000-0000-00006F000000}"/>
    <cellStyle name="Heading 4 3" xfId="127" xr:uid="{00000000-0005-0000-0000-000070000000}"/>
    <cellStyle name="Input" xfId="34" builtinId="20" customBuiltin="1"/>
    <cellStyle name="Input 2" xfId="58" xr:uid="{00000000-0005-0000-0000-000072000000}"/>
    <cellStyle name="Input 3" xfId="128" xr:uid="{00000000-0005-0000-0000-000073000000}"/>
    <cellStyle name="Linked Cell" xfId="35" builtinId="24" customBuiltin="1"/>
    <cellStyle name="Linked Cell 2" xfId="61" xr:uid="{00000000-0005-0000-0000-000075000000}"/>
    <cellStyle name="Linked Cell 3" xfId="129" xr:uid="{00000000-0005-0000-0000-000076000000}"/>
    <cellStyle name="Neutral" xfId="36" builtinId="28" customBuiltin="1"/>
    <cellStyle name="Neutral 2" xfId="57" xr:uid="{00000000-0005-0000-0000-000078000000}"/>
    <cellStyle name="Neutral 3" xfId="130" xr:uid="{00000000-0005-0000-0000-000079000000}"/>
    <cellStyle name="Normal" xfId="0" builtinId="0"/>
    <cellStyle name="Normal 2" xfId="49" xr:uid="{00000000-0005-0000-0000-00007B000000}"/>
    <cellStyle name="Normal 2 2" xfId="143" xr:uid="{00000000-0005-0000-0000-00007C000000}"/>
    <cellStyle name="Normal 3" xfId="94" xr:uid="{00000000-0005-0000-0000-00007D000000}"/>
    <cellStyle name="Normal 4" xfId="93" xr:uid="{00000000-0005-0000-0000-00007E000000}"/>
    <cellStyle name="Note" xfId="37" builtinId="10" customBuiltin="1"/>
    <cellStyle name="Note 2" xfId="64" xr:uid="{00000000-0005-0000-0000-000080000000}"/>
    <cellStyle name="Note 2 2" xfId="144" xr:uid="{00000000-0005-0000-0000-000081000000}"/>
    <cellStyle name="Note 3" xfId="131" xr:uid="{00000000-0005-0000-0000-000082000000}"/>
    <cellStyle name="Output" xfId="38" builtinId="21" customBuiltin="1"/>
    <cellStyle name="Output 2" xfId="59" xr:uid="{00000000-0005-0000-0000-000084000000}"/>
    <cellStyle name="Output 3" xfId="132" xr:uid="{00000000-0005-0000-0000-000085000000}"/>
    <cellStyle name="Percent" xfId="92" builtinId="5"/>
    <cellStyle name="Percent 2" xfId="158" xr:uid="{00000000-0005-0000-0000-000087000000}"/>
    <cellStyle name="Title" xfId="39" builtinId="15" customBuiltin="1"/>
    <cellStyle name="Title 2" xfId="50" xr:uid="{00000000-0005-0000-0000-000089000000}"/>
    <cellStyle name="Title 3" xfId="133" xr:uid="{00000000-0005-0000-0000-00008A000000}"/>
    <cellStyle name="Total" xfId="40" builtinId="25" customBuiltin="1"/>
    <cellStyle name="Total 2" xfId="66" xr:uid="{00000000-0005-0000-0000-00008C000000}"/>
    <cellStyle name="Total 3" xfId="134" xr:uid="{00000000-0005-0000-0000-00008D000000}"/>
    <cellStyle name="Warning Text" xfId="41" builtinId="11" customBuiltin="1"/>
    <cellStyle name="Warning Text 2" xfId="63" xr:uid="{00000000-0005-0000-0000-00008F000000}"/>
    <cellStyle name="Warning Text 3" xfId="135" xr:uid="{00000000-0005-0000-0000-000090000000}"/>
    <cellStyle name="XLConnect.Boolean" xfId="47" xr:uid="{00000000-0005-0000-0000-000091000000}"/>
    <cellStyle name="XLConnect.Boolean 2" xfId="141" xr:uid="{00000000-0005-0000-0000-000092000000}"/>
    <cellStyle name="XLConnect.Date" xfId="44" xr:uid="{00000000-0005-0000-0000-000093000000}"/>
    <cellStyle name="XLConnect.Date 2" xfId="138" xr:uid="{00000000-0005-0000-0000-000094000000}"/>
    <cellStyle name="XLConnect.DateTime" xfId="48" xr:uid="{00000000-0005-0000-0000-000095000000}"/>
    <cellStyle name="XLConnect.DateTime 2" xfId="142" xr:uid="{00000000-0005-0000-0000-000096000000}"/>
    <cellStyle name="XLConnect.General" xfId="43" xr:uid="{00000000-0005-0000-0000-000097000000}"/>
    <cellStyle name="XLConnect.General 2" xfId="137" xr:uid="{00000000-0005-0000-0000-000098000000}"/>
    <cellStyle name="XLConnect.Header" xfId="42" xr:uid="{00000000-0005-0000-0000-000099000000}"/>
    <cellStyle name="XLConnect.Header 2" xfId="136" xr:uid="{00000000-0005-0000-0000-00009A000000}"/>
    <cellStyle name="XLConnect.Numeric" xfId="46" xr:uid="{00000000-0005-0000-0000-00009B000000}"/>
    <cellStyle name="XLConnect.Numeric 2" xfId="140" xr:uid="{00000000-0005-0000-0000-00009C000000}"/>
    <cellStyle name="XLConnect.String" xfId="45" xr:uid="{00000000-0005-0000-0000-00009D000000}"/>
    <cellStyle name="XLConnect.String 2" xfId="139" xr:uid="{00000000-0005-0000-0000-00009E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6"/>
  <sheetViews>
    <sheetView tabSelected="1" topLeftCell="A66" zoomScale="85" zoomScaleNormal="85" workbookViewId="0">
      <selection activeCell="L87" sqref="L87"/>
    </sheetView>
  </sheetViews>
  <sheetFormatPr defaultColWidth="10.75" defaultRowHeight="12.75" x14ac:dyDescent="0.2"/>
  <cols>
    <col min="1" max="1" width="17.75" style="65" customWidth="1" collapsed="1"/>
    <col min="2" max="5" width="12.625" style="65" customWidth="1" collapsed="1"/>
    <col min="6" max="6" width="4.875" style="65" customWidth="1" collapsed="1"/>
    <col min="7" max="16384" width="10.75" style="65" collapsed="1"/>
  </cols>
  <sheetData>
    <row r="1" spans="1:11" ht="18" customHeight="1" x14ac:dyDescent="0.2">
      <c r="A1" s="62" t="s">
        <v>185</v>
      </c>
    </row>
    <row r="2" spans="1:11" ht="18" customHeight="1" thickBot="1" x14ac:dyDescent="0.25">
      <c r="B2" s="66"/>
      <c r="C2" s="66"/>
      <c r="D2"/>
      <c r="E2" s="68"/>
      <c r="F2" s="68"/>
      <c r="G2" s="68"/>
    </row>
    <row r="3" spans="1:11" s="68" customFormat="1" ht="18" customHeight="1" x14ac:dyDescent="0.2">
      <c r="A3" s="67" t="s">
        <v>217</v>
      </c>
      <c r="B3" s="63" t="s">
        <v>260</v>
      </c>
      <c r="C3" s="63" t="s">
        <v>261</v>
      </c>
      <c r="D3"/>
    </row>
    <row r="4" spans="1:11" s="68" customFormat="1" ht="18" customHeight="1" x14ac:dyDescent="0.2">
      <c r="A4" s="65" t="s">
        <v>10862</v>
      </c>
      <c r="B4" s="84">
        <f>SUM(ToursByTourPurpose!B118)</f>
        <v>151396.64790000001</v>
      </c>
      <c r="C4" s="84">
        <f>SUM(ToursByTourPurpose!N118)</f>
        <v>159549</v>
      </c>
      <c r="D4"/>
    </row>
    <row r="5" spans="1:11" s="68" customFormat="1" ht="18" customHeight="1" x14ac:dyDescent="0.2">
      <c r="A5" t="s">
        <v>10863</v>
      </c>
      <c r="B5" s="84">
        <f>SUM(ToursByTourPurpose!C118)</f>
        <v>8845.8525000000009</v>
      </c>
      <c r="C5" s="84">
        <f>ToursByTourPurpose!O118</f>
        <v>14491</v>
      </c>
      <c r="D5"/>
    </row>
    <row r="6" spans="1:11" s="68" customFormat="1" ht="18" customHeight="1" x14ac:dyDescent="0.2">
      <c r="A6" t="s">
        <v>10864</v>
      </c>
      <c r="B6" s="84">
        <f>SUM(ToursByTourPurpose!D118)</f>
        <v>131529.91500000001</v>
      </c>
      <c r="C6" s="84">
        <f>ToursByTourPurpose!P118</f>
        <v>143414</v>
      </c>
      <c r="D6"/>
    </row>
    <row r="7" spans="1:11" s="68" customFormat="1" ht="18" customHeight="1" x14ac:dyDescent="0.2">
      <c r="A7" t="s">
        <v>10865</v>
      </c>
      <c r="B7" s="84">
        <f>SUM(ToursByTourPurpose!E118)</f>
        <v>123832.13039999999</v>
      </c>
      <c r="C7" s="84">
        <f>ToursByTourPurpose!Q118</f>
        <v>114848</v>
      </c>
      <c r="D7"/>
    </row>
    <row r="8" spans="1:11" s="68" customFormat="1" ht="18" customHeight="1" x14ac:dyDescent="0.2">
      <c r="A8" t="s">
        <v>1689</v>
      </c>
      <c r="B8" s="84">
        <f>SUM(ToursByTourPurpose!F118)</f>
        <v>0</v>
      </c>
      <c r="C8" s="84">
        <f>ToursByTourPurpose!R118</f>
        <v>152576</v>
      </c>
      <c r="D8"/>
    </row>
    <row r="9" spans="1:11" s="68" customFormat="1" ht="18" customHeight="1" x14ac:dyDescent="0.2">
      <c r="A9" t="s">
        <v>10866</v>
      </c>
      <c r="B9" s="84">
        <f>SUM(ToursByTourPurpose!G118)</f>
        <v>0</v>
      </c>
      <c r="C9" s="84">
        <f>ToursByTourPurpose!S118</f>
        <v>10929</v>
      </c>
      <c r="D9"/>
    </row>
    <row r="10" spans="1:11" s="68" customFormat="1" ht="18" customHeight="1" x14ac:dyDescent="0.2">
      <c r="A10" t="s">
        <v>10867</v>
      </c>
      <c r="B10" s="84">
        <f>SUM(ToursByTourPurpose!H118)</f>
        <v>0</v>
      </c>
      <c r="C10" s="84">
        <f>ToursByTourPurpose!T118</f>
        <v>559314</v>
      </c>
      <c r="D10"/>
    </row>
    <row r="11" spans="1:11" s="68" customFormat="1" ht="18" customHeight="1" thickBot="1" x14ac:dyDescent="0.25">
      <c r="A11" s="85" t="s">
        <v>221</v>
      </c>
      <c r="B11" s="86">
        <f>SUM(B4:B10)</f>
        <v>415604.54580000008</v>
      </c>
      <c r="C11" s="86">
        <f>SUM(C4:C10)</f>
        <v>1155121</v>
      </c>
      <c r="D11"/>
    </row>
    <row r="12" spans="1:11" s="68" customFormat="1" ht="18" customHeight="1" x14ac:dyDescent="0.2"/>
    <row r="13" spans="1:11" s="68" customFormat="1" ht="18" customHeight="1" x14ac:dyDescent="0.2"/>
    <row r="14" spans="1:11" s="68" customFormat="1" ht="18" customHeight="1" x14ac:dyDescent="0.2">
      <c r="I14" s="159"/>
    </row>
    <row r="15" spans="1:11" ht="18" customHeight="1" x14ac:dyDescent="0.2">
      <c r="A15" s="62" t="s">
        <v>291</v>
      </c>
    </row>
    <row r="16" spans="1:11" ht="18" customHeight="1" thickBot="1" x14ac:dyDescent="0.25">
      <c r="B16" s="66"/>
      <c r="C16" s="66"/>
      <c r="D16" s="66"/>
      <c r="E16" s="66"/>
      <c r="G16" s="212"/>
      <c r="H16" s="212"/>
      <c r="I16" s="68"/>
      <c r="J16" s="212"/>
      <c r="K16" s="212"/>
    </row>
    <row r="17" spans="1:11" s="68" customFormat="1" ht="18" customHeight="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r="18" spans="1:11" s="68" customFormat="1" ht="18" customHeight="1" x14ac:dyDescent="0.2">
      <c r="A18" s="68" t="s">
        <v>146</v>
      </c>
      <c r="B18" s="69">
        <f>ToursByTourPurpose!B15</f>
        <v>174034.4896</v>
      </c>
      <c r="C18" s="69">
        <f>ToursByTourPurpose!N15</f>
        <v>501551</v>
      </c>
      <c r="D18" s="69">
        <f t="shared" ref="D18:D26" si="0">C18-B18</f>
        <v>327516.51040000003</v>
      </c>
      <c r="E18" s="72">
        <f>D18/B18</f>
        <v>1.8819057713948675</v>
      </c>
      <c r="G18" s="213"/>
      <c r="H18" s="214"/>
      <c r="I18" s="73"/>
      <c r="J18" s="213"/>
      <c r="K18" s="214"/>
    </row>
    <row r="19" spans="1:11" s="68" customFormat="1" ht="18" customHeight="1" x14ac:dyDescent="0.2">
      <c r="A19" s="68" t="s">
        <v>147</v>
      </c>
      <c r="B19" s="69">
        <f>ToursByTourPurpose!C15</f>
        <v>35722.840400000001</v>
      </c>
      <c r="C19" s="69">
        <f>ToursByTourPurpose!O15</f>
        <v>106109</v>
      </c>
      <c r="D19" s="69">
        <f t="shared" si="0"/>
        <v>70386.159599999999</v>
      </c>
      <c r="E19" s="72">
        <f t="shared" ref="E19:E26" si="1">D19/B19</f>
        <v>1.9703405107730458</v>
      </c>
      <c r="G19" s="213"/>
      <c r="H19" s="214"/>
      <c r="I19" s="73"/>
      <c r="J19" s="213"/>
      <c r="K19" s="214"/>
    </row>
    <row r="20" spans="1:11" s="68" customFormat="1" ht="18" customHeight="1" x14ac:dyDescent="0.2">
      <c r="A20" s="68" t="s">
        <v>148</v>
      </c>
      <c r="B20" s="69">
        <f>ToursByTourPurpose!D15</f>
        <v>42350.315699999999</v>
      </c>
      <c r="C20" s="69">
        <f>ToursByTourPurpose!P15</f>
        <v>81174</v>
      </c>
      <c r="D20" s="69">
        <f t="shared" si="0"/>
        <v>38823.684300000001</v>
      </c>
      <c r="E20" s="72">
        <f t="shared" si="1"/>
        <v>0.91672715204812516</v>
      </c>
      <c r="G20" s="213"/>
      <c r="H20" s="214"/>
      <c r="I20" s="73"/>
      <c r="J20" s="213"/>
      <c r="K20" s="214"/>
    </row>
    <row r="21" spans="1:11" s="68" customFormat="1" ht="18" customHeight="1" x14ac:dyDescent="0.2">
      <c r="A21" s="68" t="s">
        <v>243</v>
      </c>
      <c r="B21" s="69">
        <f>ToursByTourPurpose!E15</f>
        <v>58462.537400000001</v>
      </c>
      <c r="C21" s="69">
        <f>ToursByTourPurpose!Q15</f>
        <v>102273</v>
      </c>
      <c r="D21" s="69">
        <f t="shared" si="0"/>
        <v>43810.462599999999</v>
      </c>
      <c r="E21" s="72">
        <f t="shared" si="1"/>
        <v>0.74937668716376993</v>
      </c>
      <c r="G21" s="213"/>
      <c r="H21" s="214"/>
      <c r="I21" s="73"/>
      <c r="J21" s="213"/>
      <c r="K21" s="214"/>
    </row>
    <row r="22" spans="1:11" s="68" customFormat="1" ht="18" customHeight="1" x14ac:dyDescent="0.2">
      <c r="A22" s="68" t="s">
        <v>244</v>
      </c>
      <c r="B22" s="69">
        <f>ToursByTourPurpose!F15</f>
        <v>7345.8631999999998</v>
      </c>
      <c r="C22" s="69">
        <f>ToursByTourPurpose!R15</f>
        <v>69769</v>
      </c>
      <c r="D22" s="69">
        <f t="shared" si="0"/>
        <v>62423.1368</v>
      </c>
      <c r="E22" s="72">
        <f t="shared" si="1"/>
        <v>8.4977265571730225</v>
      </c>
      <c r="G22" s="213"/>
      <c r="H22" s="214"/>
      <c r="I22" s="73"/>
      <c r="J22" s="213"/>
      <c r="K22" s="214"/>
    </row>
    <row r="23" spans="1:11" s="68" customFormat="1" ht="18" customHeight="1" x14ac:dyDescent="0.2">
      <c r="A23" s="68" t="s">
        <v>245</v>
      </c>
      <c r="B23" s="69">
        <f>ToursByTourPurpose!G15</f>
        <v>8011.7664999999997</v>
      </c>
      <c r="C23" s="69">
        <f>ToursByTourPurpose!S15</f>
        <v>30115</v>
      </c>
      <c r="D23" s="69">
        <f t="shared" si="0"/>
        <v>22103.233500000002</v>
      </c>
      <c r="E23" s="72">
        <f t="shared" si="1"/>
        <v>2.7588464416680147</v>
      </c>
      <c r="G23" s="213"/>
      <c r="H23" s="214"/>
      <c r="I23" s="73"/>
      <c r="J23" s="213"/>
      <c r="K23" s="214"/>
    </row>
    <row r="24" spans="1:11" s="68" customFormat="1" ht="18" customHeight="1" x14ac:dyDescent="0.2">
      <c r="A24" s="73" t="s">
        <v>246</v>
      </c>
      <c r="B24" s="69">
        <f>ToursByTourPurpose!I15</f>
        <v>60256.400200000004</v>
      </c>
      <c r="C24" s="69">
        <f>ToursByTourPurpose!U15</f>
        <v>178835</v>
      </c>
      <c r="D24" s="69">
        <f t="shared" si="0"/>
        <v>118578.5998</v>
      </c>
      <c r="E24" s="72">
        <f t="shared" si="1"/>
        <v>1.9679004953236485</v>
      </c>
      <c r="G24" s="213"/>
      <c r="H24" s="214"/>
      <c r="I24" s="73"/>
      <c r="J24" s="213"/>
      <c r="K24" s="214"/>
    </row>
    <row r="25" spans="1:11" s="68" customFormat="1" ht="18" customHeight="1" x14ac:dyDescent="0.2">
      <c r="A25" s="73" t="s">
        <v>170</v>
      </c>
      <c r="B25" s="74">
        <f>ToursByTourPurpose!J15</f>
        <v>29420.3328</v>
      </c>
      <c r="C25" s="74">
        <f>ToursByTourPurpose!V15</f>
        <v>85295</v>
      </c>
      <c r="D25" s="74">
        <f t="shared" si="0"/>
        <v>55874.667199999996</v>
      </c>
      <c r="E25" s="75">
        <f t="shared" si="1"/>
        <v>1.8991854232185978</v>
      </c>
      <c r="G25" s="213"/>
      <c r="H25" s="215"/>
      <c r="I25" s="73"/>
      <c r="J25" s="213"/>
      <c r="K25" s="215"/>
    </row>
    <row r="26" spans="1:11" s="68" customFormat="1" ht="18" customHeight="1" thickBot="1" x14ac:dyDescent="0.25">
      <c r="A26" s="70" t="s">
        <v>221</v>
      </c>
      <c r="B26" s="76">
        <f>SUM(B18:B25)</f>
        <v>415604.54580000008</v>
      </c>
      <c r="C26" s="76">
        <f>SUM(C18:C25)</f>
        <v>1155121</v>
      </c>
      <c r="D26" s="76">
        <f t="shared" si="0"/>
        <v>739516.45419999992</v>
      </c>
      <c r="E26" s="77">
        <f t="shared" si="1"/>
        <v>1.7793752779496181</v>
      </c>
      <c r="G26" s="213"/>
      <c r="H26" s="215"/>
      <c r="I26" s="73"/>
      <c r="J26" s="213"/>
      <c r="K26" s="215"/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263</v>
      </c>
      <c r="G30" s="62" t="s">
        <v>10868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2">
      <c r="A33" s="68" t="s">
        <v>210</v>
      </c>
      <c r="B33" s="69">
        <f>ToursByTourPurpose!F74</f>
        <v>206337.46812649909</v>
      </c>
      <c r="C33" s="69">
        <f>ToursByTourPurpose!W5</f>
        <v>635173</v>
      </c>
      <c r="D33" s="69">
        <f t="shared" ref="D33:D41" si="2">C33-B33</f>
        <v>428835.53187350091</v>
      </c>
      <c r="E33" s="72">
        <f>D33/B33</f>
        <v>2.0783211879414707</v>
      </c>
      <c r="G33" s="78">
        <f>B33/B$26</f>
        <v>0.49647548423542542</v>
      </c>
      <c r="H33" s="78">
        <f>C33/C$26</f>
        <v>0.54987572730475853</v>
      </c>
      <c r="I33" s="78">
        <f>H33-G33</f>
        <v>5.3400243069333109E-2</v>
      </c>
      <c r="J33" s="72">
        <f>I33/G33</f>
        <v>0.10755867059895159</v>
      </c>
      <c r="L33" s="217"/>
      <c r="M33" s="217"/>
    </row>
    <row r="34" spans="1:13" s="68" customFormat="1" ht="18" customHeight="1" x14ac:dyDescent="0.2">
      <c r="A34" s="68" t="s">
        <v>211</v>
      </c>
      <c r="B34" s="69">
        <f>ToursByTourPurpose!F75</f>
        <v>98905.775280479778</v>
      </c>
      <c r="C34" s="69">
        <f>ToursByTourPurpose!W6</f>
        <v>231312</v>
      </c>
      <c r="D34" s="69">
        <f t="shared" si="2"/>
        <v>132406.22471952022</v>
      </c>
      <c r="E34" s="72">
        <f t="shared" ref="E34:E41" si="3">D34/B34</f>
        <v>1.3387107511572396</v>
      </c>
      <c r="G34" s="78">
        <f t="shared" ref="G34:G41" si="4">B34/B$26</f>
        <v>0.23798049439063609</v>
      </c>
      <c r="H34" s="78">
        <f t="shared" ref="H34:H41" si="5">C34/C$26</f>
        <v>0.20024915138760355</v>
      </c>
      <c r="I34" s="78">
        <f t="shared" ref="I34:I41" si="6">H34-G34</f>
        <v>-3.7731343003032547E-2</v>
      </c>
      <c r="J34" s="72">
        <f t="shared" ref="J34:J41" si="7">I34/G34</f>
        <v>-0.15854804865266797</v>
      </c>
      <c r="L34" s="217"/>
      <c r="M34" s="217"/>
    </row>
    <row r="35" spans="1:13" s="68" customFormat="1" ht="18" customHeight="1" x14ac:dyDescent="0.2">
      <c r="A35" s="68" t="s">
        <v>212</v>
      </c>
      <c r="B35" s="69">
        <f>ToursByTourPurpose!F76</f>
        <v>100972.3972377748</v>
      </c>
      <c r="C35" s="69">
        <f>ToursByTourPurpose!W7</f>
        <v>212242</v>
      </c>
      <c r="D35" s="69">
        <f t="shared" si="2"/>
        <v>111269.6027622252</v>
      </c>
      <c r="E35" s="72">
        <f t="shared" si="3"/>
        <v>1.1019804006455549</v>
      </c>
      <c r="G35" s="78">
        <f t="shared" si="4"/>
        <v>0.24295306261247054</v>
      </c>
      <c r="H35" s="78">
        <f t="shared" si="5"/>
        <v>0.18374005840080823</v>
      </c>
      <c r="I35" s="78">
        <f t="shared" si="6"/>
        <v>-5.9213004211662312E-2</v>
      </c>
      <c r="J35" s="72">
        <f t="shared" si="7"/>
        <v>-0.24372199129719044</v>
      </c>
      <c r="L35" s="217"/>
      <c r="M35" s="217"/>
    </row>
    <row r="36" spans="1:13" s="68" customFormat="1" ht="18" customHeight="1" x14ac:dyDescent="0.2">
      <c r="A36" s="68" t="s">
        <v>213</v>
      </c>
      <c r="B36" s="69">
        <f>ToursByTourPurpose!F77</f>
        <v>80348.139497808108</v>
      </c>
      <c r="C36" s="69">
        <f>ToursByTourPurpose!W8</f>
        <v>199299</v>
      </c>
      <c r="D36" s="69">
        <f t="shared" si="2"/>
        <v>118950.86050219189</v>
      </c>
      <c r="E36" s="72">
        <f t="shared" si="3"/>
        <v>1.4804432466720261</v>
      </c>
      <c r="G36" s="78">
        <f t="shared" si="4"/>
        <v>0.19332834616412922</v>
      </c>
      <c r="H36" s="78">
        <f t="shared" si="5"/>
        <v>0.17253517164002732</v>
      </c>
      <c r="I36" s="78">
        <f t="shared" si="6"/>
        <v>-2.0793174524101898E-2</v>
      </c>
      <c r="J36" s="72">
        <f t="shared" si="7"/>
        <v>-0.10755367713356011</v>
      </c>
      <c r="L36" s="217"/>
      <c r="M36" s="217"/>
    </row>
    <row r="37" spans="1:13" s="68" customFormat="1" ht="18" customHeight="1" x14ac:dyDescent="0.2">
      <c r="A37" s="68" t="s">
        <v>214</v>
      </c>
      <c r="B37" s="69">
        <f>ToursByTourPurpose!F78</f>
        <v>60205.388111098</v>
      </c>
      <c r="C37" s="69">
        <f>ToursByTourPurpose!W9</f>
        <v>165928</v>
      </c>
      <c r="D37" s="69">
        <f t="shared" si="2"/>
        <v>105722.611888902</v>
      </c>
      <c r="E37" s="72">
        <f t="shared" si="3"/>
        <v>1.7560323952037369</v>
      </c>
      <c r="G37" s="78">
        <f t="shared" si="4"/>
        <v>0.14486219825918464</v>
      </c>
      <c r="H37" s="78">
        <f t="shared" si="5"/>
        <v>0.14364555747839403</v>
      </c>
      <c r="I37" s="78">
        <f t="shared" si="6"/>
        <v>-1.2166407807906177E-3</v>
      </c>
      <c r="J37" s="72">
        <f t="shared" si="7"/>
        <v>-8.3986077486814577E-3</v>
      </c>
      <c r="L37" s="217"/>
      <c r="M37" s="217"/>
    </row>
    <row r="38" spans="1:13" s="68" customFormat="1" ht="18" customHeight="1" x14ac:dyDescent="0.2">
      <c r="A38" s="68" t="s">
        <v>129</v>
      </c>
      <c r="B38" s="69">
        <f>ToursByTourPurpose!F79</f>
        <v>28661.441365176797</v>
      </c>
      <c r="C38" s="69">
        <f>ToursByTourPurpose!W10</f>
        <v>73398</v>
      </c>
      <c r="D38" s="69">
        <f t="shared" si="2"/>
        <v>44736.558634823203</v>
      </c>
      <c r="E38" s="72">
        <f t="shared" si="3"/>
        <v>1.5608621375607934</v>
      </c>
      <c r="G38" s="78">
        <f t="shared" si="4"/>
        <v>6.8963252820072485E-2</v>
      </c>
      <c r="H38" s="78">
        <f t="shared" si="5"/>
        <v>6.3541395230456377E-2</v>
      </c>
      <c r="I38" s="78">
        <f t="shared" si="6"/>
        <v>-5.4218575896161081E-3</v>
      </c>
      <c r="J38" s="72">
        <f t="shared" si="7"/>
        <v>-7.8619516451202243E-2</v>
      </c>
      <c r="L38" s="217"/>
      <c r="M38" s="217"/>
    </row>
    <row r="39" spans="1:13" s="68" customFormat="1" ht="18" customHeight="1" x14ac:dyDescent="0.2">
      <c r="A39" s="73" t="s">
        <v>130</v>
      </c>
      <c r="B39" s="69">
        <f>ToursByTourPurpose!F80</f>
        <v>120009.561827411</v>
      </c>
      <c r="C39" s="69">
        <f>ToursByTourPurpose!W11</f>
        <v>347776</v>
      </c>
      <c r="D39" s="69">
        <f t="shared" si="2"/>
        <v>227766.438172589</v>
      </c>
      <c r="E39" s="72">
        <f t="shared" si="3"/>
        <v>1.8979024229764798</v>
      </c>
      <c r="G39" s="78">
        <f t="shared" si="4"/>
        <v>0.28875902114209018</v>
      </c>
      <c r="H39" s="78">
        <f t="shared" si="5"/>
        <v>0.30107322090066757</v>
      </c>
      <c r="I39" s="78">
        <f t="shared" si="6"/>
        <v>1.2314199758577393E-2</v>
      </c>
      <c r="J39" s="72">
        <f t="shared" si="7"/>
        <v>4.2645246925525224E-2</v>
      </c>
      <c r="L39" s="217"/>
      <c r="M39" s="217"/>
    </row>
    <row r="40" spans="1:13" s="68" customFormat="1" ht="18" customHeight="1" x14ac:dyDescent="0.2">
      <c r="A40" s="73" t="s">
        <v>247</v>
      </c>
      <c r="B40" s="74">
        <f>ToursByTourPurpose!F81</f>
        <v>22362.4894044785</v>
      </c>
      <c r="C40" s="74">
        <f>ToursByTourPurpose!W12</f>
        <v>79556</v>
      </c>
      <c r="D40" s="74">
        <f t="shared" si="2"/>
        <v>57193.510595521497</v>
      </c>
      <c r="E40" s="75">
        <f t="shared" si="3"/>
        <v>2.5575645698938798</v>
      </c>
      <c r="G40" s="78">
        <f t="shared" si="4"/>
        <v>5.3807133801755676E-2</v>
      </c>
      <c r="H40" s="78">
        <f t="shared" si="5"/>
        <v>6.8872438471813777E-2</v>
      </c>
      <c r="I40" s="79">
        <f t="shared" si="6"/>
        <v>1.5065304670058101E-2</v>
      </c>
      <c r="J40" s="75">
        <f t="shared" si="7"/>
        <v>0.27998712448732094</v>
      </c>
      <c r="L40" s="217"/>
      <c r="M40" s="217"/>
    </row>
    <row r="41" spans="1:13" s="68" customFormat="1" ht="18" customHeight="1" thickBot="1" x14ac:dyDescent="0.25">
      <c r="A41" s="70" t="s">
        <v>221</v>
      </c>
      <c r="B41" s="76">
        <f>ToursByTourPurpose!F82</f>
        <v>717802.66085072618</v>
      </c>
      <c r="C41" s="76">
        <f>ToursByTourPurpose!W13</f>
        <v>1944684</v>
      </c>
      <c r="D41" s="76">
        <f t="shared" si="2"/>
        <v>1226881.3391492739</v>
      </c>
      <c r="E41" s="77">
        <f t="shared" si="3"/>
        <v>1.7092181543255875</v>
      </c>
      <c r="G41" s="211">
        <f t="shared" si="4"/>
        <v>1.7271289934257645</v>
      </c>
      <c r="H41" s="211">
        <f t="shared" si="5"/>
        <v>1.6835327208145294</v>
      </c>
      <c r="I41" s="80">
        <f t="shared" si="6"/>
        <v>-4.359627261123511E-2</v>
      </c>
      <c r="J41" s="77">
        <f t="shared" si="7"/>
        <v>-2.5242047801398895E-2</v>
      </c>
    </row>
    <row r="42" spans="1:13" s="68" customFormat="1" ht="18" customHeight="1" x14ac:dyDescent="0.2">
      <c r="A42" s="73"/>
      <c r="B42" s="69"/>
      <c r="C42" s="69"/>
      <c r="D42" s="69"/>
    </row>
    <row r="43" spans="1:13" s="68" customFormat="1" ht="18" customHeight="1" x14ac:dyDescent="0.2">
      <c r="A43" s="73"/>
      <c r="B43" s="69"/>
      <c r="C43" s="69"/>
      <c r="D43" s="69"/>
    </row>
    <row r="44" spans="1:13" s="68" customFormat="1" ht="18" customHeight="1" x14ac:dyDescent="0.2">
      <c r="A44" s="73"/>
      <c r="B44" s="69"/>
      <c r="C44" s="69"/>
      <c r="D44" s="69"/>
    </row>
    <row r="45" spans="1:13" ht="18" customHeight="1" x14ac:dyDescent="0.2">
      <c r="A45" s="62" t="s">
        <v>288</v>
      </c>
      <c r="G45" s="62" t="s">
        <v>10870</v>
      </c>
    </row>
    <row r="46" spans="1:13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2">
      <c r="A48" s="68" t="s">
        <v>146</v>
      </c>
      <c r="B48" s="69">
        <f>ToursByTourPurpose!B13</f>
        <v>294861.25784180028</v>
      </c>
      <c r="C48" s="69">
        <f>ToursByTourPurpose!N13</f>
        <v>880641</v>
      </c>
      <c r="D48" s="69">
        <f t="shared" ref="D48:D56" si="8">C48-B48</f>
        <v>585779.74215819966</v>
      </c>
      <c r="E48" s="72">
        <f>D48/B48</f>
        <v>1.9866283771755586</v>
      </c>
      <c r="G48" s="78">
        <f>B48/B18</f>
        <v>1.6942690987258211</v>
      </c>
      <c r="H48" s="78">
        <f t="shared" ref="H48:H55" si="9">C48/C18</f>
        <v>1.7558353985935629</v>
      </c>
      <c r="I48" s="78">
        <f t="shared" ref="I48:I56" si="10">H48-G48</f>
        <v>6.1566299867741758E-2</v>
      </c>
      <c r="J48" s="72">
        <f>I48/G48</f>
        <v>3.6337970109968268E-2</v>
      </c>
      <c r="L48" s="216"/>
      <c r="M48" s="216"/>
    </row>
    <row r="49" spans="1:13" s="68" customFormat="1" ht="18" customHeight="1" x14ac:dyDescent="0.2">
      <c r="A49" s="68" t="s">
        <v>147</v>
      </c>
      <c r="B49" s="69">
        <f>ToursByTourPurpose!C13</f>
        <v>61309.236823903295</v>
      </c>
      <c r="C49" s="69">
        <f>ToursByTourPurpose!O13</f>
        <v>192445</v>
      </c>
      <c r="D49" s="69">
        <f t="shared" si="8"/>
        <v>131135.76317609672</v>
      </c>
      <c r="E49" s="72">
        <f t="shared" ref="E49:E56" si="11">D49/B49</f>
        <v>2.1389234309465324</v>
      </c>
      <c r="G49" s="78">
        <f t="shared" ref="G49:G55" si="12">B49/B19</f>
        <v>1.7162475362374403</v>
      </c>
      <c r="H49" s="78">
        <f t="shared" si="9"/>
        <v>1.8136538842134031</v>
      </c>
      <c r="I49" s="78">
        <f t="shared" si="10"/>
        <v>9.7406347975962815E-2</v>
      </c>
      <c r="J49" s="72">
        <f t="shared" ref="J49:J56" si="13">I49/G49</f>
        <v>5.6755418970335987E-2</v>
      </c>
      <c r="L49" s="216"/>
      <c r="M49" s="216"/>
    </row>
    <row r="50" spans="1:13" s="68" customFormat="1" ht="18" customHeight="1" x14ac:dyDescent="0.2">
      <c r="A50" s="68" t="s">
        <v>148</v>
      </c>
      <c r="B50" s="69">
        <f>ToursByTourPurpose!D13</f>
        <v>58140.017243399896</v>
      </c>
      <c r="C50" s="69">
        <f>ToursByTourPurpose!P13</f>
        <v>127299</v>
      </c>
      <c r="D50" s="69">
        <f t="shared" si="8"/>
        <v>69158.982756600104</v>
      </c>
      <c r="E50" s="72">
        <f t="shared" si="11"/>
        <v>1.1895246344195243</v>
      </c>
      <c r="G50" s="78">
        <f t="shared" si="12"/>
        <v>1.3728355097810969</v>
      </c>
      <c r="H50" s="78">
        <f t="shared" si="9"/>
        <v>1.5682238155074284</v>
      </c>
      <c r="I50" s="78">
        <f t="shared" si="10"/>
        <v>0.19538830572633148</v>
      </c>
      <c r="J50" s="72">
        <f t="shared" si="13"/>
        <v>0.14232462981489077</v>
      </c>
      <c r="L50" s="216"/>
      <c r="M50" s="216"/>
    </row>
    <row r="51" spans="1:13" s="68" customFormat="1" ht="18" customHeight="1" x14ac:dyDescent="0.2">
      <c r="A51" s="68" t="s">
        <v>243</v>
      </c>
      <c r="B51" s="69">
        <f>ToursByTourPurpose!E13</f>
        <v>129573.20080511208</v>
      </c>
      <c r="C51" s="69">
        <f>ToursByTourPurpose!Q13</f>
        <v>184390</v>
      </c>
      <c r="D51" s="69">
        <f t="shared" si="8"/>
        <v>54816.799194887921</v>
      </c>
      <c r="E51" s="72">
        <f t="shared" si="11"/>
        <v>0.42305661089083185</v>
      </c>
      <c r="G51" s="78">
        <f t="shared" si="12"/>
        <v>2.2163458270477339</v>
      </c>
      <c r="H51" s="78">
        <f t="shared" si="9"/>
        <v>1.8029196366587468</v>
      </c>
      <c r="I51" s="78">
        <f t="shared" si="10"/>
        <v>-0.41342619038898709</v>
      </c>
      <c r="J51" s="72">
        <f t="shared" si="13"/>
        <v>-0.18653505483830032</v>
      </c>
      <c r="L51" s="216"/>
      <c r="M51" s="216"/>
    </row>
    <row r="52" spans="1:13" s="68" customFormat="1" ht="18" customHeight="1" x14ac:dyDescent="0.2">
      <c r="A52" s="68" t="s">
        <v>244</v>
      </c>
      <c r="B52" s="69">
        <f>ToursByTourPurpose!F13</f>
        <v>11948.3596365105</v>
      </c>
      <c r="C52" s="69">
        <f>ToursByTourPurpose!R13</f>
        <v>130037</v>
      </c>
      <c r="D52" s="69">
        <f t="shared" si="8"/>
        <v>118088.6403634895</v>
      </c>
      <c r="E52" s="72">
        <f t="shared" si="11"/>
        <v>9.883251254226316</v>
      </c>
      <c r="G52" s="78">
        <f t="shared" si="12"/>
        <v>1.6265426283068409</v>
      </c>
      <c r="H52" s="78">
        <f t="shared" si="9"/>
        <v>1.8638220413077442</v>
      </c>
      <c r="I52" s="78">
        <f t="shared" si="10"/>
        <v>0.23727941300090327</v>
      </c>
      <c r="J52" s="72">
        <f t="shared" si="13"/>
        <v>0.14587961537036423</v>
      </c>
      <c r="L52" s="216"/>
      <c r="M52" s="216"/>
    </row>
    <row r="53" spans="1:13" s="68" customFormat="1" ht="18" customHeight="1" x14ac:dyDescent="0.2">
      <c r="A53" s="68" t="s">
        <v>245</v>
      </c>
      <c r="B53" s="69">
        <f>ToursByTourPurpose!G13</f>
        <v>12439.88875</v>
      </c>
      <c r="C53" s="69">
        <f>ToursByTourPurpose!S13</f>
        <v>41281</v>
      </c>
      <c r="D53" s="69">
        <f t="shared" si="8"/>
        <v>28841.111250000002</v>
      </c>
      <c r="E53" s="72">
        <f t="shared" si="11"/>
        <v>2.3184380366745643</v>
      </c>
      <c r="G53" s="78">
        <f t="shared" si="12"/>
        <v>1.5527023597105583</v>
      </c>
      <c r="H53" s="78">
        <f t="shared" si="9"/>
        <v>1.3707786817200731</v>
      </c>
      <c r="I53" s="78">
        <f t="shared" si="10"/>
        <v>-0.18192367799048514</v>
      </c>
      <c r="J53" s="72">
        <f t="shared" si="13"/>
        <v>-0.11716584112385701</v>
      </c>
      <c r="L53" s="216"/>
      <c r="M53" s="216"/>
    </row>
    <row r="54" spans="1:13" s="68" customFormat="1" ht="18" customHeight="1" x14ac:dyDescent="0.2">
      <c r="A54" s="73" t="s">
        <v>246</v>
      </c>
      <c r="B54" s="69">
        <f>ToursByTourPurpose!I13</f>
        <v>103440.64662499999</v>
      </c>
      <c r="C54" s="69">
        <f>ToursByTourPurpose!U13</f>
        <v>260546</v>
      </c>
      <c r="D54" s="69">
        <f t="shared" si="8"/>
        <v>157105.35337500001</v>
      </c>
      <c r="E54" s="72">
        <f t="shared" si="11"/>
        <v>1.518797092834782</v>
      </c>
      <c r="G54" s="78">
        <f t="shared" si="12"/>
        <v>1.7166748475127127</v>
      </c>
      <c r="H54" s="78">
        <f t="shared" si="9"/>
        <v>1.456907204965471</v>
      </c>
      <c r="I54" s="78">
        <f t="shared" si="10"/>
        <v>-0.25976764254724172</v>
      </c>
      <c r="J54" s="72">
        <f t="shared" si="13"/>
        <v>-0.15132023570079017</v>
      </c>
      <c r="L54" s="216"/>
      <c r="M54" s="216"/>
    </row>
    <row r="55" spans="1:13" s="68" customFormat="1" ht="18" customHeight="1" x14ac:dyDescent="0.2">
      <c r="A55" s="73" t="s">
        <v>170</v>
      </c>
      <c r="B55" s="74">
        <f>ToursByTourPurpose!J13</f>
        <v>46090.053124999999</v>
      </c>
      <c r="C55" s="74">
        <f>ToursByTourPurpose!V13</f>
        <v>128045</v>
      </c>
      <c r="D55" s="74">
        <f t="shared" si="8"/>
        <v>81954.946874999994</v>
      </c>
      <c r="E55" s="75">
        <f t="shared" si="11"/>
        <v>1.7781482406351641</v>
      </c>
      <c r="G55" s="79">
        <f t="shared" si="12"/>
        <v>1.5666054302757582</v>
      </c>
      <c r="H55" s="79">
        <f t="shared" si="9"/>
        <v>1.5012017117064307</v>
      </c>
      <c r="I55" s="79">
        <f t="shared" si="10"/>
        <v>-6.5403718569327474E-2</v>
      </c>
      <c r="J55" s="75">
        <f t="shared" si="13"/>
        <v>-4.174868623927528E-2</v>
      </c>
      <c r="L55" s="216"/>
      <c r="M55" s="216"/>
    </row>
    <row r="56" spans="1:13" s="68" customFormat="1" ht="18" customHeight="1" thickBot="1" x14ac:dyDescent="0.25">
      <c r="A56" s="70" t="s">
        <v>221</v>
      </c>
      <c r="B56" s="76">
        <f>SUM(B48:B55)</f>
        <v>717802.66085072595</v>
      </c>
      <c r="C56" s="76">
        <f>ToursByTourPurpose!W13</f>
        <v>1944684</v>
      </c>
      <c r="D56" s="76">
        <f t="shared" si="8"/>
        <v>1226881.3391492739</v>
      </c>
      <c r="E56" s="77">
        <f t="shared" si="11"/>
        <v>1.7092181543255882</v>
      </c>
      <c r="G56" s="80">
        <f>B56/B26</f>
        <v>1.7271289934257639</v>
      </c>
      <c r="H56" s="80">
        <f>C56/C26</f>
        <v>1.6835327208145294</v>
      </c>
      <c r="I56" s="80">
        <f t="shared" si="10"/>
        <v>-4.3596272611234443E-2</v>
      </c>
      <c r="J56" s="77">
        <f t="shared" si="13"/>
        <v>-2.5242047801398521E-2</v>
      </c>
    </row>
    <row r="57" spans="1:13" s="68" customFormat="1" ht="18" customHeight="1" x14ac:dyDescent="0.2"/>
    <row r="58" spans="1:13" s="68" customFormat="1" ht="18" customHeight="1" x14ac:dyDescent="0.2"/>
    <row r="59" spans="1:13" s="68" customFormat="1" ht="18" customHeight="1" x14ac:dyDescent="0.2"/>
    <row r="60" spans="1:13" ht="18" customHeight="1" x14ac:dyDescent="0.2">
      <c r="A60" s="64" t="s">
        <v>219</v>
      </c>
      <c r="G60" s="62" t="s">
        <v>10869</v>
      </c>
      <c r="L60" s="62" t="s">
        <v>10872</v>
      </c>
    </row>
    <row r="61" spans="1:13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3" s="68" customFormat="1" ht="18" customHeight="1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3" s="68" customFormat="1" ht="18" customHeight="1" x14ac:dyDescent="0.2">
      <c r="A63" s="68" t="s">
        <v>210</v>
      </c>
      <c r="B63" s="69">
        <f>TripsByDestinationPurpose!F73</f>
        <v>258588.19513784879</v>
      </c>
      <c r="C63" s="69">
        <f>TripsByDestinationPurpose!W5</f>
        <v>489287</v>
      </c>
      <c r="D63" s="69">
        <f t="shared" ref="D63:D71" si="14">C63-B63</f>
        <v>230698.80486215121</v>
      </c>
      <c r="E63" s="72">
        <f t="shared" ref="E63:E71" si="15">D63/B63</f>
        <v>0.89214747308619313</v>
      </c>
      <c r="G63" s="78">
        <f>B63/B$26</f>
        <v>0.62219770633184623</v>
      </c>
      <c r="H63" s="78">
        <f>C63/C$26</f>
        <v>0.42358073310068817</v>
      </c>
      <c r="I63" s="78">
        <f t="shared" ref="I63:I71" si="16">H63-G63</f>
        <v>-0.19861697323115807</v>
      </c>
      <c r="J63" s="72">
        <f t="shared" ref="J63:J71" si="17">I63/G63</f>
        <v>-0.31921842721359478</v>
      </c>
      <c r="L63" s="78">
        <f>B63/B33</f>
        <v>1.2532294666876322</v>
      </c>
      <c r="M63" s="78">
        <f>C63/C33</f>
        <v>0.77032084172343596</v>
      </c>
    </row>
    <row r="64" spans="1:13" s="68" customFormat="1" ht="18" customHeight="1" x14ac:dyDescent="0.2">
      <c r="A64" s="68" t="s">
        <v>211</v>
      </c>
      <c r="B64" s="69">
        <f>TripsByDestinationPurpose!F74</f>
        <v>104446.2581821878</v>
      </c>
      <c r="C64" s="69">
        <f>TripsByDestinationPurpose!W6</f>
        <v>114896</v>
      </c>
      <c r="D64" s="69">
        <f t="shared" si="14"/>
        <v>10449.741817812202</v>
      </c>
      <c r="E64" s="72">
        <f t="shared" si="15"/>
        <v>0.10004898212422793</v>
      </c>
      <c r="G64" s="78">
        <f t="shared" ref="G64:G71" si="18">B64/B$26</f>
        <v>0.25131163563463549</v>
      </c>
      <c r="H64" s="78">
        <f t="shared" ref="H64:H71" si="19">C64/C$26</f>
        <v>9.946663596281255E-2</v>
      </c>
      <c r="I64" s="78">
        <f t="shared" si="16"/>
        <v>-0.15184499967182294</v>
      </c>
      <c r="J64" s="72">
        <f t="shared" si="17"/>
        <v>-0.60420998529721814</v>
      </c>
      <c r="L64" s="78">
        <f t="shared" ref="L64:M64" si="20">B64/B34</f>
        <v>1.0560177895173073</v>
      </c>
      <c r="M64" s="78">
        <f t="shared" si="20"/>
        <v>0.49671439441101195</v>
      </c>
    </row>
    <row r="65" spans="1:13" s="68" customFormat="1" ht="18" customHeight="1" x14ac:dyDescent="0.2">
      <c r="A65" s="68" t="s">
        <v>212</v>
      </c>
      <c r="B65" s="69">
        <f>TripsByDestinationPurpose!F75</f>
        <v>185546.87445799078</v>
      </c>
      <c r="C65" s="69">
        <f>TripsByDestinationPurpose!W7</f>
        <v>215268</v>
      </c>
      <c r="D65" s="69">
        <f t="shared" si="14"/>
        <v>29721.12554200922</v>
      </c>
      <c r="E65" s="72">
        <f t="shared" si="15"/>
        <v>0.1601812244416885</v>
      </c>
      <c r="G65" s="78">
        <f t="shared" si="18"/>
        <v>0.4464505413453318</v>
      </c>
      <c r="H65" s="78">
        <f t="shared" si="19"/>
        <v>0.18635969738235214</v>
      </c>
      <c r="I65" s="78">
        <f t="shared" si="16"/>
        <v>-0.26009084396297966</v>
      </c>
      <c r="J65" s="72">
        <f t="shared" si="17"/>
        <v>-0.58257482044757569</v>
      </c>
      <c r="L65" s="78">
        <f t="shared" ref="L65:M65" si="21">B65/B35</f>
        <v>1.8375999731991686</v>
      </c>
      <c r="M65" s="78">
        <f t="shared" si="21"/>
        <v>1.0142573100517334</v>
      </c>
    </row>
    <row r="66" spans="1:13" s="68" customFormat="1" ht="18" customHeight="1" x14ac:dyDescent="0.2">
      <c r="A66" s="68" t="s">
        <v>213</v>
      </c>
      <c r="B66" s="69">
        <f>TripsByDestinationPurpose!F76</f>
        <v>173118.5883234489</v>
      </c>
      <c r="C66" s="69">
        <f>TripsByDestinationPurpose!W8</f>
        <v>287489</v>
      </c>
      <c r="D66" s="69">
        <f t="shared" si="14"/>
        <v>114370.4116765511</v>
      </c>
      <c r="E66" s="72">
        <f t="shared" si="15"/>
        <v>0.66064778360406506</v>
      </c>
      <c r="G66" s="78">
        <f t="shared" si="18"/>
        <v>0.41654642633951883</v>
      </c>
      <c r="H66" s="78">
        <f t="shared" si="19"/>
        <v>0.2488821517399476</v>
      </c>
      <c r="I66" s="78">
        <f t="shared" si="16"/>
        <v>-0.16766427459957123</v>
      </c>
      <c r="J66" s="72">
        <f t="shared" si="17"/>
        <v>-0.40251041420029221</v>
      </c>
      <c r="L66" s="78">
        <f t="shared" ref="L66:M66" si="22">B66/B36</f>
        <v>2.1546060606440247</v>
      </c>
      <c r="M66" s="78">
        <f t="shared" si="22"/>
        <v>1.4425009658854284</v>
      </c>
    </row>
    <row r="67" spans="1:13" s="68" customFormat="1" ht="18" customHeight="1" x14ac:dyDescent="0.2">
      <c r="A67" s="68" t="s">
        <v>214</v>
      </c>
      <c r="B67" s="69">
        <f>TripsByDestinationPurpose!F77</f>
        <v>194291.16559827581</v>
      </c>
      <c r="C67" s="69">
        <f>TripsByDestinationPurpose!W9</f>
        <v>305896</v>
      </c>
      <c r="D67" s="69">
        <f t="shared" si="14"/>
        <v>111604.83440172419</v>
      </c>
      <c r="E67" s="72">
        <f t="shared" si="15"/>
        <v>0.57442053043463037</v>
      </c>
      <c r="G67" s="78">
        <f t="shared" si="18"/>
        <v>0.46749047276247518</v>
      </c>
      <c r="H67" s="78">
        <f t="shared" si="19"/>
        <v>0.26481727888247203</v>
      </c>
      <c r="I67" s="78">
        <f t="shared" si="16"/>
        <v>-0.20267319388000316</v>
      </c>
      <c r="J67" s="72">
        <f t="shared" si="17"/>
        <v>-0.43353438345465134</v>
      </c>
      <c r="L67" s="78">
        <f t="shared" ref="L67:M67" si="23">B67/B37</f>
        <v>3.227139159700243</v>
      </c>
      <c r="M67" s="78">
        <f t="shared" si="23"/>
        <v>1.8435465985246613</v>
      </c>
    </row>
    <row r="68" spans="1:13" s="68" customFormat="1" ht="18" customHeight="1" x14ac:dyDescent="0.2">
      <c r="A68" s="68" t="s">
        <v>129</v>
      </c>
      <c r="B68" s="69">
        <f>TripsByDestinationPurpose!F78</f>
        <v>93465.630610357504</v>
      </c>
      <c r="C68" s="69">
        <f>TripsByDestinationPurpose!W10</f>
        <v>153894</v>
      </c>
      <c r="D68" s="69">
        <f t="shared" si="14"/>
        <v>60428.369389642496</v>
      </c>
      <c r="E68" s="72">
        <f t="shared" si="15"/>
        <v>0.64653037694206772</v>
      </c>
      <c r="G68" s="78">
        <f t="shared" si="18"/>
        <v>0.22489078032206039</v>
      </c>
      <c r="H68" s="78">
        <f t="shared" si="19"/>
        <v>0.13322760126428312</v>
      </c>
      <c r="I68" s="78">
        <f t="shared" si="16"/>
        <v>-9.1663179057777266E-2</v>
      </c>
      <c r="J68" s="72">
        <f t="shared" si="17"/>
        <v>-0.40758975946683429</v>
      </c>
      <c r="L68" s="78">
        <f t="shared" ref="L68:M68" si="24">B68/B38</f>
        <v>3.2610233874670653</v>
      </c>
      <c r="M68" s="78">
        <f t="shared" si="24"/>
        <v>2.0967056323060573</v>
      </c>
    </row>
    <row r="69" spans="1:13" s="68" customFormat="1" ht="18" customHeight="1" x14ac:dyDescent="0.2">
      <c r="A69" s="68" t="s">
        <v>130</v>
      </c>
      <c r="B69" s="69">
        <f>TripsByDestinationPurpose!F79</f>
        <v>198718.7533229267</v>
      </c>
      <c r="C69" s="69">
        <f>TripsByDestinationPurpose!W11</f>
        <v>276482</v>
      </c>
      <c r="D69" s="69">
        <f t="shared" si="14"/>
        <v>77763.246677073301</v>
      </c>
      <c r="E69" s="72">
        <f t="shared" si="15"/>
        <v>0.3913231407541321</v>
      </c>
      <c r="G69" s="78">
        <f t="shared" si="18"/>
        <v>0.47814383969360003</v>
      </c>
      <c r="H69" s="78">
        <f t="shared" si="19"/>
        <v>0.23935327987284449</v>
      </c>
      <c r="I69" s="78">
        <f t="shared" si="16"/>
        <v>-0.23879055982075553</v>
      </c>
      <c r="J69" s="72">
        <f t="shared" si="17"/>
        <v>-0.49941155777260504</v>
      </c>
      <c r="L69" s="78">
        <f t="shared" ref="L69:M69" si="25">B69/B39</f>
        <v>1.6558576691473095</v>
      </c>
      <c r="M69" s="78">
        <f t="shared" si="25"/>
        <v>0.79500023003312481</v>
      </c>
    </row>
    <row r="70" spans="1:13" s="68" customFormat="1" ht="18" customHeight="1" x14ac:dyDescent="0.2">
      <c r="A70" s="81" t="s">
        <v>145</v>
      </c>
      <c r="B70" s="74">
        <f>TripsByDestinationPurpose!F80</f>
        <v>694210.22536890185</v>
      </c>
      <c r="C70" s="74">
        <f>TripsByDestinationPurpose!W12</f>
        <v>938168</v>
      </c>
      <c r="D70" s="74">
        <f t="shared" si="14"/>
        <v>243957.77463109815</v>
      </c>
      <c r="E70" s="75">
        <f t="shared" si="15"/>
        <v>0.35141772004504757</v>
      </c>
      <c r="G70" s="78">
        <f t="shared" si="18"/>
        <v>1.6703624452244905</v>
      </c>
      <c r="H70" s="78">
        <f t="shared" si="19"/>
        <v>0.81218158097723092</v>
      </c>
      <c r="I70" s="79">
        <f t="shared" si="16"/>
        <v>-0.85818086424725959</v>
      </c>
      <c r="J70" s="75">
        <f t="shared" si="17"/>
        <v>-0.51376925211696989</v>
      </c>
      <c r="L70" s="78"/>
      <c r="M70" s="78"/>
    </row>
    <row r="71" spans="1:13" s="68" customFormat="1" ht="18" customHeight="1" thickBot="1" x14ac:dyDescent="0.25">
      <c r="A71" s="70" t="s">
        <v>221</v>
      </c>
      <c r="B71" s="71">
        <f>SUM(B63:B70)</f>
        <v>1902385.6910019382</v>
      </c>
      <c r="C71" s="71">
        <f>TripsByDestinationPurpose!W13</f>
        <v>2781380</v>
      </c>
      <c r="D71" s="71">
        <f t="shared" si="14"/>
        <v>878994.30899806181</v>
      </c>
      <c r="E71" s="82">
        <f t="shared" si="15"/>
        <v>0.46204842328009621</v>
      </c>
      <c r="G71" s="211">
        <f t="shared" si="18"/>
        <v>4.5773938476539584</v>
      </c>
      <c r="H71" s="211">
        <f t="shared" si="19"/>
        <v>2.4078689591826312</v>
      </c>
      <c r="I71" s="80">
        <f t="shared" si="16"/>
        <v>-2.1695248884713272</v>
      </c>
      <c r="J71" s="77">
        <f t="shared" si="17"/>
        <v>-0.4739650903282594</v>
      </c>
      <c r="L71" s="211">
        <f>B71/B41</f>
        <v>2.6502906644944262</v>
      </c>
      <c r="M71" s="211">
        <f>C71/C41</f>
        <v>1.4302477934718443</v>
      </c>
    </row>
    <row r="72" spans="1:13" s="68" customFormat="1" ht="18" customHeight="1" x14ac:dyDescent="0.2"/>
    <row r="73" spans="1:13" s="68" customFormat="1" ht="18" customHeight="1" x14ac:dyDescent="0.2"/>
    <row r="74" spans="1:13" s="68" customFormat="1" ht="18" customHeight="1" x14ac:dyDescent="0.2"/>
    <row r="75" spans="1:13" s="68" customFormat="1" ht="18" customHeight="1" x14ac:dyDescent="0.2">
      <c r="A75" s="62" t="s">
        <v>220</v>
      </c>
      <c r="G75" s="62" t="s">
        <v>10871</v>
      </c>
    </row>
    <row r="76" spans="1:13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3" s="68" customFormat="1" ht="18" customHeight="1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3" s="68" customFormat="1" ht="18" customHeight="1" x14ac:dyDescent="0.2">
      <c r="A78" s="68" t="s">
        <v>146</v>
      </c>
      <c r="B78" s="69">
        <f>TripsByDestinationPurpose!B13</f>
        <v>789271.78188638738</v>
      </c>
      <c r="C78" s="69">
        <f>TripsByDestinationPurpose!N13</f>
        <v>1356554</v>
      </c>
      <c r="D78" s="69">
        <f t="shared" ref="D78:D85" si="26">C78-B78</f>
        <v>567282.21811361262</v>
      </c>
      <c r="E78" s="72">
        <f>D78/B78</f>
        <v>0.71874128929047498</v>
      </c>
      <c r="G78" s="78">
        <f t="shared" ref="G78:H78" si="27">B78/B18</f>
        <v>4.5351457846111174</v>
      </c>
      <c r="H78" s="78">
        <f t="shared" si="27"/>
        <v>2.7047179648729642</v>
      </c>
      <c r="I78" s="78">
        <f t="shared" ref="I78:I86" si="28">H78-G78</f>
        <v>-1.8304278197381532</v>
      </c>
      <c r="J78" s="72">
        <f>I78/G78</f>
        <v>-0.40360947732909758</v>
      </c>
    </row>
    <row r="79" spans="1:13" s="68" customFormat="1" ht="18" customHeight="1" x14ac:dyDescent="0.2">
      <c r="A79" s="68" t="s">
        <v>147</v>
      </c>
      <c r="B79" s="69">
        <f>TripsByDestinationPurpose!C13</f>
        <v>171567.45324066971</v>
      </c>
      <c r="C79" s="69">
        <f>TripsByDestinationPurpose!O13</f>
        <v>272601</v>
      </c>
      <c r="D79" s="69">
        <f t="shared" si="26"/>
        <v>101033.54675933029</v>
      </c>
      <c r="E79" s="72">
        <f t="shared" ref="E79:E86" si="29">D79/B79</f>
        <v>0.58888527428103421</v>
      </c>
      <c r="G79" s="78">
        <f t="shared" ref="G79:G85" si="30">B79/B19</f>
        <v>4.8027382850740423</v>
      </c>
      <c r="H79" s="78">
        <f t="shared" ref="H79:H85" si="31">C79/C19</f>
        <v>2.5690657719891807</v>
      </c>
      <c r="I79" s="78">
        <f t="shared" si="28"/>
        <v>-2.2336725130848616</v>
      </c>
      <c r="J79" s="72">
        <f t="shared" ref="J79:J86" si="32">I79/G79</f>
        <v>-0.46508312144067326</v>
      </c>
    </row>
    <row r="80" spans="1:13" s="68" customFormat="1" ht="18" customHeight="1" x14ac:dyDescent="0.2">
      <c r="A80" s="68" t="s">
        <v>148</v>
      </c>
      <c r="B80" s="69">
        <f>TripsByDestinationPurpose!D13</f>
        <v>168036.1803033074</v>
      </c>
      <c r="C80" s="69">
        <f>TripsByDestinationPurpose!P13</f>
        <v>226754</v>
      </c>
      <c r="D80" s="69">
        <f t="shared" si="26"/>
        <v>58717.819696692604</v>
      </c>
      <c r="E80" s="72">
        <f t="shared" si="29"/>
        <v>0.34943557744948861</v>
      </c>
      <c r="G80" s="78">
        <f t="shared" si="30"/>
        <v>3.9677668873506744</v>
      </c>
      <c r="H80" s="78">
        <f t="shared" si="31"/>
        <v>2.7934313942888118</v>
      </c>
      <c r="I80" s="78">
        <f t="shared" si="28"/>
        <v>-1.1743354930618626</v>
      </c>
      <c r="J80" s="72">
        <f t="shared" si="32"/>
        <v>-0.29596887276963502</v>
      </c>
    </row>
    <row r="81" spans="1:12" s="68" customFormat="1" ht="18" customHeight="1" x14ac:dyDescent="0.2">
      <c r="A81" s="68" t="s">
        <v>243</v>
      </c>
      <c r="B81" s="69">
        <f>TripsByDestinationPurpose!E13</f>
        <v>350100.69623532321</v>
      </c>
      <c r="C81" s="69">
        <f>TripsByDestinationPurpose!Q13</f>
        <v>258935</v>
      </c>
      <c r="D81" s="69">
        <f t="shared" si="26"/>
        <v>-91165.696235323208</v>
      </c>
      <c r="E81" s="72">
        <f t="shared" si="29"/>
        <v>-0.26039850024761274</v>
      </c>
      <c r="G81" s="78">
        <f t="shared" si="30"/>
        <v>5.9884622153831319</v>
      </c>
      <c r="H81" s="78">
        <f t="shared" si="31"/>
        <v>2.5318021374165225</v>
      </c>
      <c r="I81" s="78">
        <f t="shared" si="28"/>
        <v>-3.4566600779666095</v>
      </c>
      <c r="J81" s="72">
        <f t="shared" si="32"/>
        <v>-0.57721998630752958</v>
      </c>
    </row>
    <row r="82" spans="1:12" s="68" customFormat="1" ht="18" customHeight="1" x14ac:dyDescent="0.2">
      <c r="A82" s="68" t="s">
        <v>244</v>
      </c>
      <c r="B82" s="69">
        <f>TripsByDestinationPurpose!F13</f>
        <v>35356.162836250493</v>
      </c>
      <c r="C82" s="69">
        <f>TripsByDestinationPurpose!R13</f>
        <v>185245</v>
      </c>
      <c r="D82" s="69">
        <f t="shared" si="26"/>
        <v>149888.8371637495</v>
      </c>
      <c r="E82" s="72">
        <f t="shared" si="29"/>
        <v>4.2393977496355815</v>
      </c>
      <c r="G82" s="78">
        <f t="shared" si="30"/>
        <v>4.8130712311999622</v>
      </c>
      <c r="H82" s="78">
        <f t="shared" si="31"/>
        <v>2.6551190356748697</v>
      </c>
      <c r="I82" s="78">
        <f t="shared" si="28"/>
        <v>-2.1579521955250924</v>
      </c>
      <c r="J82" s="72">
        <f t="shared" si="32"/>
        <v>-0.44835243275364667</v>
      </c>
    </row>
    <row r="83" spans="1:12" s="68" customFormat="1" ht="18" customHeight="1" x14ac:dyDescent="0.2">
      <c r="A83" s="68" t="s">
        <v>245</v>
      </c>
      <c r="B83" s="69">
        <f>TripsByDestinationPurpose!G13</f>
        <v>34067.360249999998</v>
      </c>
      <c r="C83" s="69">
        <f>TripsByDestinationPurpose!S13</f>
        <v>50071</v>
      </c>
      <c r="D83" s="69">
        <f t="shared" si="26"/>
        <v>16003.639750000002</v>
      </c>
      <c r="E83" s="72">
        <f t="shared" si="29"/>
        <v>0.46976459674476845</v>
      </c>
      <c r="G83" s="78">
        <f t="shared" si="30"/>
        <v>4.2521658925032328</v>
      </c>
      <c r="H83" s="78">
        <f t="shared" si="31"/>
        <v>1.6626598040843434</v>
      </c>
      <c r="I83" s="78">
        <f t="shared" si="28"/>
        <v>-2.5895060884188892</v>
      </c>
      <c r="J83" s="72">
        <f t="shared" si="32"/>
        <v>-0.60898519810440821</v>
      </c>
    </row>
    <row r="84" spans="1:12" s="68" customFormat="1" ht="18" customHeight="1" x14ac:dyDescent="0.2">
      <c r="A84" s="73" t="s">
        <v>246</v>
      </c>
      <c r="B84" s="69">
        <f>TripsByDestinationPurpose!I13</f>
        <v>244830.97062500002</v>
      </c>
      <c r="C84" s="69">
        <f>TripsByDestinationPurpose!U13</f>
        <v>279397</v>
      </c>
      <c r="D84" s="69">
        <f t="shared" si="26"/>
        <v>34566.029374999984</v>
      </c>
      <c r="E84" s="72">
        <f t="shared" si="29"/>
        <v>0.14118323873307553</v>
      </c>
      <c r="G84" s="78">
        <f t="shared" si="30"/>
        <v>4.0631529565717406</v>
      </c>
      <c r="H84" s="78">
        <f t="shared" si="31"/>
        <v>1.5623172197835995</v>
      </c>
      <c r="I84" s="78">
        <f t="shared" si="28"/>
        <v>-2.5008357367881411</v>
      </c>
      <c r="J84" s="72">
        <f t="shared" si="32"/>
        <v>-0.61549140864689611</v>
      </c>
    </row>
    <row r="85" spans="1:12" s="68" customFormat="1" ht="18" customHeight="1" x14ac:dyDescent="0.2">
      <c r="A85" s="73" t="s">
        <v>170</v>
      </c>
      <c r="B85" s="74">
        <f>TripsByDestinationPurpose!J13</f>
        <v>109155.08562500001</v>
      </c>
      <c r="C85" s="74">
        <f>TripsByDestinationPurpose!V13</f>
        <v>151823</v>
      </c>
      <c r="D85" s="74">
        <f t="shared" si="26"/>
        <v>42667.914374999993</v>
      </c>
      <c r="E85" s="75">
        <f t="shared" si="29"/>
        <v>0.3908925922295981</v>
      </c>
      <c r="G85" s="78">
        <f t="shared" si="30"/>
        <v>3.71019207590337</v>
      </c>
      <c r="H85" s="78">
        <f t="shared" si="31"/>
        <v>1.779975379565039</v>
      </c>
      <c r="I85" s="79">
        <f t="shared" si="28"/>
        <v>-1.9302166963383309</v>
      </c>
      <c r="J85" s="75">
        <f t="shared" si="32"/>
        <v>-0.52024710765637527</v>
      </c>
    </row>
    <row r="86" spans="1:12" s="68" customFormat="1" ht="18" customHeight="1" thickBot="1" x14ac:dyDescent="0.25">
      <c r="A86" s="70" t="s">
        <v>221</v>
      </c>
      <c r="B86" s="76">
        <f>SUM(B78:B85)</f>
        <v>1902385.691001938</v>
      </c>
      <c r="C86" s="76">
        <f>SUM(C78:C85)</f>
        <v>2781380</v>
      </c>
      <c r="D86" s="76">
        <f>SUM(D78:D85)</f>
        <v>878994.30899806181</v>
      </c>
      <c r="E86" s="77">
        <f t="shared" si="29"/>
        <v>0.46204842328009627</v>
      </c>
      <c r="G86" s="211">
        <f t="shared" ref="G86" si="33">B86/B26</f>
        <v>4.5773938476539575</v>
      </c>
      <c r="H86" s="211">
        <f t="shared" ref="H86" si="34">C86/C26</f>
        <v>2.4078689591826312</v>
      </c>
      <c r="I86" s="80">
        <f t="shared" si="28"/>
        <v>-2.1695248884713263</v>
      </c>
      <c r="J86" s="77">
        <f t="shared" si="32"/>
        <v>-0.47396509032825929</v>
      </c>
      <c r="K86" s="78"/>
      <c r="L86" s="78"/>
    </row>
    <row r="87" spans="1:12" s="68" customFormat="1" ht="18" customHeight="1" x14ac:dyDescent="0.2"/>
    <row r="88" spans="1:12" s="68" customFormat="1" ht="18" customHeight="1" x14ac:dyDescent="0.2">
      <c r="A88"/>
      <c r="B88"/>
      <c r="C88"/>
      <c r="D88"/>
      <c r="E88"/>
    </row>
    <row r="89" spans="1:12" s="68" customFormat="1" ht="18" customHeight="1" x14ac:dyDescent="0.2">
      <c r="A89"/>
      <c r="B89"/>
      <c r="C89"/>
      <c r="D89"/>
      <c r="E89"/>
    </row>
    <row r="90" spans="1:12" s="68" customFormat="1" ht="18" customHeight="1" x14ac:dyDescent="0.2">
      <c r="A90"/>
      <c r="B90"/>
      <c r="C90"/>
      <c r="D90"/>
      <c r="E90"/>
    </row>
    <row r="91" spans="1:12" s="68" customFormat="1" ht="18" customHeight="1" x14ac:dyDescent="0.2">
      <c r="A91"/>
      <c r="B91"/>
      <c r="C91"/>
      <c r="D91"/>
      <c r="E91"/>
    </row>
    <row r="92" spans="1:12" s="68" customFormat="1" ht="18" customHeight="1" x14ac:dyDescent="0.2">
      <c r="A92"/>
      <c r="B92"/>
      <c r="C92"/>
      <c r="D92"/>
      <c r="E92"/>
    </row>
    <row r="93" spans="1:12" s="68" customFormat="1" ht="18" customHeight="1" x14ac:dyDescent="0.2">
      <c r="A93"/>
      <c r="B93"/>
      <c r="C93"/>
      <c r="D93"/>
      <c r="E93"/>
    </row>
    <row r="94" spans="1:12" s="68" customFormat="1" ht="18" customHeight="1" x14ac:dyDescent="0.2">
      <c r="A94"/>
      <c r="B94"/>
      <c r="C94"/>
      <c r="D94"/>
      <c r="E94"/>
    </row>
    <row r="95" spans="1:12" s="68" customFormat="1" ht="18" customHeight="1" x14ac:dyDescent="0.2">
      <c r="A95"/>
      <c r="B95"/>
      <c r="C95"/>
      <c r="D95"/>
      <c r="E95"/>
    </row>
    <row r="96" spans="1:12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5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7.0879567195857709E-2</v>
      </c>
      <c r="C5" s="12">
        <f>output_NHTS!C4/SUM(output_NHTS!C$4:C$7)</f>
        <v>0.158568580677588</v>
      </c>
      <c r="D5" s="12">
        <f>output_NHTS!D4/SUM(output_NHTS!D$4:D$7)</f>
        <v>0.27164331150428717</v>
      </c>
      <c r="E5" s="12">
        <f>output_NHTS!E4/SUM(output_NHTS!E$4:E$7)</f>
        <v>0.11580559963858154</v>
      </c>
      <c r="F5" s="12">
        <f>output_NHTS!F4/SUM(output_NHTS!F$4:F$7)</f>
        <v>0.12823516778804159</v>
      </c>
      <c r="G5" s="12">
        <f>output_NHTS!G4/SUM(output_NHTS!G$4:G$7)</f>
        <v>0</v>
      </c>
      <c r="H5" s="12">
        <f>output_NHTS!H4/SUM(output_NHTS!H$4:H$7)</f>
        <v>9.059683256684159E-2</v>
      </c>
      <c r="I5" s="12">
        <f>output_NHTS!I4/SUM(output_NHTS!I$4:I$7)</f>
        <v>0.1911141671381773</v>
      </c>
      <c r="J5" s="12">
        <f>output_NHTS!J4/SUM(output_NHTS!J$4:J$7)</f>
        <v>0.11621181358117857</v>
      </c>
      <c r="L5" s="3" t="s">
        <v>222</v>
      </c>
      <c r="M5" s="12">
        <f>output!B4/SUM(output!B$4:B$7)</f>
        <v>5.7023114299443133E-4</v>
      </c>
      <c r="N5" s="12">
        <f>output!C4/SUM(output!C$4:C$7)</f>
        <v>3.1288580610504289E-2</v>
      </c>
      <c r="O5" s="12">
        <f>output!D4/SUM(output!D$4:D$7)</f>
        <v>8.9856357947125931E-2</v>
      </c>
      <c r="P5" s="12">
        <f>output!E4/SUM(output!E$4:E$7)</f>
        <v>7.0370479012055967E-2</v>
      </c>
      <c r="Q5" s="12">
        <f>output!F4/SUM(output!F$4:F$7)</f>
        <v>1.8489587065888861E-3</v>
      </c>
      <c r="R5" s="12">
        <f>output!G4/SUM(output!G$4:G$7)</f>
        <v>1.4776689357463058E-2</v>
      </c>
      <c r="S5" s="12">
        <f>output!H4/SUM(output!H$4:H$7)</f>
        <v>4.9212961668577179E-2</v>
      </c>
      <c r="T5" s="12">
        <f>output!I4/SUM(output!I$4:I$7)</f>
        <v>0.12139046837446509</v>
      </c>
      <c r="U5" s="12">
        <f>output!J4/SUM(output!J$4:J$7)</f>
        <v>3.2746352979471413E-2</v>
      </c>
      <c r="W5" s="3" t="s">
        <v>222</v>
      </c>
      <c r="X5" s="12">
        <f t="shared" ref="X5:AF9" si="0">M5-B5</f>
        <v>-7.0309336052863283E-2</v>
      </c>
      <c r="Y5" s="12">
        <f t="shared" si="0"/>
        <v>-0.1272800000670837</v>
      </c>
      <c r="Z5" s="12">
        <f t="shared" si="0"/>
        <v>-0.18178695355716123</v>
      </c>
      <c r="AA5" s="12">
        <f t="shared" si="0"/>
        <v>-4.5435120626525577E-2</v>
      </c>
      <c r="AB5" s="12">
        <f t="shared" si="0"/>
        <v>-0.12638620908145271</v>
      </c>
      <c r="AC5" s="12">
        <f t="shared" si="0"/>
        <v>1.4776689357463058E-2</v>
      </c>
      <c r="AD5" s="12">
        <f t="shared" si="0"/>
        <v>-4.138387089826441E-2</v>
      </c>
      <c r="AE5" s="12">
        <f t="shared" si="0"/>
        <v>-6.9723698763712219E-2</v>
      </c>
      <c r="AF5" s="12">
        <f t="shared" si="0"/>
        <v>-8.3465460601707162E-2</v>
      </c>
    </row>
    <row r="6" spans="1:32" x14ac:dyDescent="0.2">
      <c r="A6" s="3" t="s">
        <v>223</v>
      </c>
      <c r="B6" s="12">
        <f>output_NHTS!B5/SUM(output_NHTS!B$4:B$7)</f>
        <v>0.65577617552883039</v>
      </c>
      <c r="C6" s="12">
        <f>output_NHTS!C5/SUM(output_NHTS!C$4:C$7)</f>
        <v>0.47246919088774364</v>
      </c>
      <c r="D6" s="12">
        <f>output_NHTS!D5/SUM(output_NHTS!D$4:D$7)</f>
        <v>0.41493347592683949</v>
      </c>
      <c r="E6" s="12">
        <f>output_NHTS!E5/SUM(output_NHTS!E$4:E$7)</f>
        <v>0.44753355676279627</v>
      </c>
      <c r="F6" s="12">
        <f>output_NHTS!F5/SUM(output_NHTS!F$4:F$7)</f>
        <v>0.52706144868039473</v>
      </c>
      <c r="G6" s="12">
        <f>output_NHTS!G5/SUM(output_NHTS!G$4:G$7)</f>
        <v>0.75783811223155351</v>
      </c>
      <c r="H6" s="12">
        <f>output_NHTS!H5/SUM(output_NHTS!H$4:H$7)</f>
        <v>0.47287720815423029</v>
      </c>
      <c r="I6" s="12">
        <f>output_NHTS!I5/SUM(output_NHTS!I$4:I$7)</f>
        <v>0.48671052082728306</v>
      </c>
      <c r="J6" s="12">
        <f>output_NHTS!J5/SUM(output_NHTS!J$4:J$7)</f>
        <v>0.5473918269158643</v>
      </c>
      <c r="L6" s="3" t="s">
        <v>223</v>
      </c>
      <c r="M6" s="12">
        <f>output!B5/SUM(output!B$4:B$7)</f>
        <v>0.51101283817597809</v>
      </c>
      <c r="N6" s="12">
        <f>output!C5/SUM(output!C$4:C$7)</f>
        <v>0.42310265858692475</v>
      </c>
      <c r="O6" s="12">
        <f>output!D5/SUM(output!D$4:D$7)</f>
        <v>0.45408628378544852</v>
      </c>
      <c r="P6" s="12">
        <f>output!E5/SUM(output!E$4:E$7)</f>
        <v>0.38092165087559765</v>
      </c>
      <c r="Q6" s="12">
        <f>output!F5/SUM(output!F$4:F$7)</f>
        <v>0.37520962031847954</v>
      </c>
      <c r="R6" s="12">
        <f>output!G5/SUM(output!G$4:G$7)</f>
        <v>0.66368919143284077</v>
      </c>
      <c r="S6" s="12">
        <f>output!H5/SUM(output!H$4:H$7)</f>
        <v>0.5419017530125535</v>
      </c>
      <c r="T6" s="12">
        <f>output!I5/SUM(output!I$4:I$7)</f>
        <v>0.43860718682220529</v>
      </c>
      <c r="U6" s="12">
        <f>output!J5/SUM(output!J$4:J$7)</f>
        <v>0.48263255537731548</v>
      </c>
      <c r="W6" s="3" t="s">
        <v>223</v>
      </c>
      <c r="X6" s="12">
        <f t="shared" si="0"/>
        <v>-0.14476333735285229</v>
      </c>
      <c r="Y6" s="12">
        <f t="shared" si="0"/>
        <v>-4.9366532300818888E-2</v>
      </c>
      <c r="Z6" s="12">
        <f t="shared" si="0"/>
        <v>3.9152807858609029E-2</v>
      </c>
      <c r="AA6" s="12">
        <f t="shared" si="0"/>
        <v>-6.6611905887198619E-2</v>
      </c>
      <c r="AB6" s="12">
        <f t="shared" si="0"/>
        <v>-0.15185182836191519</v>
      </c>
      <c r="AC6" s="12">
        <f t="shared" si="0"/>
        <v>-9.4148920798712732E-2</v>
      </c>
      <c r="AD6" s="12">
        <f t="shared" si="0"/>
        <v>6.9024544858323211E-2</v>
      </c>
      <c r="AE6" s="12">
        <f t="shared" si="0"/>
        <v>-4.8103334005077769E-2</v>
      </c>
      <c r="AF6" s="12">
        <f t="shared" si="0"/>
        <v>-6.4759271538548824E-2</v>
      </c>
    </row>
    <row r="7" spans="1:32" x14ac:dyDescent="0.2">
      <c r="A7" s="3" t="s">
        <v>224</v>
      </c>
      <c r="B7" s="12">
        <f>output_NHTS!B6/SUM(output_NHTS!B$4:B$7)</f>
        <v>0.22152489364958611</v>
      </c>
      <c r="C7" s="12">
        <f>output_NHTS!C6/SUM(output_NHTS!C$4:C$7)</f>
        <v>0.2194349976716857</v>
      </c>
      <c r="D7" s="12">
        <f>output_NHTS!D6/SUM(output_NHTS!D$4:D$7)</f>
        <v>0.26130053146215393</v>
      </c>
      <c r="E7" s="12">
        <f>output_NHTS!E6/SUM(output_NHTS!E$4:E$7)</f>
        <v>0.23575624687135116</v>
      </c>
      <c r="F7" s="12">
        <f>output_NHTS!F6/SUM(output_NHTS!F$4:F$7)</f>
        <v>0.28710647647236337</v>
      </c>
      <c r="G7" s="12">
        <f>output_NHTS!G6/SUM(output_NHTS!G$4:G$7)</f>
        <v>0.24216188776844658</v>
      </c>
      <c r="H7" s="12">
        <f>output_NHTS!H6/SUM(output_NHTS!H$4:H$7)</f>
        <v>0.40911520798084455</v>
      </c>
      <c r="I7" s="12">
        <f>output_NHTS!I6/SUM(output_NHTS!I$4:I$7)</f>
        <v>0.2468470343068315</v>
      </c>
      <c r="J7" s="12">
        <f>output_NHTS!J6/SUM(output_NHTS!J$4:J$7)</f>
        <v>0.25794761795408633</v>
      </c>
      <c r="L7" s="3" t="s">
        <v>224</v>
      </c>
      <c r="M7" s="12">
        <f>output!B6/SUM(output!B$4:B$7)</f>
        <v>0.37385031631877913</v>
      </c>
      <c r="N7" s="12">
        <f>output!C6/SUM(output!C$4:C$7)</f>
        <v>0.362872140911704</v>
      </c>
      <c r="O7" s="12">
        <f>output!D6/SUM(output!D$4:D$7)</f>
        <v>0.2987902530366866</v>
      </c>
      <c r="P7" s="12">
        <f>output!E6/SUM(output!E$4:E$7)</f>
        <v>0.31339649760933969</v>
      </c>
      <c r="Q7" s="12">
        <f>output!F6/SUM(output!F$4:F$7)</f>
        <v>0.49066204188106466</v>
      </c>
      <c r="R7" s="12">
        <f>output!G6/SUM(output!G$4:G$7)</f>
        <v>0.26833803752282914</v>
      </c>
      <c r="S7" s="12">
        <f>output!H6/SUM(output!H$4:H$7)</f>
        <v>0.32601000922638185</v>
      </c>
      <c r="T7" s="12">
        <f>output!I6/SUM(output!I$4:I$7)</f>
        <v>0.2969927897297614</v>
      </c>
      <c r="U7" s="12">
        <f>output!J6/SUM(output!J$4:J$7)</f>
        <v>0.35343743209585837</v>
      </c>
      <c r="W7" s="3" t="s">
        <v>224</v>
      </c>
      <c r="X7" s="12">
        <f t="shared" si="0"/>
        <v>0.15232542266919302</v>
      </c>
      <c r="Y7" s="12">
        <f t="shared" si="0"/>
        <v>0.1434371432400183</v>
      </c>
      <c r="Z7" s="12">
        <f t="shared" si="0"/>
        <v>3.7489721574532675E-2</v>
      </c>
      <c r="AA7" s="12">
        <f t="shared" si="0"/>
        <v>7.7640250737988525E-2</v>
      </c>
      <c r="AB7" s="12">
        <f t="shared" si="0"/>
        <v>0.20355556540870129</v>
      </c>
      <c r="AC7" s="12">
        <f t="shared" si="0"/>
        <v>2.6176149754382566E-2</v>
      </c>
      <c r="AD7" s="12">
        <f t="shared" si="0"/>
        <v>-8.3105198754462706E-2</v>
      </c>
      <c r="AE7" s="12">
        <f t="shared" si="0"/>
        <v>5.01457554229299E-2</v>
      </c>
      <c r="AF7" s="12">
        <f t="shared" si="0"/>
        <v>9.5489814141772045E-2</v>
      </c>
    </row>
    <row r="8" spans="1:32" x14ac:dyDescent="0.2">
      <c r="A8" s="8" t="s">
        <v>225</v>
      </c>
      <c r="B8" s="13">
        <f>output_NHTS!B7/SUM(output_NHTS!B$4:B$7)</f>
        <v>5.1819363625725826E-2</v>
      </c>
      <c r="C8" s="13">
        <f>output_NHTS!C7/SUM(output_NHTS!C$4:C$7)</f>
        <v>0.14952723076298266</v>
      </c>
      <c r="D8" s="13">
        <f>output_NHTS!D7/SUM(output_NHTS!D$4:D$7)</f>
        <v>5.2122681106719596E-2</v>
      </c>
      <c r="E8" s="13">
        <f>output_NHTS!E7/SUM(output_NHTS!E$4:E$7)</f>
        <v>0.20090459672727101</v>
      </c>
      <c r="F8" s="13">
        <f>output_NHTS!F7/SUM(output_NHTS!F$4:F$7)</f>
        <v>5.7596907059200342E-2</v>
      </c>
      <c r="G8" s="13">
        <f>output_NHTS!G7/SUM(output_NHTS!G$4:G$7)</f>
        <v>0</v>
      </c>
      <c r="H8" s="13">
        <f>output_NHTS!H7/SUM(output_NHTS!H$4:H$7)</f>
        <v>2.7410751298083687E-2</v>
      </c>
      <c r="I8" s="13">
        <f>output_NHTS!I7/SUM(output_NHTS!I$4:I$7)</f>
        <v>7.5328277727708101E-2</v>
      </c>
      <c r="J8" s="13">
        <f>output_NHTS!J7/SUM(output_NHTS!J$4:J$7)</f>
        <v>7.8448741548870715E-2</v>
      </c>
      <c r="L8" s="8" t="s">
        <v>225</v>
      </c>
      <c r="M8" s="13">
        <f>output!B7/SUM(output!B$4:B$7)</f>
        <v>0.11456661436224831</v>
      </c>
      <c r="N8" s="13">
        <f>output!C7/SUM(output!C$4:C$7)</f>
        <v>0.18273661989086695</v>
      </c>
      <c r="O8" s="13">
        <f>output!D7/SUM(output!D$4:D$7)</f>
        <v>0.15726710523073892</v>
      </c>
      <c r="P8" s="13">
        <f>output!E7/SUM(output!E$4:E$7)</f>
        <v>0.23531137250300665</v>
      </c>
      <c r="Q8" s="13">
        <f>output!F7/SUM(output!F$4:F$7)</f>
        <v>0.13227937909386692</v>
      </c>
      <c r="R8" s="13">
        <f>output!G7/SUM(output!G$4:G$7)</f>
        <v>5.3196081686867007E-2</v>
      </c>
      <c r="S8" s="13">
        <f>output!H7/SUM(output!H$4:H$7)</f>
        <v>8.2875276092487488E-2</v>
      </c>
      <c r="T8" s="13">
        <f>output!I7/SUM(output!I$4:I$7)</f>
        <v>0.14300955507356822</v>
      </c>
      <c r="U8" s="13">
        <f>output!J7/SUM(output!J$4:J$7)</f>
        <v>0.13118365954735478</v>
      </c>
      <c r="W8" s="8" t="s">
        <v>225</v>
      </c>
      <c r="X8" s="13">
        <f t="shared" si="0"/>
        <v>6.2747250736522486E-2</v>
      </c>
      <c r="Y8" s="13">
        <f t="shared" si="0"/>
        <v>3.3209389127884292E-2</v>
      </c>
      <c r="Z8" s="13">
        <f t="shared" si="0"/>
        <v>0.10514442412401932</v>
      </c>
      <c r="AA8" s="13">
        <f t="shared" si="0"/>
        <v>3.4406775775735643E-2</v>
      </c>
      <c r="AB8" s="13">
        <f t="shared" si="0"/>
        <v>7.4682472034666575E-2</v>
      </c>
      <c r="AC8" s="13">
        <f t="shared" si="0"/>
        <v>5.3196081686867007E-2</v>
      </c>
      <c r="AD8" s="13">
        <f t="shared" si="0"/>
        <v>5.5464524794403801E-2</v>
      </c>
      <c r="AE8" s="13">
        <f t="shared" si="0"/>
        <v>6.7681277345860116E-2</v>
      </c>
      <c r="AF8" s="13">
        <f t="shared" si="0"/>
        <v>5.2734917998484065E-2</v>
      </c>
    </row>
    <row r="9" spans="1:32" ht="13.5" thickBot="1" x14ac:dyDescent="0.25">
      <c r="A9" s="15" t="s">
        <v>221</v>
      </c>
      <c r="B9" s="17">
        <f>SUM(B5:B8)</f>
        <v>1</v>
      </c>
      <c r="C9" s="17">
        <f t="shared" ref="C9:J9" si="1">SUM(C5:C8)</f>
        <v>1</v>
      </c>
      <c r="D9" s="17">
        <f t="shared" si="1"/>
        <v>1.0000000000000002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1.0000000000000002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0.99999999999999989</v>
      </c>
      <c r="S9" s="17">
        <f t="shared" si="2"/>
        <v>0.99999999999999989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7.0879567195857709E-2</v>
      </c>
      <c r="C5" s="28">
        <f>output_NHTS!C11/SUM(output_NHTS!C$11:C$23)</f>
        <v>0.15856858067758803</v>
      </c>
      <c r="D5" s="28">
        <f>output_NHTS!D11/SUM(output_NHTS!D$11:D$23)</f>
        <v>0.27164331150428711</v>
      </c>
      <c r="E5" s="28">
        <f>output_NHTS!E11/SUM(output_NHTS!E$11:E$23)</f>
        <v>0.11580559963858157</v>
      </c>
      <c r="F5" s="28">
        <f>output_NHTS!F11/SUM(output_NHTS!F$11:F$23)</f>
        <v>0.12823516778804156</v>
      </c>
      <c r="G5" s="28">
        <f>output_NHTS!G11/SUM(output_NHTS!G$11:G$23)</f>
        <v>0</v>
      </c>
      <c r="H5" s="28">
        <f>output_NHTS!H11/SUM(output_NHTS!H$11:H$23)</f>
        <v>9.0596832566841576E-2</v>
      </c>
      <c r="I5" s="28">
        <f>output_NHTS!I11/SUM(output_NHTS!I$11:I$23)</f>
        <v>0.1911141671381773</v>
      </c>
      <c r="J5" s="28">
        <f>output_NHTS!J11/SUM(output_NHTS!J$11:J$23)</f>
        <v>0.11621181358117856</v>
      </c>
      <c r="L5" s="27" t="s">
        <v>226</v>
      </c>
      <c r="M5" s="28">
        <f>output!B11/SUM(output!B$11:B$23)</f>
        <v>5.7023114299443133E-4</v>
      </c>
      <c r="N5" s="28">
        <f>output!C11/SUM(output!C$11:C$23)</f>
        <v>3.1288580610504289E-2</v>
      </c>
      <c r="O5" s="28">
        <f>output!D11/SUM(output!D$11:D$23)</f>
        <v>8.9856357947125931E-2</v>
      </c>
      <c r="P5" s="28">
        <f>output!E11/SUM(output!E$11:E$23)</f>
        <v>7.0370479012055967E-2</v>
      </c>
      <c r="Q5" s="28">
        <f>output!F11/SUM(output!F$11:F$23)</f>
        <v>1.8489587065888861E-3</v>
      </c>
      <c r="R5" s="28">
        <f>output!G11/SUM(output!G$11:G$23)</f>
        <v>1.4776689357463058E-2</v>
      </c>
      <c r="S5" s="28">
        <f>output!H11/SUM(output!H$11:H$23)</f>
        <v>4.9212961668577179E-2</v>
      </c>
      <c r="T5" s="28">
        <f>output!I11/SUM(output!I$11:I$23)</f>
        <v>0.12139046837446509</v>
      </c>
      <c r="U5" s="28">
        <f>output!J11/SUM(output!J$11:J$23)</f>
        <v>3.2746352979471413E-2</v>
      </c>
      <c r="W5" s="27" t="s">
        <v>226</v>
      </c>
      <c r="X5" s="12">
        <f t="shared" ref="X5:X18" si="0">M5-B5</f>
        <v>-7.0309336052863283E-2</v>
      </c>
      <c r="Y5" s="12">
        <f t="shared" ref="Y5:Y18" si="1">N5-C5</f>
        <v>-0.12728000006708373</v>
      </c>
      <c r="Z5" s="12">
        <f t="shared" ref="Z5:Z18" si="2">O5-D5</f>
        <v>-0.18178695355716118</v>
      </c>
      <c r="AA5" s="12">
        <f t="shared" ref="AA5:AA18" si="3">P5-E5</f>
        <v>-4.5435120626525605E-2</v>
      </c>
      <c r="AB5" s="12">
        <f t="shared" ref="AB5:AB18" si="4">Q5-F5</f>
        <v>-0.12638620908145268</v>
      </c>
      <c r="AC5" s="12">
        <f t="shared" ref="AC5:AC18" si="5">R5-G5</f>
        <v>1.4776689357463058E-2</v>
      </c>
      <c r="AD5" s="12">
        <f t="shared" ref="AD5:AD18" si="6">S5-H5</f>
        <v>-4.1383870898264397E-2</v>
      </c>
      <c r="AE5" s="12">
        <f t="shared" ref="AE5:AE18" si="7">T5-I5</f>
        <v>-6.9723698763712219E-2</v>
      </c>
      <c r="AF5" s="12">
        <f t="shared" ref="AF5:AF18" si="8">U5-J5</f>
        <v>-8.3465460601707148E-2</v>
      </c>
    </row>
    <row r="6" spans="1:32" x14ac:dyDescent="0.2">
      <c r="A6" s="27" t="s">
        <v>231</v>
      </c>
      <c r="B6" s="28">
        <f>output_NHTS!B12/SUM(output_NHTS!B$11:B$23)</f>
        <v>0.27966124192891018</v>
      </c>
      <c r="C6" s="28">
        <f>output_NHTS!C12/SUM(output_NHTS!C$11:C$23)</f>
        <v>0.25082203149780891</v>
      </c>
      <c r="D6" s="28">
        <f>output_NHTS!D12/SUM(output_NHTS!D$11:D$23)</f>
        <v>0.17187073767197442</v>
      </c>
      <c r="E6" s="28">
        <f>output_NHTS!E12/SUM(output_NHTS!E$11:E$23)</f>
        <v>0.27986605658344216</v>
      </c>
      <c r="F6" s="28">
        <f>output_NHTS!F12/SUM(output_NHTS!F$11:F$23)</f>
        <v>0.23614010399758054</v>
      </c>
      <c r="G6" s="28">
        <f>output_NHTS!G12/SUM(output_NHTS!G$11:G$23)</f>
        <v>0.43986615186550937</v>
      </c>
      <c r="H6" s="28">
        <f>output_NHTS!H12/SUM(output_NHTS!H$11:H$23)</f>
        <v>0.31876940600908976</v>
      </c>
      <c r="I6" s="28">
        <f>output_NHTS!I12/SUM(output_NHTS!I$11:I$23)</f>
        <v>0.35767234081050231</v>
      </c>
      <c r="J6" s="28">
        <f>output_NHTS!J12/SUM(output_NHTS!J$11:J$23)</f>
        <v>0.27973883316461068</v>
      </c>
      <c r="L6" s="27" t="s">
        <v>231</v>
      </c>
      <c r="M6" s="28">
        <f>output!B12/SUM(output!B$11:B$23)</f>
        <v>4.5415122290654392E-2</v>
      </c>
      <c r="N6" s="28">
        <f>output!C12/SUM(output!C$11:C$23)</f>
        <v>7.9079060211669133E-2</v>
      </c>
      <c r="O6" s="28">
        <f>output!D12/SUM(output!D$11:D$23)</f>
        <v>7.7561780865794461E-2</v>
      </c>
      <c r="P6" s="28">
        <f>output!E12/SUM(output!E$11:E$23)</f>
        <v>5.8774065491380909E-2</v>
      </c>
      <c r="Q6" s="28">
        <f>output!F12/SUM(output!F$11:F$23)</f>
        <v>5.0867863951038428E-2</v>
      </c>
      <c r="R6" s="28">
        <f>output!G12/SUM(output!G$11:G$23)</f>
        <v>0.26614643865183463</v>
      </c>
      <c r="S6" s="28">
        <f>output!H12/SUM(output!H$11:H$23)</f>
        <v>0.22747784270416865</v>
      </c>
      <c r="T6" s="28">
        <f>output!I12/SUM(output!I$11:I$23)</f>
        <v>9.8598980010551618E-2</v>
      </c>
      <c r="U6" s="28">
        <f>output!J12/SUM(output!J$11:J$23)</f>
        <v>9.0147265957419176E-2</v>
      </c>
      <c r="W6" s="27" t="s">
        <v>231</v>
      </c>
      <c r="X6" s="12">
        <f t="shared" si="0"/>
        <v>-0.23424611963825578</v>
      </c>
      <c r="Y6" s="12">
        <f t="shared" si="1"/>
        <v>-0.17174297128613977</v>
      </c>
      <c r="Z6" s="12">
        <f t="shared" si="2"/>
        <v>-9.4308956806179955E-2</v>
      </c>
      <c r="AA6" s="12">
        <f t="shared" si="3"/>
        <v>-0.22109199109206124</v>
      </c>
      <c r="AB6" s="12">
        <f t="shared" si="4"/>
        <v>-0.18527224004654211</v>
      </c>
      <c r="AC6" s="12">
        <f t="shared" si="5"/>
        <v>-0.17371971321367474</v>
      </c>
      <c r="AD6" s="12">
        <f t="shared" si="6"/>
        <v>-9.1291563304921108E-2</v>
      </c>
      <c r="AE6" s="12">
        <f t="shared" si="7"/>
        <v>-0.25907336079995069</v>
      </c>
      <c r="AF6" s="12">
        <f t="shared" si="8"/>
        <v>-0.1895915672071915</v>
      </c>
    </row>
    <row r="7" spans="1:32" x14ac:dyDescent="0.2">
      <c r="A7" s="27" t="s">
        <v>232</v>
      </c>
      <c r="B7" s="28">
        <f>output_NHTS!B13/SUM(output_NHTS!B$11:B$23)</f>
        <v>0.1953210141169627</v>
      </c>
      <c r="C7" s="28">
        <f>output_NHTS!C13/SUM(output_NHTS!C$11:C$23)</f>
        <v>9.465731901878667E-2</v>
      </c>
      <c r="D7" s="28">
        <f>output_NHTS!D13/SUM(output_NHTS!D$11:D$23)</f>
        <v>8.518844170032952E-2</v>
      </c>
      <c r="E7" s="28">
        <f>output_NHTS!E13/SUM(output_NHTS!E$11:E$23)</f>
        <v>6.4049238478656956E-2</v>
      </c>
      <c r="F7" s="28">
        <f>output_NHTS!F13/SUM(output_NHTS!F$11:F$23)</f>
        <v>3.4648576085653214E-2</v>
      </c>
      <c r="G7" s="28">
        <f>output_NHTS!G13/SUM(output_NHTS!G$11:G$23)</f>
        <v>0.28517136638967205</v>
      </c>
      <c r="H7" s="28">
        <f>output_NHTS!H13/SUM(output_NHTS!H$11:H$23)</f>
        <v>8.2524475134510278E-2</v>
      </c>
      <c r="I7" s="28">
        <f>output_NHTS!I13/SUM(output_NHTS!I$11:I$23)</f>
        <v>8.093683087092747E-2</v>
      </c>
      <c r="J7" s="28">
        <f>output_NHTS!J13/SUM(output_NHTS!J$11:J$23)</f>
        <v>0.1314213875954193</v>
      </c>
      <c r="L7" s="27" t="s">
        <v>232</v>
      </c>
      <c r="M7" s="28">
        <f>output!B13/SUM(output!B$11:B$23)</f>
        <v>0.13798995515909648</v>
      </c>
      <c r="N7" s="28">
        <f>output!C13/SUM(output!C$11:C$23)</f>
        <v>0.15364389448585888</v>
      </c>
      <c r="O7" s="28">
        <f>output!D13/SUM(output!D$11:D$23)</f>
        <v>0.18168379037622884</v>
      </c>
      <c r="P7" s="28">
        <f>output!E13/SUM(output!E$11:E$23)</f>
        <v>0.14206095450412132</v>
      </c>
      <c r="Q7" s="28">
        <f>output!F13/SUM(output!F$11:F$23)</f>
        <v>0.11497943212601586</v>
      </c>
      <c r="R7" s="28">
        <f>output!G13/SUM(output!G$11:G$23)</f>
        <v>0.25880790303835299</v>
      </c>
      <c r="S7" s="28">
        <f>output!H13/SUM(output!H$11:H$23)</f>
        <v>0.20438952106690525</v>
      </c>
      <c r="T7" s="28">
        <f>output!I13/SUM(output!I$11:I$23)</f>
        <v>0.16965824491470777</v>
      </c>
      <c r="U7" s="28">
        <f>output!J13/SUM(output!J$11:J$23)</f>
        <v>0.15723720718435558</v>
      </c>
      <c r="W7" s="27" t="s">
        <v>232</v>
      </c>
      <c r="X7" s="12">
        <f t="shared" si="0"/>
        <v>-5.7331058957866221E-2</v>
      </c>
      <c r="Y7" s="12">
        <f t="shared" si="1"/>
        <v>5.8986575467072214E-2</v>
      </c>
      <c r="Z7" s="12">
        <f t="shared" si="2"/>
        <v>9.6495348675899317E-2</v>
      </c>
      <c r="AA7" s="12">
        <f t="shared" si="3"/>
        <v>7.8011716025464362E-2</v>
      </c>
      <c r="AB7" s="12">
        <f t="shared" si="4"/>
        <v>8.0330856040362636E-2</v>
      </c>
      <c r="AC7" s="12">
        <f t="shared" si="5"/>
        <v>-2.6363463351319061E-2</v>
      </c>
      <c r="AD7" s="12">
        <f t="shared" si="6"/>
        <v>0.12186504593239497</v>
      </c>
      <c r="AE7" s="12">
        <f t="shared" si="7"/>
        <v>8.8721414043780297E-2</v>
      </c>
      <c r="AF7" s="12">
        <f t="shared" si="8"/>
        <v>2.5815819588936278E-2</v>
      </c>
    </row>
    <row r="8" spans="1:32" x14ac:dyDescent="0.2">
      <c r="A8" s="27" t="s">
        <v>207</v>
      </c>
      <c r="B8" s="28">
        <f>output_NHTS!B14/SUM(output_NHTS!B$11:B$23)</f>
        <v>9.1839220701228172E-2</v>
      </c>
      <c r="C8" s="28">
        <f>output_NHTS!C14/SUM(output_NHTS!C$11:C$23)</f>
        <v>6.1707201200047919E-2</v>
      </c>
      <c r="D8" s="28">
        <f>output_NHTS!D14/SUM(output_NHTS!D$11:D$23)</f>
        <v>9.2382761151412154E-2</v>
      </c>
      <c r="E8" s="28">
        <f>output_NHTS!E14/SUM(output_NHTS!E$11:E$23)</f>
        <v>3.7638787125240311E-2</v>
      </c>
      <c r="F8" s="28">
        <f>output_NHTS!F14/SUM(output_NHTS!F$11:F$23)</f>
        <v>0.21559851536576394</v>
      </c>
      <c r="G8" s="28">
        <f>output_NHTS!G14/SUM(output_NHTS!G$11:G$23)</f>
        <v>3.2800593976372132E-2</v>
      </c>
      <c r="H8" s="28">
        <f>output_NHTS!H14/SUM(output_NHTS!H$11:H$23)</f>
        <v>3.957142132762189E-2</v>
      </c>
      <c r="I8" s="28">
        <f>output_NHTS!I14/SUM(output_NHTS!I$11:I$23)</f>
        <v>1.4539063949677687E-2</v>
      </c>
      <c r="J8" s="28">
        <f>output_NHTS!J14/SUM(output_NHTS!J$11:J$23)</f>
        <v>6.9679627407001274E-2</v>
      </c>
      <c r="L8" s="27" t="s">
        <v>207</v>
      </c>
      <c r="M8" s="28">
        <f>output!B14/SUM(output!B$11:B$23)</f>
        <v>0.16671684434882994</v>
      </c>
      <c r="N8" s="28">
        <f>output!C14/SUM(output!C$11:C$23)</f>
        <v>0.1239574399909527</v>
      </c>
      <c r="O8" s="28">
        <f>output!D14/SUM(output!D$11:D$23)</f>
        <v>0.1390839431345012</v>
      </c>
      <c r="P8" s="28">
        <f>output!E14/SUM(output!E$11:E$23)</f>
        <v>0.11875079444232593</v>
      </c>
      <c r="Q8" s="28">
        <f>output!F14/SUM(output!F$11:F$23)</f>
        <v>0.11853401940689991</v>
      </c>
      <c r="R8" s="28">
        <f>output!G14/SUM(output!G$11:G$23)</f>
        <v>0.10811887763572971</v>
      </c>
      <c r="S8" s="28">
        <f>output!H14/SUM(output!H$11:H$23)</f>
        <v>8.3484776469930383E-2</v>
      </c>
      <c r="T8" s="28">
        <f>output!I14/SUM(output!I$11:I$23)</f>
        <v>0.12098012779178147</v>
      </c>
      <c r="U8" s="28">
        <f>output!J14/SUM(output!J$11:J$23)</f>
        <v>0.13589918285616831</v>
      </c>
      <c r="W8" s="27" t="s">
        <v>207</v>
      </c>
      <c r="X8" s="12">
        <f t="shared" si="0"/>
        <v>7.4877623647601768E-2</v>
      </c>
      <c r="Y8" s="12">
        <f t="shared" si="1"/>
        <v>6.2250238790904779E-2</v>
      </c>
      <c r="Z8" s="12">
        <f t="shared" si="2"/>
        <v>4.6701181983089049E-2</v>
      </c>
      <c r="AA8" s="12">
        <f t="shared" si="3"/>
        <v>8.1112007317085622E-2</v>
      </c>
      <c r="AB8" s="12">
        <f t="shared" si="4"/>
        <v>-9.706449595886403E-2</v>
      </c>
      <c r="AC8" s="12">
        <f t="shared" si="5"/>
        <v>7.5318283659357582E-2</v>
      </c>
      <c r="AD8" s="12">
        <f t="shared" si="6"/>
        <v>4.3913355142308493E-2</v>
      </c>
      <c r="AE8" s="12">
        <f t="shared" si="7"/>
        <v>0.10644106384210378</v>
      </c>
      <c r="AF8" s="12">
        <f t="shared" si="8"/>
        <v>6.6219555449167036E-2</v>
      </c>
    </row>
    <row r="9" spans="1:32" x14ac:dyDescent="0.2">
      <c r="A9" s="27" t="s">
        <v>9</v>
      </c>
      <c r="B9" s="28">
        <f>output_NHTS!B15/SUM(output_NHTS!B$11:B$23)</f>
        <v>8.8954698781729305E-2</v>
      </c>
      <c r="C9" s="28">
        <f>output_NHTS!C15/SUM(output_NHTS!C$11:C$23)</f>
        <v>6.5282639171100193E-2</v>
      </c>
      <c r="D9" s="28">
        <f>output_NHTS!D15/SUM(output_NHTS!D$11:D$23)</f>
        <v>6.549153540312333E-2</v>
      </c>
      <c r="E9" s="28">
        <f>output_NHTS!E15/SUM(output_NHTS!E$11:E$23)</f>
        <v>6.5979474575456942E-2</v>
      </c>
      <c r="F9" s="28">
        <f>output_NHTS!F15/SUM(output_NHTS!F$11:F$23)</f>
        <v>4.0674253231396951E-2</v>
      </c>
      <c r="G9" s="28">
        <f>output_NHTS!G15/SUM(output_NHTS!G$11:G$23)</f>
        <v>0</v>
      </c>
      <c r="H9" s="28">
        <f>output_NHTS!H15/SUM(output_NHTS!H$11:H$23)</f>
        <v>3.2011905683008254E-2</v>
      </c>
      <c r="I9" s="28">
        <f>output_NHTS!I15/SUM(output_NHTS!I$11:I$23)</f>
        <v>3.3562285196175622E-2</v>
      </c>
      <c r="J9" s="28">
        <f>output_NHTS!J15/SUM(output_NHTS!J$11:J$23)</f>
        <v>6.6551978748833021E-2</v>
      </c>
      <c r="L9" s="27" t="s">
        <v>9</v>
      </c>
      <c r="M9" s="28">
        <f>output!B15/SUM(output!B$11:B$23)</f>
        <v>0.1608909163773973</v>
      </c>
      <c r="N9" s="28">
        <f>output!C15/SUM(output!C$11:C$23)</f>
        <v>6.6422263898444051E-2</v>
      </c>
      <c r="O9" s="28">
        <f>output!D15/SUM(output!D$11:D$23)</f>
        <v>5.5756769408924038E-2</v>
      </c>
      <c r="P9" s="28">
        <f>output!E15/SUM(output!E$11:E$23)</f>
        <v>6.1335836437769499E-2</v>
      </c>
      <c r="Q9" s="28">
        <f>output!F15/SUM(output!F$11:F$23)</f>
        <v>9.0828304834525364E-2</v>
      </c>
      <c r="R9" s="28">
        <f>output!G15/SUM(output!G$11:G$23)</f>
        <v>3.0615972106923461E-2</v>
      </c>
      <c r="S9" s="28">
        <f>output!H15/SUM(output!H$11:H$23)</f>
        <v>2.6549612771549193E-2</v>
      </c>
      <c r="T9" s="28">
        <f>output!I15/SUM(output!I$11:I$23)</f>
        <v>4.9369834105164427E-2</v>
      </c>
      <c r="U9" s="28">
        <f>output!J15/SUM(output!J$11:J$23)</f>
        <v>9.9348899379372371E-2</v>
      </c>
      <c r="W9" s="27" t="s">
        <v>9</v>
      </c>
      <c r="X9" s="12">
        <f t="shared" si="0"/>
        <v>7.1936217595667998E-2</v>
      </c>
      <c r="Y9" s="12">
        <f t="shared" si="1"/>
        <v>1.1396247273438576E-3</v>
      </c>
      <c r="Z9" s="12">
        <f t="shared" si="2"/>
        <v>-9.7347659941992917E-3</v>
      </c>
      <c r="AA9" s="12">
        <f t="shared" si="3"/>
        <v>-4.6436381376874433E-3</v>
      </c>
      <c r="AB9" s="12">
        <f t="shared" si="4"/>
        <v>5.0154051603128413E-2</v>
      </c>
      <c r="AC9" s="12">
        <f t="shared" si="5"/>
        <v>3.0615972106923461E-2</v>
      </c>
      <c r="AD9" s="12">
        <f t="shared" si="6"/>
        <v>-5.4622929114590615E-3</v>
      </c>
      <c r="AE9" s="12">
        <f t="shared" si="7"/>
        <v>1.5807548908988805E-2</v>
      </c>
      <c r="AF9" s="12">
        <f t="shared" si="8"/>
        <v>3.279692063053935E-2</v>
      </c>
    </row>
    <row r="10" spans="1:32" x14ac:dyDescent="0.2">
      <c r="A10" s="27" t="s">
        <v>233</v>
      </c>
      <c r="B10" s="28">
        <f>output_NHTS!B16/SUM(output_NHTS!B$11:B$23)</f>
        <v>0.11343705058333449</v>
      </c>
      <c r="C10" s="28">
        <f>output_NHTS!C16/SUM(output_NHTS!C$11:C$23)</f>
        <v>5.847286712397036E-2</v>
      </c>
      <c r="D10" s="28">
        <f>output_NHTS!D16/SUM(output_NHTS!D$11:D$23)</f>
        <v>9.8379854580399273E-2</v>
      </c>
      <c r="E10" s="28">
        <f>output_NHTS!E16/SUM(output_NHTS!E$11:E$23)</f>
        <v>0.12143839996927676</v>
      </c>
      <c r="F10" s="28">
        <f>output_NHTS!F16/SUM(output_NHTS!F$11:F$23)</f>
        <v>1.0627586966226106E-2</v>
      </c>
      <c r="G10" s="28">
        <f>output_NHTS!G16/SUM(output_NHTS!G$11:G$23)</f>
        <v>0.10050279173762743</v>
      </c>
      <c r="H10" s="28">
        <f>output_NHTS!H16/SUM(output_NHTS!H$11:H$23)</f>
        <v>0.25905129327656051</v>
      </c>
      <c r="I10" s="28">
        <f>output_NHTS!I16/SUM(output_NHTS!I$11:I$23)</f>
        <v>0.15059465268863306</v>
      </c>
      <c r="J10" s="28">
        <f>output_NHTS!J16/SUM(output_NHTS!J$11:J$23)</f>
        <v>0.1299795886400047</v>
      </c>
      <c r="L10" s="27" t="s">
        <v>233</v>
      </c>
      <c r="M10" s="28">
        <f>output!B16/SUM(output!B$11:B$23)</f>
        <v>3.0786500276143405E-2</v>
      </c>
      <c r="N10" s="28">
        <f>output!C16/SUM(output!C$11:C$23)</f>
        <v>5.830796633650303E-2</v>
      </c>
      <c r="O10" s="28">
        <f>output!D16/SUM(output!D$11:D$23)</f>
        <v>4.2193313129819894E-2</v>
      </c>
      <c r="P10" s="28">
        <f>output!E16/SUM(output!E$11:E$23)</f>
        <v>4.0391892288287233E-2</v>
      </c>
      <c r="Q10" s="28">
        <f>output!F16/SUM(output!F$11:F$23)</f>
        <v>5.7145723745503016E-2</v>
      </c>
      <c r="R10" s="28">
        <f>output!G16/SUM(output!G$11:G$23)</f>
        <v>8.8925784492777687E-2</v>
      </c>
      <c r="S10" s="28">
        <f>output!H16/SUM(output!H$11:H$23)</f>
        <v>0.13178628344563426</v>
      </c>
      <c r="T10" s="28">
        <f>output!I16/SUM(output!I$11:I$23)</f>
        <v>5.4176680930886921E-2</v>
      </c>
      <c r="U10" s="28">
        <f>output!J16/SUM(output!J$11:J$23)</f>
        <v>5.5438348017220709E-2</v>
      </c>
      <c r="W10" s="27" t="s">
        <v>233</v>
      </c>
      <c r="X10" s="12">
        <f t="shared" si="0"/>
        <v>-8.2650550307191081E-2</v>
      </c>
      <c r="Y10" s="12">
        <f t="shared" si="1"/>
        <v>-1.6490078746733E-4</v>
      </c>
      <c r="Z10" s="12">
        <f t="shared" si="2"/>
        <v>-5.6186541450579379E-2</v>
      </c>
      <c r="AA10" s="12">
        <f t="shared" si="3"/>
        <v>-8.1046507680989532E-2</v>
      </c>
      <c r="AB10" s="12">
        <f t="shared" si="4"/>
        <v>4.6518136779276908E-2</v>
      </c>
      <c r="AC10" s="12">
        <f t="shared" si="5"/>
        <v>-1.1577007244849738E-2</v>
      </c>
      <c r="AD10" s="12">
        <f t="shared" si="6"/>
        <v>-0.12726500983092626</v>
      </c>
      <c r="AE10" s="12">
        <f t="shared" si="7"/>
        <v>-9.6417971757746135E-2</v>
      </c>
      <c r="AF10" s="12">
        <f t="shared" si="8"/>
        <v>-7.4541240622783986E-2</v>
      </c>
    </row>
    <row r="11" spans="1:32" x14ac:dyDescent="0.2">
      <c r="A11" s="27" t="s">
        <v>234</v>
      </c>
      <c r="B11" s="28">
        <f>output_NHTS!B17/SUM(output_NHTS!B$11:B$23)</f>
        <v>4.299195818712017E-2</v>
      </c>
      <c r="C11" s="28">
        <f>output_NHTS!C17/SUM(output_NHTS!C$11:C$23)</f>
        <v>4.0564753076018006E-2</v>
      </c>
      <c r="D11" s="28">
        <f>output_NHTS!D17/SUM(output_NHTS!D$11:D$23)</f>
        <v>4.4502275103465168E-2</v>
      </c>
      <c r="E11" s="28">
        <f>output_NHTS!E17/SUM(output_NHTS!E$11:E$23)</f>
        <v>2.1331008804280883E-2</v>
      </c>
      <c r="F11" s="28">
        <f>output_NHTS!F17/SUM(output_NHTS!F$11:F$23)</f>
        <v>0.1164921775292521</v>
      </c>
      <c r="G11" s="28">
        <f>output_NHTS!G17/SUM(output_NHTS!G$11:G$23)</f>
        <v>0</v>
      </c>
      <c r="H11" s="28">
        <f>output_NHTS!H17/SUM(output_NHTS!H$11:H$23)</f>
        <v>9.0776984384141807E-2</v>
      </c>
      <c r="I11" s="28">
        <f>output_NHTS!I17/SUM(output_NHTS!I$11:I$23)</f>
        <v>3.287677289632835E-2</v>
      </c>
      <c r="J11" s="28">
        <f>output_NHTS!J17/SUM(output_NHTS!J$11:J$23)</f>
        <v>4.6572631833807034E-2</v>
      </c>
      <c r="L11" s="27" t="s">
        <v>234</v>
      </c>
      <c r="M11" s="28">
        <f>output!B17/SUM(output!B$11:B$23)</f>
        <v>0.10752246531260032</v>
      </c>
      <c r="N11" s="28">
        <f>output!C17/SUM(output!C$11:C$23)</f>
        <v>0.13221310162191707</v>
      </c>
      <c r="O11" s="28">
        <f>output!D17/SUM(output!D$11:D$23)</f>
        <v>0.11350925173084978</v>
      </c>
      <c r="P11" s="28">
        <f>output!E17/SUM(output!E$11:E$23)</f>
        <v>0.11529924809089398</v>
      </c>
      <c r="Q11" s="28">
        <f>output!F17/SUM(output!F$11:F$23)</f>
        <v>0.144677435537273</v>
      </c>
      <c r="R11" s="28">
        <f>output!G17/SUM(output!G$11:G$23)</f>
        <v>0.11180474846422049</v>
      </c>
      <c r="S11" s="28">
        <f>output!H17/SUM(output!H$11:H$23)</f>
        <v>0.12329801213409008</v>
      </c>
      <c r="T11" s="28">
        <f>output!I17/SUM(output!I$11:I$23)</f>
        <v>0.11392226976962307</v>
      </c>
      <c r="U11" s="28">
        <f>output!J17/SUM(output!J$11:J$23)</f>
        <v>0.11617051373838758</v>
      </c>
      <c r="W11" s="27" t="s">
        <v>234</v>
      </c>
      <c r="X11" s="12">
        <f t="shared" si="0"/>
        <v>6.4530507125480141E-2</v>
      </c>
      <c r="Y11" s="12">
        <f t="shared" si="1"/>
        <v>9.1648348545899067E-2</v>
      </c>
      <c r="Z11" s="12">
        <f t="shared" si="2"/>
        <v>6.9006976627384614E-2</v>
      </c>
      <c r="AA11" s="12">
        <f t="shared" si="3"/>
        <v>9.3968239286613103E-2</v>
      </c>
      <c r="AB11" s="12">
        <f t="shared" si="4"/>
        <v>2.8185258008020894E-2</v>
      </c>
      <c r="AC11" s="12">
        <f t="shared" si="5"/>
        <v>0.11180474846422049</v>
      </c>
      <c r="AD11" s="12">
        <f t="shared" si="6"/>
        <v>3.2521027749948278E-2</v>
      </c>
      <c r="AE11" s="12">
        <f t="shared" si="7"/>
        <v>8.1045496873294709E-2</v>
      </c>
      <c r="AF11" s="12">
        <f t="shared" si="8"/>
        <v>6.959788190458055E-2</v>
      </c>
    </row>
    <row r="12" spans="1:32" x14ac:dyDescent="0.2">
      <c r="A12" s="27" t="s">
        <v>208</v>
      </c>
      <c r="B12" s="28">
        <f>output_NHTS!B18/SUM(output_NHTS!B$11:B$23)</f>
        <v>4.2897991755307792E-2</v>
      </c>
      <c r="C12" s="28">
        <f>output_NHTS!C18/SUM(output_NHTS!C$11:C$23)</f>
        <v>8.2933844756644851E-2</v>
      </c>
      <c r="D12" s="28">
        <f>output_NHTS!D18/SUM(output_NHTS!D$11:D$23)</f>
        <v>3.5265590711995566E-2</v>
      </c>
      <c r="E12" s="28">
        <f>output_NHTS!E18/SUM(output_NHTS!E$11:E$23)</f>
        <v>1.5691361353741041E-2</v>
      </c>
      <c r="F12" s="28">
        <f>output_NHTS!F18/SUM(output_NHTS!F$11:F$23)</f>
        <v>9.5209123959727415E-2</v>
      </c>
      <c r="G12" s="28">
        <f>output_NHTS!G18/SUM(output_NHTS!G$11:G$23)</f>
        <v>0</v>
      </c>
      <c r="H12" s="28">
        <f>output_NHTS!H18/SUM(output_NHTS!H$11:H$23)</f>
        <v>3.6762947880182195E-2</v>
      </c>
      <c r="I12" s="28">
        <f>output_NHTS!I18/SUM(output_NHTS!I$11:I$23)</f>
        <v>6.3375608721870064E-2</v>
      </c>
      <c r="J12" s="28">
        <f>output_NHTS!J18/SUM(output_NHTS!J$11:J$23)</f>
        <v>4.2392115481042936E-2</v>
      </c>
      <c r="L12" s="27" t="s">
        <v>208</v>
      </c>
      <c r="M12" s="28">
        <f>output!B18/SUM(output!B$11:B$23)</f>
        <v>0.14018115804773593</v>
      </c>
      <c r="N12" s="28">
        <f>output!C18/SUM(output!C$11:C$23)</f>
        <v>0.11748296562968269</v>
      </c>
      <c r="O12" s="28">
        <f>output!D18/SUM(output!D$11:D$23)</f>
        <v>0.10253283070934043</v>
      </c>
      <c r="P12" s="28">
        <f>output!E18/SUM(output!E$11:E$23)</f>
        <v>0.10653838256431317</v>
      </c>
      <c r="Q12" s="28">
        <f>output!F18/SUM(output!F$11:F$23)</f>
        <v>0.17737103871346874</v>
      </c>
      <c r="R12" s="28">
        <f>output!G18/SUM(output!G$11:G$23)</f>
        <v>5.2266312468869335E-2</v>
      </c>
      <c r="S12" s="28">
        <f>output!H18/SUM(output!H$11:H$23)</f>
        <v>5.4793524757457995E-2</v>
      </c>
      <c r="T12" s="28">
        <f>output!I18/SUM(output!I$11:I$23)</f>
        <v>9.2983176036109977E-2</v>
      </c>
      <c r="U12" s="28">
        <f>output!J18/SUM(output!J$11:J$23)</f>
        <v>0.11572121015893573</v>
      </c>
      <c r="W12" s="27" t="s">
        <v>208</v>
      </c>
      <c r="X12" s="12">
        <f t="shared" si="0"/>
        <v>9.7283166292428142E-2</v>
      </c>
      <c r="Y12" s="12">
        <f t="shared" si="1"/>
        <v>3.4549120873037839E-2</v>
      </c>
      <c r="Z12" s="12">
        <f t="shared" si="2"/>
        <v>6.7267239997344852E-2</v>
      </c>
      <c r="AA12" s="12">
        <f t="shared" si="3"/>
        <v>9.0847021210572129E-2</v>
      </c>
      <c r="AB12" s="12">
        <f t="shared" si="4"/>
        <v>8.2161914753741322E-2</v>
      </c>
      <c r="AC12" s="12">
        <f t="shared" si="5"/>
        <v>5.2266312468869335E-2</v>
      </c>
      <c r="AD12" s="12">
        <f t="shared" si="6"/>
        <v>1.80305768772758E-2</v>
      </c>
      <c r="AE12" s="12">
        <f t="shared" si="7"/>
        <v>2.9607567314239913E-2</v>
      </c>
      <c r="AF12" s="12">
        <f t="shared" si="8"/>
        <v>7.3329094677892795E-2</v>
      </c>
    </row>
    <row r="13" spans="1:32" x14ac:dyDescent="0.2">
      <c r="A13" s="27" t="s">
        <v>10</v>
      </c>
      <c r="B13" s="28">
        <f>output_NHTS!B19/SUM(output_NHTS!B$11:B$23)</f>
        <v>2.2197893123823659E-2</v>
      </c>
      <c r="C13" s="28">
        <f>output_NHTS!C19/SUM(output_NHTS!C$11:C$23)</f>
        <v>3.7463532715052532E-2</v>
      </c>
      <c r="D13" s="28">
        <f>output_NHTS!D19/SUM(output_NHTS!D$11:D$23)</f>
        <v>8.3152811066293894E-2</v>
      </c>
      <c r="E13" s="28">
        <f>output_NHTS!E19/SUM(output_NHTS!E$11:E$23)</f>
        <v>7.7295476744052516E-2</v>
      </c>
      <c r="F13" s="28">
        <f>output_NHTS!F19/SUM(output_NHTS!F$11:F$23)</f>
        <v>6.4777588017157731E-2</v>
      </c>
      <c r="G13" s="28">
        <f>output_NHTS!G19/SUM(output_NHTS!G$11:G$23)</f>
        <v>0.14165909603081919</v>
      </c>
      <c r="H13" s="28">
        <f>output_NHTS!H19/SUM(output_NHTS!H$11:H$23)</f>
        <v>2.2523982439959962E-2</v>
      </c>
      <c r="I13" s="28">
        <f>output_NHTS!I19/SUM(output_NHTS!I$11:I$23)</f>
        <v>0</v>
      </c>
      <c r="J13" s="28">
        <f>output_NHTS!J19/SUM(output_NHTS!J$11:J$23)</f>
        <v>3.900328199923167E-2</v>
      </c>
      <c r="L13" s="27" t="s">
        <v>10</v>
      </c>
      <c r="M13" s="28">
        <f>output!B19/SUM(output!B$11:B$23)</f>
        <v>9.5360192682299505E-2</v>
      </c>
      <c r="N13" s="28">
        <f>output!C19/SUM(output!C$11:C$23)</f>
        <v>5.4868107323601201E-2</v>
      </c>
      <c r="O13" s="28">
        <f>output!D19/SUM(output!D$11:D$23)</f>
        <v>4.0554857466676524E-2</v>
      </c>
      <c r="P13" s="28">
        <f>output!E19/SUM(output!E$11:E$23)</f>
        <v>5.1166974665845334E-2</v>
      </c>
      <c r="Q13" s="28">
        <f>output!F19/SUM(output!F$11:F$23)</f>
        <v>0.11146784388481991</v>
      </c>
      <c r="R13" s="28">
        <f>output!G19/SUM(output!G$11:G$23)</f>
        <v>1.5341192096961647E-2</v>
      </c>
      <c r="S13" s="28">
        <f>output!H19/SUM(output!H$11:H$23)</f>
        <v>1.6132188889199543E-2</v>
      </c>
      <c r="T13" s="28">
        <f>output!I19/SUM(output!I$11:I$23)</f>
        <v>3.5910662993141447E-2</v>
      </c>
      <c r="U13" s="28">
        <f>output!J19/SUM(output!J$11:J$23)</f>
        <v>6.6107360181314342E-2</v>
      </c>
      <c r="W13" s="27" t="s">
        <v>10</v>
      </c>
      <c r="X13" s="12">
        <f t="shared" si="0"/>
        <v>7.3162299558475849E-2</v>
      </c>
      <c r="Y13" s="12">
        <f t="shared" si="1"/>
        <v>1.7404574608548669E-2</v>
      </c>
      <c r="Z13" s="12">
        <f t="shared" si="2"/>
        <v>-4.2597953599617371E-2</v>
      </c>
      <c r="AA13" s="12">
        <f t="shared" si="3"/>
        <v>-2.6128502078207182E-2</v>
      </c>
      <c r="AB13" s="12">
        <f t="shared" si="4"/>
        <v>4.6690255867662178E-2</v>
      </c>
      <c r="AC13" s="12">
        <f t="shared" si="5"/>
        <v>-0.12631790393385756</v>
      </c>
      <c r="AD13" s="12">
        <f t="shared" si="6"/>
        <v>-6.3917935507604197E-3</v>
      </c>
      <c r="AE13" s="12">
        <f t="shared" si="7"/>
        <v>3.5910662993141447E-2</v>
      </c>
      <c r="AF13" s="12">
        <f t="shared" si="8"/>
        <v>2.7104078182082672E-2</v>
      </c>
    </row>
    <row r="14" spans="1:32" x14ac:dyDescent="0.2">
      <c r="A14" s="27" t="s">
        <v>227</v>
      </c>
      <c r="B14" s="28">
        <f>output_NHTS!B20/SUM(output_NHTS!B$11:B$23)</f>
        <v>2.2381533160194932E-2</v>
      </c>
      <c r="C14" s="28">
        <f>output_NHTS!C20/SUM(output_NHTS!C$11:C$23)</f>
        <v>1.0528807222171506E-2</v>
      </c>
      <c r="D14" s="28">
        <f>output_NHTS!D20/SUM(output_NHTS!D$11:D$23)</f>
        <v>1.7112306910146598E-2</v>
      </c>
      <c r="E14" s="28">
        <f>output_NHTS!E20/SUM(output_NHTS!E$11:E$23)</f>
        <v>6.9861156932952431E-2</v>
      </c>
      <c r="F14" s="28">
        <f>output_NHTS!F20/SUM(output_NHTS!F$11:F$23)</f>
        <v>0</v>
      </c>
      <c r="G14" s="28">
        <f>output_NHTS!G20/SUM(output_NHTS!G$11:G$23)</f>
        <v>0</v>
      </c>
      <c r="H14" s="28">
        <f>output_NHTS!H20/SUM(output_NHTS!H$11:H$23)</f>
        <v>2.4228780596820317E-2</v>
      </c>
      <c r="I14" s="28">
        <f>output_NHTS!I20/SUM(output_NHTS!I$11:I$23)</f>
        <v>4.3082908293953767E-2</v>
      </c>
      <c r="J14" s="28">
        <f>output_NHTS!J20/SUM(output_NHTS!J$11:J$23)</f>
        <v>2.841090748242725E-2</v>
      </c>
      <c r="L14" s="27" t="s">
        <v>227</v>
      </c>
      <c r="M14" s="28">
        <f>output!B20/SUM(output!B$11:B$23)</f>
        <v>1.0738688588000023E-2</v>
      </c>
      <c r="N14" s="28">
        <f>output!C20/SUM(output!C$11:C$23)</f>
        <v>2.7254992507704343E-2</v>
      </c>
      <c r="O14" s="28">
        <f>output!D20/SUM(output!D$11:D$23)</f>
        <v>2.2186907137753467E-2</v>
      </c>
      <c r="P14" s="28">
        <f>output!E20/SUM(output!E$11:E$23)</f>
        <v>2.9890586958434776E-2</v>
      </c>
      <c r="Q14" s="28">
        <f>output!F20/SUM(output!F$11:F$23)</f>
        <v>1.6740959451905575E-2</v>
      </c>
      <c r="R14" s="28">
        <f>output!G20/SUM(output!G$11:G$23)</f>
        <v>1.6270961314959323E-2</v>
      </c>
      <c r="S14" s="28">
        <f>output!H20/SUM(output!H$11:H$23)</f>
        <v>3.0273715995191099E-2</v>
      </c>
      <c r="T14" s="28">
        <f>output!I20/SUM(output!I$11:I$23)</f>
        <v>2.5042499560349377E-2</v>
      </c>
      <c r="U14" s="28">
        <f>output!J20/SUM(output!J$11:J$23)</f>
        <v>1.9343428091083099E-2</v>
      </c>
      <c r="W14" s="27" t="s">
        <v>227</v>
      </c>
      <c r="X14" s="12">
        <f t="shared" si="0"/>
        <v>-1.1642844572194909E-2</v>
      </c>
      <c r="Y14" s="12">
        <f t="shared" si="1"/>
        <v>1.6726185285532838E-2</v>
      </c>
      <c r="Z14" s="12">
        <f t="shared" si="2"/>
        <v>5.0746002276068694E-3</v>
      </c>
      <c r="AA14" s="12">
        <f t="shared" si="3"/>
        <v>-3.9970569974517658E-2</v>
      </c>
      <c r="AB14" s="12">
        <f t="shared" si="4"/>
        <v>1.6740959451905575E-2</v>
      </c>
      <c r="AC14" s="12">
        <f t="shared" si="5"/>
        <v>1.6270961314959323E-2</v>
      </c>
      <c r="AD14" s="12">
        <f t="shared" si="6"/>
        <v>6.0449353983707821E-3</v>
      </c>
      <c r="AE14" s="12">
        <f t="shared" si="7"/>
        <v>-1.804040873360439E-2</v>
      </c>
      <c r="AF14" s="12">
        <f t="shared" si="8"/>
        <v>-9.0674793913441513E-3</v>
      </c>
    </row>
    <row r="15" spans="1:32" x14ac:dyDescent="0.2">
      <c r="A15" s="27" t="s">
        <v>230</v>
      </c>
      <c r="B15" s="28">
        <f>output_NHTS!B21/SUM(output_NHTS!B$11:B$23)</f>
        <v>1.6173399344402133E-2</v>
      </c>
      <c r="C15" s="28">
        <f>output_NHTS!C21/SUM(output_NHTS!C$11:C$23)</f>
        <v>4.1694716414543573E-2</v>
      </c>
      <c r="D15" s="28">
        <f>output_NHTS!D21/SUM(output_NHTS!D$11:D$23)</f>
        <v>1.3577029840181333E-2</v>
      </c>
      <c r="E15" s="28">
        <f>output_NHTS!E21/SUM(output_NHTS!E$11:E$23)</f>
        <v>3.3308400329541639E-2</v>
      </c>
      <c r="F15" s="28">
        <f>output_NHTS!F21/SUM(output_NHTS!F$11:F$23)</f>
        <v>5.7596907059200335E-2</v>
      </c>
      <c r="G15" s="28">
        <f>output_NHTS!G21/SUM(output_NHTS!G$11:G$23)</f>
        <v>0</v>
      </c>
      <c r="H15" s="28">
        <f>output_NHTS!H21/SUM(output_NHTS!H$11:H$23)</f>
        <v>3.1819707012633656E-3</v>
      </c>
      <c r="I15" s="28">
        <f>output_NHTS!I21/SUM(output_NHTS!I$11:I$23)</f>
        <v>0</v>
      </c>
      <c r="J15" s="28">
        <f>output_NHTS!J21/SUM(output_NHTS!J$11:J$23)</f>
        <v>1.7904763735623216E-2</v>
      </c>
      <c r="L15" s="27" t="s">
        <v>230</v>
      </c>
      <c r="M15" s="28">
        <f>output!B21/SUM(output!B$11:B$23)</f>
        <v>4.165279303600232E-2</v>
      </c>
      <c r="N15" s="28">
        <f>output!C21/SUM(output!C$11:C$23)</f>
        <v>7.3056950871273882E-2</v>
      </c>
      <c r="O15" s="28">
        <f>output!D21/SUM(output!D$11:D$23)</f>
        <v>6.3370044595560157E-2</v>
      </c>
      <c r="P15" s="28">
        <f>output!E21/SUM(output!E$11:E$23)</f>
        <v>8.9583761109970378E-2</v>
      </c>
      <c r="Q15" s="28">
        <f>output!F21/SUM(output!F$11:F$23)</f>
        <v>4.7313276670154364E-2</v>
      </c>
      <c r="R15" s="28">
        <f>output!G21/SUM(output!G$11:G$23)</f>
        <v>2.4672090320438319E-2</v>
      </c>
      <c r="S15" s="28">
        <f>output!H21/SUM(output!H$11:H$23)</f>
        <v>3.5295104425867418E-2</v>
      </c>
      <c r="T15" s="28">
        <f>output!I21/SUM(output!I$11:I$23)</f>
        <v>6.0390409754381855E-2</v>
      </c>
      <c r="U15" s="28">
        <f>output!J21/SUM(output!J$11:J$23)</f>
        <v>5.0605953835139349E-2</v>
      </c>
      <c r="W15" s="27" t="s">
        <v>230</v>
      </c>
      <c r="X15" s="12">
        <f t="shared" si="0"/>
        <v>2.5479393691600186E-2</v>
      </c>
      <c r="Y15" s="12">
        <f t="shared" si="1"/>
        <v>3.1362234456730309E-2</v>
      </c>
      <c r="Z15" s="12">
        <f t="shared" si="2"/>
        <v>4.9793014755378825E-2</v>
      </c>
      <c r="AA15" s="12">
        <f t="shared" si="3"/>
        <v>5.6275360780428739E-2</v>
      </c>
      <c r="AB15" s="12">
        <f t="shared" si="4"/>
        <v>-1.0283630389045971E-2</v>
      </c>
      <c r="AC15" s="12">
        <f t="shared" si="5"/>
        <v>2.4672090320438319E-2</v>
      </c>
      <c r="AD15" s="12">
        <f t="shared" si="6"/>
        <v>3.2113133724604052E-2</v>
      </c>
      <c r="AE15" s="12">
        <f t="shared" si="7"/>
        <v>6.0390409754381855E-2</v>
      </c>
      <c r="AF15" s="12">
        <f t="shared" si="8"/>
        <v>3.2701190099516136E-2</v>
      </c>
    </row>
    <row r="16" spans="1:32" x14ac:dyDescent="0.2">
      <c r="A16" s="27" t="s">
        <v>11</v>
      </c>
      <c r="B16" s="28">
        <f>output_NHTS!B22/SUM(output_NHTS!B$11:B$23)</f>
        <v>4.0057123251964885E-3</v>
      </c>
      <c r="C16" s="28">
        <f>output_NHTS!C22/SUM(output_NHTS!C$11:C$23)</f>
        <v>4.464250832640957E-2</v>
      </c>
      <c r="D16" s="28">
        <f>output_NHTS!D22/SUM(output_NHTS!D$11:D$23)</f>
        <v>1.8095163810077572E-2</v>
      </c>
      <c r="E16" s="28">
        <f>output_NHTS!E22/SUM(output_NHTS!E$11:E$23)</f>
        <v>7.0500634821915893E-3</v>
      </c>
      <c r="F16" s="28">
        <f>output_NHTS!F22/SUM(output_NHTS!F$11:F$23)</f>
        <v>0</v>
      </c>
      <c r="G16" s="28">
        <f>output_NHTS!G22/SUM(output_NHTS!G$11:G$23)</f>
        <v>0</v>
      </c>
      <c r="H16" s="28">
        <f>output_NHTS!H22/SUM(output_NHTS!H$11:H$23)</f>
        <v>0</v>
      </c>
      <c r="I16" s="28">
        <f>output_NHTS!I22/SUM(output_NHTS!I$11:I$23)</f>
        <v>3.2245369433754334E-2</v>
      </c>
      <c r="J16" s="28">
        <f>output_NHTS!J22/SUM(output_NHTS!J$11:J$23)</f>
        <v>1.0632846403288786E-2</v>
      </c>
      <c r="L16" s="27" t="s">
        <v>11</v>
      </c>
      <c r="M16" s="28">
        <f>output!B22/SUM(output!B$11:B$23)</f>
        <v>5.0662843858351396E-2</v>
      </c>
      <c r="N16" s="28">
        <f>output!C22/SUM(output!C$11:C$23)</f>
        <v>6.6836931834245911E-2</v>
      </c>
      <c r="O16" s="28">
        <f>output!D22/SUM(output!D$11:D$23)</f>
        <v>5.7678567028851602E-2</v>
      </c>
      <c r="P16" s="28">
        <f>output!E22/SUM(output!E$11:E$23)</f>
        <v>8.9867315909379797E-2</v>
      </c>
      <c r="Q16" s="28">
        <f>output!F22/SUM(output!F$11:F$23)</f>
        <v>5.4135790967335062E-2</v>
      </c>
      <c r="R16" s="28">
        <f>output!G22/SUM(output!G$11:G$23)</f>
        <v>1.0891582267972771E-2</v>
      </c>
      <c r="S16" s="28">
        <f>output!H22/SUM(output!H$11:H$23)</f>
        <v>1.5634523443397545E-2</v>
      </c>
      <c r="T16" s="28">
        <f>output!I22/SUM(output!I$11:I$23)</f>
        <v>4.8713289172870627E-2</v>
      </c>
      <c r="U16" s="28">
        <f>output!J22/SUM(output!J$11:J$23)</f>
        <v>4.9718600908476254E-2</v>
      </c>
      <c r="W16" s="27" t="s">
        <v>11</v>
      </c>
      <c r="X16" s="12">
        <f t="shared" si="0"/>
        <v>4.6657131533154907E-2</v>
      </c>
      <c r="Y16" s="12">
        <f t="shared" si="1"/>
        <v>2.219442350783634E-2</v>
      </c>
      <c r="Z16" s="12">
        <f t="shared" si="2"/>
        <v>3.958340321877403E-2</v>
      </c>
      <c r="AA16" s="12">
        <f t="shared" si="3"/>
        <v>8.2817252427188209E-2</v>
      </c>
      <c r="AB16" s="12">
        <f t="shared" si="4"/>
        <v>5.4135790967335062E-2</v>
      </c>
      <c r="AC16" s="12">
        <f t="shared" si="5"/>
        <v>1.0891582267972771E-2</v>
      </c>
      <c r="AD16" s="12">
        <f t="shared" si="6"/>
        <v>1.5634523443397545E-2</v>
      </c>
      <c r="AE16" s="12">
        <f t="shared" si="7"/>
        <v>1.6467919739116293E-2</v>
      </c>
      <c r="AF16" s="12">
        <f t="shared" si="8"/>
        <v>3.9085754505187469E-2</v>
      </c>
    </row>
    <row r="17" spans="1:32" x14ac:dyDescent="0.2">
      <c r="A17" s="29" t="s">
        <v>206</v>
      </c>
      <c r="B17" s="30">
        <f>output_NHTS!B23/SUM(output_NHTS!B$11:B$23)</f>
        <v>9.2587187959322741E-3</v>
      </c>
      <c r="C17" s="30">
        <f>output_NHTS!C23/SUM(output_NHTS!C$11:C$23)</f>
        <v>5.266119879985804E-2</v>
      </c>
      <c r="D17" s="30">
        <f>output_NHTS!D23/SUM(output_NHTS!D$11:D$23)</f>
        <v>3.3381805463140856E-3</v>
      </c>
      <c r="E17" s="30">
        <f>output_NHTS!E23/SUM(output_NHTS!E$11:E$23)</f>
        <v>9.0684975982585403E-2</v>
      </c>
      <c r="F17" s="30">
        <f>output_NHTS!F23/SUM(output_NHTS!F$11:F$23)</f>
        <v>0</v>
      </c>
      <c r="G17" s="30">
        <f>output_NHTS!G23/SUM(output_NHTS!G$11:G$23)</f>
        <v>0</v>
      </c>
      <c r="H17" s="30">
        <f>output_NHTS!H23/SUM(output_NHTS!H$11:H$23)</f>
        <v>0</v>
      </c>
      <c r="I17" s="30">
        <f>output_NHTS!I23/SUM(output_NHTS!I$11:I$23)</f>
        <v>0</v>
      </c>
      <c r="J17" s="30">
        <f>output_NHTS!J23/SUM(output_NHTS!J$11:J$23)</f>
        <v>2.1500223927531446E-2</v>
      </c>
      <c r="L17" s="29" t="s">
        <v>206</v>
      </c>
      <c r="M17" s="30">
        <f>output!B23/SUM(output!B$11:B$23)</f>
        <v>1.1512288879894568E-2</v>
      </c>
      <c r="N17" s="30">
        <f>output!C23/SUM(output!C$11:C$23)</f>
        <v>1.5587744677642802E-2</v>
      </c>
      <c r="O17" s="30">
        <f>output!D23/SUM(output!D$11:D$23)</f>
        <v>1.4031586468573682E-2</v>
      </c>
      <c r="P17" s="30">
        <f>output!E23/SUM(output!E$11:E$23)</f>
        <v>2.5969708525221711E-2</v>
      </c>
      <c r="Q17" s="30">
        <f>output!F23/SUM(output!F$11:F$23)</f>
        <v>1.40893520044719E-2</v>
      </c>
      <c r="R17" s="30">
        <f>output!G23/SUM(output!G$11:G$23)</f>
        <v>1.3614477834965964E-3</v>
      </c>
      <c r="S17" s="30">
        <f>output!H23/SUM(output!H$11:H$23)</f>
        <v>1.6719322280314257E-3</v>
      </c>
      <c r="T17" s="30">
        <f>output!I23/SUM(output!I$11:I$23)</f>
        <v>8.8633565859663529E-3</v>
      </c>
      <c r="U17" s="30">
        <f>output!J23/SUM(output!J$11:J$23)</f>
        <v>1.1515676712656077E-2</v>
      </c>
      <c r="W17" s="29" t="s">
        <v>206</v>
      </c>
      <c r="X17" s="12">
        <f t="shared" si="0"/>
        <v>2.2535700839622936E-3</v>
      </c>
      <c r="Y17" s="12">
        <f t="shared" si="1"/>
        <v>-3.7073454122215237E-2</v>
      </c>
      <c r="Z17" s="12">
        <f t="shared" si="2"/>
        <v>1.0693405922259596E-2</v>
      </c>
      <c r="AA17" s="12">
        <f t="shared" si="3"/>
        <v>-6.4715267457363695E-2</v>
      </c>
      <c r="AB17" s="12">
        <f t="shared" si="4"/>
        <v>1.40893520044719E-2</v>
      </c>
      <c r="AC17" s="12">
        <f t="shared" si="5"/>
        <v>1.3614477834965964E-3</v>
      </c>
      <c r="AD17" s="12">
        <f t="shared" si="6"/>
        <v>1.6719322280314257E-3</v>
      </c>
      <c r="AE17" s="12">
        <f t="shared" si="7"/>
        <v>8.8633565859663529E-3</v>
      </c>
      <c r="AF17" s="12">
        <f t="shared" si="8"/>
        <v>-9.9845472148753691E-3</v>
      </c>
    </row>
    <row r="18" spans="1:32" ht="13.5" thickBot="1" x14ac:dyDescent="0.25">
      <c r="A18" s="15" t="s">
        <v>221</v>
      </c>
      <c r="B18" s="31">
        <f>SUM(B5:B17)</f>
        <v>1.0000000000000002</v>
      </c>
      <c r="C18" s="31">
        <f t="shared" ref="C18:J18" si="9">SUM(C5:C17)</f>
        <v>1.0000000000000004</v>
      </c>
      <c r="D18" s="31">
        <f t="shared" si="9"/>
        <v>1.0000000000000002</v>
      </c>
      <c r="E18" s="31">
        <f t="shared" si="9"/>
        <v>1.0000000000000002</v>
      </c>
      <c r="F18" s="31">
        <f t="shared" si="9"/>
        <v>0.99999999999999989</v>
      </c>
      <c r="G18" s="31">
        <f t="shared" si="9"/>
        <v>1.0000000000000002</v>
      </c>
      <c r="H18" s="31">
        <f t="shared" si="9"/>
        <v>1</v>
      </c>
      <c r="I18" s="31">
        <f t="shared" si="9"/>
        <v>1</v>
      </c>
      <c r="J18" s="31">
        <f t="shared" si="9"/>
        <v>0.99999999999999978</v>
      </c>
      <c r="L18" s="15" t="s">
        <v>221</v>
      </c>
      <c r="M18" s="31">
        <f>SUM(M5:M17)</f>
        <v>0.99999999999999989</v>
      </c>
      <c r="N18" s="31">
        <f t="shared" ref="N18:U18" si="10">SUM(N5:N17)</f>
        <v>1</v>
      </c>
      <c r="O18" s="31">
        <f t="shared" si="10"/>
        <v>1</v>
      </c>
      <c r="P18" s="31">
        <f t="shared" si="10"/>
        <v>1</v>
      </c>
      <c r="Q18" s="31">
        <f t="shared" si="10"/>
        <v>1</v>
      </c>
      <c r="R18" s="31">
        <f t="shared" si="10"/>
        <v>0.99999999999999989</v>
      </c>
      <c r="S18" s="31">
        <f t="shared" si="10"/>
        <v>1.0000000000000002</v>
      </c>
      <c r="T18" s="31">
        <f t="shared" si="10"/>
        <v>1</v>
      </c>
      <c r="U18" s="31">
        <f t="shared" si="10"/>
        <v>1.0000000000000002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H81" sqref="H81"/>
    </sheetView>
  </sheetViews>
  <sheetFormatPr defaultColWidth="10.75" defaultRowHeight="12.75" x14ac:dyDescent="0.2"/>
  <cols>
    <col min="1" max="1" width="15.75" style="3" customWidth="1" collapsed="1"/>
    <col min="2" max="11" width="10.75" style="3" collapsed="1"/>
    <col min="12" max="12" width="15.75" style="3" customWidth="1" collapsed="1"/>
    <col min="13" max="13" width="11.25" style="39" bestFit="1" customWidth="1" collapsed="1"/>
    <col min="14" max="21" width="10.75" style="39" collapsed="1"/>
    <col min="22" max="22" width="10.75" style="3" collapsed="1"/>
    <col min="23" max="23" width="15.75" style="3" customWidth="1" collapsed="1"/>
    <col min="24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0.19019433605417946</v>
      </c>
      <c r="C5" s="12">
        <f>output_NHTS!C29/SUM(output_NHTS!C$29:C$32)</f>
        <v>0.6167945424630904</v>
      </c>
      <c r="D5" s="12">
        <f>output_NHTS!D29/SUM(output_NHTS!D$29:D$32)</f>
        <v>0.95121014410761517</v>
      </c>
      <c r="E5" s="12">
        <f>output_NHTS!E29/SUM(output_NHTS!E$29:E$32)</f>
        <v>0.96654503914843759</v>
      </c>
      <c r="F5" s="12">
        <f>output_NHTS!F29/SUM(output_NHTS!F$29:F$32)</f>
        <v>0.51821159697065966</v>
      </c>
      <c r="G5" s="12">
        <f>output_NHTS!G29/SUM(output_NHTS!G$29:G$32)</f>
        <v>0.90908865104842984</v>
      </c>
      <c r="H5" s="12">
        <f>output_NHTS!H29/SUM(output_NHTS!H$29:H$32)</f>
        <v>0.98465408160907697</v>
      </c>
      <c r="I5" s="12">
        <f>output_NHTS!I29/SUM(output_NHTS!I$29:I$32)</f>
        <v>1</v>
      </c>
      <c r="J5" s="12">
        <f>output_NHTS!J29/SUM(output_NHTS!J$29:J$32)</f>
        <v>0.6057847919237076</v>
      </c>
      <c r="L5" s="3" t="s">
        <v>226</v>
      </c>
      <c r="M5" s="42">
        <f>output!B29/SUM(output!B$29:B$32)</f>
        <v>1.6730103219812144E-2</v>
      </c>
      <c r="N5" s="42">
        <f>output!C29/SUM(output!C$29:C$32)</f>
        <v>0.35176092508646767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0.23101950723100517</v>
      </c>
      <c r="R5" s="42">
        <f>output!G29/SUM(output!G$29:G$32)</f>
        <v>0.95835962145110409</v>
      </c>
      <c r="S5" s="42">
        <f>output!H29/SUM(output!H$29:H$32)</f>
        <v>0.99138871026365083</v>
      </c>
      <c r="T5" s="42">
        <f>output!I29/SUM(output!I$29:I$32)</f>
        <v>1</v>
      </c>
      <c r="U5" s="42">
        <f>output!J29/SUM(output!J$29:J$32)</f>
        <v>0.46465435222803497</v>
      </c>
      <c r="W5" s="3" t="s">
        <v>226</v>
      </c>
      <c r="X5" s="12">
        <f t="shared" ref="X5:AF5" si="0">M5-B5</f>
        <v>-0.17346423283436732</v>
      </c>
      <c r="Y5" s="12">
        <f t="shared" si="0"/>
        <v>-0.26503361737662273</v>
      </c>
      <c r="Z5" s="12">
        <f t="shared" si="0"/>
        <v>4.8789855892384826E-2</v>
      </c>
      <c r="AA5" s="12">
        <f t="shared" si="0"/>
        <v>3.345496085156241E-2</v>
      </c>
      <c r="AB5" s="12">
        <f t="shared" si="0"/>
        <v>-0.28719208973965449</v>
      </c>
      <c r="AC5" s="12">
        <f t="shared" si="0"/>
        <v>4.9270970402674252E-2</v>
      </c>
      <c r="AD5" s="12">
        <f t="shared" si="0"/>
        <v>6.7346286545738598E-3</v>
      </c>
      <c r="AE5" s="12">
        <f t="shared" si="0"/>
        <v>0</v>
      </c>
      <c r="AF5" s="12">
        <f t="shared" si="0"/>
        <v>-0.14113043969567263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0.17134861700119874</v>
      </c>
      <c r="G6" s="12">
        <f>output_NHTS!G30/SUM(output_NHTS!G$29:G$32)</f>
        <v>9.0911348951570173E-2</v>
      </c>
      <c r="H6" s="12">
        <f>output_NHTS!H30/SUM(output_NHTS!H$29:H$32)</f>
        <v>0</v>
      </c>
      <c r="I6" s="12">
        <f>output_NHTS!I30/SUM(output_NHTS!I$29:I$32)</f>
        <v>0</v>
      </c>
      <c r="J6" s="12">
        <f>output_NHTS!J30/SUM(output_NHTS!J$29:J$32)</f>
        <v>4.7811411595007633E-3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6.5215210193639008E-3</v>
      </c>
      <c r="R6" s="42">
        <f>output!G30/SUM(output!G$29:G$32)</f>
        <v>2.9885439149925287E-4</v>
      </c>
      <c r="S6" s="42">
        <f>output!H30/SUM(output!H$29:H$32)</f>
        <v>8.3876198730673527E-5</v>
      </c>
      <c r="T6" s="42">
        <f>output!I30/SUM(output!I$29:I$32)</f>
        <v>0</v>
      </c>
      <c r="U6" s="42">
        <f>output!J30/SUM(output!J$29:J$32)</f>
        <v>4.146751725576801E-4</v>
      </c>
      <c r="W6" s="3" t="s">
        <v>235</v>
      </c>
      <c r="X6" s="12"/>
      <c r="Y6" s="12"/>
      <c r="Z6" s="12"/>
      <c r="AA6" s="12"/>
      <c r="AB6" s="12">
        <f t="shared" ref="AB6:AD8" si="1">Q6-F6</f>
        <v>-0.16482709598183484</v>
      </c>
      <c r="AC6" s="12">
        <f t="shared" si="1"/>
        <v>-9.0612494560070922E-2</v>
      </c>
      <c r="AD6" s="12">
        <f t="shared" si="1"/>
        <v>8.3876198730673527E-5</v>
      </c>
      <c r="AE6" s="12">
        <f t="shared" ref="AE6:AF9" si="2">T6-I6</f>
        <v>0</v>
      </c>
      <c r="AF6" s="12">
        <f t="shared" si="2"/>
        <v>-4.3664659869430836E-3</v>
      </c>
    </row>
    <row r="7" spans="1:32" x14ac:dyDescent="0.2">
      <c r="A7" s="3" t="s">
        <v>236</v>
      </c>
      <c r="B7" s="12">
        <f>output_NHTS!B31/SUM(output_NHTS!B$29:B$32)</f>
        <v>0.72566611589614483</v>
      </c>
      <c r="C7" s="12">
        <f>output_NHTS!C31/SUM(output_NHTS!C$29:C$32)</f>
        <v>0.35560745331997734</v>
      </c>
      <c r="D7" s="12">
        <f>output_NHTS!D31/SUM(output_NHTS!D$29:D$32)</f>
        <v>3.0774153119241095E-2</v>
      </c>
      <c r="E7" s="12">
        <f>output_NHTS!E31/SUM(output_NHTS!E$29:E$32)</f>
        <v>1.7638168746332929E-2</v>
      </c>
      <c r="F7" s="12">
        <f>output_NHTS!F31/SUM(output_NHTS!F$29:F$32)</f>
        <v>0.2910696866775303</v>
      </c>
      <c r="G7" s="12">
        <f>output_NHTS!G31/SUM(output_NHTS!G$29:G$32)</f>
        <v>0</v>
      </c>
      <c r="H7" s="12">
        <f>output_NHTS!H31/SUM(output_NHTS!H$29:H$32)</f>
        <v>1.534591839092306E-2</v>
      </c>
      <c r="I7" s="12">
        <f>output_NHTS!I31/SUM(output_NHTS!I$29:I$32)</f>
        <v>0</v>
      </c>
      <c r="J7" s="12">
        <f>output_NHTS!J31/SUM(output_NHTS!J$29:J$32)</f>
        <v>0.3474253517176038</v>
      </c>
      <c r="L7" s="3" t="s">
        <v>236</v>
      </c>
      <c r="M7" s="42">
        <f>output!B31/SUM(output!B$29:B$32)</f>
        <v>0.81288243867522947</v>
      </c>
      <c r="N7" s="42">
        <f>output!C31/SUM(output!C$29:C$32)</f>
        <v>0.54391239197429064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0.65229543206868379</v>
      </c>
      <c r="R7" s="42">
        <f>output!G31/SUM(output!G$29:G$32)</f>
        <v>3.7987713763905029E-2</v>
      </c>
      <c r="S7" s="42">
        <f>output!H31/SUM(output!H$29:H$32)</f>
        <v>7.7781194956244581E-3</v>
      </c>
      <c r="T7" s="42">
        <f>output!I31/SUM(output!I$29:I$32)</f>
        <v>0</v>
      </c>
      <c r="U7" s="42">
        <f>output!J31/SUM(output!J$29:J$32)</f>
        <v>0.44450841080717951</v>
      </c>
      <c r="W7" s="3" t="s">
        <v>236</v>
      </c>
      <c r="X7" s="12">
        <f t="shared" ref="X7:AA9" si="3">M7-B7</f>
        <v>8.7216322779084643E-2</v>
      </c>
      <c r="Y7" s="12">
        <f t="shared" si="3"/>
        <v>0.1883049386543133</v>
      </c>
      <c r="Z7" s="12">
        <f t="shared" si="3"/>
        <v>-3.0774153119241095E-2</v>
      </c>
      <c r="AA7" s="12">
        <f t="shared" si="3"/>
        <v>-1.7638168746332929E-2</v>
      </c>
      <c r="AB7" s="12">
        <f t="shared" si="1"/>
        <v>0.36122574539115349</v>
      </c>
      <c r="AC7" s="12">
        <f t="shared" si="1"/>
        <v>3.7987713763905029E-2</v>
      </c>
      <c r="AD7" s="12">
        <f t="shared" si="1"/>
        <v>-7.5677988952986015E-3</v>
      </c>
      <c r="AE7" s="12">
        <f t="shared" si="2"/>
        <v>0</v>
      </c>
      <c r="AF7" s="12">
        <f t="shared" si="2"/>
        <v>9.7083059089575707E-2</v>
      </c>
    </row>
    <row r="8" spans="1:32" x14ac:dyDescent="0.2">
      <c r="A8" s="8" t="s">
        <v>173</v>
      </c>
      <c r="B8" s="13">
        <f>output_NHTS!B32/SUM(output_NHTS!B$29:B$32)</f>
        <v>8.4139548049675786E-2</v>
      </c>
      <c r="C8" s="13">
        <f>output_NHTS!C32/SUM(output_NHTS!C$29:C$32)</f>
        <v>2.7598004216932311E-2</v>
      </c>
      <c r="D8" s="13">
        <f>output_NHTS!D32/SUM(output_NHTS!D$29:D$32)</f>
        <v>1.8015702773143672E-2</v>
      </c>
      <c r="E8" s="13">
        <f>output_NHTS!E32/SUM(output_NHTS!E$29:E$32)</f>
        <v>1.5816792105229426E-2</v>
      </c>
      <c r="F8" s="13">
        <f>output_NHTS!F32/SUM(output_NHTS!F$29:F$32)</f>
        <v>1.9370099350611375E-2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4.2008715199187793E-2</v>
      </c>
      <c r="L8" s="8" t="s">
        <v>173</v>
      </c>
      <c r="M8" s="43">
        <f>output!B32/SUM(output!B$29:B$32)</f>
        <v>0.17038745810495842</v>
      </c>
      <c r="N8" s="43">
        <f>output!C32/SUM(output!C$29:C$32)</f>
        <v>0.10432668293924173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0.11016353968094712</v>
      </c>
      <c r="R8" s="43">
        <f>output!G32/SUM(output!G$29:G$32)</f>
        <v>3.3538103934916156E-3</v>
      </c>
      <c r="S8" s="43">
        <f>output!H32/SUM(output!H$29:H$32)</f>
        <v>7.4929404199401684E-4</v>
      </c>
      <c r="T8" s="43">
        <f>output!I32/SUM(output!I$29:I$32)</f>
        <v>0</v>
      </c>
      <c r="U8" s="43">
        <f>output!J32/SUM(output!J$29:J$32)</f>
        <v>9.0422561792227824E-2</v>
      </c>
      <c r="W8" s="8" t="s">
        <v>173</v>
      </c>
      <c r="X8" s="12">
        <f t="shared" si="3"/>
        <v>8.6247910055282637E-2</v>
      </c>
      <c r="Y8" s="12">
        <f t="shared" si="3"/>
        <v>7.6728678722309415E-2</v>
      </c>
      <c r="Z8" s="12">
        <f t="shared" si="3"/>
        <v>-1.8015702773143672E-2</v>
      </c>
      <c r="AA8" s="12">
        <f t="shared" si="3"/>
        <v>-1.5816792105229426E-2</v>
      </c>
      <c r="AB8" s="12">
        <f>Q8-F8</f>
        <v>9.0793440330335748E-2</v>
      </c>
      <c r="AC8" s="12">
        <f t="shared" si="1"/>
        <v>3.3538103934916156E-3</v>
      </c>
      <c r="AD8" s="12">
        <f t="shared" si="1"/>
        <v>7.4929404199401684E-4</v>
      </c>
      <c r="AE8" s="12">
        <f t="shared" si="2"/>
        <v>0</v>
      </c>
      <c r="AF8" s="12">
        <f t="shared" si="2"/>
        <v>4.841384659304003E-2</v>
      </c>
    </row>
    <row r="9" spans="1:32" ht="13.5" thickBot="1" x14ac:dyDescent="0.25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</v>
      </c>
      <c r="F9" s="44">
        <f t="shared" si="4"/>
        <v>1</v>
      </c>
      <c r="G9" s="44">
        <f t="shared" si="4"/>
        <v>1</v>
      </c>
      <c r="H9" s="44">
        <f t="shared" si="4"/>
        <v>1</v>
      </c>
      <c r="I9" s="44">
        <f t="shared" si="4"/>
        <v>1</v>
      </c>
      <c r="J9" s="44">
        <f t="shared" si="4"/>
        <v>1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0.99999999999999989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0.97857152103257572</v>
      </c>
      <c r="C17" s="12">
        <f>output_NHTS!C36/SUM(output_NHTS!C$36:C$39)</f>
        <v>0.9018335927173361</v>
      </c>
      <c r="D17" s="12">
        <f>output_NHTS!D36/SUM(output_NHTS!D$36:D$39)</f>
        <v>0.98956931742541876</v>
      </c>
      <c r="E17" s="12">
        <f>output_NHTS!E36/SUM(output_NHTS!E$36:E$39)</f>
        <v>0.94637349763748024</v>
      </c>
      <c r="F17" s="12">
        <f>output_NHTS!F36/SUM(output_NHTS!F$36:F$39)</f>
        <v>0.69563655909083633</v>
      </c>
      <c r="G17" s="12">
        <f>output_NHTS!G36/SUM(output_NHTS!G$36:G$39)</f>
        <v>9.5279736372746258E-3</v>
      </c>
      <c r="H17" s="12">
        <f>output_NHTS!H36/SUM(output_NHTS!H$36:H$39)</f>
        <v>0.22519059975308647</v>
      </c>
      <c r="I17" s="12">
        <f>output_NHTS!I36/SUM(output_NHTS!I$36:I$39)</f>
        <v>0.68850586557606852</v>
      </c>
      <c r="J17" s="12">
        <f>output_NHTS!J36/SUM(output_NHTS!J$36:J$39)</f>
        <v>0.81512307462350186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0.37609826713870059</v>
      </c>
      <c r="R17" s="42">
        <f>output!G36/SUM(output!G$36:G$39)</f>
        <v>4.3865183463390335E-2</v>
      </c>
      <c r="S17" s="42">
        <f>output!H36/SUM(output!H$36:H$39)</f>
        <v>0.15265468168982582</v>
      </c>
      <c r="T17" s="42">
        <f>output!I36/SUM(output!I$36:I$39)</f>
        <v>1</v>
      </c>
      <c r="U17" s="42">
        <f>output!J36/SUM(output!J$36:J$39)</f>
        <v>0.80620385223712498</v>
      </c>
      <c r="W17" s="3" t="s">
        <v>226</v>
      </c>
      <c r="X17" s="12">
        <f t="shared" ref="X17:AF18" si="6">M17-B17</f>
        <v>2.142847896742428E-2</v>
      </c>
      <c r="Y17" s="12">
        <f t="shared" si="6"/>
        <v>9.8166407282663903E-2</v>
      </c>
      <c r="Z17" s="12">
        <f t="shared" si="6"/>
        <v>1.043068257458124E-2</v>
      </c>
      <c r="AA17" s="12">
        <f t="shared" si="6"/>
        <v>5.3626502362519757E-2</v>
      </c>
      <c r="AB17" s="12">
        <f t="shared" si="6"/>
        <v>-0.31953829195213573</v>
      </c>
      <c r="AC17" s="12">
        <f t="shared" si="6"/>
        <v>3.4337209826115711E-2</v>
      </c>
      <c r="AD17" s="12">
        <f t="shared" si="6"/>
        <v>-7.2535918063260652E-2</v>
      </c>
      <c r="AE17" s="12">
        <f t="shared" si="6"/>
        <v>0.31149413442393148</v>
      </c>
      <c r="AF17" s="12">
        <f t="shared" si="6"/>
        <v>-8.9192223863768794E-3</v>
      </c>
    </row>
    <row r="18" spans="1:32" x14ac:dyDescent="0.2">
      <c r="A18" s="3" t="s">
        <v>235</v>
      </c>
      <c r="B18" s="12">
        <f>output_NHTS!B37/SUM(output_NHTS!B$36:B$39)</f>
        <v>4.3936463499703905E-3</v>
      </c>
      <c r="C18" s="12">
        <f>output_NHTS!C37/SUM(output_NHTS!C$36:C$39)</f>
        <v>1.0664989002386271E-2</v>
      </c>
      <c r="D18" s="12">
        <f>output_NHTS!D37/SUM(output_NHTS!D$36:D$39)</f>
        <v>0</v>
      </c>
      <c r="E18" s="12">
        <f>output_NHTS!E37/SUM(output_NHTS!E$36:E$39)</f>
        <v>0</v>
      </c>
      <c r="F18" s="12">
        <f>output_NHTS!F37/SUM(output_NHTS!F$36:F$39)</f>
        <v>1.6117343432151036E-2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3.0414140383543419E-3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1.3172039157792142E-2</v>
      </c>
      <c r="R18" s="42">
        <f>output!G37/SUM(output!G$36:G$39)</f>
        <v>5.3129669599867179E-4</v>
      </c>
      <c r="S18" s="42">
        <f>output!H37/SUM(output!H$36:H$39)</f>
        <v>8.3876198730673527E-5</v>
      </c>
      <c r="T18" s="42">
        <f>output!I37/SUM(output!I$36:I$39)</f>
        <v>0</v>
      </c>
      <c r="U18" s="42">
        <f>output!J37/SUM(output!J$36:J$39)</f>
        <v>8.2242466373652634E-4</v>
      </c>
      <c r="W18" s="3" t="s">
        <v>235</v>
      </c>
      <c r="X18" s="12">
        <f t="shared" ref="X18:Y21" si="7">M18-B18</f>
        <v>-4.3936463499703905E-3</v>
      </c>
      <c r="Y18" s="12">
        <f t="shared" si="7"/>
        <v>-1.0664989002386271E-2</v>
      </c>
      <c r="Z18" s="12"/>
      <c r="AA18" s="12">
        <f>P18-E18</f>
        <v>0</v>
      </c>
      <c r="AB18" s="12">
        <f t="shared" si="6"/>
        <v>-2.9453042743588943E-3</v>
      </c>
      <c r="AC18" s="12">
        <f t="shared" si="6"/>
        <v>5.3129669599867179E-4</v>
      </c>
      <c r="AD18" s="12">
        <f t="shared" si="6"/>
        <v>8.3876198730673527E-5</v>
      </c>
      <c r="AE18" s="12">
        <f t="shared" si="6"/>
        <v>0</v>
      </c>
      <c r="AF18" s="12">
        <f>U18-J18</f>
        <v>-2.2189893746178157E-3</v>
      </c>
    </row>
    <row r="19" spans="1:32" x14ac:dyDescent="0.2">
      <c r="A19" s="3" t="s">
        <v>236</v>
      </c>
      <c r="B19" s="12">
        <f>output_NHTS!B38/SUM(output_NHTS!B$36:B$39)</f>
        <v>1.7034832617453775E-2</v>
      </c>
      <c r="C19" s="12">
        <f>output_NHTS!C38/SUM(output_NHTS!C$36:C$39)</f>
        <v>8.7501418280277618E-2</v>
      </c>
      <c r="D19" s="12">
        <f>output_NHTS!D38/SUM(output_NHTS!D$36:D$39)</f>
        <v>1.0430682574581138E-2</v>
      </c>
      <c r="E19" s="12">
        <f>output_NHTS!E38/SUM(output_NHTS!E$36:E$39)</f>
        <v>5.3626502362519764E-2</v>
      </c>
      <c r="F19" s="12">
        <f>output_NHTS!F38/SUM(output_NHTS!F$36:F$39)</f>
        <v>0.28234604205534353</v>
      </c>
      <c r="G19" s="12">
        <f>output_NHTS!G38/SUM(output_NHTS!G$36:G$39)</f>
        <v>0.99047202636272536</v>
      </c>
      <c r="H19" s="12">
        <f>output_NHTS!H38/SUM(output_NHTS!H$36:H$39)</f>
        <v>0.72438101438392932</v>
      </c>
      <c r="I19" s="12">
        <f>output_NHTS!I38/SUM(output_NHTS!I$36:I$39)</f>
        <v>0.31149413442393148</v>
      </c>
      <c r="J19" s="12">
        <f>output_NHTS!J38/SUM(output_NHTS!J$36:J$39)</f>
        <v>0.1744198706019062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0.51535782367527128</v>
      </c>
      <c r="R19" s="42">
        <f>output!G38/SUM(output!G$36:G$39)</f>
        <v>0.80687365100448283</v>
      </c>
      <c r="S19" s="42">
        <f>output!H38/SUM(output!H$36:H$39)</f>
        <v>0.73110968210920679</v>
      </c>
      <c r="T19" s="42">
        <f>output!I38/SUM(output!I$36:I$39)</f>
        <v>0</v>
      </c>
      <c r="U19" s="42">
        <f>output!J38/SUM(output!J$36:J$39)</f>
        <v>0.16535324005017657</v>
      </c>
      <c r="W19" s="3" t="s">
        <v>236</v>
      </c>
      <c r="X19" s="12">
        <f t="shared" si="7"/>
        <v>-1.7034832617453775E-2</v>
      </c>
      <c r="Y19" s="12">
        <f t="shared" si="7"/>
        <v>-8.7501418280277618E-2</v>
      </c>
      <c r="Z19" s="12">
        <f>O19-D19</f>
        <v>-1.0430682574581138E-2</v>
      </c>
      <c r="AA19" s="12">
        <f>P19-E19</f>
        <v>-5.3626502362519764E-2</v>
      </c>
      <c r="AB19" s="12">
        <f t="shared" ref="AB19:AE21" si="8">Q19-F19</f>
        <v>0.23301178161992775</v>
      </c>
      <c r="AC19" s="12">
        <f t="shared" si="8"/>
        <v>-0.18359837535824253</v>
      </c>
      <c r="AD19" s="12">
        <f t="shared" si="8"/>
        <v>6.7286677252774707E-3</v>
      </c>
      <c r="AE19" s="12">
        <f t="shared" si="8"/>
        <v>-0.31149413442393148</v>
      </c>
      <c r="AF19" s="12">
        <f>U19-J19</f>
        <v>-9.0666305517296264E-3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0</v>
      </c>
      <c r="D20" s="13">
        <f>output_NHTS!D39/SUM(output_NHTS!D$36:D$39)</f>
        <v>0</v>
      </c>
      <c r="E20" s="13">
        <f>output_NHTS!E39/SUM(output_NHTS!E$36:E$39)</f>
        <v>0</v>
      </c>
      <c r="F20" s="13">
        <f>output_NHTS!F39/SUM(output_NHTS!F$36:F$39)</f>
        <v>5.9000554216691653E-3</v>
      </c>
      <c r="G20" s="13">
        <f>output_NHTS!G39/SUM(output_NHTS!G$36:G$39)</f>
        <v>0</v>
      </c>
      <c r="H20" s="13">
        <f>output_NHTS!H39/SUM(output_NHTS!H$36:H$39)</f>
        <v>5.0428385862984225E-2</v>
      </c>
      <c r="I20" s="13">
        <f>output_NHTS!I39/SUM(output_NHTS!I$36:I$39)</f>
        <v>0</v>
      </c>
      <c r="J20" s="13">
        <f>output_NHTS!J39/SUM(output_NHTS!J$36:J$39)</f>
        <v>7.4156407362375868E-3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9.5371870028236036E-2</v>
      </c>
      <c r="R20" s="43">
        <f>output!G39/SUM(output!G$36:G$39)</f>
        <v>0.14872986883612818</v>
      </c>
      <c r="S20" s="43">
        <f>output!H39/SUM(output!H$36:H$39)</f>
        <v>0.1161517600022367</v>
      </c>
      <c r="T20" s="43">
        <f>output!I39/SUM(output!I$36:I$39)</f>
        <v>0</v>
      </c>
      <c r="U20" s="43">
        <f>output!J39/SUM(output!J$36:J$39)</f>
        <v>2.7620483048961971E-2</v>
      </c>
      <c r="W20" s="8" t="s">
        <v>173</v>
      </c>
      <c r="X20" s="12">
        <f t="shared" si="7"/>
        <v>0</v>
      </c>
      <c r="Y20" s="12">
        <f t="shared" si="7"/>
        <v>0</v>
      </c>
      <c r="Z20" s="12"/>
      <c r="AA20" s="12">
        <f>P20-E20</f>
        <v>0</v>
      </c>
      <c r="AB20" s="12">
        <f t="shared" si="8"/>
        <v>8.9471814606566877E-2</v>
      </c>
      <c r="AC20" s="12">
        <f t="shared" si="8"/>
        <v>0.14872986883612818</v>
      </c>
      <c r="AD20" s="12">
        <f t="shared" si="8"/>
        <v>6.5723374139252472E-2</v>
      </c>
      <c r="AE20" s="12">
        <f t="shared" si="8"/>
        <v>0</v>
      </c>
      <c r="AF20" s="12">
        <f>U20-J20</f>
        <v>2.0204842312724385E-2</v>
      </c>
    </row>
    <row r="21" spans="1:32" ht="13.5" thickBot="1" x14ac:dyDescent="0.25">
      <c r="A21" s="15" t="s">
        <v>221</v>
      </c>
      <c r="B21" s="44">
        <f>SUM(B17:B20)</f>
        <v>0.99999999999999989</v>
      </c>
      <c r="C21" s="44">
        <f t="shared" ref="C21:J21" si="9">SUM(C17:C20)</f>
        <v>1</v>
      </c>
      <c r="D21" s="44">
        <f t="shared" si="9"/>
        <v>0.99999999999999989</v>
      </c>
      <c r="E21" s="44">
        <f t="shared" si="9"/>
        <v>1</v>
      </c>
      <c r="F21" s="44">
        <f t="shared" si="9"/>
        <v>1</v>
      </c>
      <c r="G21" s="44">
        <f t="shared" si="9"/>
        <v>1</v>
      </c>
      <c r="H21" s="44">
        <f t="shared" si="9"/>
        <v>1</v>
      </c>
      <c r="I21" s="44">
        <f t="shared" si="9"/>
        <v>1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1</v>
      </c>
      <c r="U21" s="44">
        <f t="shared" si="10"/>
        <v>1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0.78742430661284268</v>
      </c>
      <c r="C29" s="12">
        <f>output_NHTS!C43/SUM(output_NHTS!C$43:C$46)</f>
        <v>0.77600301066765109</v>
      </c>
      <c r="D29" s="12">
        <f>output_NHTS!D43/SUM(output_NHTS!D$43:D$46)</f>
        <v>0.85579274914354408</v>
      </c>
      <c r="E29" s="12">
        <f>output_NHTS!E43/SUM(output_NHTS!E$43:E$46)</f>
        <v>0.65410366878807424</v>
      </c>
      <c r="F29" s="12">
        <f>output_NHTS!F43/SUM(output_NHTS!F$43:F$46)</f>
        <v>0.79500851581336285</v>
      </c>
      <c r="G29" s="12">
        <f>output_NHTS!G43/SUM(output_NHTS!G$43:G$46)</f>
        <v>0.84561411019654653</v>
      </c>
      <c r="H29" s="12">
        <f>output_NHTS!H43/SUM(output_NHTS!H$43:H$46)</f>
        <v>0.88517747862408813</v>
      </c>
      <c r="I29" s="12">
        <f>output_NHTS!I43/SUM(output_NHTS!I$43:I$46)</f>
        <v>0.82924435171583111</v>
      </c>
      <c r="J29" s="12">
        <f>output_NHTS!J43/SUM(output_NHTS!J$43:J$46)</f>
        <v>0.79304429037359192</v>
      </c>
      <c r="L29" s="3" t="s">
        <v>226</v>
      </c>
      <c r="M29" s="42">
        <f>output!B43/SUM(output!B$43:B$46)</f>
        <v>0.64041742514719335</v>
      </c>
      <c r="N29" s="42">
        <f>output!C43/SUM(output!C$43:C$46)</f>
        <v>0.72939147480421074</v>
      </c>
      <c r="O29" s="42">
        <f>output!D43/SUM(output!D$43:D$46)</f>
        <v>0.83122674748072045</v>
      </c>
      <c r="P29" s="42">
        <f>output!E43/SUM(output!E$43:E$46)</f>
        <v>0.63856540827002239</v>
      </c>
      <c r="Q29" s="42">
        <f>output!F43/SUM(output!F$43:F$46)</f>
        <v>0.78529146182401921</v>
      </c>
      <c r="R29" s="42">
        <f>output!G43/SUM(output!G$43:G$46)</f>
        <v>0.89981736676075041</v>
      </c>
      <c r="S29" s="42">
        <f>output!H43/SUM(output!H$43:H$46)</f>
        <v>0.91908742695781032</v>
      </c>
      <c r="T29" s="42">
        <f>output!I43/SUM(output!I$43:I$46)</f>
        <v>0.71170643062313144</v>
      </c>
      <c r="U29" s="42">
        <f>output!J43/SUM(output!J$43:J$46)</f>
        <v>0.7257560030507626</v>
      </c>
      <c r="W29" s="3" t="s">
        <v>226</v>
      </c>
      <c r="X29" s="12">
        <f t="shared" ref="X29:AD33" si="11">M29-B29</f>
        <v>-0.14700688146564933</v>
      </c>
      <c r="Y29" s="12">
        <f t="shared" si="11"/>
        <v>-4.6611535863440356E-2</v>
      </c>
      <c r="Z29" s="12">
        <f t="shared" si="11"/>
        <v>-2.4566001662823633E-2</v>
      </c>
      <c r="AA29" s="12">
        <f t="shared" si="11"/>
        <v>-1.553826051805185E-2</v>
      </c>
      <c r="AB29" s="12">
        <f t="shared" si="11"/>
        <v>-9.7170539893436381E-3</v>
      </c>
      <c r="AC29" s="12">
        <f t="shared" si="11"/>
        <v>5.4203256564203883E-2</v>
      </c>
      <c r="AD29" s="12">
        <f t="shared" si="11"/>
        <v>3.3909948333722184E-2</v>
      </c>
      <c r="AE29" s="12">
        <f t="shared" ref="AE29:AF33" si="12">T29-I29</f>
        <v>-0.11753792109269967</v>
      </c>
      <c r="AF29" s="12">
        <f t="shared" si="12"/>
        <v>-6.7288287322829321E-2</v>
      </c>
    </row>
    <row r="30" spans="1:32" x14ac:dyDescent="0.2">
      <c r="A30" s="3" t="s">
        <v>235</v>
      </c>
      <c r="B30" s="12">
        <f>output_NHTS!B44/SUM(output_NHTS!B$43:B$46)</f>
        <v>0.13430682133020141</v>
      </c>
      <c r="C30" s="12">
        <f>output_NHTS!C44/SUM(output_NHTS!C$43:C$46)</f>
        <v>3.0249377930205122E-2</v>
      </c>
      <c r="D30" s="12">
        <f>output_NHTS!D44/SUM(output_NHTS!D$43:D$46)</f>
        <v>7.6662757911861324E-3</v>
      </c>
      <c r="E30" s="12">
        <f>output_NHTS!E44/SUM(output_NHTS!E$43:E$46)</f>
        <v>3.0164274053558278E-3</v>
      </c>
      <c r="F30" s="12">
        <f>output_NHTS!F44/SUM(output_NHTS!F$43:F$46)</f>
        <v>3.2674390124771177E-2</v>
      </c>
      <c r="G30" s="12">
        <f>output_NHTS!G44/SUM(output_NHTS!G$43:G$46)</f>
        <v>1.2726793772634288E-2</v>
      </c>
      <c r="H30" s="12">
        <f>output_NHTS!H44/SUM(output_NHTS!H$43:H$46)</f>
        <v>6.1394552076146101E-2</v>
      </c>
      <c r="I30" s="12">
        <f>output_NHTS!I44/SUM(output_NHTS!I$43:I$46)</f>
        <v>1.9284526924182175E-2</v>
      </c>
      <c r="J30" s="12">
        <f>output_NHTS!J44/SUM(output_NHTS!J$43:J$46)</f>
        <v>7.1135861960054628E-2</v>
      </c>
      <c r="L30" s="3" t="s">
        <v>235</v>
      </c>
      <c r="M30" s="42">
        <f>output!B44/SUM(output!B$43:B$46)</f>
        <v>0.22780734162627531</v>
      </c>
      <c r="N30" s="42">
        <f>output!C44/SUM(output!C$43:C$46)</f>
        <v>9.1349461402897014E-2</v>
      </c>
      <c r="O30" s="42">
        <f>output!D44/SUM(output!D$43:D$46)</f>
        <v>9.8800108409096508E-3</v>
      </c>
      <c r="P30" s="42">
        <f>output!E44/SUM(output!E$43:E$46)</f>
        <v>2.1325276465929424E-2</v>
      </c>
      <c r="Q30" s="42">
        <f>output!F44/SUM(output!F$43:F$46)</f>
        <v>0.17712737748856941</v>
      </c>
      <c r="R30" s="42">
        <f>output!G44/SUM(output!G$43:G$46)</f>
        <v>5.6184625601859536E-2</v>
      </c>
      <c r="S30" s="42">
        <f>output!H44/SUM(output!H$43:H$46)</f>
        <v>3.4411608465904325E-2</v>
      </c>
      <c r="T30" s="42">
        <f>output!I44/SUM(output!I$43:I$46)</f>
        <v>1.8934286886687378E-2</v>
      </c>
      <c r="U30" s="42">
        <f>output!J44/SUM(output!J$43:J$46)</f>
        <v>0.12877611955803764</v>
      </c>
      <c r="W30" s="3" t="s">
        <v>235</v>
      </c>
      <c r="X30" s="12">
        <f t="shared" si="11"/>
        <v>9.3500520296073891E-2</v>
      </c>
      <c r="Y30" s="12">
        <f t="shared" si="11"/>
        <v>6.1100083472691892E-2</v>
      </c>
      <c r="Z30" s="12">
        <f t="shared" si="11"/>
        <v>2.2137350497235184E-3</v>
      </c>
      <c r="AA30" s="12">
        <f t="shared" si="11"/>
        <v>1.8308849060573597E-2</v>
      </c>
      <c r="AB30" s="12">
        <f t="shared" si="11"/>
        <v>0.14445298736379825</v>
      </c>
      <c r="AC30" s="12">
        <f t="shared" si="11"/>
        <v>4.3457831829225246E-2</v>
      </c>
      <c r="AD30" s="12">
        <f t="shared" si="11"/>
        <v>-2.6982943610241776E-2</v>
      </c>
      <c r="AE30" s="12">
        <f t="shared" si="12"/>
        <v>-3.5024003749479712E-4</v>
      </c>
      <c r="AF30" s="12">
        <f t="shared" si="12"/>
        <v>5.7640257597983011E-2</v>
      </c>
    </row>
    <row r="31" spans="1:32" x14ac:dyDescent="0.2">
      <c r="A31" s="3" t="s">
        <v>236</v>
      </c>
      <c r="B31" s="12">
        <f>output_NHTS!B45/SUM(output_NHTS!B$43:B$46)</f>
        <v>5.7130700488462242E-2</v>
      </c>
      <c r="C31" s="12">
        <f>output_NHTS!C45/SUM(output_NHTS!C$43:C$46)</f>
        <v>8.7689530421550685E-2</v>
      </c>
      <c r="D31" s="12">
        <f>output_NHTS!D45/SUM(output_NHTS!D$43:D$46)</f>
        <v>9.8640088767980541E-2</v>
      </c>
      <c r="E31" s="12">
        <f>output_NHTS!E45/SUM(output_NHTS!E$43:E$46)</f>
        <v>0.23125098569532837</v>
      </c>
      <c r="F31" s="12">
        <f>output_NHTS!F45/SUM(output_NHTS!F$43:F$46)</f>
        <v>6.7771136821605946E-2</v>
      </c>
      <c r="G31" s="12">
        <f>output_NHTS!G45/SUM(output_NHTS!G$43:G$46)</f>
        <v>0.14165909603081916</v>
      </c>
      <c r="H31" s="12">
        <f>output_NHTS!H45/SUM(output_NHTS!H$43:H$46)</f>
        <v>2.8520963653583808E-2</v>
      </c>
      <c r="I31" s="12">
        <f>output_NHTS!I45/SUM(output_NHTS!I$43:I$46)</f>
        <v>0.12820280197510209</v>
      </c>
      <c r="J31" s="12">
        <f>output_NHTS!J45/SUM(output_NHTS!J$43:J$46)</f>
        <v>9.1181164602170225E-2</v>
      </c>
      <c r="L31" s="3" t="s">
        <v>236</v>
      </c>
      <c r="M31" s="42">
        <f>output!B45/SUM(output!B$43:B$46)</f>
        <v>7.1225059864300944E-2</v>
      </c>
      <c r="N31" s="42">
        <f>output!C45/SUM(output!C$43:C$46)</f>
        <v>0.12628523499420408</v>
      </c>
      <c r="O31" s="42">
        <f>output!D45/SUM(output!D$43:D$46)</f>
        <v>0.12485524921772982</v>
      </c>
      <c r="P31" s="42">
        <f>output!E45/SUM(output!E$43:E$46)</f>
        <v>0.26880017208842999</v>
      </c>
      <c r="Q31" s="42">
        <f>output!F45/SUM(output!F$43:F$46)</f>
        <v>1.8948243489228741E-2</v>
      </c>
      <c r="R31" s="42">
        <f>output!G45/SUM(output!G$43:G$46)</f>
        <v>2.4672090320438319E-2</v>
      </c>
      <c r="S31" s="42">
        <f>output!H45/SUM(output!H$43:H$46)</f>
        <v>2.9406995274974139E-2</v>
      </c>
      <c r="T31" s="42">
        <f>output!I45/SUM(output!I$43:I$46)</f>
        <v>0.21132540008206813</v>
      </c>
      <c r="U31" s="42">
        <f>output!J45/SUM(output!J$43:J$46)</f>
        <v>9.7044378900565401E-2</v>
      </c>
      <c r="W31" s="3" t="s">
        <v>236</v>
      </c>
      <c r="X31" s="12">
        <f t="shared" si="11"/>
        <v>1.4094359375838701E-2</v>
      </c>
      <c r="Y31" s="12">
        <f t="shared" si="11"/>
        <v>3.8595704572653391E-2</v>
      </c>
      <c r="Z31" s="12">
        <f t="shared" si="11"/>
        <v>2.6215160449749281E-2</v>
      </c>
      <c r="AA31" s="12">
        <f t="shared" si="11"/>
        <v>3.7549186393101619E-2</v>
      </c>
      <c r="AB31" s="12">
        <f t="shared" si="11"/>
        <v>-4.8822893332377201E-2</v>
      </c>
      <c r="AC31" s="12">
        <f t="shared" si="11"/>
        <v>-0.11698700571038084</v>
      </c>
      <c r="AD31" s="12">
        <f t="shared" si="11"/>
        <v>8.8603162139033048E-4</v>
      </c>
      <c r="AE31" s="12">
        <f t="shared" si="12"/>
        <v>8.3122598106966039E-2</v>
      </c>
      <c r="AF31" s="12">
        <f t="shared" si="12"/>
        <v>5.8632142983951752E-3</v>
      </c>
    </row>
    <row r="32" spans="1:32" x14ac:dyDescent="0.2">
      <c r="A32" s="8" t="s">
        <v>173</v>
      </c>
      <c r="B32" s="13">
        <f>output_NHTS!B46/SUM(output_NHTS!B$43:B$46)</f>
        <v>2.113817156849351E-2</v>
      </c>
      <c r="C32" s="13">
        <f>output_NHTS!C46/SUM(output_NHTS!C$43:C$46)</f>
        <v>0.10605808098059302</v>
      </c>
      <c r="D32" s="13">
        <f>output_NHTS!D46/SUM(output_NHTS!D$43:D$46)</f>
        <v>3.790088629728916E-2</v>
      </c>
      <c r="E32" s="13">
        <f>output_NHTS!E46/SUM(output_NHTS!E$43:E$46)</f>
        <v>0.11162891811124162</v>
      </c>
      <c r="F32" s="13">
        <f>output_NHTS!F46/SUM(output_NHTS!F$43:F$46)</f>
        <v>0.10454595724026007</v>
      </c>
      <c r="G32" s="13">
        <f>output_NHTS!G46/SUM(output_NHTS!G$43:G$46)</f>
        <v>0</v>
      </c>
      <c r="H32" s="13">
        <f>output_NHTS!H46/SUM(output_NHTS!H$43:H$46)</f>
        <v>2.4907005646181968E-2</v>
      </c>
      <c r="I32" s="13">
        <f>output_NHTS!I46/SUM(output_NHTS!I$43:I$46)</f>
        <v>2.3268319384884731E-2</v>
      </c>
      <c r="J32" s="13">
        <f>output_NHTS!J46/SUM(output_NHTS!J$43:J$46)</f>
        <v>4.4638683064183164E-2</v>
      </c>
      <c r="L32" s="8" t="s">
        <v>173</v>
      </c>
      <c r="M32" s="43">
        <f>output!B46/SUM(output!B$43:B$46)</f>
        <v>6.0550173362230363E-2</v>
      </c>
      <c r="N32" s="43">
        <f>output!C46/SUM(output!C$43:C$46)</f>
        <v>5.2973828798688144E-2</v>
      </c>
      <c r="O32" s="43">
        <f>output!D46/SUM(output!D$43:D$46)</f>
        <v>3.4037992460640105E-2</v>
      </c>
      <c r="P32" s="43">
        <f>output!E46/SUM(output!E$43:E$46)</f>
        <v>7.1309143175618192E-2</v>
      </c>
      <c r="Q32" s="43">
        <f>output!F46/SUM(output!F$43:F$46)</f>
        <v>1.8632917198182573E-2</v>
      </c>
      <c r="R32" s="43">
        <f>output!G46/SUM(output!G$43:G$46)</f>
        <v>1.9325917316951685E-2</v>
      </c>
      <c r="S32" s="43">
        <f>output!H46/SUM(output!H$43:H$46)</f>
        <v>1.7093969301311265E-2</v>
      </c>
      <c r="T32" s="43">
        <f>output!I46/SUM(output!I$43:I$46)</f>
        <v>5.8033882408113018E-2</v>
      </c>
      <c r="U32" s="43">
        <f>output!J46/SUM(output!J$43:J$46)</f>
        <v>4.8423498490634313E-2</v>
      </c>
      <c r="W32" s="8" t="s">
        <v>173</v>
      </c>
      <c r="X32" s="12">
        <f t="shared" si="11"/>
        <v>3.9412001793736856E-2</v>
      </c>
      <c r="Y32" s="12">
        <f t="shared" si="11"/>
        <v>-5.3084252181904878E-2</v>
      </c>
      <c r="Z32" s="12">
        <f t="shared" si="11"/>
        <v>-3.8628938366490548E-3</v>
      </c>
      <c r="AA32" s="12">
        <f t="shared" si="11"/>
        <v>-4.0319774935623429E-2</v>
      </c>
      <c r="AB32" s="12">
        <f t="shared" si="11"/>
        <v>-8.5913040042077504E-2</v>
      </c>
      <c r="AC32" s="12">
        <f t="shared" si="11"/>
        <v>1.9325917316951685E-2</v>
      </c>
      <c r="AD32" s="12">
        <f t="shared" si="11"/>
        <v>-7.8130363448707038E-3</v>
      </c>
      <c r="AE32" s="12">
        <f t="shared" si="12"/>
        <v>3.4765563023228287E-2</v>
      </c>
      <c r="AF32" s="12">
        <f t="shared" si="12"/>
        <v>3.7848154264511491E-3</v>
      </c>
    </row>
    <row r="33" spans="1:32" ht="13.5" thickBot="1" x14ac:dyDescent="0.25">
      <c r="A33" s="15" t="s">
        <v>221</v>
      </c>
      <c r="B33" s="44">
        <f>SUM(B29:B32)</f>
        <v>0.99999999999999989</v>
      </c>
      <c r="C33" s="44">
        <f t="shared" ref="C33:J33" si="13">SUM(C29:C32)</f>
        <v>0.99999999999999989</v>
      </c>
      <c r="D33" s="44">
        <f t="shared" si="13"/>
        <v>1</v>
      </c>
      <c r="E33" s="44">
        <f t="shared" si="13"/>
        <v>1</v>
      </c>
      <c r="F33" s="44">
        <f t="shared" si="13"/>
        <v>1</v>
      </c>
      <c r="G33" s="44">
        <f t="shared" si="13"/>
        <v>1</v>
      </c>
      <c r="H33" s="44">
        <f t="shared" si="13"/>
        <v>1</v>
      </c>
      <c r="I33" s="44">
        <f t="shared" si="13"/>
        <v>1.0000000000000002</v>
      </c>
      <c r="J33" s="44">
        <f t="shared" si="13"/>
        <v>0.99999999999999989</v>
      </c>
      <c r="L33" s="15" t="s">
        <v>221</v>
      </c>
      <c r="M33" s="44">
        <f>SUM(M29:M32)</f>
        <v>0.99999999999999989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1</v>
      </c>
      <c r="R33" s="44">
        <f t="shared" si="14"/>
        <v>0.99999999999999989</v>
      </c>
      <c r="S33" s="44">
        <f t="shared" si="14"/>
        <v>1</v>
      </c>
      <c r="T33" s="44">
        <f t="shared" si="14"/>
        <v>1</v>
      </c>
      <c r="U33" s="44">
        <f t="shared" si="14"/>
        <v>1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0.81597481296029262</v>
      </c>
      <c r="C41" s="12">
        <f>output_NHTS!C50/SUM(output_NHTS!C$50:C$53)</f>
        <v>0.70023864339746067</v>
      </c>
      <c r="D41" s="12">
        <f>output_NHTS!D50/SUM(output_NHTS!D$50:D$53)</f>
        <v>0.69303478651518069</v>
      </c>
      <c r="E41" s="12">
        <f>output_NHTS!E50/SUM(output_NHTS!E$50:E$53)</f>
        <v>0.65007778810503702</v>
      </c>
      <c r="F41" s="12">
        <f>output_NHTS!F50/SUM(output_NHTS!F$50:F$53)</f>
        <v>0.76161735492161076</v>
      </c>
      <c r="G41" s="12">
        <f>output_NHTS!G50/SUM(output_NHTS!G$50:G$53)</f>
        <v>0.78665365497109785</v>
      </c>
      <c r="H41" s="12">
        <f>output_NHTS!H50/SUM(output_NHTS!H$50:H$53)</f>
        <v>0.75643068700941085</v>
      </c>
      <c r="I41" s="12">
        <f>output_NHTS!I50/SUM(output_NHTS!I$50:I$53)</f>
        <v>0.77569013087438643</v>
      </c>
      <c r="J41" s="12">
        <f>output_NHTS!J50/SUM(output_NHTS!J$50:J$53)</f>
        <v>0.75715193657056479</v>
      </c>
      <c r="L41" s="3" t="s">
        <v>226</v>
      </c>
      <c r="M41" s="42">
        <f>output!B50/SUM(output!B$50:B$53)</f>
        <v>0.61379999242350225</v>
      </c>
      <c r="N41" s="42">
        <f>output!C50/SUM(output!C$50:C$53)</f>
        <v>0.57050768549321929</v>
      </c>
      <c r="O41" s="42">
        <f>output!D50/SUM(output!D$50:D$53)</f>
        <v>0.41785547096360903</v>
      </c>
      <c r="P41" s="42">
        <f>output!E50/SUM(output!E$50:E$53)</f>
        <v>0.51036930568185157</v>
      </c>
      <c r="Q41" s="42">
        <f>output!F50/SUM(output!F$50:F$53)</f>
        <v>0.71028680359471974</v>
      </c>
      <c r="R41" s="42">
        <f>output!G50/SUM(output!G$50:G$53)</f>
        <v>0.86206209530134481</v>
      </c>
      <c r="S41" s="42">
        <f>output!H50/SUM(output!H$50:H$53)</f>
        <v>0.74199681270444828</v>
      </c>
      <c r="T41" s="42">
        <f>output!I50/SUM(output!I$50:I$53)</f>
        <v>0.49763761064540712</v>
      </c>
      <c r="U41" s="42">
        <f>output!J50/SUM(output!J$50:J$53)</f>
        <v>0.61046591655765936</v>
      </c>
      <c r="W41" s="3" t="s">
        <v>226</v>
      </c>
      <c r="X41" s="12">
        <f t="shared" ref="X41:AD45" si="15">M41-B41</f>
        <v>-0.20217482053679037</v>
      </c>
      <c r="Y41" s="12">
        <f t="shared" si="15"/>
        <v>-0.12973095790424138</v>
      </c>
      <c r="Z41" s="12">
        <f t="shared" si="15"/>
        <v>-0.27517931555157166</v>
      </c>
      <c r="AA41" s="12">
        <f t="shared" si="15"/>
        <v>-0.13970848242318545</v>
      </c>
      <c r="AB41" s="12">
        <f t="shared" si="15"/>
        <v>-5.1330551326891016E-2</v>
      </c>
      <c r="AC41" s="12">
        <f t="shared" si="15"/>
        <v>7.5408440330246962E-2</v>
      </c>
      <c r="AD41" s="12">
        <f t="shared" si="15"/>
        <v>-1.4433874304962568E-2</v>
      </c>
      <c r="AE41" s="12">
        <f t="shared" ref="AE41:AF45" si="16">T41-I41</f>
        <v>-0.27805252022897931</v>
      </c>
      <c r="AF41" s="12">
        <f t="shared" si="16"/>
        <v>-0.14668602001290543</v>
      </c>
    </row>
    <row r="42" spans="1:32" x14ac:dyDescent="0.2">
      <c r="A42" s="3" t="s">
        <v>235</v>
      </c>
      <c r="B42" s="12">
        <f>output_NHTS!B51/SUM(output_NHTS!B$50:B$53)</f>
        <v>0.11028375205462722</v>
      </c>
      <c r="C42" s="12">
        <f>output_NHTS!C51/SUM(output_NHTS!C$50:C$53)</f>
        <v>0.19430442042900939</v>
      </c>
      <c r="D42" s="12">
        <f>output_NHTS!D51/SUM(output_NHTS!D$50:D$53)</f>
        <v>0.10169206601687743</v>
      </c>
      <c r="E42" s="12">
        <f>output_NHTS!E51/SUM(output_NHTS!E$50:E$53)</f>
        <v>0.13163907422191362</v>
      </c>
      <c r="F42" s="12">
        <f>output_NHTS!F51/SUM(output_NHTS!F$50:F$53)</f>
        <v>0.18028545644574484</v>
      </c>
      <c r="G42" s="12">
        <f>output_NHTS!G51/SUM(output_NHTS!G$50:G$53)</f>
        <v>0.13611617363037229</v>
      </c>
      <c r="H42" s="12">
        <f>output_NHTS!H51/SUM(output_NHTS!H$50:H$53)</f>
        <v>9.7197869115320967E-2</v>
      </c>
      <c r="I42" s="12">
        <f>output_NHTS!I51/SUM(output_NHTS!I$50:I$53)</f>
        <v>5.3331986781604328E-2</v>
      </c>
      <c r="J42" s="12">
        <f>output_NHTS!J51/SUM(output_NHTS!J$50:J$53)</f>
        <v>0.11544062735802732</v>
      </c>
      <c r="L42" s="3" t="s">
        <v>235</v>
      </c>
      <c r="M42" s="42">
        <f>output!B51/SUM(output!B$50:B$53)</f>
        <v>0.30019080811323273</v>
      </c>
      <c r="N42" s="42">
        <f>output!C51/SUM(output!C$50:C$53)</f>
        <v>0.24203413471053351</v>
      </c>
      <c r="O42" s="42">
        <f>output!D51/SUM(output!D$50:D$53)</f>
        <v>0.20526276886687855</v>
      </c>
      <c r="P42" s="42">
        <f>output!E51/SUM(output!E$50:E$53)</f>
        <v>0.20770877944325483</v>
      </c>
      <c r="Q42" s="42">
        <f>output!F51/SUM(output!F$50:F$53)</f>
        <v>0.24569651277788129</v>
      </c>
      <c r="R42" s="42">
        <f>output!G51/SUM(output!G$50:G$53)</f>
        <v>9.1017765233272457E-2</v>
      </c>
      <c r="S42" s="42">
        <f>output!H51/SUM(output!H$50:H$53)</f>
        <v>0.14001174266782229</v>
      </c>
      <c r="T42" s="42">
        <f>output!I51/SUM(output!I$50:I$53)</f>
        <v>0.20358754909431973</v>
      </c>
      <c r="U42" s="42">
        <f>output!J51/SUM(output!J$50:J$53)</f>
        <v>0.23931259149474385</v>
      </c>
      <c r="W42" s="3" t="s">
        <v>235</v>
      </c>
      <c r="X42" s="12">
        <f t="shared" si="15"/>
        <v>0.18990705605860553</v>
      </c>
      <c r="Y42" s="12">
        <f t="shared" si="15"/>
        <v>4.7729714281524116E-2</v>
      </c>
      <c r="Z42" s="12">
        <f t="shared" si="15"/>
        <v>0.10357070285000113</v>
      </c>
      <c r="AA42" s="12">
        <f t="shared" si="15"/>
        <v>7.6069705221341211E-2</v>
      </c>
      <c r="AB42" s="12">
        <f t="shared" si="15"/>
        <v>6.5411056332136452E-2</v>
      </c>
      <c r="AC42" s="12">
        <f t="shared" si="15"/>
        <v>-4.5098408397099832E-2</v>
      </c>
      <c r="AD42" s="12">
        <f t="shared" si="15"/>
        <v>4.2813873552501325E-2</v>
      </c>
      <c r="AE42" s="12">
        <f t="shared" si="16"/>
        <v>0.15025556231271539</v>
      </c>
      <c r="AF42" s="12">
        <f t="shared" si="16"/>
        <v>0.12387196413671653</v>
      </c>
    </row>
    <row r="43" spans="1:32" x14ac:dyDescent="0.2">
      <c r="A43" s="3" t="s">
        <v>236</v>
      </c>
      <c r="B43" s="12">
        <f>output_NHTS!B52/SUM(output_NHTS!B$50:B$53)</f>
        <v>6.0637441602839612E-2</v>
      </c>
      <c r="C43" s="12">
        <f>output_NHTS!C52/SUM(output_NHTS!C$50:C$53)</f>
        <v>7.2630545918179579E-2</v>
      </c>
      <c r="D43" s="12">
        <f>output_NHTS!D52/SUM(output_NHTS!D$50:D$53)</f>
        <v>0.11789171857342261</v>
      </c>
      <c r="E43" s="12">
        <f>output_NHTS!E52/SUM(output_NHTS!E$50:E$53)</f>
        <v>0.180329648162004</v>
      </c>
      <c r="F43" s="12">
        <f>output_NHTS!F52/SUM(output_NHTS!F$50:F$53)</f>
        <v>5.8097188632644285E-2</v>
      </c>
      <c r="G43" s="12">
        <f>output_NHTS!G52/SUM(output_NHTS!G$50:G$53)</f>
        <v>7.7230171398529918E-2</v>
      </c>
      <c r="H43" s="12">
        <f>output_NHTS!H52/SUM(output_NHTS!H$50:H$53)</f>
        <v>0.14637144387526821</v>
      </c>
      <c r="I43" s="12">
        <f>output_NHTS!I52/SUM(output_NHTS!I$50:I$53)</f>
        <v>0.10023760506203383</v>
      </c>
      <c r="J43" s="12">
        <f>output_NHTS!J52/SUM(output_NHTS!J$50:J$53)</f>
        <v>9.9847849161807681E-2</v>
      </c>
      <c r="L43" s="3" t="s">
        <v>236</v>
      </c>
      <c r="M43" s="42">
        <f>output!B52/SUM(output!B$50:B$53)</f>
        <v>4.7339153944464273E-2</v>
      </c>
      <c r="N43" s="42">
        <f>output!C52/SUM(output!C$50:C$53)</f>
        <v>9.1886644865185801E-2</v>
      </c>
      <c r="O43" s="42">
        <f>output!D52/SUM(output!D$50:D$53)</f>
        <v>0.1743292187153522</v>
      </c>
      <c r="P43" s="42">
        <f>output!E52/SUM(output!E$50:E$53)</f>
        <v>0.12804943631261428</v>
      </c>
      <c r="Q43" s="42">
        <f>output!F52/SUM(output!F$50:F$53)</f>
        <v>2.4839111926500308E-2</v>
      </c>
      <c r="R43" s="42">
        <f>output!G52/SUM(output!G$50:G$53)</f>
        <v>2.7760252365930601E-2</v>
      </c>
      <c r="S43" s="42">
        <f>output!H52/SUM(output!H$50:H$53)</f>
        <v>6.9980708474291942E-2</v>
      </c>
      <c r="T43" s="42">
        <f>output!I52/SUM(output!I$50:I$53)</f>
        <v>0.14609297145201947</v>
      </c>
      <c r="U43" s="42">
        <f>output!J52/SUM(output!J$50:J$53)</f>
        <v>7.642922256629392E-2</v>
      </c>
      <c r="W43" s="3" t="s">
        <v>236</v>
      </c>
      <c r="X43" s="12">
        <f t="shared" si="15"/>
        <v>-1.3298287658375339E-2</v>
      </c>
      <c r="Y43" s="12">
        <f t="shared" si="15"/>
        <v>1.9256098947006223E-2</v>
      </c>
      <c r="Z43" s="12">
        <f t="shared" si="15"/>
        <v>5.6437500141929595E-2</v>
      </c>
      <c r="AA43" s="12">
        <f t="shared" si="15"/>
        <v>-5.2280211849389718E-2</v>
      </c>
      <c r="AB43" s="12">
        <f t="shared" si="15"/>
        <v>-3.3258076706143974E-2</v>
      </c>
      <c r="AC43" s="12">
        <f t="shared" si="15"/>
        <v>-4.9469919032599313E-2</v>
      </c>
      <c r="AD43" s="12">
        <f t="shared" si="15"/>
        <v>-7.6390735400976267E-2</v>
      </c>
      <c r="AE43" s="12">
        <f t="shared" si="16"/>
        <v>4.5855366389985636E-2</v>
      </c>
      <c r="AF43" s="12">
        <f t="shared" si="16"/>
        <v>-2.3418626595513761E-2</v>
      </c>
    </row>
    <row r="44" spans="1:32" x14ac:dyDescent="0.2">
      <c r="A44" s="8" t="s">
        <v>173</v>
      </c>
      <c r="B44" s="13">
        <f>output_NHTS!B53/SUM(output_NHTS!B$50:B$53)</f>
        <v>1.310399338224048E-2</v>
      </c>
      <c r="C44" s="13">
        <f>output_NHTS!C53/SUM(output_NHTS!C$50:C$53)</f>
        <v>3.2826390255350467E-2</v>
      </c>
      <c r="D44" s="13">
        <f>output_NHTS!D53/SUM(output_NHTS!D$50:D$53)</f>
        <v>8.7381428894519456E-2</v>
      </c>
      <c r="E44" s="13">
        <f>output_NHTS!E53/SUM(output_NHTS!E$50:E$53)</f>
        <v>3.7953489511045414E-2</v>
      </c>
      <c r="F44" s="13">
        <f>output_NHTS!F53/SUM(output_NHTS!F$50:F$53)</f>
        <v>0</v>
      </c>
      <c r="G44" s="13">
        <f>output_NHTS!G53/SUM(output_NHTS!G$50:G$53)</f>
        <v>0</v>
      </c>
      <c r="H44" s="13">
        <f>output_NHTS!H53/SUM(output_NHTS!H$50:H$53)</f>
        <v>0</v>
      </c>
      <c r="I44" s="13">
        <f>output_NHTS!I53/SUM(output_NHTS!I$50:I$53)</f>
        <v>7.0740277281975544E-2</v>
      </c>
      <c r="J44" s="13">
        <f>output_NHTS!J53/SUM(output_NHTS!J$50:J$53)</f>
        <v>2.7559586909600153E-2</v>
      </c>
      <c r="L44" s="8" t="s">
        <v>173</v>
      </c>
      <c r="M44" s="43">
        <f>output!B53/SUM(output!B$50:B$53)</f>
        <v>3.8670045518800683E-2</v>
      </c>
      <c r="N44" s="43">
        <f>output!C53/SUM(output!C$50:C$53)</f>
        <v>9.557153493106145E-2</v>
      </c>
      <c r="O44" s="43">
        <f>output!D53/SUM(output!D$50:D$53)</f>
        <v>0.20255254145416021</v>
      </c>
      <c r="P44" s="43">
        <f>output!E53/SUM(output!E$50:E$53)</f>
        <v>0.1538724785622794</v>
      </c>
      <c r="Q44" s="43">
        <f>output!F53/SUM(output!F$50:F$53)</f>
        <v>1.917757170089868E-2</v>
      </c>
      <c r="R44" s="43">
        <f>output!G53/SUM(output!G$50:G$53)</f>
        <v>1.91598870994521E-2</v>
      </c>
      <c r="S44" s="43">
        <f>output!H53/SUM(output!H$50:H$53)</f>
        <v>4.8010736153437525E-2</v>
      </c>
      <c r="T44" s="43">
        <f>output!I53/SUM(output!I$50:I$53)</f>
        <v>0.15268186880825371</v>
      </c>
      <c r="U44" s="43">
        <f>output!J53/SUM(output!J$50:J$53)</f>
        <v>7.3792269381302913E-2</v>
      </c>
      <c r="W44" s="8" t="s">
        <v>173</v>
      </c>
      <c r="X44" s="12">
        <f t="shared" si="15"/>
        <v>2.5566052136560203E-2</v>
      </c>
      <c r="Y44" s="12">
        <f t="shared" si="15"/>
        <v>6.274514467571099E-2</v>
      </c>
      <c r="Z44" s="12">
        <f t="shared" si="15"/>
        <v>0.11517111255964076</v>
      </c>
      <c r="AA44" s="12">
        <f t="shared" si="15"/>
        <v>0.11591898905123399</v>
      </c>
      <c r="AB44" s="12">
        <f t="shared" si="15"/>
        <v>1.917757170089868E-2</v>
      </c>
      <c r="AC44" s="12">
        <f t="shared" si="15"/>
        <v>1.91598870994521E-2</v>
      </c>
      <c r="AD44" s="12">
        <f t="shared" si="15"/>
        <v>4.8010736153437525E-2</v>
      </c>
      <c r="AE44" s="12">
        <f t="shared" si="16"/>
        <v>8.1941591526278168E-2</v>
      </c>
      <c r="AF44" s="12">
        <f t="shared" si="16"/>
        <v>4.6232682471702757E-2</v>
      </c>
    </row>
    <row r="45" spans="1:32" ht="13.5" thickBot="1" x14ac:dyDescent="0.25">
      <c r="A45" s="15" t="s">
        <v>221</v>
      </c>
      <c r="B45" s="44">
        <f>SUM(B41:B44)</f>
        <v>0.99999999999999989</v>
      </c>
      <c r="C45" s="44">
        <f t="shared" ref="C45:J45" si="17">SUM(C41:C44)</f>
        <v>1.0000000000000002</v>
      </c>
      <c r="D45" s="44">
        <f t="shared" si="17"/>
        <v>1.0000000000000002</v>
      </c>
      <c r="E45" s="44">
        <f t="shared" si="17"/>
        <v>1</v>
      </c>
      <c r="F45" s="44">
        <f t="shared" si="17"/>
        <v>0.99999999999999978</v>
      </c>
      <c r="G45" s="44">
        <f t="shared" si="17"/>
        <v>1</v>
      </c>
      <c r="H45" s="44">
        <f t="shared" si="17"/>
        <v>1</v>
      </c>
      <c r="I45" s="44">
        <f t="shared" si="17"/>
        <v>1.0000000000000002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0.7341628851480253</v>
      </c>
      <c r="C53" s="12">
        <f>output_NHTS!C57/SUM(output_NHTS!C$57:C$60)</f>
        <v>0.67081411588984396</v>
      </c>
      <c r="D53" s="12">
        <f>output_NHTS!D57/SUM(output_NHTS!D$57:D$60)</f>
        <v>0.55809110296667752</v>
      </c>
      <c r="E53" s="12">
        <f>output_NHTS!E57/SUM(output_NHTS!E$57:E$60)</f>
        <v>0.62518791563775</v>
      </c>
      <c r="F53" s="12">
        <f>output_NHTS!F57/SUM(output_NHTS!F$57:F$60)</f>
        <v>0.63548474466554183</v>
      </c>
      <c r="G53" s="12">
        <f>output_NHTS!G57/SUM(output_NHTS!G$57:G$60)</f>
        <v>0.92178235598853264</v>
      </c>
      <c r="H53" s="12">
        <f>output_NHTS!H57/SUM(output_NHTS!H$57:H$60)</f>
        <v>0.87807233960849851</v>
      </c>
      <c r="I53" s="12">
        <f>output_NHTS!I57/SUM(output_NHTS!I$57:I$60)</f>
        <v>0.78953109599086513</v>
      </c>
      <c r="J53" s="12">
        <f>output_NHTS!J57/SUM(output_NHTS!J$57:J$60)</f>
        <v>0.72210348234357546</v>
      </c>
      <c r="L53" s="3" t="s">
        <v>226</v>
      </c>
      <c r="M53" s="42">
        <f>output!B57/SUM(output!B$57:B$60)</f>
        <v>0.40320326347669527</v>
      </c>
      <c r="N53" s="42">
        <f>output!C57/SUM(output!C$57:C$60)</f>
        <v>0.53447869643479817</v>
      </c>
      <c r="O53" s="42">
        <f>output!D57/SUM(output!D$57:D$60)</f>
        <v>0.37983837189247788</v>
      </c>
      <c r="P53" s="42">
        <f>output!E57/SUM(output!E$57:E$60)</f>
        <v>0.31811915168226218</v>
      </c>
      <c r="Q53" s="42">
        <f>output!F57/SUM(output!F$57:F$60)</f>
        <v>0.53519471398472096</v>
      </c>
      <c r="R53" s="42">
        <f>output!G57/SUM(output!G$57:G$60)</f>
        <v>0.93740660800265652</v>
      </c>
      <c r="S53" s="42">
        <f>output!H57/SUM(output!H$57:H$60)</f>
        <v>0.94513937428355743</v>
      </c>
      <c r="T53" s="42">
        <f>output!I57/SUM(output!I$57:I$60)</f>
        <v>0.51409813001934468</v>
      </c>
      <c r="U53" s="42">
        <f>output!J57/SUM(output!J$57:J$60)</f>
        <v>0.52007711746215335</v>
      </c>
      <c r="W53" s="3" t="s">
        <v>226</v>
      </c>
      <c r="X53" s="12">
        <f t="shared" ref="X53:AD57" si="19">M53-B53</f>
        <v>-0.33095962167133003</v>
      </c>
      <c r="Y53" s="12">
        <f t="shared" si="19"/>
        <v>-0.13633541945504579</v>
      </c>
      <c r="Z53" s="12">
        <f t="shared" si="19"/>
        <v>-0.17825273107419964</v>
      </c>
      <c r="AA53" s="12">
        <f t="shared" si="19"/>
        <v>-0.30706876395548782</v>
      </c>
      <c r="AB53" s="12">
        <f t="shared" si="19"/>
        <v>-0.10029003068082087</v>
      </c>
      <c r="AC53" s="12">
        <f t="shared" si="19"/>
        <v>1.5624252014123874E-2</v>
      </c>
      <c r="AD53" s="12">
        <f t="shared" si="19"/>
        <v>6.7067034675058923E-2</v>
      </c>
      <c r="AE53" s="12">
        <f t="shared" ref="AE53:AF57" si="20">T53-I53</f>
        <v>-0.27543296597152045</v>
      </c>
      <c r="AF53" s="12">
        <f t="shared" si="20"/>
        <v>-0.20202636488142212</v>
      </c>
    </row>
    <row r="54" spans="1:32" x14ac:dyDescent="0.2">
      <c r="A54" s="3" t="s">
        <v>235</v>
      </c>
      <c r="B54" s="12">
        <f>output_NHTS!B58/SUM(output_NHTS!B$57:B$60)</f>
        <v>0.22291791810443531</v>
      </c>
      <c r="C54" s="12">
        <f>output_NHTS!C58/SUM(output_NHTS!C$57:C$60)</f>
        <v>0.13618544453704751</v>
      </c>
      <c r="D54" s="12">
        <f>output_NHTS!D58/SUM(output_NHTS!D$57:D$60)</f>
        <v>0.1748600825660433</v>
      </c>
      <c r="E54" s="12">
        <f>output_NHTS!E58/SUM(output_NHTS!E$57:E$60)</f>
        <v>0.14958595861424243</v>
      </c>
      <c r="F54" s="12">
        <f>output_NHTS!F58/SUM(output_NHTS!F$57:F$60)</f>
        <v>0.30119696484410435</v>
      </c>
      <c r="G54" s="12">
        <f>output_NHTS!G58/SUM(output_NHTS!G$57:G$60)</f>
        <v>7.8217644011467385E-2</v>
      </c>
      <c r="H54" s="12">
        <f>output_NHTS!H58/SUM(output_NHTS!H$57:H$60)</f>
        <v>9.0496922848039632E-2</v>
      </c>
      <c r="I54" s="12">
        <f>output_NHTS!I58/SUM(output_NHTS!I$57:I$60)</f>
        <v>4.7004036609674241E-2</v>
      </c>
      <c r="J54" s="12">
        <f>output_NHTS!J58/SUM(output_NHTS!J$57:J$60)</f>
        <v>0.16719258367649931</v>
      </c>
      <c r="L54" s="3" t="s">
        <v>235</v>
      </c>
      <c r="M54" s="42">
        <f>output!B58/SUM(output!B$57:B$60)</f>
        <v>0.49789552807192089</v>
      </c>
      <c r="N54" s="42">
        <f>output!C58/SUM(output!C$57:C$60)</f>
        <v>0.31480835744376068</v>
      </c>
      <c r="O54" s="42">
        <f>output!D58/SUM(output!D$57:D$60)</f>
        <v>0.3139428881168847</v>
      </c>
      <c r="P54" s="42">
        <f>output!E58/SUM(output!E$57:E$60)</f>
        <v>0.37073323360026594</v>
      </c>
      <c r="Q54" s="42">
        <f>output!F58/SUM(output!F$57:F$60)</f>
        <v>0.41638836732646306</v>
      </c>
      <c r="R54" s="42">
        <f>output!G58/SUM(output!G$57:G$60)</f>
        <v>4.9543416901876143E-2</v>
      </c>
      <c r="S54" s="42">
        <f>output!H58/SUM(output!H$57:H$60)</f>
        <v>3.5977297508876897E-2</v>
      </c>
      <c r="T54" s="42">
        <f>output!I58/SUM(output!I$57:I$60)</f>
        <v>0.26075385427047304</v>
      </c>
      <c r="U54" s="42">
        <f>output!J58/SUM(output!J$57:J$60)</f>
        <v>0.35125497675135331</v>
      </c>
      <c r="W54" s="3" t="s">
        <v>235</v>
      </c>
      <c r="X54" s="12">
        <f t="shared" si="19"/>
        <v>0.27497760996748555</v>
      </c>
      <c r="Y54" s="12">
        <f t="shared" si="19"/>
        <v>0.17862291290671317</v>
      </c>
      <c r="Z54" s="12">
        <f t="shared" si="19"/>
        <v>0.1390828055508414</v>
      </c>
      <c r="AA54" s="12">
        <f t="shared" si="19"/>
        <v>0.22114727498602352</v>
      </c>
      <c r="AB54" s="12">
        <f t="shared" si="19"/>
        <v>0.11519140248235871</v>
      </c>
      <c r="AC54" s="12">
        <f t="shared" si="19"/>
        <v>-2.8674227109591242E-2</v>
      </c>
      <c r="AD54" s="12">
        <f t="shared" si="19"/>
        <v>-5.4519625339162735E-2</v>
      </c>
      <c r="AE54" s="12">
        <f t="shared" si="20"/>
        <v>0.21374981766079881</v>
      </c>
      <c r="AF54" s="12">
        <f t="shared" si="20"/>
        <v>0.184062393074854</v>
      </c>
    </row>
    <row r="55" spans="1:32" x14ac:dyDescent="0.2">
      <c r="A55" s="3" t="s">
        <v>236</v>
      </c>
      <c r="B55" s="12">
        <f>output_NHTS!B59/SUM(output_NHTS!B$57:B$60)</f>
        <v>3.6686733271518154E-2</v>
      </c>
      <c r="C55" s="12">
        <f>output_NHTS!C59/SUM(output_NHTS!C$57:C$60)</f>
        <v>7.3436293716442544E-2</v>
      </c>
      <c r="D55" s="12">
        <f>output_NHTS!D59/SUM(output_NHTS!D$57:D$60)</f>
        <v>0.15505696454583928</v>
      </c>
      <c r="E55" s="12">
        <f>output_NHTS!E59/SUM(output_NHTS!E$57:E$60)</f>
        <v>0.16977584691696943</v>
      </c>
      <c r="F55" s="12">
        <f>output_NHTS!F59/SUM(output_NHTS!F$57:F$60)</f>
        <v>2.7194897939291874E-3</v>
      </c>
      <c r="G55" s="12">
        <f>output_NHTS!G59/SUM(output_NHTS!G$57:G$60)</f>
        <v>0</v>
      </c>
      <c r="H55" s="12">
        <f>output_NHTS!H59/SUM(output_NHTS!H$57:H$60)</f>
        <v>3.1430737543461811E-2</v>
      </c>
      <c r="I55" s="12">
        <f>output_NHTS!I59/SUM(output_NHTS!I$57:I$60)</f>
        <v>7.4740986614536195E-2</v>
      </c>
      <c r="J55" s="12">
        <f>output_NHTS!J59/SUM(output_NHTS!J$57:J$60)</f>
        <v>7.1253149656959294E-2</v>
      </c>
      <c r="L55" s="3" t="s">
        <v>236</v>
      </c>
      <c r="M55" s="42">
        <f>output!B59/SUM(output!B$57:B$60)</f>
        <v>5.3741294504447208E-2</v>
      </c>
      <c r="N55" s="42">
        <f>output!C59/SUM(output!C$57:C$60)</f>
        <v>6.8665240460281413E-2</v>
      </c>
      <c r="O55" s="42">
        <f>output!D59/SUM(output!D$57:D$60)</f>
        <v>0.12942567817281395</v>
      </c>
      <c r="P55" s="42">
        <f>output!E59/SUM(output!E$57:E$60)</f>
        <v>0.13221475853842168</v>
      </c>
      <c r="Q55" s="42">
        <f>output!F59/SUM(output!F$57:F$60)</f>
        <v>2.63870773552724E-2</v>
      </c>
      <c r="R55" s="42">
        <f>output!G59/SUM(output!G$57:G$60)</f>
        <v>6.906857047982733E-3</v>
      </c>
      <c r="S55" s="42">
        <f>output!H59/SUM(output!H$57:H$60)</f>
        <v>1.0669052478541673E-2</v>
      </c>
      <c r="T55" s="42">
        <f>output!I59/SUM(output!I$57:I$60)</f>
        <v>9.6770033413447448E-2</v>
      </c>
      <c r="U55" s="42">
        <f>output!J59/SUM(output!J$57:J$60)</f>
        <v>6.1014387237354355E-2</v>
      </c>
      <c r="W55" s="3" t="s">
        <v>236</v>
      </c>
      <c r="X55" s="12">
        <f t="shared" si="19"/>
        <v>1.7054561232929054E-2</v>
      </c>
      <c r="Y55" s="12">
        <f t="shared" si="19"/>
        <v>-4.7710532561611313E-3</v>
      </c>
      <c r="Z55" s="12">
        <f t="shared" si="19"/>
        <v>-2.5631286373025336E-2</v>
      </c>
      <c r="AA55" s="12">
        <f t="shared" si="19"/>
        <v>-3.7561088378547741E-2</v>
      </c>
      <c r="AB55" s="12">
        <f t="shared" si="19"/>
        <v>2.3667587561343212E-2</v>
      </c>
      <c r="AC55" s="12">
        <f t="shared" si="19"/>
        <v>6.906857047982733E-3</v>
      </c>
      <c r="AD55" s="12">
        <f t="shared" si="19"/>
        <v>-2.0761685064920137E-2</v>
      </c>
      <c r="AE55" s="12">
        <f t="shared" si="20"/>
        <v>2.2029046798911253E-2</v>
      </c>
      <c r="AF55" s="12">
        <f t="shared" si="20"/>
        <v>-1.023876241960494E-2</v>
      </c>
    </row>
    <row r="56" spans="1:32" x14ac:dyDescent="0.2">
      <c r="A56" s="8" t="s">
        <v>173</v>
      </c>
      <c r="B56" s="13">
        <f>output_NHTS!B60/SUM(output_NHTS!B$57:B$60)</f>
        <v>6.2324634760212499E-3</v>
      </c>
      <c r="C56" s="13">
        <f>output_NHTS!C60/SUM(output_NHTS!C$57:C$60)</f>
        <v>0.11956414585666597</v>
      </c>
      <c r="D56" s="13">
        <f>output_NHTS!D60/SUM(output_NHTS!D$57:D$60)</f>
        <v>0.1119918499214399</v>
      </c>
      <c r="E56" s="13">
        <f>output_NHTS!E60/SUM(output_NHTS!E$57:E$60)</f>
        <v>5.5450278831038216E-2</v>
      </c>
      <c r="F56" s="13">
        <f>output_NHTS!F60/SUM(output_NHTS!F$57:F$60)</f>
        <v>6.0598800696424628E-2</v>
      </c>
      <c r="G56" s="13">
        <f>output_NHTS!G60/SUM(output_NHTS!G$57:G$60)</f>
        <v>0</v>
      </c>
      <c r="H56" s="13">
        <f>output_NHTS!H60/SUM(output_NHTS!H$57:H$60)</f>
        <v>0</v>
      </c>
      <c r="I56" s="13">
        <f>output_NHTS!I60/SUM(output_NHTS!I$57:I$60)</f>
        <v>8.8723880784924367E-2</v>
      </c>
      <c r="J56" s="13">
        <f>output_NHTS!J60/SUM(output_NHTS!J$57:J$60)</f>
        <v>3.9450784322965879E-2</v>
      </c>
      <c r="L56" s="8" t="s">
        <v>173</v>
      </c>
      <c r="M56" s="43">
        <f>output!B60/SUM(output!B$57:B$60)</f>
        <v>4.5159913946936601E-2</v>
      </c>
      <c r="N56" s="43">
        <f>output!C60/SUM(output!C$57:C$60)</f>
        <v>8.2047705661159751E-2</v>
      </c>
      <c r="O56" s="43">
        <f>output!D60/SUM(output!D$57:D$60)</f>
        <v>0.17679306181782345</v>
      </c>
      <c r="P56" s="43">
        <f>output!E60/SUM(output!E$57:E$60)</f>
        <v>0.17893285617905019</v>
      </c>
      <c r="Q56" s="43">
        <f>output!F60/SUM(output!F$57:F$60)</f>
        <v>2.2029841333543552E-2</v>
      </c>
      <c r="R56" s="43">
        <f>output!G60/SUM(output!G$57:G$60)</f>
        <v>6.1431180474846424E-3</v>
      </c>
      <c r="S56" s="43">
        <f>output!H60/SUM(output!H$57:H$60)</f>
        <v>8.214275729023961E-3</v>
      </c>
      <c r="T56" s="43">
        <f>output!I60/SUM(output!I$57:I$60)</f>
        <v>0.12837798229673486</v>
      </c>
      <c r="U56" s="43">
        <f>output!J60/SUM(output!J$57:J$60)</f>
        <v>6.7653518549139008E-2</v>
      </c>
      <c r="W56" s="8" t="s">
        <v>173</v>
      </c>
      <c r="X56" s="12">
        <f t="shared" si="19"/>
        <v>3.8927450470915351E-2</v>
      </c>
      <c r="Y56" s="12">
        <f t="shared" si="19"/>
        <v>-3.751644019550622E-2</v>
      </c>
      <c r="Z56" s="12">
        <f t="shared" si="19"/>
        <v>6.4801211896383548E-2</v>
      </c>
      <c r="AA56" s="12">
        <f t="shared" si="19"/>
        <v>0.12348257734801198</v>
      </c>
      <c r="AB56" s="12">
        <f t="shared" si="19"/>
        <v>-3.8568959362881072E-2</v>
      </c>
      <c r="AC56" s="12">
        <f t="shared" si="19"/>
        <v>6.1431180474846424E-3</v>
      </c>
      <c r="AD56" s="12">
        <f t="shared" si="19"/>
        <v>8.214275729023961E-3</v>
      </c>
      <c r="AE56" s="12">
        <f t="shared" si="20"/>
        <v>3.9654101511810494E-2</v>
      </c>
      <c r="AF56" s="12">
        <f t="shared" si="20"/>
        <v>2.8202734226173129E-2</v>
      </c>
    </row>
    <row r="57" spans="1:32" ht="13.5" thickBot="1" x14ac:dyDescent="0.25">
      <c r="A57" s="15" t="s">
        <v>221</v>
      </c>
      <c r="B57" s="44">
        <f>SUM(B53:B56)</f>
        <v>1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1</v>
      </c>
      <c r="F57" s="44">
        <f t="shared" si="21"/>
        <v>1</v>
      </c>
      <c r="G57" s="44">
        <f t="shared" si="21"/>
        <v>1</v>
      </c>
      <c r="H57" s="44">
        <f t="shared" si="21"/>
        <v>1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>
        <f t="shared" si="22"/>
        <v>1</v>
      </c>
      <c r="U57" s="44">
        <f t="shared" si="22"/>
        <v>1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0.86849596449185673</v>
      </c>
      <c r="C65" s="12">
        <f>output_NHTS!C64/SUM(output_NHTS!C$64:C$67)</f>
        <v>0.76446468405687029</v>
      </c>
      <c r="D65" s="12">
        <f>output_NHTS!D64/SUM(output_NHTS!D$64:D$67)</f>
        <v>0.82097873239702912</v>
      </c>
      <c r="E65" s="12">
        <f>output_NHTS!E64/SUM(output_NHTS!E$64:E$67)</f>
        <v>0.75948302921248168</v>
      </c>
      <c r="F65" s="12">
        <f>output_NHTS!F64/SUM(output_NHTS!F$64:F$67)</f>
        <v>0.84954703485357574</v>
      </c>
      <c r="G65" s="12">
        <f>output_NHTS!G64/SUM(output_NHTS!G$64:G$67)</f>
        <v>0.85834090396918084</v>
      </c>
      <c r="H65" s="12">
        <f>output_NHTS!H64/SUM(output_NHTS!H$64:H$67)</f>
        <v>0.93392967242009262</v>
      </c>
      <c r="I65" s="12">
        <f>output_NHTS!I64/SUM(output_NHTS!I$64:I$67)</f>
        <v>0.94834673658076374</v>
      </c>
      <c r="J65" s="12">
        <f>output_NHTS!J64/SUM(output_NHTS!J$64:J$67)</f>
        <v>0.85398612403724095</v>
      </c>
      <c r="L65" s="3" t="s">
        <v>226</v>
      </c>
      <c r="M65" s="42">
        <f>output!B64/SUM(output!B$64:B$67)</f>
        <v>0.67879238601857039</v>
      </c>
      <c r="N65" s="42">
        <f>output!C64/SUM(output!C$64:C$67)</f>
        <v>0.77213996927687567</v>
      </c>
      <c r="O65" s="42">
        <f>output!D64/SUM(output!D$64:D$67)</f>
        <v>0.74231896912804596</v>
      </c>
      <c r="P65" s="42">
        <f>output!E64/SUM(output!E$64:E$67)</f>
        <v>0.71321854252833106</v>
      </c>
      <c r="Q65" s="42">
        <f>output!F64/SUM(output!F$64:F$67)</f>
        <v>0.6787685075033324</v>
      </c>
      <c r="R65" s="42">
        <f>output!G64/SUM(output!G$64:G$67)</f>
        <v>0.65784492777685544</v>
      </c>
      <c r="S65" s="42">
        <f>output!H64/SUM(output!H$64:H$67)</f>
        <v>0.83513294377498815</v>
      </c>
      <c r="T65" s="42">
        <f>output!I64/SUM(output!I$64:I$67)</f>
        <v>0.85598217949469491</v>
      </c>
      <c r="U65" s="42">
        <f>output!J64/SUM(output!J$64:J$67)</f>
        <v>0.73162032375829023</v>
      </c>
      <c r="W65" s="3" t="s">
        <v>226</v>
      </c>
      <c r="X65" s="12">
        <f t="shared" ref="X65:AD69" si="23">M65-B65</f>
        <v>-0.18970357847328634</v>
      </c>
      <c r="Y65" s="12">
        <f t="shared" si="23"/>
        <v>7.6752852200053789E-3</v>
      </c>
      <c r="Z65" s="12">
        <f t="shared" si="23"/>
        <v>-7.8659763268983163E-2</v>
      </c>
      <c r="AA65" s="12">
        <f t="shared" si="23"/>
        <v>-4.6264486684150619E-2</v>
      </c>
      <c r="AB65" s="12">
        <f t="shared" si="23"/>
        <v>-0.17077852735024335</v>
      </c>
      <c r="AC65" s="12">
        <f t="shared" si="23"/>
        <v>-0.2004959761923254</v>
      </c>
      <c r="AD65" s="12">
        <f t="shared" si="23"/>
        <v>-9.879672864510447E-2</v>
      </c>
      <c r="AE65" s="12">
        <f t="shared" ref="AE65:AF69" si="24">T65-I65</f>
        <v>-9.2364557086068833E-2</v>
      </c>
      <c r="AF65" s="12">
        <f t="shared" si="24"/>
        <v>-0.12236580027895072</v>
      </c>
    </row>
    <row r="66" spans="1:32" x14ac:dyDescent="0.2">
      <c r="A66" s="3" t="s">
        <v>235</v>
      </c>
      <c r="B66" s="12">
        <f>output_NHTS!B65/SUM(output_NHTS!B$64:B$67)</f>
        <v>9.7171368381454432E-2</v>
      </c>
      <c r="C66" s="12">
        <f>output_NHTS!C65/SUM(output_NHTS!C$64:C$67)</f>
        <v>0.19558442222864228</v>
      </c>
      <c r="D66" s="12">
        <f>output_NHTS!D65/SUM(output_NHTS!D$64:D$67)</f>
        <v>8.3445394481439492E-2</v>
      </c>
      <c r="E66" s="12">
        <f>output_NHTS!E65/SUM(output_NHTS!E$64:E$67)</f>
        <v>0.14794598532084924</v>
      </c>
      <c r="F66" s="12">
        <f>output_NHTS!F65/SUM(output_NHTS!F$64:F$67)</f>
        <v>7.2072782406293653E-2</v>
      </c>
      <c r="G66" s="12">
        <f>output_NHTS!G65/SUM(output_NHTS!G$64:G$67)</f>
        <v>0.14165909603081916</v>
      </c>
      <c r="H66" s="12">
        <f>output_NHTS!H65/SUM(output_NHTS!H$64:H$67)</f>
        <v>1.9503637723117754E-2</v>
      </c>
      <c r="I66" s="12">
        <f>output_NHTS!I65/SUM(output_NHTS!I$64:I$67)</f>
        <v>2.6764428715095979E-2</v>
      </c>
      <c r="J66" s="12">
        <f>output_NHTS!J65/SUM(output_NHTS!J$64:J$67)</f>
        <v>9.5543350767651788E-2</v>
      </c>
      <c r="L66" s="3" t="s">
        <v>235</v>
      </c>
      <c r="M66" s="42">
        <f>output!B65/SUM(output!B$64:B$67)</f>
        <v>0.26904741491892148</v>
      </c>
      <c r="N66" s="42">
        <f>output!C65/SUM(output!C$64:C$67)</f>
        <v>0.16276658907349989</v>
      </c>
      <c r="O66" s="42">
        <f>output!D65/SUM(output!D$64:D$67)</f>
        <v>0.1401803533151009</v>
      </c>
      <c r="P66" s="42">
        <f>output!E65/SUM(output!E$64:E$67)</f>
        <v>0.16860755037986566</v>
      </c>
      <c r="Q66" s="42">
        <f>output!F65/SUM(output!F$64:F$67)</f>
        <v>0.2925797990511545</v>
      </c>
      <c r="R66" s="42">
        <f>output!G65/SUM(output!G$64:G$67)</f>
        <v>0.27561016104931096</v>
      </c>
      <c r="S66" s="42">
        <f>output!H65/SUM(output!H$64:H$67)</f>
        <v>0.12250957586602175</v>
      </c>
      <c r="T66" s="42">
        <f>output!I65/SUM(output!I$64:I$67)</f>
        <v>8.7062547628817627E-2</v>
      </c>
      <c r="U66" s="42">
        <f>output!J65/SUM(output!J$64:J$67)</f>
        <v>0.20680344310249749</v>
      </c>
      <c r="W66" s="3" t="s">
        <v>235</v>
      </c>
      <c r="X66" s="12">
        <f t="shared" si="23"/>
        <v>0.17187604653746705</v>
      </c>
      <c r="Y66" s="12">
        <f t="shared" si="23"/>
        <v>-3.281783315514239E-2</v>
      </c>
      <c r="Z66" s="12">
        <f t="shared" si="23"/>
        <v>5.6734958833661406E-2</v>
      </c>
      <c r="AA66" s="12">
        <f t="shared" si="23"/>
        <v>2.0661565059016423E-2</v>
      </c>
      <c r="AB66" s="12">
        <f t="shared" si="23"/>
        <v>0.22050701664486083</v>
      </c>
      <c r="AC66" s="12">
        <f t="shared" si="23"/>
        <v>0.1339510650184918</v>
      </c>
      <c r="AD66" s="12">
        <f t="shared" si="23"/>
        <v>0.103005938142904</v>
      </c>
      <c r="AE66" s="12">
        <f t="shared" si="24"/>
        <v>6.0298118913721652E-2</v>
      </c>
      <c r="AF66" s="12">
        <f t="shared" si="24"/>
        <v>0.1112600923348457</v>
      </c>
    </row>
    <row r="67" spans="1:32" x14ac:dyDescent="0.2">
      <c r="A67" s="3" t="s">
        <v>236</v>
      </c>
      <c r="B67" s="12">
        <f>output_NHTS!B66/SUM(output_NHTS!B$64:B$67)</f>
        <v>2.715786917215747E-2</v>
      </c>
      <c r="C67" s="12">
        <f>output_NHTS!C66/SUM(output_NHTS!C$64:C$67)</f>
        <v>3.9950893714487498E-2</v>
      </c>
      <c r="D67" s="12">
        <f>output_NHTS!D66/SUM(output_NHTS!D$64:D$67)</f>
        <v>7.0760919971134956E-2</v>
      </c>
      <c r="E67" s="12">
        <f>output_NHTS!E66/SUM(output_NHTS!E$64:E$67)</f>
        <v>7.6363705691638348E-2</v>
      </c>
      <c r="F67" s="12">
        <f>output_NHTS!F66/SUM(output_NHTS!F$64:F$67)</f>
        <v>7.8380182740130519E-2</v>
      </c>
      <c r="G67" s="12">
        <f>output_NHTS!G66/SUM(output_NHTS!G$64:G$67)</f>
        <v>0</v>
      </c>
      <c r="H67" s="12">
        <f>output_NHTS!H66/SUM(output_NHTS!H$64:H$67)</f>
        <v>3.2153713025823941E-2</v>
      </c>
      <c r="I67" s="12">
        <f>output_NHTS!I66/SUM(output_NHTS!I$64:I$67)</f>
        <v>2.4888834704140401E-2</v>
      </c>
      <c r="J67" s="12">
        <f>output_NHTS!J66/SUM(output_NHTS!J$64:J$67)</f>
        <v>4.0567899630514589E-2</v>
      </c>
      <c r="L67" s="3" t="s">
        <v>236</v>
      </c>
      <c r="M67" s="42">
        <f>output!B66/SUM(output!B$64:B$67)</f>
        <v>3.8181560798403354E-2</v>
      </c>
      <c r="N67" s="42">
        <f>output!C66/SUM(output!C$64:C$67)</f>
        <v>4.6499354437418129E-2</v>
      </c>
      <c r="O67" s="42">
        <f>output!D66/SUM(output!D$64:D$67)</f>
        <v>8.6875107793135731E-2</v>
      </c>
      <c r="P67" s="42">
        <f>output!E66/SUM(output!E$64:E$67)</f>
        <v>8.8244209126553438E-2</v>
      </c>
      <c r="Q67" s="42">
        <f>output!F66/SUM(output!F$64:F$67)</f>
        <v>1.9980220441743468E-2</v>
      </c>
      <c r="R67" s="42">
        <f>output!G66/SUM(output!G$64:G$67)</f>
        <v>4.6820521334882952E-2</v>
      </c>
      <c r="S67" s="42">
        <f>output!H66/SUM(output!H$64:H$67)</f>
        <v>2.988788548103E-2</v>
      </c>
      <c r="T67" s="42">
        <f>output!I66/SUM(output!I$64:I$67)</f>
        <v>4.1420950817750164E-2</v>
      </c>
      <c r="U67" s="42">
        <f>output!J66/SUM(output!J$64:J$67)</f>
        <v>4.4881012465360769E-2</v>
      </c>
      <c r="W67" s="3" t="s">
        <v>236</v>
      </c>
      <c r="X67" s="12">
        <f t="shared" si="23"/>
        <v>1.1023691626245884E-2</v>
      </c>
      <c r="Y67" s="12">
        <f t="shared" si="23"/>
        <v>6.548460722930631E-3</v>
      </c>
      <c r="Z67" s="12">
        <f t="shared" si="23"/>
        <v>1.6114187822000775E-2</v>
      </c>
      <c r="AA67" s="12">
        <f t="shared" si="23"/>
        <v>1.1880503434915091E-2</v>
      </c>
      <c r="AB67" s="12">
        <f t="shared" si="23"/>
        <v>-5.8399962298387051E-2</v>
      </c>
      <c r="AC67" s="12">
        <f t="shared" si="23"/>
        <v>4.6820521334882952E-2</v>
      </c>
      <c r="AD67" s="12">
        <f t="shared" si="23"/>
        <v>-2.2658275447939406E-3</v>
      </c>
      <c r="AE67" s="12">
        <f t="shared" si="24"/>
        <v>1.6532116113609763E-2</v>
      </c>
      <c r="AF67" s="12">
        <f t="shared" si="24"/>
        <v>4.3131128348461792E-3</v>
      </c>
    </row>
    <row r="68" spans="1:32" x14ac:dyDescent="0.2">
      <c r="A68" s="8" t="s">
        <v>173</v>
      </c>
      <c r="B68" s="13">
        <f>output_NHTS!B67/SUM(output_NHTS!B$64:B$67)</f>
        <v>7.1747979545314219E-3</v>
      </c>
      <c r="C68" s="13">
        <f>output_NHTS!C67/SUM(output_NHTS!C$64:C$67)</f>
        <v>0</v>
      </c>
      <c r="D68" s="13">
        <f>output_NHTS!D67/SUM(output_NHTS!D$64:D$67)</f>
        <v>2.481495315039647E-2</v>
      </c>
      <c r="E68" s="13">
        <f>output_NHTS!E67/SUM(output_NHTS!E$64:E$67)</f>
        <v>1.620727977503077E-2</v>
      </c>
      <c r="F68" s="13">
        <f>output_NHTS!F67/SUM(output_NHTS!F$64:F$67)</f>
        <v>0</v>
      </c>
      <c r="G68" s="13">
        <f>output_NHTS!G67/SUM(output_NHTS!G$64:G$67)</f>
        <v>0</v>
      </c>
      <c r="H68" s="13">
        <f>output_NHTS!H67/SUM(output_NHTS!H$64:H$67)</f>
        <v>1.441297683096575E-2</v>
      </c>
      <c r="I68" s="13">
        <f>output_NHTS!I67/SUM(output_NHTS!I$64:I$67)</f>
        <v>0</v>
      </c>
      <c r="J68" s="13">
        <f>output_NHTS!J67/SUM(output_NHTS!J$64:J$67)</f>
        <v>9.9026255645926573E-3</v>
      </c>
      <c r="L68" s="8" t="s">
        <v>173</v>
      </c>
      <c r="M68" s="43">
        <f>output!B67/SUM(output!B$64:B$67)</f>
        <v>1.3978638264104747E-2</v>
      </c>
      <c r="N68" s="43">
        <f>output!C67/SUM(output!C$64:C$67)</f>
        <v>1.8594087212206317E-2</v>
      </c>
      <c r="O68" s="43">
        <f>output!D67/SUM(output!D$64:D$67)</f>
        <v>3.0625569763717445E-2</v>
      </c>
      <c r="P68" s="43">
        <f>output!E67/SUM(output!E$64:E$67)</f>
        <v>2.9929697965249871E-2</v>
      </c>
      <c r="Q68" s="43">
        <f>output!F67/SUM(output!F$64:F$67)</f>
        <v>8.6714730037695826E-3</v>
      </c>
      <c r="R68" s="43">
        <f>output!G67/SUM(output!G$64:G$67)</f>
        <v>1.9724389838950689E-2</v>
      </c>
      <c r="S68" s="43">
        <f>output!H67/SUM(output!H$64:H$67)</f>
        <v>1.246959487796013E-2</v>
      </c>
      <c r="T68" s="43">
        <f>output!I67/SUM(output!I$64:I$67)</f>
        <v>1.5534322058737324E-2</v>
      </c>
      <c r="U68" s="43">
        <f>output!J67/SUM(output!J$64:J$67)</f>
        <v>1.6695220673851485E-2</v>
      </c>
      <c r="W68" s="8" t="s">
        <v>173</v>
      </c>
      <c r="X68" s="12">
        <f t="shared" si="23"/>
        <v>6.8038403095733247E-3</v>
      </c>
      <c r="Y68" s="12">
        <f t="shared" si="23"/>
        <v>1.8594087212206317E-2</v>
      </c>
      <c r="Z68" s="12">
        <f t="shared" si="23"/>
        <v>5.810616613320975E-3</v>
      </c>
      <c r="AA68" s="12">
        <f t="shared" si="23"/>
        <v>1.3722418190219101E-2</v>
      </c>
      <c r="AB68" s="12">
        <f t="shared" si="23"/>
        <v>8.6714730037695826E-3</v>
      </c>
      <c r="AC68" s="12">
        <f t="shared" si="23"/>
        <v>1.9724389838950689E-2</v>
      </c>
      <c r="AD68" s="12">
        <f t="shared" si="23"/>
        <v>-1.9433819530056198E-3</v>
      </c>
      <c r="AE68" s="12">
        <f t="shared" si="24"/>
        <v>1.5534322058737324E-2</v>
      </c>
      <c r="AF68" s="12">
        <f t="shared" si="24"/>
        <v>6.7925951092588279E-3</v>
      </c>
    </row>
    <row r="69" spans="1:32" ht="13.5" thickBot="1" x14ac:dyDescent="0.25">
      <c r="A69" s="15" t="s">
        <v>221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1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1.0000000000000002</v>
      </c>
      <c r="J69" s="44">
        <f t="shared" si="25"/>
        <v>0.99999999999999989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0.99999999999999989</v>
      </c>
      <c r="S69" s="44">
        <f t="shared" si="26"/>
        <v>1</v>
      </c>
      <c r="T69" s="44">
        <f t="shared" si="26"/>
        <v>1</v>
      </c>
      <c r="U69" s="44">
        <f t="shared" si="26"/>
        <v>1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0.77162127810785397</v>
      </c>
      <c r="C77" s="12">
        <f>output_NHTS!C71/SUM(output_NHTS!C$71:C$74)</f>
        <v>0.73783714858239546</v>
      </c>
      <c r="D77" s="12">
        <f>output_NHTS!D71/SUM(output_NHTS!D$71:D$74)</f>
        <v>0.71899291886506533</v>
      </c>
      <c r="E77" s="12">
        <f>output_NHTS!E71/SUM(output_NHTS!E$71:E$74)</f>
        <v>0.47655247512400994</v>
      </c>
      <c r="F77" s="12">
        <f>output_NHTS!F71/SUM(output_NHTS!F$71:F$74)</f>
        <v>0.68546473884784576</v>
      </c>
      <c r="G77" s="12">
        <f>output_NHTS!G71/SUM(output_NHTS!G$71:G$74)</f>
        <v>0.79273971601643656</v>
      </c>
      <c r="H77" s="12">
        <f>output_NHTS!H71/SUM(output_NHTS!H$71:H$74)</f>
        <v>0.66489023019997795</v>
      </c>
      <c r="I77" s="12">
        <f>output_NHTS!I71/SUM(output_NHTS!I$71:I$74)</f>
        <v>0.7002160798126662</v>
      </c>
      <c r="J77" s="12">
        <f>output_NHTS!J71/SUM(output_NHTS!J$71:J$74)</f>
        <v>0.70020277338362069</v>
      </c>
      <c r="L77" s="3" t="s">
        <v>226</v>
      </c>
      <c r="M77" s="42">
        <f>output!B71/SUM(output!B$71:B$74)</f>
        <v>0.60834491407653457</v>
      </c>
      <c r="N77" s="42">
        <f>output!C71/SUM(output!C$71:C$74)</f>
        <v>0.51133268620003958</v>
      </c>
      <c r="O77" s="42">
        <f>output!D71/SUM(output!D$71:D$74)</f>
        <v>0.52079483578485719</v>
      </c>
      <c r="P77" s="42">
        <f>output!E71/SUM(output!E$71:E$74)</f>
        <v>0.47923694425703756</v>
      </c>
      <c r="Q77" s="42">
        <f>output!F71/SUM(output!F$71:F$74)</f>
        <v>0.64726454442517456</v>
      </c>
      <c r="R77" s="42">
        <f>output!G71/SUM(output!G$71:G$74)</f>
        <v>0.68128839448779677</v>
      </c>
      <c r="S77" s="42">
        <f>output!H71/SUM(output!H$71:H$74)</f>
        <v>0.48681745743282917</v>
      </c>
      <c r="T77" s="42">
        <f>output!I71/SUM(output!I$71:I$74)</f>
        <v>0.39482970865818628</v>
      </c>
      <c r="U77" s="42">
        <f>output!J71/SUM(output!J$71:J$74)</f>
        <v>0.55152144234240397</v>
      </c>
      <c r="W77" s="3" t="s">
        <v>226</v>
      </c>
      <c r="X77" s="12">
        <f t="shared" ref="X77:AD81" si="27">M77-B77</f>
        <v>-0.1632763640313194</v>
      </c>
      <c r="Y77" s="12">
        <f t="shared" si="27"/>
        <v>-0.22650446238235589</v>
      </c>
      <c r="Z77" s="12">
        <f t="shared" si="27"/>
        <v>-0.19819808308020814</v>
      </c>
      <c r="AA77" s="12">
        <f t="shared" si="27"/>
        <v>2.6844691330276116E-3</v>
      </c>
      <c r="AB77" s="12">
        <f t="shared" si="27"/>
        <v>-3.8200194422671196E-2</v>
      </c>
      <c r="AC77" s="12">
        <f t="shared" si="27"/>
        <v>-0.11145132152863979</v>
      </c>
      <c r="AD77" s="12">
        <f t="shared" si="27"/>
        <v>-0.17807277276714878</v>
      </c>
      <c r="AE77" s="12">
        <f t="shared" ref="AE77:AF81" si="28">T77-I77</f>
        <v>-0.30538637115447992</v>
      </c>
      <c r="AF77" s="12">
        <f t="shared" si="28"/>
        <v>-0.14868133104121672</v>
      </c>
    </row>
    <row r="78" spans="1:32" x14ac:dyDescent="0.2">
      <c r="A78" s="3" t="s">
        <v>235</v>
      </c>
      <c r="B78" s="12">
        <f>output_NHTS!B72/SUM(output_NHTS!B$71:B$74)</f>
        <v>8.9918439936631955E-2</v>
      </c>
      <c r="C78" s="12">
        <f>output_NHTS!C72/SUM(output_NHTS!C$71:C$74)</f>
        <v>7.7801190187552952E-2</v>
      </c>
      <c r="D78" s="12">
        <f>output_NHTS!D72/SUM(output_NHTS!D$71:D$74)</f>
        <v>5.4134248165710851E-2</v>
      </c>
      <c r="E78" s="12">
        <f>output_NHTS!E72/SUM(output_NHTS!E$71:E$74)</f>
        <v>0.13775699205282871</v>
      </c>
      <c r="F78" s="12">
        <f>output_NHTS!F72/SUM(output_NHTS!F$71:F$74)</f>
        <v>2.8972633195782901E-2</v>
      </c>
      <c r="G78" s="12">
        <f>output_NHTS!G72/SUM(output_NHTS!G$71:G$74)</f>
        <v>0.1744596900071913</v>
      </c>
      <c r="H78" s="12">
        <f>output_NHTS!H72/SUM(output_NHTS!H$71:H$74)</f>
        <v>8.1390525881431613E-2</v>
      </c>
      <c r="I78" s="12">
        <f>output_NHTS!I72/SUM(output_NHTS!I$71:I$74)</f>
        <v>4.1896120223357911E-2</v>
      </c>
      <c r="J78" s="12">
        <f>output_NHTS!J72/SUM(output_NHTS!J$71:J$74)</f>
        <v>8.787649863092524E-2</v>
      </c>
      <c r="L78" s="3" t="s">
        <v>235</v>
      </c>
      <c r="M78" s="42">
        <f>output!B72/SUM(output!B$71:B$74)</f>
        <v>0.19967261554657453</v>
      </c>
      <c r="N78" s="42">
        <f>output!C72/SUM(output!C$71:C$74)</f>
        <v>0.17162540406563062</v>
      </c>
      <c r="O78" s="42">
        <f>output!D72/SUM(output!D$71:D$74)</f>
        <v>0.10813807376746248</v>
      </c>
      <c r="P78" s="42">
        <f>output!E72/SUM(output!E$71:E$74)</f>
        <v>0.12432411291347667</v>
      </c>
      <c r="Q78" s="42">
        <f>output!F72/SUM(output!F$71:F$74)</f>
        <v>0.23781335550172714</v>
      </c>
      <c r="R78" s="42">
        <f>output!G72/SUM(output!G$71:G$74)</f>
        <v>0.16211190436659473</v>
      </c>
      <c r="S78" s="42">
        <f>output!H72/SUM(output!H$71:H$74)</f>
        <v>0.21219559929543994</v>
      </c>
      <c r="T78" s="42">
        <f>output!I72/SUM(output!I$71:I$74)</f>
        <v>0.13923442171287884</v>
      </c>
      <c r="U78" s="42">
        <f>output!J72/SUM(output!J$71:J$74)</f>
        <v>0.18279297147225268</v>
      </c>
      <c r="W78" s="3" t="s">
        <v>235</v>
      </c>
      <c r="X78" s="12">
        <f t="shared" si="27"/>
        <v>0.10975417560994258</v>
      </c>
      <c r="Y78" s="12">
        <f t="shared" si="27"/>
        <v>9.382421387807767E-2</v>
      </c>
      <c r="Z78" s="12">
        <f t="shared" si="27"/>
        <v>5.4003825601751633E-2</v>
      </c>
      <c r="AA78" s="12">
        <f t="shared" si="27"/>
        <v>-1.3432879139352039E-2</v>
      </c>
      <c r="AB78" s="12">
        <f t="shared" si="27"/>
        <v>0.20884072230594425</v>
      </c>
      <c r="AC78" s="12">
        <f t="shared" si="27"/>
        <v>-1.2347785640596576E-2</v>
      </c>
      <c r="AD78" s="12">
        <f t="shared" si="27"/>
        <v>0.13080507341400832</v>
      </c>
      <c r="AE78" s="12">
        <f t="shared" si="28"/>
        <v>9.7338301489520926E-2</v>
      </c>
      <c r="AF78" s="12">
        <f t="shared" si="28"/>
        <v>9.491647284132744E-2</v>
      </c>
    </row>
    <row r="79" spans="1:32" x14ac:dyDescent="0.2">
      <c r="A79" s="3" t="s">
        <v>236</v>
      </c>
      <c r="B79" s="12">
        <f>output_NHTS!B73/SUM(output_NHTS!B$71:B$74)</f>
        <v>0.1229754352093667</v>
      </c>
      <c r="C79" s="12">
        <f>output_NHTS!C73/SUM(output_NHTS!C$71:C$74)</f>
        <v>0.1509427313064389</v>
      </c>
      <c r="D79" s="12">
        <f>output_NHTS!D73/SUM(output_NHTS!D$71:D$74)</f>
        <v>0.17322554221242797</v>
      </c>
      <c r="E79" s="12">
        <f>output_NHTS!E73/SUM(output_NHTS!E$71:E$74)</f>
        <v>0.29852733521620978</v>
      </c>
      <c r="F79" s="12">
        <f>output_NHTS!F73/SUM(output_NHTS!F$71:F$74)</f>
        <v>0.24089823780001787</v>
      </c>
      <c r="G79" s="12">
        <f>output_NHTS!G73/SUM(output_NHTS!G$71:G$74)</f>
        <v>3.2800593976372132E-2</v>
      </c>
      <c r="H79" s="12">
        <f>output_NHTS!H73/SUM(output_NHTS!H$71:H$74)</f>
        <v>0.24243283122644954</v>
      </c>
      <c r="I79" s="12">
        <f>output_NHTS!I73/SUM(output_NHTS!I$71:I$74)</f>
        <v>0.24281206635432756</v>
      </c>
      <c r="J79" s="12">
        <f>output_NHTS!J73/SUM(output_NHTS!J$71:J$74)</f>
        <v>0.18134313149757661</v>
      </c>
      <c r="L79" s="3" t="s">
        <v>236</v>
      </c>
      <c r="M79" s="42">
        <f>output!B73/SUM(output!B$71:B$74)</f>
        <v>0.15327852999994018</v>
      </c>
      <c r="N79" s="42">
        <f>output!C73/SUM(output!C$71:C$74)</f>
        <v>0.24861227605575398</v>
      </c>
      <c r="O79" s="42">
        <f>output!D73/SUM(output!D$71:D$74)</f>
        <v>0.2921871535220637</v>
      </c>
      <c r="P79" s="42">
        <f>output!E73/SUM(output!E$71:E$74)</f>
        <v>0.31223294515659067</v>
      </c>
      <c r="Q79" s="42">
        <f>output!F73/SUM(output!F$71:F$74)</f>
        <v>9.1401625363700209E-2</v>
      </c>
      <c r="R79" s="42">
        <f>output!G73/SUM(output!G$71:G$74)</f>
        <v>0.12442304499418894</v>
      </c>
      <c r="S79" s="42">
        <f>output!H73/SUM(output!H$71:H$74)</f>
        <v>0.24067436463779462</v>
      </c>
      <c r="T79" s="42">
        <f>output!I73/SUM(output!I$71:I$74)</f>
        <v>0.36774723020106687</v>
      </c>
      <c r="U79" s="42">
        <f>output!J73/SUM(output!J$71:J$74)</f>
        <v>0.21074848435791574</v>
      </c>
      <c r="W79" s="3" t="s">
        <v>236</v>
      </c>
      <c r="X79" s="12">
        <f t="shared" si="27"/>
        <v>3.0303094790573484E-2</v>
      </c>
      <c r="Y79" s="12">
        <f t="shared" si="27"/>
        <v>9.7669544749315079E-2</v>
      </c>
      <c r="Z79" s="12">
        <f t="shared" si="27"/>
        <v>0.11896161130963573</v>
      </c>
      <c r="AA79" s="12">
        <f t="shared" si="27"/>
        <v>1.3705609940380892E-2</v>
      </c>
      <c r="AB79" s="12">
        <f t="shared" si="27"/>
        <v>-0.14949661243631768</v>
      </c>
      <c r="AC79" s="12">
        <f t="shared" si="27"/>
        <v>9.1622451017816797E-2</v>
      </c>
      <c r="AD79" s="12">
        <f t="shared" si="27"/>
        <v>-1.7584665886549167E-3</v>
      </c>
      <c r="AE79" s="12">
        <f t="shared" si="28"/>
        <v>0.12493516384673931</v>
      </c>
      <c r="AF79" s="12">
        <f t="shared" si="28"/>
        <v>2.9405352860339129E-2</v>
      </c>
    </row>
    <row r="80" spans="1:32" x14ac:dyDescent="0.2">
      <c r="A80" s="8" t="s">
        <v>173</v>
      </c>
      <c r="B80" s="13">
        <f>output_NHTS!B74/SUM(output_NHTS!B$71:B$74)</f>
        <v>1.5484846746147493E-2</v>
      </c>
      <c r="C80" s="13">
        <f>output_NHTS!C74/SUM(output_NHTS!C$71:C$74)</f>
        <v>3.3418929923612679E-2</v>
      </c>
      <c r="D80" s="13">
        <f>output_NHTS!D74/SUM(output_NHTS!D$71:D$74)</f>
        <v>5.3647290756795946E-2</v>
      </c>
      <c r="E80" s="13">
        <f>output_NHTS!E74/SUM(output_NHTS!E$71:E$74)</f>
        <v>8.7163197606951626E-2</v>
      </c>
      <c r="F80" s="13">
        <f>output_NHTS!F74/SUM(output_NHTS!F$71:F$74)</f>
        <v>4.4664390156353588E-2</v>
      </c>
      <c r="G80" s="13">
        <f>output_NHTS!G74/SUM(output_NHTS!G$71:G$74)</f>
        <v>0</v>
      </c>
      <c r="H80" s="13">
        <f>output_NHTS!H74/SUM(output_NHTS!H$71:H$74)</f>
        <v>1.1286412692140875E-2</v>
      </c>
      <c r="I80" s="13">
        <f>output_NHTS!I74/SUM(output_NHTS!I$71:I$74)</f>
        <v>1.5075733609648359E-2</v>
      </c>
      <c r="J80" s="13">
        <f>output_NHTS!J74/SUM(output_NHTS!J$71:J$74)</f>
        <v>3.0577596487877494E-2</v>
      </c>
      <c r="L80" s="8" t="s">
        <v>173</v>
      </c>
      <c r="M80" s="43">
        <f>output!B74/SUM(output!B$71:B$74)</f>
        <v>3.8703940376950699E-2</v>
      </c>
      <c r="N80" s="43">
        <f>output!C74/SUM(output!C$71:C$74)</f>
        <v>6.842963367857581E-2</v>
      </c>
      <c r="O80" s="43">
        <f>output!D74/SUM(output!D$71:D$74)</f>
        <v>7.8879936925616581E-2</v>
      </c>
      <c r="P80" s="43">
        <f>output!E74/SUM(output!E$71:E$74)</f>
        <v>8.4205997672895092E-2</v>
      </c>
      <c r="Q80" s="43">
        <f>output!F74/SUM(output!F$71:F$74)</f>
        <v>2.3520474709398158E-2</v>
      </c>
      <c r="R80" s="43">
        <f>output!G74/SUM(output!G$71:G$74)</f>
        <v>3.2176656151419555E-2</v>
      </c>
      <c r="S80" s="43">
        <f>output!H74/SUM(output!H$71:H$74)</f>
        <v>6.0312578633936312E-2</v>
      </c>
      <c r="T80" s="43">
        <f>output!I74/SUM(output!I$71:I$74)</f>
        <v>9.8188639427867985E-2</v>
      </c>
      <c r="U80" s="43">
        <f>output!J74/SUM(output!J$71:J$74)</f>
        <v>5.4937101827427601E-2</v>
      </c>
      <c r="W80" s="8" t="s">
        <v>173</v>
      </c>
      <c r="X80" s="12">
        <f t="shared" si="27"/>
        <v>2.3219093630803204E-2</v>
      </c>
      <c r="Y80" s="12">
        <f t="shared" si="27"/>
        <v>3.5010703754963131E-2</v>
      </c>
      <c r="Z80" s="12">
        <f t="shared" si="27"/>
        <v>2.5232646168820635E-2</v>
      </c>
      <c r="AA80" s="12">
        <f t="shared" si="27"/>
        <v>-2.9571999340565341E-3</v>
      </c>
      <c r="AB80" s="12">
        <f t="shared" si="27"/>
        <v>-2.114391544695543E-2</v>
      </c>
      <c r="AC80" s="12">
        <f t="shared" si="27"/>
        <v>3.2176656151419555E-2</v>
      </c>
      <c r="AD80" s="12">
        <f t="shared" si="27"/>
        <v>4.9026165941795437E-2</v>
      </c>
      <c r="AE80" s="12">
        <f t="shared" si="28"/>
        <v>8.3112905818219632E-2</v>
      </c>
      <c r="AF80" s="12">
        <f t="shared" si="28"/>
        <v>2.4359505339550107E-2</v>
      </c>
    </row>
    <row r="81" spans="1:32" ht="13.5" thickBot="1" x14ac:dyDescent="0.25">
      <c r="A81" s="15" t="s">
        <v>221</v>
      </c>
      <c r="B81" s="44">
        <f>SUM(B77:B80)</f>
        <v>1.0000000000000002</v>
      </c>
      <c r="C81" s="44">
        <f t="shared" ref="C81:J81" si="29">SUM(C77:C80)</f>
        <v>1</v>
      </c>
      <c r="D81" s="44">
        <f t="shared" si="29"/>
        <v>1.0000000000000002</v>
      </c>
      <c r="E81" s="44">
        <f t="shared" si="29"/>
        <v>1</v>
      </c>
      <c r="F81" s="44">
        <f t="shared" si="29"/>
        <v>1</v>
      </c>
      <c r="G81" s="44">
        <f t="shared" si="29"/>
        <v>1</v>
      </c>
      <c r="H81" s="44">
        <f t="shared" si="29"/>
        <v>1</v>
      </c>
      <c r="I81" s="44">
        <f t="shared" si="29"/>
        <v>1</v>
      </c>
      <c r="J81" s="44">
        <f t="shared" si="29"/>
        <v>1</v>
      </c>
      <c r="L81" s="15" t="s">
        <v>221</v>
      </c>
      <c r="M81" s="51">
        <f>SUM(M77:M80)</f>
        <v>1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0.99999999999999989</v>
      </c>
      <c r="S81" s="51">
        <f t="shared" si="30"/>
        <v>1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5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topLeftCell="A7" workbookViewId="0">
      <selection activeCell="J79" sqref="J79"/>
    </sheetView>
  </sheetViews>
  <sheetFormatPr defaultColWidth="10.75" defaultRowHeight="12.75" x14ac:dyDescent="0.2"/>
  <cols>
    <col min="1" max="11" width="10.75" style="3" collapsed="1"/>
    <col min="12" max="21" width="10.75" style="39" collapsed="1"/>
    <col min="22" max="23" width="10.75" style="3" collapsed="1"/>
    <col min="24" max="32" width="10.75" style="39" collapsed="1"/>
    <col min="33" max="16384" width="10.75" style="3" collapsed="1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0.98151981234204422</v>
      </c>
      <c r="C5" s="12">
        <f>output_NHTS!C81/SUM(output_NHTS!C$81:C$83)</f>
        <v>0.93670863911177071</v>
      </c>
      <c r="D5" s="12">
        <f>output_NHTS!D81/SUM(output_NHTS!D$81:D$83)</f>
        <v>0.8581831533968185</v>
      </c>
      <c r="E5" s="12">
        <f>output_NHTS!E81/SUM(output_NHTS!E$81:E$83)</f>
        <v>1</v>
      </c>
      <c r="F5" s="12">
        <f>output_NHTS!F81/SUM(output_NHTS!F$81:F$83)</f>
        <v>0.94297169302069661</v>
      </c>
      <c r="G5" s="12" t="e">
        <f>output_NHTS!G81/SUM(output_NHTS!G$81:G$83)</f>
        <v>#DIV/0!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0.97594090872779349</v>
      </c>
      <c r="L5" s="48">
        <v>1</v>
      </c>
      <c r="M5" s="42">
        <f>output!B81/SUM(output!B$81:B$83)</f>
        <v>0.97652891556492827</v>
      </c>
      <c r="N5" s="42">
        <f>output!C81/SUM(output!C$81:C$83)</f>
        <v>0.95286694580134912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0.96789232273103243</v>
      </c>
      <c r="R5" s="42">
        <f>output!G81/SUM(output!G$81:G$83)</f>
        <v>0.97429718875502003</v>
      </c>
      <c r="S5" s="42">
        <f>output!H81/SUM(output!H$81:H$83)</f>
        <v>0.99278688524590164</v>
      </c>
      <c r="T5" s="42" t="e">
        <f>output!I81/SUM(output!I$81:I$83)</f>
        <v>#DIV/0!</v>
      </c>
      <c r="U5" s="42">
        <f>output!J81/SUM(output!J$81:J$83)</f>
        <v>0.97318703371041093</v>
      </c>
      <c r="W5" s="18">
        <v>1</v>
      </c>
      <c r="X5" s="12">
        <f t="shared" ref="X5:AD8" si="0">M5-B5</f>
        <v>-4.9908967771159496E-3</v>
      </c>
      <c r="Y5" s="12">
        <f t="shared" si="0"/>
        <v>1.6158306689578406E-2</v>
      </c>
      <c r="Z5" s="12" t="e">
        <f t="shared" si="0"/>
        <v>#DIV/0!</v>
      </c>
      <c r="AA5" s="12" t="e">
        <f t="shared" si="0"/>
        <v>#DIV/0!</v>
      </c>
      <c r="AB5" s="12">
        <f t="shared" si="0"/>
        <v>2.4920629710335818E-2</v>
      </c>
      <c r="AC5" s="12" t="e">
        <f t="shared" si="0"/>
        <v>#DIV/0!</v>
      </c>
      <c r="AD5" s="12">
        <f t="shared" si="0"/>
        <v>-7.2131147540983598E-3</v>
      </c>
      <c r="AE5" s="12" t="e">
        <f t="shared" ref="AE5:AF8" si="1">T5-I5</f>
        <v>#DIV/0!</v>
      </c>
      <c r="AF5" s="12">
        <f t="shared" si="1"/>
        <v>-2.7538750173825566E-3</v>
      </c>
    </row>
    <row r="6" spans="1:32" x14ac:dyDescent="0.2">
      <c r="A6" s="18">
        <v>2</v>
      </c>
      <c r="B6" s="12">
        <f>output_NHTS!B82/SUM(output_NHTS!B$81:B$83)</f>
        <v>1.6869813907385546E-2</v>
      </c>
      <c r="C6" s="12">
        <f>output_NHTS!C82/SUM(output_NHTS!C$81:C$83)</f>
        <v>6.3291360888229189E-2</v>
      </c>
      <c r="D6" s="12">
        <f>output_NHTS!D82/SUM(output_NHTS!D$81:D$83)</f>
        <v>0.14181684660318145</v>
      </c>
      <c r="E6" s="12">
        <f>output_NHTS!E82/SUM(output_NHTS!E$81:E$83)</f>
        <v>0</v>
      </c>
      <c r="F6" s="12">
        <f>output_NHTS!F82/SUM(output_NHTS!F$81:F$83)</f>
        <v>5.7028306979303452E-2</v>
      </c>
      <c r="G6" s="12" t="e">
        <f>output_NHTS!G82/SUM(output_NHTS!G$81:G$83)</f>
        <v>#DIV/0!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2.2656831137420442E-2</v>
      </c>
      <c r="L6" s="48">
        <v>2</v>
      </c>
      <c r="M6" s="42">
        <f>output!B82/SUM(output!B$81:B$83)</f>
        <v>2.2497769486576363E-2</v>
      </c>
      <c r="N6" s="42">
        <f>output!C82/SUM(output!C$81:C$83)</f>
        <v>4.5170388462433125E-2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3.0754192044514624E-2</v>
      </c>
      <c r="R6" s="42">
        <f>output!G82/SUM(output!G$81:G$83)</f>
        <v>2.3293172690763052E-2</v>
      </c>
      <c r="S6" s="42">
        <f>output!H82/SUM(output!H$81:H$83)</f>
        <v>7.2131147540983606E-3</v>
      </c>
      <c r="T6" s="42" t="e">
        <f>output!I82/SUM(output!I$81:I$83)</f>
        <v>#DIV/0!</v>
      </c>
      <c r="U6" s="42">
        <f>output!J82/SUM(output!J$81:J$83)</f>
        <v>2.56962988137431E-2</v>
      </c>
      <c r="W6" s="18">
        <v>2</v>
      </c>
      <c r="X6" s="12">
        <f t="shared" si="0"/>
        <v>5.6279555791908173E-3</v>
      </c>
      <c r="Y6" s="12">
        <f t="shared" si="0"/>
        <v>-1.8120972425796064E-2</v>
      </c>
      <c r="Z6" s="12" t="e">
        <f t="shared" si="0"/>
        <v>#DIV/0!</v>
      </c>
      <c r="AA6" s="12" t="e">
        <f t="shared" si="0"/>
        <v>#DIV/0!</v>
      </c>
      <c r="AB6" s="12">
        <f t="shared" si="0"/>
        <v>-2.6274114934788827E-2</v>
      </c>
      <c r="AC6" s="12" t="e">
        <f t="shared" si="0"/>
        <v>#DIV/0!</v>
      </c>
      <c r="AD6" s="12">
        <f t="shared" si="0"/>
        <v>7.2131147540983606E-3</v>
      </c>
      <c r="AE6" s="12" t="e">
        <f t="shared" si="1"/>
        <v>#DIV/0!</v>
      </c>
      <c r="AF6" s="12">
        <f t="shared" si="1"/>
        <v>3.0394676763226582E-3</v>
      </c>
    </row>
    <row r="7" spans="1:32" x14ac:dyDescent="0.2">
      <c r="A7" s="23" t="s">
        <v>116</v>
      </c>
      <c r="B7" s="12">
        <f>output_NHTS!B83/SUM(output_NHTS!B$81:B$83)</f>
        <v>1.6103737505702611E-3</v>
      </c>
      <c r="C7" s="12">
        <f>output_NHTS!C83/SUM(output_NHTS!C$81:C$83)</f>
        <v>0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 t="e">
        <f>output_NHTS!G83/SUM(output_NHTS!G$81:G$83)</f>
        <v>#DIV/0!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1.4022601347859955E-3</v>
      </c>
      <c r="L7" s="49" t="s">
        <v>116</v>
      </c>
      <c r="M7" s="43">
        <f>output!B83/SUM(output!B$81:B$83)</f>
        <v>9.7331494849541727E-4</v>
      </c>
      <c r="N7" s="43">
        <f>output!C83/SUM(output!C$81:C$83)</f>
        <v>1.962665736217725E-3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1.3534852244529664E-3</v>
      </c>
      <c r="R7" s="43">
        <f>output!G83/SUM(output!G$81:G$83)</f>
        <v>2.4096385542168677E-3</v>
      </c>
      <c r="S7" s="43">
        <f>output!H83/SUM(output!H$81:H$83)</f>
        <v>0</v>
      </c>
      <c r="T7" s="43" t="e">
        <f>output!I83/SUM(output!I$81:I$83)</f>
        <v>#DIV/0!</v>
      </c>
      <c r="U7" s="43">
        <f>output!J83/SUM(output!J$81:J$83)</f>
        <v>1.1166674758459969E-3</v>
      </c>
      <c r="W7" s="23" t="s">
        <v>116</v>
      </c>
      <c r="X7" s="12">
        <f t="shared" si="0"/>
        <v>-6.3705880207484385E-4</v>
      </c>
      <c r="Y7" s="12">
        <f t="shared" si="0"/>
        <v>1.962665736217725E-3</v>
      </c>
      <c r="Z7" s="12" t="e">
        <f t="shared" si="0"/>
        <v>#DIV/0!</v>
      </c>
      <c r="AA7" s="12" t="e">
        <f t="shared" si="0"/>
        <v>#DIV/0!</v>
      </c>
      <c r="AB7" s="12">
        <f t="shared" si="0"/>
        <v>1.3534852244529664E-3</v>
      </c>
      <c r="AC7" s="12" t="e">
        <f t="shared" si="0"/>
        <v>#DIV/0!</v>
      </c>
      <c r="AD7" s="12">
        <f t="shared" si="0"/>
        <v>0</v>
      </c>
      <c r="AE7" s="12" t="e">
        <f t="shared" si="1"/>
        <v>#DIV/0!</v>
      </c>
      <c r="AF7" s="12">
        <f t="shared" si="1"/>
        <v>-2.8559265893999858E-4</v>
      </c>
    </row>
    <row r="8" spans="1:32" ht="13.5" thickBot="1" x14ac:dyDescent="0.25">
      <c r="A8" s="21" t="s">
        <v>221</v>
      </c>
      <c r="B8" s="51">
        <f>SUM(B5:B7)</f>
        <v>1</v>
      </c>
      <c r="C8" s="51">
        <f t="shared" ref="C8:J8" si="2">SUM(C5:C7)</f>
        <v>0.99999999999999989</v>
      </c>
      <c r="D8" s="51">
        <f t="shared" si="2"/>
        <v>1</v>
      </c>
      <c r="E8" s="51">
        <f t="shared" si="2"/>
        <v>1</v>
      </c>
      <c r="F8" s="51">
        <f t="shared" si="2"/>
        <v>1</v>
      </c>
      <c r="G8" s="51" t="e">
        <f t="shared" si="2"/>
        <v>#DIV/0!</v>
      </c>
      <c r="H8" s="51">
        <f t="shared" si="2"/>
        <v>1</v>
      </c>
      <c r="I8" s="51" t="e">
        <f t="shared" si="2"/>
        <v>#DIV/0!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0.99999999999999989</v>
      </c>
      <c r="S8" s="51">
        <f t="shared" si="3"/>
        <v>1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 t="e">
        <f t="shared" si="0"/>
        <v>#DIV/0!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0.93424219316455126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1</v>
      </c>
      <c r="G16" s="12">
        <f>output_NHTS!G88/SUM(output_NHTS!G$88:G$90)</f>
        <v>1</v>
      </c>
      <c r="H16" s="12">
        <f>output_NHTS!H88/SUM(output_NHTS!H$88:H$90)</f>
        <v>0.96031965943369091</v>
      </c>
      <c r="I16" s="12">
        <f>output_NHTS!I88/SUM(output_NHTS!I$88:I$90)</f>
        <v>0.95227557407765262</v>
      </c>
      <c r="J16" s="12">
        <f>output_NHTS!J88/SUM(output_NHTS!J$88:J$90)</f>
        <v>0.96697876384359294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0.89084721896268482</v>
      </c>
      <c r="R16" s="42">
        <f>output!G88/SUM(output!G$88:G$90)</f>
        <v>0.98749044408923481</v>
      </c>
      <c r="S16" s="42">
        <f>output!H88/SUM(output!H$88:H$90)</f>
        <v>0.98433210137275606</v>
      </c>
      <c r="T16" s="42" t="e">
        <f>output!I88/SUM(output!I$88:I$90)</f>
        <v>#DIV/0!</v>
      </c>
      <c r="U16" s="42">
        <f>output!J88/SUM(output!J$88:J$90)</f>
        <v>0.96686973998241432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-0.10915278103731518</v>
      </c>
      <c r="AC16" s="12">
        <f t="shared" si="4"/>
        <v>-1.2509555910765191E-2</v>
      </c>
      <c r="AD16" s="12">
        <f t="shared" si="4"/>
        <v>2.4012441939065154E-2</v>
      </c>
      <c r="AE16" s="12" t="e">
        <f t="shared" si="4"/>
        <v>#DIV/0!</v>
      </c>
      <c r="AF16" s="12">
        <f t="shared" si="4"/>
        <v>-1.0902386117861429E-4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6.5757806835448671E-2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0</v>
      </c>
      <c r="G17" s="12">
        <f>output_NHTS!G89/SUM(output_NHTS!G$88:G$90)</f>
        <v>0</v>
      </c>
      <c r="H17" s="12">
        <f>output_NHTS!H89/SUM(output_NHTS!H$88:H$90)</f>
        <v>3.9680340566309043E-2</v>
      </c>
      <c r="I17" s="12">
        <f>output_NHTS!I89/SUM(output_NHTS!I$88:I$90)</f>
        <v>4.7724425922347415E-2</v>
      </c>
      <c r="J17" s="12">
        <f>output_NHTS!J89/SUM(output_NHTS!J$88:J$90)</f>
        <v>3.3021236156406987E-2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9.5447078150668857E-2</v>
      </c>
      <c r="R17" s="42">
        <f>output!G89/SUM(output!G$88:G$90)</f>
        <v>1.0806866356244354E-2</v>
      </c>
      <c r="S17" s="42">
        <f>output!H89/SUM(output!H$88:H$90)</f>
        <v>1.3120380147835269E-2</v>
      </c>
      <c r="T17" s="42" t="e">
        <f>output!I89/SUM(output!I$88:I$90)</f>
        <v>#DIV/0!</v>
      </c>
      <c r="U17" s="42">
        <f>output!J89/SUM(output!J$88:J$90)</f>
        <v>2.8558867335402947E-2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9.5447078150668857E-2</v>
      </c>
      <c r="AC17" s="12">
        <f t="shared" si="4"/>
        <v>1.0806866356244354E-2</v>
      </c>
      <c r="AD17" s="12">
        <f t="shared" si="4"/>
        <v>-2.6559960418473774E-2</v>
      </c>
      <c r="AE17" s="12" t="e">
        <f t="shared" si="4"/>
        <v>#DIV/0!</v>
      </c>
      <c r="AF17" s="12">
        <f t="shared" si="4"/>
        <v>-4.4623688210040403E-3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0</v>
      </c>
      <c r="J18" s="12">
        <f>output_NHTS!J90/SUM(output_NHTS!J$88:J$90)</f>
        <v>0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1.3705702886646328E-2</v>
      </c>
      <c r="R18" s="43">
        <f>output!G90/SUM(output!G$88:G$90)</f>
        <v>1.7026895545208145E-3</v>
      </c>
      <c r="S18" s="43">
        <f>output!H90/SUM(output!H$88:H$90)</f>
        <v>2.547518479408659E-3</v>
      </c>
      <c r="T18" s="43" t="e">
        <f>output!I90/SUM(output!I$88:I$90)</f>
        <v>#DIV/0!</v>
      </c>
      <c r="U18" s="43">
        <f>output!J90/SUM(output!J$88:J$90)</f>
        <v>4.5713926821827839E-3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1.3705702886646328E-2</v>
      </c>
      <c r="AC18" s="12">
        <f t="shared" si="4"/>
        <v>1.7026895545208145E-3</v>
      </c>
      <c r="AD18" s="12">
        <f t="shared" si="4"/>
        <v>2.547518479408659E-3</v>
      </c>
      <c r="AE18" s="12" t="e">
        <f t="shared" si="4"/>
        <v>#DIV/0!</v>
      </c>
      <c r="AF18" s="12">
        <f t="shared" si="4"/>
        <v>4.5713926821827839E-3</v>
      </c>
    </row>
    <row r="19" spans="1:32" ht="13.5" thickBot="1" x14ac:dyDescent="0.25">
      <c r="A19" s="21" t="s">
        <v>221</v>
      </c>
      <c r="B19" s="51">
        <f>SUM(B16:B18)</f>
        <v>1</v>
      </c>
      <c r="C19" s="51">
        <f t="shared" ref="C19:J19" si="5">SUM(C16:C18)</f>
        <v>0.99999999999999989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0.99999999999999989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0.75793161056058855</v>
      </c>
      <c r="C27" s="12">
        <f>output_NHTS!C95/SUM(output_NHTS!C$95:C$97)</f>
        <v>0.60685902691940641</v>
      </c>
      <c r="D27" s="12">
        <f>output_NHTS!D95/SUM(output_NHTS!D$95:D$97)</f>
        <v>0.86874255238179032</v>
      </c>
      <c r="E27" s="12">
        <f>output_NHTS!E95/SUM(output_NHTS!E$95:E$97)</f>
        <v>0.59879481857321804</v>
      </c>
      <c r="F27" s="12">
        <f>output_NHTS!F95/SUM(output_NHTS!F$95:F$97)</f>
        <v>1</v>
      </c>
      <c r="G27" s="12">
        <f>output_NHTS!G95/SUM(output_NHTS!G$95:G$97)</f>
        <v>1</v>
      </c>
      <c r="H27" s="12">
        <f>output_NHTS!H95/SUM(output_NHTS!H$95:H$97)</f>
        <v>1</v>
      </c>
      <c r="I27" s="12">
        <f>output_NHTS!I95/SUM(output_NHTS!I$95:I$97)</f>
        <v>0.82887996106572703</v>
      </c>
      <c r="J27" s="12">
        <f>output_NHTS!J95/SUM(output_NHTS!J$95:J$97)</f>
        <v>0.72394938333513614</v>
      </c>
      <c r="L27" s="48">
        <v>1</v>
      </c>
      <c r="M27" s="42">
        <f>output!B95/SUM(output!B$95:B$97)</f>
        <v>0.87671730315318042</v>
      </c>
      <c r="N27" s="42">
        <f>output!C95/SUM(output!C$95:C$97)</f>
        <v>0.60843278481678142</v>
      </c>
      <c r="O27" s="42">
        <f>output!D95/SUM(output!D$95:D$97)</f>
        <v>0.7127461621956892</v>
      </c>
      <c r="P27" s="42">
        <f>output!E95/SUM(output!E$95:E$97)</f>
        <v>0.52736890524379021</v>
      </c>
      <c r="Q27" s="42">
        <f>output!F95/SUM(output!F$95:F$97)</f>
        <v>0.8569794050343249</v>
      </c>
      <c r="R27" s="42">
        <f>output!G95/SUM(output!G$95:G$97)</f>
        <v>0.89056603773584908</v>
      </c>
      <c r="S27" s="42">
        <f>output!H95/SUM(output!H$95:H$97)</f>
        <v>0.89297739297739298</v>
      </c>
      <c r="T27" s="42">
        <f>output!I95/SUM(output!I$95:I$97)</f>
        <v>0.93131664853101193</v>
      </c>
      <c r="U27" s="42">
        <f>output!J95/SUM(output!J$95:J$97)</f>
        <v>0.76951551183398503</v>
      </c>
      <c r="W27" s="18">
        <v>1</v>
      </c>
      <c r="X27" s="12">
        <f t="shared" ref="X27:AD30" si="7">M27-B27</f>
        <v>0.11878569259259186</v>
      </c>
      <c r="Y27" s="12">
        <f t="shared" si="7"/>
        <v>1.5737578973750166E-3</v>
      </c>
      <c r="Z27" s="12">
        <f t="shared" si="7"/>
        <v>-0.15599639018610112</v>
      </c>
      <c r="AA27" s="12">
        <f t="shared" si="7"/>
        <v>-7.1425913329427826E-2</v>
      </c>
      <c r="AB27" s="12">
        <f t="shared" si="7"/>
        <v>-0.1430205949656751</v>
      </c>
      <c r="AC27" s="12">
        <f t="shared" si="7"/>
        <v>-0.10943396226415092</v>
      </c>
      <c r="AD27" s="12">
        <f t="shared" si="7"/>
        <v>-0.10702260702260702</v>
      </c>
      <c r="AE27" s="12">
        <f t="shared" ref="AE27:AF30" si="8">T27-I27</f>
        <v>0.10243668746528489</v>
      </c>
      <c r="AF27" s="12">
        <f t="shared" si="8"/>
        <v>4.556612849884889E-2</v>
      </c>
    </row>
    <row r="28" spans="1:32" x14ac:dyDescent="0.2">
      <c r="A28" s="18">
        <v>2</v>
      </c>
      <c r="B28" s="12">
        <f>output_NHTS!B96/SUM(output_NHTS!B$95:B$97)</f>
        <v>0.15698048946681517</v>
      </c>
      <c r="C28" s="12">
        <f>output_NHTS!C96/SUM(output_NHTS!C$95:C$97)</f>
        <v>0.20860934098998515</v>
      </c>
      <c r="D28" s="12">
        <f>output_NHTS!D96/SUM(output_NHTS!D$95:D$97)</f>
        <v>0.13125744761820962</v>
      </c>
      <c r="E28" s="12">
        <f>output_NHTS!E96/SUM(output_NHTS!E$95:E$97)</f>
        <v>0.25034026869059317</v>
      </c>
      <c r="F28" s="12">
        <f>output_NHTS!F96/SUM(output_NHTS!F$95:F$97)</f>
        <v>0</v>
      </c>
      <c r="G28" s="12">
        <f>output_NHTS!G96/SUM(output_NHTS!G$95:G$97)</f>
        <v>0</v>
      </c>
      <c r="H28" s="12">
        <f>output_NHTS!H96/SUM(output_NHTS!H$95:H$97)</f>
        <v>0</v>
      </c>
      <c r="I28" s="12">
        <f>output_NHTS!I96/SUM(output_NHTS!I$95:I$97)</f>
        <v>0.17112003893427302</v>
      </c>
      <c r="J28" s="12">
        <f>output_NHTS!J96/SUM(output_NHTS!J$95:J$97)</f>
        <v>0.17931642139682455</v>
      </c>
      <c r="L28" s="48">
        <v>2</v>
      </c>
      <c r="M28" s="42">
        <f>output!B96/SUM(output!B$95:B$97)</f>
        <v>0.10629123040610058</v>
      </c>
      <c r="N28" s="42">
        <f>output!C96/SUM(output!C$95:C$97)</f>
        <v>0.33515588034277904</v>
      </c>
      <c r="O28" s="42">
        <f>output!D96/SUM(output!D$95:D$97)</f>
        <v>0.2457745386881687</v>
      </c>
      <c r="P28" s="42">
        <f>output!E96/SUM(output!E$95:E$97)</f>
        <v>0.40725620975160992</v>
      </c>
      <c r="Q28" s="42">
        <f>output!F96/SUM(output!F$95:F$97)</f>
        <v>0.12623951182303586</v>
      </c>
      <c r="R28" s="42">
        <f>output!G96/SUM(output!G$95:G$97)</f>
        <v>9.7358490566037736E-2</v>
      </c>
      <c r="S28" s="42">
        <f>output!H96/SUM(output!H$95:H$97)</f>
        <v>8.7662337662337664E-2</v>
      </c>
      <c r="T28" s="42">
        <f>output!I96/SUM(output!I$95:I$97)</f>
        <v>5.76278563656148E-2</v>
      </c>
      <c r="U28" s="42">
        <f>output!J96/SUM(output!J$95:J$97)</f>
        <v>0.1978718466015604</v>
      </c>
      <c r="W28" s="18">
        <v>2</v>
      </c>
      <c r="X28" s="12">
        <f t="shared" si="7"/>
        <v>-5.0689259060714587E-2</v>
      </c>
      <c r="Y28" s="12">
        <f t="shared" si="7"/>
        <v>0.12654653935279389</v>
      </c>
      <c r="Z28" s="12">
        <f t="shared" si="7"/>
        <v>0.11451709106995908</v>
      </c>
      <c r="AA28" s="12">
        <f t="shared" si="7"/>
        <v>0.15691594106101675</v>
      </c>
      <c r="AB28" s="12">
        <f t="shared" si="7"/>
        <v>0.12623951182303586</v>
      </c>
      <c r="AC28" s="12">
        <f t="shared" si="7"/>
        <v>9.7358490566037736E-2</v>
      </c>
      <c r="AD28" s="12">
        <f t="shared" si="7"/>
        <v>8.7662337662337664E-2</v>
      </c>
      <c r="AE28" s="12">
        <f t="shared" si="8"/>
        <v>-0.11349218256865823</v>
      </c>
      <c r="AF28" s="12">
        <f t="shared" si="8"/>
        <v>1.8555425204735854E-2</v>
      </c>
    </row>
    <row r="29" spans="1:32" x14ac:dyDescent="0.2">
      <c r="A29" s="18" t="s">
        <v>116</v>
      </c>
      <c r="B29" s="12">
        <f>output_NHTS!B97/SUM(output_NHTS!B$95:B$97)</f>
        <v>8.5087899972596234E-2</v>
      </c>
      <c r="C29" s="12">
        <f>output_NHTS!C97/SUM(output_NHTS!C$95:C$97)</f>
        <v>0.18453163209060836</v>
      </c>
      <c r="D29" s="12">
        <f>output_NHTS!D97/SUM(output_NHTS!D$95:D$97)</f>
        <v>0</v>
      </c>
      <c r="E29" s="12">
        <f>output_NHTS!E97/SUM(output_NHTS!E$95:E$97)</f>
        <v>0.15086491273618893</v>
      </c>
      <c r="F29" s="12">
        <f>output_NHTS!F97/SUM(output_NHTS!F$95:F$97)</f>
        <v>0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9.6734195268039377E-2</v>
      </c>
      <c r="L29" s="48">
        <v>3</v>
      </c>
      <c r="M29" s="43">
        <f>output!B97/SUM(output!B$95:B$97)</f>
        <v>1.6991466440718996E-2</v>
      </c>
      <c r="N29" s="43">
        <f>output!C97/SUM(output!C$95:C$97)</f>
        <v>5.6411334840439517E-2</v>
      </c>
      <c r="O29" s="43">
        <f>output!D97/SUM(output!D$95:D$97)</f>
        <v>4.1479299116142038E-2</v>
      </c>
      <c r="P29" s="43">
        <f>output!E97/SUM(output!E$95:E$97)</f>
        <v>6.5374885004599814E-2</v>
      </c>
      <c r="Q29" s="43">
        <f>output!F97/SUM(output!F$95:F$97)</f>
        <v>1.6781083142639208E-2</v>
      </c>
      <c r="R29" s="43">
        <f>output!G97/SUM(output!G$95:G$97)</f>
        <v>1.2075471698113207E-2</v>
      </c>
      <c r="S29" s="43">
        <f>output!H97/SUM(output!H$95:H$97)</f>
        <v>1.9360269360269359E-2</v>
      </c>
      <c r="T29" s="43">
        <f>output!I97/SUM(output!I$95:I$97)</f>
        <v>1.1055495103373232E-2</v>
      </c>
      <c r="U29" s="43">
        <f>output!J97/SUM(output!J$95:J$97)</f>
        <v>3.2612641564454599E-2</v>
      </c>
      <c r="W29" s="18">
        <v>3</v>
      </c>
      <c r="X29" s="12">
        <f t="shared" si="7"/>
        <v>-6.8096433531877235E-2</v>
      </c>
      <c r="Y29" s="12">
        <f t="shared" si="7"/>
        <v>-0.12812029725016882</v>
      </c>
      <c r="Z29" s="12">
        <f t="shared" si="7"/>
        <v>4.1479299116142038E-2</v>
      </c>
      <c r="AA29" s="12">
        <f t="shared" si="7"/>
        <v>-8.5490027731589119E-2</v>
      </c>
      <c r="AB29" s="12">
        <f t="shared" si="7"/>
        <v>1.6781083142639208E-2</v>
      </c>
      <c r="AC29" s="12">
        <f t="shared" si="7"/>
        <v>1.2075471698113207E-2</v>
      </c>
      <c r="AD29" s="12">
        <f t="shared" si="7"/>
        <v>1.9360269360269359E-2</v>
      </c>
      <c r="AE29" s="12">
        <f t="shared" si="8"/>
        <v>1.1055495103373232E-2</v>
      </c>
      <c r="AF29" s="12">
        <f t="shared" si="8"/>
        <v>-6.4121553703584772E-2</v>
      </c>
    </row>
    <row r="30" spans="1:32" ht="13.5" thickBot="1" x14ac:dyDescent="0.25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1.0000000000000002</v>
      </c>
      <c r="F30" s="51">
        <f t="shared" si="9"/>
        <v>1</v>
      </c>
      <c r="G30" s="51">
        <f t="shared" si="9"/>
        <v>1</v>
      </c>
      <c r="H30" s="51">
        <f t="shared" si="9"/>
        <v>1</v>
      </c>
      <c r="I30" s="51">
        <f t="shared" si="9"/>
        <v>1</v>
      </c>
      <c r="J30" s="51">
        <f t="shared" si="9"/>
        <v>1</v>
      </c>
      <c r="L30" s="50" t="s">
        <v>221</v>
      </c>
      <c r="M30" s="44">
        <f>SUM(M27:M29)</f>
        <v>1</v>
      </c>
      <c r="N30" s="44">
        <f t="shared" ref="N30:U30" si="10">SUM(N27:N29)</f>
        <v>0.99999999999999989</v>
      </c>
      <c r="O30" s="44">
        <f t="shared" si="10"/>
        <v>0.99999999999999989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0.88694572734456323</v>
      </c>
      <c r="C38" s="12">
        <f>output_NHTS!C102/SUM(output_NHTS!C$102:C$104)</f>
        <v>0.8809734379023606</v>
      </c>
      <c r="D38" s="12">
        <f>output_NHTS!D102/SUM(output_NHTS!D$102:D$104)</f>
        <v>0.83822098201452688</v>
      </c>
      <c r="E38" s="12">
        <f>output_NHTS!E102/SUM(output_NHTS!E$102:E$104)</f>
        <v>0.75759786783662941</v>
      </c>
      <c r="F38" s="12">
        <f>output_NHTS!F102/SUM(output_NHTS!F$102:F$104)</f>
        <v>1</v>
      </c>
      <c r="G38" s="12">
        <f>output_NHTS!G102/SUM(output_NHTS!G$102:G$104)</f>
        <v>1</v>
      </c>
      <c r="H38" s="12">
        <f>output_NHTS!H102/SUM(output_NHTS!H$102:H$104)</f>
        <v>0.89316046185678488</v>
      </c>
      <c r="I38" s="12">
        <f>output_NHTS!I102/SUM(output_NHTS!I$102:I$104)</f>
        <v>0.70674688545815301</v>
      </c>
      <c r="J38" s="12">
        <f>output_NHTS!J102/SUM(output_NHTS!J$102:J$104)</f>
        <v>0.83349704724601281</v>
      </c>
      <c r="L38" s="48">
        <v>1</v>
      </c>
      <c r="M38" s="42">
        <f>output!B102/SUM(output!B$102:B$104)</f>
        <v>0.93231026009550744</v>
      </c>
      <c r="N38" s="42">
        <f>output!C102/SUM(output!C$102:C$104)</f>
        <v>0.85817706500427327</v>
      </c>
      <c r="O38" s="42">
        <f>output!D102/SUM(output!D$102:D$104)</f>
        <v>0.8255483280489001</v>
      </c>
      <c r="P38" s="42">
        <f>output!E102/SUM(output!E$102:E$104)</f>
        <v>0.82748933513682243</v>
      </c>
      <c r="Q38" s="42">
        <f>output!F102/SUM(output!F$102:F$104)</f>
        <v>0.90100944317811793</v>
      </c>
      <c r="R38" s="42">
        <f>output!G102/SUM(output!G$102:G$104)</f>
        <v>0.92002830856334039</v>
      </c>
      <c r="S38" s="42">
        <f>output!H102/SUM(output!H$102:H$104)</f>
        <v>0.89521823610255435</v>
      </c>
      <c r="T38" s="42">
        <f>output!I102/SUM(output!I$102:I$104)</f>
        <v>0.84507926542144085</v>
      </c>
      <c r="U38" s="42">
        <f>output!J102/SUM(output!J$102:J$104)</f>
        <v>0.86959728913579681</v>
      </c>
      <c r="W38" s="18">
        <v>1</v>
      </c>
      <c r="X38" s="12">
        <f t="shared" ref="X38:AF41" si="11">M38-B38</f>
        <v>4.5364532750944209E-2</v>
      </c>
      <c r="Y38" s="12">
        <f t="shared" si="11"/>
        <v>-2.2796372898087336E-2</v>
      </c>
      <c r="Z38" s="12">
        <f t="shared" si="11"/>
        <v>-1.2672653965626779E-2</v>
      </c>
      <c r="AA38" s="12">
        <f t="shared" si="11"/>
        <v>6.9891467300193022E-2</v>
      </c>
      <c r="AB38" s="12">
        <f t="shared" si="11"/>
        <v>-9.899055682188207E-2</v>
      </c>
      <c r="AC38" s="12">
        <f t="shared" si="11"/>
        <v>-7.9971691436659609E-2</v>
      </c>
      <c r="AD38" s="12">
        <f t="shared" si="11"/>
        <v>2.0577742457694725E-3</v>
      </c>
      <c r="AE38" s="12">
        <f t="shared" si="11"/>
        <v>0.13833237996328784</v>
      </c>
      <c r="AF38" s="12">
        <f t="shared" si="11"/>
        <v>3.6100241889784002E-2</v>
      </c>
    </row>
    <row r="39" spans="1:32" x14ac:dyDescent="0.2">
      <c r="A39" s="18">
        <v>2</v>
      </c>
      <c r="B39" s="12">
        <f>output_NHTS!B103/SUM(output_NHTS!B$102:B$104)</f>
        <v>0.11305427265543688</v>
      </c>
      <c r="C39" s="12">
        <f>output_NHTS!C103/SUM(output_NHTS!C$102:C$104)</f>
        <v>0.11902656209763944</v>
      </c>
      <c r="D39" s="12">
        <f>output_NHTS!D103/SUM(output_NHTS!D$102:D$104)</f>
        <v>0.13217930843167999</v>
      </c>
      <c r="E39" s="12">
        <f>output_NHTS!E103/SUM(output_NHTS!E$102:E$104)</f>
        <v>0.22955167072329233</v>
      </c>
      <c r="F39" s="12">
        <f>output_NHTS!F103/SUM(output_NHTS!F$102:F$104)</f>
        <v>0</v>
      </c>
      <c r="G39" s="12">
        <f>output_NHTS!G103/SUM(output_NHTS!G$102:G$104)</f>
        <v>0</v>
      </c>
      <c r="H39" s="12">
        <f>output_NHTS!H103/SUM(output_NHTS!H$102:H$104)</f>
        <v>0.10683953814321506</v>
      </c>
      <c r="I39" s="12">
        <f>output_NHTS!I103/SUM(output_NHTS!I$102:I$104)</f>
        <v>0.10592454072940098</v>
      </c>
      <c r="J39" s="12">
        <f>output_NHTS!J103/SUM(output_NHTS!J$102:J$104)</f>
        <v>0.14075058589518205</v>
      </c>
      <c r="L39" s="48">
        <v>2</v>
      </c>
      <c r="M39" s="42">
        <f>output!B103/SUM(output!B$102:B$104)</f>
        <v>5.8973526820900367E-2</v>
      </c>
      <c r="N39" s="42">
        <f>output!C103/SUM(output!C$102:C$104)</f>
        <v>0.12211552963651903</v>
      </c>
      <c r="O39" s="42">
        <f>output!D103/SUM(output!D$102:D$104)</f>
        <v>0.1488248945837283</v>
      </c>
      <c r="P39" s="42">
        <f>output!E103/SUM(output!E$102:E$104)</f>
        <v>0.14809419762078174</v>
      </c>
      <c r="Q39" s="42">
        <f>output!F103/SUM(output!F$102:F$104)</f>
        <v>8.4337349397590355E-2</v>
      </c>
      <c r="R39" s="42">
        <f>output!G103/SUM(output!G$102:G$104)</f>
        <v>6.8648266100495403E-2</v>
      </c>
      <c r="S39" s="42">
        <f>output!H103/SUM(output!H$102:H$104)</f>
        <v>9.0611819345054731E-2</v>
      </c>
      <c r="T39" s="42">
        <f>output!I103/SUM(output!I$102:I$104)</f>
        <v>0.13408413121958876</v>
      </c>
      <c r="U39" s="42">
        <f>output!J103/SUM(output!J$102:J$104)</f>
        <v>0.11226689103524584</v>
      </c>
      <c r="W39" s="18">
        <v>2</v>
      </c>
      <c r="X39" s="12">
        <f t="shared" si="11"/>
        <v>-5.4080745834536516E-2</v>
      </c>
      <c r="Y39" s="12">
        <f t="shared" si="11"/>
        <v>3.0889675388795917E-3</v>
      </c>
      <c r="Z39" s="12">
        <f t="shared" si="11"/>
        <v>1.6645586152048308E-2</v>
      </c>
      <c r="AA39" s="12">
        <f t="shared" si="11"/>
        <v>-8.1457473102510586E-2</v>
      </c>
      <c r="AB39" s="12">
        <f t="shared" si="11"/>
        <v>8.4337349397590355E-2</v>
      </c>
      <c r="AC39" s="12">
        <f t="shared" si="11"/>
        <v>6.8648266100495403E-2</v>
      </c>
      <c r="AD39" s="12">
        <f t="shared" si="11"/>
        <v>-1.6227718798160332E-2</v>
      </c>
      <c r="AE39" s="12">
        <f t="shared" si="11"/>
        <v>2.8159590490187777E-2</v>
      </c>
      <c r="AF39" s="12">
        <f t="shared" si="11"/>
        <v>-2.8483694859936209E-2</v>
      </c>
    </row>
    <row r="40" spans="1:32" x14ac:dyDescent="0.2">
      <c r="A40" s="23" t="s">
        <v>116</v>
      </c>
      <c r="B40" s="12">
        <f>output_NHTS!B104/SUM(output_NHTS!B$102:B$104)</f>
        <v>0</v>
      </c>
      <c r="C40" s="12">
        <f>output_NHTS!C104/SUM(output_NHTS!C$102:C$104)</f>
        <v>0</v>
      </c>
      <c r="D40" s="12">
        <f>output_NHTS!D104/SUM(output_NHTS!D$102:D$104)</f>
        <v>2.9599709553793253E-2</v>
      </c>
      <c r="E40" s="12">
        <f>output_NHTS!E104/SUM(output_NHTS!E$102:E$104)</f>
        <v>1.2850461440078204E-2</v>
      </c>
      <c r="F40" s="12">
        <f>output_NHTS!F104/SUM(output_NHTS!F$102:F$104)</f>
        <v>0</v>
      </c>
      <c r="G40" s="12">
        <f>output_NHTS!G104/SUM(output_NHTS!G$102:G$104)</f>
        <v>0</v>
      </c>
      <c r="H40" s="12">
        <f>output_NHTS!H104/SUM(output_NHTS!H$102:H$104)</f>
        <v>0</v>
      </c>
      <c r="I40" s="12">
        <f>output_NHTS!I104/SUM(output_NHTS!I$102:I$104)</f>
        <v>0.18732857381244605</v>
      </c>
      <c r="J40" s="12">
        <f>output_NHTS!J104/SUM(output_NHTS!J$102:J$104)</f>
        <v>2.5752366858805161E-2</v>
      </c>
      <c r="L40" s="49" t="s">
        <v>116</v>
      </c>
      <c r="M40" s="43">
        <f>output!B104/SUM(output!B$102:B$104)</f>
        <v>8.7162130835921926E-3</v>
      </c>
      <c r="N40" s="43">
        <f>output!C104/SUM(output!C$102:C$104)</f>
        <v>1.9707405359207682E-2</v>
      </c>
      <c r="O40" s="43">
        <f>output!D104/SUM(output!D$102:D$104)</f>
        <v>2.5626777367371623E-2</v>
      </c>
      <c r="P40" s="43">
        <f>output!E104/SUM(output!E$102:E$104)</f>
        <v>2.4416467242395865E-2</v>
      </c>
      <c r="Q40" s="43">
        <f>output!F104/SUM(output!F$102:F$104)</f>
        <v>1.4653207424291761E-2</v>
      </c>
      <c r="R40" s="43">
        <f>output!G104/SUM(output!G$102:G$104)</f>
        <v>1.132342533616419E-2</v>
      </c>
      <c r="S40" s="43">
        <f>output!H104/SUM(output!H$102:H$104)</f>
        <v>1.4169944552390882E-2</v>
      </c>
      <c r="T40" s="43">
        <f>output!I104/SUM(output!I$102:I$104)</f>
        <v>2.0836603358970335E-2</v>
      </c>
      <c r="U40" s="43">
        <f>output!J104/SUM(output!J$102:J$104)</f>
        <v>1.8135819828957379E-2</v>
      </c>
      <c r="W40" s="23" t="s">
        <v>116</v>
      </c>
      <c r="X40" s="12">
        <f t="shared" si="11"/>
        <v>8.7162130835921926E-3</v>
      </c>
      <c r="Y40" s="12">
        <f t="shared" si="11"/>
        <v>1.9707405359207682E-2</v>
      </c>
      <c r="Z40" s="12">
        <f t="shared" si="11"/>
        <v>-3.9729321864216301E-3</v>
      </c>
      <c r="AA40" s="12">
        <f t="shared" si="11"/>
        <v>1.1566005802317661E-2</v>
      </c>
      <c r="AB40" s="12">
        <f t="shared" si="11"/>
        <v>1.4653207424291761E-2</v>
      </c>
      <c r="AC40" s="12">
        <f t="shared" si="11"/>
        <v>1.132342533616419E-2</v>
      </c>
      <c r="AD40" s="12">
        <f t="shared" si="11"/>
        <v>1.4169944552390882E-2</v>
      </c>
      <c r="AE40" s="12">
        <f t="shared" si="11"/>
        <v>-0.16649197045347572</v>
      </c>
      <c r="AF40" s="12">
        <f t="shared" si="11"/>
        <v>-7.6165470298477818E-3</v>
      </c>
    </row>
    <row r="41" spans="1:32" ht="13.5" thickBot="1" x14ac:dyDescent="0.25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1.0000000000000002</v>
      </c>
      <c r="E41" s="51">
        <f t="shared" si="12"/>
        <v>0.99999999999999989</v>
      </c>
      <c r="F41" s="51">
        <f t="shared" si="12"/>
        <v>1</v>
      </c>
      <c r="G41" s="51">
        <f t="shared" si="12"/>
        <v>1</v>
      </c>
      <c r="H41" s="51">
        <f t="shared" si="12"/>
        <v>1</v>
      </c>
      <c r="I41" s="51">
        <f t="shared" si="12"/>
        <v>1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1</v>
      </c>
      <c r="P41" s="51">
        <f t="shared" si="13"/>
        <v>1</v>
      </c>
      <c r="Q41" s="51">
        <f t="shared" si="13"/>
        <v>1</v>
      </c>
      <c r="R41" s="51">
        <f t="shared" si="13"/>
        <v>0.99999999999999989</v>
      </c>
      <c r="S41" s="51">
        <f t="shared" si="13"/>
        <v>0.99999999999999989</v>
      </c>
      <c r="T41" s="51">
        <f t="shared" si="13"/>
        <v>0.99999999999999989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0.92815255212904402</v>
      </c>
      <c r="C49" s="12">
        <f>output_NHTS!C109/SUM(output_NHTS!C$109:C$111)</f>
        <v>0.98770490881901218</v>
      </c>
      <c r="D49" s="12">
        <f>output_NHTS!D109/SUM(output_NHTS!D$109:D$111)</f>
        <v>0.97863721388735736</v>
      </c>
      <c r="E49" s="12">
        <f>output_NHTS!E109/SUM(output_NHTS!E$109:E$111)</f>
        <v>0.922664357044503</v>
      </c>
      <c r="F49" s="12">
        <f>output_NHTS!F109/SUM(output_NHTS!F$109:F$111)</f>
        <v>1</v>
      </c>
      <c r="G49" s="12" t="e">
        <f>output_NHTS!G109/SUM(output_NHTS!G$109:G$111)</f>
        <v>#DIV/0!</v>
      </c>
      <c r="H49" s="12">
        <f>output_NHTS!H109/SUM(output_NHTS!H$109:H$111)</f>
        <v>1</v>
      </c>
      <c r="I49" s="12">
        <f>output_NHTS!I109/SUM(output_NHTS!I$109:I$111)</f>
        <v>1</v>
      </c>
      <c r="J49" s="12">
        <f>output_NHTS!J109/SUM(output_NHTS!J$109:J$111)</f>
        <v>0.95910950639715564</v>
      </c>
      <c r="L49" s="48">
        <v>1</v>
      </c>
      <c r="M49" s="42">
        <f>output!B109/SUM(output!B$109:B$111)</f>
        <v>0.93228368679945162</v>
      </c>
      <c r="N49" s="42">
        <f>output!C109/SUM(output!C$109:C$111)</f>
        <v>0.91126813406703355</v>
      </c>
      <c r="O49" s="42">
        <f>output!D109/SUM(output!D$109:D$111)</f>
        <v>0.89986724061632539</v>
      </c>
      <c r="P49" s="42">
        <f>output!E109/SUM(output!E$109:E$111)</f>
        <v>0.87826032304694868</v>
      </c>
      <c r="Q49" s="42">
        <f>output!F109/SUM(output!F$109:F$111)</f>
        <v>0.91799881586737719</v>
      </c>
      <c r="R49" s="42">
        <f>output!G109/SUM(output!G$109:G$111)</f>
        <v>0.9007633587786259</v>
      </c>
      <c r="S49" s="42">
        <f>output!H109/SUM(output!H$109:H$111)</f>
        <v>0.76103050044418119</v>
      </c>
      <c r="T49" s="42">
        <f>output!I109/SUM(output!I$109:I$111)</f>
        <v>0.88705478025411377</v>
      </c>
      <c r="U49" s="42">
        <f>output!J109/SUM(output!J$109:J$111)</f>
        <v>0.9028911301445901</v>
      </c>
      <c r="W49" s="18">
        <v>1</v>
      </c>
      <c r="X49" s="12">
        <f t="shared" ref="X49:AF52" si="14">M49-B49</f>
        <v>4.1311346704075991E-3</v>
      </c>
      <c r="Y49" s="12">
        <f t="shared" si="14"/>
        <v>-7.6436774751978631E-2</v>
      </c>
      <c r="Z49" s="12">
        <f t="shared" si="14"/>
        <v>-7.8769973271031968E-2</v>
      </c>
      <c r="AA49" s="12">
        <f t="shared" si="14"/>
        <v>-4.4404033997554326E-2</v>
      </c>
      <c r="AB49" s="12">
        <f t="shared" si="14"/>
        <v>-8.2001184132622806E-2</v>
      </c>
      <c r="AC49" s="12" t="e">
        <f t="shared" si="14"/>
        <v>#DIV/0!</v>
      </c>
      <c r="AD49" s="12">
        <f t="shared" si="14"/>
        <v>-0.23896949955581881</v>
      </c>
      <c r="AE49" s="12">
        <f t="shared" si="14"/>
        <v>-0.11294521974588623</v>
      </c>
      <c r="AF49" s="12">
        <f t="shared" si="14"/>
        <v>-5.6218376252565538E-2</v>
      </c>
    </row>
    <row r="50" spans="1:32" x14ac:dyDescent="0.2">
      <c r="A50" s="18">
        <v>2</v>
      </c>
      <c r="B50" s="12">
        <f>output_NHTS!B110/SUM(output_NHTS!B$109:B$111)</f>
        <v>7.1847447870955997E-2</v>
      </c>
      <c r="C50" s="12">
        <f>output_NHTS!C110/SUM(output_NHTS!C$109:C$111)</f>
        <v>1.2295091180987856E-2</v>
      </c>
      <c r="D50" s="12">
        <f>output_NHTS!D110/SUM(output_NHTS!D$109:D$111)</f>
        <v>2.1362786112642553E-2</v>
      </c>
      <c r="E50" s="12">
        <f>output_NHTS!E110/SUM(output_NHTS!E$109:E$111)</f>
        <v>7.4932734074651106E-2</v>
      </c>
      <c r="F50" s="12">
        <f>output_NHTS!F110/SUM(output_NHTS!F$109:F$111)</f>
        <v>0</v>
      </c>
      <c r="G50" s="12" t="e">
        <f>output_NHTS!G110/SUM(output_NHTS!G$109:G$111)</f>
        <v>#DIV/0!</v>
      </c>
      <c r="H50" s="12">
        <f>output_NHTS!H110/SUM(output_NHTS!H$109:H$111)</f>
        <v>0</v>
      </c>
      <c r="I50" s="12">
        <f>output_NHTS!I110/SUM(output_NHTS!I$109:I$111)</f>
        <v>0</v>
      </c>
      <c r="J50" s="12">
        <f>output_NHTS!J110/SUM(output_NHTS!J$109:J$111)</f>
        <v>4.0202807281110566E-2</v>
      </c>
      <c r="L50" s="48">
        <v>2</v>
      </c>
      <c r="M50" s="42">
        <f>output!B110/SUM(output!B$109:B$111)</f>
        <v>5.6406741391823237E-2</v>
      </c>
      <c r="N50" s="42">
        <f>output!C110/SUM(output!C$109:C$111)</f>
        <v>7.7538769384692341E-2</v>
      </c>
      <c r="O50" s="42">
        <f>output!D110/SUM(output!D$109:D$111)</f>
        <v>9.0477531480065973E-2</v>
      </c>
      <c r="P50" s="42">
        <f>output!E110/SUM(output!E$109:E$111)</f>
        <v>0.10734711834579851</v>
      </c>
      <c r="Q50" s="42">
        <f>output!F110/SUM(output!F$109:F$111)</f>
        <v>6.5423327412670221E-2</v>
      </c>
      <c r="R50" s="42">
        <f>output!G110/SUM(output!G$109:G$111)</f>
        <v>7.6335877862595422E-2</v>
      </c>
      <c r="S50" s="42">
        <f>output!H110/SUM(output!H$109:H$111)</f>
        <v>5.6559076103050047E-2</v>
      </c>
      <c r="T50" s="42">
        <f>output!I110/SUM(output!I$109:I$111)</f>
        <v>7.3995001041449696E-2</v>
      </c>
      <c r="U50" s="42">
        <f>output!J110/SUM(output!J$109:J$111)</f>
        <v>7.7818969635395988E-2</v>
      </c>
      <c r="W50" s="18">
        <v>2</v>
      </c>
      <c r="X50" s="12">
        <f t="shared" si="14"/>
        <v>-1.544070647913276E-2</v>
      </c>
      <c r="Y50" s="12">
        <f t="shared" si="14"/>
        <v>6.5243678203704483E-2</v>
      </c>
      <c r="Z50" s="12">
        <f t="shared" si="14"/>
        <v>6.9114745367423416E-2</v>
      </c>
      <c r="AA50" s="12">
        <f t="shared" si="14"/>
        <v>3.2414384271147401E-2</v>
      </c>
      <c r="AB50" s="12">
        <f t="shared" si="14"/>
        <v>6.5423327412670221E-2</v>
      </c>
      <c r="AC50" s="12" t="e">
        <f t="shared" si="14"/>
        <v>#DIV/0!</v>
      </c>
      <c r="AD50" s="12">
        <f t="shared" si="14"/>
        <v>5.6559076103050047E-2</v>
      </c>
      <c r="AE50" s="12">
        <f t="shared" si="14"/>
        <v>7.3995001041449696E-2</v>
      </c>
      <c r="AF50" s="12">
        <f t="shared" si="14"/>
        <v>3.7616162354285422E-2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2.4029088808458607E-3</v>
      </c>
      <c r="F51" s="12">
        <f>output_NHTS!F111/SUM(output_NHTS!F$109:F$111)</f>
        <v>0</v>
      </c>
      <c r="G51" s="12" t="e">
        <f>output_NHTS!G111/SUM(output_NHTS!G$109:G$111)</f>
        <v>#DIV/0!</v>
      </c>
      <c r="H51" s="12">
        <f>output_NHTS!H111/SUM(output_NHTS!H$109:H$111)</f>
        <v>0</v>
      </c>
      <c r="I51" s="12">
        <f>output_NHTS!I111/SUM(output_NHTS!I$109:I$111)</f>
        <v>0</v>
      </c>
      <c r="J51" s="12">
        <f>output_NHTS!J111/SUM(output_NHTS!J$109:J$111)</f>
        <v>6.8768632173392321E-4</v>
      </c>
      <c r="L51" s="49" t="s">
        <v>116</v>
      </c>
      <c r="M51" s="43">
        <f>output!B111/SUM(output!B$109:B$111)</f>
        <v>1.1309571808725103E-2</v>
      </c>
      <c r="N51" s="43">
        <f>output!C111/SUM(output!C$109:C$111)</f>
        <v>1.1193096548274137E-2</v>
      </c>
      <c r="O51" s="43">
        <f>output!D111/SUM(output!D$109:D$111)</f>
        <v>9.6552279036086416E-3</v>
      </c>
      <c r="P51" s="43">
        <f>output!E111/SUM(output!E$109:E$111)</f>
        <v>1.4392558607252843E-2</v>
      </c>
      <c r="Q51" s="43">
        <f>output!F111/SUM(output!F$109:F$111)</f>
        <v>1.6577856719952634E-2</v>
      </c>
      <c r="R51" s="43">
        <f>output!G111/SUM(output!G$109:G$111)</f>
        <v>2.2900763358778626E-2</v>
      </c>
      <c r="S51" s="43">
        <f>output!H111/SUM(output!H$109:H$111)</f>
        <v>0.18241042345276873</v>
      </c>
      <c r="T51" s="43">
        <f>output!I111/SUM(output!I$109:I$111)</f>
        <v>3.8950218704436573E-2</v>
      </c>
      <c r="U51" s="43">
        <f>output!J111/SUM(output!J$109:J$111)</f>
        <v>1.928990022001386E-2</v>
      </c>
      <c r="W51" s="23" t="s">
        <v>116</v>
      </c>
      <c r="X51" s="12">
        <f t="shared" si="14"/>
        <v>1.1309571808725103E-2</v>
      </c>
      <c r="Y51" s="12">
        <f t="shared" si="14"/>
        <v>1.1193096548274137E-2</v>
      </c>
      <c r="Z51" s="12">
        <f t="shared" si="14"/>
        <v>9.6552279036086416E-3</v>
      </c>
      <c r="AA51" s="12">
        <f t="shared" si="14"/>
        <v>1.1989649726406983E-2</v>
      </c>
      <c r="AB51" s="12">
        <f t="shared" si="14"/>
        <v>1.6577856719952634E-2</v>
      </c>
      <c r="AC51" s="12" t="e">
        <f t="shared" si="14"/>
        <v>#DIV/0!</v>
      </c>
      <c r="AD51" s="12">
        <f t="shared" si="14"/>
        <v>0.18241042345276873</v>
      </c>
      <c r="AE51" s="12">
        <f t="shared" si="14"/>
        <v>3.8950218704436573E-2</v>
      </c>
      <c r="AF51" s="12">
        <f t="shared" si="14"/>
        <v>1.8602213898279936E-2</v>
      </c>
    </row>
    <row r="52" spans="1:32" ht="13.5" thickBot="1" x14ac:dyDescent="0.25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0.99999999999999989</v>
      </c>
      <c r="E52" s="51">
        <f t="shared" si="15"/>
        <v>0.99999999999999989</v>
      </c>
      <c r="F52" s="51">
        <f t="shared" si="15"/>
        <v>1</v>
      </c>
      <c r="G52" s="51" t="e">
        <f t="shared" si="15"/>
        <v>#DIV/0!</v>
      </c>
      <c r="H52" s="51">
        <f t="shared" si="15"/>
        <v>1</v>
      </c>
      <c r="I52" s="51">
        <f t="shared" si="15"/>
        <v>1</v>
      </c>
      <c r="J52" s="51">
        <f t="shared" si="15"/>
        <v>1.0000000000000002</v>
      </c>
      <c r="L52" s="50" t="s">
        <v>221</v>
      </c>
      <c r="M52" s="51">
        <f>SUM(M49:M51)</f>
        <v>0.99999999999999989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0.99999999999999989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 t="e">
        <f t="shared" si="14"/>
        <v>#DIV/0!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0.98169893692594179</v>
      </c>
      <c r="C60" s="12">
        <f>output_NHTS!C116/SUM(output_NHTS!C$116:C$118)</f>
        <v>0.85986484761267723</v>
      </c>
      <c r="D60" s="12">
        <f>output_NHTS!D116/SUM(output_NHTS!D$116:D$118)</f>
        <v>0.73745860703411381</v>
      </c>
      <c r="E60" s="12">
        <f>output_NHTS!E116/SUM(output_NHTS!E$116:E$118)</f>
        <v>0.91905617412567808</v>
      </c>
      <c r="F60" s="12">
        <f>output_NHTS!F116/SUM(output_NHTS!F$116:F$118)</f>
        <v>1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0.91370578229327981</v>
      </c>
      <c r="L60" s="48">
        <v>1</v>
      </c>
      <c r="M60" s="42">
        <f>output!B116/SUM(output!B$116:B$118)</f>
        <v>0.9897939681204847</v>
      </c>
      <c r="N60" s="42">
        <f>output!C116/SUM(output!C$116:C$118)</f>
        <v>0.94092949181989283</v>
      </c>
      <c r="O60" s="42">
        <f>output!D116/SUM(output!D$116:D$118)</f>
        <v>0.89976934367791994</v>
      </c>
      <c r="P60" s="42">
        <f>output!E116/SUM(output!E$116:E$118)</f>
        <v>0.95325169617739536</v>
      </c>
      <c r="Q60" s="42">
        <f>output!F116/SUM(output!F$116:F$118)</f>
        <v>0.98849424712356182</v>
      </c>
      <c r="R60" s="42">
        <f>output!G116/SUM(output!G$116:G$118)</f>
        <v>0.9880239520958084</v>
      </c>
      <c r="S60" s="42">
        <f>output!H116/SUM(output!H$116:H$118)</f>
        <v>0.99881188118811881</v>
      </c>
      <c r="T60" s="42">
        <f>output!I116/SUM(output!I$116:I$118)</f>
        <v>0.99629477151090984</v>
      </c>
      <c r="U60" s="42">
        <f>output!J116/SUM(output!J$116:J$118)</f>
        <v>0.96808570464514676</v>
      </c>
      <c r="W60" s="18">
        <v>1</v>
      </c>
      <c r="X60" s="12">
        <f t="shared" ref="X60:AF63" si="17">M60-B60</f>
        <v>8.0950311945429121E-3</v>
      </c>
      <c r="Y60" s="12">
        <f t="shared" si="17"/>
        <v>8.1064644207215597E-2</v>
      </c>
      <c r="Z60" s="12">
        <f t="shared" si="17"/>
        <v>0.16231073664380613</v>
      </c>
      <c r="AA60" s="12">
        <f t="shared" si="17"/>
        <v>3.4195522051717275E-2</v>
      </c>
      <c r="AB60" s="12">
        <f t="shared" si="17"/>
        <v>-1.150575287643818E-2</v>
      </c>
      <c r="AC60" s="12" t="e">
        <f t="shared" si="17"/>
        <v>#DIV/0!</v>
      </c>
      <c r="AD60" s="12">
        <f t="shared" si="17"/>
        <v>-1.1881188118811892E-3</v>
      </c>
      <c r="AE60" s="12">
        <f t="shared" si="17"/>
        <v>-3.7052284890901621E-3</v>
      </c>
      <c r="AF60" s="12">
        <f t="shared" si="17"/>
        <v>5.4379922351866949E-2</v>
      </c>
    </row>
    <row r="61" spans="1:32" x14ac:dyDescent="0.2">
      <c r="A61" s="18">
        <v>2</v>
      </c>
      <c r="B61" s="12">
        <f>output_NHTS!B117/SUM(output_NHTS!B$116:B$118)</f>
        <v>1.8301063074058301E-2</v>
      </c>
      <c r="C61" s="12">
        <f>output_NHTS!C117/SUM(output_NHTS!C$116:C$118)</f>
        <v>0.14013515238732269</v>
      </c>
      <c r="D61" s="12">
        <f>output_NHTS!D117/SUM(output_NHTS!D$116:D$118)</f>
        <v>0.26254139296588624</v>
      </c>
      <c r="E61" s="12">
        <f>output_NHTS!E117/SUM(output_NHTS!E$116:E$118)</f>
        <v>8.0943825874321793E-2</v>
      </c>
      <c r="F61" s="12">
        <f>output_NHTS!F117/SUM(output_NHTS!F$116:F$118)</f>
        <v>0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8.6294217706720092E-2</v>
      </c>
      <c r="L61" s="48">
        <v>2</v>
      </c>
      <c r="M61" s="42">
        <f>output!B117/SUM(output!B$116:B$118)</f>
        <v>1.0206031879515309E-2</v>
      </c>
      <c r="N61" s="42">
        <f>output!C117/SUM(output!C$116:C$118)</f>
        <v>5.9070508180107138E-2</v>
      </c>
      <c r="O61" s="42">
        <f>output!D117/SUM(output!D$116:D$118)</f>
        <v>0.1002306563220801</v>
      </c>
      <c r="P61" s="42">
        <f>output!E117/SUM(output!E$116:E$118)</f>
        <v>4.674830382260467E-2</v>
      </c>
      <c r="Q61" s="42">
        <f>output!F117/SUM(output!F$116:F$118)</f>
        <v>1.150575287643822E-2</v>
      </c>
      <c r="R61" s="42">
        <f>output!G117/SUM(output!G$116:G$118)</f>
        <v>1.1976047904191617E-2</v>
      </c>
      <c r="S61" s="42">
        <f>output!H117/SUM(output!H$116:H$118)</f>
        <v>1.1881188118811881E-3</v>
      </c>
      <c r="T61" s="42">
        <f>output!I117/SUM(output!I$116:I$118)</f>
        <v>3.7052284890901604E-3</v>
      </c>
      <c r="U61" s="42">
        <f>output!J117/SUM(output!J$116:J$118)</f>
        <v>3.1914295354853225E-2</v>
      </c>
      <c r="W61" s="18">
        <v>2</v>
      </c>
      <c r="X61" s="12">
        <f t="shared" si="17"/>
        <v>-8.0950311945429919E-3</v>
      </c>
      <c r="Y61" s="12">
        <f t="shared" si="17"/>
        <v>-8.1064644207215542E-2</v>
      </c>
      <c r="Z61" s="12">
        <f t="shared" si="17"/>
        <v>-0.16231073664380613</v>
      </c>
      <c r="AA61" s="12">
        <f t="shared" si="17"/>
        <v>-3.4195522051717123E-2</v>
      </c>
      <c r="AB61" s="12">
        <f t="shared" si="17"/>
        <v>1.150575287643822E-2</v>
      </c>
      <c r="AC61" s="12" t="e">
        <f t="shared" si="17"/>
        <v>#DIV/0!</v>
      </c>
      <c r="AD61" s="12">
        <f t="shared" si="17"/>
        <v>1.1881188118811881E-3</v>
      </c>
      <c r="AE61" s="12">
        <f t="shared" si="17"/>
        <v>3.7052284890901604E-3</v>
      </c>
      <c r="AF61" s="12">
        <f t="shared" si="17"/>
        <v>-5.4379922351866866E-2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5" thickBot="1" x14ac:dyDescent="0.25">
      <c r="A63" s="21" t="s">
        <v>221</v>
      </c>
      <c r="B63" s="51">
        <f>SUM(B60:B62)</f>
        <v>1</v>
      </c>
      <c r="C63" s="51">
        <f t="shared" ref="C63:J63" si="18">SUM(C60:C62)</f>
        <v>0.99999999999999989</v>
      </c>
      <c r="D63" s="51">
        <f t="shared" si="18"/>
        <v>1</v>
      </c>
      <c r="E63" s="51">
        <f t="shared" si="18"/>
        <v>0.99999999999999989</v>
      </c>
      <c r="F63" s="51">
        <f t="shared" si="18"/>
        <v>1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0.99999999999999989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0.89545297065516549</v>
      </c>
      <c r="C71" s="12">
        <f>output_NHTS!C123/SUM(output_NHTS!C$123:C$125)</f>
        <v>0.90321824633761993</v>
      </c>
      <c r="D71" s="12">
        <f>output_NHTS!D123/SUM(output_NHTS!D$123:D$125)</f>
        <v>0.93937222641964868</v>
      </c>
      <c r="E71" s="12">
        <f>output_NHTS!E123/SUM(output_NHTS!E$123:E$125)</f>
        <v>0.9103310271405296</v>
      </c>
      <c r="F71" s="12">
        <f>output_NHTS!F123/SUM(output_NHTS!F$123:F$125)</f>
        <v>1</v>
      </c>
      <c r="G71" s="12">
        <f>output_NHTS!G123/SUM(output_NHTS!G$123:G$125)</f>
        <v>1</v>
      </c>
      <c r="H71" s="12">
        <f>output_NHTS!H123/SUM(output_NHTS!H$123:H$125)</f>
        <v>0.97916785317478972</v>
      </c>
      <c r="I71" s="12">
        <f>output_NHTS!I123/SUM(output_NHTS!I$123:I$125)</f>
        <v>0.92975162501509623</v>
      </c>
      <c r="J71" s="12">
        <f>output_NHTS!J123/SUM(output_NHTS!J$123:J$125)</f>
        <v>0.92492167879155485</v>
      </c>
      <c r="L71" s="48">
        <v>1</v>
      </c>
      <c r="M71" s="42">
        <f>output!B123/SUM(output!B$123:B$125)</f>
        <v>0.89815035985418901</v>
      </c>
      <c r="N71" s="42">
        <f>output!C123/SUM(output!C$123:C$125)</f>
        <v>0.8738741416723641</v>
      </c>
      <c r="O71" s="42">
        <f>output!D123/SUM(output!D$123:D$125)</f>
        <v>0.83994555293648954</v>
      </c>
      <c r="P71" s="42">
        <f>output!E123/SUM(output!E$123:E$125)</f>
        <v>0.84106548279689231</v>
      </c>
      <c r="Q71" s="42">
        <f>output!F123/SUM(output!F$123:F$125)</f>
        <v>0.91244699426290843</v>
      </c>
      <c r="R71" s="42">
        <f>output!G123/SUM(output!G$123:G$125)</f>
        <v>0.90288379983036471</v>
      </c>
      <c r="S71" s="42">
        <f>output!H123/SUM(output!H$123:H$125)</f>
        <v>0.90736990729559519</v>
      </c>
      <c r="T71" s="42">
        <f>output!I123/SUM(output!I$123:I$125)</f>
        <v>0.85000754868904438</v>
      </c>
      <c r="U71" s="42">
        <f>output!J123/SUM(output!J$123:J$125)</f>
        <v>0.87806411881433311</v>
      </c>
      <c r="W71" s="18">
        <v>1</v>
      </c>
      <c r="X71" s="12">
        <f t="shared" ref="X71:AF74" si="20">M71-B71</f>
        <v>2.6973891990235144E-3</v>
      </c>
      <c r="Y71" s="12">
        <f t="shared" si="20"/>
        <v>-2.9344104665255832E-2</v>
      </c>
      <c r="Z71" s="12">
        <f t="shared" si="20"/>
        <v>-9.9426673483159145E-2</v>
      </c>
      <c r="AA71" s="12">
        <f t="shared" si="20"/>
        <v>-6.9265544343637298E-2</v>
      </c>
      <c r="AB71" s="12">
        <f t="shared" si="20"/>
        <v>-8.7553005737091572E-2</v>
      </c>
      <c r="AC71" s="12">
        <f t="shared" si="20"/>
        <v>-9.7116200169635292E-2</v>
      </c>
      <c r="AD71" s="12">
        <f t="shared" si="20"/>
        <v>-7.1797945879194525E-2</v>
      </c>
      <c r="AE71" s="12">
        <f t="shared" si="20"/>
        <v>-7.9744076326051849E-2</v>
      </c>
      <c r="AF71" s="12">
        <f t="shared" si="20"/>
        <v>-4.6857559977221741E-2</v>
      </c>
    </row>
    <row r="72" spans="1:32" x14ac:dyDescent="0.2">
      <c r="A72" s="18">
        <v>2</v>
      </c>
      <c r="B72" s="12">
        <f>output_NHTS!B124/SUM(output_NHTS!B$123:B$125)</f>
        <v>0.10000909039431249</v>
      </c>
      <c r="C72" s="12">
        <f>output_NHTS!C124/SUM(output_NHTS!C$123:C$125)</f>
        <v>9.6781753662380038E-2</v>
      </c>
      <c r="D72" s="12">
        <f>output_NHTS!D124/SUM(output_NHTS!D$123:D$125)</f>
        <v>6.0627773580351346E-2</v>
      </c>
      <c r="E72" s="12">
        <f>output_NHTS!E124/SUM(output_NHTS!E$123:E$125)</f>
        <v>8.9668972859470328E-2</v>
      </c>
      <c r="F72" s="12">
        <f>output_NHTS!F124/SUM(output_NHTS!F$123:F$125)</f>
        <v>0</v>
      </c>
      <c r="G72" s="12">
        <f>output_NHTS!G124/SUM(output_NHTS!G$123:G$125)</f>
        <v>0</v>
      </c>
      <c r="H72" s="12">
        <f>output_NHTS!H124/SUM(output_NHTS!H$123:H$125)</f>
        <v>2.0832146825210382E-2</v>
      </c>
      <c r="I72" s="12">
        <f>output_NHTS!I124/SUM(output_NHTS!I$123:I$125)</f>
        <v>7.0248374984903744E-2</v>
      </c>
      <c r="J72" s="12">
        <f>output_NHTS!J124/SUM(output_NHTS!J$123:J$125)</f>
        <v>7.3836767652209243E-2</v>
      </c>
      <c r="L72" s="48">
        <v>2</v>
      </c>
      <c r="M72" s="42">
        <f>output!B124/SUM(output!B$123:B$125)</f>
        <v>9.2783183956630558E-2</v>
      </c>
      <c r="N72" s="42">
        <f>output!C124/SUM(output!C$123:C$125)</f>
        <v>0.11390862340596296</v>
      </c>
      <c r="O72" s="42">
        <f>output!D124/SUM(output!D$123:D$125)</f>
        <v>0.14594468975133629</v>
      </c>
      <c r="P72" s="42">
        <f>output!E124/SUM(output!E$123:E$125)</f>
        <v>0.14445677642126034</v>
      </c>
      <c r="Q72" s="42">
        <f>output!F124/SUM(output!F$123:F$125)</f>
        <v>7.8822649039660769E-2</v>
      </c>
      <c r="R72" s="42">
        <f>output!G124/SUM(output!G$123:G$125)</f>
        <v>8.8846480067854117E-2</v>
      </c>
      <c r="S72" s="42">
        <f>output!H124/SUM(output!H$123:H$125)</f>
        <v>8.3805525108217066E-2</v>
      </c>
      <c r="T72" s="42">
        <f>output!I124/SUM(output!I$123:I$125)</f>
        <v>0.13552413064264507</v>
      </c>
      <c r="U72" s="42">
        <f>output!J124/SUM(output!J$123:J$125)</f>
        <v>0.11067810582634678</v>
      </c>
      <c r="W72" s="18">
        <v>2</v>
      </c>
      <c r="X72" s="12">
        <f t="shared" si="20"/>
        <v>-7.2259064376819365E-3</v>
      </c>
      <c r="Y72" s="12">
        <f t="shared" si="20"/>
        <v>1.712686974358292E-2</v>
      </c>
      <c r="Z72" s="12">
        <f t="shared" si="20"/>
        <v>8.5316916170984941E-2</v>
      </c>
      <c r="AA72" s="12">
        <f t="shared" si="20"/>
        <v>5.4787803561790013E-2</v>
      </c>
      <c r="AB72" s="12">
        <f t="shared" si="20"/>
        <v>7.8822649039660769E-2</v>
      </c>
      <c r="AC72" s="12">
        <f t="shared" si="20"/>
        <v>8.8846480067854117E-2</v>
      </c>
      <c r="AD72" s="12">
        <f t="shared" si="20"/>
        <v>6.2973378283006684E-2</v>
      </c>
      <c r="AE72" s="12">
        <f t="shared" si="20"/>
        <v>6.5275755657741324E-2</v>
      </c>
      <c r="AF72" s="12">
        <f t="shared" si="20"/>
        <v>3.6841338174137539E-2</v>
      </c>
    </row>
    <row r="73" spans="1:32" x14ac:dyDescent="0.2">
      <c r="A73" s="23" t="s">
        <v>116</v>
      </c>
      <c r="B73" s="12">
        <f>output_NHTS!B125/SUM(output_NHTS!B$123:B$125)</f>
        <v>4.537938950521965E-3</v>
      </c>
      <c r="C73" s="12">
        <f>output_NHTS!C125/SUM(output_NHTS!C$123:C$125)</f>
        <v>0</v>
      </c>
      <c r="D73" s="12">
        <f>output_NHTS!D125/SUM(output_NHTS!D$123:D$125)</f>
        <v>0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0</v>
      </c>
      <c r="I73" s="12">
        <f>output_NHTS!I125/SUM(output_NHTS!I$123:I$125)</f>
        <v>0</v>
      </c>
      <c r="J73" s="12">
        <f>output_NHTS!J125/SUM(output_NHTS!J$123:J$125)</f>
        <v>1.2415535562359365E-3</v>
      </c>
      <c r="L73" s="49" t="s">
        <v>116</v>
      </c>
      <c r="M73" s="43">
        <f>output!B125/SUM(output!B$123:B$125)</f>
        <v>9.0664561891804878E-3</v>
      </c>
      <c r="N73" s="43">
        <f>output!C125/SUM(output!C$123:C$125)</f>
        <v>1.2217234921672959E-2</v>
      </c>
      <c r="O73" s="43">
        <f>output!D125/SUM(output!D$123:D$125)</f>
        <v>1.4109757312174231E-2</v>
      </c>
      <c r="P73" s="43">
        <f>output!E125/SUM(output!E$123:E$125)</f>
        <v>1.4477740781847329E-2</v>
      </c>
      <c r="Q73" s="43">
        <f>output!F125/SUM(output!F$123:F$125)</f>
        <v>8.7303566974307814E-3</v>
      </c>
      <c r="R73" s="43">
        <f>output!G125/SUM(output!G$123:G$125)</f>
        <v>8.2697201017811698E-3</v>
      </c>
      <c r="S73" s="43">
        <f>output!H125/SUM(output!H$123:H$125)</f>
        <v>8.8245675961877868E-3</v>
      </c>
      <c r="T73" s="43">
        <f>output!I125/SUM(output!I$123:I$125)</f>
        <v>1.4468320668310603E-2</v>
      </c>
      <c r="U73" s="43">
        <f>output!J125/SUM(output!J$123:J$125)</f>
        <v>1.1257775359320167E-2</v>
      </c>
      <c r="W73" s="23" t="s">
        <v>116</v>
      </c>
      <c r="X73" s="12">
        <f t="shared" si="20"/>
        <v>4.5285172386585228E-3</v>
      </c>
      <c r="Y73" s="12">
        <f t="shared" si="20"/>
        <v>1.2217234921672959E-2</v>
      </c>
      <c r="Z73" s="12">
        <f t="shared" si="20"/>
        <v>1.4109757312174231E-2</v>
      </c>
      <c r="AA73" s="12">
        <f t="shared" si="20"/>
        <v>1.4477740781847329E-2</v>
      </c>
      <c r="AB73" s="12">
        <f t="shared" si="20"/>
        <v>8.7303566974307814E-3</v>
      </c>
      <c r="AC73" s="12">
        <f t="shared" si="20"/>
        <v>8.2697201017811698E-3</v>
      </c>
      <c r="AD73" s="12">
        <f t="shared" si="20"/>
        <v>8.8245675961877868E-3</v>
      </c>
      <c r="AE73" s="12">
        <f t="shared" si="20"/>
        <v>1.4468320668310603E-2</v>
      </c>
      <c r="AF73" s="12">
        <f t="shared" si="20"/>
        <v>1.001622180308423E-2</v>
      </c>
    </row>
    <row r="74" spans="1:32" ht="13.5" thickBot="1" x14ac:dyDescent="0.25">
      <c r="A74" s="21" t="s">
        <v>221</v>
      </c>
      <c r="B74" s="51">
        <f>SUM(B71:B73)</f>
        <v>1</v>
      </c>
      <c r="C74" s="51">
        <f t="shared" ref="C74:J74" si="21">SUM(C71:C73)</f>
        <v>1</v>
      </c>
      <c r="D74" s="51">
        <f t="shared" si="21"/>
        <v>1</v>
      </c>
      <c r="E74" s="51">
        <f t="shared" si="21"/>
        <v>0.99999999999999989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1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5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0.19019433605417946</v>
      </c>
      <c r="C5" s="12">
        <f>output_NHTS!C80/SUM(output_NHTS!C$80:C$83)</f>
        <v>0.6167945424630904</v>
      </c>
      <c r="D5" s="12">
        <f>output_NHTS!D80/SUM(output_NHTS!D$80:D$83)</f>
        <v>0.95121014410761517</v>
      </c>
      <c r="E5" s="12">
        <f>output_NHTS!E80/SUM(output_NHTS!E$80:E$83)</f>
        <v>0.96654503914843759</v>
      </c>
      <c r="F5" s="12">
        <f>output_NHTS!F80/SUM(output_NHTS!F$80:F$83)</f>
        <v>0.6895602139718584</v>
      </c>
      <c r="G5" s="12">
        <f>output_NHTS!G80/SUM(output_NHTS!G$80:G$83)</f>
        <v>1</v>
      </c>
      <c r="H5" s="12">
        <f>output_NHTS!H80/SUM(output_NHTS!H$80:H$83)</f>
        <v>0.98465408160907697</v>
      </c>
      <c r="I5" s="12">
        <f>output_NHTS!I80/SUM(output_NHTS!I$80:I$83)</f>
        <v>1</v>
      </c>
      <c r="J5" s="12">
        <f>output_NHTS!J80/SUM(output_NHTS!J$80:J$83)</f>
        <v>0.6105659330832085</v>
      </c>
      <c r="L5" s="18">
        <v>0</v>
      </c>
      <c r="M5" s="12">
        <f>output!B80/SUM(output!B$80:B$83)</f>
        <v>1.6730103219812144E-2</v>
      </c>
      <c r="N5" s="12">
        <f>output!C80/SUM(output!C$80:C$83)</f>
        <v>0.35176092508646767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0.23754102825036907</v>
      </c>
      <c r="R5" s="12">
        <f>output!G80/SUM(output!G$80:G$83)</f>
        <v>0.95865847584260333</v>
      </c>
      <c r="S5" s="28">
        <f>output!H80/SUM(output!H$80:H$83)</f>
        <v>0.99147258646238157</v>
      </c>
      <c r="T5" s="28">
        <f>output!I80/SUM(output!I$80:I$83)</f>
        <v>1</v>
      </c>
      <c r="U5" s="12">
        <f>output!J80/SUM(output!J$80:J$83)</f>
        <v>0.46506902740059264</v>
      </c>
      <c r="W5" s="18">
        <v>0</v>
      </c>
      <c r="X5" s="12">
        <f t="shared" ref="X5:AF9" si="0">M5-B5</f>
        <v>-0.17346423283436732</v>
      </c>
      <c r="Y5" s="12">
        <f t="shared" si="0"/>
        <v>-0.26503361737662273</v>
      </c>
      <c r="Z5" s="12">
        <f t="shared" si="0"/>
        <v>4.8789855892384826E-2</v>
      </c>
      <c r="AA5" s="12">
        <f t="shared" si="0"/>
        <v>3.345496085156241E-2</v>
      </c>
      <c r="AB5" s="12">
        <f t="shared" si="0"/>
        <v>-0.45201918572148936</v>
      </c>
      <c r="AC5" s="12">
        <f t="shared" si="0"/>
        <v>-4.134152415739667E-2</v>
      </c>
      <c r="AD5" s="12">
        <f t="shared" si="0"/>
        <v>6.8185048533045967E-3</v>
      </c>
      <c r="AE5" s="12">
        <f t="shared" si="0"/>
        <v>0</v>
      </c>
      <c r="AF5" s="12">
        <f t="shared" si="0"/>
        <v>-0.14549690568261586</v>
      </c>
    </row>
    <row r="6" spans="1:32" x14ac:dyDescent="0.2">
      <c r="A6" s="18">
        <v>1</v>
      </c>
      <c r="B6" s="12">
        <f>output_NHTS!B81/SUM(output_NHTS!B$80:B$83)</f>
        <v>0.79484030330962629</v>
      </c>
      <c r="C6" s="12">
        <f>output_NHTS!C81/SUM(output_NHTS!C$80:C$83)</f>
        <v>0.3589518626296021</v>
      </c>
      <c r="D6" s="12">
        <f>output_NHTS!D81/SUM(output_NHTS!D$80:D$83)</f>
        <v>4.1870632383503109E-2</v>
      </c>
      <c r="E6" s="12">
        <f>output_NHTS!E81/SUM(output_NHTS!E$80:E$83)</f>
        <v>3.3454960851562354E-2</v>
      </c>
      <c r="F6" s="12">
        <f>output_NHTS!F81/SUM(output_NHTS!F$80:F$83)</f>
        <v>0.29273593061193953</v>
      </c>
      <c r="G6" s="12">
        <f>output_NHTS!G81/SUM(output_NHTS!G$80:G$83)</f>
        <v>0</v>
      </c>
      <c r="H6" s="12">
        <f>output_NHTS!H81/SUM(output_NHTS!H$80:H$83)</f>
        <v>1.534591839092306E-2</v>
      </c>
      <c r="I6" s="12">
        <f>output_NHTS!I81/SUM(output_NHTS!I$80:I$83)</f>
        <v>0</v>
      </c>
      <c r="J6" s="12">
        <f>output_NHTS!J81/SUM(output_NHTS!J$80:J$83)</f>
        <v>0.38006463715633398</v>
      </c>
      <c r="L6" s="18">
        <v>1</v>
      </c>
      <c r="M6" s="12">
        <f>output!B81/SUM(output!B$80:B$83)</f>
        <v>0.96019148601039572</v>
      </c>
      <c r="N6" s="12">
        <f>output!C81/SUM(output!C$80:C$83)</f>
        <v>0.61768558746194946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0.73797818515386493</v>
      </c>
      <c r="R6" s="12">
        <f>output!G81/SUM(output!G$80:G$83)</f>
        <v>4.0278930765399304E-2</v>
      </c>
      <c r="S6" s="28">
        <f>output!H81/SUM(output!H$80:H$83)</f>
        <v>8.4659043252159807E-3</v>
      </c>
      <c r="T6" s="28">
        <f>output!I81/SUM(output!I$80:I$83)</f>
        <v>0</v>
      </c>
      <c r="U6" s="12">
        <f>output!J81/SUM(output!J$80:J$83)</f>
        <v>0.52058788646384235</v>
      </c>
      <c r="W6" s="18">
        <v>1</v>
      </c>
      <c r="X6" s="12">
        <f t="shared" si="0"/>
        <v>0.16535118270076943</v>
      </c>
      <c r="Y6" s="12">
        <f t="shared" si="0"/>
        <v>0.25873372483234736</v>
      </c>
      <c r="Z6" s="12">
        <f t="shared" si="0"/>
        <v>-4.1870632383503109E-2</v>
      </c>
      <c r="AA6" s="12">
        <f t="shared" si="0"/>
        <v>-3.3454960851562354E-2</v>
      </c>
      <c r="AB6" s="12">
        <f t="shared" si="0"/>
        <v>0.4452422545419254</v>
      </c>
      <c r="AC6" s="12">
        <f t="shared" si="0"/>
        <v>4.0278930765399304E-2</v>
      </c>
      <c r="AD6" s="12">
        <f t="shared" si="0"/>
        <v>-6.8800140657070789E-3</v>
      </c>
      <c r="AE6" s="12">
        <f t="shared" si="0"/>
        <v>0</v>
      </c>
      <c r="AF6" s="12">
        <f t="shared" si="0"/>
        <v>0.14052324930750837</v>
      </c>
    </row>
    <row r="7" spans="1:32" x14ac:dyDescent="0.2">
      <c r="A7" s="18">
        <v>2</v>
      </c>
      <c r="B7" s="12">
        <f>output_NHTS!B82/SUM(output_NHTS!B$80:B$83)</f>
        <v>1.3661270851912792E-2</v>
      </c>
      <c r="C7" s="12">
        <f>output_NHTS!C82/SUM(output_NHTS!C$80:C$83)</f>
        <v>2.4253594907307538E-2</v>
      </c>
      <c r="D7" s="12">
        <f>output_NHTS!D82/SUM(output_NHTS!D$80:D$83)</f>
        <v>6.9192235088816586E-3</v>
      </c>
      <c r="E7" s="12">
        <f>output_NHTS!E82/SUM(output_NHTS!E$80:E$83)</f>
        <v>0</v>
      </c>
      <c r="F7" s="12">
        <f>output_NHTS!F82/SUM(output_NHTS!F$80:F$83)</f>
        <v>1.770385541620214E-2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8.8233418932926414E-3</v>
      </c>
      <c r="L7" s="18">
        <v>2</v>
      </c>
      <c r="M7" s="12">
        <f>output!B82/SUM(output!B$80:B$83)</f>
        <v>2.2121379480850401E-2</v>
      </c>
      <c r="N7" s="12">
        <f>output!C82/SUM(output!C$80:C$83)</f>
        <v>2.928121083037254E-2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2.34488096432513E-2</v>
      </c>
      <c r="R7" s="12">
        <f>output!G82/SUM(output!G$80:G$83)</f>
        <v>9.629752614975926E-4</v>
      </c>
      <c r="S7" s="28">
        <f>output!H82/SUM(output!H$80:H$83)</f>
        <v>6.1509212402493919E-5</v>
      </c>
      <c r="T7" s="28">
        <f>output!I82/SUM(output!I$80:I$83)</f>
        <v>0</v>
      </c>
      <c r="U7" s="12">
        <f>output!J82/SUM(output!J$80:J$83)</f>
        <v>1.3745746116640594E-2</v>
      </c>
      <c r="W7" s="18">
        <v>2</v>
      </c>
      <c r="X7" s="12">
        <f t="shared" si="0"/>
        <v>8.4601086289376095E-3</v>
      </c>
      <c r="Y7" s="12">
        <f t="shared" si="0"/>
        <v>5.0276159230650021E-3</v>
      </c>
      <c r="Z7" s="12">
        <f t="shared" si="0"/>
        <v>-6.9192235088816586E-3</v>
      </c>
      <c r="AA7" s="12">
        <f t="shared" si="0"/>
        <v>0</v>
      </c>
      <c r="AB7" s="12">
        <f t="shared" si="0"/>
        <v>5.7449542270491608E-3</v>
      </c>
      <c r="AC7" s="12">
        <f t="shared" si="0"/>
        <v>9.629752614975926E-4</v>
      </c>
      <c r="AD7" s="12">
        <f t="shared" si="0"/>
        <v>6.1509212402493919E-5</v>
      </c>
      <c r="AE7" s="12">
        <f t="shared" si="0"/>
        <v>0</v>
      </c>
      <c r="AF7" s="12">
        <f t="shared" si="0"/>
        <v>4.922404223347953E-3</v>
      </c>
    </row>
    <row r="8" spans="1:32" x14ac:dyDescent="0.2">
      <c r="A8" s="23" t="s">
        <v>116</v>
      </c>
      <c r="B8" s="12">
        <f>output_NHTS!B83/SUM(output_NHTS!B$80:B$83)</f>
        <v>1.3040897842814716E-3</v>
      </c>
      <c r="C8" s="12">
        <f>output_NHTS!C83/SUM(output_NHTS!C$80:C$83)</f>
        <v>0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5.4608786716499878E-4</v>
      </c>
      <c r="L8" s="23" t="s">
        <v>116</v>
      </c>
      <c r="M8" s="13">
        <f>output!B83/SUM(output!B$80:B$83)</f>
        <v>9.5703128894170282E-4</v>
      </c>
      <c r="N8" s="13">
        <f>output!C83/SUM(output!C$80:C$83)</f>
        <v>1.272276621210265E-3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1.0319769525147272E-3</v>
      </c>
      <c r="R8" s="13">
        <f>output!G83/SUM(output!G$80:G$83)</f>
        <v>9.961813049975096E-5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5.9734001892442433E-4</v>
      </c>
      <c r="W8" s="23" t="s">
        <v>116</v>
      </c>
      <c r="X8" s="12">
        <f t="shared" si="0"/>
        <v>-3.4705849533976879E-4</v>
      </c>
      <c r="Y8" s="12">
        <f t="shared" si="0"/>
        <v>1.272276621210265E-3</v>
      </c>
      <c r="Z8" s="12">
        <f t="shared" si="0"/>
        <v>0</v>
      </c>
      <c r="AA8" s="12">
        <f t="shared" si="0"/>
        <v>0</v>
      </c>
      <c r="AB8" s="12">
        <f t="shared" si="0"/>
        <v>1.0319769525147272E-3</v>
      </c>
      <c r="AC8" s="12">
        <f t="shared" si="0"/>
        <v>9.961813049975096E-5</v>
      </c>
      <c r="AD8" s="12">
        <f t="shared" si="0"/>
        <v>0</v>
      </c>
      <c r="AE8" s="12">
        <f t="shared" si="0"/>
        <v>0</v>
      </c>
      <c r="AF8" s="12">
        <f t="shared" si="0"/>
        <v>5.1252151759425559E-5</v>
      </c>
    </row>
    <row r="9" spans="1:32" ht="13.5" thickBot="1" x14ac:dyDescent="0.25">
      <c r="A9" s="21" t="s">
        <v>221</v>
      </c>
      <c r="B9" s="14">
        <f t="shared" ref="B9:J9" si="1">SUM(B5:B8)</f>
        <v>1</v>
      </c>
      <c r="C9" s="14">
        <f t="shared" si="1"/>
        <v>1</v>
      </c>
      <c r="D9" s="14">
        <f t="shared" si="1"/>
        <v>0.99999999999999989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0.99999999999999978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0.98296516738254625</v>
      </c>
      <c r="C17" s="12">
        <f>output_NHTS!C87/SUM(output_NHTS!C$87:C$90)</f>
        <v>0.91249858171972231</v>
      </c>
      <c r="D17" s="12">
        <f>output_NHTS!D87/SUM(output_NHTS!D$87:D$90)</f>
        <v>0.98956931742541876</v>
      </c>
      <c r="E17" s="12">
        <f>output_NHTS!E87/SUM(output_NHTS!E$87:E$90)</f>
        <v>0.94637349763748024</v>
      </c>
      <c r="F17" s="12">
        <f>output_NHTS!F87/SUM(output_NHTS!F$87:F$90)</f>
        <v>0.71175390252298731</v>
      </c>
      <c r="G17" s="12">
        <f>output_NHTS!G87/SUM(output_NHTS!G$87:G$90)</f>
        <v>9.5279736372746258E-3</v>
      </c>
      <c r="H17" s="12">
        <f>output_NHTS!H87/SUM(output_NHTS!H$87:H$90)</f>
        <v>0.22519059975308647</v>
      </c>
      <c r="I17" s="12">
        <f>output_NHTS!I87/SUM(output_NHTS!I$87:I$90)</f>
        <v>0.68850586557606841</v>
      </c>
      <c r="J17" s="12">
        <f>output_NHTS!J87/SUM(output_NHTS!J$87:J$90)</f>
        <v>0.81816448866185609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0.38927030629649273</v>
      </c>
      <c r="R17" s="12">
        <f>output!G87/SUM(output!G$87:G$90)</f>
        <v>4.4396480159389011E-2</v>
      </c>
      <c r="S17" s="28">
        <f>output!H87/SUM(output!H$87:H$90)</f>
        <v>0.1527385578885565</v>
      </c>
      <c r="T17" s="28">
        <f>output!I87/SUM(output!I$87:I$90)</f>
        <v>1</v>
      </c>
      <c r="U17" s="12">
        <f>output!J87/SUM(output!J$87:J$90)</f>
        <v>0.80702627690086148</v>
      </c>
      <c r="W17" s="18">
        <v>0</v>
      </c>
      <c r="X17" s="12">
        <f t="shared" ref="X17:AF21" si="3">M17-B17</f>
        <v>1.7034832617453755E-2</v>
      </c>
      <c r="Y17" s="12">
        <f t="shared" si="3"/>
        <v>8.7501418280277687E-2</v>
      </c>
      <c r="Z17" s="12">
        <f t="shared" si="3"/>
        <v>1.043068257458124E-2</v>
      </c>
      <c r="AA17" s="12">
        <f t="shared" si="3"/>
        <v>5.3626502362519757E-2</v>
      </c>
      <c r="AB17" s="12">
        <f t="shared" si="3"/>
        <v>-0.32248359622649458</v>
      </c>
      <c r="AC17" s="12">
        <f t="shared" si="3"/>
        <v>3.4868506522114387E-2</v>
      </c>
      <c r="AD17" s="12">
        <f t="shared" si="3"/>
        <v>-7.245204186452997E-2</v>
      </c>
      <c r="AE17" s="12">
        <f t="shared" si="3"/>
        <v>0.31149413442393159</v>
      </c>
      <c r="AF17" s="12">
        <f t="shared" si="3"/>
        <v>-1.113821176099461E-2</v>
      </c>
    </row>
    <row r="18" spans="1:32" x14ac:dyDescent="0.2">
      <c r="A18" s="18">
        <v>1</v>
      </c>
      <c r="B18" s="12">
        <f>output_NHTS!B88/SUM(output_NHTS!B$87:B$90)</f>
        <v>1.7034832617453775E-2</v>
      </c>
      <c r="C18" s="12">
        <f>output_NHTS!C88/SUM(output_NHTS!C$87:C$90)</f>
        <v>8.1747516919175339E-2</v>
      </c>
      <c r="D18" s="12">
        <f>output_NHTS!D88/SUM(output_NHTS!D$87:D$90)</f>
        <v>1.0430682574581138E-2</v>
      </c>
      <c r="E18" s="12">
        <f>output_NHTS!E88/SUM(output_NHTS!E$87:E$90)</f>
        <v>5.3626502362519764E-2</v>
      </c>
      <c r="F18" s="12">
        <f>output_NHTS!F88/SUM(output_NHTS!F$87:F$90)</f>
        <v>0.28824609747701263</v>
      </c>
      <c r="G18" s="12">
        <f>output_NHTS!G88/SUM(output_NHTS!G$87:G$90)</f>
        <v>0.99047202636272536</v>
      </c>
      <c r="H18" s="12">
        <f>output_NHTS!H88/SUM(output_NHTS!H$87:H$90)</f>
        <v>0.74406469937113839</v>
      </c>
      <c r="I18" s="12">
        <f>output_NHTS!I88/SUM(output_NHTS!I$87:I$90)</f>
        <v>0.29662825568037077</v>
      </c>
      <c r="J18" s="12">
        <f>output_NHTS!J88/SUM(output_NHTS!J$87:J$90)</f>
        <v>0.17583107797662592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0.54406684917370174</v>
      </c>
      <c r="R18" s="12">
        <f>output!G88/SUM(output!G$87:G$90)</f>
        <v>0.94364934418064084</v>
      </c>
      <c r="S18" s="28">
        <f>output!H88/SUM(output!H$87:H$90)</f>
        <v>0.83398663572566889</v>
      </c>
      <c r="T18" s="28">
        <f>output!I88/SUM(output!I$87:I$90)</f>
        <v>0</v>
      </c>
      <c r="U18" s="12">
        <f>output!J88/SUM(output!J$87:J$90)</f>
        <v>0.18658045347630248</v>
      </c>
      <c r="W18" s="18">
        <v>1</v>
      </c>
      <c r="X18" s="12">
        <f t="shared" si="3"/>
        <v>-1.7034832617453775E-2</v>
      </c>
      <c r="Y18" s="12">
        <f t="shared" si="3"/>
        <v>-8.1747516919175339E-2</v>
      </c>
      <c r="Z18" s="12">
        <f t="shared" si="3"/>
        <v>-1.0430682574581138E-2</v>
      </c>
      <c r="AA18" s="12">
        <f t="shared" si="3"/>
        <v>-5.3626502362519764E-2</v>
      </c>
      <c r="AB18" s="12">
        <f t="shared" si="3"/>
        <v>0.25582075169668911</v>
      </c>
      <c r="AC18" s="12">
        <f t="shared" si="3"/>
        <v>-4.6822682182084518E-2</v>
      </c>
      <c r="AD18" s="12">
        <f t="shared" si="3"/>
        <v>8.9921936354530496E-2</v>
      </c>
      <c r="AE18" s="12">
        <f t="shared" si="3"/>
        <v>-0.29662825568037077</v>
      </c>
      <c r="AF18" s="12">
        <f t="shared" si="3"/>
        <v>1.0749375499676556E-2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5.7539013611022935E-3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0</v>
      </c>
      <c r="G19" s="12">
        <f>output_NHTS!G89/SUM(output_NHTS!G$87:G$90)</f>
        <v>0</v>
      </c>
      <c r="H19" s="12">
        <f>output_NHTS!H89/SUM(output_NHTS!H$87:H$90)</f>
        <v>3.0744700875775185E-2</v>
      </c>
      <c r="I19" s="12">
        <f>output_NHTS!I89/SUM(output_NHTS!I$87:I$90)</f>
        <v>1.4865878743560643E-2</v>
      </c>
      <c r="J19" s="12">
        <f>output_NHTS!J89/SUM(output_NHTS!J$87:J$90)</f>
        <v>6.0044333615178669E-3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5.8292364803852713E-2</v>
      </c>
      <c r="R19" s="12">
        <f>output!G89/SUM(output!G$87:G$90)</f>
        <v>1.0327079528474182E-2</v>
      </c>
      <c r="S19" s="28">
        <f>output!H89/SUM(output!H$87:H$90)</f>
        <v>1.1116392205105265E-2</v>
      </c>
      <c r="T19" s="28">
        <f>output!I89/SUM(output!I$87:I$90)</f>
        <v>0</v>
      </c>
      <c r="U19" s="12">
        <f>output!J89/SUM(output!J$87:J$90)</f>
        <v>5.5111109572070806E-3</v>
      </c>
      <c r="W19" s="18">
        <v>2</v>
      </c>
      <c r="X19" s="12">
        <f t="shared" si="3"/>
        <v>0</v>
      </c>
      <c r="Y19" s="12">
        <f t="shared" si="3"/>
        <v>-5.7539013611022935E-3</v>
      </c>
      <c r="Z19" s="12">
        <f t="shared" si="3"/>
        <v>0</v>
      </c>
      <c r="AA19" s="12">
        <f t="shared" si="3"/>
        <v>0</v>
      </c>
      <c r="AB19" s="12">
        <f t="shared" si="3"/>
        <v>5.8292364803852713E-2</v>
      </c>
      <c r="AC19" s="12">
        <f t="shared" si="3"/>
        <v>1.0327079528474182E-2</v>
      </c>
      <c r="AD19" s="12">
        <f t="shared" si="3"/>
        <v>-1.9628308670669919E-2</v>
      </c>
      <c r="AE19" s="12">
        <f t="shared" si="3"/>
        <v>-1.4865878743560643E-2</v>
      </c>
      <c r="AF19" s="12">
        <f t="shared" si="3"/>
        <v>-4.9332240431078627E-4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0</v>
      </c>
      <c r="J20" s="12">
        <f>output_NHTS!J90/SUM(output_NHTS!J$87:J$90)</f>
        <v>0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8.3704797259527876E-3</v>
      </c>
      <c r="R20" s="13">
        <f>output!G90/SUM(output!G$87:G$90)</f>
        <v>1.6270961314959322E-3</v>
      </c>
      <c r="S20" s="30">
        <f>output!H90/SUM(output!H$87:H$90)</f>
        <v>2.1584141806693319E-3</v>
      </c>
      <c r="T20" s="30">
        <f>output!I90/SUM(output!I$87:I$90)</f>
        <v>0</v>
      </c>
      <c r="U20" s="13">
        <f>output!J90/SUM(output!J$87:J$90)</f>
        <v>8.8215866562896879E-4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8.3704797259527876E-3</v>
      </c>
      <c r="AC20" s="12">
        <f t="shared" si="3"/>
        <v>1.6270961314959322E-3</v>
      </c>
      <c r="AD20" s="12">
        <f t="shared" si="3"/>
        <v>2.1584141806693319E-3</v>
      </c>
      <c r="AE20" s="12">
        <f t="shared" si="3"/>
        <v>0</v>
      </c>
      <c r="AF20" s="12">
        <f t="shared" si="3"/>
        <v>8.8215866562896879E-4</v>
      </c>
    </row>
    <row r="21" spans="1:32" ht="13.5" thickBot="1" x14ac:dyDescent="0.25">
      <c r="A21" s="21" t="s">
        <v>221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0.99999999999999989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0.99999999999999978</v>
      </c>
      <c r="J21" s="14">
        <f t="shared" si="4"/>
        <v>0.99999999999999989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1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0.92173112794304413</v>
      </c>
      <c r="C29" s="12">
        <f>output_NHTS!C94/SUM(output_NHTS!C$94:C$97)</f>
        <v>0.80625238859785631</v>
      </c>
      <c r="D29" s="12">
        <f>output_NHTS!D94/SUM(output_NHTS!D$94:D$97)</f>
        <v>0.86345902493473037</v>
      </c>
      <c r="E29" s="12">
        <f>output_NHTS!E94/SUM(output_NHTS!E$94:E$97)</f>
        <v>0.65712009619343004</v>
      </c>
      <c r="F29" s="12">
        <f>output_NHTS!F94/SUM(output_NHTS!F$94:F$97)</f>
        <v>0.82768290593813398</v>
      </c>
      <c r="G29" s="12">
        <f>output_NHTS!G94/SUM(output_NHTS!G$94:G$97)</f>
        <v>0.85834090396918084</v>
      </c>
      <c r="H29" s="12">
        <f>output_NHTS!H94/SUM(output_NHTS!H$94:H$97)</f>
        <v>0.94657203070023421</v>
      </c>
      <c r="I29" s="12">
        <f>output_NHTS!I94/SUM(output_NHTS!I$94:I$97)</f>
        <v>0.84852887864001325</v>
      </c>
      <c r="J29" s="12">
        <f>output_NHTS!J94/SUM(output_NHTS!J$94:J$97)</f>
        <v>0.86418015233364665</v>
      </c>
      <c r="L29" s="18">
        <v>0</v>
      </c>
      <c r="M29" s="12">
        <f>output!B94/SUM(output!B$94:B$97)</f>
        <v>0.86822476677346871</v>
      </c>
      <c r="N29" s="12">
        <f>output!C94/SUM(output!C$94:C$97)</f>
        <v>0.82074093620710775</v>
      </c>
      <c r="O29" s="12">
        <f>output!D94/SUM(output!D$94:D$97)</f>
        <v>0.84110675832163007</v>
      </c>
      <c r="P29" s="12">
        <f>output!E94/SUM(output!E$94:E$97)</f>
        <v>0.6598906847359518</v>
      </c>
      <c r="Q29" s="12">
        <f>output!F94/SUM(output!F$94:F$97)</f>
        <v>0.96241883931258865</v>
      </c>
      <c r="R29" s="12">
        <f>output!G94/SUM(output!G$94:G$97)</f>
        <v>0.95600199236260996</v>
      </c>
      <c r="S29" s="28">
        <f>output!H94/SUM(output!H$94:H$97)</f>
        <v>0.95349903542371461</v>
      </c>
      <c r="T29" s="28">
        <f>output!I94/SUM(output!I$94:I$97)</f>
        <v>0.73064071750981885</v>
      </c>
      <c r="U29" s="12">
        <f>output!J94/SUM(output!J$94:J$97)</f>
        <v>0.85453212260880029</v>
      </c>
      <c r="W29" s="18">
        <v>0</v>
      </c>
      <c r="X29" s="12">
        <f t="shared" ref="X29:AF33" si="6">M29-B29</f>
        <v>-5.3506361169575412E-2</v>
      </c>
      <c r="Y29" s="12">
        <f t="shared" si="6"/>
        <v>1.4488547609251445E-2</v>
      </c>
      <c r="Z29" s="12">
        <f t="shared" si="6"/>
        <v>-2.2352266613100302E-2</v>
      </c>
      <c r="AA29" s="12">
        <f t="shared" si="6"/>
        <v>2.770588542521768E-3</v>
      </c>
      <c r="AB29" s="12">
        <f t="shared" si="6"/>
        <v>0.13473593337445466</v>
      </c>
      <c r="AC29" s="12">
        <f t="shared" si="6"/>
        <v>9.766108839342913E-2</v>
      </c>
      <c r="AD29" s="12">
        <f t="shared" si="6"/>
        <v>6.9270047234804011E-3</v>
      </c>
      <c r="AE29" s="12">
        <f t="shared" si="6"/>
        <v>-0.1178881611301944</v>
      </c>
      <c r="AF29" s="12">
        <f t="shared" si="6"/>
        <v>-9.648029724846352E-3</v>
      </c>
    </row>
    <row r="30" spans="1:32" x14ac:dyDescent="0.2">
      <c r="A30" s="18">
        <v>1</v>
      </c>
      <c r="B30" s="12">
        <f>output_NHTS!B95/SUM(output_NHTS!B$94:B$97)</f>
        <v>5.9322452254889128E-2</v>
      </c>
      <c r="C30" s="12">
        <f>output_NHTS!C95/SUM(output_NHTS!C$94:C$97)</f>
        <v>0.11757748692346423</v>
      </c>
      <c r="D30" s="12">
        <f>output_NHTS!D95/SUM(output_NHTS!D$94:D$97)</f>
        <v>0.11861895518290079</v>
      </c>
      <c r="E30" s="12">
        <f>output_NHTS!E95/SUM(output_NHTS!E$94:E$97)</f>
        <v>0.20531470979225752</v>
      </c>
      <c r="F30" s="12">
        <f>output_NHTS!F95/SUM(output_NHTS!F$94:F$97)</f>
        <v>0.17231709406186602</v>
      </c>
      <c r="G30" s="12">
        <f>output_NHTS!G95/SUM(output_NHTS!G$94:G$97)</f>
        <v>0.14165909603081916</v>
      </c>
      <c r="H30" s="12">
        <f>output_NHTS!H95/SUM(output_NHTS!H$94:H$97)</f>
        <v>5.3427969299765773E-2</v>
      </c>
      <c r="I30" s="12">
        <f>output_NHTS!I95/SUM(output_NHTS!I$94:I$97)</f>
        <v>0.12555137717544787</v>
      </c>
      <c r="J30" s="12">
        <f>output_NHTS!J95/SUM(output_NHTS!J$94:J$97)</f>
        <v>9.8326694962728681E-2</v>
      </c>
      <c r="L30" s="18">
        <v>1</v>
      </c>
      <c r="M30" s="12">
        <f>output!B95/SUM(output!B$94:B$97)</f>
        <v>0.1155296270967459</v>
      </c>
      <c r="N30" s="12">
        <f>output!C95/SUM(output!C$94:C$97)</f>
        <v>0.10906709138715849</v>
      </c>
      <c r="O30" s="12">
        <f>output!D95/SUM(output!D$94:D$97)</f>
        <v>0.1132505482050903</v>
      </c>
      <c r="P30" s="12">
        <f>output!E95/SUM(output!E$94:E$97)</f>
        <v>0.17936307725401621</v>
      </c>
      <c r="Q30" s="12">
        <f>output!F95/SUM(output!F$94:F$97)</f>
        <v>3.2206280726397113E-2</v>
      </c>
      <c r="R30" s="12">
        <f>output!G95/SUM(output!G$94:G$97)</f>
        <v>3.9183131329902039E-2</v>
      </c>
      <c r="S30" s="28">
        <f>output!H95/SUM(output!H$94:H$97)</f>
        <v>4.1524310118265441E-2</v>
      </c>
      <c r="T30" s="28">
        <f>output!I95/SUM(output!I$94:I$97)</f>
        <v>0.25085878421947361</v>
      </c>
      <c r="U30" s="12">
        <f>output!J95/SUM(output!J$94:J$97)</f>
        <v>0.11193978812609241</v>
      </c>
      <c r="W30" s="18">
        <v>1</v>
      </c>
      <c r="X30" s="12">
        <f t="shared" si="6"/>
        <v>5.620717484185677E-2</v>
      </c>
      <c r="Y30" s="12">
        <f t="shared" si="6"/>
        <v>-8.5103955363057399E-3</v>
      </c>
      <c r="Z30" s="12">
        <f t="shared" si="6"/>
        <v>-5.3684069778104915E-3</v>
      </c>
      <c r="AA30" s="12">
        <f t="shared" si="6"/>
        <v>-2.5951632538241315E-2</v>
      </c>
      <c r="AB30" s="12">
        <f t="shared" si="6"/>
        <v>-0.1401108133354689</v>
      </c>
      <c r="AC30" s="12">
        <f t="shared" si="6"/>
        <v>-0.10247596470091713</v>
      </c>
      <c r="AD30" s="12">
        <f t="shared" si="6"/>
        <v>-1.1903659181500333E-2</v>
      </c>
      <c r="AE30" s="12">
        <f t="shared" si="6"/>
        <v>0.12530740704402574</v>
      </c>
      <c r="AF30" s="12">
        <f t="shared" si="6"/>
        <v>1.3613093163363732E-2</v>
      </c>
    </row>
    <row r="31" spans="1:32" x14ac:dyDescent="0.2">
      <c r="A31" s="18">
        <v>2</v>
      </c>
      <c r="B31" s="12">
        <f>output_NHTS!B96/SUM(output_NHTS!B$94:B$97)</f>
        <v>1.2286685845516449E-2</v>
      </c>
      <c r="C31" s="12">
        <f>output_NHTS!C96/SUM(output_NHTS!C$94:C$97)</f>
        <v>4.0417561532984932E-2</v>
      </c>
      <c r="D31" s="12">
        <f>output_NHTS!D96/SUM(output_NHTS!D$94:D$97)</f>
        <v>1.7922019882368904E-2</v>
      </c>
      <c r="E31" s="12">
        <f>output_NHTS!E96/SUM(output_NHTS!E$94:E$97)</f>
        <v>8.5836647247541462E-2</v>
      </c>
      <c r="F31" s="12">
        <f>output_NHTS!F96/SUM(output_NHTS!F$94:F$97)</f>
        <v>0</v>
      </c>
      <c r="G31" s="12">
        <f>output_NHTS!G96/SUM(output_NHTS!G$94:G$97)</f>
        <v>0</v>
      </c>
      <c r="H31" s="12">
        <f>output_NHTS!H96/SUM(output_NHTS!H$94:H$97)</f>
        <v>0</v>
      </c>
      <c r="I31" s="12">
        <f>output_NHTS!I96/SUM(output_NHTS!I$94:I$97)</f>
        <v>2.5919744184538931E-2</v>
      </c>
      <c r="J31" s="12">
        <f>output_NHTS!J96/SUM(output_NHTS!J$94:J$97)</f>
        <v>2.4354729038192347E-2</v>
      </c>
      <c r="L31" s="18">
        <v>2</v>
      </c>
      <c r="M31" s="12">
        <f>output!B96/SUM(output!B$94:B$97)</f>
        <v>1.400655167669888E-2</v>
      </c>
      <c r="N31" s="12">
        <f>output!C96/SUM(output!C$94:C$97)</f>
        <v>6.007972933492918E-2</v>
      </c>
      <c r="O31" s="12">
        <f>output!D96/SUM(output!D$94:D$97)</f>
        <v>3.9051913174169069E-2</v>
      </c>
      <c r="P31" s="12">
        <f>output!E96/SUM(output!E$94:E$97)</f>
        <v>0.13851163063565164</v>
      </c>
      <c r="Q31" s="12">
        <f>output!F96/SUM(output!F$94:F$97)</f>
        <v>4.7442273789218706E-3</v>
      </c>
      <c r="R31" s="12">
        <f>output!G96/SUM(output!G$94:G$97)</f>
        <v>4.2835796114892907E-3</v>
      </c>
      <c r="S31" s="28">
        <f>output!H96/SUM(output!H$94:H$97)</f>
        <v>4.0763832583107333E-3</v>
      </c>
      <c r="T31" s="28">
        <f>output!I96/SUM(output!I$94:I$97)</f>
        <v>1.552259804208922E-2</v>
      </c>
      <c r="U31" s="12">
        <f>output!J96/SUM(output!J$94:J$97)</f>
        <v>2.8783997520606067E-2</v>
      </c>
      <c r="W31" s="18">
        <v>2</v>
      </c>
      <c r="X31" s="12">
        <f t="shared" si="6"/>
        <v>1.7198658311824312E-3</v>
      </c>
      <c r="Y31" s="12">
        <f t="shared" si="6"/>
        <v>1.9662167801944248E-2</v>
      </c>
      <c r="Z31" s="12">
        <f t="shared" si="6"/>
        <v>2.1129893291800164E-2</v>
      </c>
      <c r="AA31" s="12">
        <f t="shared" si="6"/>
        <v>5.2674983388110178E-2</v>
      </c>
      <c r="AB31" s="12">
        <f t="shared" si="6"/>
        <v>4.7442273789218706E-3</v>
      </c>
      <c r="AC31" s="12">
        <f t="shared" si="6"/>
        <v>4.2835796114892907E-3</v>
      </c>
      <c r="AD31" s="12">
        <f t="shared" si="6"/>
        <v>4.0763832583107333E-3</v>
      </c>
      <c r="AE31" s="12">
        <f t="shared" si="6"/>
        <v>-1.0397146142449711E-2</v>
      </c>
      <c r="AF31" s="12">
        <f t="shared" si="6"/>
        <v>4.4292684824137202E-3</v>
      </c>
    </row>
    <row r="32" spans="1:32" x14ac:dyDescent="0.2">
      <c r="A32" s="18" t="s">
        <v>116</v>
      </c>
      <c r="B32" s="12">
        <f>output_NHTS!B97/SUM(output_NHTS!B$94:B$97)</f>
        <v>6.6597339565501838E-3</v>
      </c>
      <c r="C32" s="12">
        <f>output_NHTS!C97/SUM(output_NHTS!C$94:C$97)</f>
        <v>3.5752562945694538E-2</v>
      </c>
      <c r="D32" s="12">
        <f>output_NHTS!D97/SUM(output_NHTS!D$94:D$97)</f>
        <v>0</v>
      </c>
      <c r="E32" s="12">
        <f>output_NHTS!E97/SUM(output_NHTS!E$94:E$97)</f>
        <v>5.1728546766771029E-2</v>
      </c>
      <c r="F32" s="12">
        <f>output_NHTS!F97/SUM(output_NHTS!F$94:F$97)</f>
        <v>0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1.3138423665432395E-2</v>
      </c>
      <c r="L32" s="18" t="s">
        <v>116</v>
      </c>
      <c r="M32" s="13">
        <f>output!B97/SUM(output!B$94:B$97)</f>
        <v>2.2390544530865256E-3</v>
      </c>
      <c r="N32" s="13">
        <f>output!C97/SUM(output!C$94:C$97)</f>
        <v>1.011224307080455E-2</v>
      </c>
      <c r="O32" s="13">
        <f>output!D97/SUM(output!D$94:D$97)</f>
        <v>6.5907802991105524E-3</v>
      </c>
      <c r="P32" s="13">
        <f>output!E97/SUM(output!E$94:E$97)</f>
        <v>2.2234607374380336E-2</v>
      </c>
      <c r="Q32" s="13">
        <f>output!F97/SUM(output!F$94:F$97)</f>
        <v>6.3065258209233331E-4</v>
      </c>
      <c r="R32" s="13">
        <f>output!G97/SUM(output!G$94:G$97)</f>
        <v>5.3129669599867179E-4</v>
      </c>
      <c r="S32" s="30">
        <f>output!H97/SUM(output!H$94:H$97)</f>
        <v>9.002711997092292E-4</v>
      </c>
      <c r="T32" s="30">
        <f>output!I97/SUM(output!I$94:I$97)</f>
        <v>2.9779002286183247E-3</v>
      </c>
      <c r="U32" s="13">
        <f>output!J97/SUM(output!J$94:J$97)</f>
        <v>4.7440917445012252E-3</v>
      </c>
      <c r="W32" s="18" t="s">
        <v>116</v>
      </c>
      <c r="X32" s="12">
        <f t="shared" si="6"/>
        <v>-4.4206795034636582E-3</v>
      </c>
      <c r="Y32" s="12">
        <f t="shared" si="6"/>
        <v>-2.5640319874889989E-2</v>
      </c>
      <c r="Z32" s="12">
        <f t="shared" si="6"/>
        <v>6.5907802991105524E-3</v>
      </c>
      <c r="AA32" s="12">
        <f t="shared" si="6"/>
        <v>-2.9493939392390693E-2</v>
      </c>
      <c r="AB32" s="12">
        <f t="shared" si="6"/>
        <v>6.3065258209233331E-4</v>
      </c>
      <c r="AC32" s="12">
        <f t="shared" si="6"/>
        <v>5.3129669599867179E-4</v>
      </c>
      <c r="AD32" s="12">
        <f t="shared" si="6"/>
        <v>9.002711997092292E-4</v>
      </c>
      <c r="AE32" s="12">
        <f t="shared" si="6"/>
        <v>2.9779002286183247E-3</v>
      </c>
      <c r="AF32" s="12">
        <f t="shared" si="6"/>
        <v>-8.3943319209311695E-3</v>
      </c>
    </row>
    <row r="33" spans="1:32" ht="13.5" thickBot="1" x14ac:dyDescent="0.25">
      <c r="A33" s="21" t="s">
        <v>221</v>
      </c>
      <c r="B33" s="14">
        <f t="shared" ref="B33:J33" si="7">SUM(B29:B32)</f>
        <v>0.99999999999999978</v>
      </c>
      <c r="C33" s="14">
        <f t="shared" si="7"/>
        <v>1</v>
      </c>
      <c r="D33" s="14">
        <f t="shared" si="7"/>
        <v>1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</v>
      </c>
      <c r="I33" s="14">
        <f t="shared" si="7"/>
        <v>1</v>
      </c>
      <c r="J33" s="14">
        <f t="shared" si="7"/>
        <v>1.0000000000000002</v>
      </c>
      <c r="L33" s="21" t="s">
        <v>221</v>
      </c>
      <c r="M33" s="14">
        <f>SUM(M29:M32)</f>
        <v>0.99999999999999989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>
        <f t="shared" si="8"/>
        <v>1</v>
      </c>
      <c r="U33" s="14">
        <f t="shared" si="8"/>
        <v>1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0.92625856501491977</v>
      </c>
      <c r="C41" s="12">
        <f>output_NHTS!C101/SUM(output_NHTS!C$101:C$104)</f>
        <v>0.89454306382646998</v>
      </c>
      <c r="D41" s="12">
        <f>output_NHTS!D101/SUM(output_NHTS!D$101:D$104)</f>
        <v>0.79472685253205788</v>
      </c>
      <c r="E41" s="12">
        <f>output_NHTS!E101/SUM(output_NHTS!E$101:E$104)</f>
        <v>0.78171686232695059</v>
      </c>
      <c r="F41" s="12">
        <f>output_NHTS!F101/SUM(output_NHTS!F$101:F$104)</f>
        <v>0.94190281136735565</v>
      </c>
      <c r="G41" s="12">
        <f>output_NHTS!G101/SUM(output_NHTS!G$101:G$104)</f>
        <v>0.92276982860147005</v>
      </c>
      <c r="H41" s="12">
        <f>output_NHTS!H101/SUM(output_NHTS!H$101:H$104)</f>
        <v>0.85362855612473176</v>
      </c>
      <c r="I41" s="12">
        <f>output_NHTS!I101/SUM(output_NHTS!I$101:I$104)</f>
        <v>0.82902211765599043</v>
      </c>
      <c r="J41" s="12">
        <f>output_NHTS!J101/SUM(output_NHTS!J$101:J$104)</f>
        <v>0.87259256392859208</v>
      </c>
      <c r="L41" s="18">
        <v>0</v>
      </c>
      <c r="M41" s="12">
        <f>output!B101/SUM(output!B$101:B$104)</f>
        <v>0.91399080053673509</v>
      </c>
      <c r="N41" s="12">
        <f>output!C101/SUM(output!C$101:C$104)</f>
        <v>0.81254182020375276</v>
      </c>
      <c r="O41" s="12">
        <f>output!D101/SUM(output!D$101:D$104)</f>
        <v>0.62311823983048764</v>
      </c>
      <c r="P41" s="12">
        <f>output!E101/SUM(output!E$101:E$104)</f>
        <v>0.71807808512510629</v>
      </c>
      <c r="Q41" s="12">
        <f>output!F101/SUM(output!F$101:F$104)</f>
        <v>0.95598331637260103</v>
      </c>
      <c r="R41" s="12">
        <f>output!G101/SUM(output!G$101:G$104)</f>
        <v>0.95307986053461735</v>
      </c>
      <c r="S41" s="28">
        <f>output!H101/SUM(output!H$101:H$104)</f>
        <v>0.88200855537227052</v>
      </c>
      <c r="T41" s="28">
        <f>output!I101/SUM(output!I$101:I$104)</f>
        <v>0.70122515973972688</v>
      </c>
      <c r="U41" s="12">
        <f>output!J101/SUM(output!J$101:J$104)</f>
        <v>0.84977850805240318</v>
      </c>
      <c r="W41" s="18">
        <v>0</v>
      </c>
      <c r="X41" s="12">
        <f t="shared" ref="X41:AF45" si="9">M41-B41</f>
        <v>-1.2267764478184673E-2</v>
      </c>
      <c r="Y41" s="12">
        <f t="shared" si="9"/>
        <v>-8.2001243622717213E-2</v>
      </c>
      <c r="Z41" s="12">
        <f t="shared" si="9"/>
        <v>-0.17160861270157024</v>
      </c>
      <c r="AA41" s="12">
        <f t="shared" si="9"/>
        <v>-6.3638777201844299E-2</v>
      </c>
      <c r="AB41" s="12">
        <f t="shared" si="9"/>
        <v>1.4080505005245381E-2</v>
      </c>
      <c r="AC41" s="12">
        <f t="shared" si="9"/>
        <v>3.0310031933147297E-2</v>
      </c>
      <c r="AD41" s="12">
        <f t="shared" si="9"/>
        <v>2.8379999247538756E-2</v>
      </c>
      <c r="AE41" s="12">
        <f t="shared" si="9"/>
        <v>-0.12779695791626355</v>
      </c>
      <c r="AF41" s="12">
        <f t="shared" si="9"/>
        <v>-2.2814055876188899E-2</v>
      </c>
    </row>
    <row r="42" spans="1:32" x14ac:dyDescent="0.2">
      <c r="A42" s="18">
        <v>1</v>
      </c>
      <c r="B42" s="12">
        <f>output_NHTS!B102/SUM(output_NHTS!B$101:B$104)</f>
        <v>6.5404650688273697E-2</v>
      </c>
      <c r="C42" s="12">
        <f>output_NHTS!C102/SUM(output_NHTS!C$101:C$104)</f>
        <v>9.2904759611444551E-2</v>
      </c>
      <c r="D42" s="12">
        <f>output_NHTS!D102/SUM(output_NHTS!D$101:D$104)</f>
        <v>0.17206425925179111</v>
      </c>
      <c r="E42" s="12">
        <f>output_NHTS!E102/SUM(output_NHTS!E$101:E$104)</f>
        <v>0.16537083968579169</v>
      </c>
      <c r="F42" s="12">
        <f>output_NHTS!F102/SUM(output_NHTS!F$101:F$104)</f>
        <v>5.8097188632644292E-2</v>
      </c>
      <c r="G42" s="12">
        <f>output_NHTS!G102/SUM(output_NHTS!G$101:G$104)</f>
        <v>7.7230171398529918E-2</v>
      </c>
      <c r="H42" s="12">
        <f>output_NHTS!H102/SUM(output_NHTS!H$101:H$104)</f>
        <v>0.13073318641427903</v>
      </c>
      <c r="I42" s="12">
        <f>output_NHTS!I102/SUM(output_NHTS!I$101:I$104)</f>
        <v>0.12083808582885913</v>
      </c>
      <c r="J42" s="12">
        <f>output_NHTS!J102/SUM(output_NHTS!J$101:J$104)</f>
        <v>0.1061937217627036</v>
      </c>
      <c r="L42" s="18">
        <v>1</v>
      </c>
      <c r="M42" s="12">
        <f>output!B102/SUM(output!B$101:B$104)</f>
        <v>8.0187259122202925E-2</v>
      </c>
      <c r="N42" s="12">
        <f>output!C102/SUM(output!C$101:C$104)</f>
        <v>0.16087231054858683</v>
      </c>
      <c r="O42" s="12">
        <f>output!D102/SUM(output!D$101:D$104)</f>
        <v>0.31113410698006749</v>
      </c>
      <c r="P42" s="12">
        <f>output!E102/SUM(output!E$101:E$104)</f>
        <v>0.23328737790032561</v>
      </c>
      <c r="Q42" s="12">
        <f>output!F102/SUM(output!F$101:F$104)</f>
        <v>3.9659447605670139E-2</v>
      </c>
      <c r="R42" s="12">
        <f>output!G102/SUM(output!G$101:G$104)</f>
        <v>4.3167856549892081E-2</v>
      </c>
      <c r="S42" s="28">
        <f>output!H102/SUM(output!H$101:H$104)</f>
        <v>0.10562809293482819</v>
      </c>
      <c r="T42" s="28">
        <f>output!I102/SUM(output!I$101:I$104)</f>
        <v>0.25248842253356002</v>
      </c>
      <c r="U42" s="12">
        <f>output!J102/SUM(output!J$101:J$104)</f>
        <v>0.13063220216756513</v>
      </c>
      <c r="W42" s="18">
        <v>1</v>
      </c>
      <c r="X42" s="12">
        <f t="shared" si="9"/>
        <v>1.4782608433929229E-2</v>
      </c>
      <c r="Y42" s="12">
        <f t="shared" si="9"/>
        <v>6.7967550937142282E-2</v>
      </c>
      <c r="Z42" s="12">
        <f t="shared" si="9"/>
        <v>0.13906984772827638</v>
      </c>
      <c r="AA42" s="12">
        <f t="shared" si="9"/>
        <v>6.7916538214533917E-2</v>
      </c>
      <c r="AB42" s="12">
        <f t="shared" si="9"/>
        <v>-1.8437741026974153E-2</v>
      </c>
      <c r="AC42" s="12">
        <f t="shared" si="9"/>
        <v>-3.4062314848637837E-2</v>
      </c>
      <c r="AD42" s="12">
        <f t="shared" si="9"/>
        <v>-2.5105093479450835E-2</v>
      </c>
      <c r="AE42" s="12">
        <f t="shared" si="9"/>
        <v>0.13165033670470089</v>
      </c>
      <c r="AF42" s="12">
        <f t="shared" si="9"/>
        <v>2.4438480404861532E-2</v>
      </c>
    </row>
    <row r="43" spans="1:32" x14ac:dyDescent="0.2">
      <c r="A43" s="18">
        <v>2</v>
      </c>
      <c r="B43" s="12">
        <f>output_NHTS!B103/SUM(output_NHTS!B$101:B$104)</f>
        <v>8.3367842968064178E-3</v>
      </c>
      <c r="C43" s="12">
        <f>output_NHTS!C103/SUM(output_NHTS!C$101:C$104)</f>
        <v>1.255217656208547E-2</v>
      </c>
      <c r="D43" s="12">
        <f>output_NHTS!D103/SUM(output_NHTS!D$101:D$104)</f>
        <v>2.7132862671906829E-2</v>
      </c>
      <c r="E43" s="12">
        <f>output_NHTS!E103/SUM(output_NHTS!E$101:E$104)</f>
        <v>5.0107258943570938E-2</v>
      </c>
      <c r="F43" s="12">
        <f>output_NHTS!F103/SUM(output_NHTS!F$101:F$104)</f>
        <v>0</v>
      </c>
      <c r="G43" s="12">
        <f>output_NHTS!G103/SUM(output_NHTS!G$101:G$104)</f>
        <v>0</v>
      </c>
      <c r="H43" s="12">
        <f>output_NHTS!H103/SUM(output_NHTS!H$101:H$104)</f>
        <v>1.5638257460989183E-2</v>
      </c>
      <c r="I43" s="12">
        <f>output_NHTS!I103/SUM(output_NHTS!I$101:I$104)</f>
        <v>1.8110753662174749E-2</v>
      </c>
      <c r="J43" s="12">
        <f>output_NHTS!J103/SUM(output_NHTS!J$101:J$104)</f>
        <v>1.7932671274453613E-2</v>
      </c>
      <c r="L43" s="18">
        <v>2</v>
      </c>
      <c r="M43" s="12">
        <f>output!B103/SUM(output!B$101:B$104)</f>
        <v>5.0722658313910249E-3</v>
      </c>
      <c r="N43" s="12">
        <f>output!C103/SUM(output!C$101:C$104)</f>
        <v>2.2891554910516546E-2</v>
      </c>
      <c r="O43" s="12">
        <f>output!D103/SUM(output!D$101:D$104)</f>
        <v>5.6089388227757657E-2</v>
      </c>
      <c r="P43" s="12">
        <f>output!E103/SUM(output!E$101:E$104)</f>
        <v>4.1750999775111708E-2</v>
      </c>
      <c r="Q43" s="12">
        <f>output!F103/SUM(output!F$101:F$104)</f>
        <v>3.7122504264071434E-3</v>
      </c>
      <c r="R43" s="12">
        <f>output!G103/SUM(output!G$101:G$104)</f>
        <v>3.2209862194919475E-3</v>
      </c>
      <c r="S43" s="28">
        <f>output!H103/SUM(output!H$101:H$104)</f>
        <v>1.0691419464869852E-2</v>
      </c>
      <c r="T43" s="28">
        <f>output!I103/SUM(output!I$101:I$104)</f>
        <v>4.0060964886570141E-2</v>
      </c>
      <c r="U43" s="12">
        <f>output!J103/SUM(output!J$101:J$104)</f>
        <v>1.6864899867632916E-2</v>
      </c>
      <c r="W43" s="18">
        <v>2</v>
      </c>
      <c r="X43" s="12">
        <f t="shared" si="9"/>
        <v>-3.264518465415393E-3</v>
      </c>
      <c r="Y43" s="12">
        <f t="shared" si="9"/>
        <v>1.0339378348431075E-2</v>
      </c>
      <c r="Z43" s="12">
        <f t="shared" si="9"/>
        <v>2.8956525555850827E-2</v>
      </c>
      <c r="AA43" s="12">
        <f t="shared" si="9"/>
        <v>-8.3562591684592305E-3</v>
      </c>
      <c r="AB43" s="12">
        <f t="shared" si="9"/>
        <v>3.7122504264071434E-3</v>
      </c>
      <c r="AC43" s="12">
        <f t="shared" si="9"/>
        <v>3.2209862194919475E-3</v>
      </c>
      <c r="AD43" s="12">
        <f t="shared" si="9"/>
        <v>-4.9468379961193319E-3</v>
      </c>
      <c r="AE43" s="12">
        <f t="shared" si="9"/>
        <v>2.1950211224395392E-2</v>
      </c>
      <c r="AF43" s="12">
        <f t="shared" si="9"/>
        <v>-1.0677714068206973E-3</v>
      </c>
    </row>
    <row r="44" spans="1:32" x14ac:dyDescent="0.2">
      <c r="A44" s="23" t="s">
        <v>116</v>
      </c>
      <c r="B44" s="12">
        <f>output_NHTS!B104/SUM(output_NHTS!B$101:B$104)</f>
        <v>0</v>
      </c>
      <c r="C44" s="12">
        <f>output_NHTS!C104/SUM(output_NHTS!C$101:C$104)</f>
        <v>0</v>
      </c>
      <c r="D44" s="12">
        <f>output_NHTS!D104/SUM(output_NHTS!D$101:D$104)</f>
        <v>6.0760255442440531E-3</v>
      </c>
      <c r="E44" s="12">
        <f>output_NHTS!E104/SUM(output_NHTS!E$101:E$104)</f>
        <v>2.8050390436868042E-3</v>
      </c>
      <c r="F44" s="12">
        <f>output_NHTS!F104/SUM(output_NHTS!F$101:F$104)</f>
        <v>0</v>
      </c>
      <c r="G44" s="12">
        <f>output_NHTS!G104/SUM(output_NHTS!G$101:G$104)</f>
        <v>0</v>
      </c>
      <c r="H44" s="12">
        <f>output_NHTS!H104/SUM(output_NHTS!H$101:H$104)</f>
        <v>0</v>
      </c>
      <c r="I44" s="12">
        <f>output_NHTS!I104/SUM(output_NHTS!I$101:I$104)</f>
        <v>3.2029042852975476E-2</v>
      </c>
      <c r="J44" s="12">
        <f>output_NHTS!J104/SUM(output_NHTS!J$101:J$104)</f>
        <v>3.2810430342506613E-3</v>
      </c>
      <c r="L44" s="23" t="s">
        <v>116</v>
      </c>
      <c r="M44" s="13">
        <f>output!B104/SUM(output!B$101:B$104)</f>
        <v>7.4967450967100059E-4</v>
      </c>
      <c r="N44" s="13">
        <f>output!C104/SUM(output!C$101:C$104)</f>
        <v>3.6943143371438803E-3</v>
      </c>
      <c r="O44" s="13">
        <f>output!D104/SUM(output!D$101:D$104)</f>
        <v>9.65826496168724E-3</v>
      </c>
      <c r="P44" s="13">
        <f>output!E104/SUM(output!E$101:E$104)</f>
        <v>6.8835371994563571E-3</v>
      </c>
      <c r="Q44" s="13">
        <f>output!F104/SUM(output!F$101:F$104)</f>
        <v>6.4498559532170452E-4</v>
      </c>
      <c r="R44" s="13">
        <f>output!G104/SUM(output!G$101:G$104)</f>
        <v>5.3129669599867179E-4</v>
      </c>
      <c r="S44" s="30">
        <f>output!H104/SUM(output!H$101:H$104)</f>
        <v>1.6719322280314257E-3</v>
      </c>
      <c r="T44" s="30">
        <f>output!I104/SUM(output!I$101:I$104)</f>
        <v>6.2254528401430326E-3</v>
      </c>
      <c r="U44" s="13">
        <f>output!J104/SUM(output!J$101:J$104)</f>
        <v>2.7243899123987878E-3</v>
      </c>
      <c r="W44" s="23" t="s">
        <v>116</v>
      </c>
      <c r="X44" s="12">
        <f t="shared" si="9"/>
        <v>7.4967450967100059E-4</v>
      </c>
      <c r="Y44" s="12">
        <f t="shared" si="9"/>
        <v>3.6943143371438803E-3</v>
      </c>
      <c r="Z44" s="12">
        <f t="shared" si="9"/>
        <v>3.5822394174431869E-3</v>
      </c>
      <c r="AA44" s="12">
        <f t="shared" si="9"/>
        <v>4.0784981557695534E-3</v>
      </c>
      <c r="AB44" s="12">
        <f t="shared" si="9"/>
        <v>6.4498559532170452E-4</v>
      </c>
      <c r="AC44" s="12">
        <f t="shared" si="9"/>
        <v>5.3129669599867179E-4</v>
      </c>
      <c r="AD44" s="12">
        <f t="shared" si="9"/>
        <v>1.6719322280314257E-3</v>
      </c>
      <c r="AE44" s="12">
        <f t="shared" si="9"/>
        <v>-2.5803590012832445E-2</v>
      </c>
      <c r="AF44" s="12">
        <f t="shared" si="9"/>
        <v>-5.5665312185187348E-4</v>
      </c>
    </row>
    <row r="45" spans="1:32" ht="13.5" thickBot="1" x14ac:dyDescent="0.25">
      <c r="A45" s="21" t="s">
        <v>221</v>
      </c>
      <c r="B45" s="14">
        <f t="shared" ref="B45:J45" si="10">SUM(B41:B44)</f>
        <v>0.99999999999999989</v>
      </c>
      <c r="C45" s="14">
        <f t="shared" si="10"/>
        <v>1</v>
      </c>
      <c r="D45" s="14">
        <f t="shared" si="10"/>
        <v>0.99999999999999989</v>
      </c>
      <c r="E45" s="14">
        <f t="shared" si="10"/>
        <v>1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>
        <f t="shared" si="10"/>
        <v>0.99999999999999978</v>
      </c>
      <c r="J45" s="14">
        <f t="shared" si="10"/>
        <v>1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0.99999999999999989</v>
      </c>
      <c r="Q45" s="14">
        <f t="shared" si="11"/>
        <v>1</v>
      </c>
      <c r="R45" s="14">
        <f t="shared" si="11"/>
        <v>1</v>
      </c>
      <c r="S45" s="14">
        <f t="shared" si="11"/>
        <v>1</v>
      </c>
      <c r="T45" s="14">
        <f t="shared" si="11"/>
        <v>1.0000000000000002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0.95708080325246059</v>
      </c>
      <c r="C53" s="12">
        <f>output_NHTS!C108/SUM(output_NHTS!C$108:C$111)</f>
        <v>0.80699956042689147</v>
      </c>
      <c r="D53" s="12">
        <f>output_NHTS!D108/SUM(output_NHTS!D$108:D$111)</f>
        <v>0.73295118553272087</v>
      </c>
      <c r="E53" s="12">
        <f>output_NHTS!E108/SUM(output_NHTS!E$108:E$111)</f>
        <v>0.7747738742519924</v>
      </c>
      <c r="F53" s="12">
        <f>output_NHTS!F108/SUM(output_NHTS!F$108:F$111)</f>
        <v>0.93668170950964624</v>
      </c>
      <c r="G53" s="12">
        <f>output_NHTS!G108/SUM(output_NHTS!G$108:G$111)</f>
        <v>1</v>
      </c>
      <c r="H53" s="12">
        <f>output_NHTS!H108/SUM(output_NHTS!H$108:H$111)</f>
        <v>0.96856926245653818</v>
      </c>
      <c r="I53" s="12">
        <f>output_NHTS!I108/SUM(output_NHTS!I$108:I$111)</f>
        <v>0.83653513260053947</v>
      </c>
      <c r="J53" s="12">
        <f>output_NHTS!J108/SUM(output_NHTS!J$108:J$111)</f>
        <v>0.88929606602007472</v>
      </c>
      <c r="L53" s="18">
        <v>0</v>
      </c>
      <c r="M53" s="12">
        <f>output!B108/SUM(output!B$108:B$111)</f>
        <v>0.90109879154861616</v>
      </c>
      <c r="N53" s="12">
        <f>output!C108/SUM(output!C$108:C$111)</f>
        <v>0.84928705387855885</v>
      </c>
      <c r="O53" s="12">
        <f>output!D108/SUM(output!D$108:D$111)</f>
        <v>0.69378126000936258</v>
      </c>
      <c r="P53" s="12">
        <f>output!E108/SUM(output!E$108:E$111)</f>
        <v>0.68885238528252812</v>
      </c>
      <c r="Q53" s="12">
        <f>output!F108/SUM(output!F$108:F$111)</f>
        <v>0.95158308131118408</v>
      </c>
      <c r="R53" s="12">
        <f>output!G108/SUM(output!G$108:G$111)</f>
        <v>0.98695002490453265</v>
      </c>
      <c r="S53" s="28">
        <f>output!H108/SUM(output!H$108:H$111)</f>
        <v>0.98111667179243434</v>
      </c>
      <c r="T53" s="28">
        <f>output!I108/SUM(output!I$108:I$111)</f>
        <v>0.77485198428981772</v>
      </c>
      <c r="U53" s="12">
        <f>output!J108/SUM(output!J$108:J$111)</f>
        <v>0.87133209421350666</v>
      </c>
      <c r="W53" s="18">
        <v>0</v>
      </c>
      <c r="X53" s="12">
        <f t="shared" ref="X53:AF57" si="12">M53-B53</f>
        <v>-5.5982011703844425E-2</v>
      </c>
      <c r="Y53" s="12">
        <f t="shared" si="12"/>
        <v>4.2287493451667379E-2</v>
      </c>
      <c r="Z53" s="12">
        <f t="shared" si="12"/>
        <v>-3.9169925523358295E-2</v>
      </c>
      <c r="AA53" s="12">
        <f t="shared" si="12"/>
        <v>-8.5921488969464277E-2</v>
      </c>
      <c r="AB53" s="12">
        <f t="shared" si="12"/>
        <v>1.4901371801537833E-2</v>
      </c>
      <c r="AC53" s="12">
        <f t="shared" si="12"/>
        <v>-1.3049975095467348E-2</v>
      </c>
      <c r="AD53" s="12">
        <f t="shared" si="12"/>
        <v>1.2547409335896154E-2</v>
      </c>
      <c r="AE53" s="12">
        <f t="shared" si="12"/>
        <v>-6.1683148310721747E-2</v>
      </c>
      <c r="AF53" s="12">
        <f t="shared" si="12"/>
        <v>-1.7963971806568058E-2</v>
      </c>
    </row>
    <row r="54" spans="1:32" x14ac:dyDescent="0.2">
      <c r="A54" s="18">
        <v>1</v>
      </c>
      <c r="B54" s="12">
        <f>output_NHTS!B109/SUM(output_NHTS!B$108:B$111)</f>
        <v>3.9835561996557259E-2</v>
      </c>
      <c r="C54" s="12">
        <f>output_NHTS!C109/SUM(output_NHTS!C$108:C$111)</f>
        <v>0.19062748157058643</v>
      </c>
      <c r="D54" s="12">
        <f>output_NHTS!D109/SUM(output_NHTS!D$108:D$111)</f>
        <v>0.26134390776217992</v>
      </c>
      <c r="E54" s="12">
        <f>output_NHTS!E109/SUM(output_NHTS!E$108:E$111)</f>
        <v>0.20780811850290989</v>
      </c>
      <c r="F54" s="12">
        <f>output_NHTS!F109/SUM(output_NHTS!F$108:F$111)</f>
        <v>6.3318290490353812E-2</v>
      </c>
      <c r="G54" s="12">
        <f>output_NHTS!G109/SUM(output_NHTS!G$108:G$111)</f>
        <v>0</v>
      </c>
      <c r="H54" s="12">
        <f>output_NHTS!H109/SUM(output_NHTS!H$108:H$111)</f>
        <v>3.1430737543461811E-2</v>
      </c>
      <c r="I54" s="12">
        <f>output_NHTS!I109/SUM(output_NHTS!I$108:I$111)</f>
        <v>0.16346486739946056</v>
      </c>
      <c r="J54" s="12">
        <f>output_NHTS!J109/SUM(output_NHTS!J$108:J$111)</f>
        <v>0.10617719547570938</v>
      </c>
      <c r="L54" s="18">
        <v>1</v>
      </c>
      <c r="M54" s="12">
        <f>output!B109/SUM(output!B$108:B$111)</f>
        <v>9.2203983243977189E-2</v>
      </c>
      <c r="N54" s="12">
        <f>output!C109/SUM(output!C$108:C$111)</f>
        <v>0.13733990519183104</v>
      </c>
      <c r="O54" s="12">
        <f>output!D109/SUM(output!D$108:D$111)</f>
        <v>0.27555621258038288</v>
      </c>
      <c r="P54" s="12">
        <f>output!E109/SUM(output!E$108:E$111)</f>
        <v>0.27326860461705438</v>
      </c>
      <c r="Q54" s="12">
        <f>output!F109/SUM(output!F$108:F$111)</f>
        <v>4.4446674024280125E-2</v>
      </c>
      <c r="R54" s="12">
        <f>output!G109/SUM(output!G$108:G$111)</f>
        <v>1.1754939398970612E-2</v>
      </c>
      <c r="S54" s="28">
        <f>output!H109/SUM(output!H$108:H$111)</f>
        <v>1.4370788715855398E-2</v>
      </c>
      <c r="T54" s="28">
        <f>output!I109/SUM(output!I$108:I$111)</f>
        <v>0.19971862360044551</v>
      </c>
      <c r="U54" s="12">
        <f>output!J109/SUM(output!J$108:J$111)</f>
        <v>0.11617311086890464</v>
      </c>
      <c r="W54" s="18">
        <v>1</v>
      </c>
      <c r="X54" s="12">
        <f t="shared" si="12"/>
        <v>5.236842124741993E-2</v>
      </c>
      <c r="Y54" s="12">
        <f t="shared" si="12"/>
        <v>-5.3287576378755391E-2</v>
      </c>
      <c r="Z54" s="12">
        <f t="shared" si="12"/>
        <v>1.4212304818202959E-2</v>
      </c>
      <c r="AA54" s="12">
        <f t="shared" si="12"/>
        <v>6.5460486114144484E-2</v>
      </c>
      <c r="AB54" s="12">
        <f t="shared" si="12"/>
        <v>-1.8871616466073687E-2</v>
      </c>
      <c r="AC54" s="12">
        <f t="shared" si="12"/>
        <v>1.1754939398970612E-2</v>
      </c>
      <c r="AD54" s="12">
        <f t="shared" si="12"/>
        <v>-1.7059948827606412E-2</v>
      </c>
      <c r="AE54" s="12">
        <f t="shared" si="12"/>
        <v>3.6253756200984949E-2</v>
      </c>
      <c r="AF54" s="12">
        <f t="shared" si="12"/>
        <v>9.9959153931952621E-3</v>
      </c>
    </row>
    <row r="55" spans="1:32" x14ac:dyDescent="0.2">
      <c r="A55" s="18">
        <v>2</v>
      </c>
      <c r="B55" s="12">
        <f>output_NHTS!B110/SUM(output_NHTS!B$108:B$111)</f>
        <v>3.0836347509821411E-3</v>
      </c>
      <c r="C55" s="12">
        <f>output_NHTS!C110/SUM(output_NHTS!C$108:C$111)</f>
        <v>2.3729580025221063E-3</v>
      </c>
      <c r="D55" s="12">
        <f>output_NHTS!D110/SUM(output_NHTS!D$108:D$111)</f>
        <v>5.704906705099249E-3</v>
      </c>
      <c r="E55" s="12">
        <f>output_NHTS!E110/SUM(output_NHTS!E$108:E$111)</f>
        <v>1.6876809387339389E-2</v>
      </c>
      <c r="F55" s="12">
        <f>output_NHTS!F110/SUM(output_NHTS!F$108:F$111)</f>
        <v>0</v>
      </c>
      <c r="G55" s="12">
        <f>output_NHTS!G110/SUM(output_NHTS!G$108:G$111)</f>
        <v>0</v>
      </c>
      <c r="H55" s="12">
        <f>output_NHTS!H110/SUM(output_NHTS!H$108:H$111)</f>
        <v>0</v>
      </c>
      <c r="I55" s="12">
        <f>output_NHTS!I110/SUM(output_NHTS!I$108:I$111)</f>
        <v>0</v>
      </c>
      <c r="J55" s="12">
        <f>output_NHTS!J110/SUM(output_NHTS!J$108:J$111)</f>
        <v>4.4506089230557204E-3</v>
      </c>
      <c r="L55" s="18">
        <v>2</v>
      </c>
      <c r="M55" s="12">
        <f>output!B110/SUM(output!B$108:B$111)</f>
        <v>5.5786948884560096E-3</v>
      </c>
      <c r="N55" s="12">
        <f>output!C110/SUM(output!C$108:C$111)</f>
        <v>1.1686096372597989E-2</v>
      </c>
      <c r="O55" s="12">
        <f>output!D110/SUM(output!D$108:D$111)</f>
        <v>2.7705915687289032E-2</v>
      </c>
      <c r="P55" s="12">
        <f>output!E110/SUM(output!E$108:E$111)</f>
        <v>3.3400799820089366E-2</v>
      </c>
      <c r="Q55" s="12">
        <f>output!F110/SUM(output!F$108:F$111)</f>
        <v>3.1675959236910378E-3</v>
      </c>
      <c r="R55" s="12">
        <f>output!G110/SUM(output!G$108:G$111)</f>
        <v>9.9618130499750952E-4</v>
      </c>
      <c r="S55" s="28">
        <f>output!H110/SUM(output!H$108:H$111)</f>
        <v>1.0680235971705762E-3</v>
      </c>
      <c r="T55" s="28">
        <f>output!I110/SUM(output!I$108:I$111)</f>
        <v>1.6659827656955273E-2</v>
      </c>
      <c r="U55" s="12">
        <f>output!J110/SUM(output!J$108:J$111)</f>
        <v>1.0012803853449119E-2</v>
      </c>
      <c r="W55" s="18">
        <v>2</v>
      </c>
      <c r="X55" s="12">
        <f t="shared" si="12"/>
        <v>2.4950601374738686E-3</v>
      </c>
      <c r="Y55" s="12">
        <f t="shared" si="12"/>
        <v>9.3131383700758817E-3</v>
      </c>
      <c r="Z55" s="12">
        <f t="shared" si="12"/>
        <v>2.2001008982189783E-2</v>
      </c>
      <c r="AA55" s="12">
        <f t="shared" si="12"/>
        <v>1.6523990432749977E-2</v>
      </c>
      <c r="AB55" s="12">
        <f t="shared" si="12"/>
        <v>3.1675959236910378E-3</v>
      </c>
      <c r="AC55" s="12">
        <f t="shared" si="12"/>
        <v>9.9618130499750952E-4</v>
      </c>
      <c r="AD55" s="12">
        <f t="shared" si="12"/>
        <v>1.0680235971705762E-3</v>
      </c>
      <c r="AE55" s="12">
        <f t="shared" si="12"/>
        <v>1.6659827656955273E-2</v>
      </c>
      <c r="AF55" s="12">
        <f t="shared" si="12"/>
        <v>5.5621949303933989E-3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5.4119785775839425E-4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>
        <f>output_NHTS!I111/SUM(output_NHTS!I$108:I$111)</f>
        <v>0</v>
      </c>
      <c r="J56" s="12">
        <f>output_NHTS!J111/SUM(output_NHTS!J$108:J$111)</f>
        <v>7.6129581160129842E-5</v>
      </c>
      <c r="L56" s="23" t="s">
        <v>116</v>
      </c>
      <c r="M56" s="13">
        <f>output!B111/SUM(output!B$108:B$111)</f>
        <v>1.1185303189506152E-3</v>
      </c>
      <c r="N56" s="13">
        <f>output!C111/SUM(output!C$108:C$111)</f>
        <v>1.686944557012129E-3</v>
      </c>
      <c r="O56" s="13">
        <f>output!D111/SUM(output!D$108:D$111)</f>
        <v>2.9566117229654814E-3</v>
      </c>
      <c r="P56" s="13">
        <f>output!E111/SUM(output!E$108:E$111)</f>
        <v>4.4782102803281416E-3</v>
      </c>
      <c r="Q56" s="13">
        <f>output!F111/SUM(output!F$108:F$111)</f>
        <v>8.0264874084478785E-4</v>
      </c>
      <c r="R56" s="13">
        <f>output!G111/SUM(output!G$108:G$111)</f>
        <v>2.9885439149925287E-4</v>
      </c>
      <c r="S56" s="30">
        <f>output!H111/SUM(output!H$108:H$111)</f>
        <v>3.4445158945396594E-3</v>
      </c>
      <c r="T56" s="30">
        <f>output!I111/SUM(output!I$108:I$111)</f>
        <v>8.7695644527815229E-3</v>
      </c>
      <c r="U56" s="13">
        <f>output!J111/SUM(output!J$108:J$111)</f>
        <v>2.481991064139601E-3</v>
      </c>
      <c r="W56" s="23" t="s">
        <v>116</v>
      </c>
      <c r="X56" s="12">
        <f t="shared" si="12"/>
        <v>1.1185303189506152E-3</v>
      </c>
      <c r="Y56" s="12">
        <f t="shared" si="12"/>
        <v>1.686944557012129E-3</v>
      </c>
      <c r="Z56" s="12">
        <f t="shared" si="12"/>
        <v>2.9566117229654814E-3</v>
      </c>
      <c r="AA56" s="12">
        <f t="shared" si="12"/>
        <v>3.9370124225697476E-3</v>
      </c>
      <c r="AB56" s="12">
        <f t="shared" si="12"/>
        <v>8.0264874084478785E-4</v>
      </c>
      <c r="AC56" s="12">
        <f t="shared" si="12"/>
        <v>2.9885439149925287E-4</v>
      </c>
      <c r="AD56" s="12">
        <f t="shared" si="12"/>
        <v>3.4445158945396594E-3</v>
      </c>
      <c r="AE56" s="12">
        <f t="shared" si="12"/>
        <v>8.7695644527815229E-3</v>
      </c>
      <c r="AF56" s="12">
        <f t="shared" si="12"/>
        <v>2.4058614829794711E-3</v>
      </c>
    </row>
    <row r="57" spans="1:32" ht="13.5" thickBot="1" x14ac:dyDescent="0.25">
      <c r="A57" s="21" t="s">
        <v>221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1</v>
      </c>
      <c r="E57" s="14">
        <f t="shared" si="13"/>
        <v>1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1</v>
      </c>
      <c r="J57" s="14">
        <f t="shared" si="13"/>
        <v>0.99999999999999989</v>
      </c>
      <c r="L57" s="21" t="s">
        <v>221</v>
      </c>
      <c r="M57" s="14">
        <f>SUM(M53:M56)</f>
        <v>0.99999999999999989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>
        <f t="shared" si="14"/>
        <v>1</v>
      </c>
      <c r="U57" s="14">
        <f t="shared" si="14"/>
        <v>1.0000000000000002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0.96566733287331108</v>
      </c>
      <c r="C65" s="12">
        <f>output_NHTS!C115/SUM(output_NHTS!C$115:C$118)</f>
        <v>0.96004910628551254</v>
      </c>
      <c r="D65" s="12">
        <f>output_NHTS!D115/SUM(output_NHTS!D$115:D$118)</f>
        <v>0.90442412687846852</v>
      </c>
      <c r="E65" s="12">
        <f>output_NHTS!E115/SUM(output_NHTS!E$115:E$118)</f>
        <v>0.9074290145333308</v>
      </c>
      <c r="F65" s="12">
        <f>output_NHTS!F115/SUM(output_NHTS!F$115:F$118)</f>
        <v>0.92161981725986952</v>
      </c>
      <c r="G65" s="12">
        <f>output_NHTS!G115/SUM(output_NHTS!G$115:G$118)</f>
        <v>1</v>
      </c>
      <c r="H65" s="12">
        <f>output_NHTS!H115/SUM(output_NHTS!H$115:H$118)</f>
        <v>0.95343331014321031</v>
      </c>
      <c r="I65" s="12">
        <f>output_NHTS!I115/SUM(output_NHTS!I$115:I$118)</f>
        <v>0.97511116529585962</v>
      </c>
      <c r="J65" s="12">
        <f>output_NHTS!J115/SUM(output_NHTS!J$115:J$118)</f>
        <v>0.94952947480489269</v>
      </c>
      <c r="L65" s="18">
        <v>0</v>
      </c>
      <c r="M65" s="12">
        <f>output!B115/SUM(output!B$115:B$118)</f>
        <v>0.94783980093749187</v>
      </c>
      <c r="N65" s="12">
        <f>output!C115/SUM(output!C$115:C$118)</f>
        <v>0.93490655835037551</v>
      </c>
      <c r="O65" s="12">
        <f>output!D115/SUM(output!D$115:D$118)</f>
        <v>0.88249932244314677</v>
      </c>
      <c r="P65" s="12">
        <f>output!E115/SUM(output!E$115:E$118)</f>
        <v>0.88182609290819669</v>
      </c>
      <c r="Q65" s="12">
        <f>output!F115/SUM(output!F$115:F$118)</f>
        <v>0.9713483065544869</v>
      </c>
      <c r="R65" s="12">
        <f>output!G115/SUM(output!G$115:G$118)</f>
        <v>0.93345508882616635</v>
      </c>
      <c r="S65" s="28">
        <f>output!H115/SUM(output!H$115:H$118)</f>
        <v>0.95764251964100988</v>
      </c>
      <c r="T65" s="28">
        <f>output!I115/SUM(output!I$115:I$118)</f>
        <v>0.94304472712351251</v>
      </c>
      <c r="U65" s="12">
        <f>output!J115/SUM(output!J$115:J$118)</f>
        <v>0.93842376686078777</v>
      </c>
      <c r="W65" s="18">
        <v>0</v>
      </c>
      <c r="X65" s="12">
        <f t="shared" ref="X65:AF69" si="15">M65-B65</f>
        <v>-1.7827531935819207E-2</v>
      </c>
      <c r="Y65" s="12">
        <f t="shared" si="15"/>
        <v>-2.5142547935137038E-2</v>
      </c>
      <c r="Z65" s="12">
        <f t="shared" si="15"/>
        <v>-2.1924804435321743E-2</v>
      </c>
      <c r="AA65" s="12">
        <f t="shared" si="15"/>
        <v>-2.5602921625134112E-2</v>
      </c>
      <c r="AB65" s="12">
        <f t="shared" si="15"/>
        <v>4.9728489294617373E-2</v>
      </c>
      <c r="AC65" s="12">
        <f t="shared" si="15"/>
        <v>-6.6544911173833654E-2</v>
      </c>
      <c r="AD65" s="12">
        <f t="shared" si="15"/>
        <v>4.2092094977995709E-3</v>
      </c>
      <c r="AE65" s="12">
        <f t="shared" si="15"/>
        <v>-3.2066438172347111E-2</v>
      </c>
      <c r="AF65" s="12">
        <f t="shared" si="15"/>
        <v>-1.1105707944104926E-2</v>
      </c>
    </row>
    <row r="66" spans="1:32" x14ac:dyDescent="0.2">
      <c r="A66" s="18">
        <v>1</v>
      </c>
      <c r="B66" s="12">
        <f>output_NHTS!B116/SUM(output_NHTS!B$115:B$118)</f>
        <v>3.3704342820102713E-2</v>
      </c>
      <c r="C66" s="12">
        <f>output_NHTS!C116/SUM(output_NHTS!C$115:C$118)</f>
        <v>3.4352369135798061E-2</v>
      </c>
      <c r="D66" s="12">
        <f>output_NHTS!D116/SUM(output_NHTS!D$115:D$118)</f>
        <v>7.0483250258273761E-2</v>
      </c>
      <c r="E66" s="12">
        <f>output_NHTS!E116/SUM(output_NHTS!E$115:E$118)</f>
        <v>8.5077935738040691E-2</v>
      </c>
      <c r="F66" s="12">
        <f>output_NHTS!F116/SUM(output_NHTS!F$115:F$118)</f>
        <v>7.8380182740130519E-2</v>
      </c>
      <c r="G66" s="12">
        <f>output_NHTS!G116/SUM(output_NHTS!G$115:G$118)</f>
        <v>0</v>
      </c>
      <c r="H66" s="12">
        <f>output_NHTS!H116/SUM(output_NHTS!H$115:H$118)</f>
        <v>4.6566689856789682E-2</v>
      </c>
      <c r="I66" s="12">
        <f>output_NHTS!I116/SUM(output_NHTS!I$115:I$118)</f>
        <v>2.4888834704140397E-2</v>
      </c>
      <c r="J66" s="12">
        <f>output_NHTS!J116/SUM(output_NHTS!J$115:J$118)</f>
        <v>4.6115210706148144E-2</v>
      </c>
      <c r="L66" s="18">
        <v>1</v>
      </c>
      <c r="M66" s="12">
        <f>output!B116/SUM(output!B$115:B$118)</f>
        <v>5.1627850408034276E-2</v>
      </c>
      <c r="N66" s="12">
        <f>output!C116/SUM(output!C$115:C$118)</f>
        <v>6.1248338972188975E-2</v>
      </c>
      <c r="O66" s="12">
        <f>output!D116/SUM(output!D$115:D$118)</f>
        <v>0.10572350752704068</v>
      </c>
      <c r="P66" s="12">
        <f>output!E116/SUM(output!E$115:E$118)</f>
        <v>0.11264947737917143</v>
      </c>
      <c r="Q66" s="12">
        <f>output!F116/SUM(output!F$115:F$118)</f>
        <v>2.8322034141237511E-2</v>
      </c>
      <c r="R66" s="12">
        <f>output!G116/SUM(output!G$115:G$118)</f>
        <v>6.5747966129835633E-2</v>
      </c>
      <c r="S66" s="28">
        <f>output!H116/SUM(output!H$115:H$118)</f>
        <v>4.2307154639751723E-2</v>
      </c>
      <c r="T66" s="28">
        <f>output!I116/SUM(output!I$115:I$118)</f>
        <v>5.674424057682162E-2</v>
      </c>
      <c r="U66" s="12">
        <f>output!J116/SUM(output!J$115:J$118)</f>
        <v>5.9611071047968138E-2</v>
      </c>
      <c r="W66" s="18">
        <v>1</v>
      </c>
      <c r="X66" s="12">
        <f t="shared" si="15"/>
        <v>1.7923507587931563E-2</v>
      </c>
      <c r="Y66" s="12">
        <f t="shared" si="15"/>
        <v>2.6895969836390914E-2</v>
      </c>
      <c r="Z66" s="12">
        <f t="shared" si="15"/>
        <v>3.5240257268766922E-2</v>
      </c>
      <c r="AA66" s="12">
        <f t="shared" si="15"/>
        <v>2.7571541641130737E-2</v>
      </c>
      <c r="AB66" s="12">
        <f t="shared" si="15"/>
        <v>-5.0058148598893008E-2</v>
      </c>
      <c r="AC66" s="12">
        <f t="shared" si="15"/>
        <v>6.5747966129835633E-2</v>
      </c>
      <c r="AD66" s="12">
        <f t="shared" si="15"/>
        <v>-4.2595352170379588E-3</v>
      </c>
      <c r="AE66" s="12">
        <f t="shared" si="15"/>
        <v>3.1855405872681222E-2</v>
      </c>
      <c r="AF66" s="12">
        <f t="shared" si="15"/>
        <v>1.3495860341819994E-2</v>
      </c>
    </row>
    <row r="67" spans="1:32" x14ac:dyDescent="0.2">
      <c r="A67" s="18">
        <v>2</v>
      </c>
      <c r="B67" s="12">
        <f>output_NHTS!B117/SUM(output_NHTS!B$115:B$118)</f>
        <v>6.2832430658618145E-4</v>
      </c>
      <c r="C67" s="12">
        <f>output_NHTS!C117/SUM(output_NHTS!C$115:C$118)</f>
        <v>5.5985245786894381E-3</v>
      </c>
      <c r="D67" s="12">
        <f>output_NHTS!D117/SUM(output_NHTS!D$115:D$118)</f>
        <v>2.5092622863257662E-2</v>
      </c>
      <c r="E67" s="12">
        <f>output_NHTS!E117/SUM(output_NHTS!E$115:E$118)</f>
        <v>7.4930497286284396E-3</v>
      </c>
      <c r="F67" s="12">
        <f>output_NHTS!F117/SUM(output_NHTS!F$115:F$118)</f>
        <v>0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4.3553144889590849E-3</v>
      </c>
      <c r="L67" s="18">
        <v>2</v>
      </c>
      <c r="M67" s="12">
        <f>output!B117/SUM(output!B$115:B$118)</f>
        <v>5.3234865447382223E-4</v>
      </c>
      <c r="N67" s="12">
        <f>output!C117/SUM(output!C$115:C$118)</f>
        <v>3.8451026774354675E-3</v>
      </c>
      <c r="O67" s="12">
        <f>output!D117/SUM(output!D$115:D$118)</f>
        <v>1.1777170029812501E-2</v>
      </c>
      <c r="P67" s="12">
        <f>output!E117/SUM(output!E$115:E$118)</f>
        <v>5.5244297126318771E-3</v>
      </c>
      <c r="Q67" s="12">
        <f>output!F117/SUM(output!F$115:F$118)</f>
        <v>3.2965930427553787E-4</v>
      </c>
      <c r="R67" s="12">
        <f>output!G117/SUM(output!G$115:G$118)</f>
        <v>7.9694504399800768E-4</v>
      </c>
      <c r="S67" s="28">
        <f>output!H117/SUM(output!H$115:H$118)</f>
        <v>5.0325719238404115E-5</v>
      </c>
      <c r="T67" s="28">
        <f>output!I117/SUM(output!I$115:I$118)</f>
        <v>2.1103229966586552E-4</v>
      </c>
      <c r="U67" s="12">
        <f>output!J117/SUM(output!J$115:J$118)</f>
        <v>1.9651620912441207E-3</v>
      </c>
      <c r="W67" s="18">
        <v>2</v>
      </c>
      <c r="X67" s="12">
        <f t="shared" si="15"/>
        <v>-9.5975652112359217E-5</v>
      </c>
      <c r="Y67" s="12">
        <f t="shared" si="15"/>
        <v>-1.7534219012539706E-3</v>
      </c>
      <c r="Z67" s="12">
        <f t="shared" si="15"/>
        <v>-1.331545283344516E-2</v>
      </c>
      <c r="AA67" s="12">
        <f t="shared" si="15"/>
        <v>-1.9686200159965625E-3</v>
      </c>
      <c r="AB67" s="12">
        <f t="shared" si="15"/>
        <v>3.2965930427553787E-4</v>
      </c>
      <c r="AC67" s="12">
        <f t="shared" si="15"/>
        <v>7.9694504399800768E-4</v>
      </c>
      <c r="AD67" s="12">
        <f t="shared" si="15"/>
        <v>5.0325719238404115E-5</v>
      </c>
      <c r="AE67" s="12">
        <f t="shared" si="15"/>
        <v>2.1103229966586552E-4</v>
      </c>
      <c r="AF67" s="12">
        <f t="shared" si="15"/>
        <v>-2.3901523977149642E-3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5" thickBot="1" x14ac:dyDescent="0.25">
      <c r="A69" s="21" t="s">
        <v>221</v>
      </c>
      <c r="B69" s="14">
        <f t="shared" ref="B69:J69" si="16">SUM(B65:B68)</f>
        <v>1</v>
      </c>
      <c r="C69" s="14">
        <f t="shared" si="16"/>
        <v>1</v>
      </c>
      <c r="D69" s="14">
        <f t="shared" si="16"/>
        <v>0.99999999999999989</v>
      </c>
      <c r="E69" s="14">
        <f t="shared" si="16"/>
        <v>0.99999999999999989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0.99999999999999989</v>
      </c>
      <c r="O69" s="14">
        <f t="shared" si="17"/>
        <v>0.99999999999999989</v>
      </c>
      <c r="P69" s="14">
        <f t="shared" si="17"/>
        <v>1</v>
      </c>
      <c r="Q69" s="14">
        <f t="shared" si="17"/>
        <v>0.99999999999999989</v>
      </c>
      <c r="R69" s="14">
        <f t="shared" si="17"/>
        <v>1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0.86153971804448581</v>
      </c>
      <c r="C77" s="12">
        <f>output_NHTS!C122/SUM(output_NHTS!C$122:C$125)</f>
        <v>0.8156383387699484</v>
      </c>
      <c r="D77" s="12">
        <f>output_NHTS!D122/SUM(output_NHTS!D$122:D$125)</f>
        <v>0.77312716703077611</v>
      </c>
      <c r="E77" s="12">
        <f>output_NHTS!E122/SUM(output_NHTS!E$122:E$125)</f>
        <v>0.61430946717683854</v>
      </c>
      <c r="F77" s="12">
        <f>output_NHTS!F122/SUM(output_NHTS!F$122:F$125)</f>
        <v>0.71443737204362856</v>
      </c>
      <c r="G77" s="12">
        <f>output_NHTS!G122/SUM(output_NHTS!G$122:G$125)</f>
        <v>0.96719940602362797</v>
      </c>
      <c r="H77" s="12">
        <f>output_NHTS!H122/SUM(output_NHTS!H$122:H$125)</f>
        <v>0.74628075608140965</v>
      </c>
      <c r="I77" s="12">
        <f>output_NHTS!I122/SUM(output_NHTS!I$122:I$125)</f>
        <v>0.74211220003602407</v>
      </c>
      <c r="J77" s="12">
        <f>output_NHTS!J122/SUM(output_NHTS!J$122:J$125)</f>
        <v>0.78807927201454608</v>
      </c>
      <c r="L77" s="18">
        <v>0</v>
      </c>
      <c r="M77" s="12">
        <f>output!B122/SUM(output!B$122:B$125)</f>
        <v>0.80801752962310913</v>
      </c>
      <c r="N77" s="12">
        <f>output!C122/SUM(output!C$122:C$125)</f>
        <v>0.68295809026567023</v>
      </c>
      <c r="O77" s="12">
        <f>output!D122/SUM(output!D$122:D$125)</f>
        <v>0.62893290955231973</v>
      </c>
      <c r="P77" s="12">
        <f>output!E122/SUM(output!E$122:E$125)</f>
        <v>0.60356105717051423</v>
      </c>
      <c r="Q77" s="12">
        <f>output!F122/SUM(output!F$122:F$125)</f>
        <v>0.88507789992690167</v>
      </c>
      <c r="R77" s="12">
        <f>output!G122/SUM(output!G$122:G$125)</f>
        <v>0.84340029885439149</v>
      </c>
      <c r="S77" s="28">
        <f>output!H122/SUM(output!H$122:H$125)</f>
        <v>0.69901305672826908</v>
      </c>
      <c r="T77" s="28">
        <f>output!I122/SUM(output!I$122:I$125)</f>
        <v>0.53406413037106515</v>
      </c>
      <c r="U77" s="12">
        <f>output!J122/SUM(output!J$122:J$125)</f>
        <v>0.73431441381465667</v>
      </c>
      <c r="W77" s="18">
        <v>0</v>
      </c>
      <c r="X77" s="12">
        <f t="shared" ref="X77:AF81" si="18">M77-B77</f>
        <v>-5.3522188421376682E-2</v>
      </c>
      <c r="Y77" s="12">
        <f t="shared" si="18"/>
        <v>-0.13268024850427818</v>
      </c>
      <c r="Z77" s="12">
        <f t="shared" si="18"/>
        <v>-0.14419425747845638</v>
      </c>
      <c r="AA77" s="12">
        <f t="shared" si="18"/>
        <v>-1.0748410006324316E-2</v>
      </c>
      <c r="AB77" s="12">
        <f t="shared" si="18"/>
        <v>0.17064052788327311</v>
      </c>
      <c r="AC77" s="12">
        <f t="shared" si="18"/>
        <v>-0.12379910716923648</v>
      </c>
      <c r="AD77" s="12">
        <f t="shared" si="18"/>
        <v>-4.7267699353140569E-2</v>
      </c>
      <c r="AE77" s="12">
        <f t="shared" si="18"/>
        <v>-0.20804806966495892</v>
      </c>
      <c r="AF77" s="12">
        <f t="shared" si="18"/>
        <v>-5.3764858199889409E-2</v>
      </c>
    </row>
    <row r="78" spans="1:32" x14ac:dyDescent="0.2">
      <c r="A78" s="18">
        <v>1</v>
      </c>
      <c r="B78" s="12">
        <f>output_NHTS!B123/SUM(output_NHTS!B$122:B$125)</f>
        <v>0.12398467079481698</v>
      </c>
      <c r="C78" s="12">
        <f>output_NHTS!C123/SUM(output_NHTS!C$122:C$125)</f>
        <v>0.16651881634809756</v>
      </c>
      <c r="D78" s="12">
        <f>output_NHTS!D123/SUM(output_NHTS!D$122:D$125)</f>
        <v>0.21311803822043293</v>
      </c>
      <c r="E78" s="12">
        <f>output_NHTS!E123/SUM(output_NHTS!E$122:E$125)</f>
        <v>0.35110605890328667</v>
      </c>
      <c r="F78" s="12">
        <f>output_NHTS!F123/SUM(output_NHTS!F$122:F$125)</f>
        <v>0.28556262795637144</v>
      </c>
      <c r="G78" s="12">
        <f>output_NHTS!G123/SUM(output_NHTS!G$122:G$125)</f>
        <v>3.2800593976372132E-2</v>
      </c>
      <c r="H78" s="12">
        <f>output_NHTS!H123/SUM(output_NHTS!H$122:H$125)</f>
        <v>0.24843372737689701</v>
      </c>
      <c r="I78" s="12">
        <f>output_NHTS!I123/SUM(output_NHTS!I$122:I$125)</f>
        <v>0.23977160108807469</v>
      </c>
      <c r="J78" s="12">
        <f>output_NHTS!J123/SUM(output_NHTS!J$122:J$125)</f>
        <v>0.19601007549903463</v>
      </c>
      <c r="L78" s="18">
        <v>1</v>
      </c>
      <c r="M78" s="12">
        <f>output!B123/SUM(output!B$122:B$125)</f>
        <v>0.17242912485470072</v>
      </c>
      <c r="N78" s="12">
        <f>output!C123/SUM(output!C$122:C$125)</f>
        <v>0.2770547267432546</v>
      </c>
      <c r="O78" s="12">
        <f>output!D123/SUM(output!D$122:D$125)</f>
        <v>0.31167615246261116</v>
      </c>
      <c r="P78" s="12">
        <f>output!E123/SUM(output!E$122:E$125)</f>
        <v>0.33343111085037108</v>
      </c>
      <c r="Q78" s="12">
        <f>output!F123/SUM(output!F$122:F$125)</f>
        <v>0.10486032478607978</v>
      </c>
      <c r="R78" s="12">
        <f>output!G123/SUM(output!G$122:G$125)</f>
        <v>0.14139133322264652</v>
      </c>
      <c r="S78" s="28">
        <f>output!H123/SUM(output!H$122:H$125)</f>
        <v>0.27310649481365507</v>
      </c>
      <c r="T78" s="28">
        <f>output!I123/SUM(output!I$122:I$125)</f>
        <v>0.39604900638958906</v>
      </c>
      <c r="U78" s="12">
        <f>output!J123/SUM(output!J$122:J$125)</f>
        <v>0.23328898011550306</v>
      </c>
      <c r="W78" s="18">
        <v>1</v>
      </c>
      <c r="X78" s="12">
        <f t="shared" si="18"/>
        <v>4.8444454059883735E-2</v>
      </c>
      <c r="Y78" s="12">
        <f t="shared" si="18"/>
        <v>0.11053591039515703</v>
      </c>
      <c r="Z78" s="12">
        <f t="shared" si="18"/>
        <v>9.8558114242178224E-2</v>
      </c>
      <c r="AA78" s="12">
        <f t="shared" si="18"/>
        <v>-1.7674948052915584E-2</v>
      </c>
      <c r="AB78" s="12">
        <f t="shared" si="18"/>
        <v>-0.18070230317029168</v>
      </c>
      <c r="AC78" s="12">
        <f t="shared" si="18"/>
        <v>0.10859073924627438</v>
      </c>
      <c r="AD78" s="12">
        <f t="shared" si="18"/>
        <v>2.4672767436758059E-2</v>
      </c>
      <c r="AE78" s="12">
        <f t="shared" si="18"/>
        <v>0.15627740530151438</v>
      </c>
      <c r="AF78" s="12">
        <f t="shared" si="18"/>
        <v>3.7278904616468433E-2</v>
      </c>
    </row>
    <row r="79" spans="1:32" x14ac:dyDescent="0.2">
      <c r="A79" s="18">
        <v>2</v>
      </c>
      <c r="B79" s="12">
        <f>output_NHTS!B124/SUM(output_NHTS!B$122:B$125)</f>
        <v>1.3847286854111013E-2</v>
      </c>
      <c r="C79" s="12">
        <f>output_NHTS!C124/SUM(output_NHTS!C$122:C$125)</f>
        <v>1.7842844881954013E-2</v>
      </c>
      <c r="D79" s="12">
        <f>output_NHTS!D124/SUM(output_NHTS!D$122:D$125)</f>
        <v>1.3754794748790976E-2</v>
      </c>
      <c r="E79" s="12">
        <f>output_NHTS!E124/SUM(output_NHTS!E$122:E$125)</f>
        <v>3.4584473919874709E-2</v>
      </c>
      <c r="F79" s="12">
        <f>output_NHTS!F124/SUM(output_NHTS!F$122:F$125)</f>
        <v>0</v>
      </c>
      <c r="G79" s="12">
        <f>output_NHTS!G124/SUM(output_NHTS!G$122:G$125)</f>
        <v>0</v>
      </c>
      <c r="H79" s="12">
        <f>output_NHTS!H124/SUM(output_NHTS!H$122:H$125)</f>
        <v>5.2855165416934415E-3</v>
      </c>
      <c r="I79" s="12">
        <f>output_NHTS!I124/SUM(output_NHTS!I$122:I$125)</f>
        <v>1.8116198875901227E-2</v>
      </c>
      <c r="J79" s="12">
        <f>output_NHTS!J124/SUM(output_NHTS!J$122:J$125)</f>
        <v>1.564754155294901E-2</v>
      </c>
      <c r="L79" s="18">
        <v>2</v>
      </c>
      <c r="M79" s="12">
        <f>output!B124/SUM(output!B$122:B$125)</f>
        <v>1.7812744865427443E-2</v>
      </c>
      <c r="N79" s="12">
        <f>output!C124/SUM(output!C$122:C$125)</f>
        <v>3.6113807499835074E-2</v>
      </c>
      <c r="O79" s="12">
        <f>output!D124/SUM(output!D$122:D$125)</f>
        <v>5.4155271392317739E-2</v>
      </c>
      <c r="P79" s="12">
        <f>output!E124/SUM(output!E$122:E$125)</f>
        <v>5.7268291728999832E-2</v>
      </c>
      <c r="Q79" s="12">
        <f>output!F124/SUM(output!F$122:F$125)</f>
        <v>9.0584643609626057E-3</v>
      </c>
      <c r="R79" s="12">
        <f>output!G124/SUM(output!G$122:G$125)</f>
        <v>1.3913332226465217E-2</v>
      </c>
      <c r="S79" s="28">
        <f>output!H124/SUM(output!H$122:H$125)</f>
        <v>2.5224368831604553E-2</v>
      </c>
      <c r="T79" s="28">
        <f>output!I124/SUM(output!I$122:I$125)</f>
        <v>6.3145553666686213E-2</v>
      </c>
      <c r="U79" s="12">
        <f>output!J124/SUM(output!J$122:J$125)</f>
        <v>2.940557742435641E-2</v>
      </c>
      <c r="W79" s="18">
        <v>2</v>
      </c>
      <c r="X79" s="12">
        <f t="shared" si="18"/>
        <v>3.9654580113164303E-3</v>
      </c>
      <c r="Y79" s="12">
        <f t="shared" si="18"/>
        <v>1.8270962617881061E-2</v>
      </c>
      <c r="Z79" s="12">
        <f t="shared" si="18"/>
        <v>4.0400476643526764E-2</v>
      </c>
      <c r="AA79" s="12">
        <f t="shared" si="18"/>
        <v>2.2683817809125123E-2</v>
      </c>
      <c r="AB79" s="12">
        <f t="shared" si="18"/>
        <v>9.0584643609626057E-3</v>
      </c>
      <c r="AC79" s="12">
        <f t="shared" si="18"/>
        <v>1.3913332226465217E-2</v>
      </c>
      <c r="AD79" s="12">
        <f t="shared" si="18"/>
        <v>1.9938852289911112E-2</v>
      </c>
      <c r="AE79" s="12">
        <f t="shared" si="18"/>
        <v>4.5029354790784987E-2</v>
      </c>
      <c r="AF79" s="12">
        <f t="shared" si="18"/>
        <v>1.3758035871407399E-2</v>
      </c>
    </row>
    <row r="80" spans="1:32" x14ac:dyDescent="0.2">
      <c r="A80" s="23" t="s">
        <v>116</v>
      </c>
      <c r="B80" s="12">
        <f>output_NHTS!B125/SUM(output_NHTS!B$122:B$125)</f>
        <v>6.2832430658618145E-4</v>
      </c>
      <c r="C80" s="12">
        <f>output_NHTS!C125/SUM(output_NHTS!C$122:C$125)</f>
        <v>0</v>
      </c>
      <c r="D80" s="12">
        <f>output_NHTS!D125/SUM(output_NHTS!D$122:D$125)</f>
        <v>0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0</v>
      </c>
      <c r="I80" s="12">
        <f>output_NHTS!I125/SUM(output_NHTS!I$122:I$125)</f>
        <v>0</v>
      </c>
      <c r="J80" s="12">
        <f>output_NHTS!J125/SUM(output_NHTS!J$122:J$125)</f>
        <v>2.631109334704491E-4</v>
      </c>
      <c r="L80" s="23" t="s">
        <v>116</v>
      </c>
      <c r="M80" s="13">
        <f>output!B125/SUM(output!B$122:B$125)</f>
        <v>1.740600656762722E-3</v>
      </c>
      <c r="N80" s="13">
        <f>output!C125/SUM(output!C$122:C$125)</f>
        <v>3.8733754912401398E-3</v>
      </c>
      <c r="O80" s="13">
        <f>output!D125/SUM(output!D$122:D$125)</f>
        <v>5.235666592751374E-3</v>
      </c>
      <c r="P80" s="13">
        <f>output!E125/SUM(output!E$122:E$125)</f>
        <v>5.7395402501148884E-3</v>
      </c>
      <c r="Q80" s="13">
        <f>output!F125/SUM(output!F$122:F$125)</f>
        <v>1.0033109260559848E-3</v>
      </c>
      <c r="R80" s="13">
        <f>output!G125/SUM(output!G$122:G$125)</f>
        <v>1.2950356964967623E-3</v>
      </c>
      <c r="S80" s="30">
        <f>output!H125/SUM(output!H$122:H$125)</f>
        <v>2.6560796264713284E-3</v>
      </c>
      <c r="T80" s="30">
        <f>output!I125/SUM(output!I$122:I$125)</f>
        <v>6.7413095726595934E-3</v>
      </c>
      <c r="U80" s="13">
        <f>output!J125/SUM(output!J$122:J$125)</f>
        <v>2.9910286454838931E-3</v>
      </c>
      <c r="W80" s="23" t="s">
        <v>116</v>
      </c>
      <c r="X80" s="12">
        <f t="shared" si="18"/>
        <v>1.1122763501765407E-3</v>
      </c>
      <c r="Y80" s="12">
        <f t="shared" si="18"/>
        <v>3.8733754912401398E-3</v>
      </c>
      <c r="Z80" s="12">
        <f t="shared" si="18"/>
        <v>5.235666592751374E-3</v>
      </c>
      <c r="AA80" s="12">
        <f t="shared" si="18"/>
        <v>5.7395402501148884E-3</v>
      </c>
      <c r="AB80" s="12">
        <f t="shared" si="18"/>
        <v>1.0033109260559848E-3</v>
      </c>
      <c r="AC80" s="12">
        <f t="shared" si="18"/>
        <v>1.2950356964967623E-3</v>
      </c>
      <c r="AD80" s="12">
        <f t="shared" si="18"/>
        <v>2.6560796264713284E-3</v>
      </c>
      <c r="AE80" s="12">
        <f t="shared" si="18"/>
        <v>6.7413095726595934E-3</v>
      </c>
      <c r="AF80" s="12">
        <f t="shared" si="18"/>
        <v>2.7279177120134441E-3</v>
      </c>
    </row>
    <row r="81" spans="1:32" ht="13.5" thickBot="1" x14ac:dyDescent="0.25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1</v>
      </c>
      <c r="E81" s="14">
        <f t="shared" si="19"/>
        <v>0.99999999999999989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1.0000000000000002</v>
      </c>
      <c r="L81" s="21" t="s">
        <v>221</v>
      </c>
      <c r="M81" s="14">
        <f>SUM(M77:M80)</f>
        <v>1</v>
      </c>
      <c r="N81" s="14">
        <f t="shared" ref="N81:U81" si="20">SUM(N77:N80)</f>
        <v>1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0.99999999999999989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5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5" defaultRowHeight="12.75" x14ac:dyDescent="0.2"/>
  <cols>
    <col min="1" max="1" width="21.375" style="3" customWidth="1" collapsed="1"/>
    <col min="2" max="5" width="10.75" style="3" collapsed="1"/>
    <col min="6" max="6" width="21.375" style="3" customWidth="1" collapsed="1"/>
    <col min="7" max="9" width="12.125" style="3" bestFit="1" customWidth="1" collapsed="1"/>
    <col min="10" max="10" width="10.75" style="3" collapsed="1"/>
    <col min="11" max="11" width="21.375" style="3" customWidth="1" collapsed="1"/>
    <col min="12" max="16384" width="10.75" style="3" collapsed="1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0.89636242323194293</v>
      </c>
      <c r="C5" s="12">
        <f>output_NHTS!C129/SUM(output_NHTS!C$129:C$132)</f>
        <v>0.9755452744545029</v>
      </c>
      <c r="D5" s="12">
        <f>output_NHTS!D129/SUM(output_NHTS!D$129:D$132)</f>
        <v>0.90708850535799679</v>
      </c>
      <c r="F5" s="18">
        <v>0</v>
      </c>
      <c r="G5" s="12">
        <f>output!B129/SUM(output!B$129:B$132)</f>
        <v>0.88134823853450994</v>
      </c>
      <c r="H5" s="92">
        <f>output!C129/SUM(output!C$129:C$132)</f>
        <v>0.90944187238919638</v>
      </c>
      <c r="I5" s="12">
        <f>output!D129/SUM(output!D$129:D$132)</f>
        <v>0.88705806629580253</v>
      </c>
      <c r="J5"/>
      <c r="K5" s="18">
        <v>0</v>
      </c>
      <c r="L5" s="12">
        <f t="shared" ref="L5:N9" si="0">G5-B5</f>
        <v>-1.5014184697432986E-2</v>
      </c>
      <c r="M5" s="12">
        <f t="shared" si="0"/>
        <v>-6.6103402065306516E-2</v>
      </c>
      <c r="N5" s="12">
        <f t="shared" si="0"/>
        <v>-2.0030439062194261E-2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8.9328840418714667E-2</v>
      </c>
      <c r="C6" s="12">
        <f>output_NHTS!C130/SUM(output_NHTS!C$129:C$132)</f>
        <v>2.4454725545497127E-2</v>
      </c>
      <c r="D6" s="12">
        <f>output_NHTS!D130/SUM(output_NHTS!D$129:D$132)</f>
        <v>8.0541014857478346E-2</v>
      </c>
      <c r="F6" s="18">
        <v>1</v>
      </c>
      <c r="G6" s="12">
        <f>output!B130/SUM(output!B$129:B$132)</f>
        <v>0.10990983020072782</v>
      </c>
      <c r="H6" s="92">
        <f>output!C130/SUM(output!C$129:C$132)</f>
        <v>8.4978359548189594E-2</v>
      </c>
      <c r="I6" s="12">
        <f>output!D130/SUM(output!D$129:D$132)</f>
        <v>0.10484268922501648</v>
      </c>
      <c r="J6"/>
      <c r="K6" s="18">
        <v>1</v>
      </c>
      <c r="L6" s="12">
        <f t="shared" si="0"/>
        <v>2.0580989782013157E-2</v>
      </c>
      <c r="M6" s="12">
        <f t="shared" si="0"/>
        <v>6.0523634002692464E-2</v>
      </c>
      <c r="N6" s="12">
        <f t="shared" si="0"/>
        <v>2.4301674367538134E-2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1.233869458585758E-2</v>
      </c>
      <c r="C7" s="12">
        <f>output_NHTS!C131/SUM(output_NHTS!C$129:C$132)</f>
        <v>0</v>
      </c>
      <c r="D7" s="12">
        <f>output_NHTS!D131/SUM(output_NHTS!D$129:D$132)</f>
        <v>1.0667299209045257E-2</v>
      </c>
      <c r="F7" s="18">
        <v>2</v>
      </c>
      <c r="G7" s="12">
        <f>output!B131/SUM(output!B$129:B$132)</f>
        <v>7.9244789462751108E-3</v>
      </c>
      <c r="H7" s="92">
        <f>output!C131/SUM(output!C$129:C$132)</f>
        <v>4.9840901207944387E-3</v>
      </c>
      <c r="I7" s="12">
        <f>output!D131/SUM(output!D$129:D$132)</f>
        <v>7.3268661977227102E-3</v>
      </c>
      <c r="J7"/>
      <c r="K7" s="18">
        <v>2</v>
      </c>
      <c r="L7" s="12">
        <f t="shared" si="0"/>
        <v>-4.4142156395824694E-3</v>
      </c>
      <c r="M7" s="12">
        <f t="shared" si="0"/>
        <v>4.9840901207944387E-3</v>
      </c>
      <c r="N7" s="12">
        <f t="shared" si="0"/>
        <v>-3.3404330113225465E-3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1.9700417634849355E-3</v>
      </c>
      <c r="C8" s="13">
        <f>output_NHTS!C132/SUM(output_NHTS!C$129:C$132)</f>
        <v>0</v>
      </c>
      <c r="D8" s="13">
        <f>output_NHTS!D132/SUM(output_NHTS!D$129:D$132)</f>
        <v>1.703180575479684E-3</v>
      </c>
      <c r="F8" s="23" t="s">
        <v>116</v>
      </c>
      <c r="G8" s="13">
        <f>output!B132/SUM(output!B$129:B$132)</f>
        <v>8.1745231848711698E-4</v>
      </c>
      <c r="H8" s="90">
        <f>output!C132/SUM(output!C$129:C$132)</f>
        <v>5.9567794181960762E-4</v>
      </c>
      <c r="I8" s="13">
        <f>output!D132/SUM(output!D$129:D$132)</f>
        <v>7.7237828145832377E-4</v>
      </c>
      <c r="J8"/>
      <c r="K8" s="23" t="s">
        <v>116</v>
      </c>
      <c r="L8" s="12">
        <f t="shared" si="0"/>
        <v>-1.1525894449978184E-3</v>
      </c>
      <c r="M8" s="12">
        <f t="shared" si="0"/>
        <v>5.9567794181960762E-4</v>
      </c>
      <c r="N8" s="12">
        <f t="shared" si="0"/>
        <v>-9.3080229402136021E-4</v>
      </c>
      <c r="O8"/>
      <c r="P8"/>
      <c r="Q8"/>
    </row>
    <row r="9" spans="1:17" ht="13.5" thickBot="1" x14ac:dyDescent="0.25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0.12398481650838922</v>
      </c>
      <c r="C16" s="12">
        <f>output_NHTS!C136/SUM(output_NHTS!C$136:C$142)</f>
        <v>0</v>
      </c>
      <c r="D16" s="12">
        <f>output_NHTS!D136/SUM(output_NHTS!D$136:D$142)</f>
        <v>0.12014581963341375</v>
      </c>
      <c r="F16" s="18" t="s">
        <v>117</v>
      </c>
      <c r="G16" s="12">
        <f>output!B136/SUM(output!B$136:B$142)</f>
        <v>0.22020329225510479</v>
      </c>
      <c r="H16" s="12">
        <f>output!C136/SUM(output!C$136:C$142)</f>
        <v>0.20763964524661585</v>
      </c>
      <c r="I16" s="12">
        <f>output!D136/SUM(output!D$136:D$142)</f>
        <v>0.21817336215998792</v>
      </c>
      <c r="K16" s="18" t="s">
        <v>117</v>
      </c>
      <c r="L16" s="12">
        <f t="shared" ref="L16:L23" si="1">G16-B16</f>
        <v>9.6218475746715576E-2</v>
      </c>
      <c r="M16" s="12">
        <f t="shared" ref="M16:M23" si="2">H16-C16</f>
        <v>0.20763964524661585</v>
      </c>
      <c r="N16" s="12">
        <f t="shared" ref="N16:N23" si="3">I16-D16</f>
        <v>9.8027542526574168E-2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0</v>
      </c>
      <c r="D17" s="12">
        <f>output_NHTS!D137/SUM(output_NHTS!D$136:D$142)</f>
        <v>0</v>
      </c>
      <c r="F17" s="18" t="s">
        <v>118</v>
      </c>
      <c r="G17" s="12">
        <f>output!B137/SUM(output!B$136:B$142)</f>
        <v>0</v>
      </c>
      <c r="H17" s="12">
        <f>output!C137/SUM(output!C$136:C$142)</f>
        <v>3.0885327524505991E-2</v>
      </c>
      <c r="I17" s="12">
        <f>output!D137/SUM(output!D$136:D$142)</f>
        <v>4.9901955854995224E-3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2.8124236386812308E-2</v>
      </c>
      <c r="C18" s="12">
        <f>output_NHTS!C138/SUM(output_NHTS!C$136:C$142)</f>
        <v>5.5341211442453769E-2</v>
      </c>
      <c r="D18" s="12">
        <f>output_NHTS!D138/SUM(output_NHTS!D$136:D$142)</f>
        <v>2.8966967659296978E-2</v>
      </c>
      <c r="F18" s="18" t="s">
        <v>4</v>
      </c>
      <c r="G18" s="12">
        <f>output!B138/SUM(output!B$136:B$142)</f>
        <v>3.6430691733381308E-2</v>
      </c>
      <c r="H18" s="12">
        <f>output!C138/SUM(output!C$136:C$142)</f>
        <v>2.4117006379337173E-2</v>
      </c>
      <c r="I18" s="12">
        <f>output!D138/SUM(output!D$136:D$142)</f>
        <v>3.4441148373472771E-2</v>
      </c>
      <c r="K18" s="18" t="s">
        <v>4</v>
      </c>
      <c r="L18" s="12">
        <f t="shared" si="1"/>
        <v>8.306455346569E-3</v>
      </c>
      <c r="M18" s="12">
        <f t="shared" si="2"/>
        <v>-3.1224205063116597E-2</v>
      </c>
      <c r="N18" s="12">
        <f t="shared" si="3"/>
        <v>5.4741807141757935E-3</v>
      </c>
    </row>
    <row r="19" spans="1:15" x14ac:dyDescent="0.2">
      <c r="A19" s="18" t="s">
        <v>5</v>
      </c>
      <c r="B19" s="12">
        <f>output_NHTS!B139/SUM(output_NHTS!B$136:B$142)</f>
        <v>5.7009680147926491E-2</v>
      </c>
      <c r="C19" s="12">
        <f>output_NHTS!C139/SUM(output_NHTS!C$136:C$142)</f>
        <v>0</v>
      </c>
      <c r="D19" s="12">
        <f>output_NHTS!D139/SUM(output_NHTS!D$136:D$142)</f>
        <v>5.5244464131202119E-2</v>
      </c>
      <c r="F19" s="18" t="s">
        <v>5</v>
      </c>
      <c r="G19" s="12">
        <f>output!B139/SUM(output!B$136:B$142)</f>
        <v>0.10669844982159456</v>
      </c>
      <c r="H19" s="12">
        <f>output!C139/SUM(output!C$136:C$142)</f>
        <v>0.10479228255795861</v>
      </c>
      <c r="I19" s="12">
        <f>output!D139/SUM(output!D$136:D$142)</f>
        <v>0.10639046709236261</v>
      </c>
      <c r="K19" s="18" t="s">
        <v>5</v>
      </c>
      <c r="L19" s="12">
        <f t="shared" si="1"/>
        <v>4.9688769673668066E-2</v>
      </c>
      <c r="M19" s="12">
        <f t="shared" si="2"/>
        <v>0.10479228255795861</v>
      </c>
      <c r="N19" s="12">
        <f t="shared" si="3"/>
        <v>5.1146002961160487E-2</v>
      </c>
    </row>
    <row r="20" spans="1:15" x14ac:dyDescent="0.2">
      <c r="A20" s="18" t="s">
        <v>6</v>
      </c>
      <c r="B20" s="12">
        <f>output_NHTS!B140/SUM(output_NHTS!B$136:B$142)</f>
        <v>0.23466834079194243</v>
      </c>
      <c r="C20" s="12">
        <f>output_NHTS!C140/SUM(output_NHTS!C$136:C$142)</f>
        <v>0.94465878855754626</v>
      </c>
      <c r="D20" s="12">
        <f>output_NHTS!D140/SUM(output_NHTS!D$136:D$142)</f>
        <v>0.25665208998795919</v>
      </c>
      <c r="F20" s="18" t="s">
        <v>6</v>
      </c>
      <c r="G20" s="12">
        <f>output!B140/SUM(output!B$136:B$142)</f>
        <v>0.10641360079158046</v>
      </c>
      <c r="H20" s="12">
        <f>output!C140/SUM(output!C$136:C$142)</f>
        <v>8.7365800529018198E-2</v>
      </c>
      <c r="I20" s="12">
        <f>output!D140/SUM(output!D$136:D$142)</f>
        <v>0.10333601488259841</v>
      </c>
      <c r="K20" s="18" t="s">
        <v>6</v>
      </c>
      <c r="L20" s="12">
        <f t="shared" si="1"/>
        <v>-0.12825474000036197</v>
      </c>
      <c r="M20" s="12">
        <f t="shared" si="2"/>
        <v>-0.85729298802852805</v>
      </c>
      <c r="N20" s="12">
        <f t="shared" si="3"/>
        <v>-0.15331607510536077</v>
      </c>
    </row>
    <row r="21" spans="1:15" x14ac:dyDescent="0.2">
      <c r="A21" s="18" t="s">
        <v>7</v>
      </c>
      <c r="B21" s="12">
        <f>output_NHTS!B141/SUM(output_NHTS!B$136:B$142)</f>
        <v>0.44227428154354914</v>
      </c>
      <c r="C21" s="12">
        <f>output_NHTS!C141/SUM(output_NHTS!C$136:C$142)</f>
        <v>0</v>
      </c>
      <c r="D21" s="12">
        <f>output_NHTS!D141/SUM(output_NHTS!D$136:D$142)</f>
        <v>0.42857994676496103</v>
      </c>
      <c r="F21" s="18" t="s">
        <v>7</v>
      </c>
      <c r="G21" s="12">
        <f>output!B141/SUM(output!B$136:B$142)</f>
        <v>0.42196635783034991</v>
      </c>
      <c r="H21" s="12">
        <f>output!C141/SUM(output!C$136:C$142)</f>
        <v>0.42103625330636379</v>
      </c>
      <c r="I21" s="12">
        <f>output!D141/SUM(output!D$136:D$142)</f>
        <v>0.42181607923978076</v>
      </c>
      <c r="K21" s="18" t="s">
        <v>7</v>
      </c>
      <c r="L21" s="12">
        <f t="shared" si="1"/>
        <v>-2.0307923713199227E-2</v>
      </c>
      <c r="M21" s="12">
        <f t="shared" si="2"/>
        <v>0.42103625330636379</v>
      </c>
      <c r="N21" s="12">
        <f t="shared" si="3"/>
        <v>-6.7638675251802671E-3</v>
      </c>
    </row>
    <row r="22" spans="1:15" x14ac:dyDescent="0.2">
      <c r="A22" s="23" t="s">
        <v>8</v>
      </c>
      <c r="B22" s="13">
        <f>output_NHTS!B142/SUM(output_NHTS!B$136:B$142)</f>
        <v>0.11393864462138038</v>
      </c>
      <c r="C22" s="13">
        <f>output_NHTS!C142/SUM(output_NHTS!C$136:C$142)</f>
        <v>0</v>
      </c>
      <c r="D22" s="13">
        <f>output_NHTS!D142/SUM(output_NHTS!D$136:D$142)</f>
        <v>0.11041071182316696</v>
      </c>
      <c r="F22" s="23" t="s">
        <v>8</v>
      </c>
      <c r="G22" s="13">
        <f>output!B142/SUM(output!B$136:B$142)</f>
        <v>0.10828760756798897</v>
      </c>
      <c r="H22" s="13">
        <f>output!C142/SUM(output!C$136:C$142)</f>
        <v>0.12416368445620041</v>
      </c>
      <c r="I22" s="13">
        <f>output!D142/SUM(output!D$136:D$142)</f>
        <v>0.11085273266629796</v>
      </c>
      <c r="K22" s="23" t="s">
        <v>8</v>
      </c>
      <c r="L22" s="12">
        <f t="shared" si="1"/>
        <v>-5.6510370533914139E-3</v>
      </c>
      <c r="M22" s="12">
        <f t="shared" si="2"/>
        <v>0.12416368445620041</v>
      </c>
      <c r="N22" s="12">
        <f t="shared" si="3"/>
        <v>4.4202084313099688E-4</v>
      </c>
      <c r="O22" s="36"/>
    </row>
    <row r="23" spans="1:15" ht="13.5" thickBot="1" x14ac:dyDescent="0.25">
      <c r="A23" s="21" t="s">
        <v>221</v>
      </c>
      <c r="B23" s="17">
        <f>SUM(B19:B22)</f>
        <v>0.8478909471047984</v>
      </c>
      <c r="C23" s="91">
        <f>SUM(C19:C22)</f>
        <v>0.94465878855754626</v>
      </c>
      <c r="D23" s="17">
        <f>SUM(D19:D22)</f>
        <v>0.85088721270728929</v>
      </c>
      <c r="F23" s="21" t="s">
        <v>221</v>
      </c>
      <c r="G23" s="14">
        <f>SUM(G16:G22)</f>
        <v>0.99999999999999989</v>
      </c>
      <c r="H23" s="14">
        <f>SUM(H16:H22)</f>
        <v>1</v>
      </c>
      <c r="I23" s="14">
        <f>SUM(I16:I22)</f>
        <v>0.99999999999999989</v>
      </c>
      <c r="K23" s="21" t="s">
        <v>221</v>
      </c>
      <c r="L23" s="14">
        <f t="shared" si="1"/>
        <v>0.15210905289520149</v>
      </c>
      <c r="M23" s="14">
        <f t="shared" si="2"/>
        <v>5.5341211442453742E-2</v>
      </c>
      <c r="N23" s="14">
        <f t="shared" si="3"/>
        <v>0.1491127872927106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H30" sqref="H30"/>
    </sheetView>
  </sheetViews>
  <sheetFormatPr defaultColWidth="10.75" defaultRowHeight="12.75" x14ac:dyDescent="0.2"/>
  <cols>
    <col min="1" max="16384" width="10.75" style="3" collapsed="1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r="3" spans="1:29" ht="13.5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201008</v>
      </c>
      <c r="M5" s="7">
        <f>output!C148</f>
        <v>127422</v>
      </c>
      <c r="N5" s="7">
        <f>output!D148</f>
        <v>105038</v>
      </c>
      <c r="O5" s="7">
        <f>output!E148</f>
        <v>125137</v>
      </c>
      <c r="P5" s="7">
        <f>output!F148</f>
        <v>106584</v>
      </c>
      <c r="Q5" s="7">
        <f>output!G148</f>
        <v>79579</v>
      </c>
      <c r="R5" s="7">
        <f>output!H148</f>
        <v>261773</v>
      </c>
      <c r="S5" s="7">
        <f>output!I148</f>
        <v>1006541</v>
      </c>
      <c r="U5" s="18">
        <v>0</v>
      </c>
      <c r="V5" s="7">
        <f>L5-B5</f>
        <v>201008</v>
      </c>
      <c r="W5" s="7">
        <f t="shared" ref="W5:W12" si="0">M5-C5</f>
        <v>127422</v>
      </c>
      <c r="X5" s="7">
        <f t="shared" ref="X5:X12" si="1">N5-D5</f>
        <v>105038</v>
      </c>
      <c r="Y5" s="7">
        <f t="shared" ref="Y5:Y12" si="2">O5-E5</f>
        <v>125137</v>
      </c>
      <c r="Z5" s="7">
        <f t="shared" ref="Z5:Z12" si="3">P5-F5</f>
        <v>106584</v>
      </c>
      <c r="AA5" s="7">
        <f t="shared" ref="AA5:AA12" si="4">Q5-G5</f>
        <v>79579</v>
      </c>
      <c r="AB5" s="7">
        <f t="shared" ref="AB5:AB12" si="5">R5-H5</f>
        <v>261773</v>
      </c>
      <c r="AC5" s="7">
        <f t="shared" ref="AC5:AC12" si="6">S5-I5</f>
        <v>1006541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204769</v>
      </c>
      <c r="M6" s="7">
        <f>output!C149</f>
        <v>66603</v>
      </c>
      <c r="N6" s="7">
        <f>output!D149</f>
        <v>68675</v>
      </c>
      <c r="O6" s="7">
        <f>output!E149</f>
        <v>55585</v>
      </c>
      <c r="P6" s="7">
        <f>output!F149</f>
        <v>45746</v>
      </c>
      <c r="Q6" s="7">
        <f>output!G149</f>
        <v>20344</v>
      </c>
      <c r="R6" s="7">
        <f>output!H149</f>
        <v>73673</v>
      </c>
      <c r="S6" s="7">
        <f>output!I149</f>
        <v>535395</v>
      </c>
      <c r="U6" s="18">
        <v>1</v>
      </c>
      <c r="V6" s="7">
        <f t="shared" ref="V6:V12" si="7">L6-B6</f>
        <v>204769</v>
      </c>
      <c r="W6" s="7">
        <f t="shared" si="0"/>
        <v>66603</v>
      </c>
      <c r="X6" s="7">
        <f t="shared" si="1"/>
        <v>68675</v>
      </c>
      <c r="Y6" s="7">
        <f t="shared" si="2"/>
        <v>55585</v>
      </c>
      <c r="Z6" s="7">
        <f t="shared" si="3"/>
        <v>45746</v>
      </c>
      <c r="AA6" s="7">
        <f t="shared" si="4"/>
        <v>20344</v>
      </c>
      <c r="AB6" s="7">
        <f t="shared" si="5"/>
        <v>73673</v>
      </c>
      <c r="AC6" s="7">
        <f t="shared" si="6"/>
        <v>535395</v>
      </c>
    </row>
    <row r="7" spans="1:29" x14ac:dyDescent="0.2">
      <c r="A7" s="19">
        <v>2</v>
      </c>
      <c r="B7" s="7">
        <f>output_NHTS!B150</f>
        <v>103254.0337908037</v>
      </c>
      <c r="C7" s="7">
        <f>output_NHTS!C150</f>
        <v>71426.979794398794</v>
      </c>
      <c r="D7" s="7">
        <f>output_NHTS!D150</f>
        <v>58631.6391351563</v>
      </c>
      <c r="E7" s="7">
        <f>output_NHTS!E150</f>
        <v>70143.0184423092</v>
      </c>
      <c r="F7" s="7">
        <f>output_NHTS!F150</f>
        <v>37286.096876464399</v>
      </c>
      <c r="G7" s="7">
        <f>output_NHTS!G150</f>
        <v>26696.8380650244</v>
      </c>
      <c r="H7" s="7">
        <f>output_NHTS!H150</f>
        <v>98234.240725116397</v>
      </c>
      <c r="I7" s="7">
        <f>output_NHTS!I150</f>
        <v>465672.84682927321</v>
      </c>
      <c r="K7" s="19">
        <v>2</v>
      </c>
      <c r="L7" s="7">
        <f>output!B150</f>
        <v>134878</v>
      </c>
      <c r="M7" s="7">
        <f>output!C150</f>
        <v>27087</v>
      </c>
      <c r="N7" s="7">
        <f>output!D150</f>
        <v>28345</v>
      </c>
      <c r="O7" s="7">
        <f>output!E150</f>
        <v>19419</v>
      </c>
      <c r="P7" s="7">
        <f>output!F150</f>
        <v>15629</v>
      </c>
      <c r="Q7" s="7">
        <f>output!G150</f>
        <v>5229</v>
      </c>
      <c r="R7" s="7">
        <f>output!H150</f>
        <v>16676</v>
      </c>
      <c r="S7" s="7">
        <f>output!I150</f>
        <v>247263</v>
      </c>
      <c r="U7" s="19">
        <v>2</v>
      </c>
      <c r="V7" s="7">
        <f t="shared" si="7"/>
        <v>31623.966209196296</v>
      </c>
      <c r="W7" s="7">
        <f t="shared" si="0"/>
        <v>-44339.979794398794</v>
      </c>
      <c r="X7" s="7">
        <f t="shared" si="1"/>
        <v>-30286.6391351563</v>
      </c>
      <c r="Y7" s="7">
        <f t="shared" si="2"/>
        <v>-50724.0184423092</v>
      </c>
      <c r="Z7" s="7">
        <f t="shared" si="3"/>
        <v>-21657.096876464399</v>
      </c>
      <c r="AA7" s="7">
        <f t="shared" si="4"/>
        <v>-21467.8380650244</v>
      </c>
      <c r="AB7" s="7">
        <f t="shared" si="5"/>
        <v>-81558.240725116397</v>
      </c>
      <c r="AC7" s="7">
        <f t="shared" si="6"/>
        <v>-218409.84682927321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62579</v>
      </c>
      <c r="M8" s="7">
        <f>output!C151</f>
        <v>7755</v>
      </c>
      <c r="N8" s="7">
        <f>output!D151</f>
        <v>9184</v>
      </c>
      <c r="O8" s="7">
        <f>output!E151</f>
        <v>5698</v>
      </c>
      <c r="P8" s="7">
        <f>output!F151</f>
        <v>4471</v>
      </c>
      <c r="Q8" s="7">
        <f>output!G151</f>
        <v>1320</v>
      </c>
      <c r="R8" s="7">
        <f>output!H151</f>
        <v>3470</v>
      </c>
      <c r="S8" s="7">
        <f>output!I151</f>
        <v>94477</v>
      </c>
      <c r="U8" s="20">
        <v>3</v>
      </c>
      <c r="V8" s="7">
        <f t="shared" si="7"/>
        <v>62579</v>
      </c>
      <c r="W8" s="7">
        <f t="shared" si="0"/>
        <v>7755</v>
      </c>
      <c r="X8" s="7">
        <f t="shared" si="1"/>
        <v>9184</v>
      </c>
      <c r="Y8" s="7">
        <f t="shared" si="2"/>
        <v>5698</v>
      </c>
      <c r="Z8" s="7">
        <f t="shared" si="3"/>
        <v>4471</v>
      </c>
      <c r="AA8" s="7">
        <f t="shared" si="4"/>
        <v>1320</v>
      </c>
      <c r="AB8" s="7">
        <f t="shared" si="5"/>
        <v>3470</v>
      </c>
      <c r="AC8" s="7">
        <f t="shared" si="6"/>
        <v>94477</v>
      </c>
    </row>
    <row r="9" spans="1:29" x14ac:dyDescent="0.2">
      <c r="A9" s="20">
        <v>4</v>
      </c>
      <c r="B9" s="7">
        <f>output_NHTS!B152</f>
        <v>58080.9879999935</v>
      </c>
      <c r="C9" s="7">
        <f>output_NHTS!C152</f>
        <v>18044.770852238002</v>
      </c>
      <c r="D9" s="7">
        <f>output_NHTS!D152</f>
        <v>14465.827256007</v>
      </c>
      <c r="E9" s="7">
        <f>output_NHTS!E152</f>
        <v>5184.5216899409997</v>
      </c>
      <c r="F9" s="7">
        <f>output_NHTS!F152</f>
        <v>11686.030760235801</v>
      </c>
      <c r="G9" s="7">
        <f>output_NHTS!G152</f>
        <v>8615.2370149809994</v>
      </c>
      <c r="H9" s="7">
        <f>output_NHTS!H152</f>
        <v>14578.628389605599</v>
      </c>
      <c r="I9" s="7">
        <f>output_NHTS!I152</f>
        <v>130656.00396300192</v>
      </c>
      <c r="K9" s="20">
        <v>4</v>
      </c>
      <c r="L9" s="7">
        <f>output!B152</f>
        <v>27262</v>
      </c>
      <c r="M9" s="7">
        <f>output!C152</f>
        <v>2066</v>
      </c>
      <c r="N9" s="7">
        <f>output!D152</f>
        <v>2687</v>
      </c>
      <c r="O9" s="7">
        <f>output!E152</f>
        <v>1514</v>
      </c>
      <c r="P9" s="7">
        <f>output!F152</f>
        <v>1281</v>
      </c>
      <c r="Q9" s="7">
        <f>output!G152</f>
        <v>361</v>
      </c>
      <c r="R9" s="7">
        <f>output!H152</f>
        <v>773</v>
      </c>
      <c r="S9" s="7">
        <f>output!I152</f>
        <v>35944</v>
      </c>
      <c r="U9" s="20">
        <v>4</v>
      </c>
      <c r="V9" s="7">
        <f t="shared" si="7"/>
        <v>-30818.9879999935</v>
      </c>
      <c r="W9" s="7">
        <f t="shared" si="0"/>
        <v>-15978.770852238002</v>
      </c>
      <c r="X9" s="7">
        <f t="shared" si="1"/>
        <v>-11778.827256007</v>
      </c>
      <c r="Y9" s="7">
        <f t="shared" si="2"/>
        <v>-3670.5216899409997</v>
      </c>
      <c r="Z9" s="7">
        <f t="shared" si="3"/>
        <v>-10405.030760235801</v>
      </c>
      <c r="AA9" s="7">
        <f t="shared" si="4"/>
        <v>-8254.2370149809994</v>
      </c>
      <c r="AB9" s="7">
        <f t="shared" si="5"/>
        <v>-13805.628389605599</v>
      </c>
      <c r="AC9" s="7">
        <f t="shared" si="6"/>
        <v>-94712.003963001916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10767</v>
      </c>
      <c r="M10" s="7">
        <f>output!C153</f>
        <v>524</v>
      </c>
      <c r="N10" s="7">
        <f>output!D153</f>
        <v>735</v>
      </c>
      <c r="O10" s="7">
        <f>output!E153</f>
        <v>317</v>
      </c>
      <c r="P10" s="7">
        <f>output!F153</f>
        <v>330</v>
      </c>
      <c r="Q10" s="7">
        <f>output!G153</f>
        <v>97</v>
      </c>
      <c r="R10" s="7">
        <f>output!H153</f>
        <v>174</v>
      </c>
      <c r="S10" s="7">
        <f>output!I153</f>
        <v>12944</v>
      </c>
      <c r="U10" s="20">
        <v>5</v>
      </c>
      <c r="V10" s="7">
        <f t="shared" si="7"/>
        <v>10767</v>
      </c>
      <c r="W10" s="7">
        <f t="shared" si="0"/>
        <v>524</v>
      </c>
      <c r="X10" s="7">
        <f t="shared" si="1"/>
        <v>735</v>
      </c>
      <c r="Y10" s="7">
        <f t="shared" si="2"/>
        <v>317</v>
      </c>
      <c r="Z10" s="7">
        <f t="shared" si="3"/>
        <v>330</v>
      </c>
      <c r="AA10" s="7">
        <f t="shared" si="4"/>
        <v>97</v>
      </c>
      <c r="AB10" s="7">
        <f t="shared" si="5"/>
        <v>174</v>
      </c>
      <c r="AC10" s="7">
        <f t="shared" si="6"/>
        <v>12944</v>
      </c>
    </row>
    <row r="11" spans="1:29" x14ac:dyDescent="0.2">
      <c r="A11" s="3" t="s">
        <v>209</v>
      </c>
      <c r="B11" s="9">
        <f>output_NHTS!B154</f>
        <v>47689.205954246499</v>
      </c>
      <c r="C11" s="9">
        <f>output_NHTS!C154</f>
        <v>9434.0246338430006</v>
      </c>
      <c r="D11" s="9">
        <f>output_NHTS!D154</f>
        <v>28522.7043539724</v>
      </c>
      <c r="E11" s="9">
        <f>output_NHTS!E154</f>
        <v>6256.0031093480002</v>
      </c>
      <c r="F11" s="9">
        <f>output_NHTS!F154</f>
        <v>16972.640117390802</v>
      </c>
      <c r="G11" s="9">
        <f>output_NHTS!G154</f>
        <v>2933.4808036748</v>
      </c>
      <c r="H11" s="9">
        <f>output_NHTS!H154</f>
        <v>9665.7510859755002</v>
      </c>
      <c r="I11" s="9">
        <f>output_NHTS!I154</f>
        <v>121473.81005845101</v>
      </c>
      <c r="K11" s="3" t="s">
        <v>209</v>
      </c>
      <c r="L11" s="9">
        <f>output!B154</f>
        <v>11267</v>
      </c>
      <c r="M11" s="9">
        <f>output!C154</f>
        <v>252</v>
      </c>
      <c r="N11" s="9">
        <f>output!D154</f>
        <v>318</v>
      </c>
      <c r="O11" s="9">
        <f>output!E154</f>
        <v>93</v>
      </c>
      <c r="P11" s="9">
        <f>output!F154</f>
        <v>108</v>
      </c>
      <c r="Q11" s="9">
        <f>output!G154</f>
        <v>26</v>
      </c>
      <c r="R11" s="9">
        <f>output!H154</f>
        <v>56</v>
      </c>
      <c r="S11" s="9">
        <f>output!I154</f>
        <v>12120</v>
      </c>
      <c r="U11" s="3" t="s">
        <v>209</v>
      </c>
      <c r="V11" s="9">
        <f t="shared" si="7"/>
        <v>-36422.205954246499</v>
      </c>
      <c r="W11" s="9">
        <f t="shared" si="0"/>
        <v>-9182.0246338430006</v>
      </c>
      <c r="X11" s="9">
        <f t="shared" si="1"/>
        <v>-28204.7043539724</v>
      </c>
      <c r="Y11" s="9">
        <f t="shared" si="2"/>
        <v>-6163.0031093480002</v>
      </c>
      <c r="Z11" s="9">
        <f t="shared" si="3"/>
        <v>-16864.640117390802</v>
      </c>
      <c r="AA11" s="9">
        <f t="shared" si="4"/>
        <v>-2907.4808036748</v>
      </c>
      <c r="AB11" s="9">
        <f t="shared" si="5"/>
        <v>-9609.7510859755002</v>
      </c>
      <c r="AC11" s="9">
        <f t="shared" si="6"/>
        <v>-109353.81005845101</v>
      </c>
    </row>
    <row r="12" spans="1:29" ht="13.5" thickBot="1" x14ac:dyDescent="0.25">
      <c r="A12" s="21" t="s">
        <v>221</v>
      </c>
      <c r="B12" s="22">
        <f t="shared" ref="B12:I12" si="8">SUM(B5:B11)</f>
        <v>209024.2277450437</v>
      </c>
      <c r="C12" s="22">
        <f t="shared" si="8"/>
        <v>98905.775280479793</v>
      </c>
      <c r="D12" s="22">
        <f t="shared" si="8"/>
        <v>101620.17074513569</v>
      </c>
      <c r="E12" s="22">
        <f t="shared" si="8"/>
        <v>81583.543241598207</v>
      </c>
      <c r="F12" s="22">
        <f t="shared" si="8"/>
        <v>65944.767754091008</v>
      </c>
      <c r="G12" s="22">
        <f t="shared" si="8"/>
        <v>38245.555883680201</v>
      </c>
      <c r="H12" s="22">
        <f t="shared" si="8"/>
        <v>122478.62020069749</v>
      </c>
      <c r="I12" s="22">
        <f t="shared" si="8"/>
        <v>717802.66085072618</v>
      </c>
      <c r="K12" s="21" t="s">
        <v>221</v>
      </c>
      <c r="L12" s="22">
        <f t="shared" ref="L12:S12" si="9">SUM(L5:L11)</f>
        <v>652530</v>
      </c>
      <c r="M12" s="22">
        <f t="shared" si="9"/>
        <v>231709</v>
      </c>
      <c r="N12" s="22">
        <f t="shared" si="9"/>
        <v>214982</v>
      </c>
      <c r="O12" s="22">
        <f t="shared" si="9"/>
        <v>207763</v>
      </c>
      <c r="P12" s="22">
        <f t="shared" si="9"/>
        <v>174149</v>
      </c>
      <c r="Q12" s="22">
        <f t="shared" si="9"/>
        <v>106956</v>
      </c>
      <c r="R12" s="22">
        <f t="shared" si="9"/>
        <v>356595</v>
      </c>
      <c r="S12" s="22">
        <f t="shared" si="9"/>
        <v>1944684</v>
      </c>
      <c r="U12" s="21" t="s">
        <v>221</v>
      </c>
      <c r="V12" s="22">
        <f t="shared" si="7"/>
        <v>443505.7722549563</v>
      </c>
      <c r="W12" s="22">
        <f t="shared" si="0"/>
        <v>132803.22471952019</v>
      </c>
      <c r="X12" s="22">
        <f t="shared" si="1"/>
        <v>113361.82925486431</v>
      </c>
      <c r="Y12" s="22">
        <f t="shared" si="2"/>
        <v>126179.45675840179</v>
      </c>
      <c r="Z12" s="22">
        <f t="shared" si="3"/>
        <v>108204.23224590899</v>
      </c>
      <c r="AA12" s="22">
        <f t="shared" si="4"/>
        <v>68710.444116319792</v>
      </c>
      <c r="AB12" s="22">
        <f t="shared" si="5"/>
        <v>234116.37979930249</v>
      </c>
      <c r="AC12" s="22">
        <f t="shared" si="6"/>
        <v>1226881.3391492739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r="17" spans="1:29" ht="13.5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0.308044074601934</v>
      </c>
      <c r="M19" s="12">
        <f t="shared" ref="M19:S19" si="11">M5/M$12</f>
        <v>0.54992253214160869</v>
      </c>
      <c r="N19" s="12">
        <f t="shared" si="11"/>
        <v>0.4885897423970379</v>
      </c>
      <c r="O19" s="12">
        <f t="shared" si="11"/>
        <v>0.60230647420378025</v>
      </c>
      <c r="P19" s="12">
        <f t="shared" si="11"/>
        <v>0.61202763151094752</v>
      </c>
      <c r="Q19" s="12">
        <f t="shared" si="11"/>
        <v>0.74403493025169232</v>
      </c>
      <c r="R19" s="12">
        <f t="shared" si="11"/>
        <v>0.73409049481905242</v>
      </c>
      <c r="S19" s="12">
        <f t="shared" si="11"/>
        <v>0.51758589056114002</v>
      </c>
      <c r="U19" s="18">
        <v>0</v>
      </c>
      <c r="V19" s="12">
        <f t="shared" ref="V19:AA26" si="12">L19-B19</f>
        <v>0.308044074601934</v>
      </c>
      <c r="W19" s="12">
        <f t="shared" si="12"/>
        <v>0.54992253214160869</v>
      </c>
      <c r="X19" s="12">
        <f t="shared" si="12"/>
        <v>0.4885897423970379</v>
      </c>
      <c r="Y19" s="12">
        <f t="shared" si="12"/>
        <v>0.60230647420378025</v>
      </c>
      <c r="Z19" s="12">
        <f t="shared" si="12"/>
        <v>0.61202763151094752</v>
      </c>
      <c r="AA19" s="12">
        <f t="shared" si="12"/>
        <v>0.74403493025169232</v>
      </c>
      <c r="AB19" s="12">
        <f t="shared" ref="AB19:AB26" si="13">R19-H19</f>
        <v>0.73409049481905242</v>
      </c>
      <c r="AC19" s="12">
        <f t="shared" ref="AC19:AC26" si="14">S19-I19</f>
        <v>0.51758589056114002</v>
      </c>
    </row>
    <row r="20" spans="1:29" x14ac:dyDescent="0.2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0.31380779427765776</v>
      </c>
      <c r="M20" s="12">
        <f t="shared" si="15"/>
        <v>0.28744243857597246</v>
      </c>
      <c r="N20" s="12">
        <f t="shared" si="15"/>
        <v>0.31944534891293225</v>
      </c>
      <c r="O20" s="12">
        <f t="shared" si="15"/>
        <v>0.26754041865009648</v>
      </c>
      <c r="P20" s="12">
        <f t="shared" si="15"/>
        <v>0.2626831046977014</v>
      </c>
      <c r="Q20" s="12">
        <f t="shared" si="15"/>
        <v>0.19020905793036388</v>
      </c>
      <c r="R20" s="12">
        <f t="shared" si="15"/>
        <v>0.2066013264347509</v>
      </c>
      <c r="S20" s="12">
        <f t="shared" si="15"/>
        <v>0.27531208155155285</v>
      </c>
      <c r="U20" s="18">
        <v>1</v>
      </c>
      <c r="V20" s="12">
        <f t="shared" si="12"/>
        <v>0.31380779427765776</v>
      </c>
      <c r="W20" s="12">
        <f t="shared" si="12"/>
        <v>0.28744243857597246</v>
      </c>
      <c r="X20" s="12">
        <f t="shared" si="12"/>
        <v>0.31944534891293225</v>
      </c>
      <c r="Y20" s="12">
        <f t="shared" si="12"/>
        <v>0.26754041865009648</v>
      </c>
      <c r="Z20" s="12">
        <f t="shared" si="12"/>
        <v>0.2626831046977014</v>
      </c>
      <c r="AA20" s="12">
        <f t="shared" si="12"/>
        <v>0.19020905793036388</v>
      </c>
      <c r="AB20" s="12">
        <f t="shared" si="13"/>
        <v>0.2066013264347509</v>
      </c>
      <c r="AC20" s="12">
        <f t="shared" si="14"/>
        <v>0.27531208155155285</v>
      </c>
    </row>
    <row r="21" spans="1:29" x14ac:dyDescent="0.2">
      <c r="A21" s="19">
        <v>2</v>
      </c>
      <c r="B21" s="12">
        <f t="shared" si="10"/>
        <v>0.49398117579339806</v>
      </c>
      <c r="C21" s="12">
        <f t="shared" si="10"/>
        <v>0.72217198229167257</v>
      </c>
      <c r="D21" s="12">
        <f t="shared" si="10"/>
        <v>0.57696851624275447</v>
      </c>
      <c r="E21" s="12">
        <f t="shared" si="10"/>
        <v>0.85976920902528708</v>
      </c>
      <c r="F21" s="12">
        <f t="shared" si="10"/>
        <v>0.56541402974538923</v>
      </c>
      <c r="G21" s="12">
        <f t="shared" si="10"/>
        <v>0.69803765295554865</v>
      </c>
      <c r="H21" s="12">
        <f t="shared" si="10"/>
        <v>0.80205215052346723</v>
      </c>
      <c r="I21" s="12">
        <f t="shared" si="10"/>
        <v>0.6487477300200678</v>
      </c>
      <c r="K21" s="19">
        <v>2</v>
      </c>
      <c r="L21" s="12">
        <f t="shared" ref="L21:S21" si="16">L7/L$12</f>
        <v>0.20670007509233293</v>
      </c>
      <c r="M21" s="12">
        <f t="shared" si="16"/>
        <v>0.11690094040369602</v>
      </c>
      <c r="N21" s="12">
        <f t="shared" si="16"/>
        <v>0.13184824776027759</v>
      </c>
      <c r="O21" s="12">
        <f t="shared" si="16"/>
        <v>9.3467075465795163E-2</v>
      </c>
      <c r="P21" s="12">
        <f t="shared" si="16"/>
        <v>8.9744988486870444E-2</v>
      </c>
      <c r="Q21" s="12">
        <f t="shared" si="16"/>
        <v>4.8889262874453047E-2</v>
      </c>
      <c r="R21" s="12">
        <f t="shared" si="16"/>
        <v>4.6764536799450356E-2</v>
      </c>
      <c r="S21" s="12">
        <f t="shared" si="16"/>
        <v>0.12714816391763392</v>
      </c>
      <c r="U21" s="19">
        <v>2</v>
      </c>
      <c r="V21" s="12">
        <f t="shared" si="12"/>
        <v>-0.28728110070106516</v>
      </c>
      <c r="W21" s="12">
        <f t="shared" si="12"/>
        <v>-0.60527104188797654</v>
      </c>
      <c r="X21" s="12">
        <f t="shared" si="12"/>
        <v>-0.44512026848247688</v>
      </c>
      <c r="Y21" s="12">
        <f t="shared" si="12"/>
        <v>-0.76630213355949195</v>
      </c>
      <c r="Z21" s="12">
        <f t="shared" si="12"/>
        <v>-0.47566904125851878</v>
      </c>
      <c r="AA21" s="12">
        <f t="shared" si="12"/>
        <v>-0.64914839008109559</v>
      </c>
      <c r="AB21" s="12">
        <f t="shared" si="13"/>
        <v>-0.75528761372401687</v>
      </c>
      <c r="AC21" s="12">
        <f t="shared" si="14"/>
        <v>-0.52159956610243385</v>
      </c>
    </row>
    <row r="22" spans="1:29" x14ac:dyDescent="0.2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9.590210411781834E-2</v>
      </c>
      <c r="M22" s="12">
        <f t="shared" si="17"/>
        <v>3.3468704279937332E-2</v>
      </c>
      <c r="N22" s="12">
        <f t="shared" si="17"/>
        <v>4.2719855615819001E-2</v>
      </c>
      <c r="O22" s="12">
        <f t="shared" si="17"/>
        <v>2.7425479994031662E-2</v>
      </c>
      <c r="P22" s="12">
        <f t="shared" si="17"/>
        <v>2.5673417590683839E-2</v>
      </c>
      <c r="Q22" s="12">
        <f t="shared" si="17"/>
        <v>1.2341523617188377E-2</v>
      </c>
      <c r="R22" s="12">
        <f t="shared" si="17"/>
        <v>9.7309272423898256E-3</v>
      </c>
      <c r="S22" s="12">
        <f t="shared" si="17"/>
        <v>4.858218610324351E-2</v>
      </c>
      <c r="U22" s="20">
        <v>3</v>
      </c>
      <c r="V22" s="12">
        <f t="shared" si="12"/>
        <v>9.590210411781834E-2</v>
      </c>
      <c r="W22" s="12">
        <f t="shared" si="12"/>
        <v>3.3468704279937332E-2</v>
      </c>
      <c r="X22" s="12">
        <f t="shared" si="12"/>
        <v>4.2719855615819001E-2</v>
      </c>
      <c r="Y22" s="12">
        <f t="shared" si="12"/>
        <v>2.7425479994031662E-2</v>
      </c>
      <c r="Z22" s="12">
        <f t="shared" si="12"/>
        <v>2.5673417590683839E-2</v>
      </c>
      <c r="AA22" s="12">
        <f t="shared" si="12"/>
        <v>1.2341523617188377E-2</v>
      </c>
      <c r="AB22" s="12">
        <f t="shared" si="13"/>
        <v>9.7309272423898256E-3</v>
      </c>
      <c r="AC22" s="12">
        <f t="shared" si="14"/>
        <v>4.858218610324351E-2</v>
      </c>
    </row>
    <row r="23" spans="1:29" x14ac:dyDescent="0.2">
      <c r="A23" s="20">
        <v>4</v>
      </c>
      <c r="B23" s="12">
        <f t="shared" si="10"/>
        <v>0.27786725312453975</v>
      </c>
      <c r="C23" s="12">
        <f t="shared" si="10"/>
        <v>0.18244405648776454</v>
      </c>
      <c r="D23" s="12">
        <f t="shared" si="10"/>
        <v>0.14235192826321288</v>
      </c>
      <c r="E23" s="12">
        <f t="shared" si="10"/>
        <v>6.3548621253035883E-2</v>
      </c>
      <c r="F23" s="12">
        <f t="shared" si="10"/>
        <v>0.17720937017798255</v>
      </c>
      <c r="G23" s="12">
        <f t="shared" si="10"/>
        <v>0.22526112684002628</v>
      </c>
      <c r="H23" s="12">
        <f t="shared" si="10"/>
        <v>0.11902998552495594</v>
      </c>
      <c r="I23" s="12">
        <f t="shared" si="10"/>
        <v>0.18202217836327172</v>
      </c>
      <c r="K23" s="20">
        <v>4</v>
      </c>
      <c r="L23" s="12">
        <f t="shared" ref="L23:S23" si="18">L9/L$12</f>
        <v>4.177892204189846E-2</v>
      </c>
      <c r="M23" s="12">
        <f t="shared" si="18"/>
        <v>8.9163562917279858E-3</v>
      </c>
      <c r="N23" s="12">
        <f t="shared" si="18"/>
        <v>1.2498720823138682E-2</v>
      </c>
      <c r="O23" s="12">
        <f t="shared" si="18"/>
        <v>7.2871492999234703E-3</v>
      </c>
      <c r="P23" s="12">
        <f t="shared" si="18"/>
        <v>7.3557700589724894E-3</v>
      </c>
      <c r="Q23" s="12">
        <f t="shared" si="18"/>
        <v>3.3752197165189423E-3</v>
      </c>
      <c r="R23" s="12">
        <f t="shared" si="18"/>
        <v>2.1677252905957741E-3</v>
      </c>
      <c r="S23" s="12">
        <f t="shared" si="18"/>
        <v>1.8483208582988291E-2</v>
      </c>
      <c r="U23" s="20">
        <v>4</v>
      </c>
      <c r="V23" s="12">
        <f t="shared" si="12"/>
        <v>-0.2360883310826413</v>
      </c>
      <c r="W23" s="12">
        <f t="shared" si="12"/>
        <v>-0.17352770019603656</v>
      </c>
      <c r="X23" s="12">
        <f t="shared" si="12"/>
        <v>-0.1298532074400742</v>
      </c>
      <c r="Y23" s="12">
        <f t="shared" si="12"/>
        <v>-5.6261471953112416E-2</v>
      </c>
      <c r="Z23" s="12">
        <f t="shared" si="12"/>
        <v>-0.16985360011901007</v>
      </c>
      <c r="AA23" s="12">
        <f t="shared" si="12"/>
        <v>-0.22188590712350734</v>
      </c>
      <c r="AB23" s="12">
        <f t="shared" si="13"/>
        <v>-0.11686226023436017</v>
      </c>
      <c r="AC23" s="12">
        <f t="shared" si="14"/>
        <v>-0.16353896978028343</v>
      </c>
    </row>
    <row r="24" spans="1:29" x14ac:dyDescent="0.2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1.6500390786630501E-2</v>
      </c>
      <c r="M24" s="12">
        <f t="shared" si="19"/>
        <v>2.2614572588893827E-3</v>
      </c>
      <c r="N24" s="12">
        <f t="shared" si="19"/>
        <v>3.4188908838879532E-3</v>
      </c>
      <c r="O24" s="12">
        <f t="shared" si="19"/>
        <v>1.5257769670249275E-3</v>
      </c>
      <c r="P24" s="12">
        <f t="shared" si="19"/>
        <v>1.8949290550046224E-3</v>
      </c>
      <c r="Q24" s="12">
        <f t="shared" si="19"/>
        <v>9.0691499308126705E-4</v>
      </c>
      <c r="R24" s="12">
        <f t="shared" si="19"/>
        <v>4.8794851301897109E-4</v>
      </c>
      <c r="S24" s="12">
        <f t="shared" si="19"/>
        <v>6.6560942549020816E-3</v>
      </c>
      <c r="U24" s="20">
        <v>5</v>
      </c>
      <c r="V24" s="12">
        <f t="shared" si="12"/>
        <v>1.6500390786630501E-2</v>
      </c>
      <c r="W24" s="12">
        <f t="shared" si="12"/>
        <v>2.2614572588893827E-3</v>
      </c>
      <c r="X24" s="12">
        <f t="shared" si="12"/>
        <v>3.4188908838879532E-3</v>
      </c>
      <c r="Y24" s="12">
        <f t="shared" si="12"/>
        <v>1.5257769670249275E-3</v>
      </c>
      <c r="Z24" s="12">
        <f t="shared" si="12"/>
        <v>1.8949290550046224E-3</v>
      </c>
      <c r="AA24" s="12">
        <f t="shared" si="12"/>
        <v>9.0691499308126705E-4</v>
      </c>
      <c r="AB24" s="12">
        <f t="shared" si="13"/>
        <v>4.8794851301897109E-4</v>
      </c>
      <c r="AC24" s="12">
        <f t="shared" si="14"/>
        <v>6.6560942549020816E-3</v>
      </c>
    </row>
    <row r="25" spans="1:29" x14ac:dyDescent="0.2">
      <c r="A25" s="3" t="s">
        <v>209</v>
      </c>
      <c r="B25" s="13">
        <f t="shared" ref="B25:I25" si="20">B11/B$12</f>
        <v>0.22815157108206222</v>
      </c>
      <c r="C25" s="13">
        <f t="shared" si="20"/>
        <v>9.5383961220562974E-2</v>
      </c>
      <c r="D25" s="13">
        <f t="shared" si="20"/>
        <v>0.28067955549403278</v>
      </c>
      <c r="E25" s="13">
        <f t="shared" si="20"/>
        <v>7.6682169721676907E-2</v>
      </c>
      <c r="F25" s="13">
        <f t="shared" si="20"/>
        <v>0.2573766000766281</v>
      </c>
      <c r="G25" s="13">
        <f t="shared" si="20"/>
        <v>7.6701220204425075E-2</v>
      </c>
      <c r="H25" s="13">
        <f t="shared" si="20"/>
        <v>7.8917863951576878E-2</v>
      </c>
      <c r="I25" s="13">
        <f t="shared" si="20"/>
        <v>0.16923009161666042</v>
      </c>
      <c r="K25" s="3" t="s">
        <v>209</v>
      </c>
      <c r="L25" s="13">
        <f t="shared" ref="L25:S25" si="21">L11/L$12</f>
        <v>1.7266639081728045E-2</v>
      </c>
      <c r="M25" s="13">
        <f t="shared" si="21"/>
        <v>1.0875710481681765E-3</v>
      </c>
      <c r="N25" s="13">
        <f t="shared" si="21"/>
        <v>1.4791936069066247E-3</v>
      </c>
      <c r="O25" s="13">
        <f t="shared" si="21"/>
        <v>4.4762541934800711E-4</v>
      </c>
      <c r="P25" s="13">
        <f t="shared" si="21"/>
        <v>6.2015859981969467E-4</v>
      </c>
      <c r="Q25" s="13">
        <f t="shared" si="21"/>
        <v>2.4309061670219528E-4</v>
      </c>
      <c r="R25" s="13">
        <f t="shared" si="21"/>
        <v>1.5704090074173782E-4</v>
      </c>
      <c r="S25" s="13">
        <f t="shared" si="21"/>
        <v>6.2323750285393411E-3</v>
      </c>
      <c r="U25" s="3" t="s">
        <v>209</v>
      </c>
      <c r="V25" s="12">
        <f t="shared" si="12"/>
        <v>-0.21088493200033417</v>
      </c>
      <c r="W25" s="12">
        <f t="shared" si="12"/>
        <v>-9.4296390172394801E-2</v>
      </c>
      <c r="X25" s="12">
        <f t="shared" si="12"/>
        <v>-0.27920036188712616</v>
      </c>
      <c r="Y25" s="12">
        <f t="shared" si="12"/>
        <v>-7.6234544302328899E-2</v>
      </c>
      <c r="Z25" s="12">
        <f t="shared" si="12"/>
        <v>-0.25675644147680843</v>
      </c>
      <c r="AA25" s="12">
        <f t="shared" si="12"/>
        <v>-7.6458129587722884E-2</v>
      </c>
      <c r="AB25" s="12">
        <f t="shared" si="13"/>
        <v>-7.8760823050835135E-2</v>
      </c>
      <c r="AC25" s="12">
        <f t="shared" si="14"/>
        <v>-0.16299771658812107</v>
      </c>
    </row>
    <row r="26" spans="1:29" ht="13.5" thickBot="1" x14ac:dyDescent="0.25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r="33" spans="1:29" ht="13.5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437446</v>
      </c>
      <c r="M35" s="7">
        <f>output!C158</f>
        <v>193100</v>
      </c>
      <c r="N35" s="7">
        <f>output!D158</f>
        <v>159511</v>
      </c>
      <c r="O35" s="7">
        <f>output!E158</f>
        <v>167411</v>
      </c>
      <c r="P35" s="7">
        <f>output!F158</f>
        <v>140594</v>
      </c>
      <c r="Q35" s="7">
        <f>output!G158</f>
        <v>93912</v>
      </c>
      <c r="R35" s="7">
        <f>output!H158</f>
        <v>314667</v>
      </c>
      <c r="S35" s="7">
        <f>output!I158</f>
        <v>1506641</v>
      </c>
      <c r="U35" s="18">
        <v>0</v>
      </c>
      <c r="V35" s="7">
        <f t="shared" ref="V35:AA42" si="24">L35-B35</f>
        <v>437446</v>
      </c>
      <c r="W35" s="7">
        <f t="shared" si="24"/>
        <v>193100</v>
      </c>
      <c r="X35" s="7">
        <f t="shared" si="24"/>
        <v>159511</v>
      </c>
      <c r="Y35" s="7">
        <f t="shared" si="24"/>
        <v>167411</v>
      </c>
      <c r="Z35" s="7">
        <f t="shared" si="24"/>
        <v>140594</v>
      </c>
      <c r="AA35" s="7">
        <f t="shared" si="24"/>
        <v>93912</v>
      </c>
      <c r="AB35" s="7">
        <f t="shared" ref="AB35:AB42" si="25">R35-H35</f>
        <v>314667</v>
      </c>
      <c r="AC35" s="7">
        <f t="shared" ref="AC35:AC42" si="26">S35-I35</f>
        <v>1506641</v>
      </c>
    </row>
    <row r="36" spans="1:29" x14ac:dyDescent="0.2">
      <c r="A36" s="18">
        <v>1</v>
      </c>
      <c r="B36" s="7">
        <f>output_NHTS!B159</f>
        <v>163233.77296073659</v>
      </c>
      <c r="C36" s="7">
        <f>output_NHTS!C159</f>
        <v>91749.775004780793</v>
      </c>
      <c r="D36" s="7">
        <f>output_NHTS!D159</f>
        <v>82816.236521116996</v>
      </c>
      <c r="E36" s="7">
        <f>output_NHTS!E159</f>
        <v>78953.815117332197</v>
      </c>
      <c r="F36" s="7">
        <f>output_NHTS!F159</f>
        <v>47347.348689410901</v>
      </c>
      <c r="G36" s="7">
        <f>output_NHTS!G159</f>
        <v>34192.8885277714</v>
      </c>
      <c r="H36" s="7">
        <f>output_NHTS!H159</f>
        <v>110464.3767796419</v>
      </c>
      <c r="I36" s="7">
        <f>output_NHTS!I159</f>
        <v>608758.21360079083</v>
      </c>
      <c r="K36" s="18">
        <v>1</v>
      </c>
      <c r="L36" s="7">
        <f>output!B159</f>
        <v>154763</v>
      </c>
      <c r="M36" s="7">
        <f>output!C159</f>
        <v>31823</v>
      </c>
      <c r="N36" s="7">
        <f>output!D159</f>
        <v>43300</v>
      </c>
      <c r="O36" s="7">
        <f>output!E159</f>
        <v>31940</v>
      </c>
      <c r="P36" s="7">
        <f>output!F159</f>
        <v>26448</v>
      </c>
      <c r="Q36" s="7">
        <f>output!G159</f>
        <v>10665</v>
      </c>
      <c r="R36" s="7">
        <f>output!H159</f>
        <v>36127</v>
      </c>
      <c r="S36" s="7">
        <f>output!I159</f>
        <v>335066</v>
      </c>
      <c r="U36" s="18">
        <v>1</v>
      </c>
      <c r="V36" s="7">
        <f t="shared" si="24"/>
        <v>-8470.7729607365909</v>
      </c>
      <c r="W36" s="7">
        <f t="shared" si="24"/>
        <v>-59926.775004780793</v>
      </c>
      <c r="X36" s="7">
        <f t="shared" si="24"/>
        <v>-39516.236521116996</v>
      </c>
      <c r="Y36" s="7">
        <f t="shared" si="24"/>
        <v>-47013.815117332197</v>
      </c>
      <c r="Z36" s="7">
        <f t="shared" si="24"/>
        <v>-20899.348689410901</v>
      </c>
      <c r="AA36" s="7">
        <f t="shared" si="24"/>
        <v>-23527.8885277714</v>
      </c>
      <c r="AB36" s="7">
        <f t="shared" si="25"/>
        <v>-74337.376779641898</v>
      </c>
      <c r="AC36" s="7">
        <f t="shared" si="26"/>
        <v>-273692.21360079083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41477</v>
      </c>
      <c r="M37" s="7">
        <f>output!C160</f>
        <v>5499</v>
      </c>
      <c r="N37" s="7">
        <f>output!D160</f>
        <v>9457</v>
      </c>
      <c r="O37" s="7">
        <f>output!E160</f>
        <v>6639</v>
      </c>
      <c r="P37" s="7">
        <f>output!F160</f>
        <v>5603</v>
      </c>
      <c r="Q37" s="7">
        <f>output!G160</f>
        <v>1899</v>
      </c>
      <c r="R37" s="7">
        <f>output!H160</f>
        <v>4869</v>
      </c>
      <c r="S37" s="7">
        <f>output!I160</f>
        <v>75443</v>
      </c>
      <c r="U37" s="19">
        <v>2</v>
      </c>
      <c r="V37" s="7">
        <f t="shared" si="24"/>
        <v>41477</v>
      </c>
      <c r="W37" s="7">
        <f t="shared" si="24"/>
        <v>5499</v>
      </c>
      <c r="X37" s="7">
        <f t="shared" si="24"/>
        <v>9457</v>
      </c>
      <c r="Y37" s="7">
        <f t="shared" si="24"/>
        <v>6639</v>
      </c>
      <c r="Z37" s="7">
        <f t="shared" si="24"/>
        <v>5603</v>
      </c>
      <c r="AA37" s="7">
        <f t="shared" si="24"/>
        <v>1899</v>
      </c>
      <c r="AB37" s="7">
        <f t="shared" si="25"/>
        <v>4869</v>
      </c>
      <c r="AC37" s="7">
        <f t="shared" si="26"/>
        <v>75443</v>
      </c>
    </row>
    <row r="38" spans="1:29" x14ac:dyDescent="0.2">
      <c r="A38" s="20">
        <v>3</v>
      </c>
      <c r="B38" s="7">
        <f>output_NHTS!B161</f>
        <v>33178.216355763398</v>
      </c>
      <c r="C38" s="7">
        <f>output_NHTS!C161</f>
        <v>5598.8215999450003</v>
      </c>
      <c r="D38" s="7">
        <f>output_NHTS!D161</f>
        <v>7048.4908250749995</v>
      </c>
      <c r="E38" s="7">
        <f>output_NHTS!E161</f>
        <v>2103.4158954169998</v>
      </c>
      <c r="F38" s="7">
        <f>output_NHTS!F161</f>
        <v>14518.2886179214</v>
      </c>
      <c r="G38" s="7">
        <f>output_NHTS!G161</f>
        <v>3518.4410592939998</v>
      </c>
      <c r="H38" s="7">
        <f>output_NHTS!H161</f>
        <v>8289.7603681225992</v>
      </c>
      <c r="I38" s="7">
        <f>output_NHTS!I161</f>
        <v>74255.43472153839</v>
      </c>
      <c r="K38" s="20">
        <v>3</v>
      </c>
      <c r="L38" s="7">
        <f>output!B161</f>
        <v>11196</v>
      </c>
      <c r="M38" s="7">
        <f>output!C161</f>
        <v>987</v>
      </c>
      <c r="N38" s="7">
        <f>output!D161</f>
        <v>2017</v>
      </c>
      <c r="O38" s="7">
        <f>output!E161</f>
        <v>1373</v>
      </c>
      <c r="P38" s="7">
        <f>output!F161</f>
        <v>1123</v>
      </c>
      <c r="Q38" s="7">
        <f>output!G161</f>
        <v>361</v>
      </c>
      <c r="R38" s="7">
        <f>output!H161</f>
        <v>741</v>
      </c>
      <c r="S38" s="7">
        <f>output!I161</f>
        <v>17798</v>
      </c>
      <c r="U38" s="20">
        <v>3</v>
      </c>
      <c r="V38" s="7">
        <f t="shared" si="24"/>
        <v>-21982.216355763398</v>
      </c>
      <c r="W38" s="7">
        <f t="shared" si="24"/>
        <v>-4611.8215999450003</v>
      </c>
      <c r="X38" s="7">
        <f t="shared" si="24"/>
        <v>-5031.4908250749995</v>
      </c>
      <c r="Y38" s="7">
        <f t="shared" si="24"/>
        <v>-730.41589541699977</v>
      </c>
      <c r="Z38" s="7">
        <f t="shared" si="24"/>
        <v>-13395.2886179214</v>
      </c>
      <c r="AA38" s="7">
        <f t="shared" si="24"/>
        <v>-3157.4410592939998</v>
      </c>
      <c r="AB38" s="7">
        <f t="shared" si="25"/>
        <v>-7548.7603681225992</v>
      </c>
      <c r="AC38" s="7">
        <f t="shared" si="26"/>
        <v>-56457.43472153839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4631</v>
      </c>
      <c r="M39" s="7">
        <f>output!C162</f>
        <v>224</v>
      </c>
      <c r="N39" s="7">
        <f>output!D162</f>
        <v>529</v>
      </c>
      <c r="O39" s="7">
        <f>output!E162</f>
        <v>331</v>
      </c>
      <c r="P39" s="7">
        <f>output!F162</f>
        <v>309</v>
      </c>
      <c r="Q39" s="7">
        <f>output!G162</f>
        <v>93</v>
      </c>
      <c r="R39" s="7">
        <f>output!H162</f>
        <v>155</v>
      </c>
      <c r="S39" s="7">
        <f>output!I162</f>
        <v>6272</v>
      </c>
      <c r="U39" s="20">
        <v>4</v>
      </c>
      <c r="V39" s="7">
        <f t="shared" si="24"/>
        <v>4631</v>
      </c>
      <c r="W39" s="7">
        <f t="shared" si="24"/>
        <v>224</v>
      </c>
      <c r="X39" s="7">
        <f t="shared" si="24"/>
        <v>529</v>
      </c>
      <c r="Y39" s="7">
        <f t="shared" si="24"/>
        <v>331</v>
      </c>
      <c r="Z39" s="7">
        <f t="shared" si="24"/>
        <v>309</v>
      </c>
      <c r="AA39" s="7">
        <f t="shared" si="24"/>
        <v>93</v>
      </c>
      <c r="AB39" s="7">
        <f t="shared" si="25"/>
        <v>155</v>
      </c>
      <c r="AC39" s="7">
        <f t="shared" si="26"/>
        <v>6272</v>
      </c>
    </row>
    <row r="40" spans="1:29" x14ac:dyDescent="0.2">
      <c r="A40" s="20">
        <v>5</v>
      </c>
      <c r="B40" s="7">
        <f>output_NHTS!B163</f>
        <v>7488.6202947467</v>
      </c>
      <c r="C40" s="7">
        <f>output_NHTS!C163</f>
        <v>470.93867575400003</v>
      </c>
      <c r="D40" s="7">
        <f>output_NHTS!D163</f>
        <v>3444.7793025967003</v>
      </c>
      <c r="E40" s="7">
        <f>output_NHTS!E163</f>
        <v>420.26597606199999</v>
      </c>
      <c r="F40" s="7">
        <f>output_NHTS!F163</f>
        <v>3239.1345732047002</v>
      </c>
      <c r="G40" s="7">
        <f>output_NHTS!G163</f>
        <v>534.22629661480005</v>
      </c>
      <c r="H40" s="7">
        <f>output_NHTS!H163</f>
        <v>3148.8174538819999</v>
      </c>
      <c r="I40" s="7">
        <f>output_NHTS!I163</f>
        <v>18746.782572860902</v>
      </c>
      <c r="K40" s="20">
        <v>5</v>
      </c>
      <c r="L40" s="7">
        <f>output!B163</f>
        <v>1335</v>
      </c>
      <c r="M40" s="7">
        <f>output!C163</f>
        <v>38</v>
      </c>
      <c r="N40" s="7">
        <f>output!D163</f>
        <v>110</v>
      </c>
      <c r="O40" s="7">
        <f>output!E163</f>
        <v>52</v>
      </c>
      <c r="P40" s="7">
        <f>output!F163</f>
        <v>50</v>
      </c>
      <c r="Q40" s="7">
        <f>output!G163</f>
        <v>20</v>
      </c>
      <c r="R40" s="7">
        <f>output!H163</f>
        <v>25</v>
      </c>
      <c r="S40" s="7">
        <f>output!I163</f>
        <v>1630</v>
      </c>
      <c r="U40" s="20">
        <v>5</v>
      </c>
      <c r="V40" s="7">
        <f t="shared" si="24"/>
        <v>-6153.6202947467</v>
      </c>
      <c r="W40" s="7">
        <f t="shared" si="24"/>
        <v>-432.93867575400003</v>
      </c>
      <c r="X40" s="7">
        <f t="shared" si="24"/>
        <v>-3334.7793025967003</v>
      </c>
      <c r="Y40" s="7">
        <f t="shared" si="24"/>
        <v>-368.26597606199999</v>
      </c>
      <c r="Z40" s="7">
        <f t="shared" si="24"/>
        <v>-3189.1345732047002</v>
      </c>
      <c r="AA40" s="7">
        <f t="shared" si="24"/>
        <v>-514.22629661480005</v>
      </c>
      <c r="AB40" s="7">
        <f t="shared" si="25"/>
        <v>-3123.8174538819999</v>
      </c>
      <c r="AC40" s="7">
        <f t="shared" si="26"/>
        <v>-17116.782572860902</v>
      </c>
    </row>
    <row r="41" spans="1:29" x14ac:dyDescent="0.2">
      <c r="A41" s="3" t="s">
        <v>209</v>
      </c>
      <c r="B41" s="9">
        <f>output_NHTS!B164</f>
        <v>5123.6181337970002</v>
      </c>
      <c r="C41" s="9">
        <f>output_NHTS!C164</f>
        <v>1086.24</v>
      </c>
      <c r="D41" s="9">
        <f>output_NHTS!D164</f>
        <v>8310.6640963469999</v>
      </c>
      <c r="E41" s="9">
        <f>output_NHTS!E164</f>
        <v>106.046252787</v>
      </c>
      <c r="F41" s="9">
        <f>output_NHTS!F164</f>
        <v>839.99587355400001</v>
      </c>
      <c r="G41" s="9">
        <f>output_NHTS!G164</f>
        <v>0</v>
      </c>
      <c r="H41" s="9">
        <f>output_NHTS!H164</f>
        <v>575.66559905099996</v>
      </c>
      <c r="I41" s="9">
        <f>output_NHTS!I164</f>
        <v>16042.229955536002</v>
      </c>
      <c r="K41" s="3" t="s">
        <v>209</v>
      </c>
      <c r="L41" s="9">
        <f>output!B164</f>
        <v>1682</v>
      </c>
      <c r="M41" s="9">
        <f>output!C164</f>
        <v>38</v>
      </c>
      <c r="N41" s="9">
        <f>output!D164</f>
        <v>58</v>
      </c>
      <c r="O41" s="9">
        <f>output!E164</f>
        <v>17</v>
      </c>
      <c r="P41" s="9">
        <f>output!F164</f>
        <v>22</v>
      </c>
      <c r="Q41" s="9">
        <f>output!G164</f>
        <v>6</v>
      </c>
      <c r="R41" s="9">
        <f>output!H164</f>
        <v>11</v>
      </c>
      <c r="S41" s="9">
        <f>output!I164</f>
        <v>1834</v>
      </c>
      <c r="U41" s="3" t="s">
        <v>209</v>
      </c>
      <c r="V41" s="9">
        <f t="shared" si="24"/>
        <v>-3441.6181337970002</v>
      </c>
      <c r="W41" s="9">
        <f t="shared" si="24"/>
        <v>-1048.24</v>
      </c>
      <c r="X41" s="9">
        <f t="shared" si="24"/>
        <v>-8252.6640963469999</v>
      </c>
      <c r="Y41" s="9">
        <f t="shared" si="24"/>
        <v>-89.046252787</v>
      </c>
      <c r="Z41" s="9">
        <f t="shared" si="24"/>
        <v>-817.99587355400001</v>
      </c>
      <c r="AA41" s="9">
        <f t="shared" si="24"/>
        <v>6</v>
      </c>
      <c r="AB41" s="9">
        <f t="shared" si="25"/>
        <v>-564.66559905099996</v>
      </c>
      <c r="AC41" s="9">
        <f t="shared" si="26"/>
        <v>-14208.229955536002</v>
      </c>
    </row>
    <row r="42" spans="1:29" ht="13.5" thickBot="1" x14ac:dyDescent="0.25">
      <c r="A42" s="21" t="s">
        <v>221</v>
      </c>
      <c r="B42" s="22">
        <f t="shared" ref="B42:I42" si="27">SUM(B35:B41)</f>
        <v>209024.2277450437</v>
      </c>
      <c r="C42" s="22">
        <f t="shared" si="27"/>
        <v>98905.775280479807</v>
      </c>
      <c r="D42" s="22">
        <f t="shared" si="27"/>
        <v>101620.17074513569</v>
      </c>
      <c r="E42" s="22">
        <f t="shared" si="27"/>
        <v>81583.543241598192</v>
      </c>
      <c r="F42" s="22">
        <f t="shared" si="27"/>
        <v>65944.767754091008</v>
      </c>
      <c r="G42" s="22">
        <f t="shared" si="27"/>
        <v>38245.555883680194</v>
      </c>
      <c r="H42" s="22">
        <f t="shared" si="27"/>
        <v>122478.62020069751</v>
      </c>
      <c r="I42" s="22">
        <f t="shared" si="27"/>
        <v>717802.66085072607</v>
      </c>
      <c r="K42" s="21" t="s">
        <v>221</v>
      </c>
      <c r="L42" s="22">
        <f>SUM(L35:L41)</f>
        <v>652530</v>
      </c>
      <c r="M42" s="22">
        <f t="shared" ref="M42:S42" si="28">SUM(M35:M41)</f>
        <v>231709</v>
      </c>
      <c r="N42" s="22">
        <f t="shared" si="28"/>
        <v>214982</v>
      </c>
      <c r="O42" s="22">
        <f t="shared" si="28"/>
        <v>207763</v>
      </c>
      <c r="P42" s="22">
        <f t="shared" si="28"/>
        <v>174149</v>
      </c>
      <c r="Q42" s="22">
        <f t="shared" si="28"/>
        <v>106956</v>
      </c>
      <c r="R42" s="22">
        <f t="shared" si="28"/>
        <v>356595</v>
      </c>
      <c r="S42" s="22">
        <f t="shared" si="28"/>
        <v>1944684</v>
      </c>
      <c r="U42" s="21" t="s">
        <v>221</v>
      </c>
      <c r="V42" s="22">
        <f t="shared" si="24"/>
        <v>443505.7722549563</v>
      </c>
      <c r="W42" s="22">
        <f t="shared" si="24"/>
        <v>132803.22471952019</v>
      </c>
      <c r="X42" s="22">
        <f t="shared" si="24"/>
        <v>113361.82925486431</v>
      </c>
      <c r="Y42" s="22">
        <f t="shared" si="24"/>
        <v>126179.45675840181</v>
      </c>
      <c r="Z42" s="22">
        <f t="shared" si="24"/>
        <v>108204.23224590899</v>
      </c>
      <c r="AA42" s="22">
        <f t="shared" si="24"/>
        <v>68710.444116319806</v>
      </c>
      <c r="AB42" s="22">
        <f t="shared" si="25"/>
        <v>234116.37979930249</v>
      </c>
      <c r="AC42" s="22">
        <f t="shared" si="26"/>
        <v>1226881.3391492739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r="47" spans="1:29" ht="13.5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0.67038450339447997</v>
      </c>
      <c r="M49" s="12">
        <f t="shared" si="30"/>
        <v>0.83337289444950347</v>
      </c>
      <c r="N49" s="12">
        <f t="shared" si="30"/>
        <v>0.74197374663925353</v>
      </c>
      <c r="O49" s="12">
        <f t="shared" si="30"/>
        <v>0.80577869976848626</v>
      </c>
      <c r="P49" s="12">
        <f t="shared" si="30"/>
        <v>0.80732016836157539</v>
      </c>
      <c r="Q49" s="12">
        <f t="shared" si="30"/>
        <v>0.87804330752832938</v>
      </c>
      <c r="R49" s="12">
        <f t="shared" si="30"/>
        <v>0.88242123417322171</v>
      </c>
      <c r="S49" s="12">
        <f t="shared" si="30"/>
        <v>0.77474849384270139</v>
      </c>
      <c r="U49" s="18">
        <v>0</v>
      </c>
      <c r="V49" s="12">
        <f>L49-B49</f>
        <v>0.67038450339447997</v>
      </c>
      <c r="W49" s="12">
        <f t="shared" ref="V49:AA56" si="31">M49-C49</f>
        <v>0.83337289444950347</v>
      </c>
      <c r="X49" s="12">
        <f t="shared" si="31"/>
        <v>0.74197374663925353</v>
      </c>
      <c r="Y49" s="12">
        <f t="shared" si="31"/>
        <v>0.80577869976848626</v>
      </c>
      <c r="Z49" s="12">
        <f t="shared" si="31"/>
        <v>0.80732016836157539</v>
      </c>
      <c r="AA49" s="12">
        <f t="shared" si="31"/>
        <v>0.87804330752832938</v>
      </c>
      <c r="AB49" s="12">
        <f t="shared" ref="AB49:AB56" si="32">R49-H49</f>
        <v>0.88242123417322171</v>
      </c>
      <c r="AC49" s="12">
        <f t="shared" ref="AC49:AC56" si="33">S49-I49</f>
        <v>0.77474849384270139</v>
      </c>
    </row>
    <row r="50" spans="1:29" x14ac:dyDescent="0.2">
      <c r="A50" s="18">
        <v>1</v>
      </c>
      <c r="B50" s="12">
        <f t="shared" ref="B50:I50" si="34">B36/B$12</f>
        <v>0.78093230972172378</v>
      </c>
      <c r="C50" s="12">
        <f t="shared" si="34"/>
        <v>0.92764830713468638</v>
      </c>
      <c r="D50" s="12">
        <f t="shared" si="34"/>
        <v>0.81495864368129101</v>
      </c>
      <c r="E50" s="12">
        <f t="shared" si="34"/>
        <v>0.96776643891920167</v>
      </c>
      <c r="F50" s="12">
        <f t="shared" si="34"/>
        <v>0.71798491831785427</v>
      </c>
      <c r="G50" s="12">
        <f t="shared" si="34"/>
        <v>0.89403560067908128</v>
      </c>
      <c r="H50" s="12">
        <f t="shared" si="34"/>
        <v>0.9019074235048643</v>
      </c>
      <c r="I50" s="12">
        <f t="shared" si="34"/>
        <v>0.8480857578311316</v>
      </c>
      <c r="K50" s="18">
        <v>1</v>
      </c>
      <c r="L50" s="12">
        <f t="shared" si="30"/>
        <v>0.23717376978836222</v>
      </c>
      <c r="M50" s="12">
        <f t="shared" si="30"/>
        <v>0.13734037089625348</v>
      </c>
      <c r="N50" s="12">
        <f t="shared" si="30"/>
        <v>0.20141221125489575</v>
      </c>
      <c r="O50" s="12">
        <f t="shared" si="30"/>
        <v>0.15373285907500372</v>
      </c>
      <c r="P50" s="12">
        <f t="shared" si="30"/>
        <v>0.15186995044473411</v>
      </c>
      <c r="Q50" s="12">
        <f t="shared" si="30"/>
        <v>9.971390104341972E-2</v>
      </c>
      <c r="R50" s="12">
        <f t="shared" si="30"/>
        <v>0.10131101109101362</v>
      </c>
      <c r="S50" s="12">
        <f t="shared" si="30"/>
        <v>0.17229842997628406</v>
      </c>
      <c r="U50" s="18">
        <v>1</v>
      </c>
      <c r="V50" s="12">
        <f t="shared" si="31"/>
        <v>-0.54375853993336154</v>
      </c>
      <c r="W50" s="12">
        <f t="shared" si="31"/>
        <v>-0.79030793623843287</v>
      </c>
      <c r="X50" s="12">
        <f t="shared" si="31"/>
        <v>-0.61354643242639528</v>
      </c>
      <c r="Y50" s="12">
        <f t="shared" si="31"/>
        <v>-0.814033579844198</v>
      </c>
      <c r="Z50" s="12">
        <f t="shared" si="31"/>
        <v>-0.5661149678731201</v>
      </c>
      <c r="AA50" s="12">
        <f t="shared" si="31"/>
        <v>-0.79432169963566157</v>
      </c>
      <c r="AB50" s="12">
        <f t="shared" si="32"/>
        <v>-0.80059641241385071</v>
      </c>
      <c r="AC50" s="12">
        <f t="shared" si="33"/>
        <v>-0.67578732785484752</v>
      </c>
    </row>
    <row r="51" spans="1:29" x14ac:dyDescent="0.2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6.3563361071521621E-2</v>
      </c>
      <c r="M51" s="12">
        <f t="shared" si="30"/>
        <v>2.3732353943955564E-2</v>
      </c>
      <c r="N51" s="12">
        <f t="shared" si="30"/>
        <v>4.3989729372691667E-2</v>
      </c>
      <c r="O51" s="12">
        <f t="shared" si="30"/>
        <v>3.1954679129585155E-2</v>
      </c>
      <c r="P51" s="12">
        <f t="shared" si="30"/>
        <v>3.2173598470275455E-2</v>
      </c>
      <c r="Q51" s="12">
        <f t="shared" si="30"/>
        <v>1.7754964658364188E-2</v>
      </c>
      <c r="R51" s="12">
        <f t="shared" si="30"/>
        <v>1.3654145459134312E-2</v>
      </c>
      <c r="S51" s="12">
        <f t="shared" si="30"/>
        <v>3.8794477663209037E-2</v>
      </c>
      <c r="U51" s="19">
        <v>2</v>
      </c>
      <c r="V51" s="12">
        <f t="shared" si="31"/>
        <v>6.3563361071521621E-2</v>
      </c>
      <c r="W51" s="12">
        <f t="shared" si="31"/>
        <v>2.3732353943955564E-2</v>
      </c>
      <c r="X51" s="12">
        <f t="shared" si="31"/>
        <v>4.3989729372691667E-2</v>
      </c>
      <c r="Y51" s="12">
        <f t="shared" si="31"/>
        <v>3.1954679129585155E-2</v>
      </c>
      <c r="Z51" s="12">
        <f t="shared" si="31"/>
        <v>3.2173598470275455E-2</v>
      </c>
      <c r="AA51" s="12">
        <f t="shared" si="31"/>
        <v>1.7754964658364188E-2</v>
      </c>
      <c r="AB51" s="12">
        <f t="shared" si="32"/>
        <v>1.3654145459134312E-2</v>
      </c>
      <c r="AC51" s="12">
        <f t="shared" si="33"/>
        <v>3.8794477663209037E-2</v>
      </c>
    </row>
    <row r="52" spans="1:29" x14ac:dyDescent="0.2">
      <c r="A52" s="20">
        <v>3</v>
      </c>
      <c r="B52" s="12">
        <f t="shared" ref="B52:I52" si="36">B38/B$12</f>
        <v>0.15872904645404248</v>
      </c>
      <c r="C52" s="12">
        <f t="shared" si="36"/>
        <v>5.6607630687568078E-2</v>
      </c>
      <c r="D52" s="12">
        <f t="shared" si="36"/>
        <v>6.936113936230906E-2</v>
      </c>
      <c r="E52" s="12">
        <f t="shared" si="36"/>
        <v>2.5782355262360068E-2</v>
      </c>
      <c r="F52" s="12">
        <f t="shared" si="36"/>
        <v>0.22015830993689003</v>
      </c>
      <c r="G52" s="12">
        <f t="shared" si="36"/>
        <v>9.1996075831528371E-2</v>
      </c>
      <c r="H52" s="12">
        <f t="shared" si="36"/>
        <v>6.7683325910585249E-2</v>
      </c>
      <c r="I52" s="12">
        <f t="shared" si="36"/>
        <v>0.10344825781717255</v>
      </c>
      <c r="K52" s="20">
        <v>3</v>
      </c>
      <c r="L52" s="12">
        <f t="shared" si="30"/>
        <v>1.7157831823824191E-2</v>
      </c>
      <c r="M52" s="12">
        <f t="shared" si="30"/>
        <v>4.2596532719920248E-3</v>
      </c>
      <c r="N52" s="12">
        <f t="shared" si="30"/>
        <v>9.3821808337442199E-3</v>
      </c>
      <c r="O52" s="12">
        <f t="shared" si="30"/>
        <v>6.6084914060732663E-3</v>
      </c>
      <c r="P52" s="12">
        <f t="shared" si="30"/>
        <v>6.4485009962733063E-3</v>
      </c>
      <c r="Q52" s="12">
        <f t="shared" si="30"/>
        <v>3.3752197165189423E-3</v>
      </c>
      <c r="R52" s="12">
        <f t="shared" si="30"/>
        <v>2.0779876330290666E-3</v>
      </c>
      <c r="S52" s="12">
        <f t="shared" si="30"/>
        <v>9.1521296004903625E-3</v>
      </c>
      <c r="U52" s="20">
        <v>3</v>
      </c>
      <c r="V52" s="12">
        <f t="shared" si="31"/>
        <v>-0.14157121463021829</v>
      </c>
      <c r="W52" s="12">
        <f t="shared" si="31"/>
        <v>-5.234797741557605E-2</v>
      </c>
      <c r="X52" s="12">
        <f t="shared" si="31"/>
        <v>-5.9978958528564844E-2</v>
      </c>
      <c r="Y52" s="12">
        <f t="shared" si="31"/>
        <v>-1.9173863856286801E-2</v>
      </c>
      <c r="Z52" s="12">
        <f t="shared" si="31"/>
        <v>-0.21370980894061672</v>
      </c>
      <c r="AA52" s="12">
        <f t="shared" si="31"/>
        <v>-8.862085611500943E-2</v>
      </c>
      <c r="AB52" s="12">
        <f t="shared" si="32"/>
        <v>-6.5605338277556186E-2</v>
      </c>
      <c r="AC52" s="12">
        <f t="shared" si="33"/>
        <v>-9.4296128216682193E-2</v>
      </c>
    </row>
    <row r="53" spans="1:29" x14ac:dyDescent="0.2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7.0969917091934474E-3</v>
      </c>
      <c r="M53" s="12">
        <f t="shared" si="30"/>
        <v>9.6672982059393465E-4</v>
      </c>
      <c r="N53" s="12">
        <f t="shared" si="30"/>
        <v>2.4606711259547312E-3</v>
      </c>
      <c r="O53" s="12">
        <f t="shared" si="30"/>
        <v>1.5931614387547349E-3</v>
      </c>
      <c r="P53" s="12">
        <f t="shared" si="30"/>
        <v>1.7743426605952375E-3</v>
      </c>
      <c r="Q53" s="12">
        <f t="shared" si="30"/>
        <v>8.6951643666554473E-4</v>
      </c>
      <c r="R53" s="12">
        <f t="shared" si="30"/>
        <v>4.3466677883873862E-4</v>
      </c>
      <c r="S53" s="12">
        <f t="shared" si="30"/>
        <v>3.2252026550328998E-3</v>
      </c>
      <c r="U53" s="20">
        <v>4</v>
      </c>
      <c r="V53" s="12">
        <f t="shared" si="31"/>
        <v>7.0969917091934474E-3</v>
      </c>
      <c r="W53" s="12">
        <f t="shared" si="31"/>
        <v>9.6672982059393465E-4</v>
      </c>
      <c r="X53" s="12">
        <f t="shared" si="31"/>
        <v>2.4606711259547312E-3</v>
      </c>
      <c r="Y53" s="12">
        <f t="shared" si="31"/>
        <v>1.5931614387547349E-3</v>
      </c>
      <c r="Z53" s="12">
        <f t="shared" si="31"/>
        <v>1.7743426605952375E-3</v>
      </c>
      <c r="AA53" s="12">
        <f t="shared" si="31"/>
        <v>8.6951643666554473E-4</v>
      </c>
      <c r="AB53" s="12">
        <f t="shared" si="32"/>
        <v>4.3466677883873862E-4</v>
      </c>
      <c r="AC53" s="12">
        <f t="shared" si="33"/>
        <v>3.2252026550328998E-3</v>
      </c>
    </row>
    <row r="54" spans="1:29" x14ac:dyDescent="0.2">
      <c r="A54" s="20">
        <v>5</v>
      </c>
      <c r="B54" s="12">
        <f t="shared" ref="B54:I54" si="38">B40/B$12</f>
        <v>3.5826566018370413E-2</v>
      </c>
      <c r="C54" s="12">
        <f t="shared" si="38"/>
        <v>4.7614881377603972E-3</v>
      </c>
      <c r="D54" s="12">
        <f t="shared" si="38"/>
        <v>3.3898578179289207E-2</v>
      </c>
      <c r="E54" s="12">
        <f t="shared" si="38"/>
        <v>5.151357239013772E-3</v>
      </c>
      <c r="F54" s="12">
        <f t="shared" si="38"/>
        <v>4.9118901825289309E-2</v>
      </c>
      <c r="G54" s="12">
        <f t="shared" si="38"/>
        <v>1.3968323489390313E-2</v>
      </c>
      <c r="H54" s="12">
        <f t="shared" si="38"/>
        <v>2.5709119262792512E-2</v>
      </c>
      <c r="I54" s="12">
        <f t="shared" si="38"/>
        <v>2.6116903148063798E-2</v>
      </c>
      <c r="K54" s="20">
        <v>5</v>
      </c>
      <c r="L54" s="12">
        <f t="shared" si="30"/>
        <v>2.0458829479104408E-3</v>
      </c>
      <c r="M54" s="12">
        <f t="shared" si="30"/>
        <v>1.6399880885075677E-4</v>
      </c>
      <c r="N54" s="12">
        <f t="shared" si="30"/>
        <v>5.1167074452744879E-4</v>
      </c>
      <c r="O54" s="12">
        <f t="shared" si="30"/>
        <v>2.5028518071071364E-4</v>
      </c>
      <c r="P54" s="12">
        <f t="shared" si="30"/>
        <v>2.8711046287948825E-4</v>
      </c>
      <c r="Q54" s="12">
        <f t="shared" si="30"/>
        <v>1.8699278207861175E-4</v>
      </c>
      <c r="R54" s="12">
        <f t="shared" si="30"/>
        <v>7.0107544973990101E-5</v>
      </c>
      <c r="S54" s="12">
        <f t="shared" si="30"/>
        <v>8.3818245020784868E-4</v>
      </c>
      <c r="U54" s="20">
        <v>5</v>
      </c>
      <c r="V54" s="12">
        <f t="shared" si="31"/>
        <v>-3.378068307045997E-2</v>
      </c>
      <c r="W54" s="12">
        <f t="shared" si="31"/>
        <v>-4.5974893289096406E-3</v>
      </c>
      <c r="X54" s="12">
        <f t="shared" si="31"/>
        <v>-3.3386907434761762E-2</v>
      </c>
      <c r="Y54" s="12">
        <f t="shared" si="31"/>
        <v>-4.9010720583030579E-3</v>
      </c>
      <c r="Z54" s="12">
        <f t="shared" si="31"/>
        <v>-4.8831791362409824E-2</v>
      </c>
      <c r="AA54" s="12">
        <f t="shared" si="31"/>
        <v>-1.37813307073117E-2</v>
      </c>
      <c r="AB54" s="12">
        <f t="shared" si="32"/>
        <v>-2.5639011717818523E-2</v>
      </c>
      <c r="AC54" s="12">
        <f t="shared" si="33"/>
        <v>-2.5278720697855948E-2</v>
      </c>
    </row>
    <row r="55" spans="1:29" x14ac:dyDescent="0.2">
      <c r="A55" s="3" t="s">
        <v>209</v>
      </c>
      <c r="B55" s="13">
        <f t="shared" ref="B55:I55" si="39">B41/B$12</f>
        <v>2.4512077805863293E-2</v>
      </c>
      <c r="C55" s="13">
        <f t="shared" si="39"/>
        <v>1.0982574039985126E-2</v>
      </c>
      <c r="D55" s="13">
        <f t="shared" si="39"/>
        <v>8.1781638777110699E-2</v>
      </c>
      <c r="E55" s="13">
        <f t="shared" si="39"/>
        <v>1.2998485794243934E-3</v>
      </c>
      <c r="F55" s="13">
        <f t="shared" si="39"/>
        <v>1.2737869919966309E-2</v>
      </c>
      <c r="G55" s="13">
        <f t="shared" si="39"/>
        <v>0</v>
      </c>
      <c r="H55" s="13">
        <f t="shared" si="39"/>
        <v>4.7001313217579967E-3</v>
      </c>
      <c r="I55" s="13">
        <f t="shared" si="39"/>
        <v>2.2349081203632003E-2</v>
      </c>
      <c r="K55" s="3" t="s">
        <v>209</v>
      </c>
      <c r="L55" s="13">
        <f t="shared" ref="L55:S55" si="40">L41/L$42</f>
        <v>2.577659264708136E-3</v>
      </c>
      <c r="M55" s="13">
        <f t="shared" si="40"/>
        <v>1.6399880885075677E-4</v>
      </c>
      <c r="N55" s="13">
        <f t="shared" si="40"/>
        <v>2.6979002893265483E-4</v>
      </c>
      <c r="O55" s="13">
        <f t="shared" si="40"/>
        <v>8.1824001386194851E-5</v>
      </c>
      <c r="P55" s="13">
        <f t="shared" si="40"/>
        <v>1.2632860366697482E-4</v>
      </c>
      <c r="Q55" s="13">
        <f t="shared" si="40"/>
        <v>5.6097834623583531E-5</v>
      </c>
      <c r="R55" s="13">
        <f t="shared" si="40"/>
        <v>3.0847319788555646E-5</v>
      </c>
      <c r="S55" s="13">
        <f t="shared" si="40"/>
        <v>9.4308381207435248E-4</v>
      </c>
      <c r="U55" s="3" t="s">
        <v>209</v>
      </c>
      <c r="V55" s="12">
        <f t="shared" si="31"/>
        <v>-2.1934418541155156E-2</v>
      </c>
      <c r="W55" s="12">
        <f t="shared" si="31"/>
        <v>-1.0818575231134369E-2</v>
      </c>
      <c r="X55" s="12">
        <f t="shared" si="31"/>
        <v>-8.1511848748178045E-2</v>
      </c>
      <c r="Y55" s="12">
        <f t="shared" si="31"/>
        <v>-1.2180245780381985E-3</v>
      </c>
      <c r="Z55" s="12">
        <f t="shared" si="31"/>
        <v>-1.2611541316299334E-2</v>
      </c>
      <c r="AA55" s="12">
        <f t="shared" si="31"/>
        <v>5.6097834623583531E-5</v>
      </c>
      <c r="AB55" s="12">
        <f t="shared" si="32"/>
        <v>-4.6692840019694412E-3</v>
      </c>
      <c r="AC55" s="12">
        <f t="shared" si="33"/>
        <v>-2.140599739155765E-2</v>
      </c>
    </row>
    <row r="56" spans="1:29" ht="13.5" thickBot="1" x14ac:dyDescent="0.25">
      <c r="A56" s="21" t="s">
        <v>221</v>
      </c>
      <c r="B56" s="17">
        <f t="shared" ref="B56:I56" si="41">B42/B$12</f>
        <v>1</v>
      </c>
      <c r="C56" s="17">
        <f t="shared" si="41"/>
        <v>1.0000000000000002</v>
      </c>
      <c r="D56" s="17">
        <f t="shared" si="41"/>
        <v>1</v>
      </c>
      <c r="E56" s="17">
        <f t="shared" si="41"/>
        <v>0.99999999999999978</v>
      </c>
      <c r="F56" s="17">
        <f t="shared" si="41"/>
        <v>1</v>
      </c>
      <c r="G56" s="17">
        <f t="shared" si="41"/>
        <v>0.99999999999999978</v>
      </c>
      <c r="H56" s="17">
        <f t="shared" si="41"/>
        <v>1.0000000000000002</v>
      </c>
      <c r="I56" s="17">
        <f t="shared" si="41"/>
        <v>0.99999999999999989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r="63" spans="1:29" ht="13.5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269654</v>
      </c>
      <c r="M65" s="7">
        <f>output!C168</f>
        <v>146950</v>
      </c>
      <c r="N65" s="7">
        <f>output!D168</f>
        <v>136148</v>
      </c>
      <c r="O65" s="7">
        <f>output!E168</f>
        <v>150913</v>
      </c>
      <c r="P65" s="7">
        <f>output!F168</f>
        <v>128177</v>
      </c>
      <c r="Q65" s="7">
        <f>output!G168</f>
        <v>88816</v>
      </c>
      <c r="R65" s="7">
        <f>output!H168</f>
        <v>292348</v>
      </c>
      <c r="S65" s="7">
        <f>output!I168</f>
        <v>1213006</v>
      </c>
      <c r="U65" s="18">
        <v>0</v>
      </c>
      <c r="V65" s="7">
        <f t="shared" ref="V65:AA72" si="43">L65-B65</f>
        <v>269654</v>
      </c>
      <c r="W65" s="7">
        <f t="shared" si="43"/>
        <v>146950</v>
      </c>
      <c r="X65" s="7">
        <f t="shared" si="43"/>
        <v>136148</v>
      </c>
      <c r="Y65" s="7">
        <f t="shared" si="43"/>
        <v>150913</v>
      </c>
      <c r="Z65" s="7">
        <f t="shared" si="43"/>
        <v>128177</v>
      </c>
      <c r="AA65" s="7">
        <f t="shared" si="43"/>
        <v>88816</v>
      </c>
      <c r="AB65" s="7">
        <f t="shared" ref="AB65:AB72" si="44">R65-H65</f>
        <v>292348</v>
      </c>
      <c r="AC65" s="7">
        <f t="shared" ref="AC65:AC72" si="45">S65-I65</f>
        <v>1213006</v>
      </c>
    </row>
    <row r="66" spans="1:29" x14ac:dyDescent="0.2">
      <c r="A66" s="18">
        <v>1</v>
      </c>
      <c r="B66" s="7">
        <f>output_NHTS!B169</f>
        <v>121341.0691812446</v>
      </c>
      <c r="C66" s="7">
        <f>output_NHTS!C169</f>
        <v>74391.263320097802</v>
      </c>
      <c r="D66" s="7">
        <f>output_NHTS!D169</f>
        <v>71143.174927778993</v>
      </c>
      <c r="E66" s="7">
        <f>output_NHTS!E169</f>
        <v>70391.462001148204</v>
      </c>
      <c r="F66" s="7">
        <f>output_NHTS!F169</f>
        <v>46215.782605780099</v>
      </c>
      <c r="G66" s="7">
        <f>output_NHTS!G169</f>
        <v>29624.1240356952</v>
      </c>
      <c r="H66" s="7">
        <f>output_NHTS!H169</f>
        <v>106080.30327489899</v>
      </c>
      <c r="I66" s="7">
        <f>output_NHTS!I169</f>
        <v>519187.17934664397</v>
      </c>
      <c r="K66" s="18">
        <v>1</v>
      </c>
      <c r="L66" s="7">
        <f>output!B169</f>
        <v>238878</v>
      </c>
      <c r="M66" s="7">
        <f>output!C169</f>
        <v>64191</v>
      </c>
      <c r="N66" s="7">
        <f>output!D169</f>
        <v>62494</v>
      </c>
      <c r="O66" s="7">
        <f>output!E169</f>
        <v>46556</v>
      </c>
      <c r="P66" s="7">
        <f>output!F169</f>
        <v>37928</v>
      </c>
      <c r="Q66" s="7">
        <f>output!G169</f>
        <v>15785</v>
      </c>
      <c r="R66" s="7">
        <f>output!H169</f>
        <v>56554</v>
      </c>
      <c r="S66" s="7">
        <f>output!I169</f>
        <v>522386</v>
      </c>
      <c r="U66" s="18">
        <v>1</v>
      </c>
      <c r="V66" s="7">
        <f t="shared" si="43"/>
        <v>117536.9308187554</v>
      </c>
      <c r="W66" s="7">
        <f t="shared" si="43"/>
        <v>-10200.263320097802</v>
      </c>
      <c r="X66" s="7">
        <f t="shared" si="43"/>
        <v>-8649.1749277789932</v>
      </c>
      <c r="Y66" s="7">
        <f t="shared" si="43"/>
        <v>-23835.462001148204</v>
      </c>
      <c r="Z66" s="7">
        <f t="shared" si="43"/>
        <v>-8287.7826057800994</v>
      </c>
      <c r="AA66" s="7">
        <f t="shared" si="43"/>
        <v>-13839.1240356952</v>
      </c>
      <c r="AB66" s="7">
        <f t="shared" si="44"/>
        <v>-49526.303274898994</v>
      </c>
      <c r="AC66" s="7">
        <f t="shared" si="45"/>
        <v>3198.8206533560297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100827</v>
      </c>
      <c r="M67" s="7">
        <f>output!C170</f>
        <v>17213</v>
      </c>
      <c r="N67" s="7">
        <f>output!D170</f>
        <v>13925</v>
      </c>
      <c r="O67" s="7">
        <f>output!E170</f>
        <v>8945</v>
      </c>
      <c r="P67" s="7">
        <f>output!F170</f>
        <v>7007</v>
      </c>
      <c r="Q67" s="7">
        <f>output!G170</f>
        <v>2095</v>
      </c>
      <c r="R67" s="7">
        <f>output!H170</f>
        <v>6918</v>
      </c>
      <c r="S67" s="7">
        <f>output!I170</f>
        <v>156930</v>
      </c>
      <c r="U67" s="19">
        <v>2</v>
      </c>
      <c r="V67" s="7">
        <f t="shared" si="43"/>
        <v>100827</v>
      </c>
      <c r="W67" s="7">
        <f t="shared" si="43"/>
        <v>17213</v>
      </c>
      <c r="X67" s="7">
        <f t="shared" si="43"/>
        <v>13925</v>
      </c>
      <c r="Y67" s="7">
        <f t="shared" si="43"/>
        <v>8945</v>
      </c>
      <c r="Z67" s="7">
        <f t="shared" si="43"/>
        <v>7007</v>
      </c>
      <c r="AA67" s="7">
        <f t="shared" si="43"/>
        <v>2095</v>
      </c>
      <c r="AB67" s="7">
        <f t="shared" si="44"/>
        <v>6918</v>
      </c>
      <c r="AC67" s="7">
        <f t="shared" si="45"/>
        <v>156930</v>
      </c>
    </row>
    <row r="68" spans="1:29" x14ac:dyDescent="0.2">
      <c r="A68" s="20">
        <v>3</v>
      </c>
      <c r="B68" s="7">
        <f>output_NHTS!B171</f>
        <v>57333.409017710401</v>
      </c>
      <c r="C68" s="7">
        <f>output_NHTS!C171</f>
        <v>18833.683502292999</v>
      </c>
      <c r="D68" s="7">
        <f>output_NHTS!D171</f>
        <v>14707.047555628</v>
      </c>
      <c r="E68" s="7">
        <f>output_NHTS!E171</f>
        <v>7123.3638573150001</v>
      </c>
      <c r="F68" s="7">
        <f>output_NHTS!F171</f>
        <v>11993.9141802742</v>
      </c>
      <c r="G68" s="7">
        <f>output_NHTS!G171</f>
        <v>6222.177340925</v>
      </c>
      <c r="H68" s="7">
        <f>output_NHTS!H171</f>
        <v>11876.918088908</v>
      </c>
      <c r="I68" s="7">
        <f>output_NHTS!I171</f>
        <v>128090.51354305359</v>
      </c>
      <c r="K68" s="20">
        <v>3</v>
      </c>
      <c r="L68" s="7">
        <f>output!B171</f>
        <v>27773</v>
      </c>
      <c r="M68" s="7">
        <f>output!C171</f>
        <v>2756</v>
      </c>
      <c r="N68" s="7">
        <f>output!D171</f>
        <v>2018</v>
      </c>
      <c r="O68" s="7">
        <f>output!E171</f>
        <v>1167</v>
      </c>
      <c r="P68" s="7">
        <f>output!F171</f>
        <v>893</v>
      </c>
      <c r="Q68" s="7">
        <f>output!G171</f>
        <v>219</v>
      </c>
      <c r="R68" s="7">
        <f>output!H171</f>
        <v>660</v>
      </c>
      <c r="S68" s="7">
        <f>output!I171</f>
        <v>35486</v>
      </c>
      <c r="U68" s="20">
        <v>3</v>
      </c>
      <c r="V68" s="7">
        <f t="shared" si="43"/>
        <v>-29560.409017710401</v>
      </c>
      <c r="W68" s="7">
        <f t="shared" si="43"/>
        <v>-16077.683502292999</v>
      </c>
      <c r="X68" s="7">
        <f t="shared" si="43"/>
        <v>-12689.047555628</v>
      </c>
      <c r="Y68" s="7">
        <f t="shared" si="43"/>
        <v>-5956.3638573150001</v>
      </c>
      <c r="Z68" s="7">
        <f t="shared" si="43"/>
        <v>-11100.9141802742</v>
      </c>
      <c r="AA68" s="7">
        <f t="shared" si="43"/>
        <v>-6003.177340925</v>
      </c>
      <c r="AB68" s="7">
        <f t="shared" si="44"/>
        <v>-11216.918088908</v>
      </c>
      <c r="AC68" s="7">
        <f t="shared" si="45"/>
        <v>-92604.513543053588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9873</v>
      </c>
      <c r="M69" s="7">
        <f>output!C172</f>
        <v>479</v>
      </c>
      <c r="N69" s="7">
        <f>output!D172</f>
        <v>346</v>
      </c>
      <c r="O69" s="7">
        <f>output!E172</f>
        <v>160</v>
      </c>
      <c r="P69" s="7">
        <f>output!F172</f>
        <v>127</v>
      </c>
      <c r="Q69" s="7">
        <f>output!G172</f>
        <v>36</v>
      </c>
      <c r="R69" s="7">
        <f>output!H172</f>
        <v>102</v>
      </c>
      <c r="S69" s="7">
        <f>output!I172</f>
        <v>11123</v>
      </c>
      <c r="U69" s="20">
        <v>4</v>
      </c>
      <c r="V69" s="7">
        <f t="shared" si="43"/>
        <v>9873</v>
      </c>
      <c r="W69" s="7">
        <f t="shared" si="43"/>
        <v>479</v>
      </c>
      <c r="X69" s="7">
        <f t="shared" si="43"/>
        <v>346</v>
      </c>
      <c r="Y69" s="7">
        <f t="shared" si="43"/>
        <v>160</v>
      </c>
      <c r="Z69" s="7">
        <f t="shared" si="43"/>
        <v>127</v>
      </c>
      <c r="AA69" s="7">
        <f t="shared" si="43"/>
        <v>36</v>
      </c>
      <c r="AB69" s="7">
        <f t="shared" si="44"/>
        <v>102</v>
      </c>
      <c r="AC69" s="7">
        <f t="shared" si="45"/>
        <v>11123</v>
      </c>
    </row>
    <row r="70" spans="1:29" x14ac:dyDescent="0.2">
      <c r="A70" s="20">
        <v>5</v>
      </c>
      <c r="B70" s="7">
        <f>output_NHTS!B173</f>
        <v>22237.804879314699</v>
      </c>
      <c r="C70" s="7">
        <f>output_NHTS!C173</f>
        <v>5095.1267193479998</v>
      </c>
      <c r="D70" s="7">
        <f>output_NHTS!D173</f>
        <v>7473.2990823546997</v>
      </c>
      <c r="E70" s="7">
        <f>output_NHTS!E173</f>
        <v>2541.0825863509999</v>
      </c>
      <c r="F70" s="7">
        <f>output_NHTS!F173</f>
        <v>4879.8789797867003</v>
      </c>
      <c r="G70" s="7">
        <f>output_NHTS!G173</f>
        <v>1536.1445875649999</v>
      </c>
      <c r="H70" s="7">
        <f>output_NHTS!H173</f>
        <v>3052.6735458534999</v>
      </c>
      <c r="I70" s="7">
        <f>output_NHTS!I173</f>
        <v>46816.0103805736</v>
      </c>
      <c r="K70" s="20">
        <v>5</v>
      </c>
      <c r="L70" s="7">
        <f>output!B173</f>
        <v>1463</v>
      </c>
      <c r="M70" s="7">
        <f>output!C173</f>
        <v>58</v>
      </c>
      <c r="N70" s="7">
        <f>output!D173</f>
        <v>29</v>
      </c>
      <c r="O70" s="7">
        <f>output!E173</f>
        <v>11</v>
      </c>
      <c r="P70" s="7">
        <f>output!F173</f>
        <v>12</v>
      </c>
      <c r="Q70" s="7">
        <f>output!G173</f>
        <v>4</v>
      </c>
      <c r="R70" s="7">
        <f>output!H173</f>
        <v>5</v>
      </c>
      <c r="S70" s="7">
        <f>output!I173</f>
        <v>1582</v>
      </c>
      <c r="U70" s="20">
        <v>5</v>
      </c>
      <c r="V70" s="7">
        <f t="shared" si="43"/>
        <v>-20774.804879314699</v>
      </c>
      <c r="W70" s="7">
        <f t="shared" si="43"/>
        <v>-5037.1267193479998</v>
      </c>
      <c r="X70" s="7">
        <f t="shared" si="43"/>
        <v>-7444.2990823546997</v>
      </c>
      <c r="Y70" s="7">
        <f t="shared" si="43"/>
        <v>-2530.0825863509999</v>
      </c>
      <c r="Z70" s="7">
        <f t="shared" si="43"/>
        <v>-4867.8789797867003</v>
      </c>
      <c r="AA70" s="7">
        <f t="shared" si="43"/>
        <v>-1532.1445875649999</v>
      </c>
      <c r="AB70" s="7">
        <f t="shared" si="44"/>
        <v>-3047.6735458534999</v>
      </c>
      <c r="AC70" s="7">
        <f t="shared" si="45"/>
        <v>-45234.0103805736</v>
      </c>
    </row>
    <row r="71" spans="1:29" x14ac:dyDescent="0.2">
      <c r="A71" s="3" t="s">
        <v>209</v>
      </c>
      <c r="B71" s="9">
        <f>output_NHTS!B174</f>
        <v>8111.9446667740003</v>
      </c>
      <c r="C71" s="9">
        <f>output_NHTS!C174</f>
        <v>585.70173874099999</v>
      </c>
      <c r="D71" s="9">
        <f>output_NHTS!D174</f>
        <v>8296.6491793740006</v>
      </c>
      <c r="E71" s="9">
        <f>output_NHTS!E174</f>
        <v>1527.6347967839999</v>
      </c>
      <c r="F71" s="9">
        <f>output_NHTS!F174</f>
        <v>2855.1919882500001</v>
      </c>
      <c r="G71" s="9">
        <f>output_NHTS!G174</f>
        <v>863.10991949499999</v>
      </c>
      <c r="H71" s="9">
        <f>output_NHTS!H174</f>
        <v>1468.725291037</v>
      </c>
      <c r="I71" s="9">
        <f>output_NHTS!I174</f>
        <v>23708.957580455004</v>
      </c>
      <c r="K71" s="3" t="s">
        <v>209</v>
      </c>
      <c r="L71" s="9">
        <f>output!B174</f>
        <v>4062</v>
      </c>
      <c r="M71" s="9">
        <f>output!C174</f>
        <v>62</v>
      </c>
      <c r="N71" s="9">
        <f>output!D174</f>
        <v>22</v>
      </c>
      <c r="O71" s="9">
        <f>output!E174</f>
        <v>11</v>
      </c>
      <c r="P71" s="9">
        <f>output!F174</f>
        <v>5</v>
      </c>
      <c r="Q71" s="9">
        <f>output!G174</f>
        <v>1</v>
      </c>
      <c r="R71" s="9">
        <f>output!H174</f>
        <v>8</v>
      </c>
      <c r="S71" s="9">
        <f>output!I174</f>
        <v>4171</v>
      </c>
      <c r="U71" s="3" t="s">
        <v>209</v>
      </c>
      <c r="V71" s="9">
        <f t="shared" si="43"/>
        <v>-4049.9446667740003</v>
      </c>
      <c r="W71" s="9">
        <f t="shared" si="43"/>
        <v>-523.70173874099999</v>
      </c>
      <c r="X71" s="9">
        <f t="shared" si="43"/>
        <v>-8274.6491793740006</v>
      </c>
      <c r="Y71" s="9">
        <f t="shared" si="43"/>
        <v>-1516.6347967839999</v>
      </c>
      <c r="Z71" s="9">
        <f t="shared" si="43"/>
        <v>-2850.1919882500001</v>
      </c>
      <c r="AA71" s="9">
        <f t="shared" si="43"/>
        <v>-862.10991949499999</v>
      </c>
      <c r="AB71" s="9">
        <f t="shared" si="44"/>
        <v>-1460.725291037</v>
      </c>
      <c r="AC71" s="9">
        <f t="shared" si="45"/>
        <v>-19537.957580455004</v>
      </c>
    </row>
    <row r="72" spans="1:29" ht="13.5" thickBot="1" x14ac:dyDescent="0.25">
      <c r="A72" s="21" t="s">
        <v>221</v>
      </c>
      <c r="B72" s="22">
        <f t="shared" ref="B72:I72" si="46">SUM(B65:B71)</f>
        <v>209024.22774504373</v>
      </c>
      <c r="C72" s="22">
        <f t="shared" si="46"/>
        <v>98905.775280479807</v>
      </c>
      <c r="D72" s="22">
        <f t="shared" si="46"/>
        <v>101620.17074513569</v>
      </c>
      <c r="E72" s="22">
        <f t="shared" si="46"/>
        <v>81583.543241598192</v>
      </c>
      <c r="F72" s="22">
        <f t="shared" si="46"/>
        <v>65944.767754090994</v>
      </c>
      <c r="G72" s="22">
        <f t="shared" si="46"/>
        <v>38245.555883680201</v>
      </c>
      <c r="H72" s="22">
        <f t="shared" si="46"/>
        <v>122478.62020069749</v>
      </c>
      <c r="I72" s="22">
        <f t="shared" si="46"/>
        <v>717802.66085072618</v>
      </c>
      <c r="K72" s="21" t="s">
        <v>221</v>
      </c>
      <c r="L72" s="22">
        <f>SUM(L65:L71)</f>
        <v>652530</v>
      </c>
      <c r="M72" s="22">
        <f t="shared" ref="M72:S72" si="47">SUM(M65:M71)</f>
        <v>231709</v>
      </c>
      <c r="N72" s="22">
        <f t="shared" si="47"/>
        <v>214982</v>
      </c>
      <c r="O72" s="22">
        <f t="shared" si="47"/>
        <v>207763</v>
      </c>
      <c r="P72" s="22">
        <f t="shared" si="47"/>
        <v>174149</v>
      </c>
      <c r="Q72" s="22">
        <f t="shared" si="47"/>
        <v>106956</v>
      </c>
      <c r="R72" s="22">
        <f t="shared" si="47"/>
        <v>356595</v>
      </c>
      <c r="S72" s="22">
        <f t="shared" si="47"/>
        <v>1944684</v>
      </c>
      <c r="U72" s="21" t="s">
        <v>221</v>
      </c>
      <c r="V72" s="22">
        <f t="shared" si="43"/>
        <v>443505.7722549563</v>
      </c>
      <c r="W72" s="22">
        <f t="shared" si="43"/>
        <v>132803.22471952019</v>
      </c>
      <c r="X72" s="22">
        <f t="shared" si="43"/>
        <v>113361.82925486431</v>
      </c>
      <c r="Y72" s="22">
        <f t="shared" si="43"/>
        <v>126179.45675840181</v>
      </c>
      <c r="Z72" s="22">
        <f t="shared" si="43"/>
        <v>108204.23224590901</v>
      </c>
      <c r="AA72" s="22">
        <f t="shared" si="43"/>
        <v>68710.444116319792</v>
      </c>
      <c r="AB72" s="22">
        <f t="shared" si="44"/>
        <v>234116.37979930249</v>
      </c>
      <c r="AC72" s="22">
        <f t="shared" si="45"/>
        <v>1226881.3391492739</v>
      </c>
    </row>
    <row r="74" spans="1:29" x14ac:dyDescent="0.2">
      <c r="B74" s="7">
        <f>SUM(B66:B71)</f>
        <v>209024.22774504373</v>
      </c>
      <c r="C74" s="7">
        <f t="shared" ref="C74:H74" si="48">SUM(C66:C71)</f>
        <v>98905.775280479807</v>
      </c>
      <c r="D74" s="7">
        <f t="shared" si="48"/>
        <v>101620.17074513569</v>
      </c>
      <c r="E74" s="7">
        <f t="shared" si="48"/>
        <v>81583.543241598192</v>
      </c>
      <c r="F74" s="7">
        <f t="shared" si="48"/>
        <v>65944.767754090994</v>
      </c>
      <c r="G74" s="7">
        <f t="shared" si="48"/>
        <v>38245.555883680201</v>
      </c>
      <c r="H74" s="7">
        <f t="shared" si="48"/>
        <v>122478.62020069749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r="77" spans="1:29" ht="13.5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0.41324383553246596</v>
      </c>
      <c r="M79" s="12">
        <f t="shared" si="50"/>
        <v>0.634200656858387</v>
      </c>
      <c r="N79" s="12">
        <f t="shared" si="50"/>
        <v>0.63329953205384637</v>
      </c>
      <c r="O79" s="12">
        <f t="shared" si="50"/>
        <v>0.72637091301146017</v>
      </c>
      <c r="P79" s="12">
        <f t="shared" si="50"/>
        <v>0.73601915601008328</v>
      </c>
      <c r="Q79" s="12">
        <f t="shared" si="50"/>
        <v>0.83039754665469911</v>
      </c>
      <c r="R79" s="12">
        <f t="shared" si="50"/>
        <v>0.81983202232224228</v>
      </c>
      <c r="S79" s="12">
        <f t="shared" si="50"/>
        <v>0.62375481055019733</v>
      </c>
      <c r="U79" s="18">
        <v>0</v>
      </c>
      <c r="V79" s="12">
        <f t="shared" ref="V79:AA86" si="51">L79-B79</f>
        <v>0.41324383553246596</v>
      </c>
      <c r="W79" s="12">
        <f t="shared" si="51"/>
        <v>0.634200656858387</v>
      </c>
      <c r="X79" s="12">
        <f t="shared" si="51"/>
        <v>0.63329953205384637</v>
      </c>
      <c r="Y79" s="12">
        <f t="shared" si="51"/>
        <v>0.72637091301146017</v>
      </c>
      <c r="Z79" s="12">
        <f t="shared" si="51"/>
        <v>0.73601915601008328</v>
      </c>
      <c r="AA79" s="12">
        <f t="shared" si="51"/>
        <v>0.83039754665469911</v>
      </c>
      <c r="AB79" s="12">
        <f t="shared" ref="AB79:AB86" si="52">R79-H79</f>
        <v>0.81983202232224228</v>
      </c>
      <c r="AC79" s="12">
        <f t="shared" ref="AC79:AC86" si="53">S79-I79</f>
        <v>0.62375481055019733</v>
      </c>
    </row>
    <row r="80" spans="1:29" x14ac:dyDescent="0.2">
      <c r="A80" s="18">
        <v>1</v>
      </c>
      <c r="B80" s="12">
        <f t="shared" ref="B80:I80" si="54">B66/B$12</f>
        <v>0.58051198413826832</v>
      </c>
      <c r="C80" s="12">
        <f t="shared" si="54"/>
        <v>0.75214276526458601</v>
      </c>
      <c r="D80" s="12">
        <f t="shared" si="54"/>
        <v>0.70008911032246457</v>
      </c>
      <c r="E80" s="12">
        <f t="shared" si="54"/>
        <v>0.8628144746385159</v>
      </c>
      <c r="F80" s="12">
        <f t="shared" si="54"/>
        <v>0.70082561785825714</v>
      </c>
      <c r="G80" s="12">
        <f t="shared" si="54"/>
        <v>0.77457689792230577</v>
      </c>
      <c r="H80" s="12">
        <f t="shared" si="54"/>
        <v>0.8661128211688891</v>
      </c>
      <c r="I80" s="12">
        <f t="shared" si="54"/>
        <v>0.72330071712371913</v>
      </c>
      <c r="K80" s="18">
        <v>1</v>
      </c>
      <c r="L80" s="12">
        <f t="shared" si="50"/>
        <v>0.36607972047262194</v>
      </c>
      <c r="M80" s="12">
        <f t="shared" si="50"/>
        <v>0.27703282997207707</v>
      </c>
      <c r="N80" s="12">
        <f t="shared" si="50"/>
        <v>0.29069410462271261</v>
      </c>
      <c r="O80" s="12">
        <f t="shared" si="50"/>
        <v>0.22408224756092279</v>
      </c>
      <c r="P80" s="12">
        <f t="shared" si="50"/>
        <v>0.21779051272186462</v>
      </c>
      <c r="Q80" s="12">
        <f t="shared" si="50"/>
        <v>0.14758405325554433</v>
      </c>
      <c r="R80" s="12">
        <f t="shared" si="50"/>
        <v>0.15859448393836145</v>
      </c>
      <c r="S80" s="12">
        <f t="shared" si="50"/>
        <v>0.26862256284311486</v>
      </c>
      <c r="U80" s="18">
        <v>1</v>
      </c>
      <c r="V80" s="12">
        <f t="shared" si="51"/>
        <v>-0.21443226366564638</v>
      </c>
      <c r="W80" s="12">
        <f t="shared" si="51"/>
        <v>-0.47510993529250894</v>
      </c>
      <c r="X80" s="12">
        <f t="shared" si="51"/>
        <v>-0.40939500569975196</v>
      </c>
      <c r="Y80" s="12">
        <f t="shared" si="51"/>
        <v>-0.63873222707759314</v>
      </c>
      <c r="Z80" s="12">
        <f t="shared" si="51"/>
        <v>-0.48303510513639253</v>
      </c>
      <c r="AA80" s="12">
        <f t="shared" si="51"/>
        <v>-0.62699284466676142</v>
      </c>
      <c r="AB80" s="12">
        <f t="shared" si="52"/>
        <v>-0.70751833723052759</v>
      </c>
      <c r="AC80" s="12">
        <f t="shared" si="53"/>
        <v>-0.45467815428060426</v>
      </c>
    </row>
    <row r="81" spans="1:29" x14ac:dyDescent="0.2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0.15451703369960001</v>
      </c>
      <c r="M81" s="12">
        <f t="shared" si="50"/>
        <v>7.4287144651265166E-2</v>
      </c>
      <c r="N81" s="12">
        <f t="shared" si="50"/>
        <v>6.4772864704952041E-2</v>
      </c>
      <c r="O81" s="12">
        <f t="shared" si="50"/>
        <v>4.3053864258794879E-2</v>
      </c>
      <c r="P81" s="12">
        <f t="shared" si="50"/>
        <v>4.0235660267931482E-2</v>
      </c>
      <c r="Q81" s="12">
        <f t="shared" si="50"/>
        <v>1.9587493922734584E-2</v>
      </c>
      <c r="R81" s="12">
        <f t="shared" si="50"/>
        <v>1.940015984520254E-2</v>
      </c>
      <c r="S81" s="12">
        <f t="shared" si="50"/>
        <v>8.0696915282894285E-2</v>
      </c>
      <c r="U81" s="19">
        <v>2</v>
      </c>
      <c r="V81" s="12">
        <f t="shared" si="51"/>
        <v>0.15451703369960001</v>
      </c>
      <c r="W81" s="12">
        <f t="shared" si="51"/>
        <v>7.4287144651265166E-2</v>
      </c>
      <c r="X81" s="12">
        <f t="shared" si="51"/>
        <v>6.4772864704952041E-2</v>
      </c>
      <c r="Y81" s="12">
        <f t="shared" si="51"/>
        <v>4.3053864258794879E-2</v>
      </c>
      <c r="Z81" s="12">
        <f t="shared" si="51"/>
        <v>4.0235660267931482E-2</v>
      </c>
      <c r="AA81" s="12">
        <f t="shared" si="51"/>
        <v>1.9587493922734584E-2</v>
      </c>
      <c r="AB81" s="12">
        <f t="shared" si="52"/>
        <v>1.940015984520254E-2</v>
      </c>
      <c r="AC81" s="12">
        <f t="shared" si="53"/>
        <v>8.0696915282894285E-2</v>
      </c>
    </row>
    <row r="82" spans="1:29" x14ac:dyDescent="0.2">
      <c r="A82" s="20">
        <v>3</v>
      </c>
      <c r="B82" s="12">
        <f t="shared" ref="B82:I82" si="56">B68/B$12</f>
        <v>0.2742907347929186</v>
      </c>
      <c r="C82" s="12">
        <f t="shared" si="56"/>
        <v>0.19042046279788927</v>
      </c>
      <c r="D82" s="12">
        <f t="shared" si="56"/>
        <v>0.14472567254894117</v>
      </c>
      <c r="E82" s="12">
        <f t="shared" si="56"/>
        <v>8.731373478374381E-2</v>
      </c>
      <c r="F82" s="12">
        <f t="shared" si="56"/>
        <v>0.18187817758339342</v>
      </c>
      <c r="G82" s="12">
        <f t="shared" si="56"/>
        <v>0.16269020536265943</v>
      </c>
      <c r="H82" s="12">
        <f t="shared" si="56"/>
        <v>9.6971357690396012E-2</v>
      </c>
      <c r="I82" s="12">
        <f t="shared" si="56"/>
        <v>0.17844808960619221</v>
      </c>
      <c r="K82" s="20">
        <v>3</v>
      </c>
      <c r="L82" s="12">
        <f t="shared" si="50"/>
        <v>4.2562027799488145E-2</v>
      </c>
      <c r="M82" s="12">
        <f t="shared" si="50"/>
        <v>1.1894229399807518E-2</v>
      </c>
      <c r="N82" s="12">
        <f t="shared" si="50"/>
        <v>9.3868323859671969E-3</v>
      </c>
      <c r="O82" s="12">
        <f t="shared" si="50"/>
        <v>5.6169770363346701E-3</v>
      </c>
      <c r="P82" s="12">
        <f t="shared" si="50"/>
        <v>5.1277928670276605E-3</v>
      </c>
      <c r="Q82" s="12">
        <f t="shared" si="50"/>
        <v>2.0475709637607989E-3</v>
      </c>
      <c r="R82" s="12">
        <f t="shared" si="50"/>
        <v>1.8508391873133386E-3</v>
      </c>
      <c r="S82" s="12">
        <f t="shared" si="50"/>
        <v>1.8247694741150747E-2</v>
      </c>
      <c r="U82" s="20">
        <v>3</v>
      </c>
      <c r="V82" s="12">
        <f t="shared" si="51"/>
        <v>-0.23172870699343046</v>
      </c>
      <c r="W82" s="12">
        <f t="shared" si="51"/>
        <v>-0.17852623339808174</v>
      </c>
      <c r="X82" s="12">
        <f t="shared" si="51"/>
        <v>-0.13533884016297398</v>
      </c>
      <c r="Y82" s="12">
        <f t="shared" si="51"/>
        <v>-8.1696757747409143E-2</v>
      </c>
      <c r="Z82" s="12">
        <f t="shared" si="51"/>
        <v>-0.17675038471636575</v>
      </c>
      <c r="AA82" s="12">
        <f t="shared" si="51"/>
        <v>-0.16064263439889864</v>
      </c>
      <c r="AB82" s="12">
        <f t="shared" si="52"/>
        <v>-9.5120518503082674E-2</v>
      </c>
      <c r="AC82" s="12">
        <f t="shared" si="53"/>
        <v>-0.16020039486504145</v>
      </c>
    </row>
    <row r="83" spans="1:29" x14ac:dyDescent="0.2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1.5130338834996091E-2</v>
      </c>
      <c r="M83" s="12">
        <f t="shared" si="50"/>
        <v>2.0672481431450655E-3</v>
      </c>
      <c r="N83" s="12">
        <f t="shared" si="50"/>
        <v>1.6094370691499753E-3</v>
      </c>
      <c r="O83" s="12">
        <f t="shared" si="50"/>
        <v>7.7010824834065743E-4</v>
      </c>
      <c r="P83" s="12">
        <f t="shared" si="50"/>
        <v>7.2926057571390018E-4</v>
      </c>
      <c r="Q83" s="12">
        <f t="shared" si="50"/>
        <v>3.3658700774150119E-4</v>
      </c>
      <c r="R83" s="12">
        <f t="shared" si="50"/>
        <v>2.860387834938796E-4</v>
      </c>
      <c r="S83" s="12">
        <f t="shared" si="50"/>
        <v>5.7196953335349084E-3</v>
      </c>
      <c r="U83" s="20">
        <v>4</v>
      </c>
      <c r="V83" s="12">
        <f t="shared" si="51"/>
        <v>1.5130338834996091E-2</v>
      </c>
      <c r="W83" s="12">
        <f t="shared" si="51"/>
        <v>2.0672481431450655E-3</v>
      </c>
      <c r="X83" s="12">
        <f t="shared" si="51"/>
        <v>1.6094370691499753E-3</v>
      </c>
      <c r="Y83" s="12">
        <f t="shared" si="51"/>
        <v>7.7010824834065743E-4</v>
      </c>
      <c r="Z83" s="12">
        <f t="shared" si="51"/>
        <v>7.2926057571390018E-4</v>
      </c>
      <c r="AA83" s="12">
        <f t="shared" si="51"/>
        <v>3.3658700774150119E-4</v>
      </c>
      <c r="AB83" s="12">
        <f t="shared" si="52"/>
        <v>2.860387834938796E-4</v>
      </c>
      <c r="AC83" s="12">
        <f t="shared" si="53"/>
        <v>5.7196953335349084E-3</v>
      </c>
    </row>
    <row r="84" spans="1:29" x14ac:dyDescent="0.2">
      <c r="A84" s="20">
        <v>5</v>
      </c>
      <c r="B84" s="12">
        <f t="shared" ref="B84:I84" si="58">B70/B$12</f>
        <v>0.10638864747506283</v>
      </c>
      <c r="C84" s="12">
        <f t="shared" si="58"/>
        <v>5.1514956582657541E-2</v>
      </c>
      <c r="D84" s="12">
        <f t="shared" si="58"/>
        <v>7.3541493067334054E-2</v>
      </c>
      <c r="E84" s="12">
        <f t="shared" si="58"/>
        <v>3.1146999571052471E-2</v>
      </c>
      <c r="F84" s="12">
        <f t="shared" si="58"/>
        <v>7.3999486934033035E-2</v>
      </c>
      <c r="G84" s="12">
        <f t="shared" si="58"/>
        <v>4.0165309460712784E-2</v>
      </c>
      <c r="H84" s="12">
        <f t="shared" si="58"/>
        <v>2.4924134031321456E-2</v>
      </c>
      <c r="I84" s="12">
        <f t="shared" si="58"/>
        <v>6.5221282859397794E-2</v>
      </c>
      <c r="K84" s="20">
        <v>5</v>
      </c>
      <c r="L84" s="12">
        <f t="shared" si="50"/>
        <v>2.242042511455412E-3</v>
      </c>
      <c r="M84" s="12">
        <f t="shared" si="50"/>
        <v>2.5031397140378662E-4</v>
      </c>
      <c r="N84" s="12">
        <f t="shared" si="50"/>
        <v>1.3489501446632742E-4</v>
      </c>
      <c r="O84" s="12">
        <f t="shared" si="50"/>
        <v>5.2944942073420196E-5</v>
      </c>
      <c r="P84" s="12">
        <f t="shared" si="50"/>
        <v>6.8906511091077182E-5</v>
      </c>
      <c r="Q84" s="12">
        <f t="shared" si="50"/>
        <v>3.7398556415722352E-5</v>
      </c>
      <c r="R84" s="12">
        <f t="shared" si="50"/>
        <v>1.4021508994798021E-5</v>
      </c>
      <c r="S84" s="12">
        <f t="shared" si="50"/>
        <v>8.1349977682749488E-4</v>
      </c>
      <c r="U84" s="20">
        <v>5</v>
      </c>
      <c r="V84" s="12">
        <f t="shared" si="51"/>
        <v>-0.10414660496360742</v>
      </c>
      <c r="W84" s="12">
        <f t="shared" si="51"/>
        <v>-5.1264642611253755E-2</v>
      </c>
      <c r="X84" s="12">
        <f t="shared" si="51"/>
        <v>-7.3406598052867728E-2</v>
      </c>
      <c r="Y84" s="12">
        <f t="shared" si="51"/>
        <v>-3.1094054628979052E-2</v>
      </c>
      <c r="Z84" s="12">
        <f t="shared" si="51"/>
        <v>-7.3930580422941955E-2</v>
      </c>
      <c r="AA84" s="12">
        <f t="shared" si="51"/>
        <v>-4.0127910904297064E-2</v>
      </c>
      <c r="AB84" s="12">
        <f t="shared" si="52"/>
        <v>-2.4910112522326659E-2</v>
      </c>
      <c r="AC84" s="12">
        <f t="shared" si="53"/>
        <v>-6.4407783082570294E-2</v>
      </c>
    </row>
    <row r="85" spans="1:29" x14ac:dyDescent="0.2">
      <c r="A85" s="3" t="s">
        <v>209</v>
      </c>
      <c r="B85" s="13">
        <f t="shared" ref="B85:I85" si="59">B71/B$12</f>
        <v>3.8808633593750225E-2</v>
      </c>
      <c r="C85" s="13">
        <f t="shared" si="59"/>
        <v>5.9218153548673009E-3</v>
      </c>
      <c r="D85" s="13">
        <f t="shared" si="59"/>
        <v>8.1643724061260164E-2</v>
      </c>
      <c r="E85" s="13">
        <f t="shared" si="59"/>
        <v>1.8724791006687759E-2</v>
      </c>
      <c r="F85" s="13">
        <f t="shared" si="59"/>
        <v>4.329671762431634E-2</v>
      </c>
      <c r="G85" s="13">
        <f t="shared" si="59"/>
        <v>2.256758725432197E-2</v>
      </c>
      <c r="H85" s="13">
        <f t="shared" si="59"/>
        <v>1.1991687109393448E-2</v>
      </c>
      <c r="I85" s="13">
        <f t="shared" si="59"/>
        <v>3.3029910410690866E-2</v>
      </c>
      <c r="K85" s="3" t="s">
        <v>209</v>
      </c>
      <c r="L85" s="13">
        <f t="shared" ref="L85:S85" si="60">L71/L$72</f>
        <v>6.2250011493724423E-3</v>
      </c>
      <c r="M85" s="13">
        <f t="shared" si="60"/>
        <v>2.6757700391439264E-4</v>
      </c>
      <c r="N85" s="13">
        <f t="shared" si="60"/>
        <v>1.0233414890548976E-4</v>
      </c>
      <c r="O85" s="13">
        <f t="shared" si="60"/>
        <v>5.2944942073420196E-5</v>
      </c>
      <c r="P85" s="13">
        <f t="shared" si="60"/>
        <v>2.8711046287948826E-5</v>
      </c>
      <c r="Q85" s="13">
        <f t="shared" si="60"/>
        <v>9.349639103930588E-6</v>
      </c>
      <c r="R85" s="13">
        <f t="shared" si="60"/>
        <v>2.2434414391676832E-5</v>
      </c>
      <c r="S85" s="13">
        <f t="shared" si="60"/>
        <v>2.1448214722803293E-3</v>
      </c>
      <c r="U85" s="3" t="s">
        <v>209</v>
      </c>
      <c r="V85" s="12">
        <f t="shared" si="51"/>
        <v>-3.2583632444377786E-2</v>
      </c>
      <c r="W85" s="12">
        <f t="shared" si="51"/>
        <v>-5.654238350952908E-3</v>
      </c>
      <c r="X85" s="12">
        <f t="shared" si="51"/>
        <v>-8.154138991235467E-2</v>
      </c>
      <c r="Y85" s="12">
        <f t="shared" si="51"/>
        <v>-1.8671846064614341E-2</v>
      </c>
      <c r="Z85" s="12">
        <f t="shared" si="51"/>
        <v>-4.3268006578028394E-2</v>
      </c>
      <c r="AA85" s="12">
        <f t="shared" si="51"/>
        <v>-2.2558237615218038E-2</v>
      </c>
      <c r="AB85" s="12">
        <f t="shared" si="52"/>
        <v>-1.1969252695001771E-2</v>
      </c>
      <c r="AC85" s="12">
        <f t="shared" si="53"/>
        <v>-3.0885088938410535E-2</v>
      </c>
    </row>
    <row r="86" spans="1:29" ht="13.5" thickBot="1" x14ac:dyDescent="0.25">
      <c r="A86" s="21" t="s">
        <v>221</v>
      </c>
      <c r="B86" s="17">
        <f t="shared" ref="B86:I86" si="61">B72/B$12</f>
        <v>1.0000000000000002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0.99999999999999978</v>
      </c>
      <c r="F86" s="17">
        <f t="shared" si="61"/>
        <v>0.99999999999999978</v>
      </c>
      <c r="G86" s="17">
        <f t="shared" si="61"/>
        <v>1</v>
      </c>
      <c r="H86" s="17">
        <f t="shared" si="61"/>
        <v>1</v>
      </c>
      <c r="I86" s="17">
        <f t="shared" si="61"/>
        <v>1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5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L38" sqref="L38"/>
    </sheetView>
  </sheetViews>
  <sheetFormatPr defaultColWidth="10.75" defaultRowHeight="12.75" x14ac:dyDescent="0.2"/>
  <cols>
    <col min="1" max="13" width="10.75" style="3" collapsed="1"/>
    <col min="14" max="23" width="10.75" style="39" collapsed="1"/>
    <col min="24" max="35" width="10.75" style="3" collapsed="1"/>
    <col min="36" max="36" width="2.125" style="3" customWidth="1" collapsed="1"/>
    <col min="37" max="37" width="10.75" style="3" collapsed="1"/>
    <col min="38" max="38" width="2.25" style="3" customWidth="1" collapsed="1"/>
    <col min="39" max="16384" width="10.75" style="3" collapsed="1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178023.11724733349</v>
      </c>
      <c r="C5" s="7">
        <f>output_NHTS!C178</f>
        <v>18640.379403565399</v>
      </c>
      <c r="D5" s="7">
        <f>output_NHTS!D178</f>
        <v>2881.1716124157001</v>
      </c>
      <c r="E5" s="7">
        <f>output_NHTS!E178</f>
        <v>2581.6362792660002</v>
      </c>
      <c r="F5" s="7">
        <f>output_NHTS!F178</f>
        <v>3055.3013339184999</v>
      </c>
      <c r="G5" s="7">
        <f>output_NHTS!G178</f>
        <v>0</v>
      </c>
      <c r="H5" s="7"/>
      <c r="I5" s="7">
        <f>output_NHTS!H178</f>
        <v>1155.8622499999999</v>
      </c>
      <c r="J5" s="7">
        <f>output_NHTS!I178</f>
        <v>0</v>
      </c>
      <c r="K5" s="7">
        <f>output_NHTS!J178</f>
        <v>206337.46812649909</v>
      </c>
      <c r="L5"/>
      <c r="M5" s="3" t="s">
        <v>210</v>
      </c>
      <c r="N5" s="53">
        <f>output!B178</f>
        <v>505220</v>
      </c>
      <c r="O5" s="53">
        <f>output!C178</f>
        <v>72161</v>
      </c>
      <c r="P5" s="53">
        <f>output!D178</f>
        <v>0</v>
      </c>
      <c r="Q5" s="53">
        <f>output!E178</f>
        <v>0</v>
      </c>
      <c r="R5" s="53">
        <f>output!F178</f>
        <v>54976</v>
      </c>
      <c r="S5" s="53">
        <f>output!G178</f>
        <v>1280</v>
      </c>
      <c r="T5" s="53"/>
      <c r="U5" s="53">
        <f>output!H178</f>
        <v>1536</v>
      </c>
      <c r="V5" s="53">
        <f>output!I178</f>
        <v>0</v>
      </c>
      <c r="W5" s="53">
        <f>output!J178</f>
        <v>635173</v>
      </c>
      <c r="Y5" s="3" t="s">
        <v>210</v>
      </c>
      <c r="Z5" s="7">
        <f t="shared" ref="Z5:Z13" si="0">N5-B5</f>
        <v>327196.88275266648</v>
      </c>
      <c r="AA5" s="7">
        <f t="shared" ref="AA5:AA13" si="1">O5-C5</f>
        <v>53520.620596434601</v>
      </c>
      <c r="AB5" s="7">
        <f t="shared" ref="AB5:AB13" si="2">P5-D5</f>
        <v>-2881.1716124157001</v>
      </c>
      <c r="AC5" s="7">
        <f t="shared" ref="AC5:AC13" si="3">Q5-E5</f>
        <v>-2581.6362792660002</v>
      </c>
      <c r="AD5" s="7">
        <f t="shared" ref="AD5:AD13" si="4">R5-F5</f>
        <v>51920.698666081502</v>
      </c>
      <c r="AE5" s="7">
        <f t="shared" ref="AE5:AE13" si="5">S5-G5</f>
        <v>1280</v>
      </c>
      <c r="AF5" s="7"/>
      <c r="AG5" s="7">
        <f t="shared" ref="AG5:AG13" si="6">U5-I5</f>
        <v>380.1377500000001</v>
      </c>
      <c r="AH5" s="7">
        <f t="shared" ref="AH5:AH13" si="7">V5-J5</f>
        <v>0</v>
      </c>
      <c r="AI5" s="7">
        <f t="shared" ref="AI5:AI13" si="8">W5-K5</f>
        <v>428835.53187350091</v>
      </c>
      <c r="AK5" s="3">
        <v>1424330</v>
      </c>
      <c r="AM5" s="7">
        <f>W5-AK5</f>
        <v>-789157</v>
      </c>
    </row>
    <row r="6" spans="1:39" x14ac:dyDescent="0.2">
      <c r="A6" s="3" t="s">
        <v>211</v>
      </c>
      <c r="B6" s="7">
        <f>output_NHTS!B179</f>
        <v>3834.0755676137001</v>
      </c>
      <c r="C6" s="7">
        <f>output_NHTS!C179</f>
        <v>4638.6656048349996</v>
      </c>
      <c r="D6" s="7">
        <f>output_NHTS!D179</f>
        <v>539.18334384299999</v>
      </c>
      <c r="E6" s="7">
        <f>output_NHTS!E179</f>
        <v>4556.7887150310999</v>
      </c>
      <c r="F6" s="7">
        <f>output_NHTS!F179</f>
        <v>2741.0106741570003</v>
      </c>
      <c r="G6" s="7">
        <f>output_NHTS!G179</f>
        <v>9919.2882499999996</v>
      </c>
      <c r="H6" s="7"/>
      <c r="I6" s="7">
        <f>output_NHTS!H179</f>
        <v>60674.737874999999</v>
      </c>
      <c r="J6" s="7">
        <f>output_NHTS!I179</f>
        <v>12002.025250000001</v>
      </c>
      <c r="K6" s="7">
        <f>output_NHTS!J179</f>
        <v>98905.775280479807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47845</v>
      </c>
      <c r="S6" s="53">
        <f>output!G179</f>
        <v>29187</v>
      </c>
      <c r="T6" s="53"/>
      <c r="U6" s="53">
        <f>output!H179</f>
        <v>154280</v>
      </c>
      <c r="V6" s="53">
        <f>output!I179</f>
        <v>0</v>
      </c>
      <c r="W6" s="53">
        <f>output!J179</f>
        <v>231312</v>
      </c>
      <c r="Y6" s="3" t="s">
        <v>211</v>
      </c>
      <c r="Z6" s="7">
        <f t="shared" si="0"/>
        <v>-3834.0755676137001</v>
      </c>
      <c r="AA6" s="7">
        <f t="shared" si="1"/>
        <v>-4638.6656048349996</v>
      </c>
      <c r="AB6" s="7">
        <f t="shared" si="2"/>
        <v>-539.18334384299999</v>
      </c>
      <c r="AC6" s="7">
        <f t="shared" si="3"/>
        <v>-4556.7887150310999</v>
      </c>
      <c r="AD6" s="7">
        <f t="shared" si="4"/>
        <v>45103.989325843002</v>
      </c>
      <c r="AE6" s="7">
        <f t="shared" si="5"/>
        <v>19267.711750000002</v>
      </c>
      <c r="AF6" s="7"/>
      <c r="AG6" s="7">
        <f t="shared" si="6"/>
        <v>93605.262125000008</v>
      </c>
      <c r="AH6" s="7">
        <f t="shared" si="7"/>
        <v>-12002.025250000001</v>
      </c>
      <c r="AI6" s="7">
        <f t="shared" si="8"/>
        <v>132406.22471952019</v>
      </c>
      <c r="AK6" s="3">
        <v>741310</v>
      </c>
      <c r="AM6" s="7">
        <f t="shared" ref="AM6:AM13" si="9">W6-AK6</f>
        <v>-509998</v>
      </c>
    </row>
    <row r="7" spans="1:39" x14ac:dyDescent="0.2">
      <c r="A7" s="3" t="s">
        <v>212</v>
      </c>
      <c r="B7" s="7">
        <f>output_NHTS!B180</f>
        <v>22488.596239990202</v>
      </c>
      <c r="C7" s="7">
        <f>output_NHTS!C180</f>
        <v>12740.073806155</v>
      </c>
      <c r="D7" s="7">
        <f>output_NHTS!D180</f>
        <v>8120.4655404935002</v>
      </c>
      <c r="E7" s="7">
        <f>output_NHTS!E180</f>
        <v>44137.714797544897</v>
      </c>
      <c r="F7" s="7">
        <f>output_NHTS!F180</f>
        <v>1519.0281035912001</v>
      </c>
      <c r="G7" s="7">
        <f>output_NHTS!G180</f>
        <v>1418.6745000000001</v>
      </c>
      <c r="H7" s="7"/>
      <c r="I7" s="7">
        <f>output_NHTS!H180</f>
        <v>4024.2213750000001</v>
      </c>
      <c r="J7" s="7">
        <f>output_NHTS!I180</f>
        <v>6523.622875</v>
      </c>
      <c r="K7" s="7">
        <f>output_NHTS!J180</f>
        <v>121166.87668532976</v>
      </c>
      <c r="L7"/>
      <c r="M7" s="3" t="s">
        <v>212</v>
      </c>
      <c r="N7" s="53">
        <f>output!B180</f>
        <v>75363</v>
      </c>
      <c r="O7" s="53">
        <f>output!C180</f>
        <v>27542</v>
      </c>
      <c r="P7" s="53">
        <f>output!D180</f>
        <v>17138</v>
      </c>
      <c r="Q7" s="53">
        <f>output!E180</f>
        <v>53498</v>
      </c>
      <c r="R7" s="53">
        <f>output!F180</f>
        <v>3041</v>
      </c>
      <c r="S7" s="53">
        <f>output!G180</f>
        <v>1486</v>
      </c>
      <c r="T7" s="53"/>
      <c r="U7" s="53">
        <f>output!H180</f>
        <v>9367</v>
      </c>
      <c r="V7" s="53">
        <f>output!I180</f>
        <v>24807</v>
      </c>
      <c r="W7" s="53">
        <f>output!J180</f>
        <v>212242</v>
      </c>
      <c r="Y7" s="3" t="s">
        <v>212</v>
      </c>
      <c r="Z7" s="7">
        <f t="shared" si="0"/>
        <v>52874.403760009794</v>
      </c>
      <c r="AA7" s="7">
        <f t="shared" si="1"/>
        <v>14801.926193845</v>
      </c>
      <c r="AB7" s="7">
        <f t="shared" si="2"/>
        <v>9017.5344595064998</v>
      </c>
      <c r="AC7" s="7">
        <f t="shared" si="3"/>
        <v>9360.285202455103</v>
      </c>
      <c r="AD7" s="7">
        <f t="shared" si="4"/>
        <v>1521.9718964087999</v>
      </c>
      <c r="AE7" s="7">
        <f t="shared" si="5"/>
        <v>67.32549999999992</v>
      </c>
      <c r="AF7" s="7"/>
      <c r="AG7" s="7">
        <f t="shared" si="6"/>
        <v>5342.7786249999999</v>
      </c>
      <c r="AH7" s="7">
        <f t="shared" si="7"/>
        <v>18283.377124999999</v>
      </c>
      <c r="AI7" s="7">
        <f t="shared" si="8"/>
        <v>91075.123314670243</v>
      </c>
      <c r="AK7" s="3">
        <v>924620</v>
      </c>
      <c r="AM7" s="7">
        <f t="shared" si="9"/>
        <v>-712378</v>
      </c>
    </row>
    <row r="8" spans="1:39" x14ac:dyDescent="0.2">
      <c r="A8" s="3" t="s">
        <v>213</v>
      </c>
      <c r="B8" s="7">
        <f>output_NHTS!B181</f>
        <v>17775.134653696601</v>
      </c>
      <c r="C8" s="7">
        <f>output_NHTS!C181</f>
        <v>5094.7862598720003</v>
      </c>
      <c r="D8" s="7">
        <f>output_NHTS!D181</f>
        <v>13285.7380068985</v>
      </c>
      <c r="E8" s="7">
        <f>output_NHTS!E181</f>
        <v>20103.407934487001</v>
      </c>
      <c r="F8" s="7">
        <f>output_NHTS!F181</f>
        <v>625.52589285399995</v>
      </c>
      <c r="G8" s="7">
        <f>output_NHTS!G181</f>
        <v>773.43762500000003</v>
      </c>
      <c r="H8" s="7"/>
      <c r="I8" s="7">
        <f>output_NHTS!H181</f>
        <v>12202.651750000001</v>
      </c>
      <c r="J8" s="7">
        <f>output_NHTS!I181</f>
        <v>10487.457375</v>
      </c>
      <c r="K8" s="7">
        <f>output_NHTS!J181</f>
        <v>96417.767397369709</v>
      </c>
      <c r="L8"/>
      <c r="M8" s="3" t="s">
        <v>213</v>
      </c>
      <c r="N8" s="53">
        <f>output!B181</f>
        <v>46434</v>
      </c>
      <c r="O8" s="53">
        <f>output!C181</f>
        <v>23104</v>
      </c>
      <c r="P8" s="53">
        <f>output!D181</f>
        <v>36714</v>
      </c>
      <c r="Q8" s="53">
        <f>output!E181</f>
        <v>34511</v>
      </c>
      <c r="R8" s="53">
        <f>output!F181</f>
        <v>3420</v>
      </c>
      <c r="S8" s="53">
        <f>output!G181</f>
        <v>1542</v>
      </c>
      <c r="T8" s="53"/>
      <c r="U8" s="53">
        <f>output!H181</f>
        <v>23611</v>
      </c>
      <c r="V8" s="53">
        <f>output!I181</f>
        <v>29963</v>
      </c>
      <c r="W8" s="53">
        <f>output!J181</f>
        <v>199299</v>
      </c>
      <c r="Y8" s="3" t="s">
        <v>213</v>
      </c>
      <c r="Z8" s="7">
        <f t="shared" si="0"/>
        <v>28658.865346303399</v>
      </c>
      <c r="AA8" s="7">
        <f t="shared" si="1"/>
        <v>18009.213740127998</v>
      </c>
      <c r="AB8" s="7">
        <f t="shared" si="2"/>
        <v>23428.2619931015</v>
      </c>
      <c r="AC8" s="7">
        <f t="shared" si="3"/>
        <v>14407.592065512999</v>
      </c>
      <c r="AD8" s="7">
        <f t="shared" si="4"/>
        <v>2794.4741071460003</v>
      </c>
      <c r="AE8" s="7">
        <f t="shared" si="5"/>
        <v>768.56237499999997</v>
      </c>
      <c r="AF8" s="7"/>
      <c r="AG8" s="7">
        <f t="shared" si="6"/>
        <v>11408.348249999999</v>
      </c>
      <c r="AH8" s="7">
        <f t="shared" si="7"/>
        <v>19475.542625000002</v>
      </c>
      <c r="AI8" s="7">
        <f t="shared" si="8"/>
        <v>102881.23260263029</v>
      </c>
      <c r="AK8" s="3">
        <v>541880</v>
      </c>
      <c r="AM8" s="7">
        <f t="shared" si="9"/>
        <v>-342581</v>
      </c>
    </row>
    <row r="9" spans="1:39" x14ac:dyDescent="0.2">
      <c r="A9" s="3" t="s">
        <v>214</v>
      </c>
      <c r="B9" s="7">
        <f>output_NHTS!B182</f>
        <v>10066.8121117022</v>
      </c>
      <c r="C9" s="7">
        <f>output_NHTS!C182</f>
        <v>8569.9753624388995</v>
      </c>
      <c r="D9" s="7">
        <f>output_NHTS!D182</f>
        <v>14236.4776564657</v>
      </c>
      <c r="E9" s="7">
        <f>output_NHTS!E182</f>
        <v>18340.389329583199</v>
      </c>
      <c r="F9" s="7">
        <f>output_NHTS!F182</f>
        <v>612.86627590800003</v>
      </c>
      <c r="G9" s="7">
        <f>output_NHTS!G182</f>
        <v>0</v>
      </c>
      <c r="H9" s="7"/>
      <c r="I9" s="7">
        <f>output_NHTS!H182</f>
        <v>2367.3788749999999</v>
      </c>
      <c r="J9" s="7">
        <f>output_NHTS!I182</f>
        <v>6011.4885000000004</v>
      </c>
      <c r="K9" s="7">
        <f>output_NHTS!J182</f>
        <v>72246.4657333176</v>
      </c>
      <c r="L9"/>
      <c r="M9" s="3" t="s">
        <v>214</v>
      </c>
      <c r="N9" s="53">
        <f>output!B182</f>
        <v>53525</v>
      </c>
      <c r="O9" s="53">
        <f>output!C182</f>
        <v>17590</v>
      </c>
      <c r="P9" s="53">
        <f>output!D182</f>
        <v>27586</v>
      </c>
      <c r="Q9" s="53">
        <f>output!E182</f>
        <v>36154</v>
      </c>
      <c r="R9" s="53">
        <f>output!F182</f>
        <v>3711</v>
      </c>
      <c r="S9" s="53">
        <f>output!G182</f>
        <v>441</v>
      </c>
      <c r="T9" s="53"/>
      <c r="U9" s="53">
        <f>output!H182</f>
        <v>4800</v>
      </c>
      <c r="V9" s="53">
        <f>output!I182</f>
        <v>22121</v>
      </c>
      <c r="W9" s="53">
        <f>output!J182</f>
        <v>165928</v>
      </c>
      <c r="Y9" s="3" t="s">
        <v>214</v>
      </c>
      <c r="Z9" s="7">
        <f t="shared" si="0"/>
        <v>43458.187888297798</v>
      </c>
      <c r="AA9" s="7">
        <f t="shared" si="1"/>
        <v>9020.0246375611005</v>
      </c>
      <c r="AB9" s="7">
        <f t="shared" si="2"/>
        <v>13349.5223435343</v>
      </c>
      <c r="AC9" s="7">
        <f t="shared" si="3"/>
        <v>17813.610670416801</v>
      </c>
      <c r="AD9" s="7">
        <f t="shared" si="4"/>
        <v>3098.1337240920002</v>
      </c>
      <c r="AE9" s="7">
        <f t="shared" si="5"/>
        <v>441</v>
      </c>
      <c r="AF9" s="7"/>
      <c r="AG9" s="7">
        <f t="shared" si="6"/>
        <v>2432.6211250000001</v>
      </c>
      <c r="AH9" s="7">
        <f t="shared" si="7"/>
        <v>16109.511500000001</v>
      </c>
      <c r="AI9" s="7">
        <f t="shared" si="8"/>
        <v>93681.5342666824</v>
      </c>
      <c r="AK9" s="3">
        <v>394190</v>
      </c>
      <c r="AM9" s="7">
        <f t="shared" si="9"/>
        <v>-228262</v>
      </c>
    </row>
    <row r="10" spans="1:39" x14ac:dyDescent="0.2">
      <c r="A10" s="3" t="s">
        <v>129</v>
      </c>
      <c r="B10" s="7">
        <f>output_NHTS!B183</f>
        <v>7442.9439695050005</v>
      </c>
      <c r="C10" s="7">
        <f>output_NHTS!C183</f>
        <v>2031.240603749</v>
      </c>
      <c r="D10" s="7">
        <f>output_NHTS!D183</f>
        <v>6409.2037592037996</v>
      </c>
      <c r="E10" s="7">
        <f>output_NHTS!E183</f>
        <v>7642.9230883460004</v>
      </c>
      <c r="F10" s="7">
        <f>output_NHTS!F183</f>
        <v>712.40631937300009</v>
      </c>
      <c r="G10" s="7">
        <f>output_NHTS!G183</f>
        <v>0</v>
      </c>
      <c r="H10" s="7"/>
      <c r="I10" s="7">
        <f>output_NHTS!H183</f>
        <v>3507.426375</v>
      </c>
      <c r="J10" s="7">
        <f>output_NHTS!I183</f>
        <v>915.29724999999996</v>
      </c>
      <c r="K10" s="7">
        <f>output_NHTS!J183</f>
        <v>34393.729638212157</v>
      </c>
      <c r="L10"/>
      <c r="M10" s="3" t="s">
        <v>129</v>
      </c>
      <c r="N10" s="53">
        <f>output!B183</f>
        <v>26428</v>
      </c>
      <c r="O10" s="53">
        <f>output!C183</f>
        <v>7315</v>
      </c>
      <c r="P10" s="53">
        <f>output!D183</f>
        <v>10494</v>
      </c>
      <c r="Q10" s="53">
        <f>output!E183</f>
        <v>12651</v>
      </c>
      <c r="R10" s="53">
        <f>output!F183</f>
        <v>2022</v>
      </c>
      <c r="S10" s="53">
        <f>output!G183</f>
        <v>2028</v>
      </c>
      <c r="T10" s="53"/>
      <c r="U10" s="53">
        <f>output!H183</f>
        <v>7584</v>
      </c>
      <c r="V10" s="53">
        <f>output!I183</f>
        <v>4876</v>
      </c>
      <c r="W10" s="53">
        <f>output!J183</f>
        <v>73398</v>
      </c>
      <c r="Y10" s="3" t="s">
        <v>129</v>
      </c>
      <c r="Z10" s="7">
        <f t="shared" si="0"/>
        <v>18985.056030494998</v>
      </c>
      <c r="AA10" s="7">
        <f t="shared" si="1"/>
        <v>5283.759396251</v>
      </c>
      <c r="AB10" s="7">
        <f t="shared" si="2"/>
        <v>4084.7962407962004</v>
      </c>
      <c r="AC10" s="7">
        <f t="shared" si="3"/>
        <v>5008.0769116539996</v>
      </c>
      <c r="AD10" s="7">
        <f t="shared" si="4"/>
        <v>1309.5936806269999</v>
      </c>
      <c r="AE10" s="7">
        <f t="shared" si="5"/>
        <v>2028</v>
      </c>
      <c r="AF10" s="7"/>
      <c r="AG10" s="7">
        <f t="shared" si="6"/>
        <v>4076.573625</v>
      </c>
      <c r="AH10" s="7">
        <f t="shared" si="7"/>
        <v>3960.7027499999999</v>
      </c>
      <c r="AI10" s="7">
        <f t="shared" si="8"/>
        <v>39004.270361787843</v>
      </c>
      <c r="AK10" s="3">
        <v>166390</v>
      </c>
      <c r="AM10" s="7">
        <f t="shared" si="9"/>
        <v>-92992</v>
      </c>
    </row>
    <row r="11" spans="1:39" x14ac:dyDescent="0.2">
      <c r="A11" s="25" t="s">
        <v>130</v>
      </c>
      <c r="B11" s="7">
        <f>output_NHTS!B184</f>
        <v>33560.508327229501</v>
      </c>
      <c r="C11" s="7">
        <f>output_NHTS!C184</f>
        <v>8901.6961035390996</v>
      </c>
      <c r="D11" s="7">
        <f>output_NHTS!D184</f>
        <v>12667.7773240797</v>
      </c>
      <c r="E11" s="7">
        <f>output_NHTS!E184</f>
        <v>32210.340660853901</v>
      </c>
      <c r="F11" s="7">
        <f>output_NHTS!F184</f>
        <v>2682.2210367088001</v>
      </c>
      <c r="G11" s="7">
        <f>output_NHTS!G184</f>
        <v>328.48837500000002</v>
      </c>
      <c r="H11" s="7"/>
      <c r="I11" s="7">
        <f>output_NHTS!H184</f>
        <v>19508.368125000001</v>
      </c>
      <c r="J11" s="7">
        <f>output_NHTS!I184</f>
        <v>10150.161875</v>
      </c>
      <c r="K11" s="7">
        <f>output_NHTS!J184</f>
        <v>144011.47419289319</v>
      </c>
      <c r="L11"/>
      <c r="M11" s="25" t="s">
        <v>130</v>
      </c>
      <c r="N11" s="54">
        <f>output!B184</f>
        <v>106969</v>
      </c>
      <c r="O11" s="54">
        <f>output!C184</f>
        <v>38295</v>
      </c>
      <c r="P11" s="54">
        <f>output!D184</f>
        <v>35367</v>
      </c>
      <c r="Q11" s="54">
        <f>output!E184</f>
        <v>47576</v>
      </c>
      <c r="R11" s="54">
        <f>output!F184</f>
        <v>8790</v>
      </c>
      <c r="S11" s="54">
        <f>output!G184</f>
        <v>5213</v>
      </c>
      <c r="T11" s="53"/>
      <c r="U11" s="54">
        <f>output!H184</f>
        <v>59288</v>
      </c>
      <c r="V11" s="54">
        <f>output!I184</f>
        <v>46278</v>
      </c>
      <c r="W11" s="54">
        <f>output!J184</f>
        <v>347776</v>
      </c>
      <c r="Y11" s="25" t="s">
        <v>130</v>
      </c>
      <c r="Z11" s="33">
        <f t="shared" si="0"/>
        <v>73408.491672770499</v>
      </c>
      <c r="AA11" s="33">
        <f t="shared" si="1"/>
        <v>29393.3038964609</v>
      </c>
      <c r="AB11" s="33">
        <f t="shared" si="2"/>
        <v>22699.2226759203</v>
      </c>
      <c r="AC11" s="33">
        <f t="shared" si="3"/>
        <v>15365.659339146099</v>
      </c>
      <c r="AD11" s="33">
        <f t="shared" si="4"/>
        <v>6107.7789632911999</v>
      </c>
      <c r="AE11" s="33">
        <f t="shared" si="5"/>
        <v>4884.5116250000001</v>
      </c>
      <c r="AF11" s="33"/>
      <c r="AG11" s="33">
        <f t="shared" si="6"/>
        <v>39779.631874999999</v>
      </c>
      <c r="AH11" s="33">
        <f t="shared" si="7"/>
        <v>36127.838125000002</v>
      </c>
      <c r="AI11" s="33">
        <f t="shared" si="8"/>
        <v>203764.52580710681</v>
      </c>
      <c r="AK11" s="3">
        <v>630330</v>
      </c>
      <c r="AM11" s="7">
        <f t="shared" si="9"/>
        <v>-282554</v>
      </c>
    </row>
    <row r="12" spans="1:39" x14ac:dyDescent="0.2">
      <c r="A12" s="25" t="s">
        <v>247</v>
      </c>
      <c r="B12" s="7">
        <f>output_NHTS!B185</f>
        <v>21670.069724729601</v>
      </c>
      <c r="C12" s="7">
        <f>output_NHTS!C185</f>
        <v>692.41967974889997</v>
      </c>
      <c r="D12" s="7">
        <f>output_NHTS!D185</f>
        <v>0</v>
      </c>
      <c r="E12" s="7">
        <f>output_NHTS!E185</f>
        <v>0</v>
      </c>
      <c r="F12" s="7">
        <f>output_NHTS!F185</f>
        <v>0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22362.4894044785</v>
      </c>
      <c r="L12"/>
      <c r="M12" s="25" t="s">
        <v>247</v>
      </c>
      <c r="N12" s="54">
        <f>output!B185</f>
        <v>66702</v>
      </c>
      <c r="O12" s="54">
        <f>output!C185</f>
        <v>6438</v>
      </c>
      <c r="P12" s="54">
        <f>output!D185</f>
        <v>0</v>
      </c>
      <c r="Q12" s="54">
        <f>output!E185</f>
        <v>0</v>
      </c>
      <c r="R12" s="54">
        <f>output!F185</f>
        <v>6232</v>
      </c>
      <c r="S12" s="54">
        <f>output!G185</f>
        <v>104</v>
      </c>
      <c r="T12" s="53"/>
      <c r="U12" s="54">
        <f>output!H185</f>
        <v>80</v>
      </c>
      <c r="V12" s="54">
        <f>output!I185</f>
        <v>0</v>
      </c>
      <c r="W12" s="54">
        <f>output!J185</f>
        <v>79556</v>
      </c>
      <c r="Y12" s="25" t="s">
        <v>247</v>
      </c>
      <c r="Z12" s="33">
        <f t="shared" si="0"/>
        <v>45031.930275270395</v>
      </c>
      <c r="AA12" s="33">
        <f t="shared" si="1"/>
        <v>5745.5803202510997</v>
      </c>
      <c r="AB12" s="33">
        <f t="shared" si="2"/>
        <v>0</v>
      </c>
      <c r="AC12" s="33">
        <f t="shared" si="3"/>
        <v>0</v>
      </c>
      <c r="AD12" s="33">
        <f t="shared" si="4"/>
        <v>6232</v>
      </c>
      <c r="AE12" s="33">
        <f t="shared" si="5"/>
        <v>104</v>
      </c>
      <c r="AF12" s="33"/>
      <c r="AG12" s="33">
        <f t="shared" si="6"/>
        <v>80</v>
      </c>
      <c r="AH12" s="33">
        <f t="shared" si="7"/>
        <v>0</v>
      </c>
      <c r="AI12" s="33">
        <f t="shared" si="8"/>
        <v>57193.510595521497</v>
      </c>
      <c r="AK12" s="3">
        <v>147120</v>
      </c>
      <c r="AM12" s="7">
        <f t="shared" si="9"/>
        <v>-67564</v>
      </c>
    </row>
    <row r="13" spans="1:39" ht="13.5" thickBot="1" x14ac:dyDescent="0.25">
      <c r="A13" s="10" t="s">
        <v>221</v>
      </c>
      <c r="B13" s="55">
        <f>SUM(B5:B12)</f>
        <v>294861.25784180028</v>
      </c>
      <c r="C13" s="55">
        <f t="shared" ref="C13:K13" si="10">SUM(C5:C12)</f>
        <v>61309.236823903295</v>
      </c>
      <c r="D13" s="55">
        <f t="shared" si="10"/>
        <v>58140.017243399896</v>
      </c>
      <c r="E13" s="55">
        <f t="shared" si="10"/>
        <v>129573.20080511208</v>
      </c>
      <c r="F13" s="55">
        <f t="shared" si="10"/>
        <v>11948.3596365105</v>
      </c>
      <c r="G13" s="55">
        <f t="shared" si="10"/>
        <v>12439.88875</v>
      </c>
      <c r="H13" s="55"/>
      <c r="I13" s="55">
        <f t="shared" si="10"/>
        <v>103440.64662499999</v>
      </c>
      <c r="J13" s="55">
        <f t="shared" si="10"/>
        <v>46090.053124999999</v>
      </c>
      <c r="K13" s="55">
        <f t="shared" si="10"/>
        <v>795842.04645857972</v>
      </c>
      <c r="L13"/>
      <c r="M13" s="10" t="s">
        <v>221</v>
      </c>
      <c r="N13" s="55">
        <f>SUM(N5:N12)</f>
        <v>880641</v>
      </c>
      <c r="O13" s="55">
        <f t="shared" ref="O13:W13" si="11">SUM(O5:O12)</f>
        <v>192445</v>
      </c>
      <c r="P13" s="55">
        <f t="shared" si="11"/>
        <v>127299</v>
      </c>
      <c r="Q13" s="55">
        <f t="shared" si="11"/>
        <v>184390</v>
      </c>
      <c r="R13" s="55">
        <f t="shared" si="11"/>
        <v>130037</v>
      </c>
      <c r="S13" s="55">
        <f t="shared" si="11"/>
        <v>41281</v>
      </c>
      <c r="T13" s="55"/>
      <c r="U13" s="55">
        <f t="shared" si="11"/>
        <v>260546</v>
      </c>
      <c r="V13" s="55">
        <f t="shared" si="11"/>
        <v>128045</v>
      </c>
      <c r="W13" s="55">
        <f t="shared" si="11"/>
        <v>1944684</v>
      </c>
      <c r="Y13" s="10" t="s">
        <v>221</v>
      </c>
      <c r="Z13" s="11">
        <f t="shared" si="0"/>
        <v>585779.74215819966</v>
      </c>
      <c r="AA13" s="11">
        <f t="shared" si="1"/>
        <v>131135.76317609672</v>
      </c>
      <c r="AB13" s="11">
        <f t="shared" si="2"/>
        <v>69158.982756600104</v>
      </c>
      <c r="AC13" s="11">
        <f t="shared" si="3"/>
        <v>54816.799194887921</v>
      </c>
      <c r="AD13" s="11">
        <f t="shared" si="4"/>
        <v>118088.6403634895</v>
      </c>
      <c r="AE13" s="11">
        <f t="shared" si="5"/>
        <v>28841.111250000002</v>
      </c>
      <c r="AF13" s="11"/>
      <c r="AG13" s="11">
        <f t="shared" si="6"/>
        <v>157105.35337500001</v>
      </c>
      <c r="AH13" s="11">
        <f t="shared" si="7"/>
        <v>81954.946874999994</v>
      </c>
      <c r="AI13" s="11">
        <f t="shared" si="8"/>
        <v>1148841.9535414204</v>
      </c>
      <c r="AK13" s="3">
        <v>4970170</v>
      </c>
      <c r="AM13" s="7">
        <f t="shared" si="9"/>
        <v>-3025486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174034.4896</v>
      </c>
      <c r="C15" s="33">
        <f>output_NHTS!B307</f>
        <v>35722.840400000001</v>
      </c>
      <c r="D15" s="33">
        <f>output_NHTS!B308</f>
        <v>42350.315699999999</v>
      </c>
      <c r="E15" s="33">
        <f>output_NHTS!B309</f>
        <v>58462.537400000001</v>
      </c>
      <c r="F15" s="33">
        <f>output_NHTS!B310</f>
        <v>7345.8631999999998</v>
      </c>
      <c r="G15" s="33">
        <f>output_NHTS!B311</f>
        <v>8011.7664999999997</v>
      </c>
      <c r="H15" s="33"/>
      <c r="I15" s="33">
        <f>output_NHTS!B312</f>
        <v>60256.400200000004</v>
      </c>
      <c r="J15" s="33">
        <f>output_NHTS!B313</f>
        <v>29420.3328</v>
      </c>
      <c r="K15" s="33">
        <f>SUM(B15:J15)</f>
        <v>415604.54580000008</v>
      </c>
      <c r="L15"/>
      <c r="M15" s="25" t="s">
        <v>88</v>
      </c>
      <c r="N15" s="33">
        <f>output!B306</f>
        <v>501551</v>
      </c>
      <c r="O15" s="33">
        <f>output!B307</f>
        <v>106109</v>
      </c>
      <c r="P15" s="33">
        <f>output!B308</f>
        <v>81174</v>
      </c>
      <c r="Q15" s="33">
        <f>output!B309</f>
        <v>102273</v>
      </c>
      <c r="R15" s="33">
        <f>output!B310</f>
        <v>69769</v>
      </c>
      <c r="S15" s="33">
        <f>output!B311</f>
        <v>30115</v>
      </c>
      <c r="T15" s="33"/>
      <c r="U15" s="33">
        <f>output!B312</f>
        <v>178835</v>
      </c>
      <c r="V15" s="33">
        <f>output!B313</f>
        <v>85295</v>
      </c>
      <c r="W15" s="33">
        <f>SUM(N15:V15)</f>
        <v>1155121</v>
      </c>
      <c r="Y15" s="25" t="s">
        <v>88</v>
      </c>
      <c r="Z15" s="33">
        <f t="shared" ref="Z15:AE16" si="12">N15-B15</f>
        <v>327516.51040000003</v>
      </c>
      <c r="AA15" s="33">
        <f t="shared" si="12"/>
        <v>70386.159599999999</v>
      </c>
      <c r="AB15" s="33">
        <f t="shared" si="12"/>
        <v>38823.684300000001</v>
      </c>
      <c r="AC15" s="33">
        <f t="shared" si="12"/>
        <v>43810.462599999999</v>
      </c>
      <c r="AD15" s="33">
        <f t="shared" si="12"/>
        <v>62423.1368</v>
      </c>
      <c r="AE15" s="33">
        <f t="shared" si="12"/>
        <v>22103.233500000002</v>
      </c>
      <c r="AF15" s="33"/>
      <c r="AG15" s="33">
        <f t="shared" ref="AG15:AI16" si="13">U15-I15</f>
        <v>118578.5998</v>
      </c>
      <c r="AH15" s="33">
        <f t="shared" si="13"/>
        <v>55874.667199999996</v>
      </c>
      <c r="AI15" s="33">
        <f t="shared" si="13"/>
        <v>739516.45419999992</v>
      </c>
    </row>
    <row r="16" spans="1:39" x14ac:dyDescent="0.2">
      <c r="A16" s="25" t="s">
        <v>89</v>
      </c>
      <c r="B16" s="37">
        <f>B13/B15</f>
        <v>1.6942690987258211</v>
      </c>
      <c r="C16" s="37">
        <f t="shared" ref="C16:K16" si="14">C13/C15</f>
        <v>1.7162475362374403</v>
      </c>
      <c r="D16" s="37">
        <f t="shared" si="14"/>
        <v>1.3728355097810969</v>
      </c>
      <c r="E16" s="37">
        <f t="shared" si="14"/>
        <v>2.2163458270477339</v>
      </c>
      <c r="F16" s="37">
        <f t="shared" si="14"/>
        <v>1.6265426283068409</v>
      </c>
      <c r="G16" s="37">
        <f t="shared" si="14"/>
        <v>1.5527023597105583</v>
      </c>
      <c r="H16" s="37"/>
      <c r="I16" s="37">
        <f t="shared" si="14"/>
        <v>1.7166748475127127</v>
      </c>
      <c r="J16" s="37">
        <f t="shared" si="14"/>
        <v>1.5666054302757582</v>
      </c>
      <c r="K16" s="37">
        <f t="shared" si="14"/>
        <v>1.9149021696253534</v>
      </c>
      <c r="L16"/>
      <c r="M16" s="25" t="s">
        <v>89</v>
      </c>
      <c r="N16" s="37">
        <f t="shared" ref="N16:W16" si="15">N13/N15</f>
        <v>1.7558353985935629</v>
      </c>
      <c r="O16" s="37">
        <f t="shared" si="15"/>
        <v>1.8136538842134031</v>
      </c>
      <c r="P16" s="37">
        <f t="shared" si="15"/>
        <v>1.5682238155074284</v>
      </c>
      <c r="Q16" s="37">
        <f t="shared" si="15"/>
        <v>1.8029196366587468</v>
      </c>
      <c r="R16" s="37">
        <f t="shared" si="15"/>
        <v>1.8638220413077442</v>
      </c>
      <c r="S16" s="37">
        <f t="shared" si="15"/>
        <v>1.3707786817200731</v>
      </c>
      <c r="T16" s="37"/>
      <c r="U16" s="37">
        <f t="shared" si="15"/>
        <v>1.456907204965471</v>
      </c>
      <c r="V16" s="37">
        <f t="shared" si="15"/>
        <v>1.5012017117064307</v>
      </c>
      <c r="W16" s="37">
        <f t="shared" si="15"/>
        <v>1.6835327208145294</v>
      </c>
      <c r="Y16" s="25" t="s">
        <v>89</v>
      </c>
      <c r="Z16" s="37">
        <f t="shared" si="12"/>
        <v>6.1566299867741758E-2</v>
      </c>
      <c r="AA16" s="37">
        <f t="shared" si="12"/>
        <v>9.7406347975962815E-2</v>
      </c>
      <c r="AB16" s="37">
        <f t="shared" si="12"/>
        <v>0.19538830572633148</v>
      </c>
      <c r="AC16" s="37">
        <f t="shared" si="12"/>
        <v>-0.41342619038898709</v>
      </c>
      <c r="AD16" s="37">
        <f t="shared" si="12"/>
        <v>0.23727941300090327</v>
      </c>
      <c r="AE16" s="37">
        <f t="shared" si="12"/>
        <v>-0.18192367799048514</v>
      </c>
      <c r="AF16" s="37"/>
      <c r="AG16" s="37">
        <f t="shared" si="13"/>
        <v>-0.25976764254724172</v>
      </c>
      <c r="AH16" s="37">
        <f t="shared" si="13"/>
        <v>-6.5403718569327474E-2</v>
      </c>
      <c r="AI16" s="37">
        <f t="shared" si="13"/>
        <v>-0.231369448810824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t="shared" ref="B23:J23" si="16">B5/B$13</f>
        <v>0.60375214618004147</v>
      </c>
      <c r="C23" s="12">
        <f t="shared" si="16"/>
        <v>0.30403867947509455</v>
      </c>
      <c r="D23" s="12">
        <f t="shared" si="16"/>
        <v>4.9555740590062743E-2</v>
      </c>
      <c r="E23" s="12">
        <f t="shared" si="16"/>
        <v>1.9924153013314665E-2</v>
      </c>
      <c r="F23" s="12">
        <f t="shared" si="16"/>
        <v>0.25570885266814719</v>
      </c>
      <c r="G23" s="12">
        <f t="shared" si="16"/>
        <v>0</v>
      </c>
      <c r="H23" s="12"/>
      <c r="I23" s="12">
        <f t="shared" si="16"/>
        <v>1.1174159169657066E-2</v>
      </c>
      <c r="J23" s="12">
        <f t="shared" si="16"/>
        <v>0</v>
      </c>
      <c r="K23" s="12">
        <f>K5/K$13</f>
        <v>0.25926937266594663</v>
      </c>
      <c r="L23"/>
      <c r="M23" s="3" t="s">
        <v>210</v>
      </c>
      <c r="N23" s="42">
        <f t="shared" ref="N23:V23" si="17">N5/N$13</f>
        <v>0.57369575116307325</v>
      </c>
      <c r="O23" s="42">
        <f t="shared" si="17"/>
        <v>0.37496947179713686</v>
      </c>
      <c r="P23" s="42">
        <f t="shared" si="17"/>
        <v>0</v>
      </c>
      <c r="Q23" s="42">
        <f t="shared" si="17"/>
        <v>0</v>
      </c>
      <c r="R23" s="42">
        <f t="shared" si="17"/>
        <v>0.42277198028253499</v>
      </c>
      <c r="S23" s="42">
        <f t="shared" si="17"/>
        <v>3.1007000799399241E-2</v>
      </c>
      <c r="T23" s="42"/>
      <c r="U23" s="42">
        <f t="shared" si="17"/>
        <v>5.8953121521727447E-3</v>
      </c>
      <c r="V23" s="42">
        <f t="shared" si="17"/>
        <v>0</v>
      </c>
      <c r="W23" s="42">
        <f>W5/W$13</f>
        <v>0.3266201603962392</v>
      </c>
      <c r="Y23" s="3" t="s">
        <v>210</v>
      </c>
      <c r="Z23" s="12">
        <f t="shared" ref="Z23:Z31" si="18">N23-B23</f>
        <v>-3.0056395016968218E-2</v>
      </c>
      <c r="AA23" s="12">
        <f t="shared" ref="AA23:AA31" si="19">O23-C23</f>
        <v>7.0930792322042302E-2</v>
      </c>
      <c r="AB23" s="12">
        <f t="shared" ref="AB23:AB31" si="20">P23-D23</f>
        <v>-4.9555740590062743E-2</v>
      </c>
      <c r="AC23" s="12">
        <f t="shared" ref="AC23:AC31" si="21">Q23-E23</f>
        <v>-1.9924153013314665E-2</v>
      </c>
      <c r="AD23" s="12">
        <f t="shared" ref="AD23:AD31" si="22">R23-F23</f>
        <v>0.1670631276143878</v>
      </c>
      <c r="AE23" s="12">
        <f t="shared" ref="AE23:AE31" si="23">S23-G23</f>
        <v>3.1007000799399241E-2</v>
      </c>
      <c r="AF23" s="12"/>
      <c r="AG23" s="12">
        <f t="shared" ref="AG23:AG31" si="24">U23-I23</f>
        <v>-5.278847017484321E-3</v>
      </c>
      <c r="AH23" s="12">
        <f t="shared" ref="AH23:AH31" si="25">V23-J23</f>
        <v>0</v>
      </c>
      <c r="AI23" s="12">
        <f t="shared" ref="AI23:AI31" si="26">W23-K23</f>
        <v>6.7350787730292572E-2</v>
      </c>
    </row>
    <row r="24" spans="1:35" x14ac:dyDescent="0.2">
      <c r="A24" s="3" t="s">
        <v>211</v>
      </c>
      <c r="B24" s="12">
        <f t="shared" ref="B24:K24" si="27">B6/B$13</f>
        <v>1.3002981794477619E-2</v>
      </c>
      <c r="C24" s="12">
        <f t="shared" si="27"/>
        <v>7.5660142665916738E-2</v>
      </c>
      <c r="D24" s="12">
        <f t="shared" si="27"/>
        <v>9.2738765725806274E-3</v>
      </c>
      <c r="E24" s="12">
        <f t="shared" si="27"/>
        <v>3.5167678861965104E-2</v>
      </c>
      <c r="F24" s="12">
        <f t="shared" si="27"/>
        <v>0.22940476831491724</v>
      </c>
      <c r="G24" s="12">
        <f t="shared" si="27"/>
        <v>0.79737756899152334</v>
      </c>
      <c r="H24" s="12"/>
      <c r="I24" s="12">
        <f t="shared" si="27"/>
        <v>0.58656572493172965</v>
      </c>
      <c r="J24" s="12">
        <f t="shared" si="27"/>
        <v>0.26040380594592777</v>
      </c>
      <c r="K24" s="12">
        <f t="shared" si="27"/>
        <v>0.12427814755528557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0.36793374193498773</v>
      </c>
      <c r="S24" s="42">
        <f t="shared" si="28"/>
        <v>0.70703229088442621</v>
      </c>
      <c r="T24" s="42"/>
      <c r="U24" s="42">
        <f t="shared" si="28"/>
        <v>0.59214111903464262</v>
      </c>
      <c r="V24" s="42">
        <f t="shared" si="28"/>
        <v>0</v>
      </c>
      <c r="W24" s="42">
        <f t="shared" si="28"/>
        <v>0.11894580301992509</v>
      </c>
      <c r="Y24" s="3" t="s">
        <v>211</v>
      </c>
      <c r="Z24" s="12">
        <f t="shared" si="18"/>
        <v>-1.3002981794477619E-2</v>
      </c>
      <c r="AA24" s="12">
        <f t="shared" si="19"/>
        <v>-7.5660142665916738E-2</v>
      </c>
      <c r="AB24" s="12">
        <f t="shared" si="20"/>
        <v>-9.2738765725806274E-3</v>
      </c>
      <c r="AC24" s="12">
        <f t="shared" si="21"/>
        <v>-3.5167678861965104E-2</v>
      </c>
      <c r="AD24" s="12">
        <f t="shared" si="22"/>
        <v>0.13852897362007049</v>
      </c>
      <c r="AE24" s="12">
        <f t="shared" si="23"/>
        <v>-9.0345278107097138E-2</v>
      </c>
      <c r="AF24" s="12"/>
      <c r="AG24" s="12">
        <f t="shared" si="24"/>
        <v>5.5753941029129672E-3</v>
      </c>
      <c r="AH24" s="12">
        <f t="shared" si="25"/>
        <v>-0.26040380594592777</v>
      </c>
      <c r="AI24" s="12">
        <f t="shared" si="26"/>
        <v>-5.3323445353604809E-3</v>
      </c>
    </row>
    <row r="25" spans="1:35" x14ac:dyDescent="0.2">
      <c r="A25" s="3" t="s">
        <v>212</v>
      </c>
      <c r="B25" s="12">
        <f t="shared" ref="B25:K25" si="29">B7/B$13</f>
        <v>7.6268399601197662E-2</v>
      </c>
      <c r="C25" s="12">
        <f t="shared" si="29"/>
        <v>0.2078002347794336</v>
      </c>
      <c r="D25" s="12">
        <f t="shared" si="29"/>
        <v>0.13967084850521511</v>
      </c>
      <c r="E25" s="12">
        <f t="shared" si="29"/>
        <v>0.34063922572948835</v>
      </c>
      <c r="F25" s="12">
        <f t="shared" si="29"/>
        <v>0.12713277385370281</v>
      </c>
      <c r="G25" s="12">
        <f t="shared" si="29"/>
        <v>0.1140423783934563</v>
      </c>
      <c r="H25" s="12"/>
      <c r="I25" s="12">
        <f t="shared" si="29"/>
        <v>3.890367574352932E-2</v>
      </c>
      <c r="J25" s="12">
        <f t="shared" si="29"/>
        <v>0.14154079747548567</v>
      </c>
      <c r="K25" s="12">
        <f t="shared" si="29"/>
        <v>0.15224990590093934</v>
      </c>
      <c r="L25"/>
      <c r="M25" s="3" t="s">
        <v>212</v>
      </c>
      <c r="N25" s="42">
        <f t="shared" ref="N25:W25" si="30">N7/N$13</f>
        <v>8.5577437343934706E-2</v>
      </c>
      <c r="O25" s="42">
        <f t="shared" si="30"/>
        <v>0.14311621502247396</v>
      </c>
      <c r="P25" s="42">
        <f t="shared" si="30"/>
        <v>0.13462792323584633</v>
      </c>
      <c r="Q25" s="42">
        <f t="shared" si="30"/>
        <v>0.29013503986116385</v>
      </c>
      <c r="R25" s="42">
        <f t="shared" si="30"/>
        <v>2.3385651776032974E-2</v>
      </c>
      <c r="S25" s="42">
        <f t="shared" si="30"/>
        <v>3.5997189990552556E-2</v>
      </c>
      <c r="T25" s="42"/>
      <c r="U25" s="42">
        <f t="shared" si="30"/>
        <v>3.5951425084246161E-2</v>
      </c>
      <c r="V25" s="42">
        <f t="shared" si="30"/>
        <v>0.19373657698465382</v>
      </c>
      <c r="W25" s="42">
        <f t="shared" si="30"/>
        <v>0.10913958257485534</v>
      </c>
      <c r="Y25" s="3" t="s">
        <v>212</v>
      </c>
      <c r="Z25" s="12">
        <f t="shared" si="18"/>
        <v>9.3090377427370447E-3</v>
      </c>
      <c r="AA25" s="12">
        <f t="shared" si="19"/>
        <v>-6.4684019756959643E-2</v>
      </c>
      <c r="AB25" s="12">
        <f t="shared" si="20"/>
        <v>-5.0429252693687809E-3</v>
      </c>
      <c r="AC25" s="12">
        <f t="shared" si="21"/>
        <v>-5.0504185868324503E-2</v>
      </c>
      <c r="AD25" s="12">
        <f t="shared" si="22"/>
        <v>-0.10374712207766984</v>
      </c>
      <c r="AE25" s="12">
        <f t="shared" si="23"/>
        <v>-7.804518840290374E-2</v>
      </c>
      <c r="AF25" s="12"/>
      <c r="AG25" s="12">
        <f t="shared" si="24"/>
        <v>-2.9522506592831593E-3</v>
      </c>
      <c r="AH25" s="12">
        <f t="shared" si="25"/>
        <v>5.219577950916815E-2</v>
      </c>
      <c r="AI25" s="12">
        <f t="shared" si="26"/>
        <v>-4.3110323326083999E-2</v>
      </c>
    </row>
    <row r="26" spans="1:35" x14ac:dyDescent="0.2">
      <c r="A26" s="3" t="s">
        <v>213</v>
      </c>
      <c r="B26" s="12">
        <f t="shared" ref="B26:K26" si="31">B8/B$13</f>
        <v>6.0283045605243134E-2</v>
      </c>
      <c r="C26" s="12">
        <f t="shared" si="31"/>
        <v>8.3099815359072307E-2</v>
      </c>
      <c r="D26" s="12">
        <f t="shared" si="31"/>
        <v>0.22851279784246553</v>
      </c>
      <c r="E26" s="12">
        <f t="shared" si="31"/>
        <v>0.15515097110801523</v>
      </c>
      <c r="F26" s="12">
        <f t="shared" si="31"/>
        <v>5.2352449364060472E-2</v>
      </c>
      <c r="G26" s="12">
        <f t="shared" si="31"/>
        <v>6.2173998541586638E-2</v>
      </c>
      <c r="H26" s="12"/>
      <c r="I26" s="12">
        <f t="shared" si="31"/>
        <v>0.1179676669485437</v>
      </c>
      <c r="J26" s="12">
        <f t="shared" si="31"/>
        <v>0.22754274868282656</v>
      </c>
      <c r="K26" s="12">
        <f t="shared" si="31"/>
        <v>0.12115188915491393</v>
      </c>
      <c r="L26"/>
      <c r="M26" s="3" t="s">
        <v>213</v>
      </c>
      <c r="N26" s="42">
        <f t="shared" ref="N26:W26" si="32">N8/N$13</f>
        <v>5.2727501899184799E-2</v>
      </c>
      <c r="O26" s="42">
        <f t="shared" si="32"/>
        <v>0.12005508067239991</v>
      </c>
      <c r="P26" s="42">
        <f t="shared" si="32"/>
        <v>0.2884076072867815</v>
      </c>
      <c r="Q26" s="42">
        <f t="shared" si="32"/>
        <v>0.18716307825804002</v>
      </c>
      <c r="R26" s="42">
        <f t="shared" si="32"/>
        <v>2.630020686420019E-2</v>
      </c>
      <c r="S26" s="42">
        <f t="shared" si="32"/>
        <v>3.7353746275526269E-2</v>
      </c>
      <c r="T26" s="42"/>
      <c r="U26" s="42">
        <f t="shared" si="32"/>
        <v>9.06212338704106E-2</v>
      </c>
      <c r="V26" s="42">
        <f t="shared" si="32"/>
        <v>0.23400367058456012</v>
      </c>
      <c r="W26" s="42">
        <f t="shared" si="32"/>
        <v>0.10248400254231536</v>
      </c>
      <c r="Y26" s="3" t="s">
        <v>213</v>
      </c>
      <c r="Z26" s="12">
        <f t="shared" si="18"/>
        <v>-7.5555437060583347E-3</v>
      </c>
      <c r="AA26" s="12">
        <f t="shared" si="19"/>
        <v>3.6955265313327601E-2</v>
      </c>
      <c r="AB26" s="12">
        <f t="shared" si="20"/>
        <v>5.9894809444315966E-2</v>
      </c>
      <c r="AC26" s="12">
        <f t="shared" si="21"/>
        <v>3.2012107150024782E-2</v>
      </c>
      <c r="AD26" s="12">
        <f t="shared" si="22"/>
        <v>-2.6052242499860281E-2</v>
      </c>
      <c r="AE26" s="12">
        <f t="shared" si="23"/>
        <v>-2.4820252266060369E-2</v>
      </c>
      <c r="AF26" s="12"/>
      <c r="AG26" s="12">
        <f t="shared" si="24"/>
        <v>-2.7346433078133101E-2</v>
      </c>
      <c r="AH26" s="12">
        <f t="shared" si="25"/>
        <v>6.4609219017335573E-3</v>
      </c>
      <c r="AI26" s="12">
        <f t="shared" si="26"/>
        <v>-1.8667886612598564E-2</v>
      </c>
    </row>
    <row r="27" spans="1:35" x14ac:dyDescent="0.2">
      <c r="A27" s="3" t="s">
        <v>214</v>
      </c>
      <c r="B27" s="12">
        <f t="shared" ref="B27:K27" si="33">B9/B$13</f>
        <v>3.4140843681482472E-2</v>
      </c>
      <c r="C27" s="12">
        <f t="shared" si="33"/>
        <v>0.13978277672994341</v>
      </c>
      <c r="D27" s="12">
        <f t="shared" si="33"/>
        <v>0.24486538414437498</v>
      </c>
      <c r="E27" s="12">
        <f t="shared" si="33"/>
        <v>0.14154461891520712</v>
      </c>
      <c r="F27" s="12">
        <f t="shared" si="33"/>
        <v>5.1292921752645423E-2</v>
      </c>
      <c r="G27" s="12">
        <f t="shared" si="33"/>
        <v>0</v>
      </c>
      <c r="H27" s="12"/>
      <c r="I27" s="12">
        <f t="shared" si="33"/>
        <v>2.2886350310457566E-2</v>
      </c>
      <c r="J27" s="12">
        <f t="shared" si="33"/>
        <v>0.13042919442284762</v>
      </c>
      <c r="K27" s="12">
        <f t="shared" si="33"/>
        <v>9.0779905453358997E-2</v>
      </c>
      <c r="L27"/>
      <c r="M27" s="3" t="s">
        <v>214</v>
      </c>
      <c r="N27" s="42">
        <f t="shared" ref="N27:W27" si="34">N9/N$13</f>
        <v>6.077959122957028E-2</v>
      </c>
      <c r="O27" s="42">
        <f t="shared" si="34"/>
        <v>9.1402738444750442E-2</v>
      </c>
      <c r="P27" s="42">
        <f t="shared" si="34"/>
        <v>0.21670240928836834</v>
      </c>
      <c r="Q27" s="42">
        <f t="shared" si="34"/>
        <v>0.19607353977981454</v>
      </c>
      <c r="R27" s="42">
        <f t="shared" si="34"/>
        <v>2.8538031483347048E-2</v>
      </c>
      <c r="S27" s="42">
        <f t="shared" si="34"/>
        <v>1.0682880744168019E-2</v>
      </c>
      <c r="T27" s="42"/>
      <c r="U27" s="42">
        <f t="shared" si="34"/>
        <v>1.8422850475539827E-2</v>
      </c>
      <c r="V27" s="42">
        <f t="shared" si="34"/>
        <v>0.17275957671131242</v>
      </c>
      <c r="W27" s="42">
        <f t="shared" si="34"/>
        <v>8.5323888096986447E-2</v>
      </c>
      <c r="Y27" s="3" t="s">
        <v>214</v>
      </c>
      <c r="Z27" s="12">
        <f t="shared" si="18"/>
        <v>2.6638747548087809E-2</v>
      </c>
      <c r="AA27" s="12">
        <f t="shared" si="19"/>
        <v>-4.8380038285192967E-2</v>
      </c>
      <c r="AB27" s="12">
        <f t="shared" si="20"/>
        <v>-2.8162974856006634E-2</v>
      </c>
      <c r="AC27" s="12">
        <f t="shared" si="21"/>
        <v>5.4528920864607422E-2</v>
      </c>
      <c r="AD27" s="12">
        <f t="shared" si="22"/>
        <v>-2.2754890269298375E-2</v>
      </c>
      <c r="AE27" s="12">
        <f t="shared" si="23"/>
        <v>1.0682880744168019E-2</v>
      </c>
      <c r="AF27" s="12"/>
      <c r="AG27" s="12">
        <f t="shared" si="24"/>
        <v>-4.4634998349177384E-3</v>
      </c>
      <c r="AH27" s="12">
        <f t="shared" si="25"/>
        <v>4.2330382288464807E-2</v>
      </c>
      <c r="AI27" s="12">
        <f t="shared" si="26"/>
        <v>-5.45601735637255E-3</v>
      </c>
    </row>
    <row r="28" spans="1:35" x14ac:dyDescent="0.2">
      <c r="A28" s="3" t="s">
        <v>129</v>
      </c>
      <c r="B28" s="12">
        <f t="shared" ref="B28:K28" si="35">B10/B$13</f>
        <v>2.5242190255792465E-2</v>
      </c>
      <c r="C28" s="12">
        <f t="shared" si="35"/>
        <v>3.3131069786160809E-2</v>
      </c>
      <c r="D28" s="12">
        <f t="shared" si="35"/>
        <v>0.11023739006426556</v>
      </c>
      <c r="E28" s="12">
        <f t="shared" si="35"/>
        <v>5.8985369203324201E-2</v>
      </c>
      <c r="F28" s="12">
        <f t="shared" si="35"/>
        <v>5.9623776070156627E-2</v>
      </c>
      <c r="G28" s="12">
        <f t="shared" si="35"/>
        <v>0</v>
      </c>
      <c r="H28" s="12"/>
      <c r="I28" s="12">
        <f t="shared" si="35"/>
        <v>3.3907622288125855E-2</v>
      </c>
      <c r="J28" s="12">
        <f t="shared" si="35"/>
        <v>1.9858889021404227E-2</v>
      </c>
      <c r="K28" s="12">
        <f t="shared" si="35"/>
        <v>4.321677874555753E-2</v>
      </c>
      <c r="L28"/>
      <c r="M28" s="3" t="s">
        <v>129</v>
      </c>
      <c r="N28" s="42">
        <f t="shared" ref="N28:W28" si="36">N10/N$13</f>
        <v>3.0009958655115989E-2</v>
      </c>
      <c r="O28" s="42">
        <f t="shared" si="36"/>
        <v>3.8010860245784511E-2</v>
      </c>
      <c r="P28" s="42">
        <f t="shared" si="36"/>
        <v>8.24358400301652E-2</v>
      </c>
      <c r="Q28" s="42">
        <f t="shared" si="36"/>
        <v>6.8610011388903949E-2</v>
      </c>
      <c r="R28" s="42">
        <f t="shared" si="36"/>
        <v>1.5549420549535901E-2</v>
      </c>
      <c r="S28" s="42">
        <f t="shared" si="36"/>
        <v>4.9126716891548169E-2</v>
      </c>
      <c r="T28" s="42"/>
      <c r="U28" s="42">
        <f t="shared" si="36"/>
        <v>2.9108103751352928E-2</v>
      </c>
      <c r="V28" s="42">
        <f t="shared" si="36"/>
        <v>3.8080362372603378E-2</v>
      </c>
      <c r="W28" s="42">
        <f t="shared" si="36"/>
        <v>3.7742892932733543E-2</v>
      </c>
      <c r="Y28" s="3" t="s">
        <v>129</v>
      </c>
      <c r="Z28" s="12">
        <f t="shared" si="18"/>
        <v>4.7677683993235243E-3</v>
      </c>
      <c r="AA28" s="12">
        <f t="shared" si="19"/>
        <v>4.8797904596237021E-3</v>
      </c>
      <c r="AB28" s="12">
        <f t="shared" si="20"/>
        <v>-2.7801550034100356E-2</v>
      </c>
      <c r="AC28" s="12">
        <f t="shared" si="21"/>
        <v>9.6246421855797487E-3</v>
      </c>
      <c r="AD28" s="12">
        <f t="shared" si="22"/>
        <v>-4.4074355520620723E-2</v>
      </c>
      <c r="AE28" s="12">
        <f t="shared" si="23"/>
        <v>4.9126716891548169E-2</v>
      </c>
      <c r="AF28" s="12"/>
      <c r="AG28" s="12">
        <f t="shared" si="24"/>
        <v>-4.7995185367729273E-3</v>
      </c>
      <c r="AH28" s="12">
        <f t="shared" si="25"/>
        <v>1.8221473351199152E-2</v>
      </c>
      <c r="AI28" s="12">
        <f t="shared" si="26"/>
        <v>-5.4738858128239865E-3</v>
      </c>
    </row>
    <row r="29" spans="1:35" x14ac:dyDescent="0.2">
      <c r="A29" s="25" t="s">
        <v>130</v>
      </c>
      <c r="B29" s="34">
        <f t="shared" ref="B29:K30" si="37">B11/B$13</f>
        <v>0.11381796500792069</v>
      </c>
      <c r="C29" s="34">
        <f t="shared" si="37"/>
        <v>0.14519339278528581</v>
      </c>
      <c r="D29" s="34">
        <f t="shared" si="37"/>
        <v>0.21788396228103554</v>
      </c>
      <c r="E29" s="34">
        <f t="shared" si="37"/>
        <v>0.24858798316868544</v>
      </c>
      <c r="F29" s="34">
        <f t="shared" si="37"/>
        <v>0.22448445797637026</v>
      </c>
      <c r="G29" s="34">
        <f t="shared" si="37"/>
        <v>2.6406054073433737E-2</v>
      </c>
      <c r="H29" s="34"/>
      <c r="I29" s="34">
        <f t="shared" si="37"/>
        <v>0.18859480060795689</v>
      </c>
      <c r="J29" s="34">
        <f t="shared" si="37"/>
        <v>0.2202245644515082</v>
      </c>
      <c r="K29" s="34">
        <f t="shared" si="37"/>
        <v>0.18095484503957834</v>
      </c>
      <c r="L29"/>
      <c r="M29" s="25" t="s">
        <v>130</v>
      </c>
      <c r="N29" s="56">
        <f t="shared" ref="N29:W29" si="38">N11/N$13</f>
        <v>0.12146720400253906</v>
      </c>
      <c r="O29" s="56">
        <f t="shared" si="38"/>
        <v>0.19899191976928474</v>
      </c>
      <c r="P29" s="56">
        <f t="shared" si="38"/>
        <v>0.27782622015883862</v>
      </c>
      <c r="Q29" s="56">
        <f t="shared" si="38"/>
        <v>0.25801833071207764</v>
      </c>
      <c r="R29" s="56">
        <f t="shared" si="38"/>
        <v>6.759614571237417E-2</v>
      </c>
      <c r="S29" s="56">
        <f t="shared" si="38"/>
        <v>0.12628085559942831</v>
      </c>
      <c r="T29" s="56"/>
      <c r="U29" s="56">
        <f t="shared" si="38"/>
        <v>0.22755290812370943</v>
      </c>
      <c r="V29" s="56">
        <f t="shared" si="38"/>
        <v>0.36141981334687023</v>
      </c>
      <c r="W29" s="56">
        <f t="shared" si="38"/>
        <v>0.17883419619845692</v>
      </c>
      <c r="Y29" s="25" t="s">
        <v>130</v>
      </c>
      <c r="Z29" s="12">
        <f t="shared" si="18"/>
        <v>7.6492389946183764E-3</v>
      </c>
      <c r="AA29" s="12">
        <f t="shared" si="19"/>
        <v>5.3798526983998923E-2</v>
      </c>
      <c r="AB29" s="12">
        <f t="shared" si="20"/>
        <v>5.9942257877803079E-2</v>
      </c>
      <c r="AC29" s="12">
        <f t="shared" si="21"/>
        <v>9.4303475433921979E-3</v>
      </c>
      <c r="AD29" s="12">
        <f t="shared" si="22"/>
        <v>-0.15688831226399608</v>
      </c>
      <c r="AE29" s="12">
        <f t="shared" si="23"/>
        <v>9.9874801525994567E-2</v>
      </c>
      <c r="AF29" s="12"/>
      <c r="AG29" s="12">
        <f t="shared" si="24"/>
        <v>3.8958107515752544E-2</v>
      </c>
      <c r="AH29" s="12">
        <f t="shared" si="25"/>
        <v>0.14119524889536203</v>
      </c>
      <c r="AI29" s="12">
        <f t="shared" si="26"/>
        <v>-2.1206488411214253E-3</v>
      </c>
    </row>
    <row r="30" spans="1:35" x14ac:dyDescent="0.2">
      <c r="A30" s="25" t="s">
        <v>247</v>
      </c>
      <c r="B30" s="13">
        <f t="shared" si="37"/>
        <v>7.3492427873844593E-2</v>
      </c>
      <c r="C30" s="13">
        <f t="shared" si="37"/>
        <v>1.1293888419092811E-2</v>
      </c>
      <c r="D30" s="13">
        <f t="shared" si="37"/>
        <v>0</v>
      </c>
      <c r="E30" s="13">
        <f t="shared" si="37"/>
        <v>0</v>
      </c>
      <c r="F30" s="13">
        <f t="shared" si="37"/>
        <v>0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2.8099155484419828E-2</v>
      </c>
      <c r="L30"/>
      <c r="M30" s="25" t="s">
        <v>247</v>
      </c>
      <c r="N30" s="43">
        <f t="shared" ref="N30:W30" si="39">N12/N$13</f>
        <v>7.5742555706581907E-2</v>
      </c>
      <c r="O30" s="43">
        <f t="shared" si="39"/>
        <v>3.345371404816961E-2</v>
      </c>
      <c r="P30" s="43">
        <f t="shared" si="39"/>
        <v>0</v>
      </c>
      <c r="Q30" s="43">
        <f t="shared" si="39"/>
        <v>0</v>
      </c>
      <c r="R30" s="43">
        <f t="shared" si="39"/>
        <v>4.7924821396987012E-2</v>
      </c>
      <c r="S30" s="43">
        <f t="shared" si="39"/>
        <v>2.5193188149511881E-3</v>
      </c>
      <c r="T30" s="43"/>
      <c r="U30" s="43">
        <f t="shared" si="39"/>
        <v>3.0704750792566378E-4</v>
      </c>
      <c r="V30" s="43">
        <f t="shared" si="39"/>
        <v>0</v>
      </c>
      <c r="W30" s="43">
        <f t="shared" si="39"/>
        <v>4.0909474238488105E-2</v>
      </c>
      <c r="Y30" s="25" t="s">
        <v>247</v>
      </c>
      <c r="Z30" s="12">
        <f t="shared" si="18"/>
        <v>2.2501278327373142E-3</v>
      </c>
      <c r="AA30" s="12">
        <f t="shared" si="19"/>
        <v>2.2159825629076799E-2</v>
      </c>
      <c r="AB30" s="12">
        <f t="shared" si="20"/>
        <v>0</v>
      </c>
      <c r="AC30" s="12">
        <f t="shared" si="21"/>
        <v>0</v>
      </c>
      <c r="AD30" s="12">
        <f t="shared" si="22"/>
        <v>4.7924821396987012E-2</v>
      </c>
      <c r="AE30" s="12">
        <f t="shared" si="23"/>
        <v>2.5193188149511881E-3</v>
      </c>
      <c r="AF30" s="12"/>
      <c r="AG30" s="12">
        <f t="shared" si="24"/>
        <v>3.0704750792566378E-4</v>
      </c>
      <c r="AH30" s="12">
        <f t="shared" si="25"/>
        <v>0</v>
      </c>
      <c r="AI30" s="12">
        <f t="shared" si="26"/>
        <v>1.2810318754068278E-2</v>
      </c>
    </row>
    <row r="31" spans="1:35" ht="13.5" thickBot="1" x14ac:dyDescent="0.25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3816.0095233219999</v>
      </c>
      <c r="C40" s="7">
        <f>output_NHTS!C189</f>
        <v>23591.411652372299</v>
      </c>
      <c r="D40" s="7">
        <f>output_NHTS!D189</f>
        <v>26029.797916596002</v>
      </c>
      <c r="E40" s="7">
        <f>output_NHTS!E189</f>
        <v>138284.1863507005</v>
      </c>
      <c r="F40" s="7"/>
      <c r="G40" s="53">
        <f>SUM(B40:E40)</f>
        <v>191721.4054429908</v>
      </c>
      <c r="H40" s="53"/>
      <c r="I40"/>
      <c r="K40"/>
      <c r="L40"/>
      <c r="M40" s="3" t="s">
        <v>210</v>
      </c>
      <c r="N40" s="53">
        <f>output!B189</f>
        <v>7927</v>
      </c>
      <c r="O40" s="53">
        <f>output!C189</f>
        <v>67147</v>
      </c>
      <c r="P40" s="53">
        <f>output!D189</f>
        <v>80221</v>
      </c>
      <c r="Q40" s="53">
        <f>output!E189</f>
        <v>479820</v>
      </c>
      <c r="R40" s="53"/>
      <c r="S40" s="53">
        <f>SUM(N40:Q40)</f>
        <v>635115</v>
      </c>
      <c r="T40" s="53"/>
      <c r="W40" s="57"/>
      <c r="Y40" s="3" t="s">
        <v>210</v>
      </c>
      <c r="Z40" s="7">
        <f t="shared" ref="Z40:Z48" si="42">N40-B40</f>
        <v>4110.9904766780001</v>
      </c>
      <c r="AA40" s="7">
        <f t="shared" ref="AA40:AA48" si="43">O40-C40</f>
        <v>43555.588347627701</v>
      </c>
      <c r="AB40" s="7">
        <f t="shared" ref="AB40:AB48" si="44">P40-D40</f>
        <v>54191.202083404001</v>
      </c>
      <c r="AC40" s="7">
        <f t="shared" ref="AC40:AC48" si="45">Q40-E40</f>
        <v>341535.8136492995</v>
      </c>
      <c r="AD40" s="7">
        <f t="shared" ref="AD40:AD48" si="46">R40-F40</f>
        <v>0</v>
      </c>
      <c r="AE40" s="7">
        <f t="shared" ref="AE40:AE48" si="47">S40-G40</f>
        <v>443393.59455700917</v>
      </c>
      <c r="AF40" s="7"/>
      <c r="AG40"/>
    </row>
    <row r="41" spans="1:35" x14ac:dyDescent="0.2">
      <c r="A41" s="3" t="s">
        <v>211</v>
      </c>
      <c r="B41" s="7">
        <f>output_NHTS!B190</f>
        <v>902.36287500000003</v>
      </c>
      <c r="C41" s="7">
        <f>output_NHTS!C190</f>
        <v>6483.5648797779995</v>
      </c>
      <c r="D41" s="7">
        <f>output_NHTS!D190</f>
        <v>1895.9633313979998</v>
      </c>
      <c r="E41" s="7">
        <f>output_NHTS!E190</f>
        <v>77019.418743070099</v>
      </c>
      <c r="F41" s="7"/>
      <c r="G41" s="53">
        <f t="shared" ref="G41:G47" si="48">SUM(B41:E41)</f>
        <v>86301.309829246093</v>
      </c>
      <c r="H41" s="53"/>
      <c r="I41"/>
      <c r="K41"/>
      <c r="L41"/>
      <c r="M41" s="3" t="s">
        <v>211</v>
      </c>
      <c r="N41" s="53">
        <f>output!B190</f>
        <v>8727</v>
      </c>
      <c r="O41" s="53">
        <f>output!C190</f>
        <v>30083</v>
      </c>
      <c r="P41" s="53">
        <f>output!D190</f>
        <v>27053</v>
      </c>
      <c r="Q41" s="53">
        <f>output!E190</f>
        <v>165396</v>
      </c>
      <c r="R41" s="53"/>
      <c r="S41" s="53">
        <f t="shared" ref="S41:S50" si="49">SUM(N41:Q41)</f>
        <v>231259</v>
      </c>
      <c r="T41" s="53"/>
      <c r="W41" s="57"/>
      <c r="Y41" s="3" t="s">
        <v>211</v>
      </c>
      <c r="Z41" s="7">
        <f t="shared" si="42"/>
        <v>7824.6371250000002</v>
      </c>
      <c r="AA41" s="7">
        <f t="shared" si="43"/>
        <v>23599.435120221999</v>
      </c>
      <c r="AB41" s="7">
        <f t="shared" si="44"/>
        <v>25157.036668601999</v>
      </c>
      <c r="AC41" s="7">
        <f t="shared" si="45"/>
        <v>88376.581256929901</v>
      </c>
      <c r="AD41" s="7">
        <f t="shared" si="46"/>
        <v>0</v>
      </c>
      <c r="AE41" s="7">
        <f t="shared" si="47"/>
        <v>144957.69017075392</v>
      </c>
      <c r="AF41" s="7"/>
      <c r="AG41"/>
    </row>
    <row r="42" spans="1:35" x14ac:dyDescent="0.2">
      <c r="A42" s="3" t="s">
        <v>212</v>
      </c>
      <c r="B42" s="7">
        <f>output_NHTS!B191</f>
        <v>1137.1437497740001</v>
      </c>
      <c r="C42" s="7">
        <f>output_NHTS!C191</f>
        <v>9173.9219011693003</v>
      </c>
      <c r="D42" s="7">
        <f>output_NHTS!D191</f>
        <v>3964.3000225189999</v>
      </c>
      <c r="E42" s="7">
        <f>output_NHTS!E191</f>
        <v>78958.599628740005</v>
      </c>
      <c r="F42" s="7"/>
      <c r="G42" s="53">
        <f t="shared" si="48"/>
        <v>93233.965302202298</v>
      </c>
      <c r="H42" s="53"/>
      <c r="I42"/>
      <c r="K42"/>
      <c r="L42"/>
      <c r="M42" s="3" t="s">
        <v>212</v>
      </c>
      <c r="N42" s="53">
        <f>output!B191</f>
        <v>6444</v>
      </c>
      <c r="O42" s="53">
        <f>output!C191</f>
        <v>26623</v>
      </c>
      <c r="P42" s="53">
        <f>output!D191</f>
        <v>27457</v>
      </c>
      <c r="Q42" s="53">
        <f>output!E191</f>
        <v>151656</v>
      </c>
      <c r="R42" s="53"/>
      <c r="S42" s="53">
        <f t="shared" si="49"/>
        <v>212180</v>
      </c>
      <c r="T42" s="53"/>
      <c r="W42" s="57"/>
      <c r="Y42" s="3" t="s">
        <v>212</v>
      </c>
      <c r="Z42" s="7">
        <f t="shared" si="42"/>
        <v>5306.8562502260002</v>
      </c>
      <c r="AA42" s="7">
        <f t="shared" si="43"/>
        <v>17449.078098830701</v>
      </c>
      <c r="AB42" s="7">
        <f t="shared" si="44"/>
        <v>23492.699977480999</v>
      </c>
      <c r="AC42" s="7">
        <f t="shared" si="45"/>
        <v>72697.400371259995</v>
      </c>
      <c r="AD42" s="7">
        <f t="shared" si="46"/>
        <v>0</v>
      </c>
      <c r="AE42" s="7">
        <f t="shared" si="47"/>
        <v>118946.0346977977</v>
      </c>
      <c r="AF42" s="7"/>
      <c r="AG42"/>
    </row>
    <row r="43" spans="1:35" x14ac:dyDescent="0.2">
      <c r="A43" s="3" t="s">
        <v>213</v>
      </c>
      <c r="B43" s="7">
        <f>output_NHTS!B192</f>
        <v>6584.5109178359999</v>
      </c>
      <c r="C43" s="7">
        <f>output_NHTS!C192</f>
        <v>17004.954404716198</v>
      </c>
      <c r="D43" s="7">
        <f>output_NHTS!D192</f>
        <v>6367.9251876917997</v>
      </c>
      <c r="E43" s="7">
        <f>output_NHTS!E192</f>
        <v>43066.992802310597</v>
      </c>
      <c r="F43" s="7"/>
      <c r="G43" s="53">
        <f t="shared" si="48"/>
        <v>73024.383312554593</v>
      </c>
      <c r="H43" s="53"/>
      <c r="I43"/>
      <c r="K43"/>
      <c r="L43"/>
      <c r="M43" s="3" t="s">
        <v>213</v>
      </c>
      <c r="N43" s="53">
        <f>output!B192</f>
        <v>10794</v>
      </c>
      <c r="O43" s="53">
        <f>output!C192</f>
        <v>39218</v>
      </c>
      <c r="P43" s="53">
        <f>output!D192</f>
        <v>27055</v>
      </c>
      <c r="Q43" s="53">
        <f>output!E192</f>
        <v>122173</v>
      </c>
      <c r="R43" s="53"/>
      <c r="S43" s="53">
        <f t="shared" si="49"/>
        <v>199240</v>
      </c>
      <c r="T43" s="53"/>
      <c r="W43" s="57"/>
      <c r="Y43" s="3" t="s">
        <v>213</v>
      </c>
      <c r="Z43" s="7">
        <f t="shared" si="42"/>
        <v>4209.4890821640001</v>
      </c>
      <c r="AA43" s="7">
        <f t="shared" si="43"/>
        <v>22213.045595283802</v>
      </c>
      <c r="AB43" s="7">
        <f t="shared" si="44"/>
        <v>20687.074812308201</v>
      </c>
      <c r="AC43" s="7">
        <f t="shared" si="45"/>
        <v>79106.007197689411</v>
      </c>
      <c r="AD43" s="7">
        <f t="shared" si="46"/>
        <v>0</v>
      </c>
      <c r="AE43" s="7">
        <f t="shared" si="47"/>
        <v>126215.61668744541</v>
      </c>
      <c r="AF43" s="7"/>
      <c r="AG43"/>
    </row>
    <row r="44" spans="1:35" x14ac:dyDescent="0.2">
      <c r="A44" s="3" t="s">
        <v>214</v>
      </c>
      <c r="B44" s="7">
        <f>output_NHTS!B193</f>
        <v>526.72710594599994</v>
      </c>
      <c r="C44" s="7">
        <f>output_NHTS!C193</f>
        <v>10868.056938231999</v>
      </c>
      <c r="D44" s="7">
        <f>output_NHTS!D193</f>
        <v>3060.1487096810001</v>
      </c>
      <c r="E44" s="7">
        <f>output_NHTS!E193</f>
        <v>39366.2383901223</v>
      </c>
      <c r="F44" s="7"/>
      <c r="G44" s="53">
        <f t="shared" si="48"/>
        <v>53821.171143981301</v>
      </c>
      <c r="H44" s="53"/>
      <c r="I44"/>
      <c r="K44"/>
      <c r="L44"/>
      <c r="M44" s="3" t="s">
        <v>214</v>
      </c>
      <c r="N44" s="53">
        <f>output!B193</f>
        <v>8455</v>
      </c>
      <c r="O44" s="53">
        <f>output!C193</f>
        <v>28805</v>
      </c>
      <c r="P44" s="53">
        <f>output!D193</f>
        <v>23194</v>
      </c>
      <c r="Q44" s="53">
        <f>output!E193</f>
        <v>105425</v>
      </c>
      <c r="R44" s="53"/>
      <c r="S44" s="53">
        <f t="shared" si="49"/>
        <v>165879</v>
      </c>
      <c r="T44" s="53"/>
      <c r="W44" s="57"/>
      <c r="Y44" s="3" t="s">
        <v>214</v>
      </c>
      <c r="Z44" s="7">
        <f t="shared" si="42"/>
        <v>7928.2728940540001</v>
      </c>
      <c r="AA44" s="7">
        <f t="shared" si="43"/>
        <v>17936.943061768001</v>
      </c>
      <c r="AB44" s="7">
        <f t="shared" si="44"/>
        <v>20133.851290318999</v>
      </c>
      <c r="AC44" s="7">
        <f t="shared" si="45"/>
        <v>66058.761609877693</v>
      </c>
      <c r="AD44" s="7">
        <f t="shared" si="46"/>
        <v>0</v>
      </c>
      <c r="AE44" s="7">
        <f t="shared" si="47"/>
        <v>112057.82885601869</v>
      </c>
      <c r="AF44" s="7"/>
      <c r="AG44"/>
    </row>
    <row r="45" spans="1:35" x14ac:dyDescent="0.2">
      <c r="A45" s="3" t="s">
        <v>129</v>
      </c>
      <c r="B45" s="7">
        <f>output_NHTS!B194</f>
        <v>0</v>
      </c>
      <c r="C45" s="7">
        <f>output_NHTS!C194</f>
        <v>3671.7152726998002</v>
      </c>
      <c r="D45" s="7">
        <f>output_NHTS!D194</f>
        <v>4037.0831814430003</v>
      </c>
      <c r="E45" s="7">
        <f>output_NHTS!E194</f>
        <v>16358.752141655001</v>
      </c>
      <c r="F45" s="7"/>
      <c r="G45" s="53">
        <f t="shared" si="48"/>
        <v>24067.550595797802</v>
      </c>
      <c r="H45" s="53"/>
      <c r="I45"/>
      <c r="K45"/>
      <c r="L45"/>
      <c r="M45" s="3" t="s">
        <v>129</v>
      </c>
      <c r="N45" s="53">
        <f>output!B194</f>
        <v>2538</v>
      </c>
      <c r="O45" s="53">
        <f>output!C194</f>
        <v>11853</v>
      </c>
      <c r="P45" s="53">
        <f>output!D194</f>
        <v>10333</v>
      </c>
      <c r="Q45" s="53">
        <f>output!E194</f>
        <v>48657</v>
      </c>
      <c r="R45" s="53"/>
      <c r="S45" s="53">
        <f t="shared" si="49"/>
        <v>73381</v>
      </c>
      <c r="T45" s="53"/>
      <c r="W45" s="57"/>
      <c r="Y45" s="3" t="s">
        <v>129</v>
      </c>
      <c r="Z45" s="7">
        <f t="shared" si="42"/>
        <v>2538</v>
      </c>
      <c r="AA45" s="7">
        <f t="shared" si="43"/>
        <v>8181.2847273001998</v>
      </c>
      <c r="AB45" s="7">
        <f t="shared" si="44"/>
        <v>6295.9168185569997</v>
      </c>
      <c r="AC45" s="7">
        <f t="shared" si="45"/>
        <v>32298.247858344999</v>
      </c>
      <c r="AD45" s="7">
        <f t="shared" si="46"/>
        <v>0</v>
      </c>
      <c r="AE45" s="7">
        <f t="shared" si="47"/>
        <v>49313.449404202198</v>
      </c>
      <c r="AF45" s="7"/>
      <c r="AG45"/>
    </row>
    <row r="46" spans="1:35" x14ac:dyDescent="0.2">
      <c r="A46" s="25" t="s">
        <v>130</v>
      </c>
      <c r="B46" s="7">
        <f>output_NHTS!B195</f>
        <v>2486.8713270349999</v>
      </c>
      <c r="C46" s="7">
        <f>output_NHTS!C195</f>
        <v>21785.590373071998</v>
      </c>
      <c r="D46" s="7">
        <f>output_NHTS!D195</f>
        <v>15568.641928146</v>
      </c>
      <c r="E46" s="7">
        <f>output_NHTS!E195</f>
        <v>73392.600940700097</v>
      </c>
      <c r="F46" s="33"/>
      <c r="G46" s="54">
        <f t="shared" si="48"/>
        <v>113233.70456895309</v>
      </c>
      <c r="H46" s="54"/>
      <c r="I46"/>
      <c r="K46"/>
      <c r="L46"/>
      <c r="M46" s="25" t="s">
        <v>130</v>
      </c>
      <c r="N46" s="54">
        <f>output!B195</f>
        <v>10278</v>
      </c>
      <c r="O46" s="54">
        <f>output!C195</f>
        <v>49002</v>
      </c>
      <c r="P46" s="54">
        <f>output!D195</f>
        <v>44574</v>
      </c>
      <c r="Q46" s="54">
        <f>output!E195</f>
        <v>243835</v>
      </c>
      <c r="R46" s="54"/>
      <c r="S46" s="54">
        <f t="shared" si="49"/>
        <v>347689</v>
      </c>
      <c r="T46" s="54"/>
      <c r="W46" s="57"/>
      <c r="Y46" s="25" t="s">
        <v>130</v>
      </c>
      <c r="Z46" s="33">
        <f t="shared" si="42"/>
        <v>7791.1286729650001</v>
      </c>
      <c r="AA46" s="33">
        <f t="shared" si="43"/>
        <v>27216.409626928002</v>
      </c>
      <c r="AB46" s="33">
        <f t="shared" si="44"/>
        <v>29005.358071854</v>
      </c>
      <c r="AC46" s="33">
        <f t="shared" si="45"/>
        <v>170442.3990592999</v>
      </c>
      <c r="AD46" s="33">
        <f t="shared" si="46"/>
        <v>0</v>
      </c>
      <c r="AE46" s="33">
        <f t="shared" si="47"/>
        <v>234455.29543104692</v>
      </c>
      <c r="AF46" s="33"/>
      <c r="AG46"/>
    </row>
    <row r="47" spans="1:35" x14ac:dyDescent="0.2">
      <c r="A47" s="25" t="s">
        <v>247</v>
      </c>
      <c r="B47" s="9">
        <f>output_NHTS!B196</f>
        <v>240.60352573500001</v>
      </c>
      <c r="C47" s="9">
        <f>output_NHTS!C196</f>
        <v>5823.72013401</v>
      </c>
      <c r="D47" s="9">
        <f>output_NHTS!D196</f>
        <v>1769.1422292080001</v>
      </c>
      <c r="E47" s="9">
        <f>output_NHTS!E196</f>
        <v>13033.765853889499</v>
      </c>
      <c r="F47" s="9"/>
      <c r="G47" s="59">
        <f t="shared" si="48"/>
        <v>20867.231742842501</v>
      </c>
      <c r="H47" s="54"/>
      <c r="I47"/>
      <c r="K47"/>
      <c r="L47"/>
      <c r="M47" s="25" t="s">
        <v>247</v>
      </c>
      <c r="N47" s="59">
        <f>output!B196</f>
        <v>801</v>
      </c>
      <c r="O47" s="59">
        <f>output!C196</f>
        <v>7968</v>
      </c>
      <c r="P47" s="59">
        <f>output!D196</f>
        <v>9916</v>
      </c>
      <c r="Q47" s="59">
        <f>output!E196</f>
        <v>60864</v>
      </c>
      <c r="R47" s="59"/>
      <c r="S47" s="59">
        <f t="shared" si="49"/>
        <v>79549</v>
      </c>
      <c r="T47" s="54"/>
      <c r="W47" s="57"/>
      <c r="Y47" s="25" t="s">
        <v>247</v>
      </c>
      <c r="Z47" s="9">
        <f t="shared" si="42"/>
        <v>560.39647426500005</v>
      </c>
      <c r="AA47" s="9">
        <f t="shared" si="43"/>
        <v>2144.27986599</v>
      </c>
      <c r="AB47" s="9">
        <f t="shared" si="44"/>
        <v>8146.8577707919994</v>
      </c>
      <c r="AC47" s="9">
        <f t="shared" si="45"/>
        <v>47830.234146110502</v>
      </c>
      <c r="AD47" s="9">
        <f t="shared" si="46"/>
        <v>0</v>
      </c>
      <c r="AE47" s="9">
        <f t="shared" si="47"/>
        <v>58681.768257157499</v>
      </c>
      <c r="AF47" s="33"/>
      <c r="AG47"/>
    </row>
    <row r="48" spans="1:35" ht="13.5" thickBot="1" x14ac:dyDescent="0.25">
      <c r="A48" s="10" t="s">
        <v>221</v>
      </c>
      <c r="B48" s="60">
        <f t="shared" ref="B48:G48" si="50">SUM(B40:B47)</f>
        <v>15694.229024647999</v>
      </c>
      <c r="C48" s="60">
        <f t="shared" si="50"/>
        <v>98402.935556049604</v>
      </c>
      <c r="D48" s="60">
        <f t="shared" si="50"/>
        <v>62693.002506682802</v>
      </c>
      <c r="E48" s="60">
        <f t="shared" si="50"/>
        <v>479480.55485118815</v>
      </c>
      <c r="F48" s="60">
        <f t="shared" si="50"/>
        <v>0</v>
      </c>
      <c r="G48" s="60">
        <f t="shared" si="50"/>
        <v>656270.72193856852</v>
      </c>
      <c r="H48" s="54"/>
      <c r="I48"/>
      <c r="K48"/>
      <c r="L48"/>
      <c r="M48" s="10" t="s">
        <v>221</v>
      </c>
      <c r="N48" s="60">
        <f>SUM(N40:N47)</f>
        <v>55964</v>
      </c>
      <c r="O48" s="60">
        <f>SUM(O40:O47)</f>
        <v>260699</v>
      </c>
      <c r="P48" s="60">
        <f>SUM(P40:P47)</f>
        <v>249803</v>
      </c>
      <c r="Q48" s="60">
        <f>SUM(Q40:Q47)</f>
        <v>1377826</v>
      </c>
      <c r="R48" s="60"/>
      <c r="S48" s="60">
        <f>SUM(S40:S47)</f>
        <v>1944292</v>
      </c>
      <c r="T48" s="54"/>
      <c r="W48" s="57"/>
      <c r="Y48" s="10" t="s">
        <v>221</v>
      </c>
      <c r="Z48" s="22">
        <f t="shared" si="42"/>
        <v>40269.770975352003</v>
      </c>
      <c r="AA48" s="22">
        <f t="shared" si="43"/>
        <v>162296.0644439504</v>
      </c>
      <c r="AB48" s="22">
        <f t="shared" si="44"/>
        <v>187109.99749331721</v>
      </c>
      <c r="AC48" s="22">
        <f t="shared" si="45"/>
        <v>898345.44514881191</v>
      </c>
      <c r="AD48" s="22">
        <f t="shared" si="46"/>
        <v>0</v>
      </c>
      <c r="AE48" s="22">
        <f t="shared" si="47"/>
        <v>1288021.2780614314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9952.4868000000006</v>
      </c>
      <c r="C50" s="7">
        <f>output_NHTS!B318</f>
        <v>56947.638800000001</v>
      </c>
      <c r="D50" s="7">
        <f>output_NHTS!B319</f>
        <v>37966.100200000001</v>
      </c>
      <c r="E50" s="7">
        <f>output_NHTS!B320</f>
        <v>268210.74040000001</v>
      </c>
      <c r="F50" s="7"/>
      <c r="G50" s="54">
        <f>SUM(B50:E50)</f>
        <v>373076.96620000002</v>
      </c>
      <c r="H50" s="54"/>
      <c r="I50"/>
      <c r="K50"/>
      <c r="L50"/>
      <c r="M50" s="25" t="s">
        <v>88</v>
      </c>
      <c r="N50" s="53">
        <f>output!B317</f>
        <v>33103</v>
      </c>
      <c r="O50" s="53">
        <f>output!B318</f>
        <v>154992</v>
      </c>
      <c r="P50" s="53">
        <f>output!B319</f>
        <v>148379</v>
      </c>
      <c r="Q50" s="53">
        <f>output!B320</f>
        <v>818426</v>
      </c>
      <c r="R50" s="53"/>
      <c r="S50" s="54">
        <f t="shared" si="49"/>
        <v>1154900</v>
      </c>
      <c r="T50" s="54"/>
      <c r="W50" s="57"/>
      <c r="Y50" s="25" t="s">
        <v>88</v>
      </c>
      <c r="Z50" s="7">
        <f t="shared" ref="Z50:AE51" si="51">N50-B50</f>
        <v>23150.513200000001</v>
      </c>
      <c r="AA50" s="7">
        <f t="shared" si="51"/>
        <v>98044.361199999999</v>
      </c>
      <c r="AB50" s="7">
        <f t="shared" si="51"/>
        <v>110412.8998</v>
      </c>
      <c r="AC50" s="7">
        <f t="shared" si="51"/>
        <v>550215.25959999999</v>
      </c>
      <c r="AD50" s="7">
        <f t="shared" si="51"/>
        <v>0</v>
      </c>
      <c r="AE50" s="7">
        <f t="shared" si="51"/>
        <v>781823.03379999998</v>
      </c>
      <c r="AF50" s="7"/>
      <c r="AG50"/>
    </row>
    <row r="51" spans="1:35" x14ac:dyDescent="0.2">
      <c r="A51" s="25" t="s">
        <v>89</v>
      </c>
      <c r="B51" s="37">
        <f t="shared" ref="B51:G51" si="52">B48/B50</f>
        <v>1.5769153318191789</v>
      </c>
      <c r="C51" s="37">
        <f t="shared" si="52"/>
        <v>1.7279546198858311</v>
      </c>
      <c r="D51" s="37">
        <f t="shared" si="52"/>
        <v>1.651288970329452</v>
      </c>
      <c r="E51" s="37">
        <f t="shared" si="52"/>
        <v>1.7877007987678191</v>
      </c>
      <c r="F51" s="37" t="e">
        <f t="shared" si="52"/>
        <v>#DIV/0!</v>
      </c>
      <c r="G51" s="37">
        <f t="shared" si="52"/>
        <v>1.7590759585697748</v>
      </c>
      <c r="H51" s="37"/>
      <c r="I51"/>
      <c r="K51"/>
      <c r="L51"/>
      <c r="M51" s="25" t="s">
        <v>89</v>
      </c>
      <c r="N51" s="37">
        <f t="shared" ref="N51:S51" si="53">N48/N50</f>
        <v>1.6906020602362324</v>
      </c>
      <c r="O51" s="37">
        <f t="shared" si="53"/>
        <v>1.6820158459791472</v>
      </c>
      <c r="P51" s="37">
        <f t="shared" si="53"/>
        <v>1.6835468631005734</v>
      </c>
      <c r="Q51" s="37">
        <f t="shared" si="53"/>
        <v>1.68350712220775</v>
      </c>
      <c r="R51" s="37"/>
      <c r="S51" s="37">
        <f t="shared" si="53"/>
        <v>1.6835154558836263</v>
      </c>
      <c r="T51" s="37"/>
      <c r="W51" s="57"/>
      <c r="Y51" s="25" t="s">
        <v>89</v>
      </c>
      <c r="Z51" s="38">
        <f t="shared" si="51"/>
        <v>0.11368672841705352</v>
      </c>
      <c r="AA51" s="38">
        <f t="shared" si="51"/>
        <v>-4.5938773906683883E-2</v>
      </c>
      <c r="AB51" s="38">
        <f t="shared" si="51"/>
        <v>3.2257892771121455E-2</v>
      </c>
      <c r="AC51" s="38">
        <f t="shared" si="51"/>
        <v>-0.10419367656006906</v>
      </c>
      <c r="AD51" s="38" t="e">
        <f t="shared" si="51"/>
        <v>#DIV/0!</v>
      </c>
      <c r="AE51" s="38">
        <f t="shared" si="51"/>
        <v>-7.5560502686148556E-2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t="shared" ref="B57:F64" si="54">B40/B$48</f>
        <v>0.24314730703425477</v>
      </c>
      <c r="C57" s="42">
        <f t="shared" si="54"/>
        <v>0.23974296619367416</v>
      </c>
      <c r="D57" s="42">
        <f t="shared" si="54"/>
        <v>0.41519462899900733</v>
      </c>
      <c r="E57" s="42">
        <f t="shared" si="54"/>
        <v>0.28840415935870112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0.14164462868987207</v>
      </c>
      <c r="O57" s="42">
        <f t="shared" si="55"/>
        <v>0.2575652380714924</v>
      </c>
      <c r="P57" s="42">
        <f t="shared" si="55"/>
        <v>0.3211370560001281</v>
      </c>
      <c r="Q57" s="42">
        <f t="shared" si="55"/>
        <v>0.34824426306369599</v>
      </c>
      <c r="R57" s="42" t="e">
        <f t="shared" si="55"/>
        <v>#DIV/0!</v>
      </c>
      <c r="S57" s="42">
        <f t="shared" ref="S57:S65" si="56">S40/S$48</f>
        <v>0.32665618127318324</v>
      </c>
      <c r="T57" s="42"/>
      <c r="Y57" s="3" t="s">
        <v>210</v>
      </c>
      <c r="Z57" s="12">
        <f t="shared" ref="Z57:Z65" si="57">N57-B57</f>
        <v>-0.1015026783443827</v>
      </c>
      <c r="AA57" s="12">
        <f t="shared" ref="AA57:AA65" si="58">O57-C57</f>
        <v>1.7822271877818235E-2</v>
      </c>
      <c r="AB57" s="12">
        <f t="shared" ref="AB57:AB65" si="59">P57-D57</f>
        <v>-9.4057572998879235E-2</v>
      </c>
      <c r="AC57" s="12">
        <f t="shared" ref="AC57:AC65" si="60">Q57-E57</f>
        <v>5.9840103704994874E-2</v>
      </c>
      <c r="AD57" s="12" t="e">
        <f t="shared" ref="AD57:AD65" si="61">R57-F57</f>
        <v>#DIV/0!</v>
      </c>
      <c r="AE57" s="12">
        <f t="shared" ref="AE57:AE65" si="62">S57-G57</f>
        <v>1.7132194354488095E-2</v>
      </c>
      <c r="AF57" s="12"/>
      <c r="AG57"/>
    </row>
    <row r="58" spans="1:35" x14ac:dyDescent="0.2">
      <c r="A58" s="3" t="s">
        <v>211</v>
      </c>
      <c r="B58" s="42">
        <f t="shared" si="54"/>
        <v>5.7496476799390843E-2</v>
      </c>
      <c r="C58" s="42">
        <f t="shared" si="54"/>
        <v>6.5887921362722021E-2</v>
      </c>
      <c r="D58" s="42">
        <f t="shared" si="54"/>
        <v>3.0242024717126895E-2</v>
      </c>
      <c r="E58" s="42">
        <f t="shared" si="54"/>
        <v>0.1606309535680209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0.15593953255664356</v>
      </c>
      <c r="O58" s="42">
        <f t="shared" si="55"/>
        <v>0.11539361485851499</v>
      </c>
      <c r="P58" s="42">
        <f t="shared" si="55"/>
        <v>0.10829733830258244</v>
      </c>
      <c r="Q58" s="42">
        <f t="shared" si="55"/>
        <v>0.12004128242608283</v>
      </c>
      <c r="R58" s="42" t="e">
        <f t="shared" si="55"/>
        <v>#DIV/0!</v>
      </c>
      <c r="S58" s="42">
        <f t="shared" si="56"/>
        <v>0.11894252509396737</v>
      </c>
      <c r="T58" s="42"/>
      <c r="Y58" s="3" t="s">
        <v>211</v>
      </c>
      <c r="Z58" s="12">
        <f t="shared" si="57"/>
        <v>9.8443055757252707E-2</v>
      </c>
      <c r="AA58" s="12">
        <f t="shared" si="58"/>
        <v>4.9505693495792966E-2</v>
      </c>
      <c r="AB58" s="12">
        <f t="shared" si="59"/>
        <v>7.8055313585455546E-2</v>
      </c>
      <c r="AC58" s="12">
        <f t="shared" si="60"/>
        <v>-4.0589671141938066E-2</v>
      </c>
      <c r="AD58" s="12" t="e">
        <f t="shared" si="61"/>
        <v>#DIV/0!</v>
      </c>
      <c r="AE58" s="12">
        <f t="shared" si="62"/>
        <v>-3.7078256751215719E-2</v>
      </c>
      <c r="AF58" s="12"/>
      <c r="AG58"/>
    </row>
    <row r="59" spans="1:35" x14ac:dyDescent="0.2">
      <c r="A59" s="3" t="s">
        <v>212</v>
      </c>
      <c r="B59" s="42">
        <f t="shared" si="54"/>
        <v>7.2456171500243846E-2</v>
      </c>
      <c r="C59" s="42">
        <f t="shared" si="54"/>
        <v>9.3228132365460792E-2</v>
      </c>
      <c r="D59" s="42">
        <f t="shared" si="54"/>
        <v>6.323353267530013E-2</v>
      </c>
      <c r="E59" s="42">
        <f t="shared" si="54"/>
        <v>0.16467529043642998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0.11514545064684439</v>
      </c>
      <c r="O59" s="42">
        <f t="shared" si="55"/>
        <v>0.10212160384197869</v>
      </c>
      <c r="P59" s="42">
        <f t="shared" si="55"/>
        <v>0.10991461271481928</v>
      </c>
      <c r="Q59" s="42">
        <f t="shared" si="55"/>
        <v>0.11006905080902814</v>
      </c>
      <c r="R59" s="42" t="e">
        <f t="shared" si="55"/>
        <v>#DIV/0!</v>
      </c>
      <c r="S59" s="42">
        <f t="shared" si="56"/>
        <v>0.1091296986255151</v>
      </c>
      <c r="T59" s="42"/>
      <c r="Y59" s="3" t="s">
        <v>212</v>
      </c>
      <c r="Z59" s="12">
        <f t="shared" si="57"/>
        <v>4.2689279146600548E-2</v>
      </c>
      <c r="AA59" s="12">
        <f t="shared" si="58"/>
        <v>8.8934714765178946E-3</v>
      </c>
      <c r="AB59" s="12">
        <f t="shared" si="59"/>
        <v>4.6681080039519152E-2</v>
      </c>
      <c r="AC59" s="12">
        <f t="shared" si="60"/>
        <v>-5.460623962740184E-2</v>
      </c>
      <c r="AD59" s="12" t="e">
        <f t="shared" si="61"/>
        <v>#DIV/0!</v>
      </c>
      <c r="AE59" s="12">
        <f t="shared" si="62"/>
        <v>-6.5043833194612391E-2</v>
      </c>
      <c r="AF59" s="12"/>
      <c r="AG59"/>
    </row>
    <row r="60" spans="1:35" x14ac:dyDescent="0.2">
      <c r="A60" s="3" t="s">
        <v>213</v>
      </c>
      <c r="B60" s="42">
        <f t="shared" si="54"/>
        <v>0.4195498171649551</v>
      </c>
      <c r="C60" s="42">
        <f t="shared" si="54"/>
        <v>0.1728094218798005</v>
      </c>
      <c r="D60" s="42">
        <f t="shared" si="54"/>
        <v>0.10157314106965935</v>
      </c>
      <c r="E60" s="42">
        <f t="shared" si="54"/>
        <v>8.9820102956368886E-2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0.1928739904224144</v>
      </c>
      <c r="O60" s="42">
        <f t="shared" si="55"/>
        <v>0.1504340254469714</v>
      </c>
      <c r="P60" s="42">
        <f t="shared" si="55"/>
        <v>0.1083053446115539</v>
      </c>
      <c r="Q60" s="42">
        <f t="shared" si="55"/>
        <v>8.8670848133218558E-2</v>
      </c>
      <c r="R60" s="42" t="e">
        <f t="shared" si="55"/>
        <v>#DIV/0!</v>
      </c>
      <c r="S60" s="42">
        <f t="shared" si="56"/>
        <v>0.10247431970095026</v>
      </c>
      <c r="T60" s="42"/>
      <c r="Y60" s="3" t="s">
        <v>213</v>
      </c>
      <c r="Z60" s="12">
        <f t="shared" si="57"/>
        <v>-0.22667582674254069</v>
      </c>
      <c r="AA60" s="12">
        <f t="shared" si="58"/>
        <v>-2.2375396432829098E-2</v>
      </c>
      <c r="AB60" s="12">
        <f t="shared" si="59"/>
        <v>6.7322035418945492E-3</v>
      </c>
      <c r="AC60" s="12">
        <f t="shared" si="60"/>
        <v>-1.149254823150328E-3</v>
      </c>
      <c r="AD60" s="12" t="e">
        <f t="shared" si="61"/>
        <v>#DIV/0!</v>
      </c>
      <c r="AE60" s="12">
        <f t="shared" si="62"/>
        <v>-3.7599694783725796E-3</v>
      </c>
      <c r="AF60" s="12"/>
      <c r="AG60"/>
    </row>
    <row r="61" spans="1:35" x14ac:dyDescent="0.2">
      <c r="A61" s="3" t="s">
        <v>214</v>
      </c>
      <c r="B61" s="42">
        <f t="shared" si="54"/>
        <v>3.3561833787360176E-2</v>
      </c>
      <c r="C61" s="42">
        <f t="shared" si="54"/>
        <v>0.11044443823570316</v>
      </c>
      <c r="D61" s="42">
        <f t="shared" si="54"/>
        <v>4.8811647031178663E-2</v>
      </c>
      <c r="E61" s="42">
        <f t="shared" si="54"/>
        <v>8.2101845407140703E-2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0.15107926524194124</v>
      </c>
      <c r="O61" s="42">
        <f t="shared" si="55"/>
        <v>0.11049140963333193</v>
      </c>
      <c r="P61" s="42">
        <f t="shared" si="55"/>
        <v>9.2849165142131998E-2</v>
      </c>
      <c r="Q61" s="42">
        <f t="shared" si="55"/>
        <v>7.651546711994113E-2</v>
      </c>
      <c r="R61" s="42" t="e">
        <f t="shared" si="55"/>
        <v>#DIV/0!</v>
      </c>
      <c r="S61" s="42">
        <f t="shared" si="56"/>
        <v>8.5315888765679235E-2</v>
      </c>
      <c r="T61" s="42"/>
      <c r="Y61" s="3" t="s">
        <v>214</v>
      </c>
      <c r="Z61" s="12">
        <f t="shared" si="57"/>
        <v>0.11751743145458106</v>
      </c>
      <c r="AA61" s="12">
        <f t="shared" si="58"/>
        <v>4.6971397628770006E-5</v>
      </c>
      <c r="AB61" s="12">
        <f t="shared" si="59"/>
        <v>4.4037518110953335E-2</v>
      </c>
      <c r="AC61" s="12">
        <f t="shared" si="60"/>
        <v>-5.5863782871995726E-3</v>
      </c>
      <c r="AD61" s="12" t="e">
        <f t="shared" si="61"/>
        <v>#DIV/0!</v>
      </c>
      <c r="AE61" s="12">
        <f t="shared" si="62"/>
        <v>8.34797891679874E-3</v>
      </c>
      <c r="AF61" s="12"/>
      <c r="AG61"/>
    </row>
    <row r="62" spans="1:35" x14ac:dyDescent="0.2">
      <c r="A62" s="3" t="s">
        <v>129</v>
      </c>
      <c r="B62" s="42">
        <f t="shared" si="54"/>
        <v>0</v>
      </c>
      <c r="C62" s="42">
        <f t="shared" si="54"/>
        <v>3.7313066444124701E-2</v>
      </c>
      <c r="D62" s="42">
        <f t="shared" si="54"/>
        <v>6.4394478171828903E-2</v>
      </c>
      <c r="E62" s="42">
        <f t="shared" si="54"/>
        <v>3.4117654983385329E-2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4.5350582517332573E-2</v>
      </c>
      <c r="O62" s="42">
        <f t="shared" si="55"/>
        <v>4.5466227334972513E-2</v>
      </c>
      <c r="P62" s="42">
        <f t="shared" si="55"/>
        <v>4.1364595301097262E-2</v>
      </c>
      <c r="Q62" s="42">
        <f t="shared" si="55"/>
        <v>3.5314328514631017E-2</v>
      </c>
      <c r="R62" s="42" t="e">
        <f t="shared" si="55"/>
        <v>#DIV/0!</v>
      </c>
      <c r="S62" s="42">
        <f t="shared" si="56"/>
        <v>3.7741758953901985E-2</v>
      </c>
      <c r="T62" s="42"/>
      <c r="Y62" s="3" t="s">
        <v>129</v>
      </c>
      <c r="Z62" s="12">
        <f t="shared" si="57"/>
        <v>4.5350582517332573E-2</v>
      </c>
      <c r="AA62" s="12">
        <f t="shared" si="58"/>
        <v>8.1531608908478118E-3</v>
      </c>
      <c r="AB62" s="12">
        <f t="shared" si="59"/>
        <v>-2.3029882870731641E-2</v>
      </c>
      <c r="AC62" s="12">
        <f t="shared" si="60"/>
        <v>1.1966735312456886E-3</v>
      </c>
      <c r="AD62" s="12" t="e">
        <f t="shared" si="61"/>
        <v>#DIV/0!</v>
      </c>
      <c r="AE62" s="12">
        <f t="shared" si="62"/>
        <v>9.4019423487436832E-4</v>
      </c>
      <c r="AF62" s="12"/>
      <c r="AG62"/>
    </row>
    <row r="63" spans="1:35" x14ac:dyDescent="0.2">
      <c r="A63" s="25" t="s">
        <v>130</v>
      </c>
      <c r="B63" s="42">
        <f t="shared" si="54"/>
        <v>0.15845769315137015</v>
      </c>
      <c r="C63" s="42">
        <f t="shared" si="54"/>
        <v>0.22139167139646035</v>
      </c>
      <c r="D63" s="42">
        <f t="shared" si="54"/>
        <v>0.24833141348568288</v>
      </c>
      <c r="E63" s="42">
        <f t="shared" si="54"/>
        <v>0.15306689749593341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0.18365377742834679</v>
      </c>
      <c r="O63" s="56">
        <f t="shared" si="55"/>
        <v>0.18796389706136196</v>
      </c>
      <c r="P63" s="56">
        <f t="shared" si="55"/>
        <v>0.17843660804714115</v>
      </c>
      <c r="Q63" s="56">
        <f t="shared" si="55"/>
        <v>0.176970822150257</v>
      </c>
      <c r="R63" s="56" t="e">
        <f t="shared" si="55"/>
        <v>#DIV/0!</v>
      </c>
      <c r="S63" s="56">
        <f t="shared" si="56"/>
        <v>0.17882550563392741</v>
      </c>
      <c r="T63" s="56"/>
      <c r="Y63" s="25" t="s">
        <v>130</v>
      </c>
      <c r="Z63" s="12">
        <f t="shared" si="57"/>
        <v>2.5196084276976644E-2</v>
      </c>
      <c r="AA63" s="12">
        <f t="shared" si="58"/>
        <v>-3.3427774335098387E-2</v>
      </c>
      <c r="AB63" s="12">
        <f t="shared" si="59"/>
        <v>-6.9894805438541735E-2</v>
      </c>
      <c r="AC63" s="12">
        <f t="shared" si="60"/>
        <v>2.3903924654323588E-2</v>
      </c>
      <c r="AD63" s="12" t="e">
        <f t="shared" si="61"/>
        <v>#DIV/0!</v>
      </c>
      <c r="AE63" s="12">
        <f t="shared" si="62"/>
        <v>6.286459765274037E-2</v>
      </c>
      <c r="AF63" s="12"/>
      <c r="AG63"/>
    </row>
    <row r="64" spans="1:35" x14ac:dyDescent="0.2">
      <c r="A64" s="25" t="s">
        <v>247</v>
      </c>
      <c r="B64" s="42">
        <f t="shared" si="54"/>
        <v>1.5330700562425139E-2</v>
      </c>
      <c r="C64" s="42">
        <f t="shared" si="54"/>
        <v>5.9182382122054185E-2</v>
      </c>
      <c r="D64" s="42">
        <f t="shared" si="54"/>
        <v>2.8219133850215856E-2</v>
      </c>
      <c r="E64" s="42">
        <f t="shared" si="54"/>
        <v>2.7183095794019563E-2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1.431277249660496E-2</v>
      </c>
      <c r="O64" s="56">
        <f t="shared" si="55"/>
        <v>3.0563983751376107E-2</v>
      </c>
      <c r="P64" s="56">
        <f t="shared" si="55"/>
        <v>3.9695279880545872E-2</v>
      </c>
      <c r="Q64" s="56">
        <f t="shared" si="55"/>
        <v>4.417393778314533E-2</v>
      </c>
      <c r="R64" s="56" t="e">
        <f t="shared" si="55"/>
        <v>#DIV/0!</v>
      </c>
      <c r="S64" s="56">
        <f t="shared" si="56"/>
        <v>4.0914121952875394E-2</v>
      </c>
      <c r="T64" s="56"/>
      <c r="Y64" s="25" t="s">
        <v>247</v>
      </c>
      <c r="Z64" s="12">
        <f t="shared" si="57"/>
        <v>-1.0179280658201787E-3</v>
      </c>
      <c r="AA64" s="12">
        <f t="shared" si="58"/>
        <v>-2.8618398370678078E-2</v>
      </c>
      <c r="AB64" s="12">
        <f t="shared" si="59"/>
        <v>1.1476146030330016E-2</v>
      </c>
      <c r="AC64" s="12">
        <f t="shared" si="60"/>
        <v>1.6990841989125767E-2</v>
      </c>
      <c r="AD64" s="12" t="e">
        <f t="shared" si="61"/>
        <v>#DIV/0!</v>
      </c>
      <c r="AE64" s="12">
        <f t="shared" si="62"/>
        <v>1.6597094265299102E-2</v>
      </c>
      <c r="AF64" s="12"/>
      <c r="AG64"/>
    </row>
    <row r="65" spans="1:41" ht="13.5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8221.5560014490002</v>
      </c>
      <c r="C74" s="7">
        <f>output_NHTS!C200</f>
        <v>36557.2315927171</v>
      </c>
      <c r="D74" s="7">
        <f>output_NHTS!D200</f>
        <v>116399.5938207494</v>
      </c>
      <c r="E74" s="7">
        <f>output_NHTS!E200</f>
        <v>45159.086711583601</v>
      </c>
      <c r="F74" s="7">
        <f>output_NHTS!F200</f>
        <v>206337.46812649909</v>
      </c>
      <c r="L74"/>
      <c r="M74" s="3" t="s">
        <v>210</v>
      </c>
      <c r="N74" s="53">
        <f>output!B200</f>
        <v>10170</v>
      </c>
      <c r="O74" s="53">
        <f>output!C200</f>
        <v>153727</v>
      </c>
      <c r="P74" s="53">
        <f>output!D200</f>
        <v>357478</v>
      </c>
      <c r="Q74" s="53">
        <f>output!E200</f>
        <v>113798</v>
      </c>
      <c r="R74" s="53">
        <f>output!F200</f>
        <v>635173</v>
      </c>
      <c r="Y74" s="3" t="s">
        <v>210</v>
      </c>
      <c r="Z74" s="7">
        <f t="shared" ref="Z74:Z82" si="63">N74-B74</f>
        <v>1948.4439985509998</v>
      </c>
      <c r="AA74" s="7">
        <f t="shared" ref="AA74:AA82" si="64">O74-C74</f>
        <v>117169.7684072829</v>
      </c>
      <c r="AB74" s="7">
        <f t="shared" ref="AB74:AB82" si="65">P74-D74</f>
        <v>241078.4061792506</v>
      </c>
      <c r="AC74" s="7">
        <f t="shared" ref="AC74:AC82" si="66">Q74-E74</f>
        <v>68638.913288416399</v>
      </c>
      <c r="AD74" s="7">
        <f t="shared" ref="AD74:AD82" si="67">R74-F74</f>
        <v>428835.53187350091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1754.672093486</v>
      </c>
      <c r="C75" s="7">
        <f>output_NHTS!C201</f>
        <v>11217.392982883101</v>
      </c>
      <c r="D75" s="7">
        <f>output_NHTS!D201</f>
        <v>67987.679970520694</v>
      </c>
      <c r="E75" s="7">
        <f>output_NHTS!E201</f>
        <v>17946.030233589998</v>
      </c>
      <c r="F75" s="7">
        <f>output_NHTS!F201</f>
        <v>98905.775280479778</v>
      </c>
      <c r="L75"/>
      <c r="M75" s="3" t="s">
        <v>211</v>
      </c>
      <c r="N75" s="53">
        <f>output!B201</f>
        <v>4386</v>
      </c>
      <c r="O75" s="53">
        <f>output!C201</f>
        <v>75697</v>
      </c>
      <c r="P75" s="53">
        <f>output!D201</f>
        <v>116598</v>
      </c>
      <c r="Q75" s="53">
        <f>output!E201</f>
        <v>34631</v>
      </c>
      <c r="R75" s="53">
        <f>output!F201</f>
        <v>231312</v>
      </c>
      <c r="Y75" s="3" t="s">
        <v>211</v>
      </c>
      <c r="Z75" s="7">
        <f t="shared" si="63"/>
        <v>2631.327906514</v>
      </c>
      <c r="AA75" s="7">
        <f t="shared" si="64"/>
        <v>64479.607017116898</v>
      </c>
      <c r="AB75" s="7">
        <f t="shared" si="65"/>
        <v>48610.320029479306</v>
      </c>
      <c r="AC75" s="7">
        <f t="shared" si="66"/>
        <v>16684.969766410002</v>
      </c>
      <c r="AD75" s="7">
        <f t="shared" si="67"/>
        <v>132406.22471952022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0</v>
      </c>
      <c r="C76" s="7">
        <f>output_NHTS!C202</f>
        <v>18368.139280289699</v>
      </c>
      <c r="D76" s="7">
        <f>output_NHTS!D202</f>
        <v>64153.235459190102</v>
      </c>
      <c r="E76" s="7">
        <f>output_NHTS!E202</f>
        <v>18451.022498294999</v>
      </c>
      <c r="F76" s="7">
        <f>output_NHTS!F202</f>
        <v>100972.3972377748</v>
      </c>
      <c r="L76"/>
      <c r="M76" s="3" t="s">
        <v>212</v>
      </c>
      <c r="N76" s="53">
        <f>output!B202</f>
        <v>4378</v>
      </c>
      <c r="O76" s="53">
        <f>output!C202</f>
        <v>58502</v>
      </c>
      <c r="P76" s="53">
        <f>output!D202</f>
        <v>116115</v>
      </c>
      <c r="Q76" s="53">
        <f>output!E202</f>
        <v>33247</v>
      </c>
      <c r="R76" s="53">
        <f>output!F202</f>
        <v>212242</v>
      </c>
      <c r="Y76" s="3" t="s">
        <v>212</v>
      </c>
      <c r="Z76" s="7">
        <f t="shared" si="63"/>
        <v>4378</v>
      </c>
      <c r="AA76" s="7">
        <f t="shared" si="64"/>
        <v>40133.860719710297</v>
      </c>
      <c r="AB76" s="7">
        <f t="shared" si="65"/>
        <v>51961.764540809898</v>
      </c>
      <c r="AC76" s="7">
        <f t="shared" si="66"/>
        <v>14795.977501705001</v>
      </c>
      <c r="AD76" s="7">
        <f t="shared" si="67"/>
        <v>111269.6027622252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5950.77534569</v>
      </c>
      <c r="C77" s="7">
        <f>output_NHTS!C203</f>
        <v>13628.118853945</v>
      </c>
      <c r="D77" s="7">
        <f>output_NHTS!D203</f>
        <v>50821.696192719101</v>
      </c>
      <c r="E77" s="7">
        <f>output_NHTS!E203</f>
        <v>9947.5491054539998</v>
      </c>
      <c r="F77" s="7">
        <f>output_NHTS!F203</f>
        <v>80348.139497808108</v>
      </c>
      <c r="L77"/>
      <c r="M77" s="3" t="s">
        <v>213</v>
      </c>
      <c r="N77" s="53">
        <f>output!B203</f>
        <v>7575</v>
      </c>
      <c r="O77" s="53">
        <f>output!C203</f>
        <v>47082</v>
      </c>
      <c r="P77" s="53">
        <f>output!D203</f>
        <v>111528</v>
      </c>
      <c r="Q77" s="53">
        <f>output!E203</f>
        <v>33114</v>
      </c>
      <c r="R77" s="53">
        <f>output!F203</f>
        <v>199299</v>
      </c>
      <c r="Y77" s="3" t="s">
        <v>213</v>
      </c>
      <c r="Z77" s="7">
        <f t="shared" si="63"/>
        <v>1624.22465431</v>
      </c>
      <c r="AA77" s="7">
        <f t="shared" si="64"/>
        <v>33453.881146054999</v>
      </c>
      <c r="AB77" s="7">
        <f t="shared" si="65"/>
        <v>60706.303807280899</v>
      </c>
      <c r="AC77" s="7">
        <f t="shared" si="66"/>
        <v>23166.450894546</v>
      </c>
      <c r="AD77" s="7">
        <f t="shared" si="67"/>
        <v>118950.86050219189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2922.7933804659997</v>
      </c>
      <c r="C78" s="7">
        <f>output_NHTS!C204</f>
        <v>15163.781483364701</v>
      </c>
      <c r="D78" s="7">
        <f>output_NHTS!D204</f>
        <v>31526.312839045298</v>
      </c>
      <c r="E78" s="7">
        <f>output_NHTS!E204</f>
        <v>10592.500408222</v>
      </c>
      <c r="F78" s="7">
        <f>output_NHTS!F204</f>
        <v>60205.388111098</v>
      </c>
      <c r="L78"/>
      <c r="M78" s="3" t="s">
        <v>214</v>
      </c>
      <c r="N78" s="53">
        <f>output!B204</f>
        <v>6827</v>
      </c>
      <c r="O78" s="53">
        <f>output!C204</f>
        <v>40955</v>
      </c>
      <c r="P78" s="53">
        <f>output!D204</f>
        <v>91002</v>
      </c>
      <c r="Q78" s="53">
        <f>output!E204</f>
        <v>27144</v>
      </c>
      <c r="R78" s="53">
        <f>output!F204</f>
        <v>165928</v>
      </c>
      <c r="Y78" s="3" t="s">
        <v>214</v>
      </c>
      <c r="Z78" s="7">
        <f t="shared" si="63"/>
        <v>3904.2066195340003</v>
      </c>
      <c r="AA78" s="7">
        <f t="shared" si="64"/>
        <v>25791.218516635301</v>
      </c>
      <c r="AB78" s="7">
        <f t="shared" si="65"/>
        <v>59475.687160954702</v>
      </c>
      <c r="AC78" s="7">
        <f t="shared" si="66"/>
        <v>16551.499591778</v>
      </c>
      <c r="AD78" s="7">
        <f t="shared" si="67"/>
        <v>105722.611888902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685.39749325299999</v>
      </c>
      <c r="C79" s="7">
        <f>output_NHTS!C205</f>
        <v>4681.4798993040004</v>
      </c>
      <c r="D79" s="7">
        <f>output_NHTS!D205</f>
        <v>14585.558323831799</v>
      </c>
      <c r="E79" s="7">
        <f>output_NHTS!E205</f>
        <v>8709.0056487880011</v>
      </c>
      <c r="F79" s="7">
        <f>output_NHTS!F205</f>
        <v>28661.441365176797</v>
      </c>
      <c r="L79"/>
      <c r="M79" s="3" t="s">
        <v>129</v>
      </c>
      <c r="N79" s="53">
        <f>output!B205</f>
        <v>2201</v>
      </c>
      <c r="O79" s="53">
        <f>output!C205</f>
        <v>20535</v>
      </c>
      <c r="P79" s="53">
        <f>output!D205</f>
        <v>38745</v>
      </c>
      <c r="Q79" s="53">
        <f>output!E205</f>
        <v>11917</v>
      </c>
      <c r="R79" s="53">
        <f>output!F205</f>
        <v>73398</v>
      </c>
      <c r="Y79" s="3" t="s">
        <v>129</v>
      </c>
      <c r="Z79" s="7">
        <f t="shared" si="63"/>
        <v>1515.602506747</v>
      </c>
      <c r="AA79" s="7">
        <f t="shared" si="64"/>
        <v>15853.520100696</v>
      </c>
      <c r="AB79" s="7">
        <f t="shared" si="65"/>
        <v>24159.441676168201</v>
      </c>
      <c r="AC79" s="7">
        <f t="shared" si="66"/>
        <v>3207.9943512119989</v>
      </c>
      <c r="AD79" s="7">
        <f t="shared" si="67"/>
        <v>44736.558634823203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944.02082061900001</v>
      </c>
      <c r="C80" s="7">
        <f>output_NHTS!C206</f>
        <v>26009.101765114301</v>
      </c>
      <c r="D80" s="7">
        <f>output_NHTS!D206</f>
        <v>80276.907738036098</v>
      </c>
      <c r="E80" s="7">
        <f>output_NHTS!E206</f>
        <v>12779.5315036416</v>
      </c>
      <c r="F80" s="7">
        <f>output_NHTS!F206</f>
        <v>120009.561827411</v>
      </c>
      <c r="L80"/>
      <c r="M80" s="25" t="s">
        <v>130</v>
      </c>
      <c r="N80" s="54">
        <f>output!B206</f>
        <v>8018</v>
      </c>
      <c r="O80" s="54">
        <f>output!C206</f>
        <v>80242</v>
      </c>
      <c r="P80" s="54">
        <f>output!D206</f>
        <v>198842</v>
      </c>
      <c r="Q80" s="54">
        <f>output!E206</f>
        <v>60674</v>
      </c>
      <c r="R80" s="54">
        <f>output!F206</f>
        <v>347776</v>
      </c>
      <c r="Y80" s="25" t="s">
        <v>130</v>
      </c>
      <c r="Z80" s="33">
        <f t="shared" si="63"/>
        <v>7073.979179381</v>
      </c>
      <c r="AA80" s="33">
        <f t="shared" si="64"/>
        <v>54232.898234885695</v>
      </c>
      <c r="AB80" s="33">
        <f t="shared" si="65"/>
        <v>118565.0922619639</v>
      </c>
      <c r="AC80" s="33">
        <f t="shared" si="66"/>
        <v>47894.4684963584</v>
      </c>
      <c r="AD80" s="33">
        <f t="shared" si="67"/>
        <v>227766.438172589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2308.9522289440001</v>
      </c>
      <c r="C81" s="9">
        <f>output_NHTS!C207</f>
        <v>3718.1565377930001</v>
      </c>
      <c r="D81" s="9">
        <f>output_NHTS!D207</f>
        <v>15542.0559565569</v>
      </c>
      <c r="E81" s="9">
        <f>output_NHTS!E207</f>
        <v>793.32468118459997</v>
      </c>
      <c r="F81" s="9">
        <f>output_NHTS!F207</f>
        <v>22362.4894044785</v>
      </c>
      <c r="L81"/>
      <c r="M81" s="25" t="s">
        <v>247</v>
      </c>
      <c r="N81" s="59">
        <f>output!B207</f>
        <v>1402</v>
      </c>
      <c r="O81" s="59">
        <f>output!C207</f>
        <v>20417</v>
      </c>
      <c r="P81" s="59">
        <f>output!D207</f>
        <v>43787</v>
      </c>
      <c r="Q81" s="59">
        <f>output!E207</f>
        <v>13950</v>
      </c>
      <c r="R81" s="59">
        <f>output!F207</f>
        <v>79556</v>
      </c>
      <c r="Y81" s="25" t="s">
        <v>247</v>
      </c>
      <c r="Z81" s="9">
        <f t="shared" si="63"/>
        <v>-906.95222894400013</v>
      </c>
      <c r="AA81" s="9">
        <f t="shared" si="64"/>
        <v>16698.843462206998</v>
      </c>
      <c r="AB81" s="9">
        <f t="shared" si="65"/>
        <v>28244.944043443102</v>
      </c>
      <c r="AC81" s="9">
        <f t="shared" si="66"/>
        <v>13156.6753188154</v>
      </c>
      <c r="AD81" s="9">
        <f t="shared" si="67"/>
        <v>57193.510595521497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221</v>
      </c>
      <c r="B82" s="60">
        <f>SUM(B74:B81)</f>
        <v>22788.167363907</v>
      </c>
      <c r="C82" s="60">
        <f>SUM(C74:C81)</f>
        <v>129343.4023954109</v>
      </c>
      <c r="D82" s="60">
        <f>SUM(D74:D81)</f>
        <v>441293.04030064947</v>
      </c>
      <c r="E82" s="60">
        <f>SUM(E74:E81)</f>
        <v>124378.0507907588</v>
      </c>
      <c r="F82" s="60">
        <f>SUM(F74:F81)</f>
        <v>717802.66085072618</v>
      </c>
      <c r="L82"/>
      <c r="M82" s="10" t="s">
        <v>221</v>
      </c>
      <c r="N82" s="60">
        <f>SUM(N74:N81)</f>
        <v>44957</v>
      </c>
      <c r="O82" s="60">
        <f>SUM(O74:O81)</f>
        <v>497157</v>
      </c>
      <c r="P82" s="60">
        <f>SUM(P74:P81)</f>
        <v>1074095</v>
      </c>
      <c r="Q82" s="60">
        <f>SUM(Q74:Q81)</f>
        <v>328475</v>
      </c>
      <c r="R82" s="60">
        <f>SUM(R74:R81)</f>
        <v>1944684</v>
      </c>
      <c r="Y82" s="10" t="s">
        <v>221</v>
      </c>
      <c r="Z82" s="22">
        <f t="shared" si="63"/>
        <v>22168.832636093</v>
      </c>
      <c r="AA82" s="22">
        <f t="shared" si="64"/>
        <v>367813.59760458907</v>
      </c>
      <c r="AB82" s="22">
        <f t="shared" si="65"/>
        <v>632801.95969935053</v>
      </c>
      <c r="AC82" s="22">
        <f t="shared" si="66"/>
        <v>204096.9492092412</v>
      </c>
      <c r="AD82" s="22">
        <f t="shared" si="67"/>
        <v>1226881.3391492739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13603.1626</v>
      </c>
      <c r="C84" s="7">
        <f>output_NHTS!B325</f>
        <v>77411.448999999993</v>
      </c>
      <c r="D84" s="7">
        <f>output_NHTS!B326</f>
        <v>248525.38699999999</v>
      </c>
      <c r="E84" s="7">
        <f>output_NHTS!B327</f>
        <v>76064.547200000001</v>
      </c>
      <c r="F84" s="53">
        <f>SUM(B84:E84)</f>
        <v>415604.54579999996</v>
      </c>
      <c r="L84"/>
      <c r="M84" s="25" t="s">
        <v>88</v>
      </c>
      <c r="N84" s="53">
        <f>output!B324</f>
        <v>26477</v>
      </c>
      <c r="O84" s="53">
        <f>output!B325</f>
        <v>301126</v>
      </c>
      <c r="P84" s="53">
        <f>output!B326</f>
        <v>633787</v>
      </c>
      <c r="Q84" s="53">
        <f>output!B327</f>
        <v>193731</v>
      </c>
      <c r="R84" s="53">
        <f>SUM(N84:Q84)</f>
        <v>1155121</v>
      </c>
      <c r="Y84" s="25" t="s">
        <v>88</v>
      </c>
      <c r="Z84" s="7">
        <f t="shared" ref="Z84:AD85" si="68">N84-B84</f>
        <v>12873.8374</v>
      </c>
      <c r="AA84" s="7">
        <f t="shared" si="68"/>
        <v>223714.55100000001</v>
      </c>
      <c r="AB84" s="7">
        <f t="shared" si="68"/>
        <v>385261.61300000001</v>
      </c>
      <c r="AC84" s="7">
        <f t="shared" si="68"/>
        <v>117666.4528</v>
      </c>
      <c r="AD84" s="7">
        <f t="shared" si="68"/>
        <v>739516.45420000004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1.6752109810042997</v>
      </c>
      <c r="C85" s="37">
        <f>C82/C84</f>
        <v>1.6708562372396738</v>
      </c>
      <c r="D85" s="37">
        <f>D82/D84</f>
        <v>1.7756457222643798</v>
      </c>
      <c r="E85" s="37">
        <f>E82/E84</f>
        <v>1.6351645460233384</v>
      </c>
      <c r="F85" s="37">
        <f>F82/F84</f>
        <v>1.727128993425765</v>
      </c>
      <c r="L85"/>
      <c r="M85" s="25" t="s">
        <v>89</v>
      </c>
      <c r="N85" s="37">
        <f>N82/N84</f>
        <v>1.6979642708766098</v>
      </c>
      <c r="O85" s="37">
        <f>O82/O84</f>
        <v>1.6509932719193958</v>
      </c>
      <c r="P85" s="37">
        <f>P82/P84</f>
        <v>1.6947255150389642</v>
      </c>
      <c r="Q85" s="37">
        <f>Q82/Q84</f>
        <v>1.6955211091668345</v>
      </c>
      <c r="R85" s="37">
        <f>R82/R84</f>
        <v>1.6835327208145294</v>
      </c>
      <c r="Y85" s="25" t="s">
        <v>89</v>
      </c>
      <c r="Z85" s="38">
        <f t="shared" si="68"/>
        <v>2.2753289872310178E-2</v>
      </c>
      <c r="AA85" s="38">
        <f t="shared" si="68"/>
        <v>-1.9862965320277981E-2</v>
      </c>
      <c r="AB85" s="38">
        <f t="shared" si="68"/>
        <v>-8.0920207225415597E-2</v>
      </c>
      <c r="AC85" s="38">
        <f t="shared" si="68"/>
        <v>6.0356563143496134E-2</v>
      </c>
      <c r="AD85" s="38">
        <f t="shared" si="68"/>
        <v>-4.3596272611235554E-2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t="shared" ref="B91:F96" si="69">B74/B$82</f>
        <v>0.36078179829724694</v>
      </c>
      <c r="C91" s="12">
        <f t="shared" si="69"/>
        <v>0.28263700285971566</v>
      </c>
      <c r="D91" s="12">
        <f t="shared" si="69"/>
        <v>0.26376938494531271</v>
      </c>
      <c r="E91" s="12">
        <f t="shared" si="69"/>
        <v>0.36307922840465423</v>
      </c>
      <c r="F91" s="12">
        <f t="shared" si="69"/>
        <v>0.28745709563398919</v>
      </c>
      <c r="L91"/>
      <c r="M91" s="3" t="s">
        <v>210</v>
      </c>
      <c r="N91" s="42">
        <f t="shared" ref="N91:R99" si="70">N74/N$82</f>
        <v>0.22621616211046111</v>
      </c>
      <c r="O91" s="42">
        <f t="shared" si="70"/>
        <v>0.30921218045808468</v>
      </c>
      <c r="P91" s="42">
        <f t="shared" si="70"/>
        <v>0.33281786061754315</v>
      </c>
      <c r="Q91" s="42">
        <f t="shared" si="70"/>
        <v>0.34644341274069562</v>
      </c>
      <c r="R91" s="42">
        <f t="shared" si="70"/>
        <v>0.3266201603962392</v>
      </c>
      <c r="Y91" s="3" t="s">
        <v>210</v>
      </c>
      <c r="Z91" s="12">
        <f t="shared" ref="Z91:Z99" si="71">N91-B91</f>
        <v>-0.13456563618678583</v>
      </c>
      <c r="AA91" s="12">
        <f t="shared" ref="AA91:AA99" si="72">O91-C91</f>
        <v>2.6575177598369026E-2</v>
      </c>
      <c r="AB91" s="12">
        <f t="shared" ref="AB91:AB99" si="73">P91-D91</f>
        <v>6.9048475672230436E-2</v>
      </c>
      <c r="AC91" s="12">
        <f t="shared" ref="AC91:AC99" si="74">Q91-E91</f>
        <v>-1.6635815663958609E-2</v>
      </c>
      <c r="AD91" s="12">
        <f t="shared" ref="AD91:AD99" si="75">R91-F91</f>
        <v>3.9163064762250011E-2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t="shared" si="69"/>
        <v>7.6999263059000275E-2</v>
      </c>
      <c r="C92" s="12">
        <f t="shared" si="69"/>
        <v>8.6725668067636152E-2</v>
      </c>
      <c r="D92" s="12">
        <f t="shared" si="69"/>
        <v>0.15406470023683405</v>
      </c>
      <c r="E92" s="12">
        <f t="shared" si="69"/>
        <v>0.14428615112951565</v>
      </c>
      <c r="F92" s="12">
        <f t="shared" si="69"/>
        <v>0.13778964703649679</v>
      </c>
      <c r="L92"/>
      <c r="M92" s="3" t="s">
        <v>211</v>
      </c>
      <c r="N92" s="42">
        <f t="shared" si="70"/>
        <v>9.755989056209266E-2</v>
      </c>
      <c r="O92" s="42">
        <f t="shared" si="70"/>
        <v>0.1522597489324298</v>
      </c>
      <c r="P92" s="42">
        <f t="shared" si="70"/>
        <v>0.10855464367676974</v>
      </c>
      <c r="Q92" s="42">
        <f t="shared" si="70"/>
        <v>0.10542963695867265</v>
      </c>
      <c r="R92" s="42">
        <f t="shared" si="70"/>
        <v>0.11894580301992509</v>
      </c>
      <c r="Y92" s="3" t="s">
        <v>211</v>
      </c>
      <c r="Z92" s="12">
        <f t="shared" si="71"/>
        <v>2.0560627503092385E-2</v>
      </c>
      <c r="AA92" s="12">
        <f t="shared" si="72"/>
        <v>6.5534080864793648E-2</v>
      </c>
      <c r="AB92" s="12">
        <f t="shared" si="73"/>
        <v>-4.5510056560064308E-2</v>
      </c>
      <c r="AC92" s="12">
        <f t="shared" si="74"/>
        <v>-3.8856514170843001E-2</v>
      </c>
      <c r="AD92" s="12">
        <f t="shared" si="75"/>
        <v>-1.8843844016571701E-2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t="shared" si="69"/>
        <v>0</v>
      </c>
      <c r="C93" s="12">
        <f t="shared" si="69"/>
        <v>0.14201063943050721</v>
      </c>
      <c r="D93" s="12">
        <f t="shared" si="69"/>
        <v>0.1453755885555843</v>
      </c>
      <c r="E93" s="12">
        <f t="shared" si="69"/>
        <v>0.14834629085267748</v>
      </c>
      <c r="F93" s="12">
        <f t="shared" si="69"/>
        <v>0.14066874190477954</v>
      </c>
      <c r="L93"/>
      <c r="M93" s="3" t="s">
        <v>212</v>
      </c>
      <c r="N93" s="42">
        <f t="shared" si="70"/>
        <v>9.738194274528994E-2</v>
      </c>
      <c r="O93" s="42">
        <f t="shared" si="70"/>
        <v>0.11767308918510652</v>
      </c>
      <c r="P93" s="42">
        <f t="shared" si="70"/>
        <v>0.10810496278262165</v>
      </c>
      <c r="Q93" s="42">
        <f t="shared" si="70"/>
        <v>0.10121622650125581</v>
      </c>
      <c r="R93" s="42">
        <f t="shared" si="70"/>
        <v>0.10913958257485534</v>
      </c>
      <c r="Y93" s="3" t="s">
        <v>212</v>
      </c>
      <c r="Z93" s="12">
        <f t="shared" si="71"/>
        <v>9.738194274528994E-2</v>
      </c>
      <c r="AA93" s="12">
        <f t="shared" si="72"/>
        <v>-2.4337550245400685E-2</v>
      </c>
      <c r="AB93" s="12">
        <f t="shared" si="73"/>
        <v>-3.7270625772962654E-2</v>
      </c>
      <c r="AC93" s="12">
        <f t="shared" si="74"/>
        <v>-4.7130064351421669E-2</v>
      </c>
      <c r="AD93" s="12">
        <f t="shared" si="75"/>
        <v>-3.15291593299242E-2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t="shared" si="69"/>
        <v>0.26113444098690997</v>
      </c>
      <c r="C94" s="12">
        <f t="shared" si="69"/>
        <v>0.10536385004225407</v>
      </c>
      <c r="D94" s="12">
        <f t="shared" si="69"/>
        <v>0.1151654151583598</v>
      </c>
      <c r="E94" s="12">
        <f t="shared" si="69"/>
        <v>7.9978332529014803E-2</v>
      </c>
      <c r="F94" s="12">
        <f t="shared" si="69"/>
        <v>0.1119362519534004</v>
      </c>
      <c r="L94"/>
      <c r="M94" s="3" t="s">
        <v>213</v>
      </c>
      <c r="N94" s="42">
        <f t="shared" si="70"/>
        <v>0.16849433903507796</v>
      </c>
      <c r="O94" s="42">
        <f t="shared" si="70"/>
        <v>9.4702478291565848E-2</v>
      </c>
      <c r="P94" s="42">
        <f t="shared" si="70"/>
        <v>0.10383439081273071</v>
      </c>
      <c r="Q94" s="42">
        <f t="shared" si="70"/>
        <v>0.10081132506279017</v>
      </c>
      <c r="R94" s="42">
        <f t="shared" si="70"/>
        <v>0.10248400254231536</v>
      </c>
      <c r="Y94" s="3" t="s">
        <v>213</v>
      </c>
      <c r="Z94" s="12">
        <f t="shared" si="71"/>
        <v>-9.2640101951832005E-2</v>
      </c>
      <c r="AA94" s="12">
        <f t="shared" si="72"/>
        <v>-1.0661371750688223E-2</v>
      </c>
      <c r="AB94" s="12">
        <f t="shared" si="73"/>
        <v>-1.133102434562909E-2</v>
      </c>
      <c r="AC94" s="12">
        <f t="shared" si="74"/>
        <v>2.0832992533775366E-2</v>
      </c>
      <c r="AD94" s="12">
        <f t="shared" si="75"/>
        <v>-9.4522494110850369E-3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t="shared" si="69"/>
        <v>0.12825925550710415</v>
      </c>
      <c r="C95" s="12">
        <f t="shared" si="69"/>
        <v>0.11723660583017655</v>
      </c>
      <c r="D95" s="12">
        <f t="shared" si="69"/>
        <v>7.1440766021523175E-2</v>
      </c>
      <c r="E95" s="12">
        <f t="shared" si="69"/>
        <v>8.5163743448928658E-2</v>
      </c>
      <c r="F95" s="12">
        <f t="shared" si="69"/>
        <v>8.3874568032032248E-2</v>
      </c>
      <c r="L95"/>
      <c r="M95" s="3" t="s">
        <v>214</v>
      </c>
      <c r="N95" s="42">
        <f t="shared" si="70"/>
        <v>0.15185621816402339</v>
      </c>
      <c r="O95" s="42">
        <f t="shared" si="70"/>
        <v>8.2378403602886008E-2</v>
      </c>
      <c r="P95" s="42">
        <f t="shared" si="70"/>
        <v>8.472434933595259E-2</v>
      </c>
      <c r="Q95" s="42">
        <f t="shared" si="70"/>
        <v>8.2636425907603325E-2</v>
      </c>
      <c r="R95" s="42">
        <f t="shared" si="70"/>
        <v>8.5323888096986447E-2</v>
      </c>
      <c r="Y95" s="3" t="s">
        <v>214</v>
      </c>
      <c r="Z95" s="12">
        <f t="shared" si="71"/>
        <v>2.359696265691924E-2</v>
      </c>
      <c r="AA95" s="12">
        <f t="shared" si="72"/>
        <v>-3.4858202227290538E-2</v>
      </c>
      <c r="AB95" s="12">
        <f t="shared" si="73"/>
        <v>1.3283583314429415E-2</v>
      </c>
      <c r="AC95" s="12">
        <f t="shared" si="74"/>
        <v>-2.5273175413253329E-3</v>
      </c>
      <c r="AD95" s="12">
        <f t="shared" si="75"/>
        <v>1.4493200649541987E-3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3.0076902732361254E-2</v>
      </c>
      <c r="C96" s="12">
        <f t="shared" si="69"/>
        <v>3.6194191683565136E-2</v>
      </c>
      <c r="D96" s="12">
        <f t="shared" si="69"/>
        <v>3.3051865748652584E-2</v>
      </c>
      <c r="E96" s="12">
        <f t="shared" si="69"/>
        <v>7.0020438440856106E-2</v>
      </c>
      <c r="F96" s="12">
        <f t="shared" si="69"/>
        <v>3.9929416437670763E-2</v>
      </c>
      <c r="L96"/>
      <c r="M96" s="3" t="s">
        <v>129</v>
      </c>
      <c r="N96" s="42">
        <f t="shared" si="70"/>
        <v>4.8957893097849058E-2</v>
      </c>
      <c r="O96" s="42">
        <f t="shared" si="70"/>
        <v>4.1304859430723088E-2</v>
      </c>
      <c r="P96" s="42">
        <f t="shared" si="70"/>
        <v>3.6072228247966895E-2</v>
      </c>
      <c r="Q96" s="42">
        <f t="shared" si="70"/>
        <v>3.62797777608646E-2</v>
      </c>
      <c r="R96" s="42">
        <f t="shared" si="70"/>
        <v>3.7742892932733543E-2</v>
      </c>
      <c r="Y96" s="3" t="s">
        <v>129</v>
      </c>
      <c r="Z96" s="12">
        <f t="shared" si="71"/>
        <v>1.8880990365487803E-2</v>
      </c>
      <c r="AA96" s="12">
        <f t="shared" si="72"/>
        <v>5.1106677471579529E-3</v>
      </c>
      <c r="AB96" s="12">
        <f t="shared" si="73"/>
        <v>3.0203624993143108E-3</v>
      </c>
      <c r="AC96" s="12">
        <f t="shared" si="74"/>
        <v>-3.3740660679991506E-2</v>
      </c>
      <c r="AD96" s="12">
        <f t="shared" si="75"/>
        <v>-2.1865235049372198E-3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4.142592098538761E-2</v>
      </c>
      <c r="C97" s="34">
        <f t="shared" si="76"/>
        <v>0.20108564707152859</v>
      </c>
      <c r="D97" s="34">
        <f t="shared" si="76"/>
        <v>0.18191292498822115</v>
      </c>
      <c r="E97" s="34">
        <f t="shared" si="76"/>
        <v>0.102747481749337</v>
      </c>
      <c r="F97" s="34">
        <f t="shared" si="76"/>
        <v>0.16719018801794067</v>
      </c>
      <c r="L97"/>
      <c r="M97" s="25" t="s">
        <v>130</v>
      </c>
      <c r="N97" s="56">
        <f t="shared" si="70"/>
        <v>0.17834819939052873</v>
      </c>
      <c r="O97" s="56">
        <f t="shared" si="70"/>
        <v>0.16140173023813403</v>
      </c>
      <c r="P97" s="56">
        <f t="shared" si="70"/>
        <v>0.18512515187204112</v>
      </c>
      <c r="Q97" s="56">
        <f t="shared" si="70"/>
        <v>0.18471420960499277</v>
      </c>
      <c r="R97" s="56">
        <f t="shared" si="70"/>
        <v>0.17883419619845692</v>
      </c>
      <c r="Y97" s="25" t="s">
        <v>130</v>
      </c>
      <c r="Z97" s="12">
        <f t="shared" si="71"/>
        <v>0.13692227840514112</v>
      </c>
      <c r="AA97" s="12">
        <f t="shared" si="72"/>
        <v>-3.9683916833394561E-2</v>
      </c>
      <c r="AB97" s="12">
        <f t="shared" si="73"/>
        <v>3.2122268838199741E-3</v>
      </c>
      <c r="AC97" s="12">
        <f t="shared" si="74"/>
        <v>8.1966727855655772E-2</v>
      </c>
      <c r="AD97" s="12">
        <f t="shared" si="75"/>
        <v>1.1644008180516252E-2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t="shared" si="76"/>
        <v>0.10132241843198984</v>
      </c>
      <c r="C98" s="34">
        <f t="shared" si="76"/>
        <v>2.8746395014616687E-2</v>
      </c>
      <c r="D98" s="34">
        <f t="shared" si="76"/>
        <v>3.5219354345512044E-2</v>
      </c>
      <c r="E98" s="34">
        <f t="shared" si="76"/>
        <v>6.3783334450160352E-3</v>
      </c>
      <c r="F98" s="34">
        <f t="shared" si="76"/>
        <v>3.1154090983690277E-2</v>
      </c>
      <c r="L98"/>
      <c r="M98" s="25" t="s">
        <v>247</v>
      </c>
      <c r="N98" s="56">
        <f t="shared" si="70"/>
        <v>3.1185354894677136E-2</v>
      </c>
      <c r="O98" s="56">
        <f t="shared" si="70"/>
        <v>4.1067509861070044E-2</v>
      </c>
      <c r="P98" s="56">
        <f t="shared" si="70"/>
        <v>4.0766412654374147E-2</v>
      </c>
      <c r="Q98" s="56">
        <f t="shared" si="70"/>
        <v>4.2468985463125046E-2</v>
      </c>
      <c r="R98" s="56">
        <f t="shared" si="70"/>
        <v>4.0909474238488105E-2</v>
      </c>
      <c r="Y98" s="25" t="s">
        <v>247</v>
      </c>
      <c r="Z98" s="12">
        <f t="shared" si="71"/>
        <v>-7.0137063537312708E-2</v>
      </c>
      <c r="AA98" s="12">
        <f t="shared" si="72"/>
        <v>1.2321114846453356E-2</v>
      </c>
      <c r="AB98" s="12">
        <f t="shared" si="73"/>
        <v>5.5470583088621031E-3</v>
      </c>
      <c r="AC98" s="12">
        <f t="shared" si="74"/>
        <v>3.6090652018109008E-2</v>
      </c>
      <c r="AD98" s="12">
        <f t="shared" si="75"/>
        <v>9.7553832547978281E-3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0</v>
      </c>
      <c r="G108" s="7">
        <f>output_NHTS!G211</f>
        <v>0</v>
      </c>
      <c r="H108" s="7">
        <f>output_NHTS!H211</f>
        <v>0</v>
      </c>
      <c r="I108" s="7">
        <f>SUM(B108:H108)</f>
        <v>206337.46812649909</v>
      </c>
      <c r="J108" s="33"/>
      <c r="L108"/>
      <c r="M108" s="3" t="s">
        <v>210</v>
      </c>
      <c r="N108" s="53">
        <f>output!B211</f>
        <v>81614</v>
      </c>
      <c r="O108" s="53">
        <f>output!C211</f>
        <v>8082</v>
      </c>
      <c r="P108" s="53">
        <f>output!D211</f>
        <v>79505</v>
      </c>
      <c r="Q108" s="53">
        <f>output!E211</f>
        <v>60725</v>
      </c>
      <c r="R108" s="53">
        <f>output!F211</f>
        <v>94339</v>
      </c>
      <c r="S108" s="53">
        <f>output!G211</f>
        <v>8729</v>
      </c>
      <c r="T108" s="53">
        <f>output!H211</f>
        <v>302179</v>
      </c>
      <c r="U108" s="53">
        <f>SUM(N108:T108)</f>
        <v>635173</v>
      </c>
      <c r="V108" s="54"/>
      <c r="X108"/>
      <c r="Y108" s="3" t="s">
        <v>210</v>
      </c>
      <c r="Z108" s="7">
        <f t="shared" ref="Z108:Z116" si="79">N108-B108</f>
        <v>2576.3598910811997</v>
      </c>
      <c r="AA108" s="7">
        <f t="shared" ref="AA108:AA116" si="80">O108-C108</f>
        <v>2054.1900326826999</v>
      </c>
      <c r="AB108" s="7">
        <f t="shared" ref="AB108:AB116" si="81">P108-D108</f>
        <v>8604.3444835856062</v>
      </c>
      <c r="AC108" s="7">
        <f t="shared" ref="AC108:AC116" si="82">Q108-E108</f>
        <v>10353.637466151398</v>
      </c>
      <c r="AD108" s="7">
        <f t="shared" ref="AD108:AD116" si="83">R108-F108</f>
        <v>94339</v>
      </c>
      <c r="AE108" s="7">
        <f t="shared" ref="AE108:AF116" si="84">S108-G108</f>
        <v>8729</v>
      </c>
      <c r="AF108" s="7">
        <f t="shared" si="84"/>
        <v>302179</v>
      </c>
      <c r="AG108" s="7">
        <f t="shared" ref="AG108:AG116" si="85">U108-I108</f>
        <v>428835.53187350091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0</v>
      </c>
      <c r="G109" s="7">
        <f>output_NHTS!G212</f>
        <v>0</v>
      </c>
      <c r="H109" s="7">
        <f>output_NHTS!H212</f>
        <v>0</v>
      </c>
      <c r="I109" s="7">
        <f t="shared" ref="I109:I115" si="86">SUM(B109:H109)</f>
        <v>98905.775280479807</v>
      </c>
      <c r="J109" s="33"/>
      <c r="L109"/>
      <c r="M109" s="3" t="s">
        <v>211</v>
      </c>
      <c r="N109" s="53">
        <f>output!B212</f>
        <v>32240</v>
      </c>
      <c r="O109" s="53">
        <f>output!C212</f>
        <v>1457</v>
      </c>
      <c r="P109" s="53">
        <f>output!D212</f>
        <v>25421</v>
      </c>
      <c r="Q109" s="53">
        <f>output!E212</f>
        <v>22162</v>
      </c>
      <c r="R109" s="53">
        <f>output!F212</f>
        <v>28689</v>
      </c>
      <c r="S109" s="53">
        <f>output!G212</f>
        <v>854</v>
      </c>
      <c r="T109" s="53">
        <f>output!H212</f>
        <v>120489</v>
      </c>
      <c r="U109" s="53">
        <f t="shared" ref="U109:U115" si="87">SUM(N109:T109)</f>
        <v>231312</v>
      </c>
      <c r="V109" s="54"/>
      <c r="X109"/>
      <c r="Y109" s="3" t="s">
        <v>211</v>
      </c>
      <c r="Z109" s="7">
        <f t="shared" si="79"/>
        <v>-2373.0011603601015</v>
      </c>
      <c r="AA109" s="7">
        <f t="shared" si="80"/>
        <v>667.54401679429998</v>
      </c>
      <c r="AB109" s="7">
        <f t="shared" si="81"/>
        <v>-2739.2283710580014</v>
      </c>
      <c r="AC109" s="7">
        <f t="shared" si="82"/>
        <v>-13181.089765855999</v>
      </c>
      <c r="AD109" s="7">
        <f t="shared" si="83"/>
        <v>28689</v>
      </c>
      <c r="AE109" s="7">
        <f t="shared" si="84"/>
        <v>854</v>
      </c>
      <c r="AF109" s="7">
        <f t="shared" si="84"/>
        <v>120489</v>
      </c>
      <c r="AG109" s="7">
        <f t="shared" si="85"/>
        <v>132406.22471952019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0</v>
      </c>
      <c r="G110" s="7">
        <f>output_NHTS!G213</f>
        <v>0</v>
      </c>
      <c r="H110" s="7">
        <f>output_NHTS!H213</f>
        <v>0</v>
      </c>
      <c r="I110" s="7">
        <f t="shared" si="86"/>
        <v>100972.3972377748</v>
      </c>
      <c r="J110" s="33"/>
      <c r="L110"/>
      <c r="M110" s="3" t="s">
        <v>212</v>
      </c>
      <c r="N110" s="53">
        <f>output!B213</f>
        <v>29670</v>
      </c>
      <c r="O110" s="53">
        <f>output!C213</f>
        <v>2027</v>
      </c>
      <c r="P110" s="53">
        <f>output!D213</f>
        <v>24333</v>
      </c>
      <c r="Q110" s="53">
        <f>output!E213</f>
        <v>21384</v>
      </c>
      <c r="R110" s="53">
        <f>output!F213</f>
        <v>26672</v>
      </c>
      <c r="S110" s="53">
        <f>output!G213</f>
        <v>1388</v>
      </c>
      <c r="T110" s="53">
        <f>output!H213</f>
        <v>106768</v>
      </c>
      <c r="U110" s="53">
        <f t="shared" si="87"/>
        <v>212242</v>
      </c>
      <c r="V110" s="54"/>
      <c r="X110"/>
      <c r="Y110" s="3" t="s">
        <v>212</v>
      </c>
      <c r="Z110" s="7">
        <f t="shared" si="79"/>
        <v>-4391.9777066292008</v>
      </c>
      <c r="AA110" s="7">
        <f t="shared" si="80"/>
        <v>1564.3290477907001</v>
      </c>
      <c r="AB110" s="7">
        <f t="shared" si="81"/>
        <v>-7543.0289466778995</v>
      </c>
      <c r="AC110" s="7">
        <f t="shared" si="82"/>
        <v>-13187.719632258399</v>
      </c>
      <c r="AD110" s="7">
        <f t="shared" si="83"/>
        <v>26672</v>
      </c>
      <c r="AE110" s="7">
        <f t="shared" si="84"/>
        <v>1388</v>
      </c>
      <c r="AF110" s="7">
        <f t="shared" si="84"/>
        <v>106768</v>
      </c>
      <c r="AG110" s="7">
        <f t="shared" si="85"/>
        <v>111269.6027622252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0</v>
      </c>
      <c r="G111" s="7">
        <f>output_NHTS!G214</f>
        <v>0</v>
      </c>
      <c r="H111" s="7">
        <f>output_NHTS!H214</f>
        <v>0</v>
      </c>
      <c r="I111" s="7">
        <f t="shared" si="86"/>
        <v>80348.139497808093</v>
      </c>
      <c r="J111" s="33"/>
      <c r="L111"/>
      <c r="M111" s="3" t="s">
        <v>213</v>
      </c>
      <c r="N111" s="53">
        <f>output!B214</f>
        <v>28726</v>
      </c>
      <c r="O111" s="53">
        <f>output!C214</f>
        <v>3339</v>
      </c>
      <c r="P111" s="53">
        <f>output!D214</f>
        <v>25444</v>
      </c>
      <c r="Q111" s="53">
        <f>output!E214</f>
        <v>20737</v>
      </c>
      <c r="R111" s="53">
        <f>output!F214</f>
        <v>25036</v>
      </c>
      <c r="S111" s="53">
        <f>output!G214</f>
        <v>1892</v>
      </c>
      <c r="T111" s="53">
        <f>output!H214</f>
        <v>94125</v>
      </c>
      <c r="U111" s="53">
        <f t="shared" si="87"/>
        <v>199299</v>
      </c>
      <c r="V111" s="54"/>
      <c r="X111"/>
      <c r="Y111" s="3" t="s">
        <v>213</v>
      </c>
      <c r="Z111" s="7">
        <f t="shared" si="79"/>
        <v>3792.9230619334012</v>
      </c>
      <c r="AA111" s="7">
        <f t="shared" si="80"/>
        <v>2853.2311587975</v>
      </c>
      <c r="AB111" s="7">
        <f t="shared" si="81"/>
        <v>-4925.7408488779984</v>
      </c>
      <c r="AC111" s="7">
        <f t="shared" si="82"/>
        <v>-3822.5528696610018</v>
      </c>
      <c r="AD111" s="7">
        <f t="shared" si="83"/>
        <v>25036</v>
      </c>
      <c r="AE111" s="7">
        <f t="shared" si="84"/>
        <v>1892</v>
      </c>
      <c r="AF111" s="7">
        <f t="shared" si="84"/>
        <v>94125</v>
      </c>
      <c r="AG111" s="7">
        <f t="shared" si="85"/>
        <v>118950.86050219191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0</v>
      </c>
      <c r="G112" s="7">
        <f>output_NHTS!G215</f>
        <v>0</v>
      </c>
      <c r="H112" s="7">
        <f>output_NHTS!H215</f>
        <v>0</v>
      </c>
      <c r="I112" s="7">
        <f t="shared" si="86"/>
        <v>60205.388111098</v>
      </c>
      <c r="J112" s="33"/>
      <c r="L112"/>
      <c r="M112" s="3" t="s">
        <v>214</v>
      </c>
      <c r="N112" s="53">
        <f>output!B215</f>
        <v>23868</v>
      </c>
      <c r="O112" s="53">
        <f>output!C215</f>
        <v>2936</v>
      </c>
      <c r="P112" s="53">
        <f>output!D215</f>
        <v>21170</v>
      </c>
      <c r="Q112" s="53">
        <f>output!E215</f>
        <v>16844</v>
      </c>
      <c r="R112" s="53">
        <f>output!F215</f>
        <v>20979</v>
      </c>
      <c r="S112" s="53">
        <f>output!G215</f>
        <v>1678</v>
      </c>
      <c r="T112" s="53">
        <f>output!H215</f>
        <v>78453</v>
      </c>
      <c r="U112" s="53">
        <f t="shared" si="87"/>
        <v>165928</v>
      </c>
      <c r="V112" s="54"/>
      <c r="X112"/>
      <c r="Y112" s="3" t="s">
        <v>214</v>
      </c>
      <c r="Z112" s="7">
        <f t="shared" si="79"/>
        <v>5899.0160459779981</v>
      </c>
      <c r="AA112" s="7">
        <f t="shared" si="80"/>
        <v>1328.929007035</v>
      </c>
      <c r="AB112" s="7">
        <f t="shared" si="81"/>
        <v>237.26113353050096</v>
      </c>
      <c r="AC112" s="7">
        <f t="shared" si="82"/>
        <v>-2852.594297641499</v>
      </c>
      <c r="AD112" s="7">
        <f t="shared" si="83"/>
        <v>20979</v>
      </c>
      <c r="AE112" s="7">
        <f t="shared" si="84"/>
        <v>1678</v>
      </c>
      <c r="AF112" s="7">
        <f t="shared" si="84"/>
        <v>78453</v>
      </c>
      <c r="AG112" s="7">
        <f t="shared" si="85"/>
        <v>105722.611888902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0</v>
      </c>
      <c r="G113" s="7">
        <f>output_NHTS!G216</f>
        <v>0</v>
      </c>
      <c r="H113" s="7">
        <f>output_NHTS!H216</f>
        <v>0</v>
      </c>
      <c r="I113" s="7">
        <f t="shared" si="86"/>
        <v>28661.441365176801</v>
      </c>
      <c r="J113" s="33"/>
      <c r="L113"/>
      <c r="M113" s="3" t="s">
        <v>129</v>
      </c>
      <c r="N113" s="53">
        <f>output!B216</f>
        <v>11423</v>
      </c>
      <c r="O113" s="53">
        <f>output!C216</f>
        <v>1494</v>
      </c>
      <c r="P113" s="53">
        <f>output!D216</f>
        <v>9695</v>
      </c>
      <c r="Q113" s="53">
        <f>output!E216</f>
        <v>7553</v>
      </c>
      <c r="R113" s="53">
        <f>output!F216</f>
        <v>10445</v>
      </c>
      <c r="S113" s="53">
        <f>output!G216</f>
        <v>941</v>
      </c>
      <c r="T113" s="53">
        <f>output!H216</f>
        <v>31847</v>
      </c>
      <c r="U113" s="53">
        <f t="shared" si="87"/>
        <v>73398</v>
      </c>
      <c r="V113" s="54"/>
      <c r="X113"/>
      <c r="Y113" s="3" t="s">
        <v>129</v>
      </c>
      <c r="Z113" s="7">
        <f t="shared" si="79"/>
        <v>-516.97213385880059</v>
      </c>
      <c r="AA113" s="7">
        <f t="shared" si="80"/>
        <v>1005.9243707329999</v>
      </c>
      <c r="AB113" s="7">
        <f t="shared" si="81"/>
        <v>5407.867393343</v>
      </c>
      <c r="AC113" s="7">
        <f t="shared" si="82"/>
        <v>-4393.2609953940009</v>
      </c>
      <c r="AD113" s="7">
        <f t="shared" si="83"/>
        <v>10445</v>
      </c>
      <c r="AE113" s="7">
        <f t="shared" si="84"/>
        <v>941</v>
      </c>
      <c r="AF113" s="7">
        <f t="shared" si="84"/>
        <v>31847</v>
      </c>
      <c r="AG113" s="7">
        <f t="shared" si="85"/>
        <v>44736.558634823203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0</v>
      </c>
      <c r="G114" s="7">
        <f>output_NHTS!G217</f>
        <v>0</v>
      </c>
      <c r="H114" s="7">
        <f>output_NHTS!H217</f>
        <v>0</v>
      </c>
      <c r="I114" s="7">
        <f t="shared" si="86"/>
        <v>120009.561827411</v>
      </c>
      <c r="J114" s="33"/>
      <c r="L114"/>
      <c r="M114" s="25" t="s">
        <v>130</v>
      </c>
      <c r="N114" s="54">
        <f>output!B217</f>
        <v>53239</v>
      </c>
      <c r="O114" s="54">
        <f>output!C217</f>
        <v>5391</v>
      </c>
      <c r="P114" s="54">
        <f>output!D217</f>
        <v>44991</v>
      </c>
      <c r="Q114" s="54">
        <f>output!E217</f>
        <v>36939</v>
      </c>
      <c r="R114" s="54">
        <f>output!F217</f>
        <v>48691</v>
      </c>
      <c r="S114" s="54">
        <f>output!G217</f>
        <v>4040</v>
      </c>
      <c r="T114" s="54">
        <f>output!H217</f>
        <v>154485</v>
      </c>
      <c r="U114" s="53">
        <f t="shared" si="87"/>
        <v>347776</v>
      </c>
      <c r="V114" s="54"/>
      <c r="X114"/>
      <c r="Y114" s="25" t="s">
        <v>130</v>
      </c>
      <c r="Z114" s="33">
        <f t="shared" si="79"/>
        <v>7881.4675684562972</v>
      </c>
      <c r="AA114" s="33">
        <f t="shared" si="80"/>
        <v>2838.0338268123</v>
      </c>
      <c r="AB114" s="33">
        <f t="shared" si="81"/>
        <v>12579.289440292399</v>
      </c>
      <c r="AC114" s="33">
        <f t="shared" si="82"/>
        <v>-2748.352662972</v>
      </c>
      <c r="AD114" s="33">
        <f t="shared" si="83"/>
        <v>48691</v>
      </c>
      <c r="AE114" s="33">
        <f t="shared" si="84"/>
        <v>4040</v>
      </c>
      <c r="AF114" s="7">
        <f t="shared" si="84"/>
        <v>154485</v>
      </c>
      <c r="AG114" s="33">
        <f t="shared" si="85"/>
        <v>227766.438172589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0</v>
      </c>
      <c r="G115" s="9">
        <f>output_NHTS!G218</f>
        <v>0</v>
      </c>
      <c r="H115" s="7">
        <f>output_NHTS!H218</f>
        <v>0</v>
      </c>
      <c r="I115" s="7">
        <f t="shared" si="86"/>
        <v>22362.489404478503</v>
      </c>
      <c r="J115" s="33"/>
      <c r="L115"/>
      <c r="M115" s="25" t="s">
        <v>247</v>
      </c>
      <c r="N115" s="59">
        <f>output!B218</f>
        <v>10197</v>
      </c>
      <c r="O115" s="59">
        <f>output!C218</f>
        <v>1089</v>
      </c>
      <c r="P115" s="59">
        <f>output!D218</f>
        <v>10085</v>
      </c>
      <c r="Q115" s="59">
        <f>output!E218</f>
        <v>7309</v>
      </c>
      <c r="R115" s="59">
        <f>output!F218</f>
        <v>13334</v>
      </c>
      <c r="S115" s="59">
        <f>output!G218</f>
        <v>1348</v>
      </c>
      <c r="T115" s="59">
        <f>output!H218</f>
        <v>36194</v>
      </c>
      <c r="U115" s="53">
        <f t="shared" si="87"/>
        <v>79556</v>
      </c>
      <c r="V115" s="54"/>
      <c r="X115"/>
      <c r="Y115" s="25" t="s">
        <v>247</v>
      </c>
      <c r="Z115" s="9">
        <f t="shared" si="79"/>
        <v>5083.0040439934</v>
      </c>
      <c r="AA115" s="9">
        <f t="shared" si="80"/>
        <v>277.00923807770005</v>
      </c>
      <c r="AB115" s="9">
        <f t="shared" si="81"/>
        <v>2084.2171769054994</v>
      </c>
      <c r="AC115" s="9">
        <f t="shared" si="82"/>
        <v>-1126.7198634551005</v>
      </c>
      <c r="AD115" s="9">
        <f t="shared" si="83"/>
        <v>13334</v>
      </c>
      <c r="AE115" s="9">
        <f t="shared" si="84"/>
        <v>1348</v>
      </c>
      <c r="AF115" s="7">
        <f t="shared" si="84"/>
        <v>36194</v>
      </c>
      <c r="AG115" s="9">
        <f t="shared" si="85"/>
        <v>57193.510595521497</v>
      </c>
      <c r="AH115" s="33"/>
    </row>
    <row r="116" spans="1:34" ht="13.5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0</v>
      </c>
      <c r="G116" s="60">
        <f t="shared" si="88"/>
        <v>0</v>
      </c>
      <c r="H116" s="60">
        <f t="shared" si="88"/>
        <v>0</v>
      </c>
      <c r="I116" s="60">
        <f>SUM(I108:I115)</f>
        <v>717802.66085072595</v>
      </c>
      <c r="J116" s="33"/>
      <c r="L116"/>
      <c r="M116" s="10" t="s">
        <v>221</v>
      </c>
      <c r="N116" s="60">
        <f>SUM(N108:N115)</f>
        <v>270977</v>
      </c>
      <c r="O116" s="60">
        <f>SUM(O108:O115)</f>
        <v>25815</v>
      </c>
      <c r="P116" s="60">
        <f>SUM(P108:P115)</f>
        <v>240644</v>
      </c>
      <c r="Q116" s="60">
        <f>SUM(Q108:Q115)</f>
        <v>193653</v>
      </c>
      <c r="R116" s="60">
        <f t="shared" ref="R116:S116" si="89">SUM(R108:R115)</f>
        <v>268185</v>
      </c>
      <c r="S116" s="60">
        <f t="shared" si="89"/>
        <v>20870</v>
      </c>
      <c r="T116" s="60">
        <f t="shared" ref="T116" si="90">SUM(T108:T115)</f>
        <v>924540</v>
      </c>
      <c r="U116" s="60">
        <f>SUM(U108:U115)</f>
        <v>1944684</v>
      </c>
      <c r="V116" s="54"/>
      <c r="X116"/>
      <c r="Y116" s="10" t="s">
        <v>221</v>
      </c>
      <c r="Z116" s="22">
        <f t="shared" si="79"/>
        <v>17950.819610594219</v>
      </c>
      <c r="AA116" s="22">
        <f t="shared" si="80"/>
        <v>12589.190698723201</v>
      </c>
      <c r="AB116" s="22">
        <f t="shared" si="81"/>
        <v>13704.981461043149</v>
      </c>
      <c r="AC116" s="22">
        <f t="shared" si="82"/>
        <v>-30958.652621086629</v>
      </c>
      <c r="AD116" s="22">
        <f t="shared" si="83"/>
        <v>268185</v>
      </c>
      <c r="AE116" s="22">
        <f t="shared" si="84"/>
        <v>20870</v>
      </c>
      <c r="AF116" s="22">
        <f t="shared" si="84"/>
        <v>924540</v>
      </c>
      <c r="AG116" s="22">
        <f t="shared" si="85"/>
        <v>1226881.3391492739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0</v>
      </c>
      <c r="G118" s="7">
        <f>output_NHTS!B336</f>
        <v>0</v>
      </c>
      <c r="H118" s="7">
        <f>output_NHTS!B337</f>
        <v>0</v>
      </c>
      <c r="I118" s="7">
        <f>SUM(B118:H118)</f>
        <v>415604.54580000008</v>
      </c>
      <c r="J118" s="33"/>
      <c r="L118"/>
      <c r="M118" s="25" t="s">
        <v>88</v>
      </c>
      <c r="N118" s="7">
        <f>output!B331</f>
        <v>159549</v>
      </c>
      <c r="O118" s="7">
        <f>output!B332</f>
        <v>14491</v>
      </c>
      <c r="P118" s="7">
        <f>output!B333</f>
        <v>143414</v>
      </c>
      <c r="Q118" s="7">
        <f>output!B334</f>
        <v>114848</v>
      </c>
      <c r="R118" s="7">
        <f>output!B335</f>
        <v>152576</v>
      </c>
      <c r="S118" s="7">
        <f>output!B336</f>
        <v>10929</v>
      </c>
      <c r="T118" s="7">
        <f>output!B337</f>
        <v>559314</v>
      </c>
      <c r="U118" s="7">
        <f>SUM(N118:T118)</f>
        <v>1155121</v>
      </c>
      <c r="V118" s="54"/>
      <c r="Y118" s="25" t="s">
        <v>88</v>
      </c>
      <c r="Z118" s="7">
        <f t="shared" ref="Z118:AB119" si="91">N118-B118</f>
        <v>8152.3520999999892</v>
      </c>
      <c r="AA118" s="7">
        <f t="shared" si="91"/>
        <v>5645.1474999999991</v>
      </c>
      <c r="AB118" s="7">
        <f t="shared" si="91"/>
        <v>11884.084999999992</v>
      </c>
      <c r="AC118" s="7">
        <f t="shared" ref="AC118:AC119" si="92">Q118-E118</f>
        <v>-8984.1303999999946</v>
      </c>
      <c r="AD118" s="7">
        <f t="shared" ref="AD118:AD119" si="93">R118-F118</f>
        <v>152576</v>
      </c>
      <c r="AE118" s="7">
        <f t="shared" ref="AE118:AF119" si="94">S118-G118</f>
        <v>10929</v>
      </c>
      <c r="AF118" s="7">
        <f t="shared" si="94"/>
        <v>559314</v>
      </c>
      <c r="AG118" s="7">
        <f t="shared" ref="AG118:AG119" si="95">U118-I118</f>
        <v>739516.45419999992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 t="e">
        <f t="shared" ref="F119:I119" si="96">F116/F118</f>
        <v>#DIV/0!</v>
      </c>
      <c r="G119" s="37" t="e">
        <f>G116/G118</f>
        <v>#DIV/0!</v>
      </c>
      <c r="H119" s="37" t="e">
        <f>H116/H118</f>
        <v>#DIV/0!</v>
      </c>
      <c r="I119" s="37">
        <f t="shared" si="96"/>
        <v>1.7271289934257639</v>
      </c>
      <c r="J119" s="37"/>
      <c r="L119"/>
      <c r="M119" s="25" t="s">
        <v>89</v>
      </c>
      <c r="N119" s="37">
        <f>N116/N118</f>
        <v>1.6983935969514068</v>
      </c>
      <c r="O119" s="37">
        <f>O116/O118</f>
        <v>1.7814505555172175</v>
      </c>
      <c r="P119" s="37">
        <f>P116/P118</f>
        <v>1.6779672835288046</v>
      </c>
      <c r="Q119" s="37">
        <f>Q116/Q118</f>
        <v>1.6861678044023405</v>
      </c>
      <c r="R119" s="37">
        <f t="shared" ref="R119:U119" si="97">R116/R118</f>
        <v>1.7577141883389262</v>
      </c>
      <c r="S119" s="37">
        <f t="shared" si="97"/>
        <v>1.9095983164058925</v>
      </c>
      <c r="T119" s="37">
        <f t="shared" si="97"/>
        <v>1.6529891974812001</v>
      </c>
      <c r="U119" s="37">
        <f t="shared" si="97"/>
        <v>1.6835327208145294</v>
      </c>
      <c r="V119" s="37"/>
      <c r="Y119" s="25" t="s">
        <v>89</v>
      </c>
      <c r="Z119" s="38">
        <f t="shared" si="91"/>
        <v>2.7113658464698931E-2</v>
      </c>
      <c r="AA119" s="38">
        <f t="shared" si="91"/>
        <v>0.28630813693440738</v>
      </c>
      <c r="AB119" s="38">
        <f t="shared" si="91"/>
        <v>-4.7412213135181069E-2</v>
      </c>
      <c r="AC119" s="38">
        <f t="shared" si="92"/>
        <v>-0.1276720439112653</v>
      </c>
      <c r="AD119" s="38" t="e">
        <f t="shared" si="93"/>
        <v>#DIV/0!</v>
      </c>
      <c r="AE119" s="38" t="e">
        <f t="shared" si="94"/>
        <v>#DIV/0!</v>
      </c>
      <c r="AF119" s="38" t="e">
        <f t="shared" si="94"/>
        <v>#DIV/0!</v>
      </c>
      <c r="AG119" s="38">
        <f t="shared" si="95"/>
        <v>-4.3596272611234443E-2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 t="e">
        <f t="shared" ref="F125:H125" si="102">F108/F$116</f>
        <v>#DIV/0!</v>
      </c>
      <c r="G125" s="12" t="e">
        <f t="shared" si="102"/>
        <v>#DIV/0!</v>
      </c>
      <c r="H125" s="12" t="e">
        <f t="shared" si="102"/>
        <v>#DIV/0!</v>
      </c>
      <c r="I125" s="12">
        <f t="shared" ref="I125:I133" si="103">I108/I$116</f>
        <v>0.28745709563398925</v>
      </c>
      <c r="J125" s="34"/>
      <c r="L125"/>
      <c r="M125" s="3" t="s">
        <v>210</v>
      </c>
      <c r="N125" s="42">
        <f t="shared" ref="N125:Q133" si="104">N108/N$116</f>
        <v>0.30118423334821776</v>
      </c>
      <c r="O125" s="42">
        <f t="shared" si="104"/>
        <v>0.31307379430563625</v>
      </c>
      <c r="P125" s="42">
        <f t="shared" si="104"/>
        <v>0.33038430212263759</v>
      </c>
      <c r="Q125" s="42">
        <f t="shared" si="104"/>
        <v>0.31357634531868861</v>
      </c>
      <c r="R125" s="42">
        <f t="shared" ref="R125:T125" si="105">R108/R$116</f>
        <v>0.35176836884986112</v>
      </c>
      <c r="S125" s="42">
        <f t="shared" si="105"/>
        <v>0.41825586966938189</v>
      </c>
      <c r="T125" s="42">
        <f t="shared" si="105"/>
        <v>0.3268425379107448</v>
      </c>
      <c r="U125" s="42">
        <f>U108/U$116</f>
        <v>0.3266201603962392</v>
      </c>
      <c r="V125" s="56"/>
      <c r="Y125" s="3" t="s">
        <v>210</v>
      </c>
      <c r="Z125" s="12">
        <f t="shared" ref="Z125:Z133" si="106">N125-B125</f>
        <v>-1.1185182288062812E-2</v>
      </c>
      <c r="AA125" s="12">
        <f t="shared" ref="AA125:AA133" si="107">O125-C125</f>
        <v>-0.14268734892628565</v>
      </c>
      <c r="AB125" s="12">
        <f t="shared" ref="AB125:AB133" si="108">P125-D125</f>
        <v>1.7962683430198245E-2</v>
      </c>
      <c r="AC125" s="12">
        <f t="shared" ref="AC125:AC133" si="109">Q125-E125</f>
        <v>8.9316553157221201E-2</v>
      </c>
      <c r="AD125" s="12" t="e">
        <f t="shared" ref="AD125:AD133" si="110">R125-F125</f>
        <v>#DIV/0!</v>
      </c>
      <c r="AE125" s="12" t="e">
        <f t="shared" ref="AE125:AF133" si="111">S125-G125</f>
        <v>#DIV/0!</v>
      </c>
      <c r="AF125" s="12" t="e">
        <f t="shared" si="111"/>
        <v>#DIV/0!</v>
      </c>
      <c r="AG125" s="12">
        <f t="shared" ref="AG125:AG133" si="112">U125-I125</f>
        <v>3.9163064762249955E-2</v>
      </c>
      <c r="AH125" s="34"/>
    </row>
    <row r="126" spans="1:34" x14ac:dyDescent="0.2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 t="e">
        <f t="shared" ref="F126:H126" si="113">F109/F$116</f>
        <v>#DIV/0!</v>
      </c>
      <c r="G126" s="12" t="e">
        <f t="shared" si="113"/>
        <v>#DIV/0!</v>
      </c>
      <c r="H126" s="12" t="e">
        <f t="shared" si="113"/>
        <v>#DIV/0!</v>
      </c>
      <c r="I126" s="12">
        <f t="shared" si="103"/>
        <v>0.13778964703649688</v>
      </c>
      <c r="J126" s="34"/>
      <c r="M126" s="3" t="s">
        <v>211</v>
      </c>
      <c r="N126" s="42">
        <f t="shared" si="104"/>
        <v>0.11897688733730169</v>
      </c>
      <c r="O126" s="42">
        <f t="shared" si="104"/>
        <v>5.6440054232035637E-2</v>
      </c>
      <c r="P126" s="42">
        <f t="shared" si="104"/>
        <v>0.10563737304898523</v>
      </c>
      <c r="Q126" s="42">
        <f t="shared" si="104"/>
        <v>0.11444181086789257</v>
      </c>
      <c r="R126" s="42">
        <f t="shared" ref="R126:T126" si="114">R109/R$116</f>
        <v>0.10697466301247273</v>
      </c>
      <c r="S126" s="42">
        <f t="shared" si="114"/>
        <v>4.0919980833732633E-2</v>
      </c>
      <c r="T126" s="42">
        <f t="shared" si="114"/>
        <v>0.13032318774742033</v>
      </c>
      <c r="U126" s="42">
        <f t="shared" ref="U126:U133" si="115">U109/U$116</f>
        <v>0.11894580301992509</v>
      </c>
      <c r="V126" s="56"/>
      <c r="Y126" s="3" t="s">
        <v>211</v>
      </c>
      <c r="Z126" s="12">
        <f t="shared" si="106"/>
        <v>-1.781923829321963E-2</v>
      </c>
      <c r="AA126" s="12">
        <f t="shared" si="107"/>
        <v>-3.2505072468363774E-3</v>
      </c>
      <c r="AB126" s="12">
        <f t="shared" si="108"/>
        <v>-1.8449831312586276E-2</v>
      </c>
      <c r="AC126" s="12">
        <f t="shared" si="109"/>
        <v>-4.2910175787398058E-2</v>
      </c>
      <c r="AD126" s="12" t="e">
        <f t="shared" si="110"/>
        <v>#DIV/0!</v>
      </c>
      <c r="AE126" s="12" t="e">
        <f t="shared" si="111"/>
        <v>#DIV/0!</v>
      </c>
      <c r="AF126" s="12" t="e">
        <f t="shared" si="111"/>
        <v>#DIV/0!</v>
      </c>
      <c r="AG126" s="12">
        <f t="shared" si="112"/>
        <v>-1.8843844016571784E-2</v>
      </c>
      <c r="AH126" s="34"/>
    </row>
    <row r="127" spans="1:34" x14ac:dyDescent="0.2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 t="e">
        <f t="shared" ref="F127:H127" si="116">F110/F$116</f>
        <v>#DIV/0!</v>
      </c>
      <c r="G127" s="12" t="e">
        <f t="shared" si="116"/>
        <v>#DIV/0!</v>
      </c>
      <c r="H127" s="12" t="e">
        <f t="shared" si="116"/>
        <v>#DIV/0!</v>
      </c>
      <c r="I127" s="12">
        <f t="shared" si="103"/>
        <v>0.14066874190477957</v>
      </c>
      <c r="J127" s="34"/>
      <c r="M127" s="3" t="s">
        <v>212</v>
      </c>
      <c r="N127" s="42">
        <f t="shared" si="104"/>
        <v>0.10949268757126988</v>
      </c>
      <c r="O127" s="42">
        <f t="shared" si="104"/>
        <v>7.8520240170443539E-2</v>
      </c>
      <c r="P127" s="42">
        <f t="shared" si="104"/>
        <v>0.10111617160619006</v>
      </c>
      <c r="Q127" s="42">
        <f t="shared" si="104"/>
        <v>0.11042431565738718</v>
      </c>
      <c r="R127" s="42">
        <f t="shared" ref="R127:T127" si="117">R110/R$116</f>
        <v>9.9453735294666001E-2</v>
      </c>
      <c r="S127" s="42">
        <f t="shared" si="117"/>
        <v>6.6506947771921412E-2</v>
      </c>
      <c r="T127" s="42">
        <f t="shared" si="117"/>
        <v>0.11548229389750579</v>
      </c>
      <c r="U127" s="42">
        <f t="shared" si="115"/>
        <v>0.10913958257485534</v>
      </c>
      <c r="V127" s="56"/>
      <c r="Y127" s="3" t="s">
        <v>212</v>
      </c>
      <c r="Z127" s="12">
        <f t="shared" si="106"/>
        <v>-2.5125705095481135E-2</v>
      </c>
      <c r="AA127" s="12">
        <f t="shared" si="107"/>
        <v>4.3537809857870195E-2</v>
      </c>
      <c r="AB127" s="12">
        <f t="shared" si="108"/>
        <v>-3.9344596894075531E-2</v>
      </c>
      <c r="AC127" s="12">
        <f t="shared" si="109"/>
        <v>-4.3493431836238591E-2</v>
      </c>
      <c r="AD127" s="12" t="e">
        <f t="shared" si="110"/>
        <v>#DIV/0!</v>
      </c>
      <c r="AE127" s="12" t="e">
        <f t="shared" si="111"/>
        <v>#DIV/0!</v>
      </c>
      <c r="AF127" s="12" t="e">
        <f t="shared" si="111"/>
        <v>#DIV/0!</v>
      </c>
      <c r="AG127" s="12">
        <f t="shared" si="112"/>
        <v>-3.1529159329924228E-2</v>
      </c>
      <c r="AH127" s="34"/>
    </row>
    <row r="128" spans="1:34" x14ac:dyDescent="0.2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0.10934229183154739</v>
      </c>
      <c r="F128" s="12" t="e">
        <f t="shared" ref="F128:H128" si="118">F111/F$116</f>
        <v>#DIV/0!</v>
      </c>
      <c r="G128" s="12" t="e">
        <f t="shared" si="118"/>
        <v>#DIV/0!</v>
      </c>
      <c r="H128" s="12" t="e">
        <f t="shared" si="118"/>
        <v>#DIV/0!</v>
      </c>
      <c r="I128" s="12">
        <f t="shared" si="103"/>
        <v>0.11193625195340043</v>
      </c>
      <c r="J128" s="34"/>
      <c r="M128" s="3" t="s">
        <v>213</v>
      </c>
      <c r="N128" s="42">
        <f t="shared" si="104"/>
        <v>0.10600899707355237</v>
      </c>
      <c r="O128" s="42">
        <f t="shared" si="104"/>
        <v>0.12934340499709471</v>
      </c>
      <c r="P128" s="42">
        <f t="shared" si="104"/>
        <v>0.10573294991772078</v>
      </c>
      <c r="Q128" s="42">
        <f t="shared" si="104"/>
        <v>0.1070832881494219</v>
      </c>
      <c r="R128" s="42">
        <f t="shared" ref="R128:T128" si="119">R111/R$116</f>
        <v>9.3353468687659633E-2</v>
      </c>
      <c r="S128" s="42">
        <f t="shared" si="119"/>
        <v>9.0656444657402968E-2</v>
      </c>
      <c r="T128" s="42">
        <f t="shared" si="119"/>
        <v>0.10180738529430852</v>
      </c>
      <c r="U128" s="42">
        <f t="shared" si="115"/>
        <v>0.10248400254231536</v>
      </c>
      <c r="V128" s="56"/>
      <c r="Y128" s="3" t="s">
        <v>213</v>
      </c>
      <c r="Z128" s="12">
        <f t="shared" si="106"/>
        <v>7.4694827051390161E-3</v>
      </c>
      <c r="AA128" s="12">
        <f t="shared" si="107"/>
        <v>9.2614549307665966E-2</v>
      </c>
      <c r="AB128" s="12">
        <f t="shared" si="108"/>
        <v>-2.8090405115713729E-2</v>
      </c>
      <c r="AC128" s="12">
        <f t="shared" si="109"/>
        <v>-2.2590036821254905E-3</v>
      </c>
      <c r="AD128" s="12" t="e">
        <f t="shared" si="110"/>
        <v>#DIV/0!</v>
      </c>
      <c r="AE128" s="12" t="e">
        <f t="shared" si="111"/>
        <v>#DIV/0!</v>
      </c>
      <c r="AF128" s="12" t="e">
        <f t="shared" si="111"/>
        <v>#DIV/0!</v>
      </c>
      <c r="AG128" s="12">
        <f t="shared" si="112"/>
        <v>-9.4522494110850647E-3</v>
      </c>
      <c r="AH128" s="34"/>
    </row>
    <row r="129" spans="1:34" x14ac:dyDescent="0.2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 t="e">
        <f t="shared" ref="F129:H129" si="120">F112/F$116</f>
        <v>#DIV/0!</v>
      </c>
      <c r="G129" s="12" t="e">
        <f t="shared" si="120"/>
        <v>#DIV/0!</v>
      </c>
      <c r="H129" s="12" t="e">
        <f t="shared" si="120"/>
        <v>#DIV/0!</v>
      </c>
      <c r="I129" s="12">
        <f t="shared" si="103"/>
        <v>8.3874568032032276E-2</v>
      </c>
      <c r="J129" s="34"/>
      <c r="M129" s="3" t="s">
        <v>214</v>
      </c>
      <c r="N129" s="42">
        <f t="shared" si="104"/>
        <v>8.8081276270679798E-2</v>
      </c>
      <c r="O129" s="42">
        <f t="shared" si="104"/>
        <v>0.11373232616695719</v>
      </c>
      <c r="P129" s="42">
        <f t="shared" si="104"/>
        <v>8.797227439703463E-2</v>
      </c>
      <c r="Q129" s="42">
        <f t="shared" si="104"/>
        <v>8.6980320470119235E-2</v>
      </c>
      <c r="R129" s="42">
        <f t="shared" ref="R129:T129" si="121">R112/R$116</f>
        <v>7.8225851557693377E-2</v>
      </c>
      <c r="S129" s="42">
        <f t="shared" si="121"/>
        <v>8.0402491614758029E-2</v>
      </c>
      <c r="T129" s="42">
        <f t="shared" si="121"/>
        <v>8.4856252839249788E-2</v>
      </c>
      <c r="U129" s="42">
        <f t="shared" si="115"/>
        <v>8.5323888096986447E-2</v>
      </c>
      <c r="V129" s="56"/>
      <c r="Y129" s="3" t="s">
        <v>214</v>
      </c>
      <c r="Z129" s="12">
        <f t="shared" si="106"/>
        <v>1.706497303135554E-2</v>
      </c>
      <c r="AA129" s="12">
        <f t="shared" si="107"/>
        <v>-7.7778934617089984E-3</v>
      </c>
      <c r="AB129" s="12">
        <f t="shared" si="108"/>
        <v>-4.2672135554354673E-3</v>
      </c>
      <c r="AC129" s="12">
        <f t="shared" si="109"/>
        <v>-7.1145361102821492E-4</v>
      </c>
      <c r="AD129" s="12" t="e">
        <f t="shared" si="110"/>
        <v>#DIV/0!</v>
      </c>
      <c r="AE129" s="12" t="e">
        <f t="shared" si="111"/>
        <v>#DIV/0!</v>
      </c>
      <c r="AF129" s="12" t="e">
        <f t="shared" si="111"/>
        <v>#DIV/0!</v>
      </c>
      <c r="AG129" s="12">
        <f t="shared" si="112"/>
        <v>1.449320064954171E-3</v>
      </c>
      <c r="AH129" s="34"/>
    </row>
    <row r="130" spans="1:34" x14ac:dyDescent="0.2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 t="e">
        <f t="shared" ref="F130:H130" si="122">F113/F$116</f>
        <v>#DIV/0!</v>
      </c>
      <c r="G130" s="12" t="e">
        <f t="shared" si="122"/>
        <v>#DIV/0!</v>
      </c>
      <c r="H130" s="12" t="e">
        <f t="shared" si="122"/>
        <v>#DIV/0!</v>
      </c>
      <c r="I130" s="12">
        <f t="shared" si="103"/>
        <v>3.9929416437670777E-2</v>
      </c>
      <c r="J130" s="34"/>
      <c r="M130" s="3" t="s">
        <v>129</v>
      </c>
      <c r="N130" s="42">
        <f t="shared" si="104"/>
        <v>4.2154869232444082E-2</v>
      </c>
      <c r="O130" s="42">
        <f t="shared" si="104"/>
        <v>5.7873329459616499E-2</v>
      </c>
      <c r="P130" s="42">
        <f t="shared" si="104"/>
        <v>4.0287727930054355E-2</v>
      </c>
      <c r="Q130" s="42">
        <f t="shared" si="104"/>
        <v>3.9002752345690485E-2</v>
      </c>
      <c r="R130" s="42">
        <f t="shared" ref="R130:T130" si="123">R113/R$116</f>
        <v>3.8946995544120663E-2</v>
      </c>
      <c r="S130" s="42">
        <f t="shared" si="123"/>
        <v>4.5088643986583611E-2</v>
      </c>
      <c r="T130" s="42">
        <f t="shared" si="123"/>
        <v>3.4446319250654382E-2</v>
      </c>
      <c r="U130" s="42">
        <f t="shared" si="115"/>
        <v>3.7742892932733543E-2</v>
      </c>
      <c r="V130" s="56"/>
      <c r="Y130" s="3" t="s">
        <v>129</v>
      </c>
      <c r="Z130" s="12">
        <f t="shared" si="106"/>
        <v>-5.0338134385872479E-3</v>
      </c>
      <c r="AA130" s="12">
        <f t="shared" si="107"/>
        <v>2.097005812484215E-2</v>
      </c>
      <c r="AB130" s="12">
        <f t="shared" si="108"/>
        <v>2.1396606278706147E-2</v>
      </c>
      <c r="AC130" s="12">
        <f t="shared" si="109"/>
        <v>-1.4183539887985382E-2</v>
      </c>
      <c r="AD130" s="12" t="e">
        <f t="shared" si="110"/>
        <v>#DIV/0!</v>
      </c>
      <c r="AE130" s="12" t="e">
        <f t="shared" si="111"/>
        <v>#DIV/0!</v>
      </c>
      <c r="AF130" s="12" t="e">
        <f t="shared" si="111"/>
        <v>#DIV/0!</v>
      </c>
      <c r="AG130" s="12">
        <f t="shared" si="112"/>
        <v>-2.1865235049372336E-3</v>
      </c>
      <c r="AH130" s="34"/>
    </row>
    <row r="131" spans="1:34" x14ac:dyDescent="0.2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 t="e">
        <f t="shared" ref="F131:H131" si="125">F114/F$116</f>
        <v>#DIV/0!</v>
      </c>
      <c r="G131" s="34" t="e">
        <f t="shared" si="125"/>
        <v>#DIV/0!</v>
      </c>
      <c r="H131" s="12" t="e">
        <f t="shared" si="125"/>
        <v>#DIV/0!</v>
      </c>
      <c r="I131" s="34">
        <f t="shared" si="103"/>
        <v>0.16719018801794072</v>
      </c>
      <c r="J131" s="34"/>
      <c r="M131" s="25" t="s">
        <v>130</v>
      </c>
      <c r="N131" s="56">
        <f t="shared" si="104"/>
        <v>0.1964705491609989</v>
      </c>
      <c r="O131" s="56">
        <f t="shared" si="104"/>
        <v>0.20883207437536316</v>
      </c>
      <c r="P131" s="56">
        <f t="shared" si="104"/>
        <v>0.18696082179485049</v>
      </c>
      <c r="Q131" s="56">
        <f t="shared" si="104"/>
        <v>0.1907484004895354</v>
      </c>
      <c r="R131" s="56">
        <f t="shared" ref="R131:T131" si="126">R114/R$116</f>
        <v>0.18155750694483286</v>
      </c>
      <c r="S131" s="56">
        <f t="shared" si="126"/>
        <v>0.19357930043124102</v>
      </c>
      <c r="T131" s="42">
        <f t="shared" si="126"/>
        <v>0.1670939061587384</v>
      </c>
      <c r="U131" s="56">
        <f t="shared" si="115"/>
        <v>0.17883419619845692</v>
      </c>
      <c r="V131" s="56"/>
      <c r="Y131" s="25" t="s">
        <v>130</v>
      </c>
      <c r="Z131" s="12">
        <f t="shared" si="106"/>
        <v>1.7210314659815151E-2</v>
      </c>
      <c r="AA131" s="12">
        <f t="shared" si="107"/>
        <v>1.5802966285830916E-2</v>
      </c>
      <c r="AB131" s="12">
        <f t="shared" si="108"/>
        <v>4.4139588282977621E-2</v>
      </c>
      <c r="AC131" s="12">
        <f t="shared" si="109"/>
        <v>1.4055196019313987E-2</v>
      </c>
      <c r="AD131" s="12" t="e">
        <f t="shared" si="110"/>
        <v>#DIV/0!</v>
      </c>
      <c r="AE131" s="12" t="e">
        <f t="shared" si="111"/>
        <v>#DIV/0!</v>
      </c>
      <c r="AF131" s="12" t="e">
        <f t="shared" si="111"/>
        <v>#DIV/0!</v>
      </c>
      <c r="AG131" s="12">
        <f t="shared" si="112"/>
        <v>1.1644008180516197E-2</v>
      </c>
      <c r="AH131" s="34"/>
    </row>
    <row r="132" spans="1:34" x14ac:dyDescent="0.2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 t="e">
        <f t="shared" ref="F132:H132" si="127">F115/F$116</f>
        <v>#DIV/0!</v>
      </c>
      <c r="G132" s="13" t="e">
        <f t="shared" si="127"/>
        <v>#DIV/0!</v>
      </c>
      <c r="H132" s="12" t="e">
        <f t="shared" si="127"/>
        <v>#DIV/0!</v>
      </c>
      <c r="I132" s="13">
        <f t="shared" si="103"/>
        <v>3.1154090983690295E-2</v>
      </c>
      <c r="J132" s="34"/>
      <c r="M132" s="25" t="s">
        <v>247</v>
      </c>
      <c r="N132" s="43">
        <f t="shared" si="104"/>
        <v>3.7630500005535528E-2</v>
      </c>
      <c r="O132" s="43">
        <f t="shared" si="104"/>
        <v>4.2184776292852992E-2</v>
      </c>
      <c r="P132" s="43">
        <f t="shared" si="104"/>
        <v>4.1908379182526885E-2</v>
      </c>
      <c r="Q132" s="43">
        <f t="shared" si="104"/>
        <v>3.7742766701264634E-2</v>
      </c>
      <c r="R132" s="43">
        <f t="shared" ref="R132:T132" si="128">R115/R$116</f>
        <v>4.9719410108693629E-2</v>
      </c>
      <c r="S132" s="43">
        <f t="shared" si="128"/>
        <v>6.4590321034978443E-2</v>
      </c>
      <c r="T132" s="42">
        <f t="shared" si="128"/>
        <v>3.9148116901377983E-2</v>
      </c>
      <c r="U132" s="43">
        <f t="shared" si="115"/>
        <v>4.0909474238488105E-2</v>
      </c>
      <c r="V132" s="56"/>
      <c r="Y132" s="25" t="s">
        <v>247</v>
      </c>
      <c r="Z132" s="12">
        <f t="shared" si="106"/>
        <v>1.741916871904102E-2</v>
      </c>
      <c r="AA132" s="12">
        <f t="shared" si="107"/>
        <v>-1.9209633941378319E-2</v>
      </c>
      <c r="AB132" s="12">
        <f t="shared" si="108"/>
        <v>6.6531688859287758E-3</v>
      </c>
      <c r="AC132" s="12">
        <f t="shared" si="109"/>
        <v>1.8585562824066648E-4</v>
      </c>
      <c r="AD132" s="12" t="e">
        <f t="shared" si="110"/>
        <v>#DIV/0!</v>
      </c>
      <c r="AE132" s="12" t="e">
        <f t="shared" si="111"/>
        <v>#DIV/0!</v>
      </c>
      <c r="AF132" s="12" t="e">
        <f t="shared" si="111"/>
        <v>#DIV/0!</v>
      </c>
      <c r="AG132" s="12">
        <f t="shared" si="112"/>
        <v>9.7553832547978107E-3</v>
      </c>
      <c r="AH132" s="34"/>
    </row>
    <row r="133" spans="1:34" ht="13.5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 t="e">
        <f t="shared" ref="F133:H133" si="129">F116/F$116</f>
        <v>#DIV/0!</v>
      </c>
      <c r="G133" s="17" t="e">
        <f t="shared" si="129"/>
        <v>#DIV/0!</v>
      </c>
      <c r="H133" s="17" t="e">
        <f t="shared" si="129"/>
        <v>#DIV/0!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 t="e">
        <f t="shared" si="110"/>
        <v>#DIV/0!</v>
      </c>
      <c r="AE133" s="14" t="e">
        <f t="shared" si="111"/>
        <v>#DIV/0!</v>
      </c>
      <c r="AF133" s="14" t="e">
        <f t="shared" si="111"/>
        <v>#DIV/0!</v>
      </c>
      <c r="AG133" s="14">
        <f t="shared" si="112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workbookViewId="0">
      <selection activeCell="G33" sqref="G33"/>
    </sheetView>
  </sheetViews>
  <sheetFormatPr defaultColWidth="10.75" defaultRowHeight="12.75" x14ac:dyDescent="0.2"/>
  <cols>
    <col min="1" max="13" width="10.75" style="3" collapsed="1"/>
    <col min="14" max="14" width="11.75" style="3" bestFit="1" customWidth="1" collapsed="1"/>
    <col min="15" max="15" width="12.125" style="3" bestFit="1" customWidth="1" collapsed="1"/>
    <col min="16" max="16" width="11.75" style="3" bestFit="1" customWidth="1" collapsed="1"/>
    <col min="17" max="35" width="10.75" style="3" collapsed="1"/>
    <col min="36" max="36" width="3.875" style="3" customWidth="1" collapsed="1"/>
    <col min="37" max="16384" width="10.75" style="3" collapsed="1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20234.285199999998</v>
      </c>
      <c r="C5" s="7">
        <f>output_NHTS!C222</f>
        <v>1482.4309000000001</v>
      </c>
      <c r="D5" s="7">
        <f>output_NHTS!D222</f>
        <v>1133.1333</v>
      </c>
      <c r="E5" s="7">
        <f>output_NHTS!E222</f>
        <v>924.68979999999999</v>
      </c>
      <c r="F5" s="7">
        <f>output_NHTS!F222</f>
        <v>1531.0436999999999</v>
      </c>
      <c r="G5" s="7">
        <f>output_NHTS!G222</f>
        <v>728.3605</v>
      </c>
      <c r="H5" s="7"/>
      <c r="I5" s="7">
        <f>output_NHTS!H222</f>
        <v>0</v>
      </c>
      <c r="J5" s="7">
        <f>output_NHTS!I222</f>
        <v>0</v>
      </c>
      <c r="K5" s="7">
        <f>output_NHTS!J222</f>
        <v>26033.943399999996</v>
      </c>
      <c r="L5"/>
      <c r="M5" s="3" t="s">
        <v>210</v>
      </c>
      <c r="N5" s="7">
        <f>output!B222</f>
        <v>85458</v>
      </c>
      <c r="O5" s="7">
        <f>output!C222</f>
        <v>11070</v>
      </c>
      <c r="P5" s="7">
        <f>output!D222</f>
        <v>0</v>
      </c>
      <c r="Q5" s="7">
        <f>output!E222</f>
        <v>0</v>
      </c>
      <c r="R5" s="7">
        <f>output!F222</f>
        <v>8141</v>
      </c>
      <c r="S5" s="7">
        <f>output!G222</f>
        <v>110</v>
      </c>
      <c r="T5" s="7"/>
      <c r="U5" s="7">
        <f>output!H222</f>
        <v>149</v>
      </c>
      <c r="V5" s="7">
        <f>output!I222</f>
        <v>0</v>
      </c>
      <c r="W5" s="7">
        <f>output!J222</f>
        <v>104928</v>
      </c>
      <c r="X5"/>
      <c r="Y5" s="3" t="s">
        <v>210</v>
      </c>
      <c r="Z5" s="7">
        <f t="shared" ref="Z5:AE12" si="0">N5-B5</f>
        <v>65223.714800000002</v>
      </c>
      <c r="AA5" s="7">
        <f t="shared" si="0"/>
        <v>9587.5691000000006</v>
      </c>
      <c r="AB5" s="7">
        <f t="shared" si="0"/>
        <v>-1133.1333</v>
      </c>
      <c r="AC5" s="7">
        <f t="shared" si="0"/>
        <v>-924.68979999999999</v>
      </c>
      <c r="AD5" s="7">
        <f t="shared" si="0"/>
        <v>6609.9562999999998</v>
      </c>
      <c r="AE5" s="7">
        <f t="shared" si="0"/>
        <v>-618.3605</v>
      </c>
      <c r="AF5" s="7"/>
      <c r="AG5" s="7">
        <f t="shared" ref="AG5:AG12" si="1">U5-I5</f>
        <v>149</v>
      </c>
      <c r="AH5" s="7">
        <f t="shared" ref="AH5:AH12" si="2">V5-J5</f>
        <v>0</v>
      </c>
      <c r="AI5" s="7">
        <f t="shared" ref="AI5:AI12" si="3">W5-K5</f>
        <v>78894.056600000011</v>
      </c>
      <c r="AK5" s="3">
        <v>318360</v>
      </c>
      <c r="AL5" s="7">
        <f>W5-AK5</f>
        <v>-213432</v>
      </c>
    </row>
    <row r="6" spans="1:38" x14ac:dyDescent="0.2">
      <c r="A6" s="3" t="s">
        <v>211</v>
      </c>
      <c r="B6" s="7">
        <f>output_NHTS!B223</f>
        <v>764.64599999999996</v>
      </c>
      <c r="C6" s="7">
        <f>output_NHTS!C223</f>
        <v>380.9837</v>
      </c>
      <c r="D6" s="7">
        <f>output_NHTS!D223</f>
        <v>0</v>
      </c>
      <c r="E6" s="7">
        <f>output_NHTS!E223</f>
        <v>0</v>
      </c>
      <c r="F6" s="7">
        <f>output_NHTS!F223</f>
        <v>182.41579999999999</v>
      </c>
      <c r="G6" s="7">
        <f>output_NHTS!G223</f>
        <v>0</v>
      </c>
      <c r="H6" s="7"/>
      <c r="I6" s="7">
        <f>output_NHTS!H223</f>
        <v>3038.6329999999998</v>
      </c>
      <c r="J6" s="7">
        <f>output_NHTS!I223</f>
        <v>0</v>
      </c>
      <c r="K6" s="7">
        <f>output_NHTS!J223</f>
        <v>4366.6785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7573</v>
      </c>
      <c r="S6" s="7">
        <f>output!G223</f>
        <v>4495</v>
      </c>
      <c r="T6" s="7"/>
      <c r="U6" s="7">
        <f>output!H223</f>
        <v>20787</v>
      </c>
      <c r="V6" s="7">
        <f>output!I223</f>
        <v>0</v>
      </c>
      <c r="W6" s="7">
        <f>output!J223</f>
        <v>32855</v>
      </c>
      <c r="X6"/>
      <c r="Y6" s="3" t="s">
        <v>211</v>
      </c>
      <c r="Z6" s="7">
        <f t="shared" si="0"/>
        <v>-764.64599999999996</v>
      </c>
      <c r="AA6" s="7">
        <f t="shared" si="0"/>
        <v>-380.9837</v>
      </c>
      <c r="AB6" s="7">
        <f t="shared" si="0"/>
        <v>0</v>
      </c>
      <c r="AC6" s="7">
        <f t="shared" si="0"/>
        <v>0</v>
      </c>
      <c r="AD6" s="7">
        <f t="shared" si="0"/>
        <v>7390.5842000000002</v>
      </c>
      <c r="AE6" s="7">
        <f t="shared" si="0"/>
        <v>4495</v>
      </c>
      <c r="AF6" s="7"/>
      <c r="AG6" s="7">
        <f t="shared" si="1"/>
        <v>17748.366999999998</v>
      </c>
      <c r="AH6" s="7">
        <f t="shared" si="2"/>
        <v>0</v>
      </c>
      <c r="AI6" s="7">
        <f t="shared" si="3"/>
        <v>28488.321499999998</v>
      </c>
      <c r="AK6" s="3">
        <v>19520</v>
      </c>
      <c r="AL6" s="7">
        <f t="shared" ref="AL6:AL12" si="4">W6-AK6</f>
        <v>13335</v>
      </c>
    </row>
    <row r="7" spans="1:38" x14ac:dyDescent="0.2">
      <c r="A7" s="3" t="s">
        <v>212</v>
      </c>
      <c r="B7" s="7">
        <f>output_NHTS!B224</f>
        <v>42576.642500000002</v>
      </c>
      <c r="C7" s="7">
        <f>output_NHTS!C224</f>
        <v>5247.2844999999998</v>
      </c>
      <c r="D7" s="7">
        <f>output_NHTS!D224</f>
        <v>2046.1207999999999</v>
      </c>
      <c r="E7" s="7">
        <f>output_NHTS!E224</f>
        <v>8784.5867999999991</v>
      </c>
      <c r="F7" s="7">
        <f>output_NHTS!F224</f>
        <v>1591.6532</v>
      </c>
      <c r="G7" s="7">
        <f>output_NHTS!G224</f>
        <v>101.9641</v>
      </c>
      <c r="H7" s="7"/>
      <c r="I7" s="7">
        <f>output_NHTS!H224</f>
        <v>6629.1468999999997</v>
      </c>
      <c r="J7" s="7">
        <f>output_NHTS!I224</f>
        <v>1637.2401</v>
      </c>
      <c r="K7" s="7">
        <f>output_NHTS!J224</f>
        <v>68614.638899999991</v>
      </c>
      <c r="L7"/>
      <c r="M7" s="3" t="s">
        <v>212</v>
      </c>
      <c r="N7" s="7">
        <f>output!B224</f>
        <v>144626</v>
      </c>
      <c r="O7" s="7">
        <f>output!C224</f>
        <v>15314</v>
      </c>
      <c r="P7" s="7">
        <f>output!D224</f>
        <v>3565</v>
      </c>
      <c r="Q7" s="7">
        <f>output!E224</f>
        <v>9474</v>
      </c>
      <c r="R7" s="7">
        <f>output!F224</f>
        <v>13658</v>
      </c>
      <c r="S7" s="7">
        <f>output!G224</f>
        <v>2274</v>
      </c>
      <c r="T7" s="7"/>
      <c r="U7" s="7">
        <f>output!H224</f>
        <v>9211</v>
      </c>
      <c r="V7" s="7">
        <f>output!I224</f>
        <v>6565</v>
      </c>
      <c r="W7" s="7">
        <f>output!J224</f>
        <v>204687</v>
      </c>
      <c r="X7"/>
      <c r="Y7" s="3" t="s">
        <v>212</v>
      </c>
      <c r="Z7" s="7">
        <f t="shared" si="0"/>
        <v>102049.3575</v>
      </c>
      <c r="AA7" s="7">
        <f t="shared" si="0"/>
        <v>10066.7155</v>
      </c>
      <c r="AB7" s="7">
        <f t="shared" si="0"/>
        <v>1518.8792000000001</v>
      </c>
      <c r="AC7" s="7">
        <f t="shared" si="0"/>
        <v>689.41320000000087</v>
      </c>
      <c r="AD7" s="7">
        <f t="shared" si="0"/>
        <v>12066.346799999999</v>
      </c>
      <c r="AE7" s="7">
        <f t="shared" si="0"/>
        <v>2172.0358999999999</v>
      </c>
      <c r="AF7" s="7"/>
      <c r="AG7" s="7">
        <f t="shared" si="1"/>
        <v>2581.8531000000003</v>
      </c>
      <c r="AH7" s="7">
        <f t="shared" si="2"/>
        <v>4927.7599</v>
      </c>
      <c r="AI7" s="7">
        <f t="shared" si="3"/>
        <v>136072.36110000001</v>
      </c>
      <c r="AK7" s="3">
        <v>946110</v>
      </c>
      <c r="AL7" s="7">
        <f t="shared" si="4"/>
        <v>-741423</v>
      </c>
    </row>
    <row r="8" spans="1:38" x14ac:dyDescent="0.2">
      <c r="A8" s="3" t="s">
        <v>213</v>
      </c>
      <c r="B8" s="7">
        <f>output_NHTS!B225</f>
        <v>27161.6459</v>
      </c>
      <c r="C8" s="7">
        <f>output_NHTS!C225</f>
        <v>9158.2234000000008</v>
      </c>
      <c r="D8" s="7">
        <f>output_NHTS!D225</f>
        <v>10233.160400000001</v>
      </c>
      <c r="E8" s="7">
        <f>output_NHTS!E225</f>
        <v>13140.4555</v>
      </c>
      <c r="F8" s="7">
        <f>output_NHTS!F225</f>
        <v>1371.4322999999999</v>
      </c>
      <c r="G8" s="7">
        <f>output_NHTS!G225</f>
        <v>1090.5309999999999</v>
      </c>
      <c r="H8" s="7"/>
      <c r="I8" s="7">
        <f>output_NHTS!H225</f>
        <v>6943.0631999999996</v>
      </c>
      <c r="J8" s="7">
        <f>output_NHTS!I225</f>
        <v>4890.7901000000002</v>
      </c>
      <c r="K8" s="7">
        <f>output_NHTS!J225</f>
        <v>73989.301800000001</v>
      </c>
      <c r="L8"/>
      <c r="M8" s="3" t="s">
        <v>213</v>
      </c>
      <c r="N8" s="7">
        <f>output!B225</f>
        <v>169956</v>
      </c>
      <c r="O8" s="7">
        <f>output!C225</f>
        <v>35823</v>
      </c>
      <c r="P8" s="7">
        <f>output!D225</f>
        <v>33104</v>
      </c>
      <c r="Q8" s="7">
        <f>output!E225</f>
        <v>36980</v>
      </c>
      <c r="R8" s="7">
        <f>output!F225</f>
        <v>18480</v>
      </c>
      <c r="S8" s="7">
        <f>output!G225</f>
        <v>3318</v>
      </c>
      <c r="T8" s="7"/>
      <c r="U8" s="7">
        <f>output!H225</f>
        <v>33625</v>
      </c>
      <c r="V8" s="7">
        <f>output!I225</f>
        <v>30388</v>
      </c>
      <c r="W8" s="7">
        <f>output!J225</f>
        <v>361674</v>
      </c>
      <c r="X8"/>
      <c r="Y8" s="3" t="s">
        <v>213</v>
      </c>
      <c r="Z8" s="7">
        <f t="shared" si="0"/>
        <v>142794.3541</v>
      </c>
      <c r="AA8" s="7">
        <f t="shared" si="0"/>
        <v>26664.776599999997</v>
      </c>
      <c r="AB8" s="7">
        <f t="shared" si="0"/>
        <v>22870.839599999999</v>
      </c>
      <c r="AC8" s="7">
        <f t="shared" si="0"/>
        <v>23839.5445</v>
      </c>
      <c r="AD8" s="7">
        <f t="shared" si="0"/>
        <v>17108.5677</v>
      </c>
      <c r="AE8" s="7">
        <f t="shared" si="0"/>
        <v>2227.4690000000001</v>
      </c>
      <c r="AF8" s="7"/>
      <c r="AG8" s="7">
        <f t="shared" si="1"/>
        <v>26681.936799999999</v>
      </c>
      <c r="AH8" s="7">
        <f t="shared" si="2"/>
        <v>25497.209900000002</v>
      </c>
      <c r="AI8" s="7">
        <f t="shared" si="3"/>
        <v>287684.69819999998</v>
      </c>
      <c r="AK8" s="3">
        <v>895490</v>
      </c>
      <c r="AL8" s="7">
        <f t="shared" si="4"/>
        <v>-533816</v>
      </c>
    </row>
    <row r="9" spans="1:38" x14ac:dyDescent="0.2">
      <c r="A9" s="3" t="s">
        <v>214</v>
      </c>
      <c r="B9" s="7">
        <f>output_NHTS!B226</f>
        <v>48752.9565</v>
      </c>
      <c r="C9" s="7">
        <f>output_NHTS!C226</f>
        <v>12791.7323</v>
      </c>
      <c r="D9" s="7">
        <f>output_NHTS!D226</f>
        <v>16304.8802</v>
      </c>
      <c r="E9" s="7">
        <f>output_NHTS!E226</f>
        <v>16467.9712</v>
      </c>
      <c r="F9" s="7">
        <f>output_NHTS!F226</f>
        <v>2915.9573999999998</v>
      </c>
      <c r="G9" s="7">
        <f>output_NHTS!G226</f>
        <v>626.66150000000005</v>
      </c>
      <c r="H9" s="7"/>
      <c r="I9" s="7">
        <f>output_NHTS!H226</f>
        <v>5635.0138999999999</v>
      </c>
      <c r="J9" s="7">
        <f>output_NHTS!I226</f>
        <v>4588.4040000000005</v>
      </c>
      <c r="K9" s="7">
        <f>output_NHTS!J226</f>
        <v>108083.577</v>
      </c>
      <c r="L9"/>
      <c r="M9" s="3" t="s">
        <v>214</v>
      </c>
      <c r="N9" s="7">
        <f>output!B226</f>
        <v>272370</v>
      </c>
      <c r="O9" s="7">
        <f>output!C226</f>
        <v>42110</v>
      </c>
      <c r="P9" s="7">
        <f>output!D226</f>
        <v>39835</v>
      </c>
      <c r="Q9" s="7">
        <f>output!E226</f>
        <v>56216</v>
      </c>
      <c r="R9" s="7">
        <f>output!F226</f>
        <v>30588</v>
      </c>
      <c r="S9" s="7">
        <f>output!G226</f>
        <v>1677</v>
      </c>
      <c r="T9" s="7"/>
      <c r="U9" s="7">
        <f>output!H226</f>
        <v>7903</v>
      </c>
      <c r="V9" s="7">
        <f>output!I226</f>
        <v>33191</v>
      </c>
      <c r="W9" s="7">
        <f>output!J226</f>
        <v>483890</v>
      </c>
      <c r="X9"/>
      <c r="Y9" s="3" t="s">
        <v>214</v>
      </c>
      <c r="Z9" s="7">
        <f t="shared" si="0"/>
        <v>223617.0435</v>
      </c>
      <c r="AA9" s="7">
        <f t="shared" si="0"/>
        <v>29318.2677</v>
      </c>
      <c r="AB9" s="7">
        <f t="shared" si="0"/>
        <v>23530.1198</v>
      </c>
      <c r="AC9" s="7">
        <f t="shared" si="0"/>
        <v>39748.0288</v>
      </c>
      <c r="AD9" s="7">
        <f t="shared" si="0"/>
        <v>27672.042600000001</v>
      </c>
      <c r="AE9" s="7">
        <f t="shared" si="0"/>
        <v>1050.3384999999998</v>
      </c>
      <c r="AF9" s="7"/>
      <c r="AG9" s="7">
        <f t="shared" si="1"/>
        <v>2267.9861000000001</v>
      </c>
      <c r="AH9" s="7">
        <f t="shared" si="2"/>
        <v>28602.595999999998</v>
      </c>
      <c r="AI9" s="7">
        <f t="shared" si="3"/>
        <v>375806.42300000001</v>
      </c>
      <c r="AK9" s="3">
        <v>935110</v>
      </c>
      <c r="AL9" s="7">
        <f t="shared" si="4"/>
        <v>-451220</v>
      </c>
    </row>
    <row r="10" spans="1:38" x14ac:dyDescent="0.2">
      <c r="A10" s="3" t="s">
        <v>129</v>
      </c>
      <c r="B10" s="7">
        <f>output_NHTS!B227</f>
        <v>21204.690399999999</v>
      </c>
      <c r="C10" s="7">
        <f>output_NHTS!C227</f>
        <v>7943.4664000000002</v>
      </c>
      <c r="D10" s="7">
        <f>output_NHTS!D227</f>
        <v>5719.7995000000001</v>
      </c>
      <c r="E10" s="7">
        <f>output_NHTS!E227</f>
        <v>11166.936</v>
      </c>
      <c r="F10" s="7">
        <f>output_NHTS!F227</f>
        <v>713.74479999999994</v>
      </c>
      <c r="G10" s="7">
        <f>output_NHTS!G227</f>
        <v>2269.8791999999999</v>
      </c>
      <c r="H10" s="7"/>
      <c r="I10" s="7">
        <f>output_NHTS!H227</f>
        <v>2043.6931</v>
      </c>
      <c r="J10" s="7">
        <f>output_NHTS!I227</f>
        <v>787.41840000000002</v>
      </c>
      <c r="K10" s="7">
        <f>output_NHTS!J227</f>
        <v>51849.627800000002</v>
      </c>
      <c r="L10"/>
      <c r="M10" s="3" t="s">
        <v>129</v>
      </c>
      <c r="N10" s="7">
        <f>output!B227</f>
        <v>141952</v>
      </c>
      <c r="O10" s="7">
        <f>output!C227</f>
        <v>19244</v>
      </c>
      <c r="P10" s="7">
        <f>output!D227</f>
        <v>13865</v>
      </c>
      <c r="Q10" s="7">
        <f>output!E227</f>
        <v>20305</v>
      </c>
      <c r="R10" s="7">
        <f>output!F227</f>
        <v>21018</v>
      </c>
      <c r="S10" s="7">
        <f>output!G227</f>
        <v>8894</v>
      </c>
      <c r="T10" s="7"/>
      <c r="U10" s="7">
        <f>output!H227</f>
        <v>24139</v>
      </c>
      <c r="V10" s="7">
        <f>output!I227</f>
        <v>8751</v>
      </c>
      <c r="W10" s="7">
        <f>output!J227</f>
        <v>258168</v>
      </c>
      <c r="X10"/>
      <c r="Y10" s="3" t="s">
        <v>129</v>
      </c>
      <c r="Z10" s="7">
        <f t="shared" si="0"/>
        <v>120747.30960000001</v>
      </c>
      <c r="AA10" s="7">
        <f t="shared" si="0"/>
        <v>11300.533599999999</v>
      </c>
      <c r="AB10" s="7">
        <f t="shared" si="0"/>
        <v>8145.2004999999999</v>
      </c>
      <c r="AC10" s="7">
        <f t="shared" si="0"/>
        <v>9138.0640000000003</v>
      </c>
      <c r="AD10" s="7">
        <f t="shared" si="0"/>
        <v>20304.2552</v>
      </c>
      <c r="AE10" s="7">
        <f t="shared" si="0"/>
        <v>6624.1208000000006</v>
      </c>
      <c r="AF10" s="7"/>
      <c r="AG10" s="7">
        <f t="shared" si="1"/>
        <v>22095.3069</v>
      </c>
      <c r="AH10" s="7">
        <f t="shared" si="2"/>
        <v>7963.5815999999995</v>
      </c>
      <c r="AI10" s="7">
        <f t="shared" si="3"/>
        <v>206318.37219999998</v>
      </c>
      <c r="AK10" s="3">
        <v>426400</v>
      </c>
      <c r="AL10" s="7">
        <f t="shared" si="4"/>
        <v>-168232</v>
      </c>
    </row>
    <row r="11" spans="1:38" x14ac:dyDescent="0.2">
      <c r="A11" s="3" t="s">
        <v>130</v>
      </c>
      <c r="B11" s="7">
        <f>output_NHTS!B228</f>
        <v>21233.434600000001</v>
      </c>
      <c r="C11" s="7">
        <f>output_NHTS!C228</f>
        <v>4199.1689999999999</v>
      </c>
      <c r="D11" s="7">
        <f>output_NHTS!D228</f>
        <v>6355.3389999999999</v>
      </c>
      <c r="E11" s="7">
        <f>output_NHTS!E228</f>
        <v>19010.783599999999</v>
      </c>
      <c r="F11" s="7">
        <f>output_NHTS!F228</f>
        <v>723.05250000000001</v>
      </c>
      <c r="G11" s="7">
        <f>output_NHTS!G228</f>
        <v>2532.6698999999999</v>
      </c>
      <c r="H11" s="7"/>
      <c r="I11" s="7">
        <f>output_NHTS!H228</f>
        <v>6070.1917999999996</v>
      </c>
      <c r="J11" s="7">
        <f>output_NHTS!I228</f>
        <v>1676.1309000000001</v>
      </c>
      <c r="K11" s="7">
        <f>output_NHTS!J228</f>
        <v>61800.771300000008</v>
      </c>
      <c r="L11"/>
      <c r="M11" s="3" t="s">
        <v>130</v>
      </c>
      <c r="N11" s="7">
        <f>output!B228</f>
        <v>119558</v>
      </c>
      <c r="O11" s="7">
        <f>output!C228</f>
        <v>25472</v>
      </c>
      <c r="P11" s="7">
        <f>output!D228</f>
        <v>15181</v>
      </c>
      <c r="Q11" s="7">
        <f>output!E228</f>
        <v>21327</v>
      </c>
      <c r="R11" s="7">
        <f>output!F228</f>
        <v>18233</v>
      </c>
      <c r="S11" s="7">
        <f>output!G228</f>
        <v>5851</v>
      </c>
      <c r="T11" s="7"/>
      <c r="U11" s="7">
        <f>output!H228</f>
        <v>48734</v>
      </c>
      <c r="V11" s="7">
        <f>output!I228</f>
        <v>20251</v>
      </c>
      <c r="W11" s="7">
        <f>output!J228</f>
        <v>274607</v>
      </c>
      <c r="X11"/>
      <c r="Y11" s="3" t="s">
        <v>130</v>
      </c>
      <c r="Z11" s="7">
        <f t="shared" si="0"/>
        <v>98324.565399999992</v>
      </c>
      <c r="AA11" s="7">
        <f t="shared" si="0"/>
        <v>21272.830999999998</v>
      </c>
      <c r="AB11" s="7">
        <f t="shared" si="0"/>
        <v>8825.6610000000001</v>
      </c>
      <c r="AC11" s="7">
        <f t="shared" si="0"/>
        <v>2316.2164000000012</v>
      </c>
      <c r="AD11" s="7">
        <f t="shared" si="0"/>
        <v>17509.947499999998</v>
      </c>
      <c r="AE11" s="7">
        <f t="shared" si="0"/>
        <v>3318.3301000000001</v>
      </c>
      <c r="AF11" s="7"/>
      <c r="AG11" s="7">
        <f t="shared" si="1"/>
        <v>42663.808199999999</v>
      </c>
      <c r="AH11" s="7">
        <f t="shared" si="2"/>
        <v>18574.8691</v>
      </c>
      <c r="AI11" s="7">
        <f t="shared" si="3"/>
        <v>212806.22869999998</v>
      </c>
      <c r="AK11" s="3">
        <v>481730</v>
      </c>
      <c r="AL11" s="7">
        <f t="shared" si="4"/>
        <v>-207123</v>
      </c>
    </row>
    <row r="12" spans="1:38" ht="13.5" thickBot="1" x14ac:dyDescent="0.25">
      <c r="A12" s="10" t="s">
        <v>221</v>
      </c>
      <c r="B12" s="11">
        <f>SUM(B5:B11)</f>
        <v>181928.30109999998</v>
      </c>
      <c r="C12" s="11">
        <f t="shared" ref="C12:K12" si="5">SUM(C5:C11)</f>
        <v>41203.290200000003</v>
      </c>
      <c r="D12" s="11">
        <f t="shared" si="5"/>
        <v>41792.433199999999</v>
      </c>
      <c r="E12" s="11">
        <f t="shared" si="5"/>
        <v>69495.422900000005</v>
      </c>
      <c r="F12" s="11">
        <f t="shared" si="5"/>
        <v>9029.2996999999996</v>
      </c>
      <c r="G12" s="11">
        <f t="shared" si="5"/>
        <v>7350.0662000000002</v>
      </c>
      <c r="H12" s="11"/>
      <c r="I12" s="11">
        <f t="shared" si="5"/>
        <v>30359.741899999997</v>
      </c>
      <c r="J12" s="11">
        <f t="shared" si="5"/>
        <v>13579.9835</v>
      </c>
      <c r="K12" s="11">
        <f t="shared" si="5"/>
        <v>394738.53870000003</v>
      </c>
      <c r="L12"/>
      <c r="M12" s="10" t="s">
        <v>221</v>
      </c>
      <c r="N12" s="11">
        <f>SUM(N5:N11)</f>
        <v>933920</v>
      </c>
      <c r="O12" s="11">
        <f t="shared" ref="O12:W12" si="6">SUM(O5:O11)</f>
        <v>149033</v>
      </c>
      <c r="P12" s="11">
        <f t="shared" si="6"/>
        <v>105550</v>
      </c>
      <c r="Q12" s="11">
        <f t="shared" si="6"/>
        <v>144302</v>
      </c>
      <c r="R12" s="11">
        <f t="shared" si="6"/>
        <v>117691</v>
      </c>
      <c r="S12" s="11">
        <f t="shared" si="6"/>
        <v>26619</v>
      </c>
      <c r="T12" s="11"/>
      <c r="U12" s="11">
        <f t="shared" si="6"/>
        <v>144548</v>
      </c>
      <c r="V12" s="11">
        <f t="shared" si="6"/>
        <v>99146</v>
      </c>
      <c r="W12" s="11">
        <f t="shared" si="6"/>
        <v>1720809</v>
      </c>
      <c r="X12"/>
      <c r="Y12" s="10" t="s">
        <v>221</v>
      </c>
      <c r="Z12" s="11">
        <f t="shared" si="0"/>
        <v>751991.69889999996</v>
      </c>
      <c r="AA12" s="11">
        <f t="shared" si="0"/>
        <v>107829.7098</v>
      </c>
      <c r="AB12" s="11">
        <f t="shared" si="0"/>
        <v>63757.566800000001</v>
      </c>
      <c r="AC12" s="11">
        <f t="shared" si="0"/>
        <v>74806.577099999995</v>
      </c>
      <c r="AD12" s="11">
        <f t="shared" si="0"/>
        <v>108661.7003</v>
      </c>
      <c r="AE12" s="11">
        <f t="shared" si="0"/>
        <v>19268.933799999999</v>
      </c>
      <c r="AF12" s="11"/>
      <c r="AG12" s="11">
        <f t="shared" si="1"/>
        <v>114188.25810000001</v>
      </c>
      <c r="AH12" s="11">
        <f t="shared" si="2"/>
        <v>85566.016499999998</v>
      </c>
      <c r="AI12" s="11">
        <f t="shared" si="3"/>
        <v>1326070.4613000001</v>
      </c>
      <c r="AK12" s="3">
        <v>4022720</v>
      </c>
      <c r="AL12" s="7">
        <f t="shared" si="4"/>
        <v>-2301911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174034.4896</v>
      </c>
      <c r="C14" s="33">
        <f>ToursByTourPurpose!C15</f>
        <v>35722.840400000001</v>
      </c>
      <c r="D14" s="33">
        <f>ToursByTourPurpose!D15</f>
        <v>42350.315699999999</v>
      </c>
      <c r="E14" s="33">
        <f>ToursByTourPurpose!E15</f>
        <v>58462.537400000001</v>
      </c>
      <c r="F14" s="33">
        <f>ToursByTourPurpose!F15</f>
        <v>7345.8631999999998</v>
      </c>
      <c r="G14" s="33">
        <f>ToursByTourPurpose!G15</f>
        <v>8011.7664999999997</v>
      </c>
      <c r="H14" s="33"/>
      <c r="I14" s="33">
        <f>ToursByTourPurpose!I15</f>
        <v>60256.400200000004</v>
      </c>
      <c r="J14" s="33">
        <f>ToursByTourPurpose!J15</f>
        <v>29420.3328</v>
      </c>
      <c r="K14" s="33">
        <f>ToursByTourPurpose!K15</f>
        <v>415604.54580000008</v>
      </c>
      <c r="L14"/>
      <c r="M14" s="25" t="s">
        <v>88</v>
      </c>
      <c r="N14" s="33">
        <f>ToursByTourPurpose!N15</f>
        <v>501551</v>
      </c>
      <c r="O14" s="33">
        <f>ToursByTourPurpose!O15</f>
        <v>106109</v>
      </c>
      <c r="P14" s="33">
        <f>ToursByTourPurpose!P15</f>
        <v>81174</v>
      </c>
      <c r="Q14" s="33">
        <f>ToursByTourPurpose!Q15</f>
        <v>102273</v>
      </c>
      <c r="R14" s="33">
        <f>ToursByTourPurpose!R15</f>
        <v>69769</v>
      </c>
      <c r="S14" s="33">
        <f>ToursByTourPurpose!S15</f>
        <v>30115</v>
      </c>
      <c r="T14" s="33"/>
      <c r="U14" s="33">
        <f>ToursByTourPurpose!U15</f>
        <v>178835</v>
      </c>
      <c r="V14" s="33">
        <f>ToursByTourPurpose!V15</f>
        <v>85295</v>
      </c>
      <c r="W14" s="33">
        <f>ToursByTourPurpose!W15</f>
        <v>1155121</v>
      </c>
      <c r="X14"/>
      <c r="Y14" s="25" t="s">
        <v>88</v>
      </c>
      <c r="Z14" s="33">
        <f t="shared" ref="Z14:AE15" si="7">N14-B14</f>
        <v>327516.51040000003</v>
      </c>
      <c r="AA14" s="33">
        <f t="shared" si="7"/>
        <v>70386.159599999999</v>
      </c>
      <c r="AB14" s="33">
        <f t="shared" si="7"/>
        <v>38823.684300000001</v>
      </c>
      <c r="AC14" s="33">
        <f t="shared" si="7"/>
        <v>43810.462599999999</v>
      </c>
      <c r="AD14" s="33">
        <f t="shared" si="7"/>
        <v>62423.1368</v>
      </c>
      <c r="AE14" s="33">
        <f t="shared" si="7"/>
        <v>22103.233500000002</v>
      </c>
      <c r="AF14" s="33"/>
      <c r="AG14" s="33">
        <f t="shared" ref="AG14:AI15" si="8">U14-I14</f>
        <v>118578.5998</v>
      </c>
      <c r="AH14" s="33">
        <f t="shared" si="8"/>
        <v>55874.667199999996</v>
      </c>
      <c r="AI14" s="33">
        <f t="shared" si="8"/>
        <v>739516.45419999992</v>
      </c>
    </row>
    <row r="15" spans="1:38" x14ac:dyDescent="0.2">
      <c r="A15" s="25" t="s">
        <v>90</v>
      </c>
      <c r="B15" s="38">
        <f>B12/B14</f>
        <v>1.0453577421242368</v>
      </c>
      <c r="C15" s="38">
        <f t="shared" ref="C15:K15" si="9">C12/C14</f>
        <v>1.1534158465181845</v>
      </c>
      <c r="D15" s="38">
        <f t="shared" si="9"/>
        <v>0.98682695770317486</v>
      </c>
      <c r="E15" s="38">
        <f t="shared" si="9"/>
        <v>1.1887171852380121</v>
      </c>
      <c r="F15" s="38">
        <f t="shared" si="9"/>
        <v>1.229167962180401</v>
      </c>
      <c r="G15" s="38">
        <f t="shared" si="9"/>
        <v>0.91740893846569294</v>
      </c>
      <c r="H15" s="38"/>
      <c r="I15" s="38">
        <f t="shared" si="9"/>
        <v>0.5038426092370516</v>
      </c>
      <c r="J15" s="38">
        <f t="shared" si="9"/>
        <v>0.46158497228148282</v>
      </c>
      <c r="K15" s="38">
        <f t="shared" si="9"/>
        <v>0.94979360232974608</v>
      </c>
      <c r="L15"/>
      <c r="M15" s="25" t="s">
        <v>90</v>
      </c>
      <c r="N15" s="38">
        <f t="shared" ref="N15:W15" si="10">N12/N14</f>
        <v>1.8620638778509064</v>
      </c>
      <c r="O15" s="38">
        <f t="shared" si="10"/>
        <v>1.4045274199172548</v>
      </c>
      <c r="P15" s="38">
        <f t="shared" si="10"/>
        <v>1.300293197329194</v>
      </c>
      <c r="Q15" s="38">
        <f t="shared" si="10"/>
        <v>1.4109491263578853</v>
      </c>
      <c r="R15" s="38">
        <f t="shared" si="10"/>
        <v>1.6868666599779272</v>
      </c>
      <c r="S15" s="38">
        <f t="shared" si="10"/>
        <v>0.88391167192429021</v>
      </c>
      <c r="T15" s="38"/>
      <c r="U15" s="38">
        <f t="shared" si="10"/>
        <v>0.80827578494142649</v>
      </c>
      <c r="V15" s="38">
        <f t="shared" si="10"/>
        <v>1.1623893545928836</v>
      </c>
      <c r="W15" s="38">
        <f t="shared" si="10"/>
        <v>1.4897218559787242</v>
      </c>
      <c r="X15"/>
      <c r="Y15" s="25" t="s">
        <v>90</v>
      </c>
      <c r="Z15" s="38">
        <f t="shared" si="7"/>
        <v>0.81670613572666961</v>
      </c>
      <c r="AA15" s="38">
        <f t="shared" si="7"/>
        <v>0.25111157339907031</v>
      </c>
      <c r="AB15" s="38">
        <f t="shared" si="7"/>
        <v>0.31346623962601916</v>
      </c>
      <c r="AC15" s="38">
        <f t="shared" si="7"/>
        <v>0.22223194111987321</v>
      </c>
      <c r="AD15" s="38">
        <f t="shared" si="7"/>
        <v>0.45769869779752614</v>
      </c>
      <c r="AE15" s="38">
        <f t="shared" si="7"/>
        <v>-3.3497266541402726E-2</v>
      </c>
      <c r="AF15" s="38"/>
      <c r="AG15" s="38">
        <f t="shared" si="8"/>
        <v>0.30443317570437489</v>
      </c>
      <c r="AH15" s="38">
        <f t="shared" si="8"/>
        <v>0.70080438231140074</v>
      </c>
      <c r="AI15" s="38">
        <f t="shared" si="8"/>
        <v>0.53992825364897812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t="shared" ref="B21:K21" si="11">B5/B$12</f>
        <v>0.11122120680321133</v>
      </c>
      <c r="C21" s="12">
        <f t="shared" si="11"/>
        <v>3.5978459312455587E-2</v>
      </c>
      <c r="D21" s="12">
        <f t="shared" si="11"/>
        <v>2.7113360319972947E-2</v>
      </c>
      <c r="E21" s="12">
        <f t="shared" si="11"/>
        <v>1.3305765493802038E-2</v>
      </c>
      <c r="F21" s="12">
        <f t="shared" si="11"/>
        <v>0.16956394746759818</v>
      </c>
      <c r="G21" s="12">
        <f t="shared" si="11"/>
        <v>9.9095774130578573E-2</v>
      </c>
      <c r="H21" s="12"/>
      <c r="I21" s="12">
        <f t="shared" si="11"/>
        <v>0</v>
      </c>
      <c r="J21" s="12">
        <f t="shared" si="11"/>
        <v>0</v>
      </c>
      <c r="K21" s="12">
        <f t="shared" si="11"/>
        <v>6.5952373147395438E-2</v>
      </c>
      <c r="L21"/>
      <c r="M21" s="3" t="s">
        <v>210</v>
      </c>
      <c r="N21" s="12">
        <f t="shared" ref="N21:W21" si="12">N5/N$12</f>
        <v>9.1504625663868425E-2</v>
      </c>
      <c r="O21" s="12">
        <f t="shared" si="12"/>
        <v>7.4278850992733153E-2</v>
      </c>
      <c r="P21" s="12">
        <f t="shared" si="12"/>
        <v>0</v>
      </c>
      <c r="Q21" s="12">
        <f t="shared" si="12"/>
        <v>0</v>
      </c>
      <c r="R21" s="12">
        <f t="shared" si="12"/>
        <v>6.9172664009992266E-2</v>
      </c>
      <c r="S21" s="12">
        <f t="shared" si="12"/>
        <v>4.1323866411210036E-3</v>
      </c>
      <c r="T21" s="12"/>
      <c r="U21" s="12">
        <f t="shared" si="12"/>
        <v>1.0307994576196143E-3</v>
      </c>
      <c r="V21" s="12">
        <f t="shared" si="12"/>
        <v>0</v>
      </c>
      <c r="W21" s="12">
        <f t="shared" si="12"/>
        <v>6.0975971185645822E-2</v>
      </c>
      <c r="X21"/>
      <c r="Y21" s="3" t="s">
        <v>210</v>
      </c>
      <c r="Z21" s="12">
        <f t="shared" ref="Z21:AE28" si="13">N21-B21</f>
        <v>-1.9716581139342909E-2</v>
      </c>
      <c r="AA21" s="12">
        <f t="shared" si="13"/>
        <v>3.8300391680277567E-2</v>
      </c>
      <c r="AB21" s="12">
        <f t="shared" si="13"/>
        <v>-2.7113360319972947E-2</v>
      </c>
      <c r="AC21" s="12">
        <f t="shared" si="13"/>
        <v>-1.3305765493802038E-2</v>
      </c>
      <c r="AD21" s="12">
        <f t="shared" si="13"/>
        <v>-0.10039128345760591</v>
      </c>
      <c r="AE21" s="12">
        <f t="shared" si="13"/>
        <v>-9.4963387489457568E-2</v>
      </c>
      <c r="AF21" s="12"/>
      <c r="AG21" s="12">
        <f t="shared" ref="AG21:AG28" si="14">U21-I21</f>
        <v>1.0307994576196143E-3</v>
      </c>
      <c r="AH21" s="12">
        <f t="shared" ref="AH21:AH28" si="15">V21-J21</f>
        <v>0</v>
      </c>
      <c r="AI21" s="12">
        <f t="shared" ref="AI21:AI28" si="16">W21-K21</f>
        <v>-4.9764019617496158E-3</v>
      </c>
    </row>
    <row r="22" spans="1:35" x14ac:dyDescent="0.2">
      <c r="A22" s="3" t="s">
        <v>211</v>
      </c>
      <c r="B22" s="12">
        <f t="shared" ref="B22:K22" si="17">B6/B$12</f>
        <v>4.203007423125989E-3</v>
      </c>
      <c r="C22" s="12">
        <f t="shared" si="17"/>
        <v>9.2464387710474629E-3</v>
      </c>
      <c r="D22" s="12">
        <f t="shared" si="17"/>
        <v>0</v>
      </c>
      <c r="E22" s="12">
        <f t="shared" si="17"/>
        <v>0</v>
      </c>
      <c r="F22" s="12">
        <f t="shared" si="17"/>
        <v>2.0202652039559614E-2</v>
      </c>
      <c r="G22" s="12">
        <f t="shared" si="17"/>
        <v>0</v>
      </c>
      <c r="H22" s="12"/>
      <c r="I22" s="12">
        <f t="shared" si="17"/>
        <v>0.10008757683147497</v>
      </c>
      <c r="J22" s="12">
        <f t="shared" si="17"/>
        <v>0</v>
      </c>
      <c r="K22" s="12">
        <f t="shared" si="17"/>
        <v>1.1062204654201907E-2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6.434646659472687E-2</v>
      </c>
      <c r="S22" s="12">
        <f t="shared" si="18"/>
        <v>0.16886434501671738</v>
      </c>
      <c r="T22" s="12"/>
      <c r="U22" s="12">
        <f t="shared" si="18"/>
        <v>0.14380690151368403</v>
      </c>
      <c r="V22" s="12">
        <f t="shared" si="18"/>
        <v>0</v>
      </c>
      <c r="W22" s="12">
        <f t="shared" si="18"/>
        <v>1.9092763926734459E-2</v>
      </c>
      <c r="X22"/>
      <c r="Y22" s="3" t="s">
        <v>211</v>
      </c>
      <c r="Z22" s="12">
        <f t="shared" si="13"/>
        <v>-4.203007423125989E-3</v>
      </c>
      <c r="AA22" s="12">
        <f t="shared" si="13"/>
        <v>-9.2464387710474629E-3</v>
      </c>
      <c r="AB22" s="12">
        <f t="shared" si="13"/>
        <v>0</v>
      </c>
      <c r="AC22" s="12">
        <f t="shared" si="13"/>
        <v>0</v>
      </c>
      <c r="AD22" s="12">
        <f t="shared" si="13"/>
        <v>4.4143814555167256E-2</v>
      </c>
      <c r="AE22" s="12">
        <f t="shared" si="13"/>
        <v>0.16886434501671738</v>
      </c>
      <c r="AF22" s="12"/>
      <c r="AG22" s="12">
        <f t="shared" si="14"/>
        <v>4.3719324682209057E-2</v>
      </c>
      <c r="AH22" s="12">
        <f t="shared" si="15"/>
        <v>0</v>
      </c>
      <c r="AI22" s="12">
        <f t="shared" si="16"/>
        <v>8.0305592725325517E-3</v>
      </c>
    </row>
    <row r="23" spans="1:35" x14ac:dyDescent="0.2">
      <c r="A23" s="3" t="s">
        <v>212</v>
      </c>
      <c r="B23" s="12">
        <f t="shared" ref="B23:K23" si="19">B7/B$12</f>
        <v>0.23402979219047962</v>
      </c>
      <c r="C23" s="12">
        <f t="shared" si="19"/>
        <v>0.12735110411158376</v>
      </c>
      <c r="D23" s="12">
        <f t="shared" si="19"/>
        <v>4.8959121145403899E-2</v>
      </c>
      <c r="E23" s="12">
        <f t="shared" si="19"/>
        <v>0.12640525711514158</v>
      </c>
      <c r="F23" s="12">
        <f t="shared" si="19"/>
        <v>0.176276483546116</v>
      </c>
      <c r="G23" s="12">
        <f t="shared" si="19"/>
        <v>1.3872541719420159E-2</v>
      </c>
      <c r="H23" s="12"/>
      <c r="I23" s="12">
        <f t="shared" si="19"/>
        <v>0.21835320345724021</v>
      </c>
      <c r="J23" s="12">
        <f t="shared" si="19"/>
        <v>0.12056274589729803</v>
      </c>
      <c r="K23" s="12">
        <f t="shared" si="19"/>
        <v>0.17382300478177248</v>
      </c>
      <c r="L23"/>
      <c r="M23" s="3" t="s">
        <v>212</v>
      </c>
      <c r="N23" s="12">
        <f t="shared" ref="N23:W23" si="20">N7/N$12</f>
        <v>0.15485908857289704</v>
      </c>
      <c r="O23" s="12">
        <f t="shared" si="20"/>
        <v>0.10275576550160032</v>
      </c>
      <c r="P23" s="12">
        <f t="shared" si="20"/>
        <v>3.3775461866414024E-2</v>
      </c>
      <c r="Q23" s="12">
        <f t="shared" si="20"/>
        <v>6.5653975689872635E-2</v>
      </c>
      <c r="R23" s="12">
        <f t="shared" si="20"/>
        <v>0.11604965545368805</v>
      </c>
      <c r="S23" s="12">
        <f t="shared" si="20"/>
        <v>8.5427702017356028E-2</v>
      </c>
      <c r="T23" s="12"/>
      <c r="U23" s="12">
        <f t="shared" si="20"/>
        <v>6.3722777208954806E-2</v>
      </c>
      <c r="V23" s="12">
        <f t="shared" si="20"/>
        <v>6.6215480200915819E-2</v>
      </c>
      <c r="W23" s="12">
        <f t="shared" si="20"/>
        <v>0.11894812265626226</v>
      </c>
      <c r="X23"/>
      <c r="Y23" s="3" t="s">
        <v>212</v>
      </c>
      <c r="Z23" s="12">
        <f t="shared" si="13"/>
        <v>-7.9170703617582577E-2</v>
      </c>
      <c r="AA23" s="12">
        <f t="shared" si="13"/>
        <v>-2.4595338609983447E-2</v>
      </c>
      <c r="AB23" s="12">
        <f t="shared" si="13"/>
        <v>-1.5183659278989875E-2</v>
      </c>
      <c r="AC23" s="12">
        <f t="shared" si="13"/>
        <v>-6.0751281425268949E-2</v>
      </c>
      <c r="AD23" s="12">
        <f t="shared" si="13"/>
        <v>-6.022682809242795E-2</v>
      </c>
      <c r="AE23" s="12">
        <f t="shared" si="13"/>
        <v>7.1555160297935863E-2</v>
      </c>
      <c r="AF23" s="12"/>
      <c r="AG23" s="12">
        <f t="shared" si="14"/>
        <v>-0.15463042624828541</v>
      </c>
      <c r="AH23" s="12">
        <f t="shared" si="15"/>
        <v>-5.4347265696382208E-2</v>
      </c>
      <c r="AI23" s="12">
        <f t="shared" si="16"/>
        <v>-5.4874882125510227E-2</v>
      </c>
    </row>
    <row r="24" spans="1:35" x14ac:dyDescent="0.2">
      <c r="A24" s="3" t="s">
        <v>213</v>
      </c>
      <c r="B24" s="12">
        <f t="shared" ref="B24:K24" si="21">B8/B$12</f>
        <v>0.14929862883219108</v>
      </c>
      <c r="C24" s="12">
        <f t="shared" si="21"/>
        <v>0.22226922548044475</v>
      </c>
      <c r="D24" s="12">
        <f t="shared" si="21"/>
        <v>0.24485677469480291</v>
      </c>
      <c r="E24" s="12">
        <f t="shared" si="21"/>
        <v>0.18908375475185429</v>
      </c>
      <c r="F24" s="12">
        <f t="shared" si="21"/>
        <v>0.15188689550309201</v>
      </c>
      <c r="G24" s="12">
        <f t="shared" si="21"/>
        <v>0.14837022828447449</v>
      </c>
      <c r="H24" s="12"/>
      <c r="I24" s="12">
        <f t="shared" si="21"/>
        <v>0.22869309043763644</v>
      </c>
      <c r="J24" s="12">
        <f t="shared" si="21"/>
        <v>0.36014698397829426</v>
      </c>
      <c r="K24" s="12">
        <f t="shared" si="21"/>
        <v>0.18743875894071652</v>
      </c>
      <c r="L24"/>
      <c r="M24" s="3" t="s">
        <v>213</v>
      </c>
      <c r="N24" s="12">
        <f t="shared" ref="N24:W24" si="22">N8/N$12</f>
        <v>0.18198132602364228</v>
      </c>
      <c r="O24" s="12">
        <f t="shared" si="22"/>
        <v>0.24036958257567115</v>
      </c>
      <c r="P24" s="12">
        <f t="shared" si="22"/>
        <v>0.31363334912363811</v>
      </c>
      <c r="Q24" s="12">
        <f t="shared" si="22"/>
        <v>0.25626810439217751</v>
      </c>
      <c r="R24" s="12">
        <f t="shared" si="22"/>
        <v>0.15702135252483199</v>
      </c>
      <c r="S24" s="12">
        <f t="shared" si="22"/>
        <v>0.12464780795672264</v>
      </c>
      <c r="T24" s="12"/>
      <c r="U24" s="12">
        <f t="shared" si="22"/>
        <v>0.23262168968093644</v>
      </c>
      <c r="V24" s="12">
        <f t="shared" si="22"/>
        <v>0.30649748855223607</v>
      </c>
      <c r="W24" s="12">
        <f t="shared" si="22"/>
        <v>0.21017672501712859</v>
      </c>
      <c r="X24"/>
      <c r="Y24" s="3" t="s">
        <v>213</v>
      </c>
      <c r="Z24" s="12">
        <f t="shared" si="13"/>
        <v>3.2682697191451199E-2</v>
      </c>
      <c r="AA24" s="12">
        <f t="shared" si="13"/>
        <v>1.8100357095226394E-2</v>
      </c>
      <c r="AB24" s="12">
        <f t="shared" si="13"/>
        <v>6.8776574428835197E-2</v>
      </c>
      <c r="AC24" s="12">
        <f t="shared" si="13"/>
        <v>6.7184349640323215E-2</v>
      </c>
      <c r="AD24" s="12">
        <f t="shared" si="13"/>
        <v>5.1344570217399799E-3</v>
      </c>
      <c r="AE24" s="12">
        <f t="shared" si="13"/>
        <v>-2.3722420327751848E-2</v>
      </c>
      <c r="AF24" s="12"/>
      <c r="AG24" s="12">
        <f t="shared" si="14"/>
        <v>3.9285992432999961E-3</v>
      </c>
      <c r="AH24" s="12">
        <f t="shared" si="15"/>
        <v>-5.364949542605818E-2</v>
      </c>
      <c r="AI24" s="12">
        <f t="shared" si="16"/>
        <v>2.2737966076412069E-2</v>
      </c>
    </row>
    <row r="25" spans="1:35" x14ac:dyDescent="0.2">
      <c r="A25" s="3" t="s">
        <v>214</v>
      </c>
      <c r="B25" s="12">
        <f t="shared" ref="B25:K25" si="23">B9/B$12</f>
        <v>0.26797895767301266</v>
      </c>
      <c r="C25" s="12">
        <f t="shared" si="23"/>
        <v>0.3104541466933628</v>
      </c>
      <c r="D25" s="12">
        <f t="shared" si="23"/>
        <v>0.39013952889443154</v>
      </c>
      <c r="E25" s="12">
        <f t="shared" si="23"/>
        <v>0.23696483182347824</v>
      </c>
      <c r="F25" s="12">
        <f t="shared" si="23"/>
        <v>0.32294391557298735</v>
      </c>
      <c r="G25" s="12">
        <f t="shared" si="23"/>
        <v>8.5259300113514624E-2</v>
      </c>
      <c r="H25" s="12"/>
      <c r="I25" s="12">
        <f t="shared" si="23"/>
        <v>0.1856080963586848</v>
      </c>
      <c r="J25" s="12">
        <f t="shared" si="23"/>
        <v>0.33787993925029441</v>
      </c>
      <c r="K25" s="12">
        <f t="shared" si="23"/>
        <v>0.27381055155129702</v>
      </c>
      <c r="L25"/>
      <c r="M25" s="3" t="s">
        <v>214</v>
      </c>
      <c r="N25" s="12">
        <f t="shared" ref="N25:W25" si="24">N9/N$12</f>
        <v>0.29164168237108101</v>
      </c>
      <c r="O25" s="12">
        <f t="shared" si="24"/>
        <v>0.28255487039783134</v>
      </c>
      <c r="P25" s="12">
        <f t="shared" si="24"/>
        <v>0.37740407389862624</v>
      </c>
      <c r="Q25" s="12">
        <f t="shared" si="24"/>
        <v>0.38957187010575045</v>
      </c>
      <c r="R25" s="12">
        <f t="shared" si="24"/>
        <v>0.2599009270037641</v>
      </c>
      <c r="S25" s="12">
        <f t="shared" si="24"/>
        <v>6.300011270145385E-2</v>
      </c>
      <c r="T25" s="12"/>
      <c r="U25" s="12">
        <f t="shared" si="24"/>
        <v>5.4673879956830949E-2</v>
      </c>
      <c r="V25" s="12">
        <f t="shared" si="24"/>
        <v>0.33476892663344965</v>
      </c>
      <c r="W25" s="12">
        <f t="shared" si="24"/>
        <v>0.28119913366329441</v>
      </c>
      <c r="X25"/>
      <c r="Y25" s="3" t="s">
        <v>214</v>
      </c>
      <c r="Z25" s="12">
        <f t="shared" si="13"/>
        <v>2.3662724698068349E-2</v>
      </c>
      <c r="AA25" s="12">
        <f t="shared" si="13"/>
        <v>-2.7899276295531461E-2</v>
      </c>
      <c r="AB25" s="12">
        <f t="shared" si="13"/>
        <v>-1.2735454995805306E-2</v>
      </c>
      <c r="AC25" s="12">
        <f t="shared" si="13"/>
        <v>0.15260703828227221</v>
      </c>
      <c r="AD25" s="12">
        <f t="shared" si="13"/>
        <v>-6.3042988569223246E-2</v>
      </c>
      <c r="AE25" s="12">
        <f t="shared" si="13"/>
        <v>-2.2259187412060774E-2</v>
      </c>
      <c r="AF25" s="12"/>
      <c r="AG25" s="12">
        <f t="shared" si="14"/>
        <v>-0.13093421640185385</v>
      </c>
      <c r="AH25" s="12">
        <f t="shared" si="15"/>
        <v>-3.111012616844766E-3</v>
      </c>
      <c r="AI25" s="12">
        <f t="shared" si="16"/>
        <v>7.3885821119973882E-3</v>
      </c>
    </row>
    <row r="26" spans="1:35" x14ac:dyDescent="0.2">
      <c r="A26" s="3" t="s">
        <v>129</v>
      </c>
      <c r="B26" s="12">
        <f t="shared" ref="B26:K26" si="25">B10/B$12</f>
        <v>0.11655520483503268</v>
      </c>
      <c r="C26" s="12">
        <f t="shared" si="25"/>
        <v>0.19278718668928044</v>
      </c>
      <c r="D26" s="12">
        <f t="shared" si="25"/>
        <v>0.13686208392384294</v>
      </c>
      <c r="E26" s="12">
        <f t="shared" si="25"/>
        <v>0.16068592051117656</v>
      </c>
      <c r="F26" s="12">
        <f t="shared" si="25"/>
        <v>7.9047636440730831E-2</v>
      </c>
      <c r="G26" s="12">
        <f t="shared" si="25"/>
        <v>0.30882432052108588</v>
      </c>
      <c r="H26" s="12"/>
      <c r="I26" s="12">
        <f t="shared" si="25"/>
        <v>6.731589177311155E-2</v>
      </c>
      <c r="J26" s="12">
        <f t="shared" si="25"/>
        <v>5.7983752336665209E-2</v>
      </c>
      <c r="K26" s="12">
        <f t="shared" si="25"/>
        <v>0.13135182587126498</v>
      </c>
      <c r="L26"/>
      <c r="M26" s="3" t="s">
        <v>129</v>
      </c>
      <c r="N26" s="12">
        <f t="shared" ref="N26:W26" si="26">N10/N$12</f>
        <v>0.15199588829878363</v>
      </c>
      <c r="O26" s="12">
        <f t="shared" si="26"/>
        <v>0.12912576409251642</v>
      </c>
      <c r="P26" s="12">
        <f t="shared" si="26"/>
        <v>0.13135954523922311</v>
      </c>
      <c r="Q26" s="12">
        <f t="shared" si="26"/>
        <v>0.14071184044573187</v>
      </c>
      <c r="R26" s="12">
        <f t="shared" si="26"/>
        <v>0.17858629801769038</v>
      </c>
      <c r="S26" s="12">
        <f t="shared" si="26"/>
        <v>0.33412224351027464</v>
      </c>
      <c r="T26" s="12"/>
      <c r="U26" s="12">
        <f t="shared" si="26"/>
        <v>0.16699643025154273</v>
      </c>
      <c r="V26" s="12">
        <f t="shared" si="26"/>
        <v>8.8263772618159084E-2</v>
      </c>
      <c r="W26" s="12">
        <f t="shared" si="26"/>
        <v>0.1500271093421757</v>
      </c>
      <c r="X26"/>
      <c r="Y26" s="3" t="s">
        <v>129</v>
      </c>
      <c r="Z26" s="12">
        <f t="shared" si="13"/>
        <v>3.5440683463750955E-2</v>
      </c>
      <c r="AA26" s="12">
        <f t="shared" si="13"/>
        <v>-6.3661422596764022E-2</v>
      </c>
      <c r="AB26" s="12">
        <f t="shared" si="13"/>
        <v>-5.5025386846198343E-3</v>
      </c>
      <c r="AC26" s="12">
        <f t="shared" si="13"/>
        <v>-1.9974080065444683E-2</v>
      </c>
      <c r="AD26" s="12">
        <f t="shared" si="13"/>
        <v>9.953866157695955E-2</v>
      </c>
      <c r="AE26" s="12">
        <f t="shared" si="13"/>
        <v>2.5297922989188759E-2</v>
      </c>
      <c r="AF26" s="12"/>
      <c r="AG26" s="12">
        <f t="shared" si="14"/>
        <v>9.9680538478431183E-2</v>
      </c>
      <c r="AH26" s="12">
        <f t="shared" si="15"/>
        <v>3.0280020281493875E-2</v>
      </c>
      <c r="AI26" s="12">
        <f t="shared" si="16"/>
        <v>1.8675283470910714E-2</v>
      </c>
    </row>
    <row r="27" spans="1:35" x14ac:dyDescent="0.2">
      <c r="A27" s="3" t="s">
        <v>130</v>
      </c>
      <c r="B27" s="12">
        <f t="shared" ref="B27:K27" si="27">B11/B$12</f>
        <v>0.11671320224294671</v>
      </c>
      <c r="C27" s="12">
        <f t="shared" si="27"/>
        <v>0.10191343894182507</v>
      </c>
      <c r="D27" s="12">
        <f t="shared" si="27"/>
        <v>0.15206913102154579</v>
      </c>
      <c r="E27" s="12">
        <f t="shared" si="27"/>
        <v>0.27355447030454716</v>
      </c>
      <c r="F27" s="12">
        <f t="shared" si="27"/>
        <v>8.0078469429916033E-2</v>
      </c>
      <c r="G27" s="12">
        <f t="shared" si="27"/>
        <v>0.34457783523092617</v>
      </c>
      <c r="H27" s="12"/>
      <c r="I27" s="12">
        <f t="shared" si="27"/>
        <v>0.19994214114185208</v>
      </c>
      <c r="J27" s="12">
        <f t="shared" si="27"/>
        <v>0.12342657853744815</v>
      </c>
      <c r="K27" s="12">
        <f t="shared" si="27"/>
        <v>0.1565612810533516</v>
      </c>
      <c r="L27"/>
      <c r="M27" s="3" t="s">
        <v>130</v>
      </c>
      <c r="N27" s="12">
        <f t="shared" ref="N27:W27" si="28">N11/N$12</f>
        <v>0.12801738906972759</v>
      </c>
      <c r="O27" s="12">
        <f t="shared" si="28"/>
        <v>0.1709151664396476</v>
      </c>
      <c r="P27" s="12">
        <f t="shared" si="28"/>
        <v>0.14382756987209852</v>
      </c>
      <c r="Q27" s="12">
        <f t="shared" si="28"/>
        <v>0.14779420936646756</v>
      </c>
      <c r="R27" s="12">
        <f t="shared" si="28"/>
        <v>0.15492263639530635</v>
      </c>
      <c r="S27" s="12">
        <f t="shared" si="28"/>
        <v>0.2198054021563545</v>
      </c>
      <c r="T27" s="12"/>
      <c r="U27" s="12">
        <f t="shared" si="28"/>
        <v>0.3371475219304314</v>
      </c>
      <c r="V27" s="12">
        <f t="shared" si="28"/>
        <v>0.20425433199523935</v>
      </c>
      <c r="W27" s="12">
        <f t="shared" si="28"/>
        <v>0.15958017420875878</v>
      </c>
      <c r="X27"/>
      <c r="Y27" s="3" t="s">
        <v>130</v>
      </c>
      <c r="Z27" s="12">
        <f t="shared" si="13"/>
        <v>1.1304186826780888E-2</v>
      </c>
      <c r="AA27" s="12">
        <f t="shared" si="13"/>
        <v>6.9001727497822532E-2</v>
      </c>
      <c r="AB27" s="12">
        <f t="shared" si="13"/>
        <v>-8.2415611494472685E-3</v>
      </c>
      <c r="AC27" s="12">
        <f t="shared" si="13"/>
        <v>-0.1257602609380796</v>
      </c>
      <c r="AD27" s="12">
        <f t="shared" si="13"/>
        <v>7.4844166965390313E-2</v>
      </c>
      <c r="AE27" s="12">
        <f t="shared" si="13"/>
        <v>-0.12477243307457167</v>
      </c>
      <c r="AF27" s="12"/>
      <c r="AG27" s="12">
        <f t="shared" si="14"/>
        <v>0.13720538078857933</v>
      </c>
      <c r="AH27" s="12">
        <f t="shared" si="15"/>
        <v>8.0827753457791196E-2</v>
      </c>
      <c r="AI27" s="12">
        <f t="shared" si="16"/>
        <v>3.0188931554071818E-3</v>
      </c>
    </row>
    <row r="28" spans="1:35" ht="13.5" thickBot="1" x14ac:dyDescent="0.25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0</v>
      </c>
      <c r="C37" s="7">
        <f>output_NHTS!C232</f>
        <v>3525.8056000000001</v>
      </c>
      <c r="D37" s="7">
        <f>output_NHTS!D232</f>
        <v>4395.4359999999997</v>
      </c>
      <c r="E37" s="7">
        <f>output_NHTS!E232</f>
        <v>15458.562099999999</v>
      </c>
      <c r="F37" s="7"/>
      <c r="G37" s="7">
        <f>SUM(B37:E37)</f>
        <v>23379.803699999997</v>
      </c>
      <c r="H37" s="7"/>
      <c r="I37"/>
      <c r="L37"/>
      <c r="M37" s="3" t="s">
        <v>210</v>
      </c>
      <c r="N37" s="7">
        <f>output!B232</f>
        <v>1189</v>
      </c>
      <c r="O37" s="7">
        <f>output!C232</f>
        <v>10985</v>
      </c>
      <c r="P37" s="7">
        <f>output!D232</f>
        <v>13160</v>
      </c>
      <c r="Q37" s="7">
        <f>output!E232</f>
        <v>79582</v>
      </c>
      <c r="R37" s="7"/>
      <c r="S37" s="7">
        <f>SUM(N37:Q37)</f>
        <v>104916</v>
      </c>
      <c r="T37" s="7"/>
      <c r="X37"/>
      <c r="Y37" s="3" t="s">
        <v>210</v>
      </c>
      <c r="Z37" s="7">
        <f t="shared" ref="Z37:AD44" si="31">N37-B37</f>
        <v>1189</v>
      </c>
      <c r="AA37" s="7">
        <f t="shared" si="31"/>
        <v>7459.1944000000003</v>
      </c>
      <c r="AB37" s="7">
        <f t="shared" si="31"/>
        <v>8764.5640000000003</v>
      </c>
      <c r="AC37" s="7">
        <f t="shared" si="31"/>
        <v>64123.437900000004</v>
      </c>
      <c r="AD37" s="7">
        <f t="shared" si="31"/>
        <v>0</v>
      </c>
      <c r="AE37" s="7">
        <f t="shared" ref="AE37:AE44" si="32">S37-G37</f>
        <v>81536.196300000011</v>
      </c>
      <c r="AF37" s="7"/>
      <c r="AG37"/>
    </row>
    <row r="38" spans="1:33" x14ac:dyDescent="0.2">
      <c r="A38" s="3" t="s">
        <v>211</v>
      </c>
      <c r="B38" s="7">
        <f>output_NHTS!B233</f>
        <v>0</v>
      </c>
      <c r="C38" s="7">
        <f>output_NHTS!C233</f>
        <v>861.8306</v>
      </c>
      <c r="D38" s="7">
        <f>output_NHTS!D233</f>
        <v>0</v>
      </c>
      <c r="E38" s="7">
        <f>output_NHTS!E233</f>
        <v>3019.4980999999998</v>
      </c>
      <c r="F38" s="7"/>
      <c r="G38" s="7">
        <f t="shared" ref="G38:G43" si="33">SUM(B38:E38)</f>
        <v>3881.3287</v>
      </c>
      <c r="H38" s="7"/>
      <c r="I38"/>
      <c r="L38"/>
      <c r="M38" s="3" t="s">
        <v>211</v>
      </c>
      <c r="N38" s="7">
        <f>output!B233</f>
        <v>1137</v>
      </c>
      <c r="O38" s="7">
        <f>output!C233</f>
        <v>4173</v>
      </c>
      <c r="P38" s="7">
        <f>output!D233</f>
        <v>3765</v>
      </c>
      <c r="Q38" s="7">
        <f>output!E233</f>
        <v>23777</v>
      </c>
      <c r="R38" s="7"/>
      <c r="S38" s="7">
        <f t="shared" ref="S38:S43" si="34">SUM(N38:Q38)</f>
        <v>32852</v>
      </c>
      <c r="T38" s="7"/>
      <c r="X38"/>
      <c r="Y38" s="3" t="s">
        <v>211</v>
      </c>
      <c r="Z38" s="7">
        <f t="shared" si="31"/>
        <v>1137</v>
      </c>
      <c r="AA38" s="7">
        <f t="shared" si="31"/>
        <v>3311.1693999999998</v>
      </c>
      <c r="AB38" s="7">
        <f t="shared" si="31"/>
        <v>3765</v>
      </c>
      <c r="AC38" s="7">
        <f t="shared" si="31"/>
        <v>20757.501899999999</v>
      </c>
      <c r="AD38" s="7">
        <f t="shared" si="31"/>
        <v>0</v>
      </c>
      <c r="AE38" s="7">
        <f t="shared" si="32"/>
        <v>28970.671300000002</v>
      </c>
      <c r="AF38" s="7"/>
      <c r="AG38"/>
    </row>
    <row r="39" spans="1:33" x14ac:dyDescent="0.2">
      <c r="A39" s="3" t="s">
        <v>212</v>
      </c>
      <c r="B39" s="7">
        <f>output_NHTS!B234</f>
        <v>721.89030000000002</v>
      </c>
      <c r="C39" s="7">
        <f>output_NHTS!C234</f>
        <v>2834.4263999999998</v>
      </c>
      <c r="D39" s="7">
        <f>output_NHTS!D234</f>
        <v>3840.5769999999998</v>
      </c>
      <c r="E39" s="7">
        <f>output_NHTS!E234</f>
        <v>54730.127999999997</v>
      </c>
      <c r="F39" s="7"/>
      <c r="G39" s="7">
        <f t="shared" si="33"/>
        <v>62127.021699999998</v>
      </c>
      <c r="H39" s="7"/>
      <c r="I39"/>
      <c r="L39"/>
      <c r="M39" s="3" t="s">
        <v>212</v>
      </c>
      <c r="N39" s="7">
        <f>output!B234</f>
        <v>2665</v>
      </c>
      <c r="O39" s="7">
        <f>output!C234</f>
        <v>17618</v>
      </c>
      <c r="P39" s="7">
        <f>output!D234</f>
        <v>23742</v>
      </c>
      <c r="Q39" s="7">
        <f>output!E234</f>
        <v>160642</v>
      </c>
      <c r="R39" s="7"/>
      <c r="S39" s="7">
        <f t="shared" si="34"/>
        <v>204667</v>
      </c>
      <c r="T39" s="7"/>
      <c r="X39"/>
      <c r="Y39" s="3" t="s">
        <v>212</v>
      </c>
      <c r="Z39" s="7">
        <f t="shared" si="31"/>
        <v>1943.1097</v>
      </c>
      <c r="AA39" s="7">
        <f t="shared" si="31"/>
        <v>14783.5736</v>
      </c>
      <c r="AB39" s="7">
        <f t="shared" si="31"/>
        <v>19901.422999999999</v>
      </c>
      <c r="AC39" s="7">
        <f t="shared" si="31"/>
        <v>105911.872</v>
      </c>
      <c r="AD39" s="7">
        <f t="shared" si="31"/>
        <v>0</v>
      </c>
      <c r="AE39" s="7">
        <f t="shared" si="32"/>
        <v>142539.97830000002</v>
      </c>
      <c r="AF39" s="7"/>
      <c r="AG39"/>
    </row>
    <row r="40" spans="1:33" x14ac:dyDescent="0.2">
      <c r="A40" s="3" t="s">
        <v>213</v>
      </c>
      <c r="B40" s="7">
        <f>output_NHTS!B235</f>
        <v>438.99860000000001</v>
      </c>
      <c r="C40" s="7">
        <f>output_NHTS!C235</f>
        <v>7730.9233000000004</v>
      </c>
      <c r="D40" s="7">
        <f>output_NHTS!D235</f>
        <v>8723.6185999999998</v>
      </c>
      <c r="E40" s="7">
        <f>output_NHTS!E235</f>
        <v>48810.976000000002</v>
      </c>
      <c r="F40" s="7"/>
      <c r="G40" s="7">
        <f t="shared" si="33"/>
        <v>65704.516499999998</v>
      </c>
      <c r="H40" s="7"/>
      <c r="I40"/>
      <c r="L40"/>
      <c r="M40" s="3" t="s">
        <v>213</v>
      </c>
      <c r="N40" s="7">
        <f>output!B235</f>
        <v>12075</v>
      </c>
      <c r="O40" s="7">
        <f>output!C235</f>
        <v>54906</v>
      </c>
      <c r="P40" s="7">
        <f>output!D235</f>
        <v>46449</v>
      </c>
      <c r="Q40" s="7">
        <f>output!E235</f>
        <v>248167</v>
      </c>
      <c r="R40" s="7"/>
      <c r="S40" s="7">
        <f t="shared" si="34"/>
        <v>361597</v>
      </c>
      <c r="T40" s="7"/>
      <c r="X40"/>
      <c r="Y40" s="3" t="s">
        <v>213</v>
      </c>
      <c r="Z40" s="7">
        <f t="shared" si="31"/>
        <v>11636.001399999999</v>
      </c>
      <c r="AA40" s="7">
        <f t="shared" si="31"/>
        <v>47175.076699999998</v>
      </c>
      <c r="AB40" s="7">
        <f t="shared" si="31"/>
        <v>37725.381399999998</v>
      </c>
      <c r="AC40" s="7">
        <f t="shared" si="31"/>
        <v>199356.024</v>
      </c>
      <c r="AD40" s="7">
        <f t="shared" si="31"/>
        <v>0</v>
      </c>
      <c r="AE40" s="7">
        <f t="shared" si="32"/>
        <v>295892.48349999997</v>
      </c>
      <c r="AF40" s="7"/>
      <c r="AG40"/>
    </row>
    <row r="41" spans="1:33" x14ac:dyDescent="0.2">
      <c r="A41" s="3" t="s">
        <v>214</v>
      </c>
      <c r="B41" s="7">
        <f>output_NHTS!B236</f>
        <v>235.27350000000001</v>
      </c>
      <c r="C41" s="7">
        <f>output_NHTS!C236</f>
        <v>13722.162700000001</v>
      </c>
      <c r="D41" s="7">
        <f>output_NHTS!D236</f>
        <v>13043.5028</v>
      </c>
      <c r="E41" s="7">
        <f>output_NHTS!E236</f>
        <v>71093.945399999997</v>
      </c>
      <c r="F41" s="7"/>
      <c r="G41" s="7">
        <f t="shared" si="33"/>
        <v>98094.884399999995</v>
      </c>
      <c r="H41" s="7"/>
      <c r="I41"/>
      <c r="L41"/>
      <c r="M41" s="3" t="s">
        <v>214</v>
      </c>
      <c r="N41" s="7">
        <f>output!B236</f>
        <v>14558</v>
      </c>
      <c r="O41" s="7">
        <f>output!C236</f>
        <v>64766</v>
      </c>
      <c r="P41" s="7">
        <f>output!D236</f>
        <v>62361</v>
      </c>
      <c r="Q41" s="7">
        <f>output!E236</f>
        <v>342100</v>
      </c>
      <c r="R41" s="7"/>
      <c r="S41" s="7">
        <f t="shared" si="34"/>
        <v>483785</v>
      </c>
      <c r="T41" s="7"/>
      <c r="X41"/>
      <c r="Y41" s="3" t="s">
        <v>214</v>
      </c>
      <c r="Z41" s="7">
        <f t="shared" si="31"/>
        <v>14322.726500000001</v>
      </c>
      <c r="AA41" s="7">
        <f t="shared" si="31"/>
        <v>51043.837299999999</v>
      </c>
      <c r="AB41" s="7">
        <f t="shared" si="31"/>
        <v>49317.497199999998</v>
      </c>
      <c r="AC41" s="7">
        <f t="shared" si="31"/>
        <v>271006.05460000003</v>
      </c>
      <c r="AD41" s="7">
        <f t="shared" si="31"/>
        <v>0</v>
      </c>
      <c r="AE41" s="7">
        <f t="shared" si="32"/>
        <v>385690.11560000002</v>
      </c>
      <c r="AF41" s="7"/>
      <c r="AG41"/>
    </row>
    <row r="42" spans="1:33" x14ac:dyDescent="0.2">
      <c r="A42" s="3" t="s">
        <v>129</v>
      </c>
      <c r="B42" s="7">
        <f>output_NHTS!B237</f>
        <v>559.07740000000001</v>
      </c>
      <c r="C42" s="7">
        <f>output_NHTS!C237</f>
        <v>9365.7160000000003</v>
      </c>
      <c r="D42" s="7">
        <f>output_NHTS!D237</f>
        <v>6319.7314999999999</v>
      </c>
      <c r="E42" s="7">
        <f>output_NHTS!E237</f>
        <v>32668.524099999999</v>
      </c>
      <c r="F42" s="7"/>
      <c r="G42" s="7">
        <f t="shared" si="33"/>
        <v>48913.048999999999</v>
      </c>
      <c r="H42" s="7"/>
      <c r="I42"/>
      <c r="L42"/>
      <c r="M42" s="3" t="s">
        <v>129</v>
      </c>
      <c r="N42" s="7">
        <f>output!B237</f>
        <v>5304</v>
      </c>
      <c r="O42" s="7">
        <f>output!C237</f>
        <v>31363</v>
      </c>
      <c r="P42" s="7">
        <f>output!D237</f>
        <v>32915</v>
      </c>
      <c r="Q42" s="7">
        <f>output!E237</f>
        <v>188540</v>
      </c>
      <c r="R42" s="7"/>
      <c r="S42" s="7">
        <f t="shared" si="34"/>
        <v>258122</v>
      </c>
      <c r="T42" s="7"/>
      <c r="X42"/>
      <c r="Y42" s="3" t="s">
        <v>129</v>
      </c>
      <c r="Z42" s="7">
        <f t="shared" si="31"/>
        <v>4744.9225999999999</v>
      </c>
      <c r="AA42" s="7">
        <f t="shared" si="31"/>
        <v>21997.284</v>
      </c>
      <c r="AB42" s="7">
        <f t="shared" si="31"/>
        <v>26595.268499999998</v>
      </c>
      <c r="AC42" s="7">
        <f t="shared" si="31"/>
        <v>155871.47589999999</v>
      </c>
      <c r="AD42" s="7">
        <f t="shared" si="31"/>
        <v>0</v>
      </c>
      <c r="AE42" s="7">
        <f t="shared" si="32"/>
        <v>209208.951</v>
      </c>
      <c r="AF42" s="7"/>
      <c r="AG42"/>
    </row>
    <row r="43" spans="1:33" x14ac:dyDescent="0.2">
      <c r="A43" s="3" t="s">
        <v>130</v>
      </c>
      <c r="B43" s="7">
        <f>output_NHTS!B238</f>
        <v>0</v>
      </c>
      <c r="C43" s="7">
        <f>output_NHTS!C238</f>
        <v>6053.4879000000001</v>
      </c>
      <c r="D43" s="7">
        <f>output_NHTS!D238</f>
        <v>7039.7741999999998</v>
      </c>
      <c r="E43" s="7">
        <f>output_NHTS!E238</f>
        <v>41314.502200000003</v>
      </c>
      <c r="F43" s="9"/>
      <c r="G43" s="7">
        <f t="shared" si="33"/>
        <v>54407.764300000003</v>
      </c>
      <c r="H43" s="7"/>
      <c r="I43"/>
      <c r="L43"/>
      <c r="M43" s="3" t="s">
        <v>130</v>
      </c>
      <c r="N43" s="9">
        <f>output!B238</f>
        <v>5788</v>
      </c>
      <c r="O43" s="9">
        <f>output!C238</f>
        <v>32296</v>
      </c>
      <c r="P43" s="9">
        <f>output!D238</f>
        <v>32924</v>
      </c>
      <c r="Q43" s="9">
        <f>output!E238</f>
        <v>203542</v>
      </c>
      <c r="R43" s="9"/>
      <c r="S43" s="9">
        <f t="shared" si="34"/>
        <v>274550</v>
      </c>
      <c r="T43" s="33"/>
      <c r="X43"/>
      <c r="Y43" s="3" t="s">
        <v>130</v>
      </c>
      <c r="Z43" s="9">
        <f t="shared" si="31"/>
        <v>5788</v>
      </c>
      <c r="AA43" s="9">
        <f t="shared" si="31"/>
        <v>26242.5121</v>
      </c>
      <c r="AB43" s="9">
        <f t="shared" si="31"/>
        <v>25884.2258</v>
      </c>
      <c r="AC43" s="9">
        <f t="shared" si="31"/>
        <v>162227.49780000001</v>
      </c>
      <c r="AD43" s="9">
        <f t="shared" si="31"/>
        <v>0</v>
      </c>
      <c r="AE43" s="9">
        <f t="shared" si="32"/>
        <v>220142.23569999999</v>
      </c>
      <c r="AF43" s="33"/>
      <c r="AG43"/>
    </row>
    <row r="44" spans="1:33" ht="13.5" thickBot="1" x14ac:dyDescent="0.25">
      <c r="A44" s="10" t="s">
        <v>221</v>
      </c>
      <c r="B44" s="11">
        <f>SUM(B37:B43)</f>
        <v>1955.2397999999998</v>
      </c>
      <c r="C44" s="11">
        <f>SUM(C37:C43)</f>
        <v>44094.352500000001</v>
      </c>
      <c r="D44" s="11">
        <f>SUM(D37:D43)</f>
        <v>43362.640100000004</v>
      </c>
      <c r="E44" s="11">
        <f>SUM(E37:E43)</f>
        <v>267096.13589999999</v>
      </c>
      <c r="F44" s="11"/>
      <c r="G44" s="11">
        <f>SUM(G37:G43)</f>
        <v>356508.36829999997</v>
      </c>
      <c r="H44" s="33"/>
      <c r="I44"/>
      <c r="L44"/>
      <c r="M44" s="10" t="s">
        <v>221</v>
      </c>
      <c r="N44" s="11">
        <f>SUM(N37:N43)</f>
        <v>42716</v>
      </c>
      <c r="O44" s="11">
        <f>SUM(O37:O43)</f>
        <v>216107</v>
      </c>
      <c r="P44" s="11">
        <f>SUM(P37:P43)</f>
        <v>215316</v>
      </c>
      <c r="Q44" s="11">
        <f>SUM(Q37:Q43)</f>
        <v>1246350</v>
      </c>
      <c r="R44" s="11"/>
      <c r="S44" s="11">
        <f>SUM(S37:S43)</f>
        <v>1720489</v>
      </c>
      <c r="T44" s="33"/>
      <c r="X44"/>
      <c r="Y44" s="10" t="s">
        <v>221</v>
      </c>
      <c r="Z44" s="11">
        <f t="shared" si="31"/>
        <v>40760.760199999997</v>
      </c>
      <c r="AA44" s="11">
        <f t="shared" si="31"/>
        <v>172012.64749999999</v>
      </c>
      <c r="AB44" s="11">
        <f t="shared" si="31"/>
        <v>171953.35989999998</v>
      </c>
      <c r="AC44" s="11">
        <f t="shared" si="31"/>
        <v>979253.86410000001</v>
      </c>
      <c r="AD44" s="11">
        <f t="shared" si="31"/>
        <v>0</v>
      </c>
      <c r="AE44" s="11">
        <f t="shared" si="32"/>
        <v>1363980.6317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9952.4868000000006</v>
      </c>
      <c r="C46" s="33">
        <f>ToursByTourPurpose!C50</f>
        <v>56947.638800000001</v>
      </c>
      <c r="D46" s="33">
        <f>ToursByTourPurpose!D50</f>
        <v>37966.100200000001</v>
      </c>
      <c r="E46" s="33">
        <f>ToursByTourPurpose!E50</f>
        <v>268210.74040000001</v>
      </c>
      <c r="F46" s="7"/>
      <c r="G46" s="33">
        <f>ToursByTourPurpose!G50</f>
        <v>373076.96620000002</v>
      </c>
      <c r="H46" s="33"/>
      <c r="I46"/>
      <c r="L46"/>
      <c r="M46" s="25" t="s">
        <v>88</v>
      </c>
      <c r="N46" s="33">
        <f>ToursByTourPurpose!N50</f>
        <v>33103</v>
      </c>
      <c r="O46" s="33">
        <f>ToursByTourPurpose!O50</f>
        <v>154992</v>
      </c>
      <c r="P46" s="33">
        <f>ToursByTourPurpose!P50</f>
        <v>148379</v>
      </c>
      <c r="Q46" s="33">
        <f>ToursByTourPurpose!Q50</f>
        <v>818426</v>
      </c>
      <c r="R46" s="33" t="e">
        <f>ToursByTourPurpose!#REF!</f>
        <v>#REF!</v>
      </c>
      <c r="S46" s="33">
        <f>ToursByTourPurpose!S50</f>
        <v>1154900</v>
      </c>
      <c r="T46" s="33"/>
      <c r="X46"/>
      <c r="Y46" s="25" t="s">
        <v>88</v>
      </c>
      <c r="Z46" s="7">
        <f t="shared" ref="Z46:AC47" si="35">N46-B46</f>
        <v>23150.513200000001</v>
      </c>
      <c r="AA46" s="7">
        <f t="shared" si="35"/>
        <v>98044.361199999999</v>
      </c>
      <c r="AB46" s="7">
        <f t="shared" si="35"/>
        <v>110412.8998</v>
      </c>
      <c r="AC46" s="7">
        <f t="shared" si="35"/>
        <v>550215.25959999999</v>
      </c>
      <c r="AD46" s="7"/>
      <c r="AE46" s="7">
        <f>S46-G46</f>
        <v>781823.03379999998</v>
      </c>
      <c r="AF46" s="7"/>
      <c r="AG46"/>
    </row>
    <row r="47" spans="1:33" x14ac:dyDescent="0.2">
      <c r="A47" s="25" t="s">
        <v>90</v>
      </c>
      <c r="B47" s="38">
        <f t="shared" ref="B47:G47" si="36">B44/B46</f>
        <v>0.19645741203093078</v>
      </c>
      <c r="C47" s="38">
        <f t="shared" si="36"/>
        <v>0.7742964138488565</v>
      </c>
      <c r="D47" s="38">
        <f t="shared" si="36"/>
        <v>1.1421410118914452</v>
      </c>
      <c r="E47" s="38">
        <f t="shared" si="36"/>
        <v>0.99584429580136224</v>
      </c>
      <c r="F47" s="38" t="e">
        <f t="shared" si="36"/>
        <v>#DIV/0!</v>
      </c>
      <c r="G47" s="38">
        <f t="shared" si="36"/>
        <v>0.95558933034981874</v>
      </c>
      <c r="H47" s="38"/>
      <c r="I47"/>
      <c r="L47"/>
      <c r="M47" s="25" t="s">
        <v>90</v>
      </c>
      <c r="N47" s="38">
        <f t="shared" ref="N47:S47" si="37">N44/N46</f>
        <v>1.290396640787844</v>
      </c>
      <c r="O47" s="38">
        <f t="shared" si="37"/>
        <v>1.3943106740993083</v>
      </c>
      <c r="P47" s="38">
        <f t="shared" si="37"/>
        <v>1.451121789471556</v>
      </c>
      <c r="Q47" s="38">
        <f t="shared" si="37"/>
        <v>1.5228621769103132</v>
      </c>
      <c r="R47" s="38" t="e">
        <f t="shared" si="37"/>
        <v>#REF!</v>
      </c>
      <c r="S47" s="38">
        <f t="shared" si="37"/>
        <v>1.4897298467399775</v>
      </c>
      <c r="T47" s="38"/>
      <c r="X47"/>
      <c r="Y47" s="25" t="s">
        <v>90</v>
      </c>
      <c r="Z47" s="38">
        <f t="shared" si="35"/>
        <v>1.0939392287569132</v>
      </c>
      <c r="AA47" s="38">
        <f t="shared" si="35"/>
        <v>0.62001426025045181</v>
      </c>
      <c r="AB47" s="38">
        <f t="shared" si="35"/>
        <v>0.30898077758011078</v>
      </c>
      <c r="AC47" s="38">
        <f t="shared" si="35"/>
        <v>0.52701788110895098</v>
      </c>
      <c r="AD47" s="38"/>
      <c r="AE47" s="38">
        <f>S47-G47</f>
        <v>0.5341405163901588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t="shared" ref="B53:G60" si="38">B37/B$44</f>
        <v>0</v>
      </c>
      <c r="C53" s="12">
        <f t="shared" si="38"/>
        <v>7.9960480199816969E-2</v>
      </c>
      <c r="D53" s="12">
        <f t="shared" si="38"/>
        <v>0.1013645845793416</v>
      </c>
      <c r="E53" s="12">
        <f t="shared" si="38"/>
        <v>5.7876397379959248E-2</v>
      </c>
      <c r="F53" s="12" t="e">
        <f t="shared" si="38"/>
        <v>#DIV/0!</v>
      </c>
      <c r="G53" s="12">
        <f t="shared" si="38"/>
        <v>6.55799576640681E-2</v>
      </c>
      <c r="H53" s="12"/>
      <c r="I53"/>
      <c r="L53"/>
      <c r="M53" s="3" t="s">
        <v>210</v>
      </c>
      <c r="N53" s="12">
        <f t="shared" ref="N53:Q60" si="39">N37/N$44</f>
        <v>2.7835003277460437E-2</v>
      </c>
      <c r="O53" s="12">
        <f t="shared" si="39"/>
        <v>5.0831301160998953E-2</v>
      </c>
      <c r="P53" s="12">
        <f t="shared" si="39"/>
        <v>6.1119470917163611E-2</v>
      </c>
      <c r="Q53" s="12">
        <f t="shared" si="39"/>
        <v>6.3852047980101898E-2</v>
      </c>
      <c r="R53" s="12" t="e">
        <f t="shared" ref="R53:S60" si="40">R37/R$44</f>
        <v>#DIV/0!</v>
      </c>
      <c r="S53" s="12">
        <f t="shared" si="40"/>
        <v>6.0980337566819663E-2</v>
      </c>
      <c r="T53" s="12"/>
      <c r="X53"/>
      <c r="Y53" s="3" t="s">
        <v>210</v>
      </c>
      <c r="Z53" s="12">
        <f t="shared" ref="Z53:AC60" si="41">N53-B53</f>
        <v>2.7835003277460437E-2</v>
      </c>
      <c r="AA53" s="12">
        <f t="shared" si="41"/>
        <v>-2.9129179038818016E-2</v>
      </c>
      <c r="AB53" s="12">
        <f t="shared" si="41"/>
        <v>-4.0245113662177985E-2</v>
      </c>
      <c r="AC53" s="12">
        <f t="shared" si="41"/>
        <v>5.9756506001426499E-3</v>
      </c>
      <c r="AD53" s="12"/>
      <c r="AE53" s="12">
        <f t="shared" ref="AE53:AE60" si="42">S53-G53</f>
        <v>-4.5996200972484372E-3</v>
      </c>
      <c r="AF53" s="12"/>
      <c r="AG53"/>
    </row>
    <row r="54" spans="1:41" x14ac:dyDescent="0.2">
      <c r="A54" s="3" t="s">
        <v>211</v>
      </c>
      <c r="B54" s="12">
        <f t="shared" si="38"/>
        <v>0</v>
      </c>
      <c r="C54" s="12">
        <f t="shared" si="38"/>
        <v>1.9545146966383053E-2</v>
      </c>
      <c r="D54" s="12">
        <f t="shared" si="38"/>
        <v>0</v>
      </c>
      <c r="E54" s="12">
        <f t="shared" si="38"/>
        <v>1.1304911206691852E-2</v>
      </c>
      <c r="F54" s="12" t="e">
        <f t="shared" si="38"/>
        <v>#DIV/0!</v>
      </c>
      <c r="G54" s="12">
        <f t="shared" si="38"/>
        <v>1.0887061974191533E-2</v>
      </c>
      <c r="H54" s="12"/>
      <c r="I54"/>
      <c r="L54"/>
      <c r="M54" s="3" t="s">
        <v>211</v>
      </c>
      <c r="N54" s="12">
        <f t="shared" si="39"/>
        <v>2.6617660829665699E-2</v>
      </c>
      <c r="O54" s="12">
        <f t="shared" si="39"/>
        <v>1.9309878902580666E-2</v>
      </c>
      <c r="P54" s="12">
        <f t="shared" si="39"/>
        <v>1.7485927659811627E-2</v>
      </c>
      <c r="Q54" s="12">
        <f t="shared" si="39"/>
        <v>1.9077305732739601E-2</v>
      </c>
      <c r="R54" s="12" t="e">
        <f t="shared" si="40"/>
        <v>#DIV/0!</v>
      </c>
      <c r="S54" s="12">
        <f t="shared" si="40"/>
        <v>1.9094571368953827E-2</v>
      </c>
      <c r="T54" s="12"/>
      <c r="X54"/>
      <c r="Y54" s="3" t="s">
        <v>211</v>
      </c>
      <c r="Z54" s="12">
        <f t="shared" si="41"/>
        <v>2.6617660829665699E-2</v>
      </c>
      <c r="AA54" s="12">
        <f t="shared" si="41"/>
        <v>-2.3526806380238727E-4</v>
      </c>
      <c r="AB54" s="12">
        <f t="shared" si="41"/>
        <v>1.7485927659811627E-2</v>
      </c>
      <c r="AC54" s="12">
        <f t="shared" si="41"/>
        <v>7.7723945260477489E-3</v>
      </c>
      <c r="AD54" s="12"/>
      <c r="AE54" s="12">
        <f t="shared" si="42"/>
        <v>8.207509394762294E-3</v>
      </c>
      <c r="AF54" s="12"/>
      <c r="AG54"/>
    </row>
    <row r="55" spans="1:41" x14ac:dyDescent="0.2">
      <c r="A55" s="3" t="s">
        <v>212</v>
      </c>
      <c r="B55" s="12">
        <f t="shared" si="38"/>
        <v>0.36920806337923362</v>
      </c>
      <c r="C55" s="12">
        <f t="shared" si="38"/>
        <v>6.4280939378801402E-2</v>
      </c>
      <c r="D55" s="12">
        <f t="shared" si="38"/>
        <v>8.8568800034848419E-2</v>
      </c>
      <c r="E55" s="12">
        <f t="shared" si="38"/>
        <v>0.20490797373605882</v>
      </c>
      <c r="F55" s="12" t="e">
        <f t="shared" si="38"/>
        <v>#DIV/0!</v>
      </c>
      <c r="G55" s="12">
        <f t="shared" si="38"/>
        <v>0.17426525496792947</v>
      </c>
      <c r="H55" s="12"/>
      <c r="I55"/>
      <c r="L55"/>
      <c r="M55" s="3" t="s">
        <v>212</v>
      </c>
      <c r="N55" s="12">
        <f t="shared" si="39"/>
        <v>6.2388800449480288E-2</v>
      </c>
      <c r="O55" s="12">
        <f t="shared" si="39"/>
        <v>8.1524430027717754E-2</v>
      </c>
      <c r="P55" s="12">
        <f t="shared" si="39"/>
        <v>0.11026584183246949</v>
      </c>
      <c r="Q55" s="12">
        <f t="shared" si="39"/>
        <v>0.12888995867934369</v>
      </c>
      <c r="R55" s="12" t="e">
        <f t="shared" si="40"/>
        <v>#DIV/0!</v>
      </c>
      <c r="S55" s="12">
        <f t="shared" si="40"/>
        <v>0.11895862164768273</v>
      </c>
      <c r="T55" s="12"/>
      <c r="X55"/>
      <c r="Y55" s="3" t="s">
        <v>212</v>
      </c>
      <c r="Z55" s="12">
        <f t="shared" si="41"/>
        <v>-0.30681926292975331</v>
      </c>
      <c r="AA55" s="12">
        <f t="shared" si="41"/>
        <v>1.7243490648916351E-2</v>
      </c>
      <c r="AB55" s="12">
        <f t="shared" si="41"/>
        <v>2.1697041797621067E-2</v>
      </c>
      <c r="AC55" s="12">
        <f t="shared" si="41"/>
        <v>-7.6018015056715127E-2</v>
      </c>
      <c r="AD55" s="12"/>
      <c r="AE55" s="12">
        <f t="shared" si="42"/>
        <v>-5.530663332024674E-2</v>
      </c>
      <c r="AF55" s="12"/>
      <c r="AG55"/>
    </row>
    <row r="56" spans="1:41" x14ac:dyDescent="0.2">
      <c r="A56" s="3" t="s">
        <v>213</v>
      </c>
      <c r="B56" s="12">
        <f t="shared" si="38"/>
        <v>0.22452417345432515</v>
      </c>
      <c r="C56" s="12">
        <f t="shared" si="38"/>
        <v>0.17532683578923175</v>
      </c>
      <c r="D56" s="12">
        <f t="shared" si="38"/>
        <v>0.20117821654498383</v>
      </c>
      <c r="E56" s="12">
        <f t="shared" si="38"/>
        <v>0.18274684444807801</v>
      </c>
      <c r="F56" s="12" t="e">
        <f t="shared" si="38"/>
        <v>#DIV/0!</v>
      </c>
      <c r="G56" s="12">
        <f t="shared" si="38"/>
        <v>0.18430006794317372</v>
      </c>
      <c r="H56" s="12"/>
      <c r="I56"/>
      <c r="L56"/>
      <c r="M56" s="3" t="s">
        <v>213</v>
      </c>
      <c r="N56" s="12">
        <f t="shared" si="39"/>
        <v>0.28268096263695103</v>
      </c>
      <c r="O56" s="12">
        <f t="shared" si="39"/>
        <v>0.25406858639470264</v>
      </c>
      <c r="P56" s="12">
        <f t="shared" si="39"/>
        <v>0.21572479518475171</v>
      </c>
      <c r="Q56" s="12">
        <f t="shared" si="39"/>
        <v>0.19911501584627112</v>
      </c>
      <c r="R56" s="12" t="e">
        <f t="shared" si="40"/>
        <v>#DIV/0!</v>
      </c>
      <c r="S56" s="12">
        <f t="shared" si="40"/>
        <v>0.21017106183183967</v>
      </c>
      <c r="T56" s="12"/>
      <c r="X56"/>
      <c r="Y56" s="3" t="s">
        <v>213</v>
      </c>
      <c r="Z56" s="12">
        <f t="shared" si="41"/>
        <v>5.8156789182625873E-2</v>
      </c>
      <c r="AA56" s="12">
        <f t="shared" si="41"/>
        <v>7.8741750605470895E-2</v>
      </c>
      <c r="AB56" s="12">
        <f t="shared" si="41"/>
        <v>1.4546578639767882E-2</v>
      </c>
      <c r="AC56" s="12">
        <f t="shared" si="41"/>
        <v>1.6368171398193104E-2</v>
      </c>
      <c r="AD56" s="12"/>
      <c r="AE56" s="12">
        <f t="shared" si="42"/>
        <v>2.5870993888665955E-2</v>
      </c>
      <c r="AF56" s="12"/>
      <c r="AG56"/>
    </row>
    <row r="57" spans="1:41" x14ac:dyDescent="0.2">
      <c r="A57" s="3" t="s">
        <v>214</v>
      </c>
      <c r="B57" s="12">
        <f t="shared" si="38"/>
        <v>0.12032974165112639</v>
      </c>
      <c r="C57" s="12">
        <f t="shared" si="38"/>
        <v>0.31120000458108554</v>
      </c>
      <c r="D57" s="12">
        <f t="shared" si="38"/>
        <v>0.30080047639903729</v>
      </c>
      <c r="E57" s="12">
        <f t="shared" si="38"/>
        <v>0.26617362007295142</v>
      </c>
      <c r="F57" s="12" t="e">
        <f t="shared" si="38"/>
        <v>#DIV/0!</v>
      </c>
      <c r="G57" s="12">
        <f t="shared" si="38"/>
        <v>0.27515450722170326</v>
      </c>
      <c r="H57" s="12"/>
      <c r="I57"/>
      <c r="L57"/>
      <c r="M57" s="3" t="s">
        <v>214</v>
      </c>
      <c r="N57" s="12">
        <f t="shared" si="39"/>
        <v>0.34080906451914972</v>
      </c>
      <c r="O57" s="12">
        <f t="shared" si="39"/>
        <v>0.29969413299893111</v>
      </c>
      <c r="P57" s="12">
        <f t="shared" si="39"/>
        <v>0.28962548068884802</v>
      </c>
      <c r="Q57" s="12">
        <f t="shared" si="39"/>
        <v>0.27448148593894173</v>
      </c>
      <c r="R57" s="12" t="e">
        <f t="shared" si="40"/>
        <v>#DIV/0!</v>
      </c>
      <c r="S57" s="12">
        <f t="shared" si="40"/>
        <v>0.28119040575092313</v>
      </c>
      <c r="T57" s="12"/>
      <c r="X57"/>
      <c r="Y57" s="3" t="s">
        <v>214</v>
      </c>
      <c r="Z57" s="12">
        <f t="shared" si="41"/>
        <v>0.22047932286802333</v>
      </c>
      <c r="AA57" s="12">
        <f t="shared" si="41"/>
        <v>-1.1505871582154437E-2</v>
      </c>
      <c r="AB57" s="12">
        <f t="shared" si="41"/>
        <v>-1.1174995710189262E-2</v>
      </c>
      <c r="AC57" s="12">
        <f t="shared" si="41"/>
        <v>8.3078658659903049E-3</v>
      </c>
      <c r="AD57" s="12"/>
      <c r="AE57" s="12">
        <f t="shared" si="42"/>
        <v>6.0358985292198741E-3</v>
      </c>
      <c r="AF57" s="12"/>
      <c r="AG57"/>
    </row>
    <row r="58" spans="1:41" x14ac:dyDescent="0.2">
      <c r="A58" s="3" t="s">
        <v>129</v>
      </c>
      <c r="B58" s="12">
        <f t="shared" si="38"/>
        <v>0.28593802151531494</v>
      </c>
      <c r="C58" s="12">
        <f t="shared" si="38"/>
        <v>0.21240171289509241</v>
      </c>
      <c r="D58" s="12">
        <f t="shared" si="38"/>
        <v>0.14574139133193598</v>
      </c>
      <c r="E58" s="12">
        <f t="shared" si="38"/>
        <v>0.122309983968585</v>
      </c>
      <c r="F58" s="12" t="e">
        <f t="shared" si="38"/>
        <v>#DIV/0!</v>
      </c>
      <c r="G58" s="12">
        <f t="shared" si="38"/>
        <v>0.1372002829365282</v>
      </c>
      <c r="H58" s="12"/>
      <c r="I58"/>
      <c r="L58"/>
      <c r="M58" s="3" t="s">
        <v>129</v>
      </c>
      <c r="N58" s="12">
        <f t="shared" si="39"/>
        <v>0.12416892967506321</v>
      </c>
      <c r="O58" s="12">
        <f t="shared" si="39"/>
        <v>0.14512718236799363</v>
      </c>
      <c r="P58" s="12">
        <f t="shared" si="39"/>
        <v>0.15286834234334654</v>
      </c>
      <c r="Q58" s="12">
        <f t="shared" si="39"/>
        <v>0.15127371926023991</v>
      </c>
      <c r="R58" s="12" t="e">
        <f t="shared" si="40"/>
        <v>#DIV/0!</v>
      </c>
      <c r="S58" s="12">
        <f t="shared" si="40"/>
        <v>0.15002827684454825</v>
      </c>
      <c r="T58" s="12"/>
      <c r="X58"/>
      <c r="Y58" s="3" t="s">
        <v>129</v>
      </c>
      <c r="Z58" s="12">
        <f t="shared" si="41"/>
        <v>-0.16176909184025173</v>
      </c>
      <c r="AA58" s="12">
        <f t="shared" si="41"/>
        <v>-6.727453052709878E-2</v>
      </c>
      <c r="AB58" s="12">
        <f t="shared" si="41"/>
        <v>7.1269510114105594E-3</v>
      </c>
      <c r="AC58" s="12">
        <f t="shared" si="41"/>
        <v>2.8963735291654913E-2</v>
      </c>
      <c r="AD58" s="12"/>
      <c r="AE58" s="12">
        <f t="shared" si="42"/>
        <v>1.2827993908020058E-2</v>
      </c>
      <c r="AF58" s="12"/>
      <c r="AG58"/>
    </row>
    <row r="59" spans="1:41" x14ac:dyDescent="0.2">
      <c r="A59" s="3" t="s">
        <v>130</v>
      </c>
      <c r="B59" s="13">
        <f t="shared" si="38"/>
        <v>0</v>
      </c>
      <c r="C59" s="13">
        <f t="shared" si="38"/>
        <v>0.1372848801895889</v>
      </c>
      <c r="D59" s="13">
        <f t="shared" si="38"/>
        <v>0.16234653110985278</v>
      </c>
      <c r="E59" s="13">
        <f t="shared" si="38"/>
        <v>0.15468026918767566</v>
      </c>
      <c r="F59" s="13" t="e">
        <f t="shared" si="38"/>
        <v>#DIV/0!</v>
      </c>
      <c r="G59" s="13">
        <f t="shared" si="38"/>
        <v>0.15261286729240572</v>
      </c>
      <c r="H59" s="34"/>
      <c r="I59"/>
      <c r="L59"/>
      <c r="M59" s="3" t="s">
        <v>130</v>
      </c>
      <c r="N59" s="13">
        <f t="shared" si="39"/>
        <v>0.13549957861222961</v>
      </c>
      <c r="O59" s="13">
        <f t="shared" si="39"/>
        <v>0.14944448814707528</v>
      </c>
      <c r="P59" s="13">
        <f t="shared" si="39"/>
        <v>0.15291014137360903</v>
      </c>
      <c r="Q59" s="13">
        <f t="shared" si="39"/>
        <v>0.16331046656236209</v>
      </c>
      <c r="R59" s="13" t="e">
        <f t="shared" si="40"/>
        <v>#DIV/0!</v>
      </c>
      <c r="S59" s="13">
        <f t="shared" si="40"/>
        <v>0.1595767249892327</v>
      </c>
      <c r="T59" s="34"/>
      <c r="X59"/>
      <c r="Y59" s="3" t="s">
        <v>130</v>
      </c>
      <c r="Z59" s="12">
        <f t="shared" si="41"/>
        <v>0.13549957861222961</v>
      </c>
      <c r="AA59" s="12">
        <f t="shared" si="41"/>
        <v>1.2159607957486385E-2</v>
      </c>
      <c r="AB59" s="12">
        <f t="shared" si="41"/>
        <v>-9.4363897362437499E-3</v>
      </c>
      <c r="AC59" s="12">
        <f t="shared" si="41"/>
        <v>8.6301973746864269E-3</v>
      </c>
      <c r="AD59" s="12"/>
      <c r="AE59" s="12">
        <f t="shared" si="42"/>
        <v>6.963857696826975E-3</v>
      </c>
      <c r="AF59" s="12"/>
      <c r="AG59"/>
    </row>
    <row r="60" spans="1:41" ht="13.5" thickBot="1" x14ac:dyDescent="0.25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154.3417</v>
      </c>
      <c r="C69" s="7">
        <f>output_NHTS!C242</f>
        <v>2653.0135</v>
      </c>
      <c r="D69" s="7">
        <f>output_NHTS!D242</f>
        <v>15761.099</v>
      </c>
      <c r="E69" s="7">
        <f>output_NHTS!E242</f>
        <v>7465.4892</v>
      </c>
      <c r="F69" s="7">
        <f>output_NHTS!F242</f>
        <v>26033.9434</v>
      </c>
      <c r="L69"/>
      <c r="M69" s="3" t="s">
        <v>210</v>
      </c>
      <c r="N69" s="7">
        <f>output!B242</f>
        <v>1816</v>
      </c>
      <c r="O69" s="7">
        <f>output!C242</f>
        <v>25394</v>
      </c>
      <c r="P69" s="7">
        <f>output!D242</f>
        <v>58750</v>
      </c>
      <c r="Q69" s="7">
        <f>output!E242</f>
        <v>18968</v>
      </c>
      <c r="R69" s="7">
        <f>output!F242</f>
        <v>104928</v>
      </c>
      <c r="X69"/>
      <c r="Y69" s="3" t="s">
        <v>210</v>
      </c>
      <c r="Z69" s="7">
        <f t="shared" ref="Z69:AB76" si="43">N69-B69</f>
        <v>1661.6583000000001</v>
      </c>
      <c r="AA69" s="7">
        <f t="shared" si="43"/>
        <v>22740.986499999999</v>
      </c>
      <c r="AB69" s="7">
        <f t="shared" si="43"/>
        <v>42988.900999999998</v>
      </c>
      <c r="AC69" s="7">
        <f t="shared" ref="AC69:AC76" si="44">Q69-E69</f>
        <v>11502.5108</v>
      </c>
      <c r="AD69" s="7">
        <f t="shared" ref="AD69:AD76" si="45">R69-F69</f>
        <v>78894.056599999996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0</v>
      </c>
      <c r="C70" s="7">
        <f>output_NHTS!C243</f>
        <v>386.01440000000002</v>
      </c>
      <c r="D70" s="7">
        <f>output_NHTS!D243</f>
        <v>3976.2211000000002</v>
      </c>
      <c r="E70" s="7">
        <f>output_NHTS!E243</f>
        <v>4.4429999999999996</v>
      </c>
      <c r="F70" s="7">
        <f>output_NHTS!F243</f>
        <v>4366.6785000000009</v>
      </c>
      <c r="L70"/>
      <c r="M70" s="3" t="s">
        <v>211</v>
      </c>
      <c r="N70" s="7">
        <f>output!B243</f>
        <v>573</v>
      </c>
      <c r="O70" s="7">
        <f>output!C243</f>
        <v>10836</v>
      </c>
      <c r="P70" s="7">
        <f>output!D243</f>
        <v>16645</v>
      </c>
      <c r="Q70" s="7">
        <f>output!E243</f>
        <v>4801</v>
      </c>
      <c r="R70" s="7">
        <f>output!F243</f>
        <v>32855</v>
      </c>
      <c r="X70"/>
      <c r="Y70" s="3" t="s">
        <v>211</v>
      </c>
      <c r="Z70" s="7">
        <f t="shared" si="43"/>
        <v>573</v>
      </c>
      <c r="AA70" s="7">
        <f t="shared" si="43"/>
        <v>10449.9856</v>
      </c>
      <c r="AB70" s="7">
        <f t="shared" si="43"/>
        <v>12668.778899999999</v>
      </c>
      <c r="AC70" s="7">
        <f t="shared" si="44"/>
        <v>4796.5569999999998</v>
      </c>
      <c r="AD70" s="7">
        <f t="shared" si="45"/>
        <v>28488.321499999998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0</v>
      </c>
      <c r="C71" s="7">
        <f>output_NHTS!C244</f>
        <v>13803.9995</v>
      </c>
      <c r="D71" s="7">
        <f>output_NHTS!D244</f>
        <v>49139.421699999999</v>
      </c>
      <c r="E71" s="7">
        <f>output_NHTS!E244</f>
        <v>5671.2177000000001</v>
      </c>
      <c r="F71" s="7">
        <f>output_NHTS!F244</f>
        <v>68614.638899999991</v>
      </c>
      <c r="L71"/>
      <c r="M71" s="3" t="s">
        <v>212</v>
      </c>
      <c r="N71" s="7">
        <f>output!B244</f>
        <v>2133</v>
      </c>
      <c r="O71" s="7">
        <f>output!C244</f>
        <v>52845</v>
      </c>
      <c r="P71" s="7">
        <f>output!D244</f>
        <v>114563</v>
      </c>
      <c r="Q71" s="7">
        <f>output!E244</f>
        <v>35146</v>
      </c>
      <c r="R71" s="7">
        <f>output!F244</f>
        <v>204687</v>
      </c>
      <c r="X71"/>
      <c r="Y71" s="3" t="s">
        <v>212</v>
      </c>
      <c r="Z71" s="7">
        <f t="shared" si="43"/>
        <v>2133</v>
      </c>
      <c r="AA71" s="7">
        <f t="shared" si="43"/>
        <v>39041.000500000002</v>
      </c>
      <c r="AB71" s="7">
        <f t="shared" si="43"/>
        <v>65423.578300000001</v>
      </c>
      <c r="AC71" s="7">
        <f t="shared" si="44"/>
        <v>29474.782299999999</v>
      </c>
      <c r="AD71" s="7">
        <f t="shared" si="45"/>
        <v>136072.36110000001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430.25069999999999</v>
      </c>
      <c r="C72" s="7">
        <f>output_NHTS!C245</f>
        <v>11798.4884</v>
      </c>
      <c r="D72" s="7">
        <f>output_NHTS!D245</f>
        <v>52511.149299999997</v>
      </c>
      <c r="E72" s="7">
        <f>output_NHTS!E245</f>
        <v>9249.4133999999995</v>
      </c>
      <c r="F72" s="7">
        <f>output_NHTS!F245</f>
        <v>73989.301800000001</v>
      </c>
      <c r="L72"/>
      <c r="M72" s="3" t="s">
        <v>213</v>
      </c>
      <c r="N72" s="7">
        <f>output!B245</f>
        <v>8593</v>
      </c>
      <c r="O72" s="7">
        <f>output!C245</f>
        <v>86880</v>
      </c>
      <c r="P72" s="7">
        <f>output!D245</f>
        <v>203555</v>
      </c>
      <c r="Q72" s="7">
        <f>output!E245</f>
        <v>62646</v>
      </c>
      <c r="R72" s="7">
        <f>output!F245</f>
        <v>361674</v>
      </c>
      <c r="X72"/>
      <c r="Y72" s="3" t="s">
        <v>213</v>
      </c>
      <c r="Z72" s="7">
        <f t="shared" si="43"/>
        <v>8162.7493000000004</v>
      </c>
      <c r="AA72" s="7">
        <f t="shared" si="43"/>
        <v>75081.511599999998</v>
      </c>
      <c r="AB72" s="7">
        <f t="shared" si="43"/>
        <v>151043.85070000001</v>
      </c>
      <c r="AC72" s="7">
        <f t="shared" si="44"/>
        <v>53396.586600000002</v>
      </c>
      <c r="AD72" s="7">
        <f t="shared" si="45"/>
        <v>287684.69819999998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1355.1786</v>
      </c>
      <c r="C73" s="7">
        <f>output_NHTS!C246</f>
        <v>14845.4139</v>
      </c>
      <c r="D73" s="7">
        <f>output_NHTS!D246</f>
        <v>70061.812300000005</v>
      </c>
      <c r="E73" s="7">
        <f>output_NHTS!E246</f>
        <v>21821.172200000001</v>
      </c>
      <c r="F73" s="7">
        <f>output_NHTS!F246</f>
        <v>108083.577</v>
      </c>
      <c r="L73"/>
      <c r="M73" s="3" t="s">
        <v>214</v>
      </c>
      <c r="N73" s="7">
        <f>output!B246</f>
        <v>10994</v>
      </c>
      <c r="O73" s="7">
        <f>output!C246</f>
        <v>119169</v>
      </c>
      <c r="P73" s="7">
        <f>output!D246</f>
        <v>270237</v>
      </c>
      <c r="Q73" s="7">
        <f>output!E246</f>
        <v>83490</v>
      </c>
      <c r="R73" s="7">
        <f>output!F246</f>
        <v>483890</v>
      </c>
      <c r="X73"/>
      <c r="Y73" s="3" t="s">
        <v>214</v>
      </c>
      <c r="Z73" s="7">
        <f t="shared" si="43"/>
        <v>9638.8214000000007</v>
      </c>
      <c r="AA73" s="7">
        <f t="shared" si="43"/>
        <v>104323.5861</v>
      </c>
      <c r="AB73" s="7">
        <f t="shared" si="43"/>
        <v>200175.18770000001</v>
      </c>
      <c r="AC73" s="7">
        <f t="shared" si="44"/>
        <v>61668.827799999999</v>
      </c>
      <c r="AD73" s="7">
        <f t="shared" si="45"/>
        <v>375806.42300000001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1647.4991</v>
      </c>
      <c r="C74" s="7">
        <f>output_NHTS!C247</f>
        <v>13718.872799999999</v>
      </c>
      <c r="D74" s="7">
        <f>output_NHTS!D247</f>
        <v>28184.2925</v>
      </c>
      <c r="E74" s="7">
        <f>output_NHTS!E247</f>
        <v>8298.9634000000005</v>
      </c>
      <c r="F74" s="7">
        <f>output_NHTS!F247</f>
        <v>51849.627799999995</v>
      </c>
      <c r="L74"/>
      <c r="M74" s="3" t="s">
        <v>129</v>
      </c>
      <c r="N74" s="7">
        <f>output!B247</f>
        <v>4825</v>
      </c>
      <c r="O74" s="7">
        <f>output!C247</f>
        <v>71611</v>
      </c>
      <c r="P74" s="7">
        <f>output!D247</f>
        <v>138623</v>
      </c>
      <c r="Q74" s="7">
        <f>output!E247</f>
        <v>43109</v>
      </c>
      <c r="R74" s="7">
        <f>output!F247</f>
        <v>258168</v>
      </c>
      <c r="X74"/>
      <c r="Y74" s="3" t="s">
        <v>129</v>
      </c>
      <c r="Z74" s="7">
        <f t="shared" si="43"/>
        <v>3177.5009</v>
      </c>
      <c r="AA74" s="7">
        <f t="shared" si="43"/>
        <v>57892.127200000003</v>
      </c>
      <c r="AB74" s="7">
        <f t="shared" si="43"/>
        <v>110438.7075</v>
      </c>
      <c r="AC74" s="7">
        <f t="shared" si="44"/>
        <v>34810.036599999999</v>
      </c>
      <c r="AD74" s="7">
        <f t="shared" si="45"/>
        <v>206318.37220000001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974.44029999999998</v>
      </c>
      <c r="C75" s="7">
        <f>output_NHTS!C248</f>
        <v>14110.696599999999</v>
      </c>
      <c r="D75" s="7">
        <f>output_NHTS!D248</f>
        <v>38761.112399999998</v>
      </c>
      <c r="E75" s="7">
        <f>output_NHTS!E248</f>
        <v>7954.5219999999999</v>
      </c>
      <c r="F75" s="7">
        <f>output_NHTS!F248</f>
        <v>61800.771299999993</v>
      </c>
      <c r="L75"/>
      <c r="M75" s="3" t="s">
        <v>130</v>
      </c>
      <c r="N75" s="9">
        <f>output!B248</f>
        <v>4341</v>
      </c>
      <c r="O75" s="9">
        <f>output!C248</f>
        <v>64804</v>
      </c>
      <c r="P75" s="9">
        <f>output!D248</f>
        <v>156439</v>
      </c>
      <c r="Q75" s="9">
        <f>output!E248</f>
        <v>49023</v>
      </c>
      <c r="R75" s="9">
        <f>output!F248</f>
        <v>274607</v>
      </c>
      <c r="X75"/>
      <c r="Y75" s="3" t="s">
        <v>130</v>
      </c>
      <c r="Z75" s="9">
        <f t="shared" si="43"/>
        <v>3366.5596999999998</v>
      </c>
      <c r="AA75" s="9">
        <f t="shared" si="43"/>
        <v>50693.303400000004</v>
      </c>
      <c r="AB75" s="9">
        <f t="shared" si="43"/>
        <v>117677.8876</v>
      </c>
      <c r="AC75" s="9">
        <f t="shared" si="44"/>
        <v>41068.478000000003</v>
      </c>
      <c r="AD75" s="9">
        <f t="shared" si="45"/>
        <v>212806.22870000001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221</v>
      </c>
      <c r="B76" s="11">
        <f>SUM(B69:B75)</f>
        <v>4561.7103999999999</v>
      </c>
      <c r="C76" s="11">
        <f>SUM(C69:C75)</f>
        <v>71316.499100000001</v>
      </c>
      <c r="D76" s="11">
        <f>SUM(D69:D75)</f>
        <v>258395.10830000002</v>
      </c>
      <c r="E76" s="11">
        <f>SUM(E69:E75)</f>
        <v>60465.2209</v>
      </c>
      <c r="F76" s="11">
        <f>SUM(F69:F75)</f>
        <v>394738.53870000003</v>
      </c>
      <c r="L76"/>
      <c r="M76" s="10" t="s">
        <v>221</v>
      </c>
      <c r="N76" s="11">
        <f>SUM(N69:N75)</f>
        <v>33275</v>
      </c>
      <c r="O76" s="11">
        <f>SUM(O69:O75)</f>
        <v>431539</v>
      </c>
      <c r="P76" s="11">
        <f>SUM(P69:P75)</f>
        <v>958812</v>
      </c>
      <c r="Q76" s="11">
        <f>SUM(Q69:Q75)</f>
        <v>297183</v>
      </c>
      <c r="R76" s="11">
        <f>SUM(R69:R75)</f>
        <v>1720809</v>
      </c>
      <c r="X76"/>
      <c r="Y76" s="10" t="s">
        <v>221</v>
      </c>
      <c r="Z76" s="11">
        <f t="shared" si="43"/>
        <v>28713.2896</v>
      </c>
      <c r="AA76" s="11">
        <f t="shared" si="43"/>
        <v>360222.50089999998</v>
      </c>
      <c r="AB76" s="11">
        <f t="shared" si="43"/>
        <v>700416.89170000004</v>
      </c>
      <c r="AC76" s="11">
        <f t="shared" si="44"/>
        <v>236717.77909999999</v>
      </c>
      <c r="AD76" s="11">
        <f t="shared" si="45"/>
        <v>1326070.4613000001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13603.1626</v>
      </c>
      <c r="C78" s="7">
        <f>ToursByTourPurpose!C84</f>
        <v>77411.448999999993</v>
      </c>
      <c r="D78" s="7">
        <f>ToursByTourPurpose!D84</f>
        <v>248525.38699999999</v>
      </c>
      <c r="E78" s="7">
        <f>ToursByTourPurpose!E84</f>
        <v>76064.547200000001</v>
      </c>
      <c r="F78" s="7">
        <f>ToursByTourPurpose!F84</f>
        <v>415604.54579999996</v>
      </c>
      <c r="L78"/>
      <c r="M78" s="25" t="s">
        <v>88</v>
      </c>
      <c r="N78" s="53">
        <f>ToursByTourPurpose!N84</f>
        <v>26477</v>
      </c>
      <c r="O78" s="53">
        <f>ToursByTourPurpose!O84</f>
        <v>301126</v>
      </c>
      <c r="P78" s="53">
        <f>ToursByTourPurpose!P84</f>
        <v>633787</v>
      </c>
      <c r="Q78" s="53">
        <f>ToursByTourPurpose!Q84</f>
        <v>193731</v>
      </c>
      <c r="R78" s="53">
        <f>ToursByTourPurpose!R84</f>
        <v>1155121</v>
      </c>
      <c r="X78"/>
      <c r="Y78" s="25" t="s">
        <v>88</v>
      </c>
      <c r="Z78" s="7">
        <f t="shared" ref="Z78:AD79" si="46">N78-B78</f>
        <v>12873.8374</v>
      </c>
      <c r="AA78" s="7">
        <f t="shared" si="46"/>
        <v>223714.55100000001</v>
      </c>
      <c r="AB78" s="7">
        <f t="shared" si="46"/>
        <v>385261.61300000001</v>
      </c>
      <c r="AC78" s="7">
        <f t="shared" si="46"/>
        <v>117666.4528</v>
      </c>
      <c r="AD78" s="7">
        <f t="shared" si="46"/>
        <v>739516.45420000004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0.33534190056656382</v>
      </c>
      <c r="C79" s="38">
        <f>C76/C78</f>
        <v>0.92126552365658476</v>
      </c>
      <c r="D79" s="38">
        <f>D76/D78</f>
        <v>1.039713131198142</v>
      </c>
      <c r="E79" s="38">
        <f>E76/E78</f>
        <v>0.79491988220236198</v>
      </c>
      <c r="F79" s="38">
        <f>F76/F78</f>
        <v>0.94979360232974641</v>
      </c>
      <c r="L79"/>
      <c r="M79" s="25" t="s">
        <v>90</v>
      </c>
      <c r="N79" s="38">
        <f>N76/N78</f>
        <v>1.2567511425010387</v>
      </c>
      <c r="O79" s="38">
        <f>O76/O78</f>
        <v>1.4330844895492252</v>
      </c>
      <c r="P79" s="38">
        <f>P76/P78</f>
        <v>1.5128300201802813</v>
      </c>
      <c r="Q79" s="38">
        <f>Q76/Q78</f>
        <v>1.5339981727240348</v>
      </c>
      <c r="R79" s="38">
        <f>R76/R78</f>
        <v>1.4897218559787242</v>
      </c>
      <c r="X79"/>
      <c r="Y79" s="25" t="s">
        <v>90</v>
      </c>
      <c r="Z79" s="38">
        <f t="shared" si="46"/>
        <v>0.92140924193447482</v>
      </c>
      <c r="AA79" s="38">
        <f t="shared" si="46"/>
        <v>0.51181896589264042</v>
      </c>
      <c r="AB79" s="38">
        <f t="shared" si="46"/>
        <v>0.47311688898213933</v>
      </c>
      <c r="AC79" s="38">
        <f t="shared" si="46"/>
        <v>0.73907829052167284</v>
      </c>
      <c r="AD79" s="38">
        <f t="shared" si="46"/>
        <v>0.53992825364897779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t="shared" ref="B85:F90" si="47">B69/B$76</f>
        <v>3.3834173252208208E-2</v>
      </c>
      <c r="C85" s="12">
        <f t="shared" si="47"/>
        <v>3.7200557142884207E-2</v>
      </c>
      <c r="D85" s="12">
        <f t="shared" si="47"/>
        <v>6.0996119871205776E-2</v>
      </c>
      <c r="E85" s="12">
        <f t="shared" si="47"/>
        <v>0.12346749236799695</v>
      </c>
      <c r="F85" s="12">
        <f t="shared" si="47"/>
        <v>6.5952373147395452E-2</v>
      </c>
      <c r="L85"/>
      <c r="M85" s="3" t="s">
        <v>210</v>
      </c>
      <c r="N85" s="12">
        <f t="shared" ref="N85:R92" si="48">N69/N$76</f>
        <v>5.4575507137490611E-2</v>
      </c>
      <c r="O85" s="12">
        <f t="shared" si="48"/>
        <v>5.8845202866948297E-2</v>
      </c>
      <c r="P85" s="12">
        <f t="shared" si="48"/>
        <v>6.127374292353454E-2</v>
      </c>
      <c r="Q85" s="12">
        <f t="shared" si="48"/>
        <v>6.3825992738480997E-2</v>
      </c>
      <c r="R85" s="12">
        <f t="shared" si="48"/>
        <v>6.0975971185645822E-2</v>
      </c>
      <c r="X85"/>
      <c r="Y85" s="3" t="s">
        <v>210</v>
      </c>
      <c r="Z85" s="12">
        <f t="shared" ref="Z85:AB92" si="49">N85-B85</f>
        <v>2.0741333885282404E-2</v>
      </c>
      <c r="AA85" s="12">
        <f t="shared" si="49"/>
        <v>2.164464572406409E-2</v>
      </c>
      <c r="AB85" s="12">
        <f t="shared" si="49"/>
        <v>2.77623052328764E-4</v>
      </c>
      <c r="AC85" s="12">
        <f t="shared" ref="AC85:AC92" si="50">Q85-E85</f>
        <v>-5.9641499629515954E-2</v>
      </c>
      <c r="AD85" s="12">
        <f t="shared" ref="AD85:AD92" si="51">R85-F85</f>
        <v>-4.9764019617496297E-3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t="shared" si="47"/>
        <v>0</v>
      </c>
      <c r="C86" s="12">
        <f t="shared" si="47"/>
        <v>5.4126941853768033E-3</v>
      </c>
      <c r="D86" s="12">
        <f t="shared" si="47"/>
        <v>1.5388143862938601E-2</v>
      </c>
      <c r="E86" s="12">
        <f t="shared" si="47"/>
        <v>7.3480257474756028E-5</v>
      </c>
      <c r="F86" s="12">
        <f t="shared" si="47"/>
        <v>1.1062204654201909E-2</v>
      </c>
      <c r="L86"/>
      <c r="M86" s="3" t="s">
        <v>211</v>
      </c>
      <c r="N86" s="12">
        <f t="shared" si="48"/>
        <v>1.7220135236664161E-2</v>
      </c>
      <c r="O86" s="12">
        <f t="shared" si="48"/>
        <v>2.5110129096095602E-2</v>
      </c>
      <c r="P86" s="12">
        <f t="shared" si="48"/>
        <v>1.7360024697229488E-2</v>
      </c>
      <c r="Q86" s="12">
        <f t="shared" si="48"/>
        <v>1.6155029056170778E-2</v>
      </c>
      <c r="R86" s="12">
        <f t="shared" si="48"/>
        <v>1.9092763926734459E-2</v>
      </c>
      <c r="X86"/>
      <c r="Y86" s="3" t="s">
        <v>211</v>
      </c>
      <c r="Z86" s="12">
        <f t="shared" si="49"/>
        <v>1.7220135236664161E-2</v>
      </c>
      <c r="AA86" s="12">
        <f t="shared" si="49"/>
        <v>1.9697434910718799E-2</v>
      </c>
      <c r="AB86" s="12">
        <f t="shared" si="49"/>
        <v>1.9718808342908869E-3</v>
      </c>
      <c r="AC86" s="12">
        <f t="shared" si="50"/>
        <v>1.608154879869602E-2</v>
      </c>
      <c r="AD86" s="12">
        <f t="shared" si="51"/>
        <v>8.03055927253255E-3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t="shared" si="47"/>
        <v>0</v>
      </c>
      <c r="C87" s="12">
        <f t="shared" si="47"/>
        <v>0.19355969059339312</v>
      </c>
      <c r="D87" s="12">
        <f t="shared" si="47"/>
        <v>0.19017164072219395</v>
      </c>
      <c r="E87" s="12">
        <f t="shared" si="47"/>
        <v>9.3793053520457748E-2</v>
      </c>
      <c r="F87" s="12">
        <f t="shared" si="47"/>
        <v>0.17382300478177248</v>
      </c>
      <c r="L87"/>
      <c r="M87" s="3" t="s">
        <v>212</v>
      </c>
      <c r="N87" s="12">
        <f t="shared" si="48"/>
        <v>6.4102178812922614E-2</v>
      </c>
      <c r="O87" s="12">
        <f t="shared" si="48"/>
        <v>0.12245706645285825</v>
      </c>
      <c r="P87" s="12">
        <f t="shared" si="48"/>
        <v>0.11948432017955553</v>
      </c>
      <c r="Q87" s="12">
        <f t="shared" si="48"/>
        <v>0.11826383070364052</v>
      </c>
      <c r="R87" s="12">
        <f t="shared" si="48"/>
        <v>0.11894812265626226</v>
      </c>
      <c r="X87"/>
      <c r="Y87" s="3" t="s">
        <v>212</v>
      </c>
      <c r="Z87" s="12">
        <f t="shared" si="49"/>
        <v>6.4102178812922614E-2</v>
      </c>
      <c r="AA87" s="12">
        <f t="shared" si="49"/>
        <v>-7.1102624140534865E-2</v>
      </c>
      <c r="AB87" s="12">
        <f t="shared" si="49"/>
        <v>-7.0687320542638418E-2</v>
      </c>
      <c r="AC87" s="12">
        <f t="shared" si="50"/>
        <v>2.4470777183182774E-2</v>
      </c>
      <c r="AD87" s="12">
        <f t="shared" si="51"/>
        <v>-5.4874882125510227E-2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t="shared" si="47"/>
        <v>9.431784621838335E-2</v>
      </c>
      <c r="C88" s="12">
        <f t="shared" si="47"/>
        <v>0.16543841255382094</v>
      </c>
      <c r="D88" s="12">
        <f t="shared" si="47"/>
        <v>0.20322036916826569</v>
      </c>
      <c r="E88" s="12">
        <f t="shared" si="47"/>
        <v>0.15297080308855696</v>
      </c>
      <c r="F88" s="12">
        <f t="shared" si="47"/>
        <v>0.18743875894071652</v>
      </c>
      <c r="L88"/>
      <c r="M88" s="3" t="s">
        <v>213</v>
      </c>
      <c r="N88" s="12">
        <f t="shared" si="48"/>
        <v>0.2582419233658903</v>
      </c>
      <c r="O88" s="12">
        <f t="shared" si="48"/>
        <v>0.20132595199970338</v>
      </c>
      <c r="P88" s="12">
        <f t="shared" si="48"/>
        <v>0.21229917856680977</v>
      </c>
      <c r="Q88" s="12">
        <f t="shared" si="48"/>
        <v>0.21079940642634337</v>
      </c>
      <c r="R88" s="12">
        <f t="shared" si="48"/>
        <v>0.21017672501712859</v>
      </c>
      <c r="X88"/>
      <c r="Y88" s="3" t="s">
        <v>213</v>
      </c>
      <c r="Z88" s="12">
        <f t="shared" si="49"/>
        <v>0.16392407714750695</v>
      </c>
      <c r="AA88" s="12">
        <f t="shared" si="49"/>
        <v>3.5887539445882438E-2</v>
      </c>
      <c r="AB88" s="12">
        <f t="shared" si="49"/>
        <v>9.0788093985440799E-3</v>
      </c>
      <c r="AC88" s="12">
        <f t="shared" si="50"/>
        <v>5.7828603337786416E-2</v>
      </c>
      <c r="AD88" s="12">
        <f t="shared" si="51"/>
        <v>2.2737966076412069E-2</v>
      </c>
    </row>
    <row r="89" spans="1:41" x14ac:dyDescent="0.2">
      <c r="A89" s="3" t="s">
        <v>214</v>
      </c>
      <c r="B89" s="12">
        <f t="shared" si="47"/>
        <v>0.29707685959196356</v>
      </c>
      <c r="C89" s="12">
        <f t="shared" si="47"/>
        <v>0.20816240403477684</v>
      </c>
      <c r="D89" s="12">
        <f t="shared" si="47"/>
        <v>0.27114217742333319</v>
      </c>
      <c r="E89" s="12">
        <f t="shared" si="47"/>
        <v>0.36088799272045663</v>
      </c>
      <c r="F89" s="12">
        <f t="shared" si="47"/>
        <v>0.27381055155129702</v>
      </c>
      <c r="L89"/>
      <c r="M89" s="3" t="s">
        <v>214</v>
      </c>
      <c r="N89" s="12">
        <f t="shared" si="48"/>
        <v>0.33039819684447785</v>
      </c>
      <c r="O89" s="12">
        <f t="shared" si="48"/>
        <v>0.27614885329020089</v>
      </c>
      <c r="P89" s="12">
        <f t="shared" si="48"/>
        <v>0.28184565900301622</v>
      </c>
      <c r="Q89" s="12">
        <f t="shared" si="48"/>
        <v>0.28093800789412582</v>
      </c>
      <c r="R89" s="12">
        <f t="shared" si="48"/>
        <v>0.28119913366329441</v>
      </c>
      <c r="X89"/>
      <c r="Y89" s="3" t="s">
        <v>214</v>
      </c>
      <c r="Z89" s="12">
        <f t="shared" si="49"/>
        <v>3.3321337252514294E-2</v>
      </c>
      <c r="AA89" s="12">
        <f t="shared" si="49"/>
        <v>6.7986449255424047E-2</v>
      </c>
      <c r="AB89" s="12">
        <f t="shared" si="49"/>
        <v>1.0703481579683038E-2</v>
      </c>
      <c r="AC89" s="12">
        <f t="shared" si="50"/>
        <v>-7.9949984826330811E-2</v>
      </c>
      <c r="AD89" s="12">
        <f t="shared" si="51"/>
        <v>7.3885821119973882E-3</v>
      </c>
    </row>
    <row r="90" spans="1:41" x14ac:dyDescent="0.2">
      <c r="A90" s="3" t="s">
        <v>129</v>
      </c>
      <c r="B90" s="12">
        <f t="shared" si="47"/>
        <v>0.36115819627655454</v>
      </c>
      <c r="C90" s="12">
        <f t="shared" si="47"/>
        <v>0.19236604394676463</v>
      </c>
      <c r="D90" s="12">
        <f t="shared" si="47"/>
        <v>0.10907440425411488</v>
      </c>
      <c r="E90" s="12">
        <f t="shared" si="47"/>
        <v>0.13725184951734792</v>
      </c>
      <c r="F90" s="12">
        <f t="shared" si="47"/>
        <v>0.13135182587126498</v>
      </c>
      <c r="L90"/>
      <c r="M90" s="3" t="s">
        <v>129</v>
      </c>
      <c r="N90" s="12">
        <f t="shared" si="48"/>
        <v>0.14500375657400449</v>
      </c>
      <c r="O90" s="12">
        <f t="shared" si="48"/>
        <v>0.1659432867017813</v>
      </c>
      <c r="P90" s="12">
        <f t="shared" si="48"/>
        <v>0.14457787345172984</v>
      </c>
      <c r="Q90" s="12">
        <f t="shared" si="48"/>
        <v>0.14505876850290897</v>
      </c>
      <c r="R90" s="12">
        <f t="shared" si="48"/>
        <v>0.1500271093421757</v>
      </c>
      <c r="X90"/>
      <c r="Y90" s="3" t="s">
        <v>129</v>
      </c>
      <c r="Z90" s="12">
        <f t="shared" si="49"/>
        <v>-0.21615443970255005</v>
      </c>
      <c r="AA90" s="12">
        <f t="shared" si="49"/>
        <v>-2.642275724498333E-2</v>
      </c>
      <c r="AB90" s="12">
        <f t="shared" si="49"/>
        <v>3.5503469197614962E-2</v>
      </c>
      <c r="AC90" s="12">
        <f t="shared" si="50"/>
        <v>7.8069189855610455E-3</v>
      </c>
      <c r="AD90" s="12">
        <f t="shared" si="51"/>
        <v>1.8675283470910714E-2</v>
      </c>
    </row>
    <row r="91" spans="1:41" x14ac:dyDescent="0.2">
      <c r="A91" s="3" t="s">
        <v>130</v>
      </c>
      <c r="B91" s="13">
        <f t="shared" ref="B91:F92" si="52">B75/B$76</f>
        <v>0.21361292466089035</v>
      </c>
      <c r="C91" s="13">
        <f t="shared" si="52"/>
        <v>0.19786019754298342</v>
      </c>
      <c r="D91" s="13">
        <f t="shared" si="52"/>
        <v>0.15000714469794782</v>
      </c>
      <c r="E91" s="13">
        <f t="shared" si="52"/>
        <v>0.13155532852770907</v>
      </c>
      <c r="F91" s="13">
        <f t="shared" si="52"/>
        <v>0.15656128105335154</v>
      </c>
      <c r="L91"/>
      <c r="M91" s="3" t="s">
        <v>130</v>
      </c>
      <c r="N91" s="13">
        <f t="shared" si="48"/>
        <v>0.13045830202854997</v>
      </c>
      <c r="O91" s="13">
        <f t="shared" si="48"/>
        <v>0.15016950959241226</v>
      </c>
      <c r="P91" s="13">
        <f t="shared" si="48"/>
        <v>0.1631592011781246</v>
      </c>
      <c r="Q91" s="13">
        <f t="shared" si="48"/>
        <v>0.16495896467832952</v>
      </c>
      <c r="R91" s="13">
        <f t="shared" si="48"/>
        <v>0.15958017420875878</v>
      </c>
      <c r="X91"/>
      <c r="Y91" s="3" t="s">
        <v>130</v>
      </c>
      <c r="Z91" s="12">
        <f t="shared" si="49"/>
        <v>-8.3154622632340386E-2</v>
      </c>
      <c r="AA91" s="12">
        <f t="shared" si="49"/>
        <v>-4.7690687950571159E-2</v>
      </c>
      <c r="AB91" s="12">
        <f t="shared" si="49"/>
        <v>1.3152056480176783E-2</v>
      </c>
      <c r="AC91" s="12">
        <f t="shared" si="50"/>
        <v>3.3403636150620447E-2</v>
      </c>
      <c r="AD91" s="12">
        <f t="shared" si="51"/>
        <v>3.0188931554072373E-3</v>
      </c>
    </row>
    <row r="92" spans="1:41" ht="13.5" thickBot="1" x14ac:dyDescent="0.25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0</v>
      </c>
      <c r="G101" s="7">
        <f>output_NHTS!G252</f>
        <v>0</v>
      </c>
      <c r="H101" s="7">
        <f>output_NHTS!H252</f>
        <v>0</v>
      </c>
      <c r="I101" s="7">
        <f>SUM(B101:H101)</f>
        <v>26033.9434</v>
      </c>
      <c r="J101" s="33"/>
      <c r="K101" s="25"/>
      <c r="L101"/>
      <c r="M101" s="3" t="s">
        <v>210</v>
      </c>
      <c r="N101" s="7">
        <f>output!B252</f>
        <v>13167</v>
      </c>
      <c r="O101" s="7">
        <f>output!C252</f>
        <v>1292</v>
      </c>
      <c r="P101" s="7">
        <f>output!D252</f>
        <v>12816</v>
      </c>
      <c r="Q101" s="7">
        <f>output!E252</f>
        <v>9665</v>
      </c>
      <c r="R101" s="7">
        <f>output!F252</f>
        <v>16289</v>
      </c>
      <c r="S101" s="7">
        <f>output!G252</f>
        <v>1525</v>
      </c>
      <c r="T101" s="7">
        <f>output!H252</f>
        <v>50174</v>
      </c>
      <c r="U101" s="7">
        <f>SUM(N101:T101)</f>
        <v>104928</v>
      </c>
      <c r="V101" s="33"/>
      <c r="W101" s="25"/>
      <c r="X101"/>
      <c r="Y101" s="3" t="s">
        <v>210</v>
      </c>
      <c r="Z101" s="7">
        <f t="shared" ref="Z101:AC108" si="55">N101-B101</f>
        <v>6243.1868000000004</v>
      </c>
      <c r="AA101" s="7">
        <f t="shared" si="55"/>
        <v>211.78289999999993</v>
      </c>
      <c r="AB101" s="7">
        <f t="shared" si="55"/>
        <v>434.3135999999995</v>
      </c>
      <c r="AC101" s="7">
        <f t="shared" si="55"/>
        <v>4016.7732999999998</v>
      </c>
      <c r="AD101" s="7">
        <f t="shared" ref="AD101:AD108" si="56">R101-F101</f>
        <v>16289</v>
      </c>
      <c r="AE101" s="7">
        <f t="shared" ref="AE101:AF108" si="57">S101-G101</f>
        <v>1525</v>
      </c>
      <c r="AF101" s="7">
        <f t="shared" si="57"/>
        <v>50174</v>
      </c>
      <c r="AG101" s="7">
        <f t="shared" ref="AG101:AG108" si="58">U101-I101</f>
        <v>78894.056599999996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0</v>
      </c>
      <c r="G102" s="7">
        <f>output_NHTS!G253</f>
        <v>0</v>
      </c>
      <c r="H102" s="7">
        <f>output_NHTS!H253</f>
        <v>0</v>
      </c>
      <c r="I102" s="7">
        <f t="shared" ref="I102:I107" si="59">SUM(B102:H102)</f>
        <v>4366.6785</v>
      </c>
      <c r="J102" s="33"/>
      <c r="K102" s="25"/>
      <c r="L102"/>
      <c r="M102" s="3" t="s">
        <v>211</v>
      </c>
      <c r="N102" s="7">
        <f>output!B253</f>
        <v>4882</v>
      </c>
      <c r="O102" s="7">
        <f>output!C253</f>
        <v>233</v>
      </c>
      <c r="P102" s="7">
        <f>output!D253</f>
        <v>3730</v>
      </c>
      <c r="Q102" s="7">
        <f>output!E253</f>
        <v>3213</v>
      </c>
      <c r="R102" s="7">
        <f>output!F253</f>
        <v>4302</v>
      </c>
      <c r="S102" s="7">
        <f>output!G253</f>
        <v>142</v>
      </c>
      <c r="T102" s="7">
        <f>output!H253</f>
        <v>16353</v>
      </c>
      <c r="U102" s="7">
        <f t="shared" ref="U102:U107" si="60">SUM(N102:T102)</f>
        <v>32855</v>
      </c>
      <c r="V102" s="33"/>
      <c r="W102" s="25"/>
      <c r="X102"/>
      <c r="Y102" s="3" t="s">
        <v>211</v>
      </c>
      <c r="Z102" s="7">
        <f t="shared" si="55"/>
        <v>3235.4094999999998</v>
      </c>
      <c r="AA102" s="7">
        <f t="shared" si="55"/>
        <v>200.798</v>
      </c>
      <c r="AB102" s="7">
        <f t="shared" si="55"/>
        <v>1538.9521</v>
      </c>
      <c r="AC102" s="7">
        <f t="shared" si="55"/>
        <v>2716.1619000000001</v>
      </c>
      <c r="AD102" s="7">
        <f t="shared" si="56"/>
        <v>4302</v>
      </c>
      <c r="AE102" s="7">
        <f t="shared" si="57"/>
        <v>142</v>
      </c>
      <c r="AF102" s="7">
        <f t="shared" si="57"/>
        <v>16353</v>
      </c>
      <c r="AG102" s="7">
        <f t="shared" si="58"/>
        <v>28488.321499999998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0</v>
      </c>
      <c r="G103" s="7">
        <f>output_NHTS!G254</f>
        <v>0</v>
      </c>
      <c r="H103" s="7">
        <f>output_NHTS!H254</f>
        <v>0</v>
      </c>
      <c r="I103" s="7">
        <f t="shared" si="59"/>
        <v>68614.638900000005</v>
      </c>
      <c r="J103" s="33"/>
      <c r="K103" s="25"/>
      <c r="L103"/>
      <c r="M103" s="3" t="s">
        <v>212</v>
      </c>
      <c r="N103" s="7">
        <f>output!B254</f>
        <v>26653</v>
      </c>
      <c r="O103" s="7">
        <f>output!C254</f>
        <v>1608</v>
      </c>
      <c r="P103" s="7">
        <f>output!D254</f>
        <v>23493</v>
      </c>
      <c r="Q103" s="7">
        <f>output!E254</f>
        <v>19747</v>
      </c>
      <c r="R103" s="7">
        <f>output!F254</f>
        <v>27459</v>
      </c>
      <c r="S103" s="7">
        <f>output!G254</f>
        <v>1479</v>
      </c>
      <c r="T103" s="7">
        <f>output!H254</f>
        <v>104248</v>
      </c>
      <c r="U103" s="7">
        <f t="shared" si="60"/>
        <v>204687</v>
      </c>
      <c r="V103" s="33"/>
      <c r="W103" s="25"/>
      <c r="X103"/>
      <c r="Y103" s="3" t="s">
        <v>212</v>
      </c>
      <c r="Z103" s="7">
        <f t="shared" si="55"/>
        <v>-3809.9069999999992</v>
      </c>
      <c r="AA103" s="7">
        <f t="shared" si="55"/>
        <v>1176.6797000000001</v>
      </c>
      <c r="AB103" s="7">
        <f t="shared" si="55"/>
        <v>3466.1823999999979</v>
      </c>
      <c r="AC103" s="7">
        <f t="shared" si="55"/>
        <v>2053.405999999999</v>
      </c>
      <c r="AD103" s="7">
        <f t="shared" si="56"/>
        <v>27459</v>
      </c>
      <c r="AE103" s="7">
        <f t="shared" si="57"/>
        <v>1479</v>
      </c>
      <c r="AF103" s="7">
        <f t="shared" si="57"/>
        <v>104248</v>
      </c>
      <c r="AG103" s="7">
        <f t="shared" si="58"/>
        <v>136072.36109999998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0</v>
      </c>
      <c r="G104" s="7">
        <f>output_NHTS!G255</f>
        <v>0</v>
      </c>
      <c r="H104" s="7">
        <f>output_NHTS!H255</f>
        <v>0</v>
      </c>
      <c r="I104" s="7">
        <f t="shared" si="59"/>
        <v>73989.301800000001</v>
      </c>
      <c r="J104" s="33"/>
      <c r="K104" s="25"/>
      <c r="L104"/>
      <c r="M104" s="3" t="s">
        <v>213</v>
      </c>
      <c r="N104" s="7">
        <f>output!B255</f>
        <v>52485</v>
      </c>
      <c r="O104" s="7">
        <f>output!C255</f>
        <v>5376</v>
      </c>
      <c r="P104" s="7">
        <f>output!D255</f>
        <v>47244</v>
      </c>
      <c r="Q104" s="7">
        <f>output!E255</f>
        <v>37079</v>
      </c>
      <c r="R104" s="7">
        <f>output!F255</f>
        <v>48039</v>
      </c>
      <c r="S104" s="7">
        <f>output!G255</f>
        <v>3724</v>
      </c>
      <c r="T104" s="7">
        <f>output!H255</f>
        <v>167727</v>
      </c>
      <c r="U104" s="7">
        <f t="shared" si="60"/>
        <v>361674</v>
      </c>
      <c r="V104" s="33"/>
      <c r="W104" s="25"/>
      <c r="X104"/>
      <c r="Y104" s="3" t="s">
        <v>213</v>
      </c>
      <c r="Z104" s="7">
        <f t="shared" si="55"/>
        <v>26174.542600000001</v>
      </c>
      <c r="AA104" s="7">
        <f t="shared" si="55"/>
        <v>3727.8474999999999</v>
      </c>
      <c r="AB104" s="7">
        <f t="shared" si="55"/>
        <v>23102.871200000001</v>
      </c>
      <c r="AC104" s="7">
        <f t="shared" si="55"/>
        <v>15189.436900000001</v>
      </c>
      <c r="AD104" s="7">
        <f t="shared" si="56"/>
        <v>48039</v>
      </c>
      <c r="AE104" s="7">
        <f t="shared" si="57"/>
        <v>3724</v>
      </c>
      <c r="AF104" s="7">
        <f t="shared" si="57"/>
        <v>167727</v>
      </c>
      <c r="AG104" s="7">
        <f t="shared" si="58"/>
        <v>287684.69819999998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0</v>
      </c>
      <c r="G105" s="7">
        <f>output_NHTS!G256</f>
        <v>0</v>
      </c>
      <c r="H105" s="7">
        <f>output_NHTS!H256</f>
        <v>0</v>
      </c>
      <c r="I105" s="7">
        <f t="shared" si="59"/>
        <v>108083.577</v>
      </c>
      <c r="J105" s="33"/>
      <c r="K105" s="25"/>
      <c r="L105"/>
      <c r="M105" s="3" t="s">
        <v>214</v>
      </c>
      <c r="N105" s="7">
        <f>output!B256</f>
        <v>68997</v>
      </c>
      <c r="O105" s="7">
        <f>output!C256</f>
        <v>7321</v>
      </c>
      <c r="P105" s="7">
        <f>output!D256</f>
        <v>63242</v>
      </c>
      <c r="Q105" s="7">
        <f>output!E256</f>
        <v>49072</v>
      </c>
      <c r="R105" s="7">
        <f>output!F256</f>
        <v>66170</v>
      </c>
      <c r="S105" s="7">
        <f>output!G256</f>
        <v>5498</v>
      </c>
      <c r="T105" s="7">
        <f>output!H256</f>
        <v>223590</v>
      </c>
      <c r="U105" s="7">
        <f t="shared" si="60"/>
        <v>483890</v>
      </c>
      <c r="V105" s="33"/>
      <c r="W105" s="25"/>
      <c r="X105"/>
      <c r="Y105" s="3" t="s">
        <v>214</v>
      </c>
      <c r="Z105" s="7">
        <f t="shared" si="55"/>
        <v>30419.645100000002</v>
      </c>
      <c r="AA105" s="7">
        <f t="shared" si="55"/>
        <v>5597.4782999999998</v>
      </c>
      <c r="AB105" s="7">
        <f t="shared" si="55"/>
        <v>24501.539499999999</v>
      </c>
      <c r="AC105" s="7">
        <f t="shared" si="55"/>
        <v>20029.7601</v>
      </c>
      <c r="AD105" s="7">
        <f t="shared" si="56"/>
        <v>66170</v>
      </c>
      <c r="AE105" s="7">
        <f t="shared" si="57"/>
        <v>5498</v>
      </c>
      <c r="AF105" s="7">
        <f t="shared" si="57"/>
        <v>223590</v>
      </c>
      <c r="AG105" s="7">
        <f t="shared" si="58"/>
        <v>375806.42300000001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0</v>
      </c>
      <c r="G106" s="7">
        <f>output_NHTS!G257</f>
        <v>0</v>
      </c>
      <c r="H106" s="7">
        <f>output_NHTS!H257</f>
        <v>0</v>
      </c>
      <c r="I106" s="7">
        <f t="shared" si="59"/>
        <v>51849.627800000002</v>
      </c>
      <c r="J106" s="33"/>
      <c r="K106" s="25"/>
      <c r="L106"/>
      <c r="M106" s="3" t="s">
        <v>129</v>
      </c>
      <c r="N106" s="7">
        <f>output!B257</f>
        <v>40254</v>
      </c>
      <c r="O106" s="7">
        <f>output!C257</f>
        <v>4455</v>
      </c>
      <c r="P106" s="7">
        <f>output!D257</f>
        <v>34528</v>
      </c>
      <c r="Q106" s="7">
        <f>output!E257</f>
        <v>26208</v>
      </c>
      <c r="R106" s="7">
        <f>output!F257</f>
        <v>39988</v>
      </c>
      <c r="S106" s="7">
        <f>output!G257</f>
        <v>3674</v>
      </c>
      <c r="T106" s="7">
        <f>output!H257</f>
        <v>109061</v>
      </c>
      <c r="U106" s="7">
        <f t="shared" si="60"/>
        <v>258168</v>
      </c>
      <c r="V106" s="33"/>
      <c r="W106" s="25"/>
      <c r="X106"/>
      <c r="Y106" s="3" t="s">
        <v>129</v>
      </c>
      <c r="Z106" s="7">
        <f t="shared" si="55"/>
        <v>24455.430099999998</v>
      </c>
      <c r="AA106" s="7">
        <f t="shared" si="55"/>
        <v>3523.9246000000003</v>
      </c>
      <c r="AB106" s="7">
        <f t="shared" si="55"/>
        <v>25236.341099999998</v>
      </c>
      <c r="AC106" s="7">
        <f t="shared" si="55"/>
        <v>379.67640000000029</v>
      </c>
      <c r="AD106" s="7">
        <f t="shared" si="56"/>
        <v>39988</v>
      </c>
      <c r="AE106" s="7">
        <f t="shared" si="57"/>
        <v>3674</v>
      </c>
      <c r="AF106" s="7">
        <f t="shared" si="57"/>
        <v>109061</v>
      </c>
      <c r="AG106" s="7">
        <f t="shared" si="58"/>
        <v>206318.37219999998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0</v>
      </c>
      <c r="G107" s="7">
        <f>output_NHTS!G258</f>
        <v>0</v>
      </c>
      <c r="H107" s="7">
        <f>output_NHTS!H258</f>
        <v>0</v>
      </c>
      <c r="I107" s="7">
        <f t="shared" si="59"/>
        <v>61800.7713</v>
      </c>
      <c r="J107" s="33"/>
      <c r="K107" s="25"/>
      <c r="L107"/>
      <c r="M107" s="3" t="s">
        <v>130</v>
      </c>
      <c r="N107" s="9">
        <f>output!B258</f>
        <v>39398</v>
      </c>
      <c r="O107" s="9">
        <f>output!C258</f>
        <v>3271</v>
      </c>
      <c r="P107" s="9">
        <f>output!D258</f>
        <v>34769</v>
      </c>
      <c r="Q107" s="7">
        <f>output!E258</f>
        <v>28011</v>
      </c>
      <c r="R107" s="7">
        <f>output!F258</f>
        <v>37115</v>
      </c>
      <c r="S107" s="7">
        <f>output!G258</f>
        <v>2605</v>
      </c>
      <c r="T107" s="7">
        <f>output!H258</f>
        <v>129438</v>
      </c>
      <c r="U107" s="7">
        <f t="shared" si="60"/>
        <v>274607</v>
      </c>
      <c r="V107" s="33"/>
      <c r="W107" s="25"/>
      <c r="X107"/>
      <c r="Y107" s="3" t="s">
        <v>130</v>
      </c>
      <c r="Z107" s="9">
        <f t="shared" si="55"/>
        <v>17523.862499999999</v>
      </c>
      <c r="AA107" s="9">
        <f t="shared" si="55"/>
        <v>2876.5482000000002</v>
      </c>
      <c r="AB107" s="9">
        <f t="shared" si="55"/>
        <v>21909.6901</v>
      </c>
      <c r="AC107" s="9">
        <f t="shared" si="55"/>
        <v>1338.1278999999995</v>
      </c>
      <c r="AD107" s="9">
        <f t="shared" si="56"/>
        <v>37115</v>
      </c>
      <c r="AE107" s="9">
        <f t="shared" si="57"/>
        <v>2605</v>
      </c>
      <c r="AF107" s="7">
        <f t="shared" si="57"/>
        <v>129438</v>
      </c>
      <c r="AG107" s="9">
        <f t="shared" si="58"/>
        <v>212806.22870000001</v>
      </c>
      <c r="AH107" s="33"/>
    </row>
    <row r="108" spans="1:34" ht="13.5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0</v>
      </c>
      <c r="G108" s="11">
        <f t="shared" si="61"/>
        <v>0</v>
      </c>
      <c r="H108" s="11">
        <f t="shared" ref="H108" si="62">SUM(H101:H107)</f>
        <v>0</v>
      </c>
      <c r="I108" s="11">
        <f>SUM(I101:I107)</f>
        <v>394738.53870000003</v>
      </c>
      <c r="J108" s="33"/>
      <c r="K108" s="25"/>
      <c r="L108"/>
      <c r="M108" s="10" t="s">
        <v>221</v>
      </c>
      <c r="N108" s="11">
        <f>SUM(N101:N107)</f>
        <v>245836</v>
      </c>
      <c r="O108" s="11">
        <f>SUM(O101:O107)</f>
        <v>23556</v>
      </c>
      <c r="P108" s="11">
        <f>SUM(P101:P107)</f>
        <v>219822</v>
      </c>
      <c r="Q108" s="11">
        <f>SUM(Q101:Q107)</f>
        <v>172995</v>
      </c>
      <c r="R108" s="11">
        <f t="shared" ref="R108:S108" si="63">SUM(R101:R107)</f>
        <v>239362</v>
      </c>
      <c r="S108" s="11">
        <f t="shared" si="63"/>
        <v>18647</v>
      </c>
      <c r="T108" s="11">
        <f t="shared" ref="T108" si="64">SUM(T101:T107)</f>
        <v>800591</v>
      </c>
      <c r="U108" s="11">
        <f>SUM(U101:U107)</f>
        <v>1720809</v>
      </c>
      <c r="V108" s="33"/>
      <c r="W108" s="25"/>
      <c r="X108"/>
      <c r="Y108" s="10" t="s">
        <v>221</v>
      </c>
      <c r="Z108" s="11">
        <f t="shared" si="55"/>
        <v>104242.16959999999</v>
      </c>
      <c r="AA108" s="11">
        <f t="shared" si="55"/>
        <v>17315.0592</v>
      </c>
      <c r="AB108" s="11">
        <f t="shared" si="55"/>
        <v>100189.88999999998</v>
      </c>
      <c r="AC108" s="11">
        <f t="shared" si="55"/>
        <v>45723.342499999999</v>
      </c>
      <c r="AD108" s="11">
        <f t="shared" si="56"/>
        <v>239362</v>
      </c>
      <c r="AE108" s="11">
        <f t="shared" si="57"/>
        <v>18647</v>
      </c>
      <c r="AF108" s="11">
        <f t="shared" si="57"/>
        <v>800591</v>
      </c>
      <c r="AG108" s="11">
        <f t="shared" si="58"/>
        <v>1326070.4613000001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0</v>
      </c>
      <c r="G110" s="53">
        <f>ToursByTourPurpose!G118</f>
        <v>0</v>
      </c>
      <c r="H110" s="53"/>
      <c r="I110" s="53">
        <f>ToursByTourPurpose!I118</f>
        <v>415604.54580000008</v>
      </c>
      <c r="J110" s="33"/>
      <c r="K110" s="25"/>
      <c r="L110"/>
      <c r="M110" s="25" t="s">
        <v>88</v>
      </c>
      <c r="N110" s="53">
        <f>ToursByTourPurpose!N118</f>
        <v>159549</v>
      </c>
      <c r="O110" s="53">
        <f>ToursByTourPurpose!O118</f>
        <v>14491</v>
      </c>
      <c r="P110" s="53">
        <f>ToursByTourPurpose!P118</f>
        <v>143414</v>
      </c>
      <c r="Q110" s="53">
        <f>ToursByTourPurpose!Q118</f>
        <v>114848</v>
      </c>
      <c r="R110" s="53">
        <f>ToursByTourPurpose!R118</f>
        <v>152576</v>
      </c>
      <c r="S110" s="53">
        <f>ToursByTourPurpose!S118</f>
        <v>10929</v>
      </c>
      <c r="T110" s="53"/>
      <c r="U110" s="53">
        <f>ToursByTourPurpose!U118</f>
        <v>1155121</v>
      </c>
      <c r="V110" s="54"/>
      <c r="W110" s="25"/>
      <c r="X110"/>
      <c r="Y110" s="25" t="s">
        <v>88</v>
      </c>
      <c r="Z110" s="7">
        <f t="shared" ref="Z110:AB111" si="65">N110-B110</f>
        <v>8152.3520999999892</v>
      </c>
      <c r="AA110" s="7">
        <f t="shared" si="65"/>
        <v>5645.1474999999991</v>
      </c>
      <c r="AB110" s="7">
        <f t="shared" si="65"/>
        <v>11884.084999999992</v>
      </c>
      <c r="AC110" s="7">
        <f t="shared" ref="AC110:AC111" si="66">Q110-E110</f>
        <v>-8984.1303999999946</v>
      </c>
      <c r="AD110" s="7">
        <f t="shared" ref="AD110:AD111" si="67">R110-F110</f>
        <v>152576</v>
      </c>
      <c r="AE110" s="7">
        <f t="shared" ref="AE110:AE111" si="68">S110-G110</f>
        <v>10929</v>
      </c>
      <c r="AF110" s="7"/>
      <c r="AG110" s="7">
        <f t="shared" ref="AG110:AG111" si="69">U110-I110</f>
        <v>739516.45419999992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 t="e">
        <f t="shared" ref="F111:I111" si="70">F108/F110</f>
        <v>#DIV/0!</v>
      </c>
      <c r="G111" s="38" t="e">
        <f t="shared" si="70"/>
        <v>#DIV/0!</v>
      </c>
      <c r="H111" s="38"/>
      <c r="I111" s="38">
        <f t="shared" si="70"/>
        <v>0.94979360232974608</v>
      </c>
      <c r="J111" s="103"/>
      <c r="K111" s="25"/>
      <c r="L111"/>
      <c r="M111" s="25" t="s">
        <v>90</v>
      </c>
      <c r="N111" s="38">
        <f>N108/N110</f>
        <v>1.5408181812483939</v>
      </c>
      <c r="O111" s="38">
        <f>O108/O110</f>
        <v>1.6255606928438342</v>
      </c>
      <c r="P111" s="38">
        <f>P108/P110</f>
        <v>1.5327792265748115</v>
      </c>
      <c r="Q111" s="38">
        <f>Q108/Q110</f>
        <v>1.506295277235999</v>
      </c>
      <c r="R111" s="38">
        <f t="shared" ref="R111:U111" si="71">R108/R110</f>
        <v>1.5688050545302012</v>
      </c>
      <c r="S111" s="38">
        <f t="shared" si="71"/>
        <v>1.7061945283191509</v>
      </c>
      <c r="T111" s="38"/>
      <c r="U111" s="38">
        <f t="shared" si="71"/>
        <v>1.4897218559787242</v>
      </c>
      <c r="V111" s="103"/>
      <c r="W111" s="25"/>
      <c r="X111"/>
      <c r="Y111" s="25" t="s">
        <v>90</v>
      </c>
      <c r="Z111" s="38">
        <f t="shared" si="65"/>
        <v>0.60556741867189967</v>
      </c>
      <c r="AA111" s="38">
        <f t="shared" si="65"/>
        <v>0.92003900344193668</v>
      </c>
      <c r="AB111" s="38">
        <f t="shared" si="65"/>
        <v>0.62323625302388952</v>
      </c>
      <c r="AC111" s="38">
        <f t="shared" si="66"/>
        <v>0.47851955304479188</v>
      </c>
      <c r="AD111" s="38" t="e">
        <f t="shared" si="67"/>
        <v>#DIV/0!</v>
      </c>
      <c r="AE111" s="38" t="e">
        <f t="shared" si="68"/>
        <v>#DIV/0!</v>
      </c>
      <c r="AF111" s="38"/>
      <c r="AG111" s="38">
        <f t="shared" si="69"/>
        <v>0.53992825364897812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 t="e">
        <f t="shared" si="75"/>
        <v>#DIV/0!</v>
      </c>
      <c r="G117" s="12" t="e">
        <f t="shared" si="75"/>
        <v>#DIV/0!</v>
      </c>
      <c r="H117" s="12"/>
      <c r="I117" s="12">
        <f t="shared" ref="I117:I124" si="76">I101/I$108</f>
        <v>6.5952373147395452E-2</v>
      </c>
      <c r="J117" s="34"/>
      <c r="K117" s="25"/>
      <c r="L117"/>
      <c r="M117" s="3" t="s">
        <v>210</v>
      </c>
      <c r="N117" s="12">
        <f t="shared" ref="N117:S124" si="77">N101/N$108</f>
        <v>5.3560096975219254E-2</v>
      </c>
      <c r="O117" s="12">
        <f t="shared" si="77"/>
        <v>5.4848021735438957E-2</v>
      </c>
      <c r="P117" s="12">
        <f t="shared" si="77"/>
        <v>5.8301716843628025E-2</v>
      </c>
      <c r="Q117" s="12">
        <f t="shared" si="77"/>
        <v>5.5868666724471806E-2</v>
      </c>
      <c r="R117" s="12">
        <f t="shared" si="77"/>
        <v>6.8051737535615511E-2</v>
      </c>
      <c r="S117" s="12">
        <f t="shared" si="77"/>
        <v>8.178259237410844E-2</v>
      </c>
      <c r="T117" s="12"/>
      <c r="U117" s="12">
        <f t="shared" ref="U117:U124" si="78">U101/U$108</f>
        <v>6.0975971185645822E-2</v>
      </c>
      <c r="V117" s="34"/>
      <c r="W117" s="25"/>
      <c r="X117"/>
      <c r="Y117" s="3" t="s">
        <v>210</v>
      </c>
      <c r="Z117" s="12">
        <f t="shared" ref="Z117:AC124" si="79">N117-B117</f>
        <v>4.6609805346204472E-3</v>
      </c>
      <c r="AA117" s="12">
        <f t="shared" si="79"/>
        <v>-0.11823759702255346</v>
      </c>
      <c r="AB117" s="12">
        <f t="shared" si="79"/>
        <v>-4.5196302208280352E-2</v>
      </c>
      <c r="AC117" s="12">
        <f t="shared" si="79"/>
        <v>1.1489369629201399E-2</v>
      </c>
      <c r="AD117" s="12" t="e">
        <f t="shared" ref="AD117" si="80">R117-F117</f>
        <v>#DIV/0!</v>
      </c>
      <c r="AE117" s="12" t="e">
        <f t="shared" ref="AE117:AF123" si="81">S117-G117</f>
        <v>#DIV/0!</v>
      </c>
      <c r="AF117" s="12">
        <f t="shared" si="81"/>
        <v>0</v>
      </c>
      <c r="AG117" s="12">
        <f t="shared" ref="AG117:AG124" si="82">U117-I117</f>
        <v>-4.9764019617496297E-3</v>
      </c>
      <c r="AH117" s="34"/>
    </row>
    <row r="118" spans="1:34" x14ac:dyDescent="0.2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 t="e">
        <f t="shared" si="83"/>
        <v>#DIV/0!</v>
      </c>
      <c r="G118" s="12" t="e">
        <f t="shared" si="83"/>
        <v>#DIV/0!</v>
      </c>
      <c r="H118" s="12"/>
      <c r="I118" s="12">
        <f t="shared" si="76"/>
        <v>1.1062204654201907E-2</v>
      </c>
      <c r="J118" s="34"/>
      <c r="K118" s="25"/>
      <c r="L118"/>
      <c r="M118" s="3" t="s">
        <v>211</v>
      </c>
      <c r="N118" s="12">
        <f t="shared" si="77"/>
        <v>1.9858767633707024E-2</v>
      </c>
      <c r="O118" s="12">
        <f t="shared" si="77"/>
        <v>9.8913228052300902E-3</v>
      </c>
      <c r="P118" s="12">
        <f t="shared" si="77"/>
        <v>1.6968274331049669E-2</v>
      </c>
      <c r="Q118" s="12">
        <f t="shared" ref="Q118:S118" si="84">Q102/Q$108</f>
        <v>1.857279112113067E-2</v>
      </c>
      <c r="R118" s="12">
        <f t="shared" si="84"/>
        <v>1.7972777633876721E-2</v>
      </c>
      <c r="S118" s="12">
        <f t="shared" si="84"/>
        <v>7.6151659784415727E-3</v>
      </c>
      <c r="T118" s="12"/>
      <c r="U118" s="12">
        <f t="shared" si="78"/>
        <v>1.9092763926734459E-2</v>
      </c>
      <c r="V118" s="34"/>
      <c r="W118" s="25"/>
      <c r="X118"/>
      <c r="Y118" s="3" t="s">
        <v>211</v>
      </c>
      <c r="Z118" s="12">
        <f t="shared" si="79"/>
        <v>8.2297969691772794E-3</v>
      </c>
      <c r="AA118" s="12">
        <f t="shared" si="79"/>
        <v>4.7315238210769318E-3</v>
      </c>
      <c r="AB118" s="12">
        <f t="shared" si="79"/>
        <v>-1.3466070164414E-3</v>
      </c>
      <c r="AC118" s="12">
        <f t="shared" si="79"/>
        <v>1.4669030380056012E-2</v>
      </c>
      <c r="AD118" s="12" t="e">
        <f t="shared" ref="AD118:AD124" si="85">R118-F118</f>
        <v>#DIV/0!</v>
      </c>
      <c r="AE118" s="12" t="e">
        <f t="shared" ref="AE118:AF124" si="86">S118-G118</f>
        <v>#DIV/0!</v>
      </c>
      <c r="AF118" s="12">
        <f t="shared" si="81"/>
        <v>0</v>
      </c>
      <c r="AG118" s="12">
        <f t="shared" si="82"/>
        <v>8.0305592725325517E-3</v>
      </c>
      <c r="AH118" s="34"/>
    </row>
    <row r="119" spans="1:34" x14ac:dyDescent="0.2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 t="e">
        <f t="shared" si="87"/>
        <v>#DIV/0!</v>
      </c>
      <c r="G119" s="12" t="e">
        <f t="shared" si="87"/>
        <v>#DIV/0!</v>
      </c>
      <c r="H119" s="12"/>
      <c r="I119" s="12">
        <f t="shared" si="76"/>
        <v>0.17382300478177254</v>
      </c>
      <c r="J119" s="34"/>
      <c r="K119" s="25"/>
      <c r="L119"/>
      <c r="M119" s="3" t="s">
        <v>212</v>
      </c>
      <c r="N119" s="12">
        <f t="shared" si="77"/>
        <v>0.10841780699328007</v>
      </c>
      <c r="O119" s="12">
        <f t="shared" si="77"/>
        <v>6.8262862964849721E-2</v>
      </c>
      <c r="P119" s="12">
        <f t="shared" si="77"/>
        <v>0.10687283347435653</v>
      </c>
      <c r="Q119" s="12">
        <f t="shared" ref="Q119:S119" si="88">Q103/Q$108</f>
        <v>0.11414780774010809</v>
      </c>
      <c r="R119" s="12">
        <f t="shared" si="88"/>
        <v>0.11471745724049766</v>
      </c>
      <c r="S119" s="12">
        <f t="shared" si="88"/>
        <v>7.9315707620528766E-2</v>
      </c>
      <c r="T119" s="12"/>
      <c r="U119" s="12">
        <f t="shared" si="78"/>
        <v>0.11894812265626226</v>
      </c>
      <c r="V119" s="34"/>
      <c r="W119" s="25"/>
      <c r="X119"/>
      <c r="Y119" s="3" t="s">
        <v>212</v>
      </c>
      <c r="Z119" s="12">
        <f t="shared" si="79"/>
        <v>-0.1067250909277864</v>
      </c>
      <c r="AA119" s="12">
        <f t="shared" si="79"/>
        <v>-8.4856010777420443E-4</v>
      </c>
      <c r="AB119" s="12">
        <f t="shared" si="79"/>
        <v>-6.0530530054047349E-2</v>
      </c>
      <c r="AC119" s="12">
        <f t="shared" si="79"/>
        <v>-2.4874456505959416E-2</v>
      </c>
      <c r="AD119" s="12" t="e">
        <f t="shared" si="85"/>
        <v>#DIV/0!</v>
      </c>
      <c r="AE119" s="12" t="e">
        <f t="shared" si="86"/>
        <v>#DIV/0!</v>
      </c>
      <c r="AF119" s="12">
        <f t="shared" si="81"/>
        <v>0</v>
      </c>
      <c r="AG119" s="12">
        <f t="shared" si="82"/>
        <v>-5.4874882125510283E-2</v>
      </c>
      <c r="AH119" s="34"/>
    </row>
    <row r="120" spans="1:34" x14ac:dyDescent="0.2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 t="e">
        <f t="shared" si="89"/>
        <v>#DIV/0!</v>
      </c>
      <c r="G120" s="12" t="e">
        <f t="shared" si="89"/>
        <v>#DIV/0!</v>
      </c>
      <c r="H120" s="12"/>
      <c r="I120" s="12">
        <f t="shared" si="76"/>
        <v>0.18743875894071652</v>
      </c>
      <c r="J120" s="34"/>
      <c r="K120" s="25"/>
      <c r="L120"/>
      <c r="M120" s="3" t="s">
        <v>213</v>
      </c>
      <c r="N120" s="12">
        <f t="shared" si="77"/>
        <v>0.2134959891960494</v>
      </c>
      <c r="O120" s="12">
        <f t="shared" si="77"/>
        <v>0.228222109016811</v>
      </c>
      <c r="P120" s="12">
        <f t="shared" si="77"/>
        <v>0.21491934383273739</v>
      </c>
      <c r="Q120" s="12">
        <f t="shared" ref="Q120:S120" si="90">Q104/Q$108</f>
        <v>0.21433567444145785</v>
      </c>
      <c r="R120" s="12">
        <f t="shared" si="90"/>
        <v>0.20069601691162339</v>
      </c>
      <c r="S120" s="12">
        <f t="shared" si="90"/>
        <v>0.19971040918110153</v>
      </c>
      <c r="T120" s="12"/>
      <c r="U120" s="12">
        <f t="shared" si="78"/>
        <v>0.21017672501712859</v>
      </c>
      <c r="V120" s="34"/>
      <c r="W120" s="25"/>
      <c r="X120"/>
      <c r="Y120" s="3" t="s">
        <v>213</v>
      </c>
      <c r="Z120" s="12">
        <f t="shared" si="79"/>
        <v>2.7679578087786871E-2</v>
      </c>
      <c r="AA120" s="12">
        <f t="shared" si="79"/>
        <v>-3.5865077966279746E-2</v>
      </c>
      <c r="AB120" s="12">
        <f t="shared" si="79"/>
        <v>1.3124618319662384E-2</v>
      </c>
      <c r="AC120" s="12">
        <f t="shared" si="79"/>
        <v>4.234480443962732E-2</v>
      </c>
      <c r="AD120" s="12" t="e">
        <f t="shared" si="85"/>
        <v>#DIV/0!</v>
      </c>
      <c r="AE120" s="12" t="e">
        <f t="shared" si="86"/>
        <v>#DIV/0!</v>
      </c>
      <c r="AF120" s="12">
        <f t="shared" si="81"/>
        <v>0</v>
      </c>
      <c r="AG120" s="12">
        <f t="shared" si="82"/>
        <v>2.2737966076412069E-2</v>
      </c>
      <c r="AH120" s="34"/>
    </row>
    <row r="121" spans="1:34" x14ac:dyDescent="0.2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 t="e">
        <f t="shared" si="91"/>
        <v>#DIV/0!</v>
      </c>
      <c r="G121" s="12" t="e">
        <f t="shared" si="91"/>
        <v>#DIV/0!</v>
      </c>
      <c r="H121" s="12"/>
      <c r="I121" s="12">
        <f t="shared" si="76"/>
        <v>0.27381055155129702</v>
      </c>
      <c r="J121" s="34"/>
      <c r="K121" s="25"/>
      <c r="L121"/>
      <c r="M121" s="3" t="s">
        <v>214</v>
      </c>
      <c r="N121" s="12">
        <f t="shared" si="77"/>
        <v>0.28066271823492084</v>
      </c>
      <c r="O121" s="12">
        <f t="shared" si="77"/>
        <v>0.31079130582441838</v>
      </c>
      <c r="P121" s="12">
        <f t="shared" si="77"/>
        <v>0.28769640891266568</v>
      </c>
      <c r="Q121" s="12">
        <f t="shared" ref="Q121:S121" si="92">Q105/Q$108</f>
        <v>0.28366137749645942</v>
      </c>
      <c r="R121" s="12">
        <f t="shared" si="92"/>
        <v>0.27644321153733675</v>
      </c>
      <c r="S121" s="12">
        <f t="shared" si="92"/>
        <v>0.29484635598219555</v>
      </c>
      <c r="T121" s="12"/>
      <c r="U121" s="12">
        <f t="shared" si="78"/>
        <v>0.28119913366329441</v>
      </c>
      <c r="V121" s="34"/>
      <c r="W121" s="25"/>
      <c r="X121"/>
      <c r="Y121" s="3" t="s">
        <v>214</v>
      </c>
      <c r="Z121" s="12">
        <f t="shared" si="79"/>
        <v>8.2119003495675913E-3</v>
      </c>
      <c r="AA121" s="12">
        <f t="shared" si="79"/>
        <v>3.4627542181603466E-2</v>
      </c>
      <c r="AB121" s="12">
        <f t="shared" si="79"/>
        <v>-3.6133543597575868E-2</v>
      </c>
      <c r="AC121" s="12">
        <f t="shared" si="79"/>
        <v>5.5470431684348814E-2</v>
      </c>
      <c r="AD121" s="12" t="e">
        <f t="shared" si="85"/>
        <v>#DIV/0!</v>
      </c>
      <c r="AE121" s="12" t="e">
        <f t="shared" si="86"/>
        <v>#DIV/0!</v>
      </c>
      <c r="AF121" s="12">
        <f t="shared" si="81"/>
        <v>0</v>
      </c>
      <c r="AG121" s="12">
        <f t="shared" si="82"/>
        <v>7.3885821119973882E-3</v>
      </c>
      <c r="AH121" s="34"/>
    </row>
    <row r="122" spans="1:34" x14ac:dyDescent="0.2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 t="e">
        <f t="shared" si="93"/>
        <v>#DIV/0!</v>
      </c>
      <c r="G122" s="12" t="e">
        <f t="shared" si="93"/>
        <v>#DIV/0!</v>
      </c>
      <c r="H122" s="12"/>
      <c r="I122" s="12">
        <f t="shared" si="76"/>
        <v>0.13135182587126498</v>
      </c>
      <c r="J122" s="34"/>
      <c r="K122" s="25"/>
      <c r="L122"/>
      <c r="M122" s="3" t="s">
        <v>129</v>
      </c>
      <c r="N122" s="12">
        <f t="shared" si="77"/>
        <v>0.16374330854716151</v>
      </c>
      <c r="O122" s="12">
        <f t="shared" si="77"/>
        <v>0.1891237901171676</v>
      </c>
      <c r="P122" s="12">
        <f t="shared" si="77"/>
        <v>0.15707254051004904</v>
      </c>
      <c r="Q122" s="12">
        <f t="shared" ref="Q122:S122" si="94">Q106/Q$108</f>
        <v>0.15149570796843839</v>
      </c>
      <c r="R122" s="12">
        <f t="shared" si="94"/>
        <v>0.16706076987993082</v>
      </c>
      <c r="S122" s="12">
        <f t="shared" si="94"/>
        <v>0.19702901270981926</v>
      </c>
      <c r="T122" s="12"/>
      <c r="U122" s="12">
        <f t="shared" si="78"/>
        <v>0.1500271093421757</v>
      </c>
      <c r="V122" s="34"/>
      <c r="W122" s="25"/>
      <c r="X122"/>
      <c r="Y122" s="3" t="s">
        <v>129</v>
      </c>
      <c r="Z122" s="12">
        <f t="shared" si="79"/>
        <v>5.2166625754067164E-2</v>
      </c>
      <c r="AA122" s="12">
        <f t="shared" si="79"/>
        <v>3.9935481841594789E-2</v>
      </c>
      <c r="AB122" s="12">
        <f t="shared" si="79"/>
        <v>7.9403937155982984E-2</v>
      </c>
      <c r="AC122" s="12">
        <f t="shared" si="79"/>
        <v>-5.1442826088132693E-2</v>
      </c>
      <c r="AD122" s="12" t="e">
        <f t="shared" si="85"/>
        <v>#DIV/0!</v>
      </c>
      <c r="AE122" s="12" t="e">
        <f t="shared" si="86"/>
        <v>#DIV/0!</v>
      </c>
      <c r="AF122" s="12">
        <f t="shared" si="81"/>
        <v>0</v>
      </c>
      <c r="AG122" s="12">
        <f t="shared" si="82"/>
        <v>1.8675283470910714E-2</v>
      </c>
      <c r="AH122" s="34"/>
    </row>
    <row r="123" spans="1:34" x14ac:dyDescent="0.2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 t="e">
        <f t="shared" si="95"/>
        <v>#DIV/0!</v>
      </c>
      <c r="G123" s="13" t="e">
        <f t="shared" si="95"/>
        <v>#DIV/0!</v>
      </c>
      <c r="H123" s="12"/>
      <c r="I123" s="13">
        <f t="shared" si="76"/>
        <v>0.15656128105335157</v>
      </c>
      <c r="J123" s="34"/>
      <c r="K123" s="25"/>
      <c r="L123"/>
      <c r="M123" s="3" t="s">
        <v>130</v>
      </c>
      <c r="N123" s="13">
        <f t="shared" si="77"/>
        <v>0.16026131241966188</v>
      </c>
      <c r="O123" s="13">
        <f t="shared" si="77"/>
        <v>0.13886058753608421</v>
      </c>
      <c r="P123" s="13">
        <f t="shared" si="77"/>
        <v>0.15816888209551364</v>
      </c>
      <c r="Q123" s="13">
        <f t="shared" ref="Q123:S123" si="96">Q107/Q$108</f>
        <v>0.16191797450793374</v>
      </c>
      <c r="R123" s="13">
        <f t="shared" si="96"/>
        <v>0.15505802926111914</v>
      </c>
      <c r="S123" s="13">
        <f t="shared" si="96"/>
        <v>0.13970075615380489</v>
      </c>
      <c r="T123" s="12"/>
      <c r="U123" s="13">
        <f t="shared" si="78"/>
        <v>0.15958017420875878</v>
      </c>
      <c r="V123" s="34"/>
      <c r="W123" s="25"/>
      <c r="X123"/>
      <c r="Y123" s="3" t="s">
        <v>130</v>
      </c>
      <c r="Z123" s="12">
        <f t="shared" si="79"/>
        <v>5.7762092325670811E-3</v>
      </c>
      <c r="AA123" s="12">
        <f t="shared" si="79"/>
        <v>7.5656687252332114E-2</v>
      </c>
      <c r="AB123" s="12">
        <f t="shared" si="79"/>
        <v>5.0678427400699694E-2</v>
      </c>
      <c r="AC123" s="12">
        <f t="shared" si="79"/>
        <v>-4.7656353539141466E-2</v>
      </c>
      <c r="AD123" s="12" t="e">
        <f t="shared" si="85"/>
        <v>#DIV/0!</v>
      </c>
      <c r="AE123" s="12" t="e">
        <f t="shared" si="86"/>
        <v>#DIV/0!</v>
      </c>
      <c r="AF123" s="12">
        <f t="shared" si="81"/>
        <v>0</v>
      </c>
      <c r="AG123" s="12">
        <f t="shared" si="82"/>
        <v>3.0188931554072096E-3</v>
      </c>
      <c r="AH123" s="34"/>
    </row>
    <row r="124" spans="1:34" ht="13.5" thickBot="1" x14ac:dyDescent="0.25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 t="e">
        <f t="shared" si="95"/>
        <v>#DIV/0!</v>
      </c>
      <c r="G124" s="17" t="e">
        <f t="shared" si="95"/>
        <v>#DIV/0!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 t="e">
        <f t="shared" si="85"/>
        <v>#DIV/0!</v>
      </c>
      <c r="AE124" s="14" t="e">
        <f t="shared" si="86"/>
        <v>#DIV/0!</v>
      </c>
      <c r="AF124" s="14">
        <f t="shared" si="86"/>
        <v>0</v>
      </c>
      <c r="AG124" s="14">
        <f t="shared" si="82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topLeftCell="A10" workbookViewId="0">
      <selection activeCell="E34" sqref="E34"/>
    </sheetView>
  </sheetViews>
  <sheetFormatPr defaultColWidth="10.75" defaultRowHeight="12.75" x14ac:dyDescent="0.2"/>
  <cols>
    <col min="1" max="16384" width="10.75" style="3" collapsed="1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218" t="s">
        <v>78</v>
      </c>
      <c r="Z2" s="218"/>
      <c r="AA2" s="218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2">
      <c r="A5" s="3" t="s">
        <v>210</v>
      </c>
      <c r="B5" s="7">
        <f>output_NHTS!B262</f>
        <v>222459.6539918684</v>
      </c>
      <c r="C5" s="7">
        <f>output_NHTS!C262</f>
        <v>21095.591604953199</v>
      </c>
      <c r="D5" s="7">
        <f>output_NHTS!D262</f>
        <v>4262.2132344067004</v>
      </c>
      <c r="E5" s="7">
        <f>output_NHTS!E262</f>
        <v>3691.281996616</v>
      </c>
      <c r="F5" s="7">
        <f>output_NHTS!F262</f>
        <v>5013.1414350044997</v>
      </c>
      <c r="G5" s="7">
        <f>output_NHTS!G262</f>
        <v>910.45062499999995</v>
      </c>
      <c r="H5" s="7"/>
      <c r="I5" s="7">
        <f>output_NHTS!H262</f>
        <v>1155.8622499999999</v>
      </c>
      <c r="J5" s="7">
        <f>output_NHTS!I262</f>
        <v>0</v>
      </c>
      <c r="K5" s="7">
        <f>output_NHTS!J262</f>
        <v>258588.19513784879</v>
      </c>
      <c r="L5" s="7"/>
      <c r="M5" s="3" t="s">
        <v>210</v>
      </c>
      <c r="N5" s="7">
        <f>output!B262</f>
        <v>393397</v>
      </c>
      <c r="O5" s="7">
        <f>output!C262</f>
        <v>55236</v>
      </c>
      <c r="P5" s="7">
        <f>output!D262</f>
        <v>0</v>
      </c>
      <c r="Q5" s="7">
        <f>output!E262</f>
        <v>0</v>
      </c>
      <c r="R5" s="7">
        <f>output!F262</f>
        <v>39101</v>
      </c>
      <c r="S5" s="7">
        <f>output!G262</f>
        <v>796</v>
      </c>
      <c r="T5" s="7"/>
      <c r="U5" s="7">
        <f>output!H262</f>
        <v>757</v>
      </c>
      <c r="V5" s="7">
        <f>output!I262</f>
        <v>0</v>
      </c>
      <c r="W5" s="7">
        <f>output!J262</f>
        <v>489287</v>
      </c>
      <c r="Y5" s="3" t="s">
        <v>210</v>
      </c>
      <c r="Z5" s="7">
        <f t="shared" ref="Z5:Z13" si="0">N5-B5</f>
        <v>170937.3460081316</v>
      </c>
      <c r="AA5" s="7">
        <f t="shared" ref="AA5:AA13" si="1">O5-C5</f>
        <v>34140.408395046805</v>
      </c>
      <c r="AB5" s="7">
        <f t="shared" ref="AB5:AB13" si="2">P5-D5</f>
        <v>-4262.2132344067004</v>
      </c>
      <c r="AC5" s="7">
        <f t="shared" ref="AC5:AC13" si="3">Q5-E5</f>
        <v>-3691.281996616</v>
      </c>
      <c r="AD5" s="7">
        <f t="shared" ref="AD5:AD13" si="4">R5-F5</f>
        <v>34087.858564995498</v>
      </c>
      <c r="AE5" s="7">
        <f t="shared" ref="AE5:AE13" si="5">S5-G5</f>
        <v>-114.45062499999995</v>
      </c>
      <c r="AF5" s="7"/>
      <c r="AG5" s="7">
        <f t="shared" ref="AG5:AG13" si="6">U5-I5</f>
        <v>-398.8622499999999</v>
      </c>
      <c r="AH5" s="7">
        <f t="shared" ref="AH5:AH13" si="7">V5-J5</f>
        <v>0</v>
      </c>
      <c r="AI5" s="7">
        <f t="shared" ref="AI5:AI13" si="8">W5-K5</f>
        <v>230698.80486215121</v>
      </c>
    </row>
    <row r="6" spans="1:35" ht="12.75" customHeight="1" x14ac:dyDescent="0.2">
      <c r="A6" s="3" t="s">
        <v>211</v>
      </c>
      <c r="B6" s="7">
        <f>output_NHTS!B263</f>
        <v>4762.2635984796998</v>
      </c>
      <c r="C6" s="7">
        <f>output_NHTS!C263</f>
        <v>5216.7407591929996</v>
      </c>
      <c r="D6" s="7">
        <f>output_NHTS!D263</f>
        <v>539.18334384299999</v>
      </c>
      <c r="E6" s="7">
        <f>output_NHTS!E263</f>
        <v>4556.7887150310999</v>
      </c>
      <c r="F6" s="7">
        <f>output_NHTS!F263</f>
        <v>2976.939140641</v>
      </c>
      <c r="G6" s="7">
        <f>output_NHTS!G263</f>
        <v>9919.2882499999996</v>
      </c>
      <c r="H6" s="7"/>
      <c r="I6" s="7">
        <f>output_NHTS!H263</f>
        <v>64473.029125000001</v>
      </c>
      <c r="J6" s="7">
        <f>output_NHTS!I263</f>
        <v>12002.025250000001</v>
      </c>
      <c r="K6" s="7">
        <f>output_NHTS!J263</f>
        <v>104446.2581821878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28693</v>
      </c>
      <c r="S6" s="7">
        <f>output!G263</f>
        <v>15824</v>
      </c>
      <c r="T6" s="7"/>
      <c r="U6" s="7">
        <f>output!H263</f>
        <v>70379</v>
      </c>
      <c r="V6" s="7">
        <f>output!I263</f>
        <v>0</v>
      </c>
      <c r="W6" s="7">
        <f>output!J263</f>
        <v>114896</v>
      </c>
      <c r="Y6" s="3" t="s">
        <v>211</v>
      </c>
      <c r="Z6" s="7">
        <f t="shared" si="0"/>
        <v>-4762.2635984796998</v>
      </c>
      <c r="AA6" s="7">
        <f t="shared" si="1"/>
        <v>-5216.7407591929996</v>
      </c>
      <c r="AB6" s="7">
        <f t="shared" si="2"/>
        <v>-539.18334384299999</v>
      </c>
      <c r="AC6" s="7">
        <f t="shared" si="3"/>
        <v>-4556.7887150310999</v>
      </c>
      <c r="AD6" s="7">
        <f t="shared" si="4"/>
        <v>25716.060859359</v>
      </c>
      <c r="AE6" s="7">
        <f t="shared" si="5"/>
        <v>5904.7117500000004</v>
      </c>
      <c r="AF6" s="7"/>
      <c r="AG6" s="7">
        <f t="shared" si="6"/>
        <v>5905.9708749999991</v>
      </c>
      <c r="AH6" s="7">
        <f t="shared" si="7"/>
        <v>-12002.025250000001</v>
      </c>
      <c r="AI6" s="7">
        <f t="shared" si="8"/>
        <v>10449.741817812202</v>
      </c>
    </row>
    <row r="7" spans="1:35" ht="12.75" customHeight="1" x14ac:dyDescent="0.2">
      <c r="A7" s="3" t="s">
        <v>212</v>
      </c>
      <c r="B7" s="7">
        <f>output_NHTS!B264</f>
        <v>73904.848366852399</v>
      </c>
      <c r="C7" s="7">
        <f>output_NHTS!C264</f>
        <v>18966.723626958501</v>
      </c>
      <c r="D7" s="7">
        <f>output_NHTS!D264</f>
        <v>10793.3421324675</v>
      </c>
      <c r="E7" s="7">
        <f>output_NHTS!E264</f>
        <v>55933.227418525101</v>
      </c>
      <c r="F7" s="7">
        <f>output_NHTS!F264</f>
        <v>3521.7752881873002</v>
      </c>
      <c r="G7" s="7">
        <f>output_NHTS!G264</f>
        <v>1546.129625</v>
      </c>
      <c r="H7" s="7"/>
      <c r="I7" s="7">
        <f>output_NHTS!H264</f>
        <v>12310.655000000001</v>
      </c>
      <c r="J7" s="7">
        <f>output_NHTS!I264</f>
        <v>8570.1730000000007</v>
      </c>
      <c r="K7" s="7">
        <f>output_NHTS!J264</f>
        <v>185546.87445799081</v>
      </c>
      <c r="L7" s="7"/>
      <c r="M7" s="3" t="s">
        <v>212</v>
      </c>
      <c r="N7" s="7">
        <f>output!B264</f>
        <v>119809</v>
      </c>
      <c r="O7" s="7">
        <f>output!C264</f>
        <v>20469</v>
      </c>
      <c r="P7" s="7">
        <f>output!D264</f>
        <v>11663</v>
      </c>
      <c r="Q7" s="7">
        <f>output!E264</f>
        <v>29574</v>
      </c>
      <c r="R7" s="7">
        <f>output!F264</f>
        <v>10236</v>
      </c>
      <c r="S7" s="7">
        <f>output!G264</f>
        <v>1991</v>
      </c>
      <c r="T7" s="7"/>
      <c r="U7" s="7">
        <f>output!H264</f>
        <v>8808</v>
      </c>
      <c r="V7" s="7">
        <f>output!I264</f>
        <v>12718</v>
      </c>
      <c r="W7" s="7">
        <f>output!J264</f>
        <v>215268</v>
      </c>
      <c r="Y7" s="3" t="s">
        <v>212</v>
      </c>
      <c r="Z7" s="7">
        <f t="shared" si="0"/>
        <v>45904.151633147601</v>
      </c>
      <c r="AA7" s="7">
        <f t="shared" si="1"/>
        <v>1502.276373041499</v>
      </c>
      <c r="AB7" s="7">
        <f t="shared" si="2"/>
        <v>869.65786753249995</v>
      </c>
      <c r="AC7" s="7">
        <f t="shared" si="3"/>
        <v>-26359.227418525101</v>
      </c>
      <c r="AD7" s="7">
        <f t="shared" si="4"/>
        <v>6714.2247118126998</v>
      </c>
      <c r="AE7" s="7">
        <f t="shared" si="5"/>
        <v>444.87037499999997</v>
      </c>
      <c r="AF7" s="7"/>
      <c r="AG7" s="7">
        <f t="shared" si="6"/>
        <v>-3502.6550000000007</v>
      </c>
      <c r="AH7" s="7">
        <f t="shared" si="7"/>
        <v>4147.8269999999993</v>
      </c>
      <c r="AI7" s="7">
        <f t="shared" si="8"/>
        <v>29721.125542009191</v>
      </c>
    </row>
    <row r="8" spans="1:35" ht="12.75" customHeight="1" x14ac:dyDescent="0.2">
      <c r="A8" s="3" t="s">
        <v>213</v>
      </c>
      <c r="B8" s="7">
        <f>output_NHTS!B265</f>
        <v>52427.481449741899</v>
      </c>
      <c r="C8" s="7">
        <f>output_NHTS!C265</f>
        <v>16071.570118837999</v>
      </c>
      <c r="D8" s="7">
        <f>output_NHTS!D265</f>
        <v>25923.459218489799</v>
      </c>
      <c r="E8" s="7">
        <f>output_NHTS!E265</f>
        <v>36783.353656293999</v>
      </c>
      <c r="F8" s="7">
        <f>output_NHTS!F265</f>
        <v>2293.6967550852</v>
      </c>
      <c r="G8" s="7">
        <f>output_NHTS!G265</f>
        <v>2136.6013750000002</v>
      </c>
      <c r="H8" s="7"/>
      <c r="I8" s="7">
        <f>output_NHTS!H265</f>
        <v>20881.480749999999</v>
      </c>
      <c r="J8" s="7">
        <f>output_NHTS!I265</f>
        <v>16600.945</v>
      </c>
      <c r="K8" s="7">
        <f>output_NHTS!J265</f>
        <v>173118.5883234489</v>
      </c>
      <c r="L8" s="7"/>
      <c r="M8" s="3" t="s">
        <v>213</v>
      </c>
      <c r="N8" s="7">
        <f>output!B265</f>
        <v>104831</v>
      </c>
      <c r="O8" s="7">
        <f>output!C265</f>
        <v>31336</v>
      </c>
      <c r="P8" s="7">
        <f>output!D265</f>
        <v>46963</v>
      </c>
      <c r="Q8" s="7">
        <f>output!E265</f>
        <v>38518</v>
      </c>
      <c r="R8" s="7">
        <f>output!F265</f>
        <v>10487</v>
      </c>
      <c r="S8" s="7">
        <f>output!G265</f>
        <v>2142</v>
      </c>
      <c r="T8" s="7"/>
      <c r="U8" s="7">
        <f>output!H265</f>
        <v>25834</v>
      </c>
      <c r="V8" s="7">
        <f>output!I265</f>
        <v>27378</v>
      </c>
      <c r="W8" s="7">
        <f>output!J265</f>
        <v>287489</v>
      </c>
      <c r="Y8" s="3" t="s">
        <v>213</v>
      </c>
      <c r="Z8" s="7">
        <f t="shared" si="0"/>
        <v>52403.518550258101</v>
      </c>
      <c r="AA8" s="7">
        <f t="shared" si="1"/>
        <v>15264.429881162001</v>
      </c>
      <c r="AB8" s="7">
        <f t="shared" si="2"/>
        <v>21039.540781510201</v>
      </c>
      <c r="AC8" s="7">
        <f t="shared" si="3"/>
        <v>1734.6463437060011</v>
      </c>
      <c r="AD8" s="7">
        <f t="shared" si="4"/>
        <v>8193.3032449147995</v>
      </c>
      <c r="AE8" s="7">
        <f t="shared" si="5"/>
        <v>5.3986249999998108</v>
      </c>
      <c r="AF8" s="7"/>
      <c r="AG8" s="7">
        <f t="shared" si="6"/>
        <v>4952.5192500000012</v>
      </c>
      <c r="AH8" s="7">
        <f t="shared" si="7"/>
        <v>10777.055</v>
      </c>
      <c r="AI8" s="7">
        <f t="shared" si="8"/>
        <v>114370.4116765511</v>
      </c>
    </row>
    <row r="9" spans="1:35" ht="12.75" customHeight="1" x14ac:dyDescent="0.2">
      <c r="A9" s="3" t="s">
        <v>214</v>
      </c>
      <c r="B9" s="7">
        <f>output_NHTS!B266</f>
        <v>69550.770272049398</v>
      </c>
      <c r="C9" s="7">
        <f>output_NHTS!C266</f>
        <v>24068.545402951499</v>
      </c>
      <c r="D9" s="7">
        <f>output_NHTS!D266</f>
        <v>34382.476091263001</v>
      </c>
      <c r="E9" s="7">
        <f>output_NHTS!E266</f>
        <v>39915.872425074704</v>
      </c>
      <c r="F9" s="7">
        <f>output_NHTS!F266</f>
        <v>4432.0347819372</v>
      </c>
      <c r="G9" s="7">
        <f>output_NHTS!G266</f>
        <v>783.32687499999997</v>
      </c>
      <c r="H9" s="7"/>
      <c r="I9" s="7">
        <f>output_NHTS!H266</f>
        <v>9411.1462499999998</v>
      </c>
      <c r="J9" s="7">
        <f>output_NHTS!I266</f>
        <v>11746.9935</v>
      </c>
      <c r="K9" s="7">
        <f>output_NHTS!J266</f>
        <v>194291.16559827578</v>
      </c>
      <c r="L9" s="7"/>
      <c r="M9" s="3" t="s">
        <v>214</v>
      </c>
      <c r="N9" s="7">
        <f>output!B266</f>
        <v>144484</v>
      </c>
      <c r="O9" s="7">
        <f>output!C266</f>
        <v>28957</v>
      </c>
      <c r="P9" s="7">
        <f>output!D266</f>
        <v>42688</v>
      </c>
      <c r="Q9" s="7">
        <f>output!E266</f>
        <v>46606</v>
      </c>
      <c r="R9" s="7">
        <f>output!F266</f>
        <v>14777</v>
      </c>
      <c r="S9" s="7">
        <f>output!G266</f>
        <v>881</v>
      </c>
      <c r="T9" s="7"/>
      <c r="U9" s="7">
        <f>output!H266</f>
        <v>4694</v>
      </c>
      <c r="V9" s="7">
        <f>output!I266</f>
        <v>22809</v>
      </c>
      <c r="W9" s="7">
        <f>output!J266</f>
        <v>305896</v>
      </c>
      <c r="Y9" s="3" t="s">
        <v>214</v>
      </c>
      <c r="Z9" s="7">
        <f t="shared" si="0"/>
        <v>74933.229727950602</v>
      </c>
      <c r="AA9" s="7">
        <f t="shared" si="1"/>
        <v>4888.4545970485015</v>
      </c>
      <c r="AB9" s="7">
        <f t="shared" si="2"/>
        <v>8305.5239087369991</v>
      </c>
      <c r="AC9" s="7">
        <f t="shared" si="3"/>
        <v>6690.1275749252964</v>
      </c>
      <c r="AD9" s="7">
        <f t="shared" si="4"/>
        <v>10344.9652180628</v>
      </c>
      <c r="AE9" s="7">
        <f t="shared" si="5"/>
        <v>97.673125000000027</v>
      </c>
      <c r="AF9" s="7"/>
      <c r="AG9" s="7">
        <f t="shared" si="6"/>
        <v>-4717.1462499999998</v>
      </c>
      <c r="AH9" s="7">
        <f t="shared" si="7"/>
        <v>11062.0065</v>
      </c>
      <c r="AI9" s="7">
        <f t="shared" si="8"/>
        <v>111604.83440172422</v>
      </c>
    </row>
    <row r="10" spans="1:35" ht="12.75" customHeight="1" x14ac:dyDescent="0.2">
      <c r="A10" s="3" t="s">
        <v>129</v>
      </c>
      <c r="B10" s="7">
        <f>output_NHTS!B267</f>
        <v>33578.298337313703</v>
      </c>
      <c r="C10" s="7">
        <f>output_NHTS!C267</f>
        <v>11615.526058432</v>
      </c>
      <c r="D10" s="7">
        <f>output_NHTS!D267</f>
        <v>13571.484875664799</v>
      </c>
      <c r="E10" s="7">
        <f>output_NHTS!E267</f>
        <v>22288.863303090002</v>
      </c>
      <c r="F10" s="7">
        <f>output_NHTS!F267</f>
        <v>1612.4960358570002</v>
      </c>
      <c r="G10" s="7">
        <f>output_NHTS!G267</f>
        <v>2837.3490000000002</v>
      </c>
      <c r="H10" s="7"/>
      <c r="I10" s="7">
        <f>output_NHTS!H267</f>
        <v>6062.0427500000005</v>
      </c>
      <c r="J10" s="7">
        <f>output_NHTS!I267</f>
        <v>1899.57025</v>
      </c>
      <c r="K10" s="7">
        <f>output_NHTS!J267</f>
        <v>93465.63061035749</v>
      </c>
      <c r="L10" s="7"/>
      <c r="M10" s="3" t="s">
        <v>129</v>
      </c>
      <c r="N10" s="7">
        <f>output!B267</f>
        <v>76114</v>
      </c>
      <c r="O10" s="7">
        <f>output!C267</f>
        <v>12807</v>
      </c>
      <c r="P10" s="7">
        <f>output!D267</f>
        <v>14237</v>
      </c>
      <c r="Q10" s="7">
        <f>output!E267</f>
        <v>16223</v>
      </c>
      <c r="R10" s="7">
        <f>output!F267</f>
        <v>10146</v>
      </c>
      <c r="S10" s="7">
        <f>output!G267</f>
        <v>4844</v>
      </c>
      <c r="T10" s="7"/>
      <c r="U10" s="7">
        <f>output!H267</f>
        <v>13717</v>
      </c>
      <c r="V10" s="7">
        <f>output!I267</f>
        <v>5806</v>
      </c>
      <c r="W10" s="7">
        <f>output!J267</f>
        <v>153894</v>
      </c>
      <c r="Y10" s="3" t="s">
        <v>129</v>
      </c>
      <c r="Z10" s="7">
        <f t="shared" si="0"/>
        <v>42535.701662686297</v>
      </c>
      <c r="AA10" s="7">
        <f t="shared" si="1"/>
        <v>1191.4739415679996</v>
      </c>
      <c r="AB10" s="7">
        <f t="shared" si="2"/>
        <v>665.51512433520111</v>
      </c>
      <c r="AC10" s="7">
        <f t="shared" si="3"/>
        <v>-6065.8633030900019</v>
      </c>
      <c r="AD10" s="7">
        <f t="shared" si="4"/>
        <v>8533.5039641429994</v>
      </c>
      <c r="AE10" s="7">
        <f t="shared" si="5"/>
        <v>2006.6509999999998</v>
      </c>
      <c r="AF10" s="7"/>
      <c r="AG10" s="7">
        <f t="shared" si="6"/>
        <v>7654.9572499999995</v>
      </c>
      <c r="AH10" s="7">
        <f t="shared" si="7"/>
        <v>3906.4297500000002</v>
      </c>
      <c r="AI10" s="7">
        <f t="shared" si="8"/>
        <v>60428.36938964251</v>
      </c>
    </row>
    <row r="11" spans="1:35" ht="12.75" customHeight="1" x14ac:dyDescent="0.2">
      <c r="A11" s="3" t="s">
        <v>130</v>
      </c>
      <c r="B11" s="7">
        <f>output_NHTS!B268</f>
        <v>59836.600830153198</v>
      </c>
      <c r="C11" s="7">
        <f>output_NHTS!C268</f>
        <v>14274.0051989821</v>
      </c>
      <c r="D11" s="7">
        <f>output_NHTS!D268</f>
        <v>20550.8776516777</v>
      </c>
      <c r="E11" s="7">
        <f>output_NHTS!E268</f>
        <v>57574.844504085901</v>
      </c>
      <c r="F11" s="7">
        <f>output_NHTS!F268</f>
        <v>3563.2735130277997</v>
      </c>
      <c r="G11" s="7">
        <f>output_NHTS!G268</f>
        <v>3494.32575</v>
      </c>
      <c r="H11" s="7"/>
      <c r="I11" s="7">
        <f>output_NHTS!H268</f>
        <v>27179.500375</v>
      </c>
      <c r="J11" s="7">
        <f>output_NHTS!I268</f>
        <v>12245.325500000001</v>
      </c>
      <c r="K11" s="7">
        <f>output_NHTS!J268</f>
        <v>198718.75332292667</v>
      </c>
      <c r="L11" s="7"/>
      <c r="M11" s="3" t="s">
        <v>130</v>
      </c>
      <c r="N11" s="7">
        <f>output!B268</f>
        <v>97902</v>
      </c>
      <c r="O11" s="7">
        <f>output!C268</f>
        <v>29302</v>
      </c>
      <c r="P11" s="7">
        <f>output!D268</f>
        <v>29300</v>
      </c>
      <c r="Q11" s="7">
        <f>output!E268</f>
        <v>33082</v>
      </c>
      <c r="R11" s="7">
        <f>output!F268</f>
        <v>10757</v>
      </c>
      <c r="S11" s="7">
        <f>output!G268</f>
        <v>4448</v>
      </c>
      <c r="T11" s="7"/>
      <c r="U11" s="7">
        <f>output!H268</f>
        <v>44381</v>
      </c>
      <c r="V11" s="7">
        <f>output!I268</f>
        <v>27310</v>
      </c>
      <c r="W11" s="7">
        <f>output!J268</f>
        <v>276482</v>
      </c>
      <c r="Y11" s="3" t="s">
        <v>130</v>
      </c>
      <c r="Z11" s="7">
        <f t="shared" si="0"/>
        <v>38065.399169846802</v>
      </c>
      <c r="AA11" s="7">
        <f t="shared" si="1"/>
        <v>15027.9948010179</v>
      </c>
      <c r="AB11" s="7">
        <f t="shared" si="2"/>
        <v>8749.1223483223002</v>
      </c>
      <c r="AC11" s="7">
        <f t="shared" si="3"/>
        <v>-24492.844504085901</v>
      </c>
      <c r="AD11" s="7">
        <f t="shared" si="4"/>
        <v>7193.7264869722003</v>
      </c>
      <c r="AE11" s="7">
        <f t="shared" si="5"/>
        <v>953.67425000000003</v>
      </c>
      <c r="AF11" s="7"/>
      <c r="AG11" s="7">
        <f t="shared" si="6"/>
        <v>17201.499625</v>
      </c>
      <c r="AH11" s="7">
        <f t="shared" si="7"/>
        <v>15064.674499999999</v>
      </c>
      <c r="AI11" s="7">
        <f t="shared" si="8"/>
        <v>77763.24667707333</v>
      </c>
    </row>
    <row r="12" spans="1:35" ht="12.75" customHeight="1" x14ac:dyDescent="0.2">
      <c r="A12" s="8" t="s">
        <v>145</v>
      </c>
      <c r="B12" s="7">
        <f>output_NHTS!B269</f>
        <v>272751.8650399287</v>
      </c>
      <c r="C12" s="7">
        <f>output_NHTS!C269</f>
        <v>60258.750470361403</v>
      </c>
      <c r="D12" s="7">
        <f>output_NHTS!D269</f>
        <v>58013.143755494901</v>
      </c>
      <c r="E12" s="7">
        <f>output_NHTS!E269</f>
        <v>129356.4642166064</v>
      </c>
      <c r="F12" s="7">
        <f>output_NHTS!F269</f>
        <v>11942.805886510499</v>
      </c>
      <c r="G12" s="7">
        <f>output_NHTS!G269</f>
        <v>12439.88875</v>
      </c>
      <c r="H12" s="7"/>
      <c r="I12" s="7">
        <f>output_NHTS!H269</f>
        <v>103357.25412499999</v>
      </c>
      <c r="J12" s="7">
        <f>output_NHTS!I269</f>
        <v>46090.053124999999</v>
      </c>
      <c r="K12" s="7">
        <f>output_NHTS!J269</f>
        <v>694210.22536890185</v>
      </c>
      <c r="L12" s="7"/>
      <c r="M12" s="8" t="s">
        <v>145</v>
      </c>
      <c r="N12" s="9">
        <f>output!B269</f>
        <v>420017</v>
      </c>
      <c r="O12" s="9">
        <f>output!C269</f>
        <v>94494</v>
      </c>
      <c r="P12" s="9">
        <f>output!D269</f>
        <v>81903</v>
      </c>
      <c r="Q12" s="9">
        <f>output!E269</f>
        <v>94932</v>
      </c>
      <c r="R12" s="9">
        <f>output!F269</f>
        <v>61048</v>
      </c>
      <c r="S12" s="9">
        <f>output!G269</f>
        <v>19145</v>
      </c>
      <c r="T12" s="9"/>
      <c r="U12" s="9">
        <f>output!H269</f>
        <v>110827</v>
      </c>
      <c r="V12" s="9">
        <f>output!I269</f>
        <v>55802</v>
      </c>
      <c r="W12" s="9">
        <f>output!J269</f>
        <v>938168</v>
      </c>
      <c r="Y12" s="8" t="s">
        <v>145</v>
      </c>
      <c r="Z12" s="9">
        <f t="shared" si="0"/>
        <v>147265.1349600713</v>
      </c>
      <c r="AA12" s="9">
        <f t="shared" si="1"/>
        <v>34235.249529638597</v>
      </c>
      <c r="AB12" s="9">
        <f t="shared" si="2"/>
        <v>23889.856244505099</v>
      </c>
      <c r="AC12" s="9">
        <f t="shared" si="3"/>
        <v>-34424.4642166064</v>
      </c>
      <c r="AD12" s="9">
        <f t="shared" si="4"/>
        <v>49105.194113489502</v>
      </c>
      <c r="AE12" s="9">
        <f t="shared" si="5"/>
        <v>6705.1112499999999</v>
      </c>
      <c r="AF12" s="9"/>
      <c r="AG12" s="9">
        <f t="shared" si="6"/>
        <v>7469.7458750000078</v>
      </c>
      <c r="AH12" s="9">
        <f t="shared" si="7"/>
        <v>9711.9468750000015</v>
      </c>
      <c r="AI12" s="9">
        <f t="shared" si="8"/>
        <v>243957.77463109815</v>
      </c>
    </row>
    <row r="13" spans="1:35" ht="12.75" customHeight="1" thickBot="1" x14ac:dyDescent="0.25">
      <c r="A13" s="10" t="s">
        <v>221</v>
      </c>
      <c r="B13" s="11">
        <f t="shared" ref="B13:K13" si="9">SUM(B5:B12)</f>
        <v>789271.78188638738</v>
      </c>
      <c r="C13" s="11">
        <f t="shared" si="9"/>
        <v>171567.45324066971</v>
      </c>
      <c r="D13" s="11">
        <f t="shared" si="9"/>
        <v>168036.1803033074</v>
      </c>
      <c r="E13" s="11">
        <f t="shared" si="9"/>
        <v>350100.69623532321</v>
      </c>
      <c r="F13" s="11">
        <f t="shared" si="9"/>
        <v>35356.162836250493</v>
      </c>
      <c r="G13" s="11">
        <f t="shared" si="9"/>
        <v>34067.360249999998</v>
      </c>
      <c r="H13" s="11"/>
      <c r="I13" s="11">
        <f t="shared" si="9"/>
        <v>244830.97062500002</v>
      </c>
      <c r="J13" s="11">
        <f t="shared" si="9"/>
        <v>109155.08562500001</v>
      </c>
      <c r="K13" s="11">
        <f t="shared" si="9"/>
        <v>1902385.691001938</v>
      </c>
      <c r="L13" s="7"/>
      <c r="M13" s="10" t="s">
        <v>221</v>
      </c>
      <c r="N13" s="11">
        <f t="shared" ref="N13:W13" si="10">SUM(N5:N12)</f>
        <v>1356554</v>
      </c>
      <c r="O13" s="11">
        <f t="shared" si="10"/>
        <v>272601</v>
      </c>
      <c r="P13" s="11">
        <f t="shared" si="10"/>
        <v>226754</v>
      </c>
      <c r="Q13" s="11">
        <f t="shared" si="10"/>
        <v>258935</v>
      </c>
      <c r="R13" s="11">
        <f t="shared" si="10"/>
        <v>185245</v>
      </c>
      <c r="S13" s="11">
        <f t="shared" si="10"/>
        <v>50071</v>
      </c>
      <c r="T13" s="11"/>
      <c r="U13" s="11">
        <f t="shared" si="10"/>
        <v>279397</v>
      </c>
      <c r="V13" s="11">
        <f t="shared" si="10"/>
        <v>151823</v>
      </c>
      <c r="W13" s="11">
        <f t="shared" si="10"/>
        <v>2781380</v>
      </c>
      <c r="Y13" s="10" t="s">
        <v>221</v>
      </c>
      <c r="Z13" s="11">
        <f t="shared" si="0"/>
        <v>567282.21811361262</v>
      </c>
      <c r="AA13" s="11">
        <f t="shared" si="1"/>
        <v>101033.54675933029</v>
      </c>
      <c r="AB13" s="11">
        <f t="shared" si="2"/>
        <v>58717.819696692604</v>
      </c>
      <c r="AC13" s="11">
        <f t="shared" si="3"/>
        <v>-91165.696235323208</v>
      </c>
      <c r="AD13" s="11">
        <f t="shared" si="4"/>
        <v>149888.8371637495</v>
      </c>
      <c r="AE13" s="11">
        <f t="shared" si="5"/>
        <v>16003.639750000002</v>
      </c>
      <c r="AF13" s="11"/>
      <c r="AG13" s="11">
        <f t="shared" si="6"/>
        <v>34566.029374999984</v>
      </c>
      <c r="AH13" s="11">
        <f t="shared" si="7"/>
        <v>42667.914374999993</v>
      </c>
      <c r="AI13" s="11">
        <f t="shared" si="8"/>
        <v>878994.30899806204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174034.4896</v>
      </c>
      <c r="C15" s="33">
        <f>ToursByTourPurpose!C15</f>
        <v>35722.840400000001</v>
      </c>
      <c r="D15" s="33">
        <f>ToursByTourPurpose!D15</f>
        <v>42350.315699999999</v>
      </c>
      <c r="E15" s="33">
        <f>ToursByTourPurpose!E15</f>
        <v>58462.537400000001</v>
      </c>
      <c r="F15" s="33">
        <f>ToursByTourPurpose!F15</f>
        <v>7345.8631999999998</v>
      </c>
      <c r="G15" s="33">
        <f>ToursByTourPurpose!G15</f>
        <v>8011.7664999999997</v>
      </c>
      <c r="H15" s="33"/>
      <c r="I15" s="33">
        <f>ToursByTourPurpose!I15</f>
        <v>60256.400200000004</v>
      </c>
      <c r="J15" s="33">
        <f>ToursByTourPurpose!J15</f>
        <v>29420.3328</v>
      </c>
      <c r="K15" s="33">
        <f>ToursByTourPurpose!K15</f>
        <v>415604.54580000008</v>
      </c>
      <c r="M15" s="25" t="s">
        <v>88</v>
      </c>
      <c r="N15" s="33">
        <f>ToursByTourPurpose!N15</f>
        <v>501551</v>
      </c>
      <c r="O15" s="33">
        <f>ToursByTourPurpose!O15</f>
        <v>106109</v>
      </c>
      <c r="P15" s="33">
        <f>ToursByTourPurpose!P15</f>
        <v>81174</v>
      </c>
      <c r="Q15" s="33">
        <f>ToursByTourPurpose!Q15</f>
        <v>102273</v>
      </c>
      <c r="R15" s="33">
        <f>ToursByTourPurpose!R15</f>
        <v>69769</v>
      </c>
      <c r="S15" s="33">
        <f>ToursByTourPurpose!S15</f>
        <v>30115</v>
      </c>
      <c r="T15" s="33"/>
      <c r="U15" s="33">
        <f>ToursByTourPurpose!U15</f>
        <v>178835</v>
      </c>
      <c r="V15" s="33">
        <f>ToursByTourPurpose!V15</f>
        <v>85295</v>
      </c>
      <c r="W15" s="33">
        <f>ToursByTourPurpose!W15</f>
        <v>1155121</v>
      </c>
      <c r="Y15" s="3" t="s">
        <v>88</v>
      </c>
      <c r="Z15" s="7">
        <f t="shared" ref="Z15:AE16" si="11">N15-B15</f>
        <v>327516.51040000003</v>
      </c>
      <c r="AA15" s="7">
        <f t="shared" si="11"/>
        <v>70386.159599999999</v>
      </c>
      <c r="AB15" s="7">
        <f t="shared" si="11"/>
        <v>38823.684300000001</v>
      </c>
      <c r="AC15" s="7">
        <f t="shared" si="11"/>
        <v>43810.462599999999</v>
      </c>
      <c r="AD15" s="7">
        <f t="shared" si="11"/>
        <v>62423.1368</v>
      </c>
      <c r="AE15" s="7">
        <f t="shared" si="11"/>
        <v>22103.233500000002</v>
      </c>
      <c r="AF15" s="7"/>
      <c r="AG15" s="7">
        <f t="shared" ref="AG15:AI16" si="12">U15-I15</f>
        <v>118578.5998</v>
      </c>
      <c r="AH15" s="7">
        <f t="shared" si="12"/>
        <v>55874.667199999996</v>
      </c>
      <c r="AI15" s="7">
        <f t="shared" si="12"/>
        <v>739516.45419999992</v>
      </c>
    </row>
    <row r="16" spans="1:35" ht="12.75" customHeight="1" x14ac:dyDescent="0.2">
      <c r="A16" s="25" t="s">
        <v>91</v>
      </c>
      <c r="B16" s="38">
        <f t="shared" ref="B16:K16" si="13">B13/B15</f>
        <v>4.5351457846111174</v>
      </c>
      <c r="C16" s="38">
        <f t="shared" si="13"/>
        <v>4.8027382850740423</v>
      </c>
      <c r="D16" s="38">
        <f t="shared" si="13"/>
        <v>3.9677668873506744</v>
      </c>
      <c r="E16" s="38">
        <f t="shared" si="13"/>
        <v>5.9884622153831319</v>
      </c>
      <c r="F16" s="38">
        <f t="shared" si="13"/>
        <v>4.8130712311999622</v>
      </c>
      <c r="G16" s="38">
        <f t="shared" si="13"/>
        <v>4.2521658925032328</v>
      </c>
      <c r="H16" s="38"/>
      <c r="I16" s="38">
        <f t="shared" si="13"/>
        <v>4.0631529565717406</v>
      </c>
      <c r="J16" s="38">
        <f t="shared" si="13"/>
        <v>3.71019207590337</v>
      </c>
      <c r="K16" s="38">
        <f t="shared" si="13"/>
        <v>4.5773938476539575</v>
      </c>
      <c r="M16" s="25" t="s">
        <v>91</v>
      </c>
      <c r="N16" s="38">
        <f t="shared" ref="N16:W16" si="14">N13/N15</f>
        <v>2.7047179648729642</v>
      </c>
      <c r="O16" s="38">
        <f t="shared" si="14"/>
        <v>2.5690657719891807</v>
      </c>
      <c r="P16" s="38">
        <f t="shared" si="14"/>
        <v>2.7934313942888118</v>
      </c>
      <c r="Q16" s="38">
        <f t="shared" si="14"/>
        <v>2.5318021374165225</v>
      </c>
      <c r="R16" s="38">
        <f t="shared" si="14"/>
        <v>2.6551190356748697</v>
      </c>
      <c r="S16" s="38">
        <f t="shared" si="14"/>
        <v>1.6626598040843434</v>
      </c>
      <c r="T16" s="38"/>
      <c r="U16" s="38">
        <f t="shared" si="14"/>
        <v>1.5623172197835995</v>
      </c>
      <c r="V16" s="38">
        <f t="shared" si="14"/>
        <v>1.779975379565039</v>
      </c>
      <c r="W16" s="38">
        <f t="shared" si="14"/>
        <v>2.4078689591826312</v>
      </c>
      <c r="Y16" s="3" t="s">
        <v>91</v>
      </c>
      <c r="Z16" s="38">
        <f t="shared" si="11"/>
        <v>-1.8304278197381532</v>
      </c>
      <c r="AA16" s="38">
        <f t="shared" si="11"/>
        <v>-2.2336725130848616</v>
      </c>
      <c r="AB16" s="38">
        <f t="shared" si="11"/>
        <v>-1.1743354930618626</v>
      </c>
      <c r="AC16" s="38">
        <f t="shared" si="11"/>
        <v>-3.4566600779666095</v>
      </c>
      <c r="AD16" s="38">
        <f t="shared" si="11"/>
        <v>-2.1579521955250924</v>
      </c>
      <c r="AE16" s="38">
        <f t="shared" si="11"/>
        <v>-2.5895060884188892</v>
      </c>
      <c r="AF16" s="38"/>
      <c r="AG16" s="38">
        <f t="shared" si="12"/>
        <v>-2.5008357367881411</v>
      </c>
      <c r="AH16" s="38">
        <f t="shared" si="12"/>
        <v>-1.9302166963383309</v>
      </c>
      <c r="AI16" s="38">
        <f t="shared" si="12"/>
        <v>-2.1695248884713263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218" t="s">
        <v>79</v>
      </c>
      <c r="Z19" s="218"/>
      <c r="AA19" s="218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2">
      <c r="A22" s="3" t="s">
        <v>210</v>
      </c>
      <c r="B22" s="12">
        <f t="shared" ref="B22:K22" si="15">B5/B$13</f>
        <v>0.28185431064085681</v>
      </c>
      <c r="C22" s="12">
        <f t="shared" si="15"/>
        <v>0.12295800401816848</v>
      </c>
      <c r="D22" s="12">
        <f t="shared" si="15"/>
        <v>2.5364854323118701E-2</v>
      </c>
      <c r="E22" s="12">
        <f t="shared" si="15"/>
        <v>1.0543486592025721E-2</v>
      </c>
      <c r="F22" s="12">
        <f t="shared" si="15"/>
        <v>0.14178974845835227</v>
      </c>
      <c r="G22" s="12">
        <f t="shared" si="15"/>
        <v>2.6725012396579803E-2</v>
      </c>
      <c r="H22" s="12"/>
      <c r="I22" s="12">
        <f t="shared" si="15"/>
        <v>4.7210622375483619E-3</v>
      </c>
      <c r="J22" s="12">
        <f t="shared" si="15"/>
        <v>0</v>
      </c>
      <c r="K22" s="12">
        <f t="shared" si="15"/>
        <v>0.13592837475646538</v>
      </c>
      <c r="M22" s="3" t="s">
        <v>210</v>
      </c>
      <c r="N22" s="12">
        <f t="shared" ref="N22:W22" si="16">N5/N$13</f>
        <v>0.28999730198724122</v>
      </c>
      <c r="O22" s="12">
        <f t="shared" si="16"/>
        <v>0.20262581575269351</v>
      </c>
      <c r="P22" s="12">
        <f t="shared" si="16"/>
        <v>0</v>
      </c>
      <c r="Q22" s="12">
        <f t="shared" si="16"/>
        <v>0</v>
      </c>
      <c r="R22" s="12">
        <f t="shared" si="16"/>
        <v>0.2110772220572755</v>
      </c>
      <c r="S22" s="12">
        <f t="shared" si="16"/>
        <v>1.5897425655569092E-2</v>
      </c>
      <c r="T22" s="12"/>
      <c r="U22" s="12">
        <f t="shared" si="16"/>
        <v>2.7094063286291548E-3</v>
      </c>
      <c r="V22" s="12">
        <f t="shared" si="16"/>
        <v>0</v>
      </c>
      <c r="W22" s="12">
        <f t="shared" si="16"/>
        <v>0.17591519317748744</v>
      </c>
      <c r="Y22" s="3" t="s">
        <v>210</v>
      </c>
      <c r="Z22" s="12">
        <f t="shared" ref="Z22:Z30" si="17">N22-B22</f>
        <v>8.1429913463844095E-3</v>
      </c>
      <c r="AA22" s="12">
        <f t="shared" ref="AA22:AA30" si="18">O22-C22</f>
        <v>7.9667811734525029E-2</v>
      </c>
      <c r="AB22" s="12">
        <f t="shared" ref="AB22:AB30" si="19">P22-D22</f>
        <v>-2.5364854323118701E-2</v>
      </c>
      <c r="AC22" s="12">
        <f t="shared" ref="AC22:AC30" si="20">Q22-E22</f>
        <v>-1.0543486592025721E-2</v>
      </c>
      <c r="AD22" s="12">
        <f t="shared" ref="AD22:AD30" si="21">R22-F22</f>
        <v>6.9287473598923233E-2</v>
      </c>
      <c r="AE22" s="12">
        <f t="shared" ref="AE22:AE30" si="22">S22-G22</f>
        <v>-1.0827586741010711E-2</v>
      </c>
      <c r="AF22" s="12"/>
      <c r="AG22" s="12">
        <f t="shared" ref="AG22:AG30" si="23">U22-I22</f>
        <v>-2.011655908919207E-3</v>
      </c>
      <c r="AH22" s="12">
        <f t="shared" ref="AH22:AH30" si="24">V22-J22</f>
        <v>0</v>
      </c>
      <c r="AI22" s="12">
        <f t="shared" ref="AI22:AI30" si="25">W22-K22</f>
        <v>3.9986818421022058E-2</v>
      </c>
    </row>
    <row r="23" spans="1:35" ht="12.75" customHeight="1" x14ac:dyDescent="0.2">
      <c r="A23" s="3" t="s">
        <v>211</v>
      </c>
      <c r="B23" s="12">
        <f t="shared" ref="B23:K23" si="26">B6/B$13</f>
        <v>6.0337436454369646E-3</v>
      </c>
      <c r="C23" s="12">
        <f t="shared" si="26"/>
        <v>3.0406354239432061E-2</v>
      </c>
      <c r="D23" s="12">
        <f t="shared" si="26"/>
        <v>3.2087336362310028E-3</v>
      </c>
      <c r="E23" s="12">
        <f t="shared" si="26"/>
        <v>1.3015651679733351E-2</v>
      </c>
      <c r="F23" s="12">
        <f t="shared" si="26"/>
        <v>8.4198592319774015E-2</v>
      </c>
      <c r="G23" s="12">
        <f t="shared" si="26"/>
        <v>0.29116691687316748</v>
      </c>
      <c r="H23" s="12"/>
      <c r="I23" s="12">
        <f t="shared" si="26"/>
        <v>0.26333690121153558</v>
      </c>
      <c r="J23" s="12">
        <f t="shared" si="26"/>
        <v>0.10995388058448055</v>
      </c>
      <c r="K23" s="12">
        <f t="shared" si="26"/>
        <v>5.4902777431625138E-2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0.15489216982914519</v>
      </c>
      <c r="S23" s="12">
        <f t="shared" si="27"/>
        <v>0.31603123564538355</v>
      </c>
      <c r="T23" s="12"/>
      <c r="U23" s="12">
        <f t="shared" si="27"/>
        <v>0.25189604755956579</v>
      </c>
      <c r="V23" s="12">
        <f t="shared" si="27"/>
        <v>0</v>
      </c>
      <c r="W23" s="12">
        <f t="shared" si="27"/>
        <v>4.1308990501118151E-2</v>
      </c>
      <c r="Y23" s="3" t="s">
        <v>211</v>
      </c>
      <c r="Z23" s="12">
        <f t="shared" si="17"/>
        <v>-6.0337436454369646E-3</v>
      </c>
      <c r="AA23" s="12">
        <f t="shared" si="18"/>
        <v>-3.0406354239432061E-2</v>
      </c>
      <c r="AB23" s="12">
        <f t="shared" si="19"/>
        <v>-3.2087336362310028E-3</v>
      </c>
      <c r="AC23" s="12">
        <f t="shared" si="20"/>
        <v>-1.3015651679733351E-2</v>
      </c>
      <c r="AD23" s="12">
        <f t="shared" si="21"/>
        <v>7.0693577509371178E-2</v>
      </c>
      <c r="AE23" s="12">
        <f t="shared" si="22"/>
        <v>2.4864318772216065E-2</v>
      </c>
      <c r="AF23" s="12"/>
      <c r="AG23" s="12">
        <f t="shared" si="23"/>
        <v>-1.1440853651969785E-2</v>
      </c>
      <c r="AH23" s="12">
        <f t="shared" si="24"/>
        <v>-0.10995388058448055</v>
      </c>
      <c r="AI23" s="12">
        <f t="shared" si="25"/>
        <v>-1.3593786930506987E-2</v>
      </c>
    </row>
    <row r="24" spans="1:35" ht="12.75" customHeight="1" x14ac:dyDescent="0.2">
      <c r="A24" s="3" t="s">
        <v>212</v>
      </c>
      <c r="B24" s="12">
        <f t="shared" ref="B24:K24" si="28">B7/B$13</f>
        <v>9.3636754870695116E-2</v>
      </c>
      <c r="C24" s="12">
        <f t="shared" si="28"/>
        <v>0.11054966002411044</v>
      </c>
      <c r="D24" s="12">
        <f t="shared" si="28"/>
        <v>6.4232251131782353E-2</v>
      </c>
      <c r="E24" s="12">
        <f t="shared" si="28"/>
        <v>0.15976325674293745</v>
      </c>
      <c r="F24" s="12">
        <f t="shared" si="28"/>
        <v>9.9608526652005411E-2</v>
      </c>
      <c r="G24" s="12">
        <f t="shared" si="28"/>
        <v>4.5384485726333905E-2</v>
      </c>
      <c r="H24" s="12"/>
      <c r="I24" s="12">
        <f t="shared" si="28"/>
        <v>5.0282261956375807E-2</v>
      </c>
      <c r="J24" s="12">
        <f t="shared" si="28"/>
        <v>7.8513730724765765E-2</v>
      </c>
      <c r="K24" s="12">
        <f t="shared" si="28"/>
        <v>9.7533783677834551E-2</v>
      </c>
      <c r="M24" s="3" t="s">
        <v>212</v>
      </c>
      <c r="N24" s="12">
        <f t="shared" ref="N24:W24" si="29">N7/N$13</f>
        <v>8.8318636781138091E-2</v>
      </c>
      <c r="O24" s="12">
        <f t="shared" si="29"/>
        <v>7.5087765635489231E-2</v>
      </c>
      <c r="P24" s="12">
        <f t="shared" si="29"/>
        <v>5.1434594318071569E-2</v>
      </c>
      <c r="Q24" s="12">
        <f t="shared" si="29"/>
        <v>0.11421399192847626</v>
      </c>
      <c r="R24" s="12">
        <f t="shared" si="29"/>
        <v>5.5256552133660826E-2</v>
      </c>
      <c r="S24" s="12">
        <f t="shared" si="29"/>
        <v>3.9763535779193546E-2</v>
      </c>
      <c r="T24" s="12"/>
      <c r="U24" s="12">
        <f t="shared" si="29"/>
        <v>3.1525034270231962E-2</v>
      </c>
      <c r="V24" s="12">
        <f t="shared" si="29"/>
        <v>8.3768598960631782E-2</v>
      </c>
      <c r="W24" s="12">
        <f t="shared" si="29"/>
        <v>7.7396112721023383E-2</v>
      </c>
      <c r="Y24" s="3" t="s">
        <v>212</v>
      </c>
      <c r="Z24" s="12">
        <f t="shared" si="17"/>
        <v>-5.3181180895570251E-3</v>
      </c>
      <c r="AA24" s="12">
        <f t="shared" si="18"/>
        <v>-3.5461894388621212E-2</v>
      </c>
      <c r="AB24" s="12">
        <f t="shared" si="19"/>
        <v>-1.2797656813710784E-2</v>
      </c>
      <c r="AC24" s="12">
        <f t="shared" si="20"/>
        <v>-4.5549264814461199E-2</v>
      </c>
      <c r="AD24" s="12">
        <f t="shared" si="21"/>
        <v>-4.4351974518344585E-2</v>
      </c>
      <c r="AE24" s="12">
        <f t="shared" si="22"/>
        <v>-5.6209499471403593E-3</v>
      </c>
      <c r="AF24" s="12"/>
      <c r="AG24" s="12">
        <f t="shared" si="23"/>
        <v>-1.8757227686143844E-2</v>
      </c>
      <c r="AH24" s="12">
        <f t="shared" si="24"/>
        <v>5.254868235866017E-3</v>
      </c>
      <c r="AI24" s="12">
        <f t="shared" si="25"/>
        <v>-2.0137670956811168E-2</v>
      </c>
    </row>
    <row r="25" spans="1:35" ht="12.75" customHeight="1" x14ac:dyDescent="0.2">
      <c r="A25" s="3" t="s">
        <v>213</v>
      </c>
      <c r="B25" s="12">
        <f t="shared" ref="B25:K25" si="30">B8/B$13</f>
        <v>6.6425130928206219E-2</v>
      </c>
      <c r="C25" s="12">
        <f t="shared" si="30"/>
        <v>9.3674935515265123E-2</v>
      </c>
      <c r="D25" s="12">
        <f t="shared" si="30"/>
        <v>0.15427308078354099</v>
      </c>
      <c r="E25" s="12">
        <f t="shared" si="30"/>
        <v>0.10506506856978584</v>
      </c>
      <c r="F25" s="12">
        <f t="shared" si="30"/>
        <v>6.4874029619907861E-2</v>
      </c>
      <c r="G25" s="12">
        <f t="shared" si="30"/>
        <v>6.2716963079051613E-2</v>
      </c>
      <c r="H25" s="12"/>
      <c r="I25" s="12">
        <f t="shared" si="30"/>
        <v>8.5289376163048894E-2</v>
      </c>
      <c r="J25" s="12">
        <f t="shared" si="30"/>
        <v>0.15208585935273961</v>
      </c>
      <c r="K25" s="12">
        <f t="shared" si="30"/>
        <v>9.1000783459568482E-2</v>
      </c>
      <c r="M25" s="3" t="s">
        <v>213</v>
      </c>
      <c r="N25" s="12">
        <f t="shared" ref="N25:W25" si="31">N8/N$13</f>
        <v>7.7277425004828412E-2</v>
      </c>
      <c r="O25" s="12">
        <f t="shared" si="31"/>
        <v>0.11495188939145491</v>
      </c>
      <c r="P25" s="12">
        <f t="shared" si="31"/>
        <v>0.20710990765322773</v>
      </c>
      <c r="Q25" s="12">
        <f t="shared" si="31"/>
        <v>0.14875547917431015</v>
      </c>
      <c r="R25" s="12">
        <f t="shared" si="31"/>
        <v>5.6611514480822696E-2</v>
      </c>
      <c r="S25" s="12">
        <f t="shared" si="31"/>
        <v>4.277925346008668E-2</v>
      </c>
      <c r="T25" s="12"/>
      <c r="U25" s="12">
        <f t="shared" si="31"/>
        <v>9.2463412277154017E-2</v>
      </c>
      <c r="V25" s="12">
        <f t="shared" si="31"/>
        <v>0.18032840873912384</v>
      </c>
      <c r="W25" s="12">
        <f t="shared" si="31"/>
        <v>0.10336200015819486</v>
      </c>
      <c r="Y25" s="3" t="s">
        <v>213</v>
      </c>
      <c r="Z25" s="12">
        <f t="shared" si="17"/>
        <v>1.0852294076622193E-2</v>
      </c>
      <c r="AA25" s="12">
        <f t="shared" si="18"/>
        <v>2.1276953876189789E-2</v>
      </c>
      <c r="AB25" s="12">
        <f t="shared" si="19"/>
        <v>5.2836826869686743E-2</v>
      </c>
      <c r="AC25" s="12">
        <f t="shared" si="20"/>
        <v>4.3690410604524305E-2</v>
      </c>
      <c r="AD25" s="12">
        <f t="shared" si="21"/>
        <v>-8.2625151390851651E-3</v>
      </c>
      <c r="AE25" s="12">
        <f t="shared" si="22"/>
        <v>-1.9937709618964933E-2</v>
      </c>
      <c r="AF25" s="12"/>
      <c r="AG25" s="12">
        <f t="shared" si="23"/>
        <v>7.1740361141051229E-3</v>
      </c>
      <c r="AH25" s="12">
        <f t="shared" si="24"/>
        <v>2.8242549386384236E-2</v>
      </c>
      <c r="AI25" s="12">
        <f t="shared" si="25"/>
        <v>1.2361216698626373E-2</v>
      </c>
    </row>
    <row r="26" spans="1:35" ht="12.75" customHeight="1" x14ac:dyDescent="0.2">
      <c r="A26" s="3" t="s">
        <v>214</v>
      </c>
      <c r="B26" s="12">
        <f t="shared" ref="B26:K26" si="32">B9/B$13</f>
        <v>8.8120178458452686E-2</v>
      </c>
      <c r="C26" s="12">
        <f t="shared" si="32"/>
        <v>0.1402861961772485</v>
      </c>
      <c r="D26" s="12">
        <f t="shared" si="32"/>
        <v>0.20461353042661529</v>
      </c>
      <c r="E26" s="12">
        <f t="shared" si="32"/>
        <v>0.11401254797346905</v>
      </c>
      <c r="F26" s="12">
        <f t="shared" si="32"/>
        <v>0.12535395321216977</v>
      </c>
      <c r="G26" s="12">
        <f t="shared" si="32"/>
        <v>2.2993471441627181E-2</v>
      </c>
      <c r="H26" s="12"/>
      <c r="I26" s="12">
        <f t="shared" si="32"/>
        <v>3.8439361760382679E-2</v>
      </c>
      <c r="J26" s="12">
        <f t="shared" si="32"/>
        <v>0.10761746402138833</v>
      </c>
      <c r="K26" s="12">
        <f t="shared" si="32"/>
        <v>0.10213027070023198</v>
      </c>
      <c r="M26" s="3" t="s">
        <v>214</v>
      </c>
      <c r="N26" s="12">
        <f t="shared" ref="N26:W26" si="33">N9/N$13</f>
        <v>0.10650810804435357</v>
      </c>
      <c r="O26" s="12">
        <f t="shared" si="33"/>
        <v>0.10622484877164794</v>
      </c>
      <c r="P26" s="12">
        <f t="shared" si="33"/>
        <v>0.1882568774971996</v>
      </c>
      <c r="Q26" s="12">
        <f t="shared" si="33"/>
        <v>0.17999111746191129</v>
      </c>
      <c r="R26" s="12">
        <f t="shared" si="33"/>
        <v>7.9770034278927912E-2</v>
      </c>
      <c r="S26" s="12">
        <f t="shared" si="33"/>
        <v>1.7595015078588405E-2</v>
      </c>
      <c r="T26" s="12"/>
      <c r="U26" s="12">
        <f t="shared" si="33"/>
        <v>1.6800466719399276E-2</v>
      </c>
      <c r="V26" s="12">
        <f t="shared" si="33"/>
        <v>0.15023415424540418</v>
      </c>
      <c r="W26" s="12">
        <f t="shared" si="33"/>
        <v>0.10997993801638035</v>
      </c>
      <c r="Y26" s="3" t="s">
        <v>214</v>
      </c>
      <c r="Z26" s="12">
        <f t="shared" si="17"/>
        <v>1.8387929585900881E-2</v>
      </c>
      <c r="AA26" s="12">
        <f t="shared" si="18"/>
        <v>-3.4061347405600559E-2</v>
      </c>
      <c r="AB26" s="12">
        <f t="shared" si="19"/>
        <v>-1.6356652929415683E-2</v>
      </c>
      <c r="AC26" s="12">
        <f t="shared" si="20"/>
        <v>6.5978569488442246E-2</v>
      </c>
      <c r="AD26" s="12">
        <f t="shared" si="21"/>
        <v>-4.558391893324186E-2</v>
      </c>
      <c r="AE26" s="12">
        <f t="shared" si="22"/>
        <v>-5.3984563630387755E-3</v>
      </c>
      <c r="AF26" s="12"/>
      <c r="AG26" s="12">
        <f t="shared" si="23"/>
        <v>-2.1638895040983402E-2</v>
      </c>
      <c r="AH26" s="12">
        <f t="shared" si="24"/>
        <v>4.2616690224015846E-2</v>
      </c>
      <c r="AI26" s="12">
        <f t="shared" si="25"/>
        <v>7.849667316148376E-3</v>
      </c>
    </row>
    <row r="27" spans="1:35" ht="12.75" customHeight="1" x14ac:dyDescent="0.2">
      <c r="A27" s="3" t="s">
        <v>129</v>
      </c>
      <c r="B27" s="12">
        <f t="shared" ref="B27:K27" si="34">B10/B$13</f>
        <v>4.2543391399424396E-2</v>
      </c>
      <c r="C27" s="12">
        <f t="shared" si="34"/>
        <v>6.7702386665016739E-2</v>
      </c>
      <c r="D27" s="12">
        <f t="shared" si="34"/>
        <v>8.0765254549157811E-2</v>
      </c>
      <c r="E27" s="12">
        <f t="shared" si="34"/>
        <v>6.3664150179548198E-2</v>
      </c>
      <c r="F27" s="12">
        <f t="shared" si="34"/>
        <v>4.5607212618777627E-2</v>
      </c>
      <c r="G27" s="12">
        <f t="shared" si="34"/>
        <v>8.3286435437861683E-2</v>
      </c>
      <c r="H27" s="12"/>
      <c r="I27" s="12">
        <f t="shared" si="34"/>
        <v>2.4760114026934291E-2</v>
      </c>
      <c r="J27" s="12">
        <f t="shared" si="34"/>
        <v>1.7402489669844E-2</v>
      </c>
      <c r="K27" s="12">
        <f t="shared" si="34"/>
        <v>4.9130747278240683E-2</v>
      </c>
      <c r="M27" s="3" t="s">
        <v>129</v>
      </c>
      <c r="N27" s="12">
        <f t="shared" ref="N27:W27" si="35">N10/N$13</f>
        <v>5.6108345115638593E-2</v>
      </c>
      <c r="O27" s="12">
        <f t="shared" si="35"/>
        <v>4.6980752088216844E-2</v>
      </c>
      <c r="P27" s="12">
        <f t="shared" si="35"/>
        <v>6.2786103001490609E-2</v>
      </c>
      <c r="Q27" s="12">
        <f t="shared" si="35"/>
        <v>6.2652789310058507E-2</v>
      </c>
      <c r="R27" s="12">
        <f t="shared" si="35"/>
        <v>5.4770709060973304E-2</v>
      </c>
      <c r="S27" s="12">
        <f t="shared" si="35"/>
        <v>9.6742625471830004E-2</v>
      </c>
      <c r="T27" s="12"/>
      <c r="U27" s="12">
        <f t="shared" si="35"/>
        <v>4.9095015336599893E-2</v>
      </c>
      <c r="V27" s="12">
        <f t="shared" si="35"/>
        <v>3.8241900107361865E-2</v>
      </c>
      <c r="W27" s="12">
        <f t="shared" si="35"/>
        <v>5.5330087941956874E-2</v>
      </c>
      <c r="Y27" s="3" t="s">
        <v>129</v>
      </c>
      <c r="Z27" s="12">
        <f t="shared" si="17"/>
        <v>1.3564953716214197E-2</v>
      </c>
      <c r="AA27" s="12">
        <f t="shared" si="18"/>
        <v>-2.0721634576799895E-2</v>
      </c>
      <c r="AB27" s="12">
        <f t="shared" si="19"/>
        <v>-1.7979151547667202E-2</v>
      </c>
      <c r="AC27" s="12">
        <f t="shared" si="20"/>
        <v>-1.0113608694896914E-3</v>
      </c>
      <c r="AD27" s="12">
        <f t="shared" si="21"/>
        <v>9.1634964421956761E-3</v>
      </c>
      <c r="AE27" s="12">
        <f t="shared" si="22"/>
        <v>1.3456190033968321E-2</v>
      </c>
      <c r="AF27" s="12"/>
      <c r="AG27" s="12">
        <f t="shared" si="23"/>
        <v>2.4334901309665601E-2</v>
      </c>
      <c r="AH27" s="12">
        <f t="shared" si="24"/>
        <v>2.0839410437517865E-2</v>
      </c>
      <c r="AI27" s="12">
        <f t="shared" si="25"/>
        <v>6.1993406637161907E-3</v>
      </c>
    </row>
    <row r="28" spans="1:35" ht="12.75" customHeight="1" x14ac:dyDescent="0.2">
      <c r="A28" s="3" t="s">
        <v>130</v>
      </c>
      <c r="B28" s="12">
        <f t="shared" ref="B28:K28" si="36">B11/B$13</f>
        <v>7.5812416208700148E-2</v>
      </c>
      <c r="C28" s="12">
        <f t="shared" si="36"/>
        <v>8.3197628276028265E-2</v>
      </c>
      <c r="D28" s="12">
        <f t="shared" si="36"/>
        <v>0.12230031422151533</v>
      </c>
      <c r="E28" s="12">
        <f t="shared" si="36"/>
        <v>0.16445224223543523</v>
      </c>
      <c r="F28" s="12">
        <f t="shared" si="36"/>
        <v>0.10078224635209547</v>
      </c>
      <c r="G28" s="12">
        <f t="shared" si="36"/>
        <v>0.1025710746109247</v>
      </c>
      <c r="H28" s="12"/>
      <c r="I28" s="12">
        <f t="shared" si="36"/>
        <v>0.11101332607397123</v>
      </c>
      <c r="J28" s="12">
        <f t="shared" si="36"/>
        <v>0.11218282162380008</v>
      </c>
      <c r="K28" s="12">
        <f t="shared" si="36"/>
        <v>0.1044576576994051</v>
      </c>
      <c r="M28" s="3" t="s">
        <v>130</v>
      </c>
      <c r="N28" s="12">
        <f t="shared" ref="N28:W28" si="37">N11/N$13</f>
        <v>7.2169629812008959E-2</v>
      </c>
      <c r="O28" s="12">
        <f t="shared" si="37"/>
        <v>0.10749043473795034</v>
      </c>
      <c r="P28" s="12">
        <f t="shared" si="37"/>
        <v>0.12921492013371319</v>
      </c>
      <c r="Q28" s="12">
        <f t="shared" si="37"/>
        <v>0.12776179350029931</v>
      </c>
      <c r="R28" s="12">
        <f t="shared" si="37"/>
        <v>5.8069043698885263E-2</v>
      </c>
      <c r="S28" s="12">
        <f t="shared" si="37"/>
        <v>8.8833855924587091E-2</v>
      </c>
      <c r="T28" s="12"/>
      <c r="U28" s="12">
        <f t="shared" si="37"/>
        <v>0.15884565689681707</v>
      </c>
      <c r="V28" s="12">
        <f t="shared" si="37"/>
        <v>0.17988051876197941</v>
      </c>
      <c r="W28" s="12">
        <f t="shared" si="37"/>
        <v>9.9404612099029982E-2</v>
      </c>
      <c r="Y28" s="3" t="s">
        <v>130</v>
      </c>
      <c r="Z28" s="12">
        <f t="shared" si="17"/>
        <v>-3.6427863966911889E-3</v>
      </c>
      <c r="AA28" s="12">
        <f t="shared" si="18"/>
        <v>2.429280646192207E-2</v>
      </c>
      <c r="AB28" s="12">
        <f t="shared" si="19"/>
        <v>6.9146059121978631E-3</v>
      </c>
      <c r="AC28" s="12">
        <f t="shared" si="20"/>
        <v>-3.6690448735135911E-2</v>
      </c>
      <c r="AD28" s="12">
        <f t="shared" si="21"/>
        <v>-4.2713202653210207E-2</v>
      </c>
      <c r="AE28" s="12">
        <f t="shared" si="22"/>
        <v>-1.3737218686337607E-2</v>
      </c>
      <c r="AF28" s="12"/>
      <c r="AG28" s="12">
        <f t="shared" si="23"/>
        <v>4.7832330822845839E-2</v>
      </c>
      <c r="AH28" s="12">
        <f t="shared" si="24"/>
        <v>6.769769713817933E-2</v>
      </c>
      <c r="AI28" s="12">
        <f t="shared" si="25"/>
        <v>-5.0530456003751167E-3</v>
      </c>
    </row>
    <row r="29" spans="1:35" ht="12.75" customHeight="1" x14ac:dyDescent="0.2">
      <c r="A29" s="8" t="s">
        <v>145</v>
      </c>
      <c r="B29" s="13">
        <f t="shared" ref="B29:K29" si="38">B12/B$13</f>
        <v>0.34557407384822769</v>
      </c>
      <c r="C29" s="13">
        <f t="shared" si="38"/>
        <v>0.35122483508473035</v>
      </c>
      <c r="D29" s="13">
        <f t="shared" si="38"/>
        <v>0.34524198092803854</v>
      </c>
      <c r="E29" s="13">
        <f t="shared" si="38"/>
        <v>0.3694835960270651</v>
      </c>
      <c r="F29" s="13">
        <f t="shared" si="38"/>
        <v>0.33778569076691778</v>
      </c>
      <c r="G29" s="13">
        <f t="shared" si="38"/>
        <v>0.3651556404344537</v>
      </c>
      <c r="H29" s="13"/>
      <c r="I29" s="13">
        <f t="shared" si="38"/>
        <v>0.42215759657020308</v>
      </c>
      <c r="J29" s="13">
        <f t="shared" si="38"/>
        <v>0.42224375402298159</v>
      </c>
      <c r="K29" s="13">
        <f t="shared" si="38"/>
        <v>0.36491560499662878</v>
      </c>
      <c r="M29" s="8" t="s">
        <v>145</v>
      </c>
      <c r="N29" s="13">
        <f t="shared" ref="N29:W29" si="39">N12/N$13</f>
        <v>0.30962055325479121</v>
      </c>
      <c r="O29" s="13">
        <f t="shared" si="39"/>
        <v>0.34663849362254723</v>
      </c>
      <c r="P29" s="13">
        <f t="shared" si="39"/>
        <v>0.36119759739629731</v>
      </c>
      <c r="Q29" s="13">
        <f t="shared" si="39"/>
        <v>0.3666248286249445</v>
      </c>
      <c r="R29" s="13">
        <f t="shared" si="39"/>
        <v>0.32955275446030929</v>
      </c>
      <c r="S29" s="13">
        <f t="shared" si="39"/>
        <v>0.38235705298476164</v>
      </c>
      <c r="T29" s="13"/>
      <c r="U29" s="13">
        <f t="shared" si="39"/>
        <v>0.39666496061160283</v>
      </c>
      <c r="V29" s="13">
        <f t="shared" si="39"/>
        <v>0.36754641918549891</v>
      </c>
      <c r="W29" s="13">
        <f t="shared" si="39"/>
        <v>0.33730306538480898</v>
      </c>
      <c r="Y29" s="8" t="s">
        <v>145</v>
      </c>
      <c r="Z29" s="12">
        <f t="shared" si="17"/>
        <v>-3.5953520593436483E-2</v>
      </c>
      <c r="AA29" s="12">
        <f t="shared" si="18"/>
        <v>-4.5863414621831189E-3</v>
      </c>
      <c r="AB29" s="12">
        <f t="shared" si="19"/>
        <v>1.5955616468258771E-2</v>
      </c>
      <c r="AC29" s="12">
        <f t="shared" si="20"/>
        <v>-2.8587674021205989E-3</v>
      </c>
      <c r="AD29" s="12">
        <f t="shared" si="21"/>
        <v>-8.2329363066084849E-3</v>
      </c>
      <c r="AE29" s="12">
        <f t="shared" si="22"/>
        <v>1.7201412550307937E-2</v>
      </c>
      <c r="AF29" s="12"/>
      <c r="AG29" s="12">
        <f t="shared" si="23"/>
        <v>-2.549263595860024E-2</v>
      </c>
      <c r="AH29" s="12">
        <f t="shared" si="24"/>
        <v>-5.4697334837482681E-2</v>
      </c>
      <c r="AI29" s="12">
        <f t="shared" si="25"/>
        <v>-2.7612539611819809E-2</v>
      </c>
    </row>
    <row r="30" spans="1:35" ht="12.75" customHeight="1" thickBot="1" x14ac:dyDescent="0.25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276</v>
      </c>
      <c r="I36"/>
      <c r="M36" s="2" t="s">
        <v>127</v>
      </c>
      <c r="Y36" s="218" t="s">
        <v>80</v>
      </c>
      <c r="Z36" s="218"/>
      <c r="AA36" s="218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2">
      <c r="A39" s="3" t="s">
        <v>210</v>
      </c>
      <c r="B39" s="7">
        <f>output_NHTS!B273</f>
        <v>4056.6130490569999</v>
      </c>
      <c r="C39" s="7">
        <f>output_NHTS!C273</f>
        <v>33421.766321018302</v>
      </c>
      <c r="D39" s="7">
        <f>output_NHTS!D273</f>
        <v>33111.255040896001</v>
      </c>
      <c r="E39" s="7">
        <f>output_NHTS!E273</f>
        <v>168611.42000420319</v>
      </c>
      <c r="F39" s="7"/>
      <c r="G39" s="7">
        <f>SUM(B39:E39)</f>
        <v>239201.0544151745</v>
      </c>
      <c r="H39" s="7"/>
      <c r="I39"/>
      <c r="M39" s="3" t="s">
        <v>210</v>
      </c>
      <c r="N39" s="7">
        <f>output!B273</f>
        <v>7280</v>
      </c>
      <c r="O39" s="7">
        <f>output!C273</f>
        <v>56179</v>
      </c>
      <c r="P39" s="7">
        <f>output!D273</f>
        <v>62784</v>
      </c>
      <c r="Q39" s="7">
        <f>output!E273</f>
        <v>362990</v>
      </c>
      <c r="R39" s="7"/>
      <c r="S39" s="7">
        <f>SUM(N39:Q39)</f>
        <v>489233</v>
      </c>
      <c r="T39" s="7"/>
      <c r="Y39" s="3" t="s">
        <v>210</v>
      </c>
      <c r="Z39" s="7">
        <f t="shared" ref="Z39:Z47" si="42">N39-B39</f>
        <v>3223.3869509430001</v>
      </c>
      <c r="AA39" s="7">
        <f t="shared" ref="AA39:AA47" si="43">O39-C39</f>
        <v>22757.233678981698</v>
      </c>
      <c r="AB39" s="7">
        <f t="shared" ref="AB39:AB47" si="44">P39-D39</f>
        <v>29672.744959103999</v>
      </c>
      <c r="AC39" s="7">
        <f t="shared" ref="AC39:AC47" si="45">Q39-E39</f>
        <v>194378.57999579681</v>
      </c>
      <c r="AD39" s="7">
        <f t="shared" ref="AD39:AD47" si="46">R39-F39</f>
        <v>0</v>
      </c>
      <c r="AE39" s="7">
        <f t="shared" ref="AE39:AE47" si="47">S39-G39</f>
        <v>250031.9455848255</v>
      </c>
      <c r="AF39" s="7"/>
    </row>
    <row r="40" spans="1:32" ht="12.75" customHeight="1" x14ac:dyDescent="0.2">
      <c r="A40" s="3" t="s">
        <v>211</v>
      </c>
      <c r="B40" s="7">
        <f>output_NHTS!B274</f>
        <v>902.36287500000003</v>
      </c>
      <c r="C40" s="7">
        <f>output_NHTS!C274</f>
        <v>7691.6144966009997</v>
      </c>
      <c r="D40" s="7">
        <f>output_NHTS!D274</f>
        <v>1895.9633313979998</v>
      </c>
      <c r="E40" s="7">
        <f>output_NHTS!E274</f>
        <v>80766.340710731107</v>
      </c>
      <c r="F40" s="7"/>
      <c r="G40" s="7">
        <f t="shared" ref="G40:G47" si="48">SUM(B40:E40)</f>
        <v>91256.281413730103</v>
      </c>
      <c r="H40" s="7"/>
      <c r="I40"/>
      <c r="M40" s="3" t="s">
        <v>211</v>
      </c>
      <c r="N40" s="7">
        <f>output!B274</f>
        <v>5476</v>
      </c>
      <c r="O40" s="7">
        <f>output!C274</f>
        <v>13729</v>
      </c>
      <c r="P40" s="7">
        <f>output!D274</f>
        <v>11239</v>
      </c>
      <c r="Q40" s="7">
        <f>output!E274</f>
        <v>84410</v>
      </c>
      <c r="R40" s="7"/>
      <c r="S40" s="7">
        <f t="shared" ref="S40:S47" si="49">SUM(N40:Q40)</f>
        <v>114854</v>
      </c>
      <c r="T40" s="7"/>
      <c r="Y40" s="3" t="s">
        <v>211</v>
      </c>
      <c r="Z40" s="7">
        <f t="shared" si="42"/>
        <v>4573.6371250000002</v>
      </c>
      <c r="AA40" s="7">
        <f t="shared" si="43"/>
        <v>6037.3855033990003</v>
      </c>
      <c r="AB40" s="7">
        <f t="shared" si="44"/>
        <v>9343.0366686020006</v>
      </c>
      <c r="AC40" s="7">
        <f t="shared" si="45"/>
        <v>3643.6592892688932</v>
      </c>
      <c r="AD40" s="7">
        <f t="shared" si="46"/>
        <v>0</v>
      </c>
      <c r="AE40" s="7">
        <f t="shared" si="47"/>
        <v>23597.718586269897</v>
      </c>
      <c r="AF40" s="7"/>
    </row>
    <row r="41" spans="1:32" ht="12.75" customHeight="1" x14ac:dyDescent="0.2">
      <c r="A41" s="3" t="s">
        <v>212</v>
      </c>
      <c r="B41" s="7">
        <f>output_NHTS!B275</f>
        <v>1979.3667564340001</v>
      </c>
      <c r="C41" s="7">
        <f>output_NHTS!C275</f>
        <v>12605.371425130299</v>
      </c>
      <c r="D41" s="7">
        <f>output_NHTS!D275</f>
        <v>8727.4489151159996</v>
      </c>
      <c r="E41" s="7">
        <f>output_NHTS!E275</f>
        <v>146629.7958699821</v>
      </c>
      <c r="F41" s="7"/>
      <c r="G41" s="7">
        <f t="shared" si="48"/>
        <v>169941.98296666238</v>
      </c>
      <c r="H41" s="7"/>
      <c r="I41"/>
      <c r="M41" s="3" t="s">
        <v>212</v>
      </c>
      <c r="N41" s="7">
        <f>output!B275</f>
        <v>5314</v>
      </c>
      <c r="O41" s="7">
        <f>output!C275</f>
        <v>20668</v>
      </c>
      <c r="P41" s="7">
        <f>output!D275</f>
        <v>22926</v>
      </c>
      <c r="Q41" s="7">
        <f>output!E275</f>
        <v>166306</v>
      </c>
      <c r="R41" s="7"/>
      <c r="S41" s="7">
        <f t="shared" si="49"/>
        <v>215214</v>
      </c>
      <c r="T41" s="7"/>
      <c r="Y41" s="3" t="s">
        <v>212</v>
      </c>
      <c r="Z41" s="7">
        <f t="shared" si="42"/>
        <v>3334.6332435659997</v>
      </c>
      <c r="AA41" s="7">
        <f t="shared" si="43"/>
        <v>8062.628574869701</v>
      </c>
      <c r="AB41" s="7">
        <f t="shared" si="44"/>
        <v>14198.551084884</v>
      </c>
      <c r="AC41" s="7">
        <f t="shared" si="45"/>
        <v>19676.204130017897</v>
      </c>
      <c r="AD41" s="7">
        <f t="shared" si="46"/>
        <v>0</v>
      </c>
      <c r="AE41" s="7">
        <f t="shared" si="47"/>
        <v>45272.017033337615</v>
      </c>
      <c r="AF41" s="7"/>
    </row>
    <row r="42" spans="1:32" ht="12.75" customHeight="1" x14ac:dyDescent="0.2">
      <c r="A42" s="3" t="s">
        <v>213</v>
      </c>
      <c r="B42" s="7">
        <f>output_NHTS!B276</f>
        <v>7107.8167449479997</v>
      </c>
      <c r="C42" s="7">
        <f>output_NHTS!C276</f>
        <v>26562.956096206799</v>
      </c>
      <c r="D42" s="7">
        <f>output_NHTS!D276</f>
        <v>16904.061974398799</v>
      </c>
      <c r="E42" s="7">
        <f>output_NHTS!E276</f>
        <v>105250.15054971181</v>
      </c>
      <c r="F42" s="7"/>
      <c r="G42" s="7">
        <f t="shared" si="48"/>
        <v>155824.9853652654</v>
      </c>
      <c r="H42" s="7"/>
      <c r="I42"/>
      <c r="M42" s="3" t="s">
        <v>213</v>
      </c>
      <c r="N42" s="7">
        <f>output!B276</f>
        <v>14942</v>
      </c>
      <c r="O42" s="7">
        <f>output!C276</f>
        <v>50906</v>
      </c>
      <c r="P42" s="7">
        <f>output!D276</f>
        <v>35394</v>
      </c>
      <c r="Q42" s="7">
        <f>output!E276</f>
        <v>186164</v>
      </c>
      <c r="R42" s="7"/>
      <c r="S42" s="7">
        <f t="shared" si="49"/>
        <v>287406</v>
      </c>
      <c r="T42" s="7"/>
      <c r="Y42" s="3" t="s">
        <v>213</v>
      </c>
      <c r="Z42" s="7">
        <f t="shared" si="42"/>
        <v>7834.1832550520003</v>
      </c>
      <c r="AA42" s="7">
        <f t="shared" si="43"/>
        <v>24343.043903793201</v>
      </c>
      <c r="AB42" s="7">
        <f t="shared" si="44"/>
        <v>18489.938025601201</v>
      </c>
      <c r="AC42" s="7">
        <f t="shared" si="45"/>
        <v>80913.849450288195</v>
      </c>
      <c r="AD42" s="7">
        <f t="shared" si="46"/>
        <v>0</v>
      </c>
      <c r="AE42" s="7">
        <f t="shared" si="47"/>
        <v>131581.0146347346</v>
      </c>
      <c r="AF42" s="7"/>
    </row>
    <row r="43" spans="1:32" ht="12.75" customHeight="1" x14ac:dyDescent="0.2">
      <c r="A43" s="3" t="s">
        <v>214</v>
      </c>
      <c r="B43" s="7">
        <f>output_NHTS!B277</f>
        <v>812.85068615699993</v>
      </c>
      <c r="C43" s="7">
        <f>output_NHTS!C277</f>
        <v>28072.929428977</v>
      </c>
      <c r="D43" s="7">
        <f>output_NHTS!D277</f>
        <v>18905.218059401999</v>
      </c>
      <c r="E43" s="7">
        <f>output_NHTS!E277</f>
        <v>127453.5541503406</v>
      </c>
      <c r="F43" s="7"/>
      <c r="G43" s="7">
        <f t="shared" si="48"/>
        <v>175244.5523248766</v>
      </c>
      <c r="H43" s="7"/>
      <c r="I43"/>
      <c r="M43" s="3" t="s">
        <v>214</v>
      </c>
      <c r="N43" s="7">
        <f>output!B277</f>
        <v>13998</v>
      </c>
      <c r="O43" s="7">
        <f>output!C277</f>
        <v>46631</v>
      </c>
      <c r="P43" s="7">
        <f>output!D277</f>
        <v>38523</v>
      </c>
      <c r="Q43" s="7">
        <f>output!E277</f>
        <v>206661</v>
      </c>
      <c r="R43" s="7"/>
      <c r="S43" s="7">
        <f t="shared" si="49"/>
        <v>305813</v>
      </c>
      <c r="T43" s="7"/>
      <c r="Y43" s="3" t="s">
        <v>214</v>
      </c>
      <c r="Z43" s="7">
        <f t="shared" si="42"/>
        <v>13185.149313843</v>
      </c>
      <c r="AA43" s="7">
        <f t="shared" si="43"/>
        <v>18558.070571023</v>
      </c>
      <c r="AB43" s="7">
        <f t="shared" si="44"/>
        <v>19617.781940598001</v>
      </c>
      <c r="AC43" s="7">
        <f t="shared" si="45"/>
        <v>79207.445849659402</v>
      </c>
      <c r="AD43" s="7">
        <f t="shared" si="46"/>
        <v>0</v>
      </c>
      <c r="AE43" s="7">
        <f t="shared" si="47"/>
        <v>130568.4476751234</v>
      </c>
      <c r="AF43" s="7"/>
    </row>
    <row r="44" spans="1:32" ht="12.75" customHeight="1" x14ac:dyDescent="0.2">
      <c r="A44" s="3" t="s">
        <v>129</v>
      </c>
      <c r="B44" s="7">
        <f>output_NHTS!B278</f>
        <v>656.80913232400007</v>
      </c>
      <c r="C44" s="7">
        <f>output_NHTS!C278</f>
        <v>15730.467727122799</v>
      </c>
      <c r="D44" s="7">
        <f>output_NHTS!D278</f>
        <v>11667.603226139001</v>
      </c>
      <c r="E44" s="7">
        <f>output_NHTS!E278</f>
        <v>57259.557498024704</v>
      </c>
      <c r="F44" s="7"/>
      <c r="G44" s="7">
        <f t="shared" si="48"/>
        <v>85314.437583610503</v>
      </c>
      <c r="H44" s="7"/>
      <c r="I44"/>
      <c r="M44" s="3" t="s">
        <v>129</v>
      </c>
      <c r="N44" s="7">
        <f>output!B278</f>
        <v>4603</v>
      </c>
      <c r="O44" s="7">
        <f>output!C278</f>
        <v>20847</v>
      </c>
      <c r="P44" s="7">
        <f>output!D278</f>
        <v>19579</v>
      </c>
      <c r="Q44" s="7">
        <f>output!E278</f>
        <v>108834</v>
      </c>
      <c r="R44" s="7"/>
      <c r="S44" s="7">
        <f t="shared" si="49"/>
        <v>153863</v>
      </c>
      <c r="T44" s="7"/>
      <c r="Y44" s="3" t="s">
        <v>129</v>
      </c>
      <c r="Z44" s="7">
        <f t="shared" si="42"/>
        <v>3946.1908676759999</v>
      </c>
      <c r="AA44" s="7">
        <f t="shared" si="43"/>
        <v>5116.5322728772007</v>
      </c>
      <c r="AB44" s="7">
        <f t="shared" si="44"/>
        <v>7911.396773860999</v>
      </c>
      <c r="AC44" s="7">
        <f t="shared" si="45"/>
        <v>51574.442501975296</v>
      </c>
      <c r="AD44" s="7">
        <f t="shared" si="46"/>
        <v>0</v>
      </c>
      <c r="AE44" s="7">
        <f t="shared" si="47"/>
        <v>68548.562416389497</v>
      </c>
      <c r="AF44" s="7"/>
    </row>
    <row r="45" spans="1:32" ht="12.75" customHeight="1" x14ac:dyDescent="0.2">
      <c r="A45" s="3" t="s">
        <v>130</v>
      </c>
      <c r="B45" s="7">
        <f>output_NHTS!B279</f>
        <v>2486.8713270349999</v>
      </c>
      <c r="C45" s="7">
        <f>output_NHTS!C279</f>
        <v>30123.113023219001</v>
      </c>
      <c r="D45" s="7">
        <f>output_NHTS!D279</f>
        <v>24013.605602246</v>
      </c>
      <c r="E45" s="7">
        <f>output_NHTS!E279</f>
        <v>126198.6021975347</v>
      </c>
      <c r="F45" s="7"/>
      <c r="G45" s="7">
        <f t="shared" si="48"/>
        <v>182822.19215003471</v>
      </c>
      <c r="H45" s="7"/>
      <c r="I45"/>
      <c r="M45" s="3" t="s">
        <v>130</v>
      </c>
      <c r="N45" s="7">
        <f>output!B279</f>
        <v>8982</v>
      </c>
      <c r="O45" s="7">
        <f>output!C279</f>
        <v>35601</v>
      </c>
      <c r="P45" s="7">
        <f>output!D279</f>
        <v>31163</v>
      </c>
      <c r="Q45" s="7">
        <f>output!E279</f>
        <v>200651</v>
      </c>
      <c r="R45" s="7"/>
      <c r="S45" s="7">
        <f t="shared" si="49"/>
        <v>276397</v>
      </c>
      <c r="T45" s="7"/>
      <c r="Y45" s="3" t="s">
        <v>130</v>
      </c>
      <c r="Z45" s="7">
        <f t="shared" si="42"/>
        <v>6495.1286729650001</v>
      </c>
      <c r="AA45" s="7">
        <f t="shared" si="43"/>
        <v>5477.8869767809992</v>
      </c>
      <c r="AB45" s="7">
        <f t="shared" si="44"/>
        <v>7149.3943977540002</v>
      </c>
      <c r="AC45" s="7">
        <f t="shared" si="45"/>
        <v>74452.397802465304</v>
      </c>
      <c r="AD45" s="7">
        <f t="shared" si="46"/>
        <v>0</v>
      </c>
      <c r="AE45" s="7">
        <f t="shared" si="47"/>
        <v>93574.807849965291</v>
      </c>
      <c r="AF45" s="7"/>
    </row>
    <row r="46" spans="1:32" ht="12.75" customHeight="1" x14ac:dyDescent="0.2">
      <c r="A46" s="8" t="s">
        <v>145</v>
      </c>
      <c r="B46" s="7">
        <f>output_NHTS!B280</f>
        <v>15453.625498913001</v>
      </c>
      <c r="C46" s="7">
        <f>output_NHTS!C280</f>
        <v>91781.825671104598</v>
      </c>
      <c r="D46" s="7">
        <f>output_NHTS!D280</f>
        <v>60923.8602774748</v>
      </c>
      <c r="E46" s="7">
        <f>output_NHTS!E280</f>
        <v>466146.65990879288</v>
      </c>
      <c r="F46" s="9"/>
      <c r="G46" s="9">
        <f t="shared" si="48"/>
        <v>634305.97135628527</v>
      </c>
      <c r="H46" s="33"/>
      <c r="I46"/>
      <c r="M46" s="8" t="s">
        <v>145</v>
      </c>
      <c r="N46" s="9">
        <f>output!B280</f>
        <v>33553</v>
      </c>
      <c r="O46" s="9">
        <f>output!C280</f>
        <v>126216</v>
      </c>
      <c r="P46" s="9">
        <f>output!D280</f>
        <v>111071</v>
      </c>
      <c r="Q46" s="9">
        <f>output!E280</f>
        <v>667081</v>
      </c>
      <c r="R46" s="9"/>
      <c r="S46" s="9">
        <f t="shared" si="49"/>
        <v>937921</v>
      </c>
      <c r="T46" s="33"/>
      <c r="Y46" s="8" t="s">
        <v>145</v>
      </c>
      <c r="Z46" s="9">
        <f t="shared" si="42"/>
        <v>18099.374501086997</v>
      </c>
      <c r="AA46" s="9">
        <f t="shared" si="43"/>
        <v>34434.174328895402</v>
      </c>
      <c r="AB46" s="9">
        <f t="shared" si="44"/>
        <v>50147.1397225252</v>
      </c>
      <c r="AC46" s="9">
        <f t="shared" si="45"/>
        <v>200934.34009120712</v>
      </c>
      <c r="AD46" s="9">
        <f t="shared" si="46"/>
        <v>0</v>
      </c>
      <c r="AE46" s="9">
        <f t="shared" si="47"/>
        <v>303615.02864371473</v>
      </c>
      <c r="AF46" s="33"/>
    </row>
    <row r="47" spans="1:32" ht="13.5" thickBot="1" x14ac:dyDescent="0.25">
      <c r="A47" s="10" t="s">
        <v>221</v>
      </c>
      <c r="B47" s="11">
        <f>SUM(B39:B46)</f>
        <v>33456.316069868</v>
      </c>
      <c r="C47" s="11">
        <f>SUM(C39:C46)</f>
        <v>245990.04418937981</v>
      </c>
      <c r="D47" s="11">
        <f>SUM(D39:D46)</f>
        <v>176149.0164270706</v>
      </c>
      <c r="E47" s="11">
        <f>SUM(E39:E46)</f>
        <v>1278316.0808893212</v>
      </c>
      <c r="F47" s="11"/>
      <c r="G47" s="11">
        <f t="shared" si="48"/>
        <v>1733911.4575756397</v>
      </c>
      <c r="H47" s="33"/>
      <c r="I47"/>
      <c r="M47" s="10" t="s">
        <v>221</v>
      </c>
      <c r="N47" s="11">
        <f>SUM(N39:N46)</f>
        <v>94148</v>
      </c>
      <c r="O47" s="11">
        <f>SUM(O39:O46)</f>
        <v>370777</v>
      </c>
      <c r="P47" s="11">
        <f>SUM(P39:P46)</f>
        <v>332679</v>
      </c>
      <c r="Q47" s="11">
        <f>SUM(Q39:Q46)</f>
        <v>1983097</v>
      </c>
      <c r="R47" s="11"/>
      <c r="S47" s="11">
        <f t="shared" si="49"/>
        <v>2780701</v>
      </c>
      <c r="T47" s="33"/>
      <c r="Y47" s="10" t="s">
        <v>221</v>
      </c>
      <c r="Z47" s="11">
        <f t="shared" si="42"/>
        <v>60691.683930132</v>
      </c>
      <c r="AA47" s="11">
        <f t="shared" si="43"/>
        <v>124786.95581062019</v>
      </c>
      <c r="AB47" s="11">
        <f t="shared" si="44"/>
        <v>156529.9835729294</v>
      </c>
      <c r="AC47" s="11">
        <f t="shared" si="45"/>
        <v>704780.91911067883</v>
      </c>
      <c r="AD47" s="11">
        <f t="shared" si="46"/>
        <v>0</v>
      </c>
      <c r="AE47" s="11">
        <f t="shared" si="47"/>
        <v>1046789.5424243603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9952.4868000000006</v>
      </c>
      <c r="C49" s="53">
        <f>ToursByTourPurpose!C50</f>
        <v>56947.638800000001</v>
      </c>
      <c r="D49" s="53">
        <f>ToursByTourPurpose!D50</f>
        <v>37966.100200000001</v>
      </c>
      <c r="E49" s="53">
        <f>ToursByTourPurpose!E50</f>
        <v>268210.74040000001</v>
      </c>
      <c r="F49" s="7"/>
      <c r="G49" s="53">
        <f>ToursByTourPurpose!G50</f>
        <v>373076.96620000002</v>
      </c>
      <c r="H49" s="53"/>
      <c r="I49"/>
      <c r="M49" s="25" t="s">
        <v>88</v>
      </c>
      <c r="N49" s="53">
        <f>ToursByTourPurpose!N50</f>
        <v>33103</v>
      </c>
      <c r="O49" s="53">
        <f>ToursByTourPurpose!O50</f>
        <v>154992</v>
      </c>
      <c r="P49" s="53">
        <f>ToursByTourPurpose!P50</f>
        <v>148379</v>
      </c>
      <c r="Q49" s="53">
        <f>ToursByTourPurpose!Q50</f>
        <v>818426</v>
      </c>
      <c r="R49" s="53" t="e">
        <f>ToursByTourPurpose!#REF!</f>
        <v>#REF!</v>
      </c>
      <c r="S49" s="53">
        <f>ToursByTourPurpose!S50</f>
        <v>1154900</v>
      </c>
      <c r="T49" s="53"/>
      <c r="Y49" s="3" t="s">
        <v>88</v>
      </c>
      <c r="Z49" s="7">
        <f t="shared" ref="Z49:AC50" si="50">N49-B49</f>
        <v>23150.513200000001</v>
      </c>
      <c r="AA49" s="7">
        <f t="shared" si="50"/>
        <v>98044.361199999999</v>
      </c>
      <c r="AB49" s="7">
        <f t="shared" si="50"/>
        <v>110412.8998</v>
      </c>
      <c r="AC49" s="7">
        <f t="shared" si="50"/>
        <v>550215.25959999999</v>
      </c>
      <c r="AD49" s="7"/>
      <c r="AE49" s="7">
        <f>S49-G49</f>
        <v>781823.03379999998</v>
      </c>
      <c r="AF49" s="7"/>
    </row>
    <row r="50" spans="1:32" x14ac:dyDescent="0.2">
      <c r="A50" s="25" t="s">
        <v>91</v>
      </c>
      <c r="B50" s="38">
        <f t="shared" ref="B50:G50" si="51">B47/B49</f>
        <v>3.3616036616966927</v>
      </c>
      <c r="C50" s="38">
        <f t="shared" si="51"/>
        <v>4.3195828549326931</v>
      </c>
      <c r="D50" s="38">
        <f t="shared" si="51"/>
        <v>4.6396394546488233</v>
      </c>
      <c r="E50" s="38">
        <f t="shared" si="51"/>
        <v>4.7660883340573381</v>
      </c>
      <c r="F50" s="38" t="e">
        <f t="shared" si="51"/>
        <v>#DIV/0!</v>
      </c>
      <c r="G50" s="38">
        <f t="shared" si="51"/>
        <v>4.6475971841320272</v>
      </c>
      <c r="H50" s="38"/>
      <c r="I50"/>
      <c r="M50" s="25" t="s">
        <v>91</v>
      </c>
      <c r="N50" s="38">
        <f t="shared" ref="N50:S50" si="52">N47/N49</f>
        <v>2.8440926804217139</v>
      </c>
      <c r="O50" s="38">
        <f t="shared" si="52"/>
        <v>2.3922331475172913</v>
      </c>
      <c r="P50" s="38">
        <f t="shared" si="52"/>
        <v>2.2420895140147863</v>
      </c>
      <c r="Q50" s="38">
        <f t="shared" si="52"/>
        <v>2.4230620728080488</v>
      </c>
      <c r="R50" s="38" t="e">
        <f t="shared" si="52"/>
        <v>#REF!</v>
      </c>
      <c r="S50" s="38">
        <f t="shared" si="52"/>
        <v>2.4077417958264786</v>
      </c>
      <c r="T50" s="38"/>
      <c r="Y50" s="3" t="s">
        <v>91</v>
      </c>
      <c r="Z50" s="38">
        <f t="shared" si="50"/>
        <v>-0.51751098127497874</v>
      </c>
      <c r="AA50" s="38">
        <f t="shared" si="50"/>
        <v>-1.9273497074154018</v>
      </c>
      <c r="AB50" s="38">
        <f t="shared" si="50"/>
        <v>-2.397549940634037</v>
      </c>
      <c r="AC50" s="38">
        <f t="shared" si="50"/>
        <v>-2.3430262612492894</v>
      </c>
      <c r="AD50" s="38"/>
      <c r="AE50" s="38">
        <f>S50-G50</f>
        <v>-2.2398553883055485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18" t="s">
        <v>108</v>
      </c>
      <c r="Z53" s="218"/>
      <c r="AA53" s="218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t="shared" ref="B56:G56" si="53">B39/B$47</f>
        <v>0.12125103793811107</v>
      </c>
      <c r="C56" s="12">
        <f t="shared" si="53"/>
        <v>0.13586633731927769</v>
      </c>
      <c r="D56" s="12">
        <f t="shared" si="53"/>
        <v>0.18797297715599087</v>
      </c>
      <c r="E56" s="12">
        <f t="shared" si="53"/>
        <v>0.13190119605387476</v>
      </c>
      <c r="F56" s="12" t="e">
        <f t="shared" si="53"/>
        <v>#DIV/0!</v>
      </c>
      <c r="G56" s="12">
        <f t="shared" si="53"/>
        <v>0.13795459587632355</v>
      </c>
      <c r="H56" s="12"/>
      <c r="I56"/>
      <c r="M56" s="3" t="s">
        <v>210</v>
      </c>
      <c r="N56" s="12">
        <f t="shared" ref="N56:Q64" si="54">N39/N$47</f>
        <v>7.7325062667289793E-2</v>
      </c>
      <c r="O56" s="12">
        <f t="shared" si="54"/>
        <v>0.15151694954109882</v>
      </c>
      <c r="P56" s="12">
        <f t="shared" si="54"/>
        <v>0.18872246219328542</v>
      </c>
      <c r="Q56" s="12">
        <f t="shared" si="54"/>
        <v>0.18304197928795213</v>
      </c>
      <c r="R56" s="12" t="e">
        <f t="shared" ref="R56:S64" si="55">R39/R$47</f>
        <v>#DIV/0!</v>
      </c>
      <c r="S56" s="12">
        <f t="shared" si="55"/>
        <v>0.17593872911902431</v>
      </c>
      <c r="T56" s="12"/>
      <c r="Y56" s="3" t="s">
        <v>210</v>
      </c>
      <c r="Z56" s="12">
        <f t="shared" ref="Z56:Z64" si="56">N56-B56</f>
        <v>-4.3925975270821274E-2</v>
      </c>
      <c r="AA56" s="12">
        <f t="shared" ref="AA56:AA64" si="57">O56-C56</f>
        <v>1.5650612221821125E-2</v>
      </c>
      <c r="AB56" s="12">
        <f t="shared" ref="AB56:AB64" si="58">P56-D56</f>
        <v>7.4948503729455052E-4</v>
      </c>
      <c r="AC56" s="12">
        <f t="shared" ref="AC56:AC64" si="59">Q56-E56</f>
        <v>5.1140783234077364E-2</v>
      </c>
      <c r="AD56" s="12"/>
      <c r="AE56" s="12">
        <f t="shared" ref="AE56:AE64" si="60">S56-G56</f>
        <v>3.7984133242700752E-2</v>
      </c>
      <c r="AF56" s="12"/>
    </row>
    <row r="57" spans="1:32" x14ac:dyDescent="0.2">
      <c r="A57" s="3" t="s">
        <v>211</v>
      </c>
      <c r="B57" s="12">
        <f t="shared" ref="B57:G57" si="61">B40/B$47</f>
        <v>2.6971375841726385E-2</v>
      </c>
      <c r="C57" s="12">
        <f t="shared" si="61"/>
        <v>3.1267991035765143E-2</v>
      </c>
      <c r="D57" s="12">
        <f t="shared" si="61"/>
        <v>1.0763405722353087E-2</v>
      </c>
      <c r="E57" s="12">
        <f t="shared" si="61"/>
        <v>6.3181823273741639E-2</v>
      </c>
      <c r="F57" s="12" t="e">
        <f t="shared" si="61"/>
        <v>#DIV/0!</v>
      </c>
      <c r="G57" s="12">
        <f t="shared" si="61"/>
        <v>5.263030070827545E-2</v>
      </c>
      <c r="H57" s="12"/>
      <c r="I57"/>
      <c r="M57" s="3" t="s">
        <v>211</v>
      </c>
      <c r="N57" s="12">
        <f t="shared" si="54"/>
        <v>5.8163742193142715E-2</v>
      </c>
      <c r="O57" s="12">
        <f t="shared" si="54"/>
        <v>3.7027647345978847E-2</v>
      </c>
      <c r="P57" s="12">
        <f t="shared" si="54"/>
        <v>3.37833166505851E-2</v>
      </c>
      <c r="Q57" s="12">
        <f t="shared" si="54"/>
        <v>4.2564735865164439E-2</v>
      </c>
      <c r="R57" s="12" t="e">
        <f t="shared" si="55"/>
        <v>#DIV/0!</v>
      </c>
      <c r="S57" s="12">
        <f t="shared" si="55"/>
        <v>4.1303973350604754E-2</v>
      </c>
      <c r="T57" s="12"/>
      <c r="Y57" s="3" t="s">
        <v>211</v>
      </c>
      <c r="Z57" s="12">
        <f t="shared" si="56"/>
        <v>3.1192366351416329E-2</v>
      </c>
      <c r="AA57" s="12">
        <f t="shared" si="57"/>
        <v>5.7596563102137038E-3</v>
      </c>
      <c r="AB57" s="12">
        <f t="shared" si="58"/>
        <v>2.3019910928232013E-2</v>
      </c>
      <c r="AC57" s="12">
        <f t="shared" si="59"/>
        <v>-2.0617087408577199E-2</v>
      </c>
      <c r="AD57" s="12"/>
      <c r="AE57" s="12">
        <f t="shared" si="60"/>
        <v>-1.1326327357670696E-2</v>
      </c>
      <c r="AF57" s="12"/>
    </row>
    <row r="58" spans="1:32" x14ac:dyDescent="0.2">
      <c r="A58" s="3" t="s">
        <v>212</v>
      </c>
      <c r="B58" s="12">
        <f t="shared" ref="B58:G58" si="62">B41/B$47</f>
        <v>5.9162722886178472E-2</v>
      </c>
      <c r="C58" s="12">
        <f t="shared" si="62"/>
        <v>5.1243421117587305E-2</v>
      </c>
      <c r="D58" s="12">
        <f t="shared" si="62"/>
        <v>4.9545828254620693E-2</v>
      </c>
      <c r="E58" s="12">
        <f t="shared" si="62"/>
        <v>0.11470543010612222</v>
      </c>
      <c r="F58" s="12" t="e">
        <f t="shared" si="62"/>
        <v>#DIV/0!</v>
      </c>
      <c r="G58" s="12">
        <f t="shared" si="62"/>
        <v>9.8010761866857823E-2</v>
      </c>
      <c r="H58" s="12"/>
      <c r="I58"/>
      <c r="M58" s="3" t="s">
        <v>212</v>
      </c>
      <c r="N58" s="12">
        <f t="shared" si="54"/>
        <v>5.6443047117304669E-2</v>
      </c>
      <c r="O58" s="12">
        <f t="shared" si="54"/>
        <v>5.5742400418580439E-2</v>
      </c>
      <c r="P58" s="12">
        <f t="shared" si="54"/>
        <v>6.891327676228437E-2</v>
      </c>
      <c r="Q58" s="12">
        <f t="shared" si="54"/>
        <v>8.3861757644734469E-2</v>
      </c>
      <c r="R58" s="12" t="e">
        <f t="shared" si="55"/>
        <v>#DIV/0!</v>
      </c>
      <c r="S58" s="12">
        <f t="shared" si="55"/>
        <v>7.739559197482937E-2</v>
      </c>
      <c r="T58" s="12"/>
      <c r="Y58" s="3" t="s">
        <v>212</v>
      </c>
      <c r="Z58" s="12">
        <f t="shared" si="56"/>
        <v>-2.7196757688738027E-3</v>
      </c>
      <c r="AA58" s="12">
        <f t="shared" si="57"/>
        <v>4.4989793009931334E-3</v>
      </c>
      <c r="AB58" s="12">
        <f t="shared" si="58"/>
        <v>1.9367448507663677E-2</v>
      </c>
      <c r="AC58" s="12">
        <f t="shared" si="59"/>
        <v>-3.084367246138775E-2</v>
      </c>
      <c r="AD58" s="12"/>
      <c r="AE58" s="12">
        <f t="shared" si="60"/>
        <v>-2.0615169892028454E-2</v>
      </c>
      <c r="AF58" s="12"/>
    </row>
    <row r="59" spans="1:32" x14ac:dyDescent="0.2">
      <c r="A59" s="3" t="s">
        <v>213</v>
      </c>
      <c r="B59" s="12">
        <f t="shared" ref="B59:G59" si="63">B42/B$47</f>
        <v>0.21245066940736979</v>
      </c>
      <c r="C59" s="12">
        <f t="shared" si="63"/>
        <v>0.10798386651679624</v>
      </c>
      <c r="D59" s="12">
        <f t="shared" si="63"/>
        <v>9.5964554995953869E-2</v>
      </c>
      <c r="E59" s="12">
        <f t="shared" si="63"/>
        <v>8.2334996894108961E-2</v>
      </c>
      <c r="F59" s="12" t="e">
        <f t="shared" si="63"/>
        <v>#DIV/0!</v>
      </c>
      <c r="G59" s="12">
        <f t="shared" si="63"/>
        <v>8.9869055703190495E-2</v>
      </c>
      <c r="H59" s="12"/>
      <c r="I59"/>
      <c r="M59" s="3" t="s">
        <v>213</v>
      </c>
      <c r="N59" s="12">
        <f t="shared" si="54"/>
        <v>0.15870756680970388</v>
      </c>
      <c r="O59" s="12">
        <f t="shared" si="54"/>
        <v>0.13729546331083103</v>
      </c>
      <c r="P59" s="12">
        <f t="shared" si="54"/>
        <v>0.10639084522918489</v>
      </c>
      <c r="Q59" s="12">
        <f t="shared" si="54"/>
        <v>9.3875387840332572E-2</v>
      </c>
      <c r="R59" s="12" t="e">
        <f t="shared" si="55"/>
        <v>#DIV/0!</v>
      </c>
      <c r="S59" s="12">
        <f t="shared" si="55"/>
        <v>0.10335739081620067</v>
      </c>
      <c r="T59" s="12"/>
      <c r="Y59" s="3" t="s">
        <v>213</v>
      </c>
      <c r="Z59" s="12">
        <f t="shared" si="56"/>
        <v>-5.3743102597665904E-2</v>
      </c>
      <c r="AA59" s="12">
        <f t="shared" si="57"/>
        <v>2.9311596794034792E-2</v>
      </c>
      <c r="AB59" s="12">
        <f t="shared" si="58"/>
        <v>1.0426290233231023E-2</v>
      </c>
      <c r="AC59" s="12">
        <f t="shared" si="59"/>
        <v>1.1540390946223611E-2</v>
      </c>
      <c r="AD59" s="12"/>
      <c r="AE59" s="12">
        <f t="shared" si="60"/>
        <v>1.3488335113010175E-2</v>
      </c>
      <c r="AF59" s="12"/>
    </row>
    <row r="60" spans="1:32" x14ac:dyDescent="0.2">
      <c r="A60" s="3" t="s">
        <v>214</v>
      </c>
      <c r="B60" s="12">
        <f t="shared" ref="B60:G60" si="64">B43/B$47</f>
        <v>2.4295881365404826E-2</v>
      </c>
      <c r="C60" s="12">
        <f t="shared" si="64"/>
        <v>0.11412221791937464</v>
      </c>
      <c r="D60" s="12">
        <f t="shared" si="64"/>
        <v>0.10732514119503561</v>
      </c>
      <c r="E60" s="12">
        <f t="shared" si="64"/>
        <v>9.9704256291348145E-2</v>
      </c>
      <c r="F60" s="12" t="e">
        <f t="shared" si="64"/>
        <v>#DIV/0!</v>
      </c>
      <c r="G60" s="12">
        <f t="shared" si="64"/>
        <v>0.10106891650044464</v>
      </c>
      <c r="H60" s="12"/>
      <c r="I60"/>
      <c r="M60" s="3" t="s">
        <v>214</v>
      </c>
      <c r="N60" s="12">
        <f t="shared" si="54"/>
        <v>0.1486808004418575</v>
      </c>
      <c r="O60" s="12">
        <f t="shared" si="54"/>
        <v>0.12576562192368998</v>
      </c>
      <c r="P60" s="12">
        <f t="shared" si="54"/>
        <v>0.11579630815290415</v>
      </c>
      <c r="Q60" s="12">
        <f t="shared" si="54"/>
        <v>0.10421124130589679</v>
      </c>
      <c r="R60" s="12" t="e">
        <f t="shared" si="55"/>
        <v>#DIV/0!</v>
      </c>
      <c r="S60" s="12">
        <f t="shared" si="55"/>
        <v>0.10997694466251495</v>
      </c>
      <c r="T60" s="12"/>
      <c r="Y60" s="3" t="s">
        <v>214</v>
      </c>
      <c r="Z60" s="12">
        <f t="shared" si="56"/>
        <v>0.12438491907645267</v>
      </c>
      <c r="AA60" s="12">
        <f t="shared" si="57"/>
        <v>1.1643404004315336E-2</v>
      </c>
      <c r="AB60" s="12">
        <f t="shared" si="58"/>
        <v>8.4711669578685367E-3</v>
      </c>
      <c r="AC60" s="12">
        <f t="shared" si="59"/>
        <v>4.5069850145486451E-3</v>
      </c>
      <c r="AD60" s="12"/>
      <c r="AE60" s="12">
        <f t="shared" si="60"/>
        <v>8.9080281620703139E-3</v>
      </c>
      <c r="AF60" s="12"/>
    </row>
    <row r="61" spans="1:32" x14ac:dyDescent="0.2">
      <c r="A61" s="3" t="s">
        <v>129</v>
      </c>
      <c r="B61" s="12">
        <f t="shared" ref="B61:G61" si="65">B44/B$47</f>
        <v>1.963184263779558E-2</v>
      </c>
      <c r="C61" s="12">
        <f t="shared" si="65"/>
        <v>6.3947578768726185E-2</v>
      </c>
      <c r="D61" s="12">
        <f t="shared" si="65"/>
        <v>6.6237118224101096E-2</v>
      </c>
      <c r="E61" s="12">
        <f t="shared" si="65"/>
        <v>4.4792957198965519E-2</v>
      </c>
      <c r="F61" s="12" t="e">
        <f t="shared" si="65"/>
        <v>#DIV/0!</v>
      </c>
      <c r="G61" s="12">
        <f t="shared" si="65"/>
        <v>4.9203456849461855E-2</v>
      </c>
      <c r="H61" s="12"/>
      <c r="I61"/>
      <c r="M61" s="3" t="s">
        <v>129</v>
      </c>
      <c r="N61" s="12">
        <f t="shared" si="54"/>
        <v>4.8891107617793264E-2</v>
      </c>
      <c r="O61" s="12">
        <f t="shared" si="54"/>
        <v>5.6225170385433836E-2</v>
      </c>
      <c r="P61" s="12">
        <f t="shared" si="54"/>
        <v>5.8852527511505083E-2</v>
      </c>
      <c r="Q61" s="12">
        <f t="shared" si="54"/>
        <v>5.4880825294980527E-2</v>
      </c>
      <c r="R61" s="12" t="e">
        <f t="shared" si="55"/>
        <v>#DIV/0!</v>
      </c>
      <c r="S61" s="12">
        <f t="shared" si="55"/>
        <v>5.5332450342557508E-2</v>
      </c>
      <c r="T61" s="12"/>
      <c r="Y61" s="3" t="s">
        <v>129</v>
      </c>
      <c r="Z61" s="12">
        <f t="shared" si="56"/>
        <v>2.9259264979997684E-2</v>
      </c>
      <c r="AA61" s="12">
        <f t="shared" si="57"/>
        <v>-7.7224083832923493E-3</v>
      </c>
      <c r="AB61" s="12">
        <f t="shared" si="58"/>
        <v>-7.3845907125960134E-3</v>
      </c>
      <c r="AC61" s="12">
        <f t="shared" si="59"/>
        <v>1.0087868096015008E-2</v>
      </c>
      <c r="AD61" s="12"/>
      <c r="AE61" s="12">
        <f t="shared" si="60"/>
        <v>6.1289934930956538E-3</v>
      </c>
      <c r="AF61" s="12"/>
    </row>
    <row r="62" spans="1:32" x14ac:dyDescent="0.2">
      <c r="A62" s="3" t="s">
        <v>130</v>
      </c>
      <c r="B62" s="12">
        <f t="shared" ref="B62:G62" si="66">B45/B$47</f>
        <v>7.4331893620372888E-2</v>
      </c>
      <c r="C62" s="12">
        <f t="shared" si="66"/>
        <v>0.12245663487107708</v>
      </c>
      <c r="D62" s="12">
        <f t="shared" si="66"/>
        <v>0.13632551625508585</v>
      </c>
      <c r="E62" s="12">
        <f t="shared" si="66"/>
        <v>9.8722533561291556E-2</v>
      </c>
      <c r="F62" s="12" t="e">
        <f t="shared" si="66"/>
        <v>#DIV/0!</v>
      </c>
      <c r="G62" s="12">
        <f t="shared" si="66"/>
        <v>0.10543917415809528</v>
      </c>
      <c r="H62" s="12"/>
      <c r="I62"/>
      <c r="M62" s="3" t="s">
        <v>130</v>
      </c>
      <c r="N62" s="12">
        <f t="shared" si="54"/>
        <v>9.5402982538131453E-2</v>
      </c>
      <c r="O62" s="12">
        <f t="shared" si="54"/>
        <v>9.601728262540557E-2</v>
      </c>
      <c r="P62" s="12">
        <f t="shared" si="54"/>
        <v>9.367287986317141E-2</v>
      </c>
      <c r="Q62" s="12">
        <f t="shared" si="54"/>
        <v>0.10118062807820294</v>
      </c>
      <c r="R62" s="12" t="e">
        <f t="shared" si="55"/>
        <v>#DIV/0!</v>
      </c>
      <c r="S62" s="12">
        <f t="shared" si="55"/>
        <v>9.939831718692517E-2</v>
      </c>
      <c r="T62" s="12"/>
      <c r="Y62" s="3" t="s">
        <v>130</v>
      </c>
      <c r="Z62" s="12">
        <f t="shared" si="56"/>
        <v>2.1071088917758565E-2</v>
      </c>
      <c r="AA62" s="12">
        <f t="shared" si="57"/>
        <v>-2.643935224567151E-2</v>
      </c>
      <c r="AB62" s="12">
        <f t="shared" si="58"/>
        <v>-4.2652636391914439E-2</v>
      </c>
      <c r="AC62" s="12">
        <f t="shared" si="59"/>
        <v>2.4580945169113827E-3</v>
      </c>
      <c r="AD62" s="12"/>
      <c r="AE62" s="12">
        <f t="shared" si="60"/>
        <v>-6.0408569711701138E-3</v>
      </c>
      <c r="AF62" s="12"/>
    </row>
    <row r="63" spans="1:32" x14ac:dyDescent="0.2">
      <c r="A63" s="8" t="s">
        <v>145</v>
      </c>
      <c r="B63" s="13">
        <f t="shared" ref="B63:G63" si="67">B46/B$47</f>
        <v>0.46190457630304099</v>
      </c>
      <c r="C63" s="13">
        <f t="shared" si="67"/>
        <v>0.37311195245139567</v>
      </c>
      <c r="D63" s="13">
        <f t="shared" si="67"/>
        <v>0.34586545819685893</v>
      </c>
      <c r="E63" s="13">
        <f t="shared" si="67"/>
        <v>0.36465680662054711</v>
      </c>
      <c r="F63" s="13" t="e">
        <f t="shared" si="67"/>
        <v>#DIV/0!</v>
      </c>
      <c r="G63" s="13">
        <f t="shared" si="67"/>
        <v>0.36582373833735077</v>
      </c>
      <c r="H63" s="34"/>
      <c r="I63"/>
      <c r="M63" s="8" t="s">
        <v>145</v>
      </c>
      <c r="N63" s="13">
        <f t="shared" si="54"/>
        <v>0.35638569061477676</v>
      </c>
      <c r="O63" s="13">
        <f t="shared" si="54"/>
        <v>0.34040946444898146</v>
      </c>
      <c r="P63" s="13">
        <f t="shared" si="54"/>
        <v>0.3338683836370796</v>
      </c>
      <c r="Q63" s="13">
        <f t="shared" si="54"/>
        <v>0.33638344468273612</v>
      </c>
      <c r="R63" s="13" t="e">
        <f t="shared" si="55"/>
        <v>#DIV/0!</v>
      </c>
      <c r="S63" s="13">
        <f t="shared" si="55"/>
        <v>0.33729660254734328</v>
      </c>
      <c r="T63" s="34"/>
      <c r="Y63" s="8" t="s">
        <v>145</v>
      </c>
      <c r="Z63" s="12">
        <f t="shared" si="56"/>
        <v>-0.10551888568826423</v>
      </c>
      <c r="AA63" s="12">
        <f t="shared" si="57"/>
        <v>-3.270248800241421E-2</v>
      </c>
      <c r="AB63" s="12">
        <f t="shared" si="58"/>
        <v>-1.199707455977933E-2</v>
      </c>
      <c r="AC63" s="12">
        <f t="shared" si="59"/>
        <v>-2.8273361937810992E-2</v>
      </c>
      <c r="AD63" s="12"/>
      <c r="AE63" s="12">
        <f t="shared" si="60"/>
        <v>-2.8527135790007485E-2</v>
      </c>
      <c r="AF63" s="12"/>
    </row>
    <row r="64" spans="1:32" ht="13.5" thickBot="1" x14ac:dyDescent="0.25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10553.790665005999</v>
      </c>
      <c r="C73" s="7">
        <f>output_NHTS!C284</f>
        <v>42192.430351161798</v>
      </c>
      <c r="D73" s="7">
        <f>output_NHTS!D284</f>
        <v>151134.99859535421</v>
      </c>
      <c r="E73" s="7">
        <f>output_NHTS!E284</f>
        <v>54706.975526326802</v>
      </c>
      <c r="F73" s="7">
        <f>output_NHTS!F284</f>
        <v>258588.19513784879</v>
      </c>
      <c r="M73" s="3" t="s">
        <v>210</v>
      </c>
      <c r="N73" s="7">
        <f>output!B284</f>
        <v>9360</v>
      </c>
      <c r="O73" s="7">
        <f>output!C284</f>
        <v>101968</v>
      </c>
      <c r="P73" s="7">
        <f>output!D284</f>
        <v>285322</v>
      </c>
      <c r="Q73" s="7">
        <f>output!E284</f>
        <v>92637</v>
      </c>
      <c r="R73" s="7">
        <f>output!F284</f>
        <v>489287</v>
      </c>
      <c r="Y73" s="3" t="s">
        <v>210</v>
      </c>
      <c r="Z73" s="7">
        <f t="shared" ref="Z73:Z81" si="69">N73-B73</f>
        <v>-1193.7906650059995</v>
      </c>
      <c r="AA73" s="7">
        <f t="shared" ref="AA73:AA81" si="70">O73-C73</f>
        <v>59775.569648838202</v>
      </c>
      <c r="AB73" s="7">
        <f t="shared" ref="AB73:AB81" si="71">P73-D73</f>
        <v>134187.00140464579</v>
      </c>
      <c r="AC73" s="7">
        <f t="shared" ref="AC73:AC81" si="72">Q73-E73</f>
        <v>37930.024473673198</v>
      </c>
      <c r="AD73" s="7">
        <f t="shared" ref="AD73:AD81" si="73">R73-F73</f>
        <v>230698.80486215121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1754.672093486</v>
      </c>
      <c r="C74" s="7">
        <f>output_NHTS!C285</f>
        <v>11720.9181038641</v>
      </c>
      <c r="D74" s="7">
        <f>output_NHTS!D285</f>
        <v>73019.084001247698</v>
      </c>
      <c r="E74" s="7">
        <f>output_NHTS!E285</f>
        <v>17951.583983590001</v>
      </c>
      <c r="F74" s="7">
        <f>output_NHTS!F285</f>
        <v>104446.2581821878</v>
      </c>
      <c r="M74" s="3" t="s">
        <v>211</v>
      </c>
      <c r="N74" s="7">
        <f>output!B285</f>
        <v>2480</v>
      </c>
      <c r="O74" s="7">
        <f>output!C285</f>
        <v>34007</v>
      </c>
      <c r="P74" s="7">
        <f>output!D285</f>
        <v>59945</v>
      </c>
      <c r="Q74" s="7">
        <f>output!E285</f>
        <v>18464</v>
      </c>
      <c r="R74" s="7">
        <f>output!F285</f>
        <v>114896</v>
      </c>
      <c r="Y74" s="3" t="s">
        <v>211</v>
      </c>
      <c r="Z74" s="7">
        <f t="shared" si="69"/>
        <v>725.32790651400001</v>
      </c>
      <c r="AA74" s="7">
        <f t="shared" si="70"/>
        <v>22286.0818961359</v>
      </c>
      <c r="AB74" s="7">
        <f t="shared" si="71"/>
        <v>-13074.084001247698</v>
      </c>
      <c r="AC74" s="7">
        <f t="shared" si="72"/>
        <v>512.41601640999943</v>
      </c>
      <c r="AD74" s="7">
        <f t="shared" si="73"/>
        <v>10449.741817812202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0</v>
      </c>
      <c r="C75" s="7">
        <f>output_NHTS!C286</f>
        <v>35604.6797673619</v>
      </c>
      <c r="D75" s="7">
        <f>output_NHTS!D286</f>
        <v>124659.2605217739</v>
      </c>
      <c r="E75" s="7">
        <f>output_NHTS!E286</f>
        <v>25282.934168855001</v>
      </c>
      <c r="F75" s="7">
        <f>output_NHTS!F286</f>
        <v>185546.87445799078</v>
      </c>
      <c r="M75" s="3" t="s">
        <v>212</v>
      </c>
      <c r="N75" s="7">
        <f>output!B286</f>
        <v>3617</v>
      </c>
      <c r="O75" s="7">
        <f>output!C286</f>
        <v>49506</v>
      </c>
      <c r="P75" s="7">
        <f>output!D286</f>
        <v>123532</v>
      </c>
      <c r="Q75" s="7">
        <f>output!E286</f>
        <v>38613</v>
      </c>
      <c r="R75" s="7">
        <f>output!F286</f>
        <v>215268</v>
      </c>
      <c r="Y75" s="3" t="s">
        <v>212</v>
      </c>
      <c r="Z75" s="7">
        <f t="shared" si="69"/>
        <v>3617</v>
      </c>
      <c r="AA75" s="7">
        <f t="shared" si="70"/>
        <v>13901.3202326381</v>
      </c>
      <c r="AB75" s="7">
        <f t="shared" si="71"/>
        <v>-1127.2605217739037</v>
      </c>
      <c r="AC75" s="7">
        <f t="shared" si="72"/>
        <v>13330.065831144999</v>
      </c>
      <c r="AD75" s="7">
        <f t="shared" si="73"/>
        <v>29721.12554200922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6641.726588943</v>
      </c>
      <c r="C76" s="7">
        <f>output_NHTS!C287</f>
        <v>30213.194763772699</v>
      </c>
      <c r="D76" s="7">
        <f>output_NHTS!D287</f>
        <v>115023.8407213566</v>
      </c>
      <c r="E76" s="7">
        <f>output_NHTS!E287</f>
        <v>21239.826249376601</v>
      </c>
      <c r="F76" s="7">
        <f>output_NHTS!F287</f>
        <v>173118.5883234489</v>
      </c>
      <c r="M76" s="3" t="s">
        <v>213</v>
      </c>
      <c r="N76" s="7">
        <f>output!B287</f>
        <v>10564</v>
      </c>
      <c r="O76" s="7">
        <f>output!C287</f>
        <v>57140</v>
      </c>
      <c r="P76" s="7">
        <f>output!D287</f>
        <v>167505</v>
      </c>
      <c r="Q76" s="7">
        <f>output!E287</f>
        <v>52280</v>
      </c>
      <c r="R76" s="7">
        <f>output!F287</f>
        <v>287489</v>
      </c>
      <c r="Y76" s="3" t="s">
        <v>213</v>
      </c>
      <c r="Z76" s="7">
        <f t="shared" si="69"/>
        <v>3922.273411057</v>
      </c>
      <c r="AA76" s="7">
        <f t="shared" si="70"/>
        <v>26926.805236227301</v>
      </c>
      <c r="AB76" s="7">
        <f t="shared" si="71"/>
        <v>52481.159278643405</v>
      </c>
      <c r="AC76" s="7">
        <f t="shared" si="72"/>
        <v>31040.173750623399</v>
      </c>
      <c r="AD76" s="7">
        <f t="shared" si="73"/>
        <v>114370.4116765511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4977.5796518239995</v>
      </c>
      <c r="C77" s="7">
        <f>output_NHTS!C288</f>
        <v>34569.891015552603</v>
      </c>
      <c r="D77" s="7">
        <f>output_NHTS!D288</f>
        <v>117422.16724974519</v>
      </c>
      <c r="E77" s="7">
        <f>output_NHTS!E288</f>
        <v>37321.527681154002</v>
      </c>
      <c r="F77" s="7">
        <f>output_NHTS!F288</f>
        <v>194291.16559827581</v>
      </c>
      <c r="M77" s="3" t="s">
        <v>214</v>
      </c>
      <c r="N77" s="7">
        <f>output!B288</f>
        <v>10400</v>
      </c>
      <c r="O77" s="7">
        <f>output!C288</f>
        <v>62968</v>
      </c>
      <c r="P77" s="7">
        <f>output!D288</f>
        <v>176478</v>
      </c>
      <c r="Q77" s="7">
        <f>output!E288</f>
        <v>56050</v>
      </c>
      <c r="R77" s="7">
        <f>output!F288</f>
        <v>305896</v>
      </c>
      <c r="Y77" s="3" t="s">
        <v>214</v>
      </c>
      <c r="Z77" s="7">
        <f t="shared" si="69"/>
        <v>5422.4203481760005</v>
      </c>
      <c r="AA77" s="7">
        <f t="shared" si="70"/>
        <v>28398.108984447397</v>
      </c>
      <c r="AB77" s="7">
        <f t="shared" si="71"/>
        <v>59055.832750254805</v>
      </c>
      <c r="AC77" s="7">
        <f t="shared" si="72"/>
        <v>18728.472318845998</v>
      </c>
      <c r="AD77" s="7">
        <f t="shared" si="73"/>
        <v>111604.83440172419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3139.1744906270001</v>
      </c>
      <c r="C78" s="7">
        <f>output_NHTS!C289</f>
        <v>22424.030206168401</v>
      </c>
      <c r="D78" s="7">
        <f>output_NHTS!D289</f>
        <v>49026.580368994102</v>
      </c>
      <c r="E78" s="7">
        <f>output_NHTS!E289</f>
        <v>18875.845544568001</v>
      </c>
      <c r="F78" s="7">
        <f>output_NHTS!F289</f>
        <v>93465.630610357504</v>
      </c>
      <c r="M78" s="3" t="s">
        <v>129</v>
      </c>
      <c r="N78" s="7">
        <f>output!B289</f>
        <v>4013</v>
      </c>
      <c r="O78" s="7">
        <f>output!C289</f>
        <v>36616</v>
      </c>
      <c r="P78" s="7">
        <f>output!D289</f>
        <v>85883</v>
      </c>
      <c r="Q78" s="7">
        <f>output!E289</f>
        <v>27382</v>
      </c>
      <c r="R78" s="7">
        <f>output!F289</f>
        <v>153894</v>
      </c>
      <c r="Y78" s="3" t="s">
        <v>129</v>
      </c>
      <c r="Z78" s="7">
        <f t="shared" si="69"/>
        <v>873.82550937299993</v>
      </c>
      <c r="AA78" s="7">
        <f t="shared" si="70"/>
        <v>14191.969793831599</v>
      </c>
      <c r="AB78" s="7">
        <f t="shared" si="71"/>
        <v>36856.419631005898</v>
      </c>
      <c r="AC78" s="7">
        <f t="shared" si="72"/>
        <v>8506.1544554319989</v>
      </c>
      <c r="AD78" s="7">
        <f t="shared" si="73"/>
        <v>60428.369389642496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2245.148664934</v>
      </c>
      <c r="C79" s="7">
        <f>output_NHTS!C290</f>
        <v>45612.456196528197</v>
      </c>
      <c r="D79" s="7">
        <f>output_NHTS!D290</f>
        <v>128333.9603383769</v>
      </c>
      <c r="E79" s="7">
        <f>output_NHTS!E290</f>
        <v>22527.188123087599</v>
      </c>
      <c r="F79" s="7">
        <f>output_NHTS!F290</f>
        <v>198718.7533229267</v>
      </c>
      <c r="M79" s="3" t="s">
        <v>130</v>
      </c>
      <c r="N79" s="7">
        <f>output!B290</f>
        <v>7001</v>
      </c>
      <c r="O79" s="7">
        <f>output!C290</f>
        <v>53653</v>
      </c>
      <c r="P79" s="7">
        <f>output!D290</f>
        <v>163339</v>
      </c>
      <c r="Q79" s="7">
        <f>output!E290</f>
        <v>52489</v>
      </c>
      <c r="R79" s="7">
        <f>output!F290</f>
        <v>276482</v>
      </c>
      <c r="Y79" s="3" t="s">
        <v>130</v>
      </c>
      <c r="Z79" s="7">
        <f t="shared" si="69"/>
        <v>4755.8513350659996</v>
      </c>
      <c r="AA79" s="7">
        <f t="shared" si="70"/>
        <v>8040.5438034718027</v>
      </c>
      <c r="AB79" s="7">
        <f t="shared" si="71"/>
        <v>35005.039661623101</v>
      </c>
      <c r="AC79" s="7">
        <f t="shared" si="72"/>
        <v>29961.811876912401</v>
      </c>
      <c r="AD79" s="7">
        <f t="shared" si="73"/>
        <v>77763.246677073301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20473.661384963001</v>
      </c>
      <c r="C80" s="7">
        <f>output_NHTS!C291</f>
        <v>124527.7270181772</v>
      </c>
      <c r="D80" s="7">
        <f>output_NHTS!D291</f>
        <v>425624.11085618747</v>
      </c>
      <c r="E80" s="7">
        <f>output_NHTS!E291</f>
        <v>123584.7261095742</v>
      </c>
      <c r="F80" s="7">
        <f>output_NHTS!F291</f>
        <v>694210.22536890185</v>
      </c>
      <c r="M80" s="8" t="s">
        <v>145</v>
      </c>
      <c r="N80" s="7">
        <f>output!B291</f>
        <v>26422</v>
      </c>
      <c r="O80" s="7">
        <f>output!C291</f>
        <v>199693</v>
      </c>
      <c r="P80" s="7">
        <f>output!D291</f>
        <v>540074</v>
      </c>
      <c r="Q80" s="7">
        <f>output!E291</f>
        <v>171979</v>
      </c>
      <c r="R80" s="7">
        <f>output!F291</f>
        <v>938168</v>
      </c>
      <c r="Y80" s="8" t="s">
        <v>145</v>
      </c>
      <c r="Z80" s="7">
        <f t="shared" si="69"/>
        <v>5948.3386150369988</v>
      </c>
      <c r="AA80" s="7">
        <f t="shared" si="70"/>
        <v>75165.272981822796</v>
      </c>
      <c r="AB80" s="7">
        <f t="shared" si="71"/>
        <v>114449.88914381253</v>
      </c>
      <c r="AC80" s="7">
        <f t="shared" si="72"/>
        <v>48394.2738904258</v>
      </c>
      <c r="AD80" s="7">
        <f t="shared" si="73"/>
        <v>243957.77463109815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221</v>
      </c>
      <c r="B81" s="11">
        <f>SUM(B73:B80)</f>
        <v>49785.753539783</v>
      </c>
      <c r="C81" s="11">
        <f>SUM(C73:C80)</f>
        <v>346865.32742258691</v>
      </c>
      <c r="D81" s="11">
        <f>SUM(D73:D80)</f>
        <v>1184244.0026530363</v>
      </c>
      <c r="E81" s="11">
        <f>SUM(E73:E80)</f>
        <v>321490.60738653224</v>
      </c>
      <c r="F81" s="11">
        <f>SUM(F73:F80)</f>
        <v>1902385.6910019382</v>
      </c>
      <c r="M81" s="10" t="s">
        <v>221</v>
      </c>
      <c r="N81" s="11">
        <f>SUM(N73:N80)</f>
        <v>73857</v>
      </c>
      <c r="O81" s="11">
        <f>SUM(O73:O80)</f>
        <v>595551</v>
      </c>
      <c r="P81" s="11">
        <f>SUM(P73:P80)</f>
        <v>1602078</v>
      </c>
      <c r="Q81" s="11">
        <f>SUM(Q73:Q80)</f>
        <v>509894</v>
      </c>
      <c r="R81" s="11">
        <f>SUM(R73:R80)</f>
        <v>2781380</v>
      </c>
      <c r="Y81" s="10" t="s">
        <v>221</v>
      </c>
      <c r="Z81" s="11">
        <f t="shared" si="69"/>
        <v>24071.246460217</v>
      </c>
      <c r="AA81" s="11">
        <f t="shared" si="70"/>
        <v>248685.67257741309</v>
      </c>
      <c r="AB81" s="11">
        <f t="shared" si="71"/>
        <v>417833.99734696373</v>
      </c>
      <c r="AC81" s="11">
        <f t="shared" si="72"/>
        <v>188403.39261346776</v>
      </c>
      <c r="AD81" s="11">
        <f t="shared" si="73"/>
        <v>878994.30899806181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13603.1626</v>
      </c>
      <c r="C83" s="53">
        <f>ToursByTourPurpose!C84</f>
        <v>77411.448999999993</v>
      </c>
      <c r="D83" s="53">
        <f>ToursByTourPurpose!D84</f>
        <v>248525.38699999999</v>
      </c>
      <c r="E83" s="53">
        <f>ToursByTourPurpose!E84</f>
        <v>76064.547200000001</v>
      </c>
      <c r="F83" s="53">
        <f>ToursByTourPurpose!F84</f>
        <v>415604.54579999996</v>
      </c>
      <c r="M83" s="25" t="s">
        <v>88</v>
      </c>
      <c r="N83" s="53">
        <f>ToursByTourPurpose!N84</f>
        <v>26477</v>
      </c>
      <c r="O83" s="53">
        <f>ToursByTourPurpose!O84</f>
        <v>301126</v>
      </c>
      <c r="P83" s="53">
        <f>ToursByTourPurpose!P84</f>
        <v>633787</v>
      </c>
      <c r="Q83" s="53">
        <f>ToursByTourPurpose!Q84</f>
        <v>193731</v>
      </c>
      <c r="R83" s="53">
        <f>ToursByTourPurpose!R84</f>
        <v>1155121</v>
      </c>
      <c r="Y83" s="3" t="s">
        <v>88</v>
      </c>
      <c r="Z83" s="7">
        <f t="shared" ref="Z83:AD84" si="74">N83-B83</f>
        <v>12873.8374</v>
      </c>
      <c r="AA83" s="7">
        <f t="shared" si="74"/>
        <v>223714.55100000001</v>
      </c>
      <c r="AB83" s="7">
        <f t="shared" si="74"/>
        <v>385261.61300000001</v>
      </c>
      <c r="AC83" s="7">
        <f t="shared" si="74"/>
        <v>117666.4528</v>
      </c>
      <c r="AD83" s="7">
        <f t="shared" si="74"/>
        <v>739516.45420000004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3.6598660917118644</v>
      </c>
      <c r="C84" s="38">
        <f>C81/C83</f>
        <v>4.4808013789095584</v>
      </c>
      <c r="D84" s="38">
        <f>D81/D83</f>
        <v>4.7650826217324687</v>
      </c>
      <c r="E84" s="38">
        <f>E81/E83</f>
        <v>4.2265499397665804</v>
      </c>
      <c r="F84" s="38">
        <f>F81/F83</f>
        <v>4.5773938476539602</v>
      </c>
      <c r="M84" s="25" t="s">
        <v>91</v>
      </c>
      <c r="N84" s="38">
        <f>N81/N83</f>
        <v>2.789477659855724</v>
      </c>
      <c r="O84" s="38">
        <f>O81/O83</f>
        <v>1.9777468567974867</v>
      </c>
      <c r="P84" s="38">
        <f>P81/P83</f>
        <v>2.5277861489743398</v>
      </c>
      <c r="Q84" s="38">
        <f>Q81/Q83</f>
        <v>2.6319690705153023</v>
      </c>
      <c r="R84" s="38">
        <f>R81/R83</f>
        <v>2.4078689591826312</v>
      </c>
      <c r="Y84" s="3" t="s">
        <v>91</v>
      </c>
      <c r="Z84" s="38">
        <f t="shared" si="74"/>
        <v>-0.87038843185614034</v>
      </c>
      <c r="AA84" s="38">
        <f t="shared" si="74"/>
        <v>-2.5030545221120715</v>
      </c>
      <c r="AB84" s="38">
        <f t="shared" si="74"/>
        <v>-2.2372964727581288</v>
      </c>
      <c r="AC84" s="38">
        <f t="shared" si="74"/>
        <v>-1.5945808692512782</v>
      </c>
      <c r="AD84" s="38">
        <f t="shared" si="74"/>
        <v>-2.169524888471329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t="shared" ref="B90:F96" si="75">B73/B$81</f>
        <v>0.21198415037692728</v>
      </c>
      <c r="C90" s="12">
        <f t="shared" si="75"/>
        <v>0.12163922714523338</v>
      </c>
      <c r="D90" s="12">
        <f t="shared" si="75"/>
        <v>0.12762150220458768</v>
      </c>
      <c r="E90" s="12">
        <f t="shared" si="75"/>
        <v>0.17016663712527039</v>
      </c>
      <c r="F90" s="12">
        <f t="shared" si="75"/>
        <v>0.13592837475646538</v>
      </c>
      <c r="M90" s="3" t="s">
        <v>210</v>
      </c>
      <c r="N90" s="12">
        <f t="shared" ref="N90:R98" si="76">N73/N$81</f>
        <v>0.12673138632763312</v>
      </c>
      <c r="O90" s="12">
        <f t="shared" si="76"/>
        <v>0.17121623504955916</v>
      </c>
      <c r="P90" s="12">
        <f t="shared" si="76"/>
        <v>0.1780949491847463</v>
      </c>
      <c r="Q90" s="12">
        <f t="shared" si="76"/>
        <v>0.18167893719086711</v>
      </c>
      <c r="R90" s="12">
        <f t="shared" si="76"/>
        <v>0.17591519317748744</v>
      </c>
      <c r="Y90" s="3" t="s">
        <v>210</v>
      </c>
      <c r="Z90" s="12">
        <f t="shared" ref="Z90:Z98" si="77">N90-B90</f>
        <v>-8.5252764049294161E-2</v>
      </c>
      <c r="AA90" s="12">
        <f t="shared" ref="AA90:AA98" si="78">O90-C90</f>
        <v>4.9577007904325773E-2</v>
      </c>
      <c r="AB90" s="12">
        <f t="shared" ref="AB90:AB98" si="79">P90-D90</f>
        <v>5.0473446980158626E-2</v>
      </c>
      <c r="AC90" s="12">
        <f t="shared" ref="AC90:AC98" si="80">Q90-E90</f>
        <v>1.1512300065596726E-2</v>
      </c>
      <c r="AD90" s="12">
        <f t="shared" ref="AD90:AD98" si="81">R90-F90</f>
        <v>3.9986818421022058E-2</v>
      </c>
    </row>
    <row r="91" spans="1:41" x14ac:dyDescent="0.2">
      <c r="A91" s="3" t="s">
        <v>211</v>
      </c>
      <c r="B91" s="12">
        <f t="shared" si="75"/>
        <v>3.5244461893779909E-2</v>
      </c>
      <c r="C91" s="12">
        <f t="shared" si="75"/>
        <v>3.3790976431566123E-2</v>
      </c>
      <c r="D91" s="12">
        <f t="shared" si="75"/>
        <v>6.165881679591758E-2</v>
      </c>
      <c r="E91" s="12">
        <f t="shared" si="75"/>
        <v>5.5838595502127948E-2</v>
      </c>
      <c r="F91" s="12">
        <f t="shared" si="75"/>
        <v>5.4902777431625131E-2</v>
      </c>
      <c r="M91" s="3" t="s">
        <v>211</v>
      </c>
      <c r="N91" s="12">
        <f t="shared" si="76"/>
        <v>3.3578401505612199E-2</v>
      </c>
      <c r="O91" s="12">
        <f t="shared" si="76"/>
        <v>5.7101742755868094E-2</v>
      </c>
      <c r="P91" s="12">
        <f t="shared" si="76"/>
        <v>3.7417029632764449E-2</v>
      </c>
      <c r="Q91" s="12">
        <f t="shared" si="76"/>
        <v>3.6211447869557205E-2</v>
      </c>
      <c r="R91" s="12">
        <f t="shared" si="76"/>
        <v>4.1308990501118151E-2</v>
      </c>
      <c r="Y91" s="3" t="s">
        <v>211</v>
      </c>
      <c r="Z91" s="12">
        <f t="shared" si="77"/>
        <v>-1.6660603881677102E-3</v>
      </c>
      <c r="AA91" s="12">
        <f t="shared" si="78"/>
        <v>2.3310766324301971E-2</v>
      </c>
      <c r="AB91" s="12">
        <f t="shared" si="79"/>
        <v>-2.4241787163153131E-2</v>
      </c>
      <c r="AC91" s="12">
        <f t="shared" si="80"/>
        <v>-1.9627147632570743E-2</v>
      </c>
      <c r="AD91" s="12">
        <f t="shared" si="81"/>
        <v>-1.3593786930506981E-2</v>
      </c>
    </row>
    <row r="92" spans="1:41" x14ac:dyDescent="0.2">
      <c r="A92" s="3" t="s">
        <v>212</v>
      </c>
      <c r="B92" s="12">
        <f t="shared" si="75"/>
        <v>0</v>
      </c>
      <c r="C92" s="12">
        <f t="shared" si="75"/>
        <v>0.1026469841535491</v>
      </c>
      <c r="D92" s="12">
        <f t="shared" si="75"/>
        <v>0.1052648442740706</v>
      </c>
      <c r="E92" s="12">
        <f t="shared" si="75"/>
        <v>7.8642839286614086E-2</v>
      </c>
      <c r="F92" s="12">
        <f t="shared" si="75"/>
        <v>9.7533783677834524E-2</v>
      </c>
      <c r="M92" s="3" t="s">
        <v>212</v>
      </c>
      <c r="N92" s="12">
        <f t="shared" si="76"/>
        <v>4.8973015421693272E-2</v>
      </c>
      <c r="O92" s="12">
        <f t="shared" si="76"/>
        <v>8.312638212344535E-2</v>
      </c>
      <c r="P92" s="12">
        <f t="shared" si="76"/>
        <v>7.7107356820329598E-2</v>
      </c>
      <c r="Q92" s="12">
        <f t="shared" si="76"/>
        <v>7.572750414792094E-2</v>
      </c>
      <c r="R92" s="12">
        <f t="shared" si="76"/>
        <v>7.7396112721023383E-2</v>
      </c>
      <c r="Y92" s="3" t="s">
        <v>212</v>
      </c>
      <c r="Z92" s="12">
        <f t="shared" si="77"/>
        <v>4.8973015421693272E-2</v>
      </c>
      <c r="AA92" s="12">
        <f t="shared" si="78"/>
        <v>-1.9520602030103751E-2</v>
      </c>
      <c r="AB92" s="12">
        <f t="shared" si="79"/>
        <v>-2.8157487453740998E-2</v>
      </c>
      <c r="AC92" s="12">
        <f t="shared" si="80"/>
        <v>-2.9153351386931453E-3</v>
      </c>
      <c r="AD92" s="12">
        <f t="shared" si="81"/>
        <v>-2.0137670956811141E-2</v>
      </c>
    </row>
    <row r="93" spans="1:41" x14ac:dyDescent="0.2">
      <c r="A93" s="3" t="s">
        <v>213</v>
      </c>
      <c r="B93" s="12">
        <f t="shared" si="75"/>
        <v>0.1334061677631474</v>
      </c>
      <c r="C93" s="12">
        <f t="shared" si="75"/>
        <v>8.7103530895620146E-2</v>
      </c>
      <c r="D93" s="12">
        <f t="shared" si="75"/>
        <v>9.7128497559346869E-2</v>
      </c>
      <c r="E93" s="12">
        <f t="shared" si="75"/>
        <v>6.6066708517675876E-2</v>
      </c>
      <c r="F93" s="12">
        <f t="shared" si="75"/>
        <v>9.1000783459568468E-2</v>
      </c>
      <c r="M93" s="3" t="s">
        <v>213</v>
      </c>
      <c r="N93" s="12">
        <f t="shared" si="76"/>
        <v>0.1430331586714868</v>
      </c>
      <c r="O93" s="12">
        <f t="shared" si="76"/>
        <v>9.5944763756588433E-2</v>
      </c>
      <c r="P93" s="12">
        <f t="shared" si="76"/>
        <v>0.10455483440881155</v>
      </c>
      <c r="Q93" s="12">
        <f t="shared" si="76"/>
        <v>0.10253111431003306</v>
      </c>
      <c r="R93" s="12">
        <f t="shared" si="76"/>
        <v>0.10336200015819486</v>
      </c>
      <c r="Y93" s="3" t="s">
        <v>213</v>
      </c>
      <c r="Z93" s="12">
        <f t="shared" si="77"/>
        <v>9.6269909083394056E-3</v>
      </c>
      <c r="AA93" s="12">
        <f t="shared" si="78"/>
        <v>8.8412328609682872E-3</v>
      </c>
      <c r="AB93" s="12">
        <f t="shared" si="79"/>
        <v>7.4263368494646848E-3</v>
      </c>
      <c r="AC93" s="12">
        <f t="shared" si="80"/>
        <v>3.6464405792357185E-2</v>
      </c>
      <c r="AD93" s="12">
        <f t="shared" si="81"/>
        <v>1.2361216698626387E-2</v>
      </c>
    </row>
    <row r="94" spans="1:41" x14ac:dyDescent="0.2">
      <c r="A94" s="3" t="s">
        <v>214</v>
      </c>
      <c r="B94" s="12">
        <f t="shared" si="75"/>
        <v>9.9980000259441593E-2</v>
      </c>
      <c r="C94" s="12">
        <f t="shared" si="75"/>
        <v>9.9663726185684781E-2</v>
      </c>
      <c r="D94" s="12">
        <f t="shared" si="75"/>
        <v>9.9153693822123523E-2</v>
      </c>
      <c r="E94" s="12">
        <f t="shared" si="75"/>
        <v>0.11608901418473434</v>
      </c>
      <c r="F94" s="12">
        <f t="shared" si="75"/>
        <v>0.10213027070023198</v>
      </c>
      <c r="M94" s="3" t="s">
        <v>214</v>
      </c>
      <c r="N94" s="12">
        <f t="shared" si="76"/>
        <v>0.14081265147514793</v>
      </c>
      <c r="O94" s="12">
        <f t="shared" si="76"/>
        <v>0.10573065950691041</v>
      </c>
      <c r="P94" s="12">
        <f t="shared" si="76"/>
        <v>0.11015568530371181</v>
      </c>
      <c r="Q94" s="12">
        <f t="shared" si="76"/>
        <v>0.10992480790125006</v>
      </c>
      <c r="R94" s="12">
        <f t="shared" si="76"/>
        <v>0.10997993801638035</v>
      </c>
      <c r="Y94" s="3" t="s">
        <v>214</v>
      </c>
      <c r="Z94" s="12">
        <f t="shared" si="77"/>
        <v>4.0832651215706339E-2</v>
      </c>
      <c r="AA94" s="12">
        <f t="shared" si="78"/>
        <v>6.066933321225626E-3</v>
      </c>
      <c r="AB94" s="12">
        <f t="shared" si="79"/>
        <v>1.1001991481588286E-2</v>
      </c>
      <c r="AC94" s="12">
        <f t="shared" si="80"/>
        <v>-6.1642062834842831E-3</v>
      </c>
      <c r="AD94" s="12">
        <f t="shared" si="81"/>
        <v>7.849667316148376E-3</v>
      </c>
    </row>
    <row r="95" spans="1:41" x14ac:dyDescent="0.2">
      <c r="A95" s="3" t="s">
        <v>129</v>
      </c>
      <c r="B95" s="12">
        <f t="shared" si="75"/>
        <v>6.3053670325960542E-2</v>
      </c>
      <c r="C95" s="12">
        <f t="shared" si="75"/>
        <v>6.4647655540529564E-2</v>
      </c>
      <c r="D95" s="12">
        <f t="shared" si="75"/>
        <v>4.1399053116723337E-2</v>
      </c>
      <c r="E95" s="12">
        <f t="shared" si="75"/>
        <v>5.8713521051249044E-2</v>
      </c>
      <c r="F95" s="12">
        <f t="shared" si="75"/>
        <v>4.913074727824069E-2</v>
      </c>
      <c r="M95" s="3" t="s">
        <v>129</v>
      </c>
      <c r="N95" s="12">
        <f t="shared" si="76"/>
        <v>5.4334727920170058E-2</v>
      </c>
      <c r="O95" s="12">
        <f t="shared" si="76"/>
        <v>6.1482559847939135E-2</v>
      </c>
      <c r="P95" s="12">
        <f t="shared" si="76"/>
        <v>5.36072525807108E-2</v>
      </c>
      <c r="Q95" s="12">
        <f t="shared" si="76"/>
        <v>5.3701357537056724E-2</v>
      </c>
      <c r="R95" s="12">
        <f t="shared" si="76"/>
        <v>5.5330087941956874E-2</v>
      </c>
      <c r="Y95" s="3" t="s">
        <v>129</v>
      </c>
      <c r="Z95" s="12">
        <f t="shared" si="77"/>
        <v>-8.7189424057904849E-3</v>
      </c>
      <c r="AA95" s="12">
        <f t="shared" si="78"/>
        <v>-3.1650956925904292E-3</v>
      </c>
      <c r="AB95" s="12">
        <f t="shared" si="79"/>
        <v>1.2208199463987462E-2</v>
      </c>
      <c r="AC95" s="12">
        <f t="shared" si="80"/>
        <v>-5.0121635141923207E-3</v>
      </c>
      <c r="AD95" s="12">
        <f t="shared" si="81"/>
        <v>6.1993406637161838E-3</v>
      </c>
    </row>
    <row r="96" spans="1:41" x14ac:dyDescent="0.2">
      <c r="A96" s="3" t="s">
        <v>130</v>
      </c>
      <c r="B96" s="12">
        <f t="shared" si="75"/>
        <v>4.5096207354578609E-2</v>
      </c>
      <c r="C96" s="12">
        <f t="shared" si="75"/>
        <v>0.13149903605372015</v>
      </c>
      <c r="D96" s="12">
        <f t="shared" si="75"/>
        <v>0.10836783640100613</v>
      </c>
      <c r="E96" s="12">
        <f t="shared" si="75"/>
        <v>7.0071061503836948E-2</v>
      </c>
      <c r="F96" s="12">
        <f t="shared" si="75"/>
        <v>0.1044576576994051</v>
      </c>
      <c r="M96" s="3" t="s">
        <v>130</v>
      </c>
      <c r="N96" s="12">
        <f t="shared" si="76"/>
        <v>9.4791285863222177E-2</v>
      </c>
      <c r="O96" s="12">
        <f t="shared" si="76"/>
        <v>9.0089681656147003E-2</v>
      </c>
      <c r="P96" s="12">
        <f t="shared" si="76"/>
        <v>0.10195446164294122</v>
      </c>
      <c r="Q96" s="12">
        <f t="shared" si="76"/>
        <v>0.10294100342424112</v>
      </c>
      <c r="R96" s="12">
        <f t="shared" si="76"/>
        <v>9.9404612099029982E-2</v>
      </c>
      <c r="Y96" s="3" t="s">
        <v>130</v>
      </c>
      <c r="Z96" s="12">
        <f t="shared" si="77"/>
        <v>4.9695078508643568E-2</v>
      </c>
      <c r="AA96" s="12">
        <f t="shared" si="78"/>
        <v>-4.140935439757315E-2</v>
      </c>
      <c r="AB96" s="12">
        <f t="shared" si="79"/>
        <v>-6.413374758064902E-3</v>
      </c>
      <c r="AC96" s="12">
        <f t="shared" si="80"/>
        <v>3.2869941920404169E-2</v>
      </c>
      <c r="AD96" s="12">
        <f t="shared" si="81"/>
        <v>-5.0530456003751167E-3</v>
      </c>
    </row>
    <row r="97" spans="1:34" x14ac:dyDescent="0.2">
      <c r="A97" s="8" t="s">
        <v>145</v>
      </c>
      <c r="B97" s="13">
        <f t="shared" ref="B97:F98" si="82">B80/B$81</f>
        <v>0.41123534202616469</v>
      </c>
      <c r="C97" s="13">
        <f t="shared" si="82"/>
        <v>0.35900886359409673</v>
      </c>
      <c r="D97" s="13">
        <f t="shared" si="82"/>
        <v>0.35940575582622414</v>
      </c>
      <c r="E97" s="13">
        <f t="shared" si="82"/>
        <v>0.38441162282849128</v>
      </c>
      <c r="F97" s="13">
        <f t="shared" si="82"/>
        <v>0.36491560499662873</v>
      </c>
      <c r="M97" s="8" t="s">
        <v>145</v>
      </c>
      <c r="N97" s="13">
        <f t="shared" si="76"/>
        <v>0.35774537281503443</v>
      </c>
      <c r="O97" s="13">
        <f t="shared" si="76"/>
        <v>0.33530797530354245</v>
      </c>
      <c r="P97" s="13">
        <f t="shared" si="76"/>
        <v>0.33710843042598426</v>
      </c>
      <c r="Q97" s="13">
        <f t="shared" si="76"/>
        <v>0.33728382761907377</v>
      </c>
      <c r="R97" s="13">
        <f t="shared" si="76"/>
        <v>0.33730306538480898</v>
      </c>
      <c r="Y97" s="8" t="s">
        <v>145</v>
      </c>
      <c r="Z97" s="12">
        <f t="shared" si="77"/>
        <v>-5.348996921113025E-2</v>
      </c>
      <c r="AA97" s="12">
        <f t="shared" si="78"/>
        <v>-2.3700888290554278E-2</v>
      </c>
      <c r="AB97" s="12">
        <f t="shared" si="79"/>
        <v>-2.2297325400239876E-2</v>
      </c>
      <c r="AC97" s="12">
        <f t="shared" si="80"/>
        <v>-4.7127795209417511E-2</v>
      </c>
      <c r="AD97" s="12">
        <f t="shared" si="81"/>
        <v>-2.7612539611819753E-2</v>
      </c>
    </row>
    <row r="98" spans="1:34" ht="13.5" thickBot="1" x14ac:dyDescent="0.25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85176.614164515006</v>
      </c>
      <c r="C107" s="7">
        <f>output_NHTS!C295</f>
        <v>11761.8780538639</v>
      </c>
      <c r="D107" s="7">
        <f>output_NHTS!D295</f>
        <v>70050.983496302797</v>
      </c>
      <c r="E107" s="7">
        <f>output_NHTS!E295</f>
        <v>52038.316487796103</v>
      </c>
      <c r="F107" s="7">
        <f>output_NHTS!F295</f>
        <v>18536.085534360598</v>
      </c>
      <c r="G107" s="7">
        <f>output_NHTS!G295</f>
        <v>3086.2264860158998</v>
      </c>
      <c r="H107" s="7">
        <f>output_NHTS!H295</f>
        <v>17938.0909149945</v>
      </c>
      <c r="I107" s="7">
        <f>SUM(B107:H107)</f>
        <v>258588.19513784882</v>
      </c>
      <c r="J107" s="33"/>
      <c r="M107" s="3" t="s">
        <v>210</v>
      </c>
      <c r="N107" s="7">
        <f>output!B295</f>
        <v>124896</v>
      </c>
      <c r="O107" s="7">
        <f>output!C295</f>
        <v>25770</v>
      </c>
      <c r="P107" s="7">
        <f>output!D295</f>
        <v>101597</v>
      </c>
      <c r="Q107" s="7">
        <f>output!E295</f>
        <v>83638</v>
      </c>
      <c r="R107" s="7">
        <f>output!F295</f>
        <v>35750</v>
      </c>
      <c r="S107" s="7">
        <f>output!G295</f>
        <v>5548</v>
      </c>
      <c r="T107" s="7">
        <f>output!H295</f>
        <v>112088</v>
      </c>
      <c r="U107" s="7">
        <f>SUM(N107:T107)</f>
        <v>489287</v>
      </c>
      <c r="V107" s="33"/>
      <c r="W107" s="25"/>
      <c r="Y107" s="3" t="s">
        <v>210</v>
      </c>
      <c r="Z107" s="7">
        <f t="shared" ref="Z107:Z115" si="85">N107-B107</f>
        <v>39719.385835484994</v>
      </c>
      <c r="AA107" s="7">
        <f t="shared" ref="AA107:AA115" si="86">O107-C107</f>
        <v>14008.1219461361</v>
      </c>
      <c r="AB107" s="7">
        <f t="shared" ref="AB107:AB115" si="87">P107-D107</f>
        <v>31546.016503697203</v>
      </c>
      <c r="AC107" s="7">
        <f t="shared" ref="AC107:AC115" si="88">Q107-E107</f>
        <v>31599.683512203897</v>
      </c>
      <c r="AD107" s="7">
        <f t="shared" ref="AD107" si="89">R107-F107</f>
        <v>17213.914465639402</v>
      </c>
      <c r="AE107" s="7">
        <f t="shared" ref="AE107:AF114" si="90">S107-G107</f>
        <v>2461.7735139841002</v>
      </c>
      <c r="AF107" s="7">
        <f t="shared" si="90"/>
        <v>94149.909085005493</v>
      </c>
      <c r="AG107" s="7">
        <f t="shared" ref="AG107:AG115" si="91">U107-I107</f>
        <v>230698.80486215118</v>
      </c>
      <c r="AH107" s="33"/>
    </row>
    <row r="108" spans="1:34" x14ac:dyDescent="0.2">
      <c r="A108" s="3" t="s">
        <v>211</v>
      </c>
      <c r="B108" s="7">
        <f>output_NHTS!B296</f>
        <v>37889.520256315103</v>
      </c>
      <c r="C108" s="7">
        <f>output_NHTS!C296</f>
        <v>1117.9443582056999</v>
      </c>
      <c r="D108" s="7">
        <f>output_NHTS!D296</f>
        <v>30251.589962541999</v>
      </c>
      <c r="E108" s="7">
        <f>output_NHTS!E296</f>
        <v>33793.420683390003</v>
      </c>
      <c r="F108" s="7">
        <f>output_NHTS!F296</f>
        <v>781.92279673500002</v>
      </c>
      <c r="G108" s="7">
        <f>output_NHTS!G296</f>
        <v>607.26637500000004</v>
      </c>
      <c r="H108" s="7">
        <f>output_NHTS!H296</f>
        <v>4.59375</v>
      </c>
      <c r="I108" s="7">
        <f t="shared" ref="I108:I114" si="92">SUM(B108:H108)</f>
        <v>104446.25818218781</v>
      </c>
      <c r="J108" s="33"/>
      <c r="M108" s="3" t="s">
        <v>211</v>
      </c>
      <c r="N108" s="7">
        <f>output!B296</f>
        <v>37076</v>
      </c>
      <c r="O108" s="7">
        <f>output!C296</f>
        <v>1982</v>
      </c>
      <c r="P108" s="7">
        <f>output!D296</f>
        <v>28962</v>
      </c>
      <c r="Q108" s="7">
        <f>output!E296</f>
        <v>24363</v>
      </c>
      <c r="R108" s="7">
        <f>output!F296</f>
        <v>2401</v>
      </c>
      <c r="S108" s="7">
        <f>output!G296</f>
        <v>130</v>
      </c>
      <c r="T108" s="7">
        <f>output!H296</f>
        <v>19982</v>
      </c>
      <c r="U108" s="7">
        <f t="shared" ref="U108:U114" si="93">SUM(N108:T108)</f>
        <v>114896</v>
      </c>
      <c r="V108" s="33"/>
      <c r="W108" s="25"/>
      <c r="Y108" s="3" t="s">
        <v>211</v>
      </c>
      <c r="Z108" s="7">
        <f t="shared" si="85"/>
        <v>-813.52025631510332</v>
      </c>
      <c r="AA108" s="7">
        <f t="shared" si="86"/>
        <v>864.05564179430007</v>
      </c>
      <c r="AB108" s="7">
        <f t="shared" si="87"/>
        <v>-1289.5899625419988</v>
      </c>
      <c r="AC108" s="7">
        <f t="shared" ref="AC108:AC114" si="94">Q108-E108</f>
        <v>-9430.4206833900025</v>
      </c>
      <c r="AD108" s="7">
        <f t="shared" ref="AD108:AD115" si="95">R108-F108</f>
        <v>1619.077203265</v>
      </c>
      <c r="AE108" s="7">
        <f t="shared" ref="AE108:AF115" si="96">S108-G108</f>
        <v>-477.26637500000004</v>
      </c>
      <c r="AF108" s="7">
        <f t="shared" si="90"/>
        <v>19977.40625</v>
      </c>
      <c r="AG108" s="7">
        <f t="shared" si="91"/>
        <v>10449.741817812188</v>
      </c>
      <c r="AH108" s="33"/>
    </row>
    <row r="109" spans="1:34" x14ac:dyDescent="0.2">
      <c r="A109" s="3" t="s">
        <v>212</v>
      </c>
      <c r="B109" s="7">
        <f>output_NHTS!B297</f>
        <v>62252.711339732901</v>
      </c>
      <c r="C109" s="7">
        <f>output_NHTS!C297</f>
        <v>6059.3848045508003</v>
      </c>
      <c r="D109" s="7">
        <f>output_NHTS!D297</f>
        <v>47644.131865424999</v>
      </c>
      <c r="E109" s="7">
        <f>output_NHTS!E297</f>
        <v>48567.587609926901</v>
      </c>
      <c r="F109" s="7">
        <f>output_NHTS!F297</f>
        <v>4235.543112585</v>
      </c>
      <c r="G109" s="7">
        <f>output_NHTS!G297</f>
        <v>9273.3096037979994</v>
      </c>
      <c r="H109" s="7">
        <f>output_NHTS!H297</f>
        <v>7514.2061219722</v>
      </c>
      <c r="I109" s="7">
        <f t="shared" si="92"/>
        <v>185546.87445799081</v>
      </c>
      <c r="J109" s="33"/>
      <c r="M109" s="3" t="s">
        <v>212</v>
      </c>
      <c r="N109" s="7">
        <f>output!B297</f>
        <v>65975</v>
      </c>
      <c r="O109" s="7">
        <f>output!C297</f>
        <v>10695</v>
      </c>
      <c r="P109" s="7">
        <f>output!D297</f>
        <v>52007</v>
      </c>
      <c r="Q109" s="7">
        <f>output!E297</f>
        <v>47527</v>
      </c>
      <c r="R109" s="7">
        <f>output!F297</f>
        <v>7626</v>
      </c>
      <c r="S109" s="7">
        <f>output!G297</f>
        <v>1863</v>
      </c>
      <c r="T109" s="7">
        <f>output!H297</f>
        <v>29575</v>
      </c>
      <c r="U109" s="7">
        <f t="shared" si="93"/>
        <v>215268</v>
      </c>
      <c r="V109" s="33"/>
      <c r="W109" s="25"/>
      <c r="Y109" s="3" t="s">
        <v>212</v>
      </c>
      <c r="Z109" s="7">
        <f t="shared" si="85"/>
        <v>3722.2886602670987</v>
      </c>
      <c r="AA109" s="7">
        <f t="shared" si="86"/>
        <v>4635.6151954491997</v>
      </c>
      <c r="AB109" s="7">
        <f t="shared" si="87"/>
        <v>4362.868134575001</v>
      </c>
      <c r="AC109" s="7">
        <f t="shared" si="94"/>
        <v>-1040.5876099269008</v>
      </c>
      <c r="AD109" s="7">
        <f t="shared" si="95"/>
        <v>3390.456887415</v>
      </c>
      <c r="AE109" s="7">
        <f t="shared" si="96"/>
        <v>-7410.3096037979994</v>
      </c>
      <c r="AF109" s="7">
        <f t="shared" si="90"/>
        <v>22060.793878027798</v>
      </c>
      <c r="AG109" s="7">
        <f t="shared" si="91"/>
        <v>29721.125542009191</v>
      </c>
      <c r="AH109" s="33"/>
    </row>
    <row r="110" spans="1:34" x14ac:dyDescent="0.2">
      <c r="A110" s="3" t="s">
        <v>213</v>
      </c>
      <c r="B110" s="7">
        <f>output_NHTS!B298</f>
        <v>47551.285478452402</v>
      </c>
      <c r="C110" s="7">
        <f>output_NHTS!C298</f>
        <v>7012.3430352566002</v>
      </c>
      <c r="D110" s="7">
        <f>output_NHTS!D298</f>
        <v>51649.2425579423</v>
      </c>
      <c r="E110" s="7">
        <f>output_NHTS!E298</f>
        <v>47587.570026329602</v>
      </c>
      <c r="F110" s="7">
        <f>output_NHTS!F298</f>
        <v>7915.1345541780001</v>
      </c>
      <c r="G110" s="7">
        <f>output_NHTS!G298</f>
        <v>2884.8691990490001</v>
      </c>
      <c r="H110" s="7">
        <f>output_NHTS!H298</f>
        <v>8518.1434722409995</v>
      </c>
      <c r="I110" s="7">
        <f t="shared" si="92"/>
        <v>173118.58832344887</v>
      </c>
      <c r="J110" s="33"/>
      <c r="M110" s="3" t="s">
        <v>213</v>
      </c>
      <c r="N110" s="7">
        <f>output!B298</f>
        <v>85431</v>
      </c>
      <c r="O110" s="7">
        <f>output!C298</f>
        <v>18910</v>
      </c>
      <c r="P110" s="7">
        <f>output!D298</f>
        <v>70299</v>
      </c>
      <c r="Q110" s="7">
        <f>output!E298</f>
        <v>60149</v>
      </c>
      <c r="R110" s="7">
        <f>output!F298</f>
        <v>9939</v>
      </c>
      <c r="S110" s="7">
        <f>output!G298</f>
        <v>2086</v>
      </c>
      <c r="T110" s="7">
        <f>output!H298</f>
        <v>40675</v>
      </c>
      <c r="U110" s="7">
        <f t="shared" si="93"/>
        <v>287489</v>
      </c>
      <c r="V110" s="33"/>
      <c r="W110" s="25"/>
      <c r="Y110" s="3" t="s">
        <v>213</v>
      </c>
      <c r="Z110" s="7">
        <f t="shared" si="85"/>
        <v>37879.714521547598</v>
      </c>
      <c r="AA110" s="7">
        <f t="shared" si="86"/>
        <v>11897.656964743401</v>
      </c>
      <c r="AB110" s="7">
        <f t="shared" si="87"/>
        <v>18649.7574420577</v>
      </c>
      <c r="AC110" s="7">
        <f t="shared" si="94"/>
        <v>12561.429973670398</v>
      </c>
      <c r="AD110" s="7">
        <f t="shared" si="95"/>
        <v>2023.8654458219999</v>
      </c>
      <c r="AE110" s="7">
        <f t="shared" si="96"/>
        <v>-798.86919904900014</v>
      </c>
      <c r="AF110" s="7">
        <f t="shared" si="90"/>
        <v>32156.856527759002</v>
      </c>
      <c r="AG110" s="7">
        <f t="shared" si="91"/>
        <v>114370.41167655113</v>
      </c>
      <c r="AH110" s="33"/>
    </row>
    <row r="111" spans="1:34" x14ac:dyDescent="0.2">
      <c r="A111" s="3" t="s">
        <v>214</v>
      </c>
      <c r="B111" s="7">
        <f>output_NHTS!B299</f>
        <v>43146.658125670801</v>
      </c>
      <c r="C111" s="7">
        <f>output_NHTS!C299</f>
        <v>6572.3401063869997</v>
      </c>
      <c r="D111" s="7">
        <f>output_NHTS!D299</f>
        <v>56362.526171546699</v>
      </c>
      <c r="E111" s="7">
        <f>output_NHTS!E299</f>
        <v>42229.562780010601</v>
      </c>
      <c r="F111" s="7">
        <f>output_NHTS!F299</f>
        <v>10504.289536296399</v>
      </c>
      <c r="G111" s="7">
        <f>output_NHTS!G299</f>
        <v>7098.4659689969994</v>
      </c>
      <c r="H111" s="7">
        <f>output_NHTS!H299</f>
        <v>28377.3229093673</v>
      </c>
      <c r="I111" s="7">
        <f t="shared" si="92"/>
        <v>194291.16559827581</v>
      </c>
      <c r="J111" s="33"/>
      <c r="M111" s="3" t="s">
        <v>214</v>
      </c>
      <c r="N111" s="7">
        <f>output!B299</f>
        <v>86664</v>
      </c>
      <c r="O111" s="7">
        <f>output!C299</f>
        <v>26329</v>
      </c>
      <c r="P111" s="7">
        <f>output!D299</f>
        <v>70491</v>
      </c>
      <c r="Q111" s="7">
        <f>output!E299</f>
        <v>65191</v>
      </c>
      <c r="R111" s="7">
        <f>output!F299</f>
        <v>12320</v>
      </c>
      <c r="S111" s="7">
        <f>output!G299</f>
        <v>3089</v>
      </c>
      <c r="T111" s="7">
        <f>output!H299</f>
        <v>41812</v>
      </c>
      <c r="U111" s="7">
        <f t="shared" si="93"/>
        <v>305896</v>
      </c>
      <c r="V111" s="33"/>
      <c r="W111" s="25"/>
      <c r="Y111" s="3" t="s">
        <v>214</v>
      </c>
      <c r="Z111" s="7">
        <f t="shared" si="85"/>
        <v>43517.341874329199</v>
      </c>
      <c r="AA111" s="7">
        <f t="shared" si="86"/>
        <v>19756.659893612999</v>
      </c>
      <c r="AB111" s="7">
        <f t="shared" si="87"/>
        <v>14128.473828453301</v>
      </c>
      <c r="AC111" s="7">
        <f t="shared" si="94"/>
        <v>22961.437219989399</v>
      </c>
      <c r="AD111" s="7">
        <f t="shared" si="95"/>
        <v>1815.7104637036009</v>
      </c>
      <c r="AE111" s="7">
        <f t="shared" si="96"/>
        <v>-4009.4659689969994</v>
      </c>
      <c r="AF111" s="7">
        <f t="shared" si="90"/>
        <v>13434.6770906327</v>
      </c>
      <c r="AG111" s="7">
        <f t="shared" si="91"/>
        <v>111604.83440172419</v>
      </c>
      <c r="AH111" s="33"/>
    </row>
    <row r="112" spans="1:34" x14ac:dyDescent="0.2">
      <c r="A112" s="3" t="s">
        <v>129</v>
      </c>
      <c r="B112" s="7">
        <f>output_NHTS!B300</f>
        <v>27732.360630399999</v>
      </c>
      <c r="C112" s="7">
        <f>output_NHTS!C300</f>
        <v>5054.7242271082005</v>
      </c>
      <c r="D112" s="7">
        <f>output_NHTS!D300</f>
        <v>9221.9553348879999</v>
      </c>
      <c r="E112" s="7">
        <f>output_NHTS!E300</f>
        <v>26789.814501848399</v>
      </c>
      <c r="F112" s="7">
        <f>output_NHTS!F300</f>
        <v>2994.7797227260003</v>
      </c>
      <c r="G112" s="7">
        <f>output_NHTS!G300</f>
        <v>13309.0591514303</v>
      </c>
      <c r="H112" s="7">
        <f>output_NHTS!H300</f>
        <v>8362.9370419566003</v>
      </c>
      <c r="I112" s="7">
        <f t="shared" si="92"/>
        <v>93465.63061035749</v>
      </c>
      <c r="J112" s="33"/>
      <c r="M112" s="3" t="s">
        <v>129</v>
      </c>
      <c r="N112" s="7">
        <f>output!B300</f>
        <v>45600</v>
      </c>
      <c r="O112" s="7">
        <f>output!C300</f>
        <v>13737</v>
      </c>
      <c r="P112" s="7">
        <f>output!D300</f>
        <v>34772</v>
      </c>
      <c r="Q112" s="7">
        <f>output!E300</f>
        <v>32442</v>
      </c>
      <c r="R112" s="7">
        <f>output!F300</f>
        <v>5752</v>
      </c>
      <c r="S112" s="7">
        <f>output!G300</f>
        <v>1374</v>
      </c>
      <c r="T112" s="7">
        <f>output!H300</f>
        <v>20217</v>
      </c>
      <c r="U112" s="7">
        <f t="shared" si="93"/>
        <v>153894</v>
      </c>
      <c r="V112" s="33"/>
      <c r="W112" s="25"/>
      <c r="Y112" s="3" t="s">
        <v>129</v>
      </c>
      <c r="Z112" s="7">
        <f t="shared" si="85"/>
        <v>17867.639369600001</v>
      </c>
      <c r="AA112" s="7">
        <f t="shared" si="86"/>
        <v>8682.2757728918004</v>
      </c>
      <c r="AB112" s="7">
        <f t="shared" si="87"/>
        <v>25550.044665112</v>
      </c>
      <c r="AC112" s="7">
        <f t="shared" si="94"/>
        <v>5652.1854981516008</v>
      </c>
      <c r="AD112" s="7">
        <f t="shared" si="95"/>
        <v>2757.2202772739997</v>
      </c>
      <c r="AE112" s="7">
        <f t="shared" si="96"/>
        <v>-11935.0591514303</v>
      </c>
      <c r="AF112" s="7">
        <f t="shared" si="90"/>
        <v>11854.0629580434</v>
      </c>
      <c r="AG112" s="7">
        <f t="shared" si="91"/>
        <v>60428.36938964251</v>
      </c>
      <c r="AH112" s="33"/>
    </row>
    <row r="113" spans="1:34" x14ac:dyDescent="0.2">
      <c r="A113" s="3" t="s">
        <v>130</v>
      </c>
      <c r="B113" s="7">
        <f>output_NHTS!B301</f>
        <v>59522.6075547609</v>
      </c>
      <c r="C113" s="7">
        <f>output_NHTS!C301</f>
        <v>8650.593366688001</v>
      </c>
      <c r="D113" s="7">
        <f>output_NHTS!D301</f>
        <v>42941.893781935003</v>
      </c>
      <c r="E113" s="7">
        <f>output_NHTS!E301</f>
        <v>56648.767118000302</v>
      </c>
      <c r="F113" s="7">
        <f>output_NHTS!F301</f>
        <v>8670.836099184</v>
      </c>
      <c r="G113" s="7">
        <f>output_NHTS!G301</f>
        <v>8302.6739772799992</v>
      </c>
      <c r="H113" s="7">
        <f>output_NHTS!H301</f>
        <v>13981.3814250785</v>
      </c>
      <c r="I113" s="7">
        <f t="shared" si="92"/>
        <v>198718.75332292673</v>
      </c>
      <c r="J113" s="33"/>
      <c r="M113" s="3" t="s">
        <v>130</v>
      </c>
      <c r="N113" s="7">
        <f>output!B301</f>
        <v>85710</v>
      </c>
      <c r="O113" s="7">
        <f>output!C301</f>
        <v>14652</v>
      </c>
      <c r="P113" s="7">
        <f>output!D301</f>
        <v>69952</v>
      </c>
      <c r="Q113" s="7">
        <f>output!E301</f>
        <v>60619</v>
      </c>
      <c r="R113" s="7">
        <f>output!F301</f>
        <v>12431</v>
      </c>
      <c r="S113" s="7">
        <f>output!G301</f>
        <v>2675</v>
      </c>
      <c r="T113" s="7">
        <f>output!H301</f>
        <v>30443</v>
      </c>
      <c r="U113" s="7">
        <f t="shared" si="93"/>
        <v>276482</v>
      </c>
      <c r="V113" s="33"/>
      <c r="W113" s="25"/>
      <c r="Y113" s="3" t="s">
        <v>130</v>
      </c>
      <c r="Z113" s="7">
        <f t="shared" si="85"/>
        <v>26187.3924452391</v>
      </c>
      <c r="AA113" s="7">
        <f t="shared" si="86"/>
        <v>6001.406633311999</v>
      </c>
      <c r="AB113" s="7">
        <f t="shared" si="87"/>
        <v>27010.106218064997</v>
      </c>
      <c r="AC113" s="7">
        <f t="shared" si="94"/>
        <v>3970.2328819996983</v>
      </c>
      <c r="AD113" s="7">
        <f t="shared" si="95"/>
        <v>3760.163900816</v>
      </c>
      <c r="AE113" s="7">
        <f t="shared" si="96"/>
        <v>-5627.6739772799992</v>
      </c>
      <c r="AF113" s="7">
        <f t="shared" si="90"/>
        <v>16461.6185749215</v>
      </c>
      <c r="AG113" s="7">
        <f t="shared" si="91"/>
        <v>77763.246677073272</v>
      </c>
      <c r="AH113" s="33"/>
    </row>
    <row r="114" spans="1:34" x14ac:dyDescent="0.2">
      <c r="A114" s="8" t="s">
        <v>145</v>
      </c>
      <c r="B114" s="7">
        <f>output_NHTS!B302</f>
        <v>181436.63578690161</v>
      </c>
      <c r="C114" s="7">
        <f>output_NHTS!C302</f>
        <v>34572.043924316298</v>
      </c>
      <c r="D114" s="7">
        <f>output_NHTS!D302</f>
        <v>177849.039330022</v>
      </c>
      <c r="E114" s="7">
        <f>output_NHTS!E302</f>
        <v>178953.68797305151</v>
      </c>
      <c r="F114" s="7">
        <f>output_NHTS!F302</f>
        <v>44164.8513183471</v>
      </c>
      <c r="G114" s="7">
        <f>output_NHTS!G302</f>
        <v>17328.035947344</v>
      </c>
      <c r="H114" s="7">
        <f>output_NHTS!H302</f>
        <v>59905.931088919402</v>
      </c>
      <c r="I114" s="7">
        <f t="shared" si="92"/>
        <v>694210.22536890209</v>
      </c>
      <c r="J114" s="33"/>
      <c r="M114" s="8" t="s">
        <v>145</v>
      </c>
      <c r="N114" s="7">
        <f>output!B302</f>
        <v>282688</v>
      </c>
      <c r="O114" s="7">
        <f>output!C302</f>
        <v>82716</v>
      </c>
      <c r="P114" s="7">
        <f>output!D302</f>
        <v>218856</v>
      </c>
      <c r="Q114" s="7">
        <f>output!E302</f>
        <v>192341</v>
      </c>
      <c r="R114" s="7">
        <f>output!F302</f>
        <v>48042</v>
      </c>
      <c r="S114" s="7">
        <f>output!G302</f>
        <v>13130</v>
      </c>
      <c r="T114" s="7">
        <f>output!H302</f>
        <v>100395</v>
      </c>
      <c r="U114" s="7">
        <f t="shared" si="93"/>
        <v>938168</v>
      </c>
      <c r="V114" s="33"/>
      <c r="W114" s="25"/>
      <c r="Y114" s="8" t="s">
        <v>145</v>
      </c>
      <c r="Z114" s="7">
        <f t="shared" si="85"/>
        <v>101251.36421309839</v>
      </c>
      <c r="AA114" s="7">
        <f t="shared" si="86"/>
        <v>48143.956075683702</v>
      </c>
      <c r="AB114" s="7">
        <f t="shared" si="87"/>
        <v>41006.960669977998</v>
      </c>
      <c r="AC114" s="7">
        <f t="shared" si="94"/>
        <v>13387.312026948493</v>
      </c>
      <c r="AD114" s="7">
        <f t="shared" si="95"/>
        <v>3877.1486816528995</v>
      </c>
      <c r="AE114" s="7">
        <f t="shared" si="96"/>
        <v>-4198.0359473440003</v>
      </c>
      <c r="AF114" s="7">
        <f t="shared" si="90"/>
        <v>40489.068911080598</v>
      </c>
      <c r="AG114" s="7">
        <f t="shared" si="91"/>
        <v>243957.77463109791</v>
      </c>
      <c r="AH114" s="33"/>
    </row>
    <row r="115" spans="1:34" ht="13.5" thickBot="1" x14ac:dyDescent="0.25">
      <c r="A115" s="10" t="s">
        <v>221</v>
      </c>
      <c r="B115" s="11">
        <f>SUM(B107:B114)</f>
        <v>544708.3933367487</v>
      </c>
      <c r="C115" s="11">
        <f>SUM(C107:C114)</f>
        <v>80801.251876376511</v>
      </c>
      <c r="D115" s="11">
        <f>SUM(D107:D114)</f>
        <v>485971.36250060378</v>
      </c>
      <c r="E115" s="11">
        <f>SUM(E107:E114)</f>
        <v>486608.72718035342</v>
      </c>
      <c r="F115" s="11">
        <f t="shared" ref="F115:G115" si="97">SUM(F107:F114)</f>
        <v>97803.442674412101</v>
      </c>
      <c r="G115" s="11">
        <f t="shared" si="97"/>
        <v>61889.906708914205</v>
      </c>
      <c r="H115" s="11">
        <f t="shared" ref="H115" si="98">SUM(H107:H114)</f>
        <v>144602.6067245295</v>
      </c>
      <c r="I115" s="11">
        <f>SUM(I107:I114)</f>
        <v>1902385.6910019384</v>
      </c>
      <c r="J115" s="33"/>
      <c r="M115" s="10" t="s">
        <v>221</v>
      </c>
      <c r="N115" s="11">
        <f>SUM(N107:N114)</f>
        <v>814040</v>
      </c>
      <c r="O115" s="11">
        <f>SUM(O107:O114)</f>
        <v>194791</v>
      </c>
      <c r="P115" s="11">
        <f>SUM(P107:P114)</f>
        <v>646936</v>
      </c>
      <c r="Q115" s="11">
        <f>SUM(Q107:Q114)</f>
        <v>566270</v>
      </c>
      <c r="R115" s="11">
        <f t="shared" ref="R115:S115" si="99">SUM(R107:R114)</f>
        <v>134261</v>
      </c>
      <c r="S115" s="11">
        <f t="shared" si="99"/>
        <v>29895</v>
      </c>
      <c r="T115" s="11">
        <f t="shared" ref="T115" si="100">SUM(T107:T114)</f>
        <v>395187</v>
      </c>
      <c r="U115" s="11">
        <f>SUM(U107:U114)</f>
        <v>2781380</v>
      </c>
      <c r="V115" s="33"/>
      <c r="W115" s="25"/>
      <c r="Y115" s="10" t="s">
        <v>221</v>
      </c>
      <c r="Z115" s="11">
        <f t="shared" si="85"/>
        <v>269331.6066632513</v>
      </c>
      <c r="AA115" s="11">
        <f t="shared" si="86"/>
        <v>113989.74812362349</v>
      </c>
      <c r="AB115" s="11">
        <f t="shared" si="87"/>
        <v>160964.63749939622</v>
      </c>
      <c r="AC115" s="11">
        <f t="shared" si="88"/>
        <v>79661.272819646576</v>
      </c>
      <c r="AD115" s="11">
        <f t="shared" si="95"/>
        <v>36457.557325587899</v>
      </c>
      <c r="AE115" s="11">
        <f t="shared" si="96"/>
        <v>-31994.906708914205</v>
      </c>
      <c r="AF115" s="11">
        <f t="shared" si="96"/>
        <v>250584.3932754705</v>
      </c>
      <c r="AG115" s="11">
        <f t="shared" si="91"/>
        <v>878994.30899806158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0</v>
      </c>
      <c r="G117" s="7">
        <f>ToursByTourPurpose!G118</f>
        <v>0</v>
      </c>
      <c r="H117" s="7">
        <f>ToursByTourPurpose!H118</f>
        <v>0</v>
      </c>
      <c r="I117" s="7">
        <f>ToursByTourPurpose!I118</f>
        <v>415604.54580000008</v>
      </c>
      <c r="J117" s="33"/>
      <c r="M117" s="25" t="s">
        <v>88</v>
      </c>
      <c r="N117" s="7">
        <f>ToursByTourPurpose!N118</f>
        <v>159549</v>
      </c>
      <c r="O117" s="7">
        <f>ToursByTourPurpose!O118</f>
        <v>14491</v>
      </c>
      <c r="P117" s="7">
        <f>ToursByTourPurpose!P118</f>
        <v>143414</v>
      </c>
      <c r="Q117" s="7">
        <f>ToursByTourPurpose!Q118</f>
        <v>114848</v>
      </c>
      <c r="R117" s="7">
        <f>ToursByTourPurpose!R118</f>
        <v>152576</v>
      </c>
      <c r="S117" s="7">
        <f>ToursByTourPurpose!S118</f>
        <v>10929</v>
      </c>
      <c r="T117" s="7">
        <f>ToursByTourPurpose!T118</f>
        <v>559314</v>
      </c>
      <c r="U117" s="7">
        <f>ToursByTourPurpose!U118</f>
        <v>1155121</v>
      </c>
      <c r="V117" s="33"/>
      <c r="W117" s="25"/>
      <c r="Y117" s="3" t="s">
        <v>88</v>
      </c>
      <c r="Z117" s="7">
        <f t="shared" ref="Z117:AC118" si="101">N117-B117</f>
        <v>8152.3520999999892</v>
      </c>
      <c r="AA117" s="7">
        <f t="shared" si="101"/>
        <v>5645.1474999999991</v>
      </c>
      <c r="AB117" s="7">
        <f t="shared" si="101"/>
        <v>11884.084999999992</v>
      </c>
      <c r="AC117" s="7">
        <f t="shared" si="101"/>
        <v>-8984.1303999999946</v>
      </c>
      <c r="AD117" s="7">
        <f t="shared" ref="AD117:AD118" si="102">R117-F117</f>
        <v>152576</v>
      </c>
      <c r="AE117" s="7">
        <f t="shared" ref="AE117:AF118" si="103">S117-G117</f>
        <v>10929</v>
      </c>
      <c r="AF117" s="7">
        <f t="shared" si="103"/>
        <v>559314</v>
      </c>
      <c r="AG117" s="7">
        <f t="shared" ref="AG117:AG118" si="104">U117-I117</f>
        <v>739516.45419999992</v>
      </c>
      <c r="AH117" s="33"/>
    </row>
    <row r="118" spans="1:34" x14ac:dyDescent="0.2">
      <c r="A118" s="25" t="s">
        <v>91</v>
      </c>
      <c r="B118" s="38">
        <f>B115/B117</f>
        <v>3.5978893911610093</v>
      </c>
      <c r="C118" s="38">
        <f>C115/C117</f>
        <v>9.134365724092337</v>
      </c>
      <c r="D118" s="38">
        <f>D115/D117</f>
        <v>3.6947591922385392</v>
      </c>
      <c r="E118" s="38">
        <f>E115/E117</f>
        <v>3.9295837486484317</v>
      </c>
      <c r="F118" s="38" t="e">
        <f t="shared" ref="F118:I118" si="105">F115/F117</f>
        <v>#DIV/0!</v>
      </c>
      <c r="G118" s="38" t="e">
        <f t="shared" si="105"/>
        <v>#DIV/0!</v>
      </c>
      <c r="H118" s="38" t="e">
        <f t="shared" si="105"/>
        <v>#DIV/0!</v>
      </c>
      <c r="I118" s="38">
        <f t="shared" si="105"/>
        <v>4.5773938476539593</v>
      </c>
      <c r="J118" s="103"/>
      <c r="M118" s="25" t="s">
        <v>91</v>
      </c>
      <c r="N118" s="38">
        <f>N115/N117</f>
        <v>5.1021316335420464</v>
      </c>
      <c r="O118" s="38">
        <f>O115/O117</f>
        <v>13.442205506866332</v>
      </c>
      <c r="P118" s="38">
        <f>P115/P117</f>
        <v>4.5109682457779572</v>
      </c>
      <c r="Q118" s="38">
        <f>Q115/Q117</f>
        <v>4.9306039286709389</v>
      </c>
      <c r="R118" s="38">
        <f t="shared" ref="R118:U118" si="106">R115/R117</f>
        <v>0.87996146182885904</v>
      </c>
      <c r="S118" s="38">
        <f t="shared" si="106"/>
        <v>2.7353829261597586</v>
      </c>
      <c r="T118" s="38">
        <f t="shared" ref="T118" si="107">T115/T117</f>
        <v>0.70655660326757419</v>
      </c>
      <c r="U118" s="38">
        <f t="shared" si="106"/>
        <v>2.4078689591826312</v>
      </c>
      <c r="V118" s="103"/>
      <c r="W118" s="25"/>
      <c r="Y118" s="3" t="s">
        <v>91</v>
      </c>
      <c r="Z118" s="38">
        <f t="shared" si="101"/>
        <v>1.5042422423810371</v>
      </c>
      <c r="AA118" s="38">
        <f t="shared" si="101"/>
        <v>4.3078397827739945</v>
      </c>
      <c r="AB118" s="38">
        <f t="shared" si="101"/>
        <v>0.81620905353941797</v>
      </c>
      <c r="AC118" s="38">
        <f t="shared" si="101"/>
        <v>1.0010201800225071</v>
      </c>
      <c r="AD118" s="38" t="e">
        <f t="shared" si="102"/>
        <v>#DIV/0!</v>
      </c>
      <c r="AE118" s="38" t="e">
        <f t="shared" si="103"/>
        <v>#DIV/0!</v>
      </c>
      <c r="AF118" s="38" t="e">
        <f t="shared" si="103"/>
        <v>#DIV/0!</v>
      </c>
      <c r="AG118" s="38">
        <f t="shared" si="104"/>
        <v>-2.1695248884713281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t="shared" ref="B124:G130" si="111">B107/B$115</f>
        <v>0.15637103302694524</v>
      </c>
      <c r="C124" s="12">
        <f t="shared" si="111"/>
        <v>0.14556554237376446</v>
      </c>
      <c r="D124" s="12">
        <f>D107/D$115</f>
        <v>0.14414631993097282</v>
      </c>
      <c r="E124" s="12">
        <f>E107/E$115</f>
        <v>0.10694077927728773</v>
      </c>
      <c r="F124" s="12">
        <f t="shared" ref="F124:G124" si="112">F107/F$115</f>
        <v>0.18952385547477374</v>
      </c>
      <c r="G124" s="12">
        <f t="shared" si="112"/>
        <v>4.9866394217255791E-2</v>
      </c>
      <c r="H124" s="12">
        <f t="shared" ref="H124" si="113">H107/H$115</f>
        <v>0.12405095123331267</v>
      </c>
      <c r="I124" s="12">
        <f t="shared" ref="I124:I132" si="114">I107/I$115</f>
        <v>0.13592837475646538</v>
      </c>
      <c r="J124" s="34"/>
      <c r="M124" s="3" t="s">
        <v>210</v>
      </c>
      <c r="N124" s="12">
        <f t="shared" ref="N124:S132" si="115">N107/N$115</f>
        <v>0.15342735000737065</v>
      </c>
      <c r="O124" s="12">
        <f t="shared" si="115"/>
        <v>0.13229563994229712</v>
      </c>
      <c r="P124" s="12">
        <f t="shared" si="115"/>
        <v>0.1570433551386845</v>
      </c>
      <c r="Q124" s="12">
        <f t="shared" si="115"/>
        <v>0.1476998604905787</v>
      </c>
      <c r="R124" s="12">
        <f t="shared" si="115"/>
        <v>0.26627240970944654</v>
      </c>
      <c r="S124" s="12">
        <f t="shared" si="115"/>
        <v>0.18558287339019902</v>
      </c>
      <c r="T124" s="12">
        <f t="shared" ref="T124" si="116">T107/T$115</f>
        <v>0.28363281180808075</v>
      </c>
      <c r="U124" s="12">
        <f t="shared" ref="U124:U132" si="117">U107/U$115</f>
        <v>0.17591519317748744</v>
      </c>
      <c r="V124" s="34"/>
      <c r="W124" s="25"/>
      <c r="Y124" s="3" t="s">
        <v>210</v>
      </c>
      <c r="Z124" s="12">
        <f t="shared" ref="Z124:Z132" si="118">N124-B124</f>
        <v>-2.9436830195745944E-3</v>
      </c>
      <c r="AA124" s="12">
        <f t="shared" ref="AA124:AA132" si="119">O124-C124</f>
        <v>-1.3269902431467334E-2</v>
      </c>
      <c r="AB124" s="12">
        <f t="shared" ref="AB124:AB132" si="120">P124-D124</f>
        <v>1.2897035207711682E-2</v>
      </c>
      <c r="AC124" s="12">
        <f>Q124-E124</f>
        <v>4.0759081213290971E-2</v>
      </c>
      <c r="AD124" s="12">
        <f>R124-F124</f>
        <v>7.6748554234672806E-2</v>
      </c>
      <c r="AE124" s="12">
        <f>S124-G124</f>
        <v>0.13571647917294322</v>
      </c>
      <c r="AF124" s="12">
        <f>T124-H124</f>
        <v>0.15958186057476809</v>
      </c>
      <c r="AG124" s="12">
        <f t="shared" ref="AG124:AG132" si="121">U124-I124</f>
        <v>3.9986818421022058E-2</v>
      </c>
      <c r="AH124" s="34"/>
    </row>
    <row r="125" spans="1:34" x14ac:dyDescent="0.2">
      <c r="A125" s="3" t="s">
        <v>211</v>
      </c>
      <c r="B125" s="12">
        <f t="shared" si="111"/>
        <v>6.9559273768875288E-2</v>
      </c>
      <c r="C125" s="12">
        <f t="shared" si="111"/>
        <v>1.3835730663135284E-2</v>
      </c>
      <c r="D125" s="12">
        <f t="shared" si="111"/>
        <v>6.2249737941100211E-2</v>
      </c>
      <c r="E125" s="12">
        <f t="shared" si="111"/>
        <v>6.944680355242587E-2</v>
      </c>
      <c r="F125" s="12">
        <f t="shared" si="111"/>
        <v>7.9948391933198394E-3</v>
      </c>
      <c r="G125" s="12">
        <f t="shared" si="111"/>
        <v>9.8120421776711694E-3</v>
      </c>
      <c r="H125" s="12">
        <f t="shared" ref="H125" si="122">H108/H$115</f>
        <v>3.1768099511173917E-5</v>
      </c>
      <c r="I125" s="12">
        <f t="shared" si="114"/>
        <v>5.4902777431625131E-2</v>
      </c>
      <c r="J125" s="34"/>
      <c r="M125" s="3" t="s">
        <v>211</v>
      </c>
      <c r="N125" s="12">
        <f t="shared" si="115"/>
        <v>4.554567343128102E-2</v>
      </c>
      <c r="O125" s="12">
        <f t="shared" si="115"/>
        <v>1.017500808558917E-2</v>
      </c>
      <c r="P125" s="12">
        <f t="shared" si="115"/>
        <v>4.4767952316767036E-2</v>
      </c>
      <c r="Q125" s="12">
        <f t="shared" si="115"/>
        <v>4.3023645963939462E-2</v>
      </c>
      <c r="R125" s="12">
        <f t="shared" ref="R125:S125" si="123">R108/R$115</f>
        <v>1.7883078481465205E-2</v>
      </c>
      <c r="S125" s="12">
        <f t="shared" si="123"/>
        <v>4.3485532697775551E-3</v>
      </c>
      <c r="T125" s="12">
        <f t="shared" ref="T125" si="124">T108/T$115</f>
        <v>5.0563404160561959E-2</v>
      </c>
      <c r="U125" s="12">
        <f t="shared" si="117"/>
        <v>4.1308990501118151E-2</v>
      </c>
      <c r="V125" s="34"/>
      <c r="W125" s="25"/>
      <c r="Y125" s="3" t="s">
        <v>211</v>
      </c>
      <c r="Z125" s="12">
        <f t="shared" si="118"/>
        <v>-2.4013600337594268E-2</v>
      </c>
      <c r="AA125" s="12">
        <f t="shared" si="119"/>
        <v>-3.6607225775461133E-3</v>
      </c>
      <c r="AB125" s="12">
        <f t="shared" si="120"/>
        <v>-1.7481785624333175E-2</v>
      </c>
      <c r="AC125" s="12">
        <f t="shared" ref="AC125:AC132" si="125">Q125-E125</f>
        <v>-2.6423157588486408E-2</v>
      </c>
      <c r="AD125" s="12">
        <f t="shared" ref="AD125:AD132" si="126">R125-F125</f>
        <v>9.8882392881453653E-3</v>
      </c>
      <c r="AE125" s="12">
        <f t="shared" ref="AE125:AF132" si="127">S125-G125</f>
        <v>-5.4634889078936143E-3</v>
      </c>
      <c r="AF125" s="12">
        <f t="shared" ref="AF125:AF131" si="128">T125-H125</f>
        <v>5.0531636061050787E-2</v>
      </c>
      <c r="AG125" s="12">
        <f t="shared" si="121"/>
        <v>-1.3593786930506981E-2</v>
      </c>
      <c r="AH125" s="34"/>
    </row>
    <row r="126" spans="1:34" x14ac:dyDescent="0.2">
      <c r="A126" s="3" t="s">
        <v>212</v>
      </c>
      <c r="B126" s="12">
        <f t="shared" si="111"/>
        <v>0.11428630823620728</v>
      </c>
      <c r="C126" s="12">
        <f t="shared" si="111"/>
        <v>7.4991224316938512E-2</v>
      </c>
      <c r="D126" s="12">
        <f t="shared" si="111"/>
        <v>9.8038970074838111E-2</v>
      </c>
      <c r="E126" s="12">
        <f t="shared" si="111"/>
        <v>9.9808295447866333E-2</v>
      </c>
      <c r="F126" s="12">
        <f t="shared" si="111"/>
        <v>4.3306687339065696E-2</v>
      </c>
      <c r="G126" s="12">
        <f t="shared" si="111"/>
        <v>0.14983557250155516</v>
      </c>
      <c r="H126" s="12">
        <f t="shared" ref="H126" si="129">H109/H$115</f>
        <v>5.1964527418837579E-2</v>
      </c>
      <c r="I126" s="12">
        <f t="shared" si="114"/>
        <v>9.7533783677834524E-2</v>
      </c>
      <c r="J126" s="34"/>
      <c r="M126" s="3" t="s">
        <v>212</v>
      </c>
      <c r="N126" s="12">
        <f t="shared" si="115"/>
        <v>8.1046385926981476E-2</v>
      </c>
      <c r="O126" s="12">
        <f t="shared" si="115"/>
        <v>5.4905000744387575E-2</v>
      </c>
      <c r="P126" s="12">
        <f t="shared" si="115"/>
        <v>8.0389713974798119E-2</v>
      </c>
      <c r="Q126" s="12">
        <f t="shared" si="115"/>
        <v>8.3929927419782085E-2</v>
      </c>
      <c r="R126" s="12">
        <f t="shared" ref="R126:S126" si="130">R109/R$115</f>
        <v>5.6799815285153543E-2</v>
      </c>
      <c r="S126" s="12">
        <f t="shared" si="130"/>
        <v>6.2318113396889113E-2</v>
      </c>
      <c r="T126" s="12">
        <f t="shared" ref="T126" si="131">T109/T$115</f>
        <v>7.4837988091713548E-2</v>
      </c>
      <c r="U126" s="12">
        <f t="shared" si="117"/>
        <v>7.7396112721023383E-2</v>
      </c>
      <c r="V126" s="34"/>
      <c r="W126" s="25"/>
      <c r="Y126" s="3" t="s">
        <v>212</v>
      </c>
      <c r="Z126" s="12">
        <f t="shared" si="118"/>
        <v>-3.3239922309225803E-2</v>
      </c>
      <c r="AA126" s="12">
        <f t="shared" si="119"/>
        <v>-2.0086223572550937E-2</v>
      </c>
      <c r="AB126" s="12">
        <f t="shared" si="120"/>
        <v>-1.7649256100039992E-2</v>
      </c>
      <c r="AC126" s="12">
        <f t="shared" si="125"/>
        <v>-1.5878368028084247E-2</v>
      </c>
      <c r="AD126" s="12">
        <f t="shared" si="126"/>
        <v>1.3493127946087848E-2</v>
      </c>
      <c r="AE126" s="12">
        <f t="shared" si="127"/>
        <v>-8.7517459104666045E-2</v>
      </c>
      <c r="AF126" s="12">
        <f t="shared" si="128"/>
        <v>2.2873460672875968E-2</v>
      </c>
      <c r="AG126" s="12">
        <f t="shared" si="121"/>
        <v>-2.0137670956811141E-2</v>
      </c>
      <c r="AH126" s="34"/>
    </row>
    <row r="127" spans="1:34" x14ac:dyDescent="0.2">
      <c r="A127" s="3" t="s">
        <v>213</v>
      </c>
      <c r="B127" s="12">
        <f t="shared" si="111"/>
        <v>8.7296773943880329E-2</v>
      </c>
      <c r="C127" s="12">
        <f t="shared" si="111"/>
        <v>8.6785079097354514E-2</v>
      </c>
      <c r="D127" s="12">
        <f t="shared" si="111"/>
        <v>0.10628042420478662</v>
      </c>
      <c r="E127" s="12">
        <f t="shared" si="111"/>
        <v>9.7794320915851676E-2</v>
      </c>
      <c r="F127" s="12">
        <f t="shared" si="111"/>
        <v>8.09289973618567E-2</v>
      </c>
      <c r="G127" s="12">
        <f t="shared" si="111"/>
        <v>4.6612918849875777E-2</v>
      </c>
      <c r="H127" s="12">
        <f t="shared" ref="H127" si="132">H110/H$115</f>
        <v>5.8907260838445413E-2</v>
      </c>
      <c r="I127" s="12">
        <f t="shared" si="114"/>
        <v>9.1000783459568441E-2</v>
      </c>
      <c r="J127" s="34"/>
      <c r="M127" s="3" t="s">
        <v>213</v>
      </c>
      <c r="N127" s="12">
        <f t="shared" si="115"/>
        <v>0.10494693135472459</v>
      </c>
      <c r="O127" s="12">
        <f t="shared" si="115"/>
        <v>9.7078407113264986E-2</v>
      </c>
      <c r="P127" s="12">
        <f t="shared" si="115"/>
        <v>0.10866453559548395</v>
      </c>
      <c r="Q127" s="12">
        <f t="shared" si="115"/>
        <v>0.10621964787115687</v>
      </c>
      <c r="R127" s="12">
        <f t="shared" ref="R127:S127" si="133">R110/R$115</f>
        <v>7.4027453988872421E-2</v>
      </c>
      <c r="S127" s="12">
        <f t="shared" si="133"/>
        <v>6.9777554775045991E-2</v>
      </c>
      <c r="T127" s="12">
        <f t="shared" ref="T127" si="134">T110/T$115</f>
        <v>0.10292595657245811</v>
      </c>
      <c r="U127" s="12">
        <f t="shared" si="117"/>
        <v>0.10336200015819486</v>
      </c>
      <c r="V127" s="34"/>
      <c r="W127" s="25"/>
      <c r="Y127" s="3" t="s">
        <v>213</v>
      </c>
      <c r="Z127" s="12">
        <f t="shared" si="118"/>
        <v>1.7650157410844261E-2</v>
      </c>
      <c r="AA127" s="12">
        <f t="shared" si="119"/>
        <v>1.0293328015910472E-2</v>
      </c>
      <c r="AB127" s="12">
        <f t="shared" si="120"/>
        <v>2.3841113906973299E-3</v>
      </c>
      <c r="AC127" s="12">
        <f t="shared" si="125"/>
        <v>8.4253269553051929E-3</v>
      </c>
      <c r="AD127" s="12">
        <f t="shared" si="126"/>
        <v>-6.9015433729842784E-3</v>
      </c>
      <c r="AE127" s="12">
        <f t="shared" si="127"/>
        <v>2.3164635925170214E-2</v>
      </c>
      <c r="AF127" s="12">
        <f t="shared" si="128"/>
        <v>4.4018695734012694E-2</v>
      </c>
      <c r="AG127" s="12">
        <f t="shared" si="121"/>
        <v>1.2361216698626415E-2</v>
      </c>
      <c r="AH127" s="34"/>
    </row>
    <row r="128" spans="1:34" x14ac:dyDescent="0.2">
      <c r="A128" s="3" t="s">
        <v>214</v>
      </c>
      <c r="B128" s="12">
        <f t="shared" si="111"/>
        <v>7.9210562299885004E-2</v>
      </c>
      <c r="C128" s="12">
        <f t="shared" si="111"/>
        <v>8.1339582664418153E-2</v>
      </c>
      <c r="D128" s="12">
        <f t="shared" si="111"/>
        <v>0.11597911013012968</v>
      </c>
      <c r="E128" s="12">
        <f t="shared" si="111"/>
        <v>8.6783406094479917E-2</v>
      </c>
      <c r="F128" s="12">
        <f t="shared" si="111"/>
        <v>0.10740204280196153</v>
      </c>
      <c r="G128" s="12">
        <f t="shared" si="111"/>
        <v>0.1146950503962318</v>
      </c>
      <c r="H128" s="12">
        <f t="shared" ref="H128" si="135">H111/H$115</f>
        <v>0.19624350869017596</v>
      </c>
      <c r="I128" s="12">
        <f t="shared" si="114"/>
        <v>0.10213027070023196</v>
      </c>
      <c r="J128" s="34"/>
      <c r="M128" s="3" t="s">
        <v>214</v>
      </c>
      <c r="N128" s="12">
        <f t="shared" si="115"/>
        <v>0.1064615989386271</v>
      </c>
      <c r="O128" s="12">
        <f t="shared" si="115"/>
        <v>0.1351653823841964</v>
      </c>
      <c r="P128" s="12">
        <f t="shared" si="115"/>
        <v>0.10896131920313601</v>
      </c>
      <c r="Q128" s="12">
        <f t="shared" si="115"/>
        <v>0.11512352764582266</v>
      </c>
      <c r="R128" s="12">
        <f t="shared" ref="R128:S128" si="136">R111/R$115</f>
        <v>9.176156888448618E-2</v>
      </c>
      <c r="S128" s="12">
        <f t="shared" si="136"/>
        <v>0.10332831577186821</v>
      </c>
      <c r="T128" s="12">
        <f t="shared" ref="T128" si="137">T111/T$115</f>
        <v>0.10580307550602626</v>
      </c>
      <c r="U128" s="12">
        <f t="shared" si="117"/>
        <v>0.10997993801638035</v>
      </c>
      <c r="V128" s="34"/>
      <c r="W128" s="25"/>
      <c r="Y128" s="3" t="s">
        <v>214</v>
      </c>
      <c r="Z128" s="12">
        <f t="shared" si="118"/>
        <v>2.7251036638742093E-2</v>
      </c>
      <c r="AA128" s="12">
        <f t="shared" si="119"/>
        <v>5.3825799719778245E-2</v>
      </c>
      <c r="AB128" s="12">
        <f t="shared" si="120"/>
        <v>-7.0177909269936722E-3</v>
      </c>
      <c r="AC128" s="12">
        <f t="shared" si="125"/>
        <v>2.8340121551342745E-2</v>
      </c>
      <c r="AD128" s="12">
        <f t="shared" si="126"/>
        <v>-1.5640473917475348E-2</v>
      </c>
      <c r="AE128" s="12">
        <f t="shared" si="127"/>
        <v>-1.1366734624363592E-2</v>
      </c>
      <c r="AF128" s="12">
        <f t="shared" si="128"/>
        <v>-9.0440433184149696E-2</v>
      </c>
      <c r="AG128" s="12">
        <f t="shared" si="121"/>
        <v>7.8496673161483899E-3</v>
      </c>
      <c r="AH128" s="34"/>
    </row>
    <row r="129" spans="1:34" x14ac:dyDescent="0.2">
      <c r="A129" s="3" t="s">
        <v>129</v>
      </c>
      <c r="B129" s="12">
        <f t="shared" si="111"/>
        <v>5.091230641870309E-2</v>
      </c>
      <c r="C129" s="12">
        <f t="shared" si="111"/>
        <v>6.2557498921449586E-2</v>
      </c>
      <c r="D129" s="12">
        <f t="shared" si="111"/>
        <v>1.8976334917011787E-2</v>
      </c>
      <c r="E129" s="12">
        <f t="shared" si="111"/>
        <v>5.5054118443542015E-2</v>
      </c>
      <c r="F129" s="12">
        <f t="shared" si="111"/>
        <v>3.0620391683916785E-2</v>
      </c>
      <c r="G129" s="12">
        <f t="shared" si="111"/>
        <v>0.21504409780461589</v>
      </c>
      <c r="H129" s="12">
        <f t="shared" ref="H129" si="138">H112/H$115</f>
        <v>5.7833930047251098E-2</v>
      </c>
      <c r="I129" s="12">
        <f t="shared" si="114"/>
        <v>4.9130747278240676E-2</v>
      </c>
      <c r="J129" s="34"/>
      <c r="M129" s="3" t="s">
        <v>129</v>
      </c>
      <c r="N129" s="12">
        <f t="shared" si="115"/>
        <v>5.6016903346272913E-2</v>
      </c>
      <c r="O129" s="12">
        <f t="shared" si="115"/>
        <v>7.0521738684025448E-2</v>
      </c>
      <c r="P129" s="12">
        <f t="shared" si="115"/>
        <v>5.3748747944155219E-2</v>
      </c>
      <c r="Q129" s="12">
        <f t="shared" si="115"/>
        <v>5.7290691719497765E-2</v>
      </c>
      <c r="R129" s="12">
        <f t="shared" ref="R129:S129" si="139">R112/R$115</f>
        <v>4.2841927290873744E-2</v>
      </c>
      <c r="S129" s="12">
        <f t="shared" si="139"/>
        <v>4.5960863020572E-2</v>
      </c>
      <c r="T129" s="12">
        <f t="shared" ref="T129" si="140">T112/T$115</f>
        <v>5.1158059349118268E-2</v>
      </c>
      <c r="U129" s="12">
        <f t="shared" si="117"/>
        <v>5.5330087941956874E-2</v>
      </c>
      <c r="V129" s="34"/>
      <c r="W129" s="25"/>
      <c r="Y129" s="3" t="s">
        <v>129</v>
      </c>
      <c r="Z129" s="12">
        <f t="shared" si="118"/>
        <v>5.1045969275698225E-3</v>
      </c>
      <c r="AA129" s="12">
        <f t="shared" si="119"/>
        <v>7.9642397625758615E-3</v>
      </c>
      <c r="AB129" s="12">
        <f t="shared" si="120"/>
        <v>3.4772413027143428E-2</v>
      </c>
      <c r="AC129" s="12">
        <f t="shared" si="125"/>
        <v>2.23657327595575E-3</v>
      </c>
      <c r="AD129" s="12">
        <f t="shared" si="126"/>
        <v>1.2221535606956959E-2</v>
      </c>
      <c r="AE129" s="12">
        <f t="shared" si="127"/>
        <v>-0.16908323478404388</v>
      </c>
      <c r="AF129" s="12">
        <f t="shared" si="128"/>
        <v>-6.6758706981328297E-3</v>
      </c>
      <c r="AG129" s="12">
        <f t="shared" si="121"/>
        <v>6.1993406637161977E-3</v>
      </c>
      <c r="AH129" s="34"/>
    </row>
    <row r="130" spans="1:34" x14ac:dyDescent="0.2">
      <c r="A130" s="3" t="s">
        <v>130</v>
      </c>
      <c r="B130" s="12">
        <f t="shared" si="111"/>
        <v>0.10927426175708464</v>
      </c>
      <c r="C130" s="12">
        <f t="shared" si="111"/>
        <v>0.10706014035429982</v>
      </c>
      <c r="D130" s="12">
        <f t="shared" si="111"/>
        <v>8.8363012917004241E-2</v>
      </c>
      <c r="E130" s="12">
        <f t="shared" si="111"/>
        <v>0.1164154359627923</v>
      </c>
      <c r="F130" s="12">
        <f t="shared" si="111"/>
        <v>8.8655735034289487E-2</v>
      </c>
      <c r="G130" s="12">
        <f t="shared" si="111"/>
        <v>0.13415231042970918</v>
      </c>
      <c r="H130" s="12">
        <f t="shared" ref="H130" si="141">H113/H$115</f>
        <v>9.6688308335362697E-2</v>
      </c>
      <c r="I130" s="12">
        <f t="shared" si="114"/>
        <v>0.1044576576994051</v>
      </c>
      <c r="J130" s="34"/>
      <c r="M130" s="3" t="s">
        <v>130</v>
      </c>
      <c r="N130" s="12">
        <f t="shared" si="115"/>
        <v>0.10528966635546165</v>
      </c>
      <c r="O130" s="12">
        <f t="shared" si="115"/>
        <v>7.5219080963699558E-2</v>
      </c>
      <c r="P130" s="12">
        <f t="shared" si="115"/>
        <v>0.10812816105457108</v>
      </c>
      <c r="Q130" s="12">
        <f t="shared" si="115"/>
        <v>0.1070496406307945</v>
      </c>
      <c r="R130" s="12">
        <f t="shared" ref="R130:S130" si="142">R113/R$115</f>
        <v>9.2588316785961675E-2</v>
      </c>
      <c r="S130" s="12">
        <f t="shared" si="142"/>
        <v>8.9479846128115076E-2</v>
      </c>
      <c r="T130" s="12">
        <f t="shared" ref="T130" si="143">T113/T$115</f>
        <v>7.7034416617955556E-2</v>
      </c>
      <c r="U130" s="12">
        <f t="shared" si="117"/>
        <v>9.9404612099029982E-2</v>
      </c>
      <c r="V130" s="34"/>
      <c r="W130" s="25"/>
      <c r="Y130" s="3" t="s">
        <v>130</v>
      </c>
      <c r="Z130" s="12">
        <f t="shared" si="118"/>
        <v>-3.9845954016229923E-3</v>
      </c>
      <c r="AA130" s="12">
        <f t="shared" si="119"/>
        <v>-3.1841059390600265E-2</v>
      </c>
      <c r="AB130" s="12">
        <f t="shared" si="120"/>
        <v>1.9765148137566843E-2</v>
      </c>
      <c r="AC130" s="12">
        <f t="shared" si="125"/>
        <v>-9.3657953319978005E-3</v>
      </c>
      <c r="AD130" s="12">
        <f t="shared" si="126"/>
        <v>3.9325817516721873E-3</v>
      </c>
      <c r="AE130" s="12">
        <f t="shared" si="127"/>
        <v>-4.4672464301594106E-2</v>
      </c>
      <c r="AF130" s="12">
        <f t="shared" si="128"/>
        <v>-1.965389171740714E-2</v>
      </c>
      <c r="AG130" s="12">
        <f t="shared" si="121"/>
        <v>-5.0530456003751167E-3</v>
      </c>
      <c r="AH130" s="34"/>
    </row>
    <row r="131" spans="1:34" x14ac:dyDescent="0.2">
      <c r="A131" s="8" t="s">
        <v>145</v>
      </c>
      <c r="B131" s="12">
        <f t="shared" ref="B131:G132" si="144">B114/B$115</f>
        <v>0.33308948054841914</v>
      </c>
      <c r="C131" s="12">
        <f t="shared" si="144"/>
        <v>0.4278652016086395</v>
      </c>
      <c r="D131" s="12">
        <f t="shared" si="144"/>
        <v>0.36596608988415658</v>
      </c>
      <c r="E131" s="12">
        <f t="shared" si="144"/>
        <v>0.36775684030575412</v>
      </c>
      <c r="F131" s="12">
        <f t="shared" si="144"/>
        <v>0.4515674511108162</v>
      </c>
      <c r="G131" s="12">
        <f t="shared" si="144"/>
        <v>0.2799816136230851</v>
      </c>
      <c r="H131" s="12">
        <f t="shared" ref="H131" si="145">H114/H$115</f>
        <v>0.41427974533710343</v>
      </c>
      <c r="I131" s="12">
        <f t="shared" si="114"/>
        <v>0.36491560499662878</v>
      </c>
      <c r="J131" s="34"/>
      <c r="M131" s="8" t="s">
        <v>145</v>
      </c>
      <c r="N131" s="12">
        <f t="shared" si="115"/>
        <v>0.34726549063928064</v>
      </c>
      <c r="O131" s="12">
        <f t="shared" si="115"/>
        <v>0.42463974208253974</v>
      </c>
      <c r="P131" s="12">
        <f t="shared" si="115"/>
        <v>0.33829621477240407</v>
      </c>
      <c r="Q131" s="12">
        <f t="shared" si="115"/>
        <v>0.33966305825842796</v>
      </c>
      <c r="R131" s="12">
        <f t="shared" ref="R131:S131" si="146">R114/R$115</f>
        <v>0.35782542957374069</v>
      </c>
      <c r="S131" s="12">
        <f t="shared" si="146"/>
        <v>0.43920388024753304</v>
      </c>
      <c r="T131" s="12">
        <f t="shared" ref="T131" si="147">T114/T$115</f>
        <v>0.25404428789408556</v>
      </c>
      <c r="U131" s="12">
        <f t="shared" si="117"/>
        <v>0.33730306538480898</v>
      </c>
      <c r="V131" s="34"/>
      <c r="W131" s="25"/>
      <c r="Y131" s="8" t="s">
        <v>145</v>
      </c>
      <c r="Z131" s="12">
        <f t="shared" si="118"/>
        <v>1.4176010090861502E-2</v>
      </c>
      <c r="AA131" s="12">
        <f t="shared" si="119"/>
        <v>-3.2254595260997609E-3</v>
      </c>
      <c r="AB131" s="12">
        <f t="shared" si="120"/>
        <v>-2.7669875111752507E-2</v>
      </c>
      <c r="AC131" s="12">
        <f t="shared" si="125"/>
        <v>-2.8093782047326155E-2</v>
      </c>
      <c r="AD131" s="12">
        <f t="shared" si="126"/>
        <v>-9.3742021537075504E-2</v>
      </c>
      <c r="AE131" s="12">
        <f t="shared" si="127"/>
        <v>0.15922226662444794</v>
      </c>
      <c r="AF131" s="12">
        <f t="shared" si="128"/>
        <v>-0.16023545744301787</v>
      </c>
      <c r="AG131" s="12">
        <f t="shared" si="121"/>
        <v>-2.7612539611819809E-2</v>
      </c>
      <c r="AH131" s="34"/>
    </row>
    <row r="132" spans="1:34" ht="13.5" thickBot="1" x14ac:dyDescent="0.25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A204" workbookViewId="0">
      <selection activeCell="A220" sqref="A220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286</v>
      </c>
      <c r="C4">
        <f t="shared" si="0"/>
        <v>3320</v>
      </c>
      <c r="D4">
        <f t="shared" si="0"/>
        <v>7294</v>
      </c>
      <c r="E4">
        <f t="shared" si="0"/>
        <v>7197</v>
      </c>
      <c r="F4">
        <f t="shared" si="0"/>
        <v>129</v>
      </c>
      <c r="G4">
        <f t="shared" si="0"/>
        <v>445</v>
      </c>
      <c r="H4">
        <f t="shared" si="0"/>
        <v>8801</v>
      </c>
      <c r="I4">
        <f t="shared" ref="I4:J7" si="1">V4*$B$1</f>
        <v>10354</v>
      </c>
      <c r="J4">
        <f t="shared" si="1"/>
        <v>37826</v>
      </c>
      <c r="N4">
        <v>0</v>
      </c>
      <c r="O4" s="105">
        <v>286</v>
      </c>
      <c r="P4" s="105">
        <v>3320</v>
      </c>
      <c r="Q4" s="105">
        <v>7294</v>
      </c>
      <c r="R4" s="105">
        <v>7197</v>
      </c>
      <c r="S4" s="105">
        <v>129</v>
      </c>
      <c r="T4" s="105">
        <v>445</v>
      </c>
      <c r="U4" s="105">
        <v>8801</v>
      </c>
      <c r="V4" s="105">
        <v>10354</v>
      </c>
      <c r="W4">
        <f>SUM(O4:V4)</f>
        <v>37826</v>
      </c>
    </row>
    <row r="5" spans="1:23" x14ac:dyDescent="0.2">
      <c r="A5">
        <v>1</v>
      </c>
      <c r="B5">
        <f t="shared" si="0"/>
        <v>256299</v>
      </c>
      <c r="C5">
        <f t="shared" si="0"/>
        <v>44895</v>
      </c>
      <c r="D5">
        <f t="shared" si="0"/>
        <v>36860</v>
      </c>
      <c r="E5">
        <f t="shared" si="0"/>
        <v>38958</v>
      </c>
      <c r="F5">
        <f t="shared" si="0"/>
        <v>26178</v>
      </c>
      <c r="G5">
        <f t="shared" si="0"/>
        <v>19987</v>
      </c>
      <c r="H5">
        <f t="shared" si="0"/>
        <v>96911</v>
      </c>
      <c r="I5">
        <f t="shared" si="1"/>
        <v>37411</v>
      </c>
      <c r="J5">
        <f t="shared" si="1"/>
        <v>557499</v>
      </c>
      <c r="N5">
        <v>1</v>
      </c>
      <c r="O5" s="105">
        <v>256299</v>
      </c>
      <c r="P5" s="105">
        <v>44895</v>
      </c>
      <c r="Q5" s="105">
        <v>36860</v>
      </c>
      <c r="R5" s="105">
        <v>38958</v>
      </c>
      <c r="S5" s="105">
        <v>26178</v>
      </c>
      <c r="T5" s="105">
        <v>19987</v>
      </c>
      <c r="U5" s="105">
        <v>96911</v>
      </c>
      <c r="V5" s="105">
        <v>37411</v>
      </c>
      <c r="W5">
        <f>SUM(O5:V5)</f>
        <v>557499</v>
      </c>
    </row>
    <row r="6" spans="1:23" x14ac:dyDescent="0.2">
      <c r="A6">
        <v>2</v>
      </c>
      <c r="B6">
        <f t="shared" si="0"/>
        <v>187505</v>
      </c>
      <c r="C6">
        <f t="shared" si="0"/>
        <v>38504</v>
      </c>
      <c r="D6">
        <f t="shared" si="0"/>
        <v>24254</v>
      </c>
      <c r="E6">
        <f t="shared" si="0"/>
        <v>32052</v>
      </c>
      <c r="F6">
        <f t="shared" si="0"/>
        <v>34233</v>
      </c>
      <c r="G6">
        <f t="shared" si="0"/>
        <v>8081</v>
      </c>
      <c r="H6">
        <f t="shared" si="0"/>
        <v>58302</v>
      </c>
      <c r="I6">
        <f t="shared" si="1"/>
        <v>25332</v>
      </c>
      <c r="J6">
        <f t="shared" si="1"/>
        <v>408263</v>
      </c>
      <c r="N6">
        <v>2</v>
      </c>
      <c r="O6" s="105">
        <v>187505</v>
      </c>
      <c r="P6" s="105">
        <v>38504</v>
      </c>
      <c r="Q6" s="105">
        <v>24254</v>
      </c>
      <c r="R6" s="105">
        <v>32052</v>
      </c>
      <c r="S6" s="105">
        <v>34233</v>
      </c>
      <c r="T6" s="105">
        <v>8081</v>
      </c>
      <c r="U6" s="105">
        <v>58302</v>
      </c>
      <c r="V6" s="105">
        <v>25332</v>
      </c>
      <c r="W6">
        <f>SUM(O6:V6)</f>
        <v>408263</v>
      </c>
    </row>
    <row r="7" spans="1:23" x14ac:dyDescent="0.2">
      <c r="A7">
        <v>3</v>
      </c>
      <c r="B7">
        <f t="shared" si="0"/>
        <v>57461</v>
      </c>
      <c r="C7">
        <f t="shared" si="0"/>
        <v>19390</v>
      </c>
      <c r="D7">
        <f t="shared" si="0"/>
        <v>12766</v>
      </c>
      <c r="E7">
        <f t="shared" si="0"/>
        <v>24066</v>
      </c>
      <c r="F7">
        <f t="shared" si="0"/>
        <v>9229</v>
      </c>
      <c r="G7">
        <f t="shared" si="0"/>
        <v>1602</v>
      </c>
      <c r="H7">
        <f t="shared" si="0"/>
        <v>14821</v>
      </c>
      <c r="I7">
        <f t="shared" si="1"/>
        <v>12198</v>
      </c>
      <c r="J7">
        <f t="shared" si="1"/>
        <v>151533</v>
      </c>
      <c r="N7">
        <v>3</v>
      </c>
      <c r="O7" s="105">
        <v>57461</v>
      </c>
      <c r="P7" s="105">
        <v>19390</v>
      </c>
      <c r="Q7" s="105">
        <v>12766</v>
      </c>
      <c r="R7" s="105">
        <v>24066</v>
      </c>
      <c r="S7" s="105">
        <v>9229</v>
      </c>
      <c r="T7" s="105">
        <v>1602</v>
      </c>
      <c r="U7" s="105">
        <v>14821</v>
      </c>
      <c r="V7" s="105">
        <v>12198</v>
      </c>
      <c r="W7">
        <f>SUM(O7:V7)</f>
        <v>151533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B23" si="2">O11*$B$1</f>
        <v>286</v>
      </c>
      <c r="C11">
        <f t="shared" ref="C11:C23" si="3">P11*$B$1</f>
        <v>3320</v>
      </c>
      <c r="D11">
        <f t="shared" ref="D11:D23" si="4">Q11*$B$1</f>
        <v>7294</v>
      </c>
      <c r="E11">
        <f t="shared" ref="E11:E23" si="5">R11*$B$1</f>
        <v>7197</v>
      </c>
      <c r="F11">
        <f t="shared" ref="F11:F23" si="6">S11*$B$1</f>
        <v>129</v>
      </c>
      <c r="G11">
        <f t="shared" ref="G11:G23" si="7">T11*$B$1</f>
        <v>445</v>
      </c>
      <c r="H11">
        <f t="shared" ref="H11:H23" si="8">U11*$B$1</f>
        <v>8801</v>
      </c>
      <c r="I11">
        <f t="shared" ref="I11:I23" si="9">V11*$B$1</f>
        <v>10354</v>
      </c>
      <c r="J11">
        <f t="shared" ref="J11:J23" si="10">W11*$B$1</f>
        <v>37826</v>
      </c>
      <c r="N11" t="s">
        <v>226</v>
      </c>
      <c r="O11" s="105">
        <v>286</v>
      </c>
      <c r="P11" s="105">
        <v>3320</v>
      </c>
      <c r="Q11" s="105">
        <v>7294</v>
      </c>
      <c r="R11" s="105">
        <v>7197</v>
      </c>
      <c r="S11" s="105">
        <v>129</v>
      </c>
      <c r="T11" s="105">
        <v>445</v>
      </c>
      <c r="U11" s="105">
        <v>8801</v>
      </c>
      <c r="V11" s="105">
        <v>10354</v>
      </c>
      <c r="W11">
        <f>SUM(O11:V11)</f>
        <v>37826</v>
      </c>
    </row>
    <row r="12" spans="1:23" x14ac:dyDescent="0.2">
      <c r="A12" s="95" t="s">
        <v>231</v>
      </c>
      <c r="B12">
        <f t="shared" si="2"/>
        <v>22778</v>
      </c>
      <c r="C12">
        <f t="shared" si="3"/>
        <v>8391</v>
      </c>
      <c r="D12">
        <f t="shared" si="4"/>
        <v>6296</v>
      </c>
      <c r="E12">
        <f t="shared" si="5"/>
        <v>6011</v>
      </c>
      <c r="F12">
        <f t="shared" si="6"/>
        <v>3549</v>
      </c>
      <c r="G12">
        <f t="shared" si="7"/>
        <v>8015</v>
      </c>
      <c r="H12">
        <f t="shared" si="8"/>
        <v>40681</v>
      </c>
      <c r="I12">
        <f t="shared" si="9"/>
        <v>8410</v>
      </c>
      <c r="J12">
        <f t="shared" si="10"/>
        <v>104131</v>
      </c>
      <c r="N12" s="95" t="s">
        <v>231</v>
      </c>
      <c r="O12" s="105">
        <v>22778</v>
      </c>
      <c r="P12" s="105">
        <v>8391</v>
      </c>
      <c r="Q12" s="105">
        <v>6296</v>
      </c>
      <c r="R12" s="105">
        <v>6011</v>
      </c>
      <c r="S12" s="105">
        <v>3549</v>
      </c>
      <c r="T12" s="105">
        <v>8015</v>
      </c>
      <c r="U12" s="105">
        <v>40681</v>
      </c>
      <c r="V12" s="105">
        <v>8410</v>
      </c>
      <c r="W12">
        <f t="shared" ref="W12:W23" si="11">SUM(O12:V12)</f>
        <v>104131</v>
      </c>
    </row>
    <row r="13" spans="1:23" x14ac:dyDescent="0.2">
      <c r="A13" s="93" t="s">
        <v>232</v>
      </c>
      <c r="B13">
        <f t="shared" si="2"/>
        <v>69209</v>
      </c>
      <c r="C13">
        <f t="shared" si="3"/>
        <v>16303</v>
      </c>
      <c r="D13">
        <f t="shared" si="4"/>
        <v>14748</v>
      </c>
      <c r="E13">
        <f t="shared" si="5"/>
        <v>14529</v>
      </c>
      <c r="F13">
        <f t="shared" si="6"/>
        <v>8022</v>
      </c>
      <c r="G13">
        <f t="shared" si="7"/>
        <v>7794</v>
      </c>
      <c r="H13">
        <f t="shared" si="8"/>
        <v>36552</v>
      </c>
      <c r="I13">
        <f t="shared" si="9"/>
        <v>14471</v>
      </c>
      <c r="J13">
        <f t="shared" si="10"/>
        <v>181628</v>
      </c>
      <c r="N13" s="93" t="s">
        <v>232</v>
      </c>
      <c r="O13" s="105">
        <v>69209</v>
      </c>
      <c r="P13" s="105">
        <v>16303</v>
      </c>
      <c r="Q13" s="105">
        <v>14748</v>
      </c>
      <c r="R13" s="105">
        <v>14529</v>
      </c>
      <c r="S13" s="105">
        <v>8022</v>
      </c>
      <c r="T13" s="105">
        <v>7794</v>
      </c>
      <c r="U13" s="105">
        <v>36552</v>
      </c>
      <c r="V13" s="105">
        <v>14471</v>
      </c>
      <c r="W13">
        <f t="shared" si="11"/>
        <v>181628</v>
      </c>
    </row>
    <row r="14" spans="1:23" x14ac:dyDescent="0.2">
      <c r="A14" s="93" t="s">
        <v>207</v>
      </c>
      <c r="B14">
        <f t="shared" si="2"/>
        <v>83617</v>
      </c>
      <c r="C14">
        <f t="shared" si="3"/>
        <v>13153</v>
      </c>
      <c r="D14">
        <f t="shared" si="4"/>
        <v>11290</v>
      </c>
      <c r="E14">
        <f t="shared" si="5"/>
        <v>12145</v>
      </c>
      <c r="F14">
        <f t="shared" si="6"/>
        <v>8270</v>
      </c>
      <c r="G14">
        <f t="shared" si="7"/>
        <v>3256</v>
      </c>
      <c r="H14">
        <f t="shared" si="8"/>
        <v>14930</v>
      </c>
      <c r="I14">
        <f t="shared" si="9"/>
        <v>10319</v>
      </c>
      <c r="J14">
        <f t="shared" si="10"/>
        <v>156980</v>
      </c>
      <c r="N14" s="93" t="s">
        <v>207</v>
      </c>
      <c r="O14" s="105">
        <v>83617</v>
      </c>
      <c r="P14" s="105">
        <v>13153</v>
      </c>
      <c r="Q14" s="105">
        <v>11290</v>
      </c>
      <c r="R14" s="105">
        <v>12145</v>
      </c>
      <c r="S14" s="105">
        <v>8270</v>
      </c>
      <c r="T14" s="105">
        <v>3256</v>
      </c>
      <c r="U14" s="105">
        <v>14930</v>
      </c>
      <c r="V14" s="105">
        <v>10319</v>
      </c>
      <c r="W14">
        <f t="shared" si="11"/>
        <v>156980</v>
      </c>
    </row>
    <row r="15" spans="1:23" x14ac:dyDescent="0.2">
      <c r="A15" t="s">
        <v>9</v>
      </c>
      <c r="B15">
        <f t="shared" si="2"/>
        <v>80695</v>
      </c>
      <c r="C15">
        <f t="shared" si="3"/>
        <v>7048</v>
      </c>
      <c r="D15">
        <f t="shared" si="4"/>
        <v>4526</v>
      </c>
      <c r="E15">
        <f t="shared" si="5"/>
        <v>6273</v>
      </c>
      <c r="F15">
        <f t="shared" si="6"/>
        <v>6337</v>
      </c>
      <c r="G15">
        <f t="shared" si="7"/>
        <v>922</v>
      </c>
      <c r="H15">
        <f t="shared" si="8"/>
        <v>4748</v>
      </c>
      <c r="I15">
        <f t="shared" si="9"/>
        <v>4211</v>
      </c>
      <c r="J15">
        <f t="shared" si="10"/>
        <v>114760</v>
      </c>
      <c r="N15" t="s">
        <v>9</v>
      </c>
      <c r="O15" s="105">
        <v>80695</v>
      </c>
      <c r="P15" s="105">
        <v>7048</v>
      </c>
      <c r="Q15" s="105">
        <v>4526</v>
      </c>
      <c r="R15" s="105">
        <v>6273</v>
      </c>
      <c r="S15" s="105">
        <v>6337</v>
      </c>
      <c r="T15" s="105">
        <v>922</v>
      </c>
      <c r="U15" s="105">
        <v>4748</v>
      </c>
      <c r="V15" s="105">
        <v>4211</v>
      </c>
      <c r="W15">
        <f t="shared" si="11"/>
        <v>114760</v>
      </c>
    </row>
    <row r="16" spans="1:23" x14ac:dyDescent="0.2">
      <c r="A16" s="95" t="s">
        <v>233</v>
      </c>
      <c r="B16">
        <f t="shared" si="2"/>
        <v>15441</v>
      </c>
      <c r="C16">
        <f t="shared" si="3"/>
        <v>6187</v>
      </c>
      <c r="D16">
        <f t="shared" si="4"/>
        <v>3425</v>
      </c>
      <c r="E16">
        <f t="shared" si="5"/>
        <v>4131</v>
      </c>
      <c r="F16">
        <f t="shared" si="6"/>
        <v>3987</v>
      </c>
      <c r="G16">
        <f t="shared" si="7"/>
        <v>2678</v>
      </c>
      <c r="H16">
        <f t="shared" si="8"/>
        <v>23568</v>
      </c>
      <c r="I16">
        <f t="shared" si="9"/>
        <v>4621</v>
      </c>
      <c r="J16">
        <f t="shared" si="10"/>
        <v>64038</v>
      </c>
      <c r="N16" s="95" t="s">
        <v>233</v>
      </c>
      <c r="O16" s="105">
        <v>15441</v>
      </c>
      <c r="P16" s="105">
        <v>6187</v>
      </c>
      <c r="Q16" s="105">
        <v>3425</v>
      </c>
      <c r="R16" s="105">
        <v>4131</v>
      </c>
      <c r="S16" s="105">
        <v>3987</v>
      </c>
      <c r="T16" s="105">
        <v>2678</v>
      </c>
      <c r="U16" s="105">
        <v>23568</v>
      </c>
      <c r="V16" s="105">
        <v>4621</v>
      </c>
      <c r="W16">
        <f t="shared" si="11"/>
        <v>64038</v>
      </c>
    </row>
    <row r="17" spans="1:23" x14ac:dyDescent="0.2">
      <c r="A17" s="93" t="s">
        <v>234</v>
      </c>
      <c r="B17">
        <f t="shared" si="2"/>
        <v>53928</v>
      </c>
      <c r="C17">
        <f t="shared" si="3"/>
        <v>14029</v>
      </c>
      <c r="D17">
        <f t="shared" si="4"/>
        <v>9214</v>
      </c>
      <c r="E17">
        <f t="shared" si="5"/>
        <v>11792</v>
      </c>
      <c r="F17">
        <f t="shared" si="6"/>
        <v>10094</v>
      </c>
      <c r="G17">
        <f t="shared" si="7"/>
        <v>3367</v>
      </c>
      <c r="H17">
        <f t="shared" si="8"/>
        <v>22050</v>
      </c>
      <c r="I17">
        <f t="shared" si="9"/>
        <v>9717</v>
      </c>
      <c r="J17">
        <f t="shared" si="10"/>
        <v>134191</v>
      </c>
      <c r="N17" s="93" t="s">
        <v>234</v>
      </c>
      <c r="O17" s="105">
        <v>53928</v>
      </c>
      <c r="P17" s="105">
        <v>14029</v>
      </c>
      <c r="Q17" s="105">
        <v>9214</v>
      </c>
      <c r="R17" s="105">
        <v>11792</v>
      </c>
      <c r="S17" s="105">
        <v>10094</v>
      </c>
      <c r="T17" s="105">
        <v>3367</v>
      </c>
      <c r="U17" s="105">
        <v>22050</v>
      </c>
      <c r="V17" s="105">
        <v>9717</v>
      </c>
      <c r="W17">
        <f t="shared" si="11"/>
        <v>134191</v>
      </c>
    </row>
    <row r="18" spans="1:23" x14ac:dyDescent="0.2">
      <c r="A18" s="93" t="s">
        <v>208</v>
      </c>
      <c r="B18">
        <f t="shared" si="2"/>
        <v>70308</v>
      </c>
      <c r="C18">
        <f t="shared" si="3"/>
        <v>12466</v>
      </c>
      <c r="D18">
        <f t="shared" si="4"/>
        <v>8323</v>
      </c>
      <c r="E18">
        <f t="shared" si="5"/>
        <v>10896</v>
      </c>
      <c r="F18">
        <f t="shared" si="6"/>
        <v>12375</v>
      </c>
      <c r="G18">
        <f t="shared" si="7"/>
        <v>1574</v>
      </c>
      <c r="H18">
        <f t="shared" si="8"/>
        <v>9799</v>
      </c>
      <c r="I18">
        <f t="shared" si="9"/>
        <v>7931</v>
      </c>
      <c r="J18">
        <f t="shared" si="10"/>
        <v>133672</v>
      </c>
      <c r="N18" s="93" t="s">
        <v>208</v>
      </c>
      <c r="O18" s="105">
        <v>70308</v>
      </c>
      <c r="P18" s="105">
        <v>12466</v>
      </c>
      <c r="Q18" s="105">
        <v>8323</v>
      </c>
      <c r="R18" s="105">
        <v>10896</v>
      </c>
      <c r="S18" s="105">
        <v>12375</v>
      </c>
      <c r="T18" s="105">
        <v>1574</v>
      </c>
      <c r="U18" s="105">
        <v>9799</v>
      </c>
      <c r="V18" s="105">
        <v>7931</v>
      </c>
      <c r="W18">
        <f t="shared" si="11"/>
        <v>133672</v>
      </c>
    </row>
    <row r="19" spans="1:23" x14ac:dyDescent="0.2">
      <c r="A19" t="s">
        <v>10</v>
      </c>
      <c r="B19">
        <f t="shared" si="2"/>
        <v>47828</v>
      </c>
      <c r="C19">
        <f t="shared" si="3"/>
        <v>5822</v>
      </c>
      <c r="D19">
        <f t="shared" si="4"/>
        <v>3292</v>
      </c>
      <c r="E19">
        <f t="shared" si="5"/>
        <v>5233</v>
      </c>
      <c r="F19">
        <f t="shared" si="6"/>
        <v>7777</v>
      </c>
      <c r="G19">
        <f t="shared" si="7"/>
        <v>462</v>
      </c>
      <c r="H19">
        <f t="shared" si="8"/>
        <v>2885</v>
      </c>
      <c r="I19">
        <f t="shared" si="9"/>
        <v>3063</v>
      </c>
      <c r="J19">
        <f t="shared" si="10"/>
        <v>76362</v>
      </c>
      <c r="N19" t="s">
        <v>10</v>
      </c>
      <c r="O19" s="105">
        <v>47828</v>
      </c>
      <c r="P19" s="105">
        <v>5822</v>
      </c>
      <c r="Q19" s="105">
        <v>3292</v>
      </c>
      <c r="R19" s="105">
        <v>5233</v>
      </c>
      <c r="S19" s="105">
        <v>7777</v>
      </c>
      <c r="T19" s="105">
        <v>462</v>
      </c>
      <c r="U19" s="105">
        <v>2885</v>
      </c>
      <c r="V19" s="105">
        <v>3063</v>
      </c>
      <c r="W19">
        <f t="shared" si="11"/>
        <v>76362</v>
      </c>
    </row>
    <row r="20" spans="1:23" x14ac:dyDescent="0.2">
      <c r="A20" s="95" t="s">
        <v>227</v>
      </c>
      <c r="B20">
        <f t="shared" si="2"/>
        <v>5386</v>
      </c>
      <c r="C20">
        <f t="shared" si="3"/>
        <v>2892</v>
      </c>
      <c r="D20">
        <f t="shared" si="4"/>
        <v>1801</v>
      </c>
      <c r="E20">
        <f t="shared" si="5"/>
        <v>3057</v>
      </c>
      <c r="F20">
        <f t="shared" si="6"/>
        <v>1168</v>
      </c>
      <c r="G20">
        <f t="shared" si="7"/>
        <v>490</v>
      </c>
      <c r="H20">
        <f t="shared" si="8"/>
        <v>5414</v>
      </c>
      <c r="I20">
        <f t="shared" si="9"/>
        <v>2136</v>
      </c>
      <c r="J20">
        <f t="shared" si="10"/>
        <v>22344</v>
      </c>
      <c r="N20" s="95" t="s">
        <v>227</v>
      </c>
      <c r="O20" s="105">
        <v>5386</v>
      </c>
      <c r="P20" s="105">
        <v>2892</v>
      </c>
      <c r="Q20" s="105">
        <v>1801</v>
      </c>
      <c r="R20" s="105">
        <v>3057</v>
      </c>
      <c r="S20" s="105">
        <v>1168</v>
      </c>
      <c r="T20" s="105">
        <v>490</v>
      </c>
      <c r="U20" s="105">
        <v>5414</v>
      </c>
      <c r="V20" s="105">
        <v>2136</v>
      </c>
      <c r="W20">
        <f t="shared" si="11"/>
        <v>22344</v>
      </c>
    </row>
    <row r="21" spans="1:23" x14ac:dyDescent="0.2">
      <c r="A21" s="93" t="s">
        <v>230</v>
      </c>
      <c r="B21">
        <f t="shared" si="2"/>
        <v>20891</v>
      </c>
      <c r="C21">
        <f t="shared" si="3"/>
        <v>7752</v>
      </c>
      <c r="D21">
        <f t="shared" si="4"/>
        <v>5144</v>
      </c>
      <c r="E21">
        <f t="shared" si="5"/>
        <v>9162</v>
      </c>
      <c r="F21">
        <f t="shared" si="6"/>
        <v>3301</v>
      </c>
      <c r="G21">
        <f t="shared" si="7"/>
        <v>743</v>
      </c>
      <c r="H21">
        <f t="shared" si="8"/>
        <v>6312</v>
      </c>
      <c r="I21">
        <f t="shared" si="9"/>
        <v>5151</v>
      </c>
      <c r="J21">
        <f t="shared" si="10"/>
        <v>58456</v>
      </c>
      <c r="N21" s="93" t="s">
        <v>230</v>
      </c>
      <c r="O21" s="105">
        <v>20891</v>
      </c>
      <c r="P21" s="105">
        <v>7752</v>
      </c>
      <c r="Q21" s="105">
        <v>5144</v>
      </c>
      <c r="R21" s="105">
        <v>9162</v>
      </c>
      <c r="S21" s="105">
        <v>3301</v>
      </c>
      <c r="T21" s="105">
        <v>743</v>
      </c>
      <c r="U21" s="105">
        <v>6312</v>
      </c>
      <c r="V21" s="105">
        <v>5151</v>
      </c>
      <c r="W21">
        <f t="shared" si="11"/>
        <v>58456</v>
      </c>
    </row>
    <row r="22" spans="1:23" x14ac:dyDescent="0.2">
      <c r="A22" s="93" t="s">
        <v>11</v>
      </c>
      <c r="B22">
        <f t="shared" si="2"/>
        <v>25410</v>
      </c>
      <c r="C22">
        <f t="shared" si="3"/>
        <v>7092</v>
      </c>
      <c r="D22">
        <f t="shared" si="4"/>
        <v>4682</v>
      </c>
      <c r="E22">
        <f t="shared" si="5"/>
        <v>9191</v>
      </c>
      <c r="F22">
        <f t="shared" si="6"/>
        <v>3777</v>
      </c>
      <c r="G22">
        <f t="shared" si="7"/>
        <v>328</v>
      </c>
      <c r="H22">
        <f t="shared" si="8"/>
        <v>2796</v>
      </c>
      <c r="I22">
        <f t="shared" si="9"/>
        <v>4155</v>
      </c>
      <c r="J22">
        <f t="shared" si="10"/>
        <v>57431</v>
      </c>
      <c r="N22" s="93" t="s">
        <v>11</v>
      </c>
      <c r="O22" s="105">
        <v>25410</v>
      </c>
      <c r="P22" s="105">
        <v>7092</v>
      </c>
      <c r="Q22" s="105">
        <v>4682</v>
      </c>
      <c r="R22" s="105">
        <v>9191</v>
      </c>
      <c r="S22" s="105">
        <v>3777</v>
      </c>
      <c r="T22" s="105">
        <v>328</v>
      </c>
      <c r="U22" s="105">
        <v>2796</v>
      </c>
      <c r="V22" s="105">
        <v>4155</v>
      </c>
      <c r="W22">
        <f t="shared" si="11"/>
        <v>57431</v>
      </c>
    </row>
    <row r="23" spans="1:23" x14ac:dyDescent="0.2">
      <c r="A23" t="s">
        <v>206</v>
      </c>
      <c r="B23">
        <f t="shared" si="2"/>
        <v>5774</v>
      </c>
      <c r="C23">
        <f t="shared" si="3"/>
        <v>1654</v>
      </c>
      <c r="D23">
        <f t="shared" si="4"/>
        <v>1139</v>
      </c>
      <c r="E23">
        <f t="shared" si="5"/>
        <v>2656</v>
      </c>
      <c r="F23">
        <f t="shared" si="6"/>
        <v>983</v>
      </c>
      <c r="G23">
        <f t="shared" si="7"/>
        <v>41</v>
      </c>
      <c r="H23">
        <f t="shared" si="8"/>
        <v>299</v>
      </c>
      <c r="I23">
        <f t="shared" si="9"/>
        <v>756</v>
      </c>
      <c r="J23">
        <f t="shared" si="10"/>
        <v>13302</v>
      </c>
      <c r="N23" t="s">
        <v>206</v>
      </c>
      <c r="O23" s="105">
        <v>5774</v>
      </c>
      <c r="P23" s="105">
        <v>1654</v>
      </c>
      <c r="Q23" s="105">
        <v>1139</v>
      </c>
      <c r="R23" s="105">
        <v>2656</v>
      </c>
      <c r="S23" s="105">
        <v>983</v>
      </c>
      <c r="T23" s="105">
        <v>41</v>
      </c>
      <c r="U23" s="105">
        <v>299</v>
      </c>
      <c r="V23" s="105">
        <v>756</v>
      </c>
      <c r="W23">
        <f t="shared" si="11"/>
        <v>13302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H32" si="12">O29*$B$1</f>
        <v>8391</v>
      </c>
      <c r="C29">
        <f t="shared" si="12"/>
        <v>37325</v>
      </c>
      <c r="D29">
        <f t="shared" si="12"/>
        <v>81174</v>
      </c>
      <c r="E29">
        <f t="shared" si="12"/>
        <v>102273</v>
      </c>
      <c r="F29">
        <f t="shared" si="12"/>
        <v>16118</v>
      </c>
      <c r="G29">
        <f t="shared" si="12"/>
        <v>28861</v>
      </c>
      <c r="H29">
        <f t="shared" si="12"/>
        <v>177295</v>
      </c>
      <c r="I29">
        <f t="shared" ref="I29:J32" si="13">V29*$B$1</f>
        <v>85295</v>
      </c>
      <c r="J29">
        <f t="shared" si="13"/>
        <v>536732</v>
      </c>
      <c r="N29" t="s">
        <v>226</v>
      </c>
      <c r="O29" s="105">
        <v>8391</v>
      </c>
      <c r="P29" s="105">
        <v>37325</v>
      </c>
      <c r="Q29" s="105">
        <v>81174</v>
      </c>
      <c r="R29" s="105">
        <v>102273</v>
      </c>
      <c r="S29" s="105">
        <v>16118</v>
      </c>
      <c r="T29" s="105">
        <v>28861</v>
      </c>
      <c r="U29" s="105">
        <v>177295</v>
      </c>
      <c r="V29" s="105">
        <v>85295</v>
      </c>
      <c r="W29">
        <f>SUM(O29:V29)</f>
        <v>536732</v>
      </c>
    </row>
    <row r="30" spans="1:23" x14ac:dyDescent="0.2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455</v>
      </c>
      <c r="G30">
        <f t="shared" si="12"/>
        <v>9</v>
      </c>
      <c r="H30">
        <f t="shared" si="12"/>
        <v>15</v>
      </c>
      <c r="I30">
        <f t="shared" si="13"/>
        <v>0</v>
      </c>
      <c r="J30">
        <f t="shared" si="13"/>
        <v>479</v>
      </c>
      <c r="N30" t="s">
        <v>235</v>
      </c>
      <c r="O30" s="105">
        <v>0</v>
      </c>
      <c r="P30" s="105">
        <v>0</v>
      </c>
      <c r="Q30" s="105">
        <v>0</v>
      </c>
      <c r="R30" s="105">
        <v>0</v>
      </c>
      <c r="S30" s="105">
        <v>455</v>
      </c>
      <c r="T30" s="105">
        <v>9</v>
      </c>
      <c r="U30" s="105">
        <v>15</v>
      </c>
      <c r="V30" s="105">
        <v>0</v>
      </c>
      <c r="W30">
        <f>SUM(O30:V30)</f>
        <v>479</v>
      </c>
    </row>
    <row r="31" spans="1:23" x14ac:dyDescent="0.2">
      <c r="A31" t="s">
        <v>236</v>
      </c>
      <c r="B31">
        <f t="shared" si="12"/>
        <v>407702</v>
      </c>
      <c r="C31">
        <f t="shared" si="12"/>
        <v>57714</v>
      </c>
      <c r="D31">
        <f t="shared" si="12"/>
        <v>0</v>
      </c>
      <c r="E31">
        <f t="shared" si="12"/>
        <v>0</v>
      </c>
      <c r="F31">
        <f t="shared" si="12"/>
        <v>45510</v>
      </c>
      <c r="G31">
        <f t="shared" si="12"/>
        <v>1144</v>
      </c>
      <c r="H31">
        <f t="shared" si="12"/>
        <v>1391</v>
      </c>
      <c r="I31">
        <f t="shared" si="13"/>
        <v>0</v>
      </c>
      <c r="J31">
        <f t="shared" si="13"/>
        <v>513461</v>
      </c>
      <c r="N31" t="s">
        <v>236</v>
      </c>
      <c r="O31" s="105">
        <v>407702</v>
      </c>
      <c r="P31" s="105">
        <v>57714</v>
      </c>
      <c r="Q31" s="105">
        <v>0</v>
      </c>
      <c r="R31" s="105">
        <v>0</v>
      </c>
      <c r="S31" s="105">
        <v>45510</v>
      </c>
      <c r="T31" s="105">
        <v>1144</v>
      </c>
      <c r="U31" s="105">
        <v>1391</v>
      </c>
      <c r="V31" s="105">
        <v>0</v>
      </c>
      <c r="W31">
        <f>SUM(O31:V31)</f>
        <v>513461</v>
      </c>
    </row>
    <row r="32" spans="1:23" x14ac:dyDescent="0.2">
      <c r="A32" t="s">
        <v>173</v>
      </c>
      <c r="B32">
        <f t="shared" si="12"/>
        <v>85458</v>
      </c>
      <c r="C32">
        <f t="shared" si="12"/>
        <v>11070</v>
      </c>
      <c r="D32">
        <f t="shared" si="12"/>
        <v>0</v>
      </c>
      <c r="E32">
        <f t="shared" si="12"/>
        <v>0</v>
      </c>
      <c r="F32">
        <f t="shared" si="12"/>
        <v>7686</v>
      </c>
      <c r="G32">
        <f t="shared" si="12"/>
        <v>101</v>
      </c>
      <c r="H32">
        <f t="shared" si="12"/>
        <v>134</v>
      </c>
      <c r="I32">
        <f t="shared" si="13"/>
        <v>0</v>
      </c>
      <c r="J32">
        <f t="shared" si="13"/>
        <v>104449</v>
      </c>
      <c r="N32" t="s">
        <v>173</v>
      </c>
      <c r="O32" s="105">
        <v>85458</v>
      </c>
      <c r="P32" s="105">
        <v>11070</v>
      </c>
      <c r="Q32" s="105">
        <v>0</v>
      </c>
      <c r="R32" s="105">
        <v>0</v>
      </c>
      <c r="S32" s="105">
        <v>7686</v>
      </c>
      <c r="T32" s="105">
        <v>101</v>
      </c>
      <c r="U32" s="105">
        <v>134</v>
      </c>
      <c r="V32" s="105">
        <v>0</v>
      </c>
      <c r="W32">
        <f>SUM(O32:V32)</f>
        <v>104449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H39" si="14">O36*$B$1</f>
        <v>501551</v>
      </c>
      <c r="C36">
        <f t="shared" si="14"/>
        <v>106109</v>
      </c>
      <c r="D36">
        <f t="shared" si="14"/>
        <v>81174</v>
      </c>
      <c r="E36">
        <f t="shared" si="14"/>
        <v>102273</v>
      </c>
      <c r="F36">
        <f t="shared" si="14"/>
        <v>26240</v>
      </c>
      <c r="G36">
        <f t="shared" si="14"/>
        <v>1321</v>
      </c>
      <c r="H36">
        <f t="shared" si="14"/>
        <v>27300</v>
      </c>
      <c r="I36">
        <f t="shared" ref="I36:J39" si="15">V36*$B$1</f>
        <v>85295</v>
      </c>
      <c r="J36">
        <f t="shared" si="15"/>
        <v>931263</v>
      </c>
      <c r="N36" t="s">
        <v>226</v>
      </c>
      <c r="O36" s="105">
        <v>501551</v>
      </c>
      <c r="P36" s="105">
        <v>106109</v>
      </c>
      <c r="Q36" s="105">
        <v>81174</v>
      </c>
      <c r="R36" s="105">
        <v>102273</v>
      </c>
      <c r="S36" s="105">
        <v>26240</v>
      </c>
      <c r="T36" s="105">
        <v>1321</v>
      </c>
      <c r="U36" s="105">
        <v>27300</v>
      </c>
      <c r="V36" s="105">
        <v>85295</v>
      </c>
      <c r="W36">
        <f>SUM(O36:V36)</f>
        <v>931263</v>
      </c>
    </row>
    <row r="37" spans="1:23" x14ac:dyDescent="0.2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919</v>
      </c>
      <c r="G37">
        <f t="shared" si="14"/>
        <v>16</v>
      </c>
      <c r="H37">
        <f t="shared" si="14"/>
        <v>15</v>
      </c>
      <c r="I37">
        <f t="shared" si="15"/>
        <v>0</v>
      </c>
      <c r="J37">
        <f t="shared" si="15"/>
        <v>950</v>
      </c>
      <c r="N37" t="s">
        <v>235</v>
      </c>
      <c r="O37" s="105">
        <v>0</v>
      </c>
      <c r="P37" s="105">
        <v>0</v>
      </c>
      <c r="Q37" s="105">
        <v>0</v>
      </c>
      <c r="R37" s="105">
        <v>0</v>
      </c>
      <c r="S37" s="105">
        <v>919</v>
      </c>
      <c r="T37" s="105">
        <v>16</v>
      </c>
      <c r="U37" s="105">
        <v>15</v>
      </c>
      <c r="V37" s="105">
        <v>0</v>
      </c>
      <c r="W37">
        <f>SUM(O37:V37)</f>
        <v>950</v>
      </c>
    </row>
    <row r="38" spans="1:23" x14ac:dyDescent="0.2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35956</v>
      </c>
      <c r="G38">
        <f t="shared" si="14"/>
        <v>24299</v>
      </c>
      <c r="H38">
        <f t="shared" si="14"/>
        <v>130748</v>
      </c>
      <c r="I38">
        <f t="shared" si="15"/>
        <v>0</v>
      </c>
      <c r="J38">
        <f t="shared" si="15"/>
        <v>191003</v>
      </c>
      <c r="N38" t="s">
        <v>236</v>
      </c>
      <c r="O38" s="105">
        <v>0</v>
      </c>
      <c r="P38" s="105">
        <v>0</v>
      </c>
      <c r="Q38" s="105">
        <v>0</v>
      </c>
      <c r="R38" s="105">
        <v>0</v>
      </c>
      <c r="S38" s="105">
        <v>35956</v>
      </c>
      <c r="T38" s="105">
        <v>24299</v>
      </c>
      <c r="U38" s="105">
        <v>130748</v>
      </c>
      <c r="V38" s="105">
        <v>0</v>
      </c>
      <c r="W38">
        <f>SUM(O38:V38)</f>
        <v>191003</v>
      </c>
    </row>
    <row r="39" spans="1:23" x14ac:dyDescent="0.2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6654</v>
      </c>
      <c r="G39">
        <f t="shared" si="14"/>
        <v>4479</v>
      </c>
      <c r="H39">
        <f t="shared" si="14"/>
        <v>20772</v>
      </c>
      <c r="I39">
        <f t="shared" si="15"/>
        <v>0</v>
      </c>
      <c r="J39">
        <f t="shared" si="15"/>
        <v>31905</v>
      </c>
      <c r="N39" t="s">
        <v>173</v>
      </c>
      <c r="O39" s="105">
        <v>0</v>
      </c>
      <c r="P39" s="105">
        <v>0</v>
      </c>
      <c r="Q39" s="105">
        <v>0</v>
      </c>
      <c r="R39" s="105">
        <v>0</v>
      </c>
      <c r="S39" s="105">
        <v>6654</v>
      </c>
      <c r="T39" s="105">
        <v>4479</v>
      </c>
      <c r="U39" s="105">
        <v>20772</v>
      </c>
      <c r="V39" s="105">
        <v>0</v>
      </c>
      <c r="W39">
        <f>SUM(O39:V39)</f>
        <v>31905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H46" si="16">O43*$B$1</f>
        <v>321202</v>
      </c>
      <c r="C43">
        <f t="shared" si="16"/>
        <v>77395</v>
      </c>
      <c r="D43">
        <f t="shared" si="16"/>
        <v>67474</v>
      </c>
      <c r="E43">
        <f t="shared" si="16"/>
        <v>65308</v>
      </c>
      <c r="F43">
        <f t="shared" si="16"/>
        <v>54789</v>
      </c>
      <c r="G43">
        <f t="shared" si="16"/>
        <v>27098</v>
      </c>
      <c r="H43">
        <f t="shared" si="16"/>
        <v>164365</v>
      </c>
      <c r="I43">
        <f t="shared" ref="I43:J46" si="17">V43*$B$1</f>
        <v>60705</v>
      </c>
      <c r="J43">
        <f t="shared" si="17"/>
        <v>838336</v>
      </c>
      <c r="N43" t="s">
        <v>226</v>
      </c>
      <c r="O43" s="105">
        <v>321202</v>
      </c>
      <c r="P43" s="105">
        <v>77395</v>
      </c>
      <c r="Q43" s="105">
        <v>67474</v>
      </c>
      <c r="R43" s="105">
        <v>65308</v>
      </c>
      <c r="S43" s="105">
        <v>54789</v>
      </c>
      <c r="T43" s="105">
        <v>27098</v>
      </c>
      <c r="U43" s="105">
        <v>164365</v>
      </c>
      <c r="V43" s="105">
        <v>60705</v>
      </c>
      <c r="W43">
        <f>SUM(O43:V43)</f>
        <v>838336</v>
      </c>
    </row>
    <row r="44" spans="1:23" x14ac:dyDescent="0.2">
      <c r="A44" t="s">
        <v>235</v>
      </c>
      <c r="B44">
        <f t="shared" si="16"/>
        <v>114257</v>
      </c>
      <c r="C44">
        <f t="shared" si="16"/>
        <v>9693</v>
      </c>
      <c r="D44">
        <f t="shared" si="16"/>
        <v>802</v>
      </c>
      <c r="E44">
        <f t="shared" si="16"/>
        <v>2181</v>
      </c>
      <c r="F44">
        <f t="shared" si="16"/>
        <v>12358</v>
      </c>
      <c r="G44">
        <f t="shared" si="16"/>
        <v>1692</v>
      </c>
      <c r="H44">
        <f t="shared" si="16"/>
        <v>6154</v>
      </c>
      <c r="I44">
        <f t="shared" si="17"/>
        <v>1615</v>
      </c>
      <c r="J44">
        <f t="shared" si="17"/>
        <v>148752</v>
      </c>
      <c r="N44" t="s">
        <v>235</v>
      </c>
      <c r="O44" s="105">
        <v>114257</v>
      </c>
      <c r="P44" s="105">
        <v>9693</v>
      </c>
      <c r="Q44" s="105">
        <v>802</v>
      </c>
      <c r="R44" s="105">
        <v>2181</v>
      </c>
      <c r="S44" s="105">
        <v>12358</v>
      </c>
      <c r="T44" s="105">
        <v>1692</v>
      </c>
      <c r="U44" s="105">
        <v>6154</v>
      </c>
      <c r="V44" s="105">
        <v>1615</v>
      </c>
      <c r="W44">
        <f>SUM(O44:V44)</f>
        <v>148752</v>
      </c>
    </row>
    <row r="45" spans="1:23" x14ac:dyDescent="0.2">
      <c r="A45" t="s">
        <v>236</v>
      </c>
      <c r="B45">
        <f t="shared" si="16"/>
        <v>35723</v>
      </c>
      <c r="C45">
        <f t="shared" si="16"/>
        <v>13400</v>
      </c>
      <c r="D45">
        <f t="shared" si="16"/>
        <v>10135</v>
      </c>
      <c r="E45">
        <f t="shared" si="16"/>
        <v>27491</v>
      </c>
      <c r="F45">
        <f t="shared" si="16"/>
        <v>1322</v>
      </c>
      <c r="G45">
        <f t="shared" si="16"/>
        <v>743</v>
      </c>
      <c r="H45">
        <f t="shared" si="16"/>
        <v>5259</v>
      </c>
      <c r="I45">
        <f t="shared" si="17"/>
        <v>18025</v>
      </c>
      <c r="J45">
        <f t="shared" si="17"/>
        <v>112098</v>
      </c>
      <c r="N45" t="s">
        <v>236</v>
      </c>
      <c r="O45" s="105">
        <v>35723</v>
      </c>
      <c r="P45" s="105">
        <v>13400</v>
      </c>
      <c r="Q45" s="105">
        <v>10135</v>
      </c>
      <c r="R45" s="105">
        <v>27491</v>
      </c>
      <c r="S45" s="105">
        <v>1322</v>
      </c>
      <c r="T45" s="105">
        <v>743</v>
      </c>
      <c r="U45" s="105">
        <v>5259</v>
      </c>
      <c r="V45" s="105">
        <v>18025</v>
      </c>
      <c r="W45">
        <f>SUM(O45:V45)</f>
        <v>112098</v>
      </c>
    </row>
    <row r="46" spans="1:23" x14ac:dyDescent="0.2">
      <c r="A46" t="s">
        <v>173</v>
      </c>
      <c r="B46">
        <f t="shared" si="16"/>
        <v>30369</v>
      </c>
      <c r="C46">
        <f t="shared" si="16"/>
        <v>5621</v>
      </c>
      <c r="D46">
        <f t="shared" si="16"/>
        <v>2763</v>
      </c>
      <c r="E46">
        <f t="shared" si="16"/>
        <v>7293</v>
      </c>
      <c r="F46">
        <f t="shared" si="16"/>
        <v>1300</v>
      </c>
      <c r="G46">
        <f t="shared" si="16"/>
        <v>582</v>
      </c>
      <c r="H46">
        <f t="shared" si="16"/>
        <v>3057</v>
      </c>
      <c r="I46">
        <f t="shared" si="17"/>
        <v>4950</v>
      </c>
      <c r="J46">
        <f t="shared" si="17"/>
        <v>55935</v>
      </c>
      <c r="N46" t="s">
        <v>173</v>
      </c>
      <c r="O46" s="105">
        <v>30369</v>
      </c>
      <c r="P46" s="105">
        <v>5621</v>
      </c>
      <c r="Q46" s="105">
        <v>2763</v>
      </c>
      <c r="R46" s="105">
        <v>7293</v>
      </c>
      <c r="S46" s="105">
        <v>1300</v>
      </c>
      <c r="T46" s="105">
        <v>582</v>
      </c>
      <c r="U46" s="105">
        <v>3057</v>
      </c>
      <c r="V46" s="105">
        <v>4950</v>
      </c>
      <c r="W46">
        <f>SUM(O46:V46)</f>
        <v>55935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H53" si="18">O50*$B$1</f>
        <v>307852</v>
      </c>
      <c r="C50">
        <f t="shared" si="18"/>
        <v>60536</v>
      </c>
      <c r="D50">
        <f t="shared" si="18"/>
        <v>33919</v>
      </c>
      <c r="E50">
        <f t="shared" si="18"/>
        <v>52197</v>
      </c>
      <c r="F50">
        <f t="shared" si="18"/>
        <v>49556</v>
      </c>
      <c r="G50">
        <f t="shared" si="18"/>
        <v>25961</v>
      </c>
      <c r="H50">
        <f t="shared" si="18"/>
        <v>132695</v>
      </c>
      <c r="I50">
        <f t="shared" ref="I50:J53" si="19">V50*$B$1</f>
        <v>42446</v>
      </c>
      <c r="J50">
        <f t="shared" si="19"/>
        <v>705162</v>
      </c>
      <c r="N50" t="s">
        <v>226</v>
      </c>
      <c r="O50" s="105">
        <v>307852</v>
      </c>
      <c r="P50" s="105">
        <v>60536</v>
      </c>
      <c r="Q50" s="105">
        <v>33919</v>
      </c>
      <c r="R50" s="105">
        <v>52197</v>
      </c>
      <c r="S50" s="105">
        <v>49556</v>
      </c>
      <c r="T50" s="105">
        <v>25961</v>
      </c>
      <c r="U50" s="105">
        <v>132695</v>
      </c>
      <c r="V50" s="105">
        <v>42446</v>
      </c>
      <c r="W50">
        <f>SUM(O50:V50)</f>
        <v>705162</v>
      </c>
    </row>
    <row r="51" spans="1:23" x14ac:dyDescent="0.2">
      <c r="A51" t="s">
        <v>235</v>
      </c>
      <c r="B51">
        <f t="shared" si="18"/>
        <v>150561</v>
      </c>
      <c r="C51">
        <f t="shared" si="18"/>
        <v>25682</v>
      </c>
      <c r="D51">
        <f t="shared" si="18"/>
        <v>16662</v>
      </c>
      <c r="E51">
        <f t="shared" si="18"/>
        <v>21243</v>
      </c>
      <c r="F51">
        <f t="shared" si="18"/>
        <v>17142</v>
      </c>
      <c r="G51">
        <f t="shared" si="18"/>
        <v>2741</v>
      </c>
      <c r="H51">
        <f t="shared" si="18"/>
        <v>25039</v>
      </c>
      <c r="I51">
        <f t="shared" si="19"/>
        <v>17365</v>
      </c>
      <c r="J51">
        <f t="shared" si="19"/>
        <v>276435</v>
      </c>
      <c r="N51" t="s">
        <v>235</v>
      </c>
      <c r="O51" s="105">
        <v>150561</v>
      </c>
      <c r="P51" s="105">
        <v>25682</v>
      </c>
      <c r="Q51" s="105">
        <v>16662</v>
      </c>
      <c r="R51" s="105">
        <v>21243</v>
      </c>
      <c r="S51" s="105">
        <v>17142</v>
      </c>
      <c r="T51" s="105">
        <v>2741</v>
      </c>
      <c r="U51" s="105">
        <v>25039</v>
      </c>
      <c r="V51" s="105">
        <v>17365</v>
      </c>
      <c r="W51">
        <f>SUM(O51:V51)</f>
        <v>276435</v>
      </c>
    </row>
    <row r="52" spans="1:23" x14ac:dyDescent="0.2">
      <c r="A52" t="s">
        <v>236</v>
      </c>
      <c r="B52">
        <f t="shared" si="18"/>
        <v>23743</v>
      </c>
      <c r="C52">
        <f t="shared" si="18"/>
        <v>9750</v>
      </c>
      <c r="D52">
        <f t="shared" si="18"/>
        <v>14151</v>
      </c>
      <c r="E52">
        <f t="shared" si="18"/>
        <v>13096</v>
      </c>
      <c r="F52">
        <f t="shared" si="18"/>
        <v>1733</v>
      </c>
      <c r="G52">
        <f t="shared" si="18"/>
        <v>836</v>
      </c>
      <c r="H52">
        <f t="shared" si="18"/>
        <v>12515</v>
      </c>
      <c r="I52">
        <f t="shared" si="19"/>
        <v>12461</v>
      </c>
      <c r="J52">
        <f t="shared" si="19"/>
        <v>88285</v>
      </c>
      <c r="N52" t="s">
        <v>236</v>
      </c>
      <c r="O52" s="105">
        <v>23743</v>
      </c>
      <c r="P52" s="105">
        <v>9750</v>
      </c>
      <c r="Q52" s="105">
        <v>14151</v>
      </c>
      <c r="R52" s="105">
        <v>13096</v>
      </c>
      <c r="S52" s="105">
        <v>1733</v>
      </c>
      <c r="T52" s="105">
        <v>836</v>
      </c>
      <c r="U52" s="105">
        <v>12515</v>
      </c>
      <c r="V52" s="105">
        <v>12461</v>
      </c>
      <c r="W52">
        <f>SUM(O52:V52)</f>
        <v>88285</v>
      </c>
    </row>
    <row r="53" spans="1:23" x14ac:dyDescent="0.2">
      <c r="A53" t="s">
        <v>173</v>
      </c>
      <c r="B53">
        <f t="shared" si="18"/>
        <v>19395</v>
      </c>
      <c r="C53">
        <f t="shared" si="18"/>
        <v>10141</v>
      </c>
      <c r="D53">
        <f t="shared" si="18"/>
        <v>16442</v>
      </c>
      <c r="E53">
        <f t="shared" si="18"/>
        <v>15737</v>
      </c>
      <c r="F53">
        <f t="shared" si="18"/>
        <v>1338</v>
      </c>
      <c r="G53">
        <f t="shared" si="18"/>
        <v>577</v>
      </c>
      <c r="H53">
        <f t="shared" si="18"/>
        <v>8586</v>
      </c>
      <c r="I53">
        <f t="shared" si="19"/>
        <v>13023</v>
      </c>
      <c r="J53">
        <f t="shared" si="19"/>
        <v>85239</v>
      </c>
      <c r="N53" t="s">
        <v>173</v>
      </c>
      <c r="O53" s="105">
        <v>19395</v>
      </c>
      <c r="P53" s="105">
        <v>10141</v>
      </c>
      <c r="Q53" s="105">
        <v>16442</v>
      </c>
      <c r="R53" s="105">
        <v>15737</v>
      </c>
      <c r="S53" s="105">
        <v>1338</v>
      </c>
      <c r="T53" s="105">
        <v>577</v>
      </c>
      <c r="U53" s="105">
        <v>8586</v>
      </c>
      <c r="V53" s="105">
        <v>13023</v>
      </c>
      <c r="W53">
        <f>SUM(O53:V53)</f>
        <v>85239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H60" si="20">O57*$B$1</f>
        <v>202227</v>
      </c>
      <c r="C57">
        <f t="shared" si="20"/>
        <v>56713</v>
      </c>
      <c r="D57">
        <f t="shared" si="20"/>
        <v>30833</v>
      </c>
      <c r="E57">
        <f t="shared" si="20"/>
        <v>32535</v>
      </c>
      <c r="F57">
        <f t="shared" si="20"/>
        <v>37340</v>
      </c>
      <c r="G57">
        <f t="shared" si="20"/>
        <v>28230</v>
      </c>
      <c r="H57">
        <f t="shared" si="20"/>
        <v>169024</v>
      </c>
      <c r="I57">
        <f t="shared" ref="I57:J60" si="21">V57*$B$1</f>
        <v>43850</v>
      </c>
      <c r="J57">
        <f t="shared" si="21"/>
        <v>600752</v>
      </c>
      <c r="N57" t="s">
        <v>226</v>
      </c>
      <c r="O57" s="105">
        <v>202227</v>
      </c>
      <c r="P57" s="105">
        <v>56713</v>
      </c>
      <c r="Q57" s="105">
        <v>30833</v>
      </c>
      <c r="R57" s="105">
        <v>32535</v>
      </c>
      <c r="S57" s="105">
        <v>37340</v>
      </c>
      <c r="T57" s="105">
        <v>28230</v>
      </c>
      <c r="U57" s="105">
        <v>169024</v>
      </c>
      <c r="V57" s="105">
        <v>43850</v>
      </c>
      <c r="W57">
        <f>SUM(O57:V57)</f>
        <v>600752</v>
      </c>
    </row>
    <row r="58" spans="1:23" x14ac:dyDescent="0.2">
      <c r="A58" t="s">
        <v>235</v>
      </c>
      <c r="B58">
        <f t="shared" si="20"/>
        <v>249720</v>
      </c>
      <c r="C58">
        <f t="shared" si="20"/>
        <v>33404</v>
      </c>
      <c r="D58">
        <f t="shared" si="20"/>
        <v>25484</v>
      </c>
      <c r="E58">
        <f t="shared" si="20"/>
        <v>37916</v>
      </c>
      <c r="F58">
        <f t="shared" si="20"/>
        <v>29051</v>
      </c>
      <c r="G58">
        <f t="shared" si="20"/>
        <v>1492</v>
      </c>
      <c r="H58">
        <f t="shared" si="20"/>
        <v>6434</v>
      </c>
      <c r="I58">
        <f t="shared" si="21"/>
        <v>22241</v>
      </c>
      <c r="J58">
        <f t="shared" si="21"/>
        <v>405742</v>
      </c>
      <c r="N58" t="s">
        <v>235</v>
      </c>
      <c r="O58" s="105">
        <v>249720</v>
      </c>
      <c r="P58" s="105">
        <v>33404</v>
      </c>
      <c r="Q58" s="105">
        <v>25484</v>
      </c>
      <c r="R58" s="105">
        <v>37916</v>
      </c>
      <c r="S58" s="105">
        <v>29051</v>
      </c>
      <c r="T58" s="105">
        <v>1492</v>
      </c>
      <c r="U58" s="105">
        <v>6434</v>
      </c>
      <c r="V58" s="105">
        <v>22241</v>
      </c>
      <c r="W58">
        <f>SUM(O58:V58)</f>
        <v>405742</v>
      </c>
    </row>
    <row r="59" spans="1:23" x14ac:dyDescent="0.2">
      <c r="A59" t="s">
        <v>236</v>
      </c>
      <c r="B59">
        <f t="shared" si="20"/>
        <v>26954</v>
      </c>
      <c r="C59">
        <f t="shared" si="20"/>
        <v>7286</v>
      </c>
      <c r="D59">
        <f t="shared" si="20"/>
        <v>10506</v>
      </c>
      <c r="E59">
        <f t="shared" si="20"/>
        <v>13522</v>
      </c>
      <c r="F59">
        <f t="shared" si="20"/>
        <v>1841</v>
      </c>
      <c r="G59">
        <f t="shared" si="20"/>
        <v>208</v>
      </c>
      <c r="H59">
        <f t="shared" si="20"/>
        <v>1908</v>
      </c>
      <c r="I59">
        <f t="shared" si="21"/>
        <v>8254</v>
      </c>
      <c r="J59">
        <f t="shared" si="21"/>
        <v>70479</v>
      </c>
      <c r="N59" t="s">
        <v>236</v>
      </c>
      <c r="O59" s="105">
        <v>26954</v>
      </c>
      <c r="P59" s="105">
        <v>7286</v>
      </c>
      <c r="Q59" s="105">
        <v>10506</v>
      </c>
      <c r="R59" s="105">
        <v>13522</v>
      </c>
      <c r="S59" s="105">
        <v>1841</v>
      </c>
      <c r="T59" s="105">
        <v>208</v>
      </c>
      <c r="U59" s="105">
        <v>1908</v>
      </c>
      <c r="V59" s="105">
        <v>8254</v>
      </c>
      <c r="W59">
        <f>SUM(O59:V59)</f>
        <v>70479</v>
      </c>
    </row>
    <row r="60" spans="1:23" x14ac:dyDescent="0.2">
      <c r="A60" t="s">
        <v>173</v>
      </c>
      <c r="B60">
        <f t="shared" si="20"/>
        <v>22650</v>
      </c>
      <c r="C60">
        <f t="shared" si="20"/>
        <v>8706</v>
      </c>
      <c r="D60">
        <f t="shared" si="20"/>
        <v>14351</v>
      </c>
      <c r="E60">
        <f t="shared" si="20"/>
        <v>18300</v>
      </c>
      <c r="F60">
        <f t="shared" si="20"/>
        <v>1537</v>
      </c>
      <c r="G60">
        <f t="shared" si="20"/>
        <v>185</v>
      </c>
      <c r="H60">
        <f t="shared" si="20"/>
        <v>1469</v>
      </c>
      <c r="I60">
        <f t="shared" si="21"/>
        <v>10950</v>
      </c>
      <c r="J60">
        <f t="shared" si="21"/>
        <v>78148</v>
      </c>
      <c r="N60" t="s">
        <v>173</v>
      </c>
      <c r="O60" s="105">
        <v>22650</v>
      </c>
      <c r="P60" s="105">
        <v>8706</v>
      </c>
      <c r="Q60" s="105">
        <v>14351</v>
      </c>
      <c r="R60" s="105">
        <v>18300</v>
      </c>
      <c r="S60" s="105">
        <v>1537</v>
      </c>
      <c r="T60" s="105">
        <v>185</v>
      </c>
      <c r="U60" s="105">
        <v>1469</v>
      </c>
      <c r="V60" s="105">
        <v>10950</v>
      </c>
      <c r="W60">
        <f>SUM(O60:V60)</f>
        <v>78148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H67" si="22">O64*$B$1</f>
        <v>340449</v>
      </c>
      <c r="C64">
        <f t="shared" si="22"/>
        <v>81931</v>
      </c>
      <c r="D64">
        <f t="shared" si="22"/>
        <v>60257</v>
      </c>
      <c r="E64">
        <f t="shared" si="22"/>
        <v>72943</v>
      </c>
      <c r="F64">
        <f t="shared" si="22"/>
        <v>47357</v>
      </c>
      <c r="G64">
        <f t="shared" si="22"/>
        <v>19811</v>
      </c>
      <c r="H64">
        <f t="shared" si="22"/>
        <v>149351</v>
      </c>
      <c r="I64">
        <f t="shared" ref="I64:J67" si="23">V64*$B$1</f>
        <v>73011</v>
      </c>
      <c r="J64">
        <f t="shared" si="23"/>
        <v>845110</v>
      </c>
      <c r="N64" t="s">
        <v>226</v>
      </c>
      <c r="O64" s="105">
        <v>340449</v>
      </c>
      <c r="P64" s="105">
        <v>81931</v>
      </c>
      <c r="Q64" s="105">
        <v>60257</v>
      </c>
      <c r="R64" s="105">
        <v>72943</v>
      </c>
      <c r="S64" s="105">
        <v>47357</v>
      </c>
      <c r="T64" s="105">
        <v>19811</v>
      </c>
      <c r="U64" s="105">
        <v>149351</v>
      </c>
      <c r="V64" s="105">
        <v>73011</v>
      </c>
      <c r="W64">
        <f>SUM(O64:V64)</f>
        <v>845110</v>
      </c>
    </row>
    <row r="65" spans="1:23" x14ac:dyDescent="0.2">
      <c r="A65" t="s">
        <v>235</v>
      </c>
      <c r="B65">
        <f t="shared" si="22"/>
        <v>134941</v>
      </c>
      <c r="C65">
        <f t="shared" si="22"/>
        <v>17271</v>
      </c>
      <c r="D65">
        <f t="shared" si="22"/>
        <v>11379</v>
      </c>
      <c r="E65">
        <f t="shared" si="22"/>
        <v>17244</v>
      </c>
      <c r="F65">
        <f t="shared" si="22"/>
        <v>20413</v>
      </c>
      <c r="G65">
        <f t="shared" si="22"/>
        <v>8300</v>
      </c>
      <c r="H65">
        <f t="shared" si="22"/>
        <v>21909</v>
      </c>
      <c r="I65">
        <f t="shared" si="23"/>
        <v>7426</v>
      </c>
      <c r="J65">
        <f t="shared" si="23"/>
        <v>238883</v>
      </c>
      <c r="N65" t="s">
        <v>235</v>
      </c>
      <c r="O65" s="105">
        <v>134941</v>
      </c>
      <c r="P65" s="105">
        <v>17271</v>
      </c>
      <c r="Q65" s="105">
        <v>11379</v>
      </c>
      <c r="R65" s="105">
        <v>17244</v>
      </c>
      <c r="S65" s="105">
        <v>20413</v>
      </c>
      <c r="T65" s="105">
        <v>8300</v>
      </c>
      <c r="U65" s="105">
        <v>21909</v>
      </c>
      <c r="V65" s="105">
        <v>7426</v>
      </c>
      <c r="W65">
        <f>SUM(O65:V65)</f>
        <v>238883</v>
      </c>
    </row>
    <row r="66" spans="1:23" x14ac:dyDescent="0.2">
      <c r="A66" t="s">
        <v>236</v>
      </c>
      <c r="B66">
        <f t="shared" si="22"/>
        <v>19150</v>
      </c>
      <c r="C66">
        <f t="shared" si="22"/>
        <v>4934</v>
      </c>
      <c r="D66">
        <f t="shared" si="22"/>
        <v>7052</v>
      </c>
      <c r="E66">
        <f t="shared" si="22"/>
        <v>9025</v>
      </c>
      <c r="F66">
        <f t="shared" si="22"/>
        <v>1394</v>
      </c>
      <c r="G66">
        <f t="shared" si="22"/>
        <v>1410</v>
      </c>
      <c r="H66">
        <f t="shared" si="22"/>
        <v>5345</v>
      </c>
      <c r="I66">
        <f t="shared" si="23"/>
        <v>3533</v>
      </c>
      <c r="J66">
        <f t="shared" si="23"/>
        <v>51843</v>
      </c>
      <c r="N66" t="s">
        <v>236</v>
      </c>
      <c r="O66" s="105">
        <v>19150</v>
      </c>
      <c r="P66" s="105">
        <v>4934</v>
      </c>
      <c r="Q66" s="105">
        <v>7052</v>
      </c>
      <c r="R66" s="105">
        <v>9025</v>
      </c>
      <c r="S66" s="105">
        <v>1394</v>
      </c>
      <c r="T66" s="105">
        <v>1410</v>
      </c>
      <c r="U66" s="105">
        <v>5345</v>
      </c>
      <c r="V66" s="105">
        <v>3533</v>
      </c>
      <c r="W66">
        <f>SUM(O66:V66)</f>
        <v>51843</v>
      </c>
    </row>
    <row r="67" spans="1:23" x14ac:dyDescent="0.2">
      <c r="A67" t="s">
        <v>173</v>
      </c>
      <c r="B67">
        <f t="shared" si="22"/>
        <v>7011</v>
      </c>
      <c r="C67">
        <f t="shared" si="22"/>
        <v>1973</v>
      </c>
      <c r="D67">
        <f t="shared" si="22"/>
        <v>2486</v>
      </c>
      <c r="E67">
        <f t="shared" si="22"/>
        <v>3061</v>
      </c>
      <c r="F67">
        <f t="shared" si="22"/>
        <v>605</v>
      </c>
      <c r="G67">
        <f t="shared" si="22"/>
        <v>594</v>
      </c>
      <c r="H67">
        <f t="shared" si="22"/>
        <v>2230</v>
      </c>
      <c r="I67">
        <f t="shared" si="23"/>
        <v>1325</v>
      </c>
      <c r="J67">
        <f t="shared" si="23"/>
        <v>19285</v>
      </c>
      <c r="N67" t="s">
        <v>173</v>
      </c>
      <c r="O67" s="105">
        <v>7011</v>
      </c>
      <c r="P67" s="105">
        <v>1973</v>
      </c>
      <c r="Q67" s="105">
        <v>2486</v>
      </c>
      <c r="R67" s="105">
        <v>3061</v>
      </c>
      <c r="S67" s="105">
        <v>605</v>
      </c>
      <c r="T67" s="105">
        <v>594</v>
      </c>
      <c r="U67" s="105">
        <v>2230</v>
      </c>
      <c r="V67" s="105">
        <v>1325</v>
      </c>
      <c r="W67">
        <f>SUM(O67:V67)</f>
        <v>19285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H74" si="24">O71*$B$1</f>
        <v>305116</v>
      </c>
      <c r="C71">
        <f t="shared" si="24"/>
        <v>54257</v>
      </c>
      <c r="D71">
        <f t="shared" si="24"/>
        <v>42275</v>
      </c>
      <c r="E71">
        <f t="shared" si="24"/>
        <v>49013</v>
      </c>
      <c r="F71">
        <f t="shared" si="24"/>
        <v>45159</v>
      </c>
      <c r="G71">
        <f t="shared" si="24"/>
        <v>20517</v>
      </c>
      <c r="H71">
        <f t="shared" si="24"/>
        <v>87060</v>
      </c>
      <c r="I71">
        <f t="shared" ref="I71:J74" si="25">V71*$B$1</f>
        <v>33677</v>
      </c>
      <c r="J71">
        <f t="shared" si="25"/>
        <v>637074</v>
      </c>
      <c r="N71" t="s">
        <v>226</v>
      </c>
      <c r="O71" s="105">
        <v>305116</v>
      </c>
      <c r="P71" s="105">
        <v>54257</v>
      </c>
      <c r="Q71" s="105">
        <v>42275</v>
      </c>
      <c r="R71" s="105">
        <v>49013</v>
      </c>
      <c r="S71" s="105">
        <v>45159</v>
      </c>
      <c r="T71" s="105">
        <v>20517</v>
      </c>
      <c r="U71" s="105">
        <v>87060</v>
      </c>
      <c r="V71" s="105">
        <v>33677</v>
      </c>
      <c r="W71">
        <f>SUM(O71:V71)</f>
        <v>637074</v>
      </c>
    </row>
    <row r="72" spans="1:23" x14ac:dyDescent="0.2">
      <c r="A72" t="s">
        <v>235</v>
      </c>
      <c r="B72">
        <f t="shared" si="24"/>
        <v>100146</v>
      </c>
      <c r="C72">
        <f t="shared" si="24"/>
        <v>18211</v>
      </c>
      <c r="D72">
        <f t="shared" si="24"/>
        <v>8778</v>
      </c>
      <c r="E72">
        <f t="shared" si="24"/>
        <v>12715</v>
      </c>
      <c r="F72">
        <f t="shared" si="24"/>
        <v>16592</v>
      </c>
      <c r="G72">
        <f t="shared" si="24"/>
        <v>4882</v>
      </c>
      <c r="H72">
        <f t="shared" si="24"/>
        <v>37948</v>
      </c>
      <c r="I72">
        <f t="shared" si="25"/>
        <v>11876</v>
      </c>
      <c r="J72">
        <f t="shared" si="25"/>
        <v>211148</v>
      </c>
      <c r="N72" t="s">
        <v>235</v>
      </c>
      <c r="O72" s="105">
        <v>100146</v>
      </c>
      <c r="P72" s="105">
        <v>18211</v>
      </c>
      <c r="Q72" s="105">
        <v>8778</v>
      </c>
      <c r="R72" s="105">
        <v>12715</v>
      </c>
      <c r="S72" s="105">
        <v>16592</v>
      </c>
      <c r="T72" s="105">
        <v>4882</v>
      </c>
      <c r="U72" s="105">
        <v>37948</v>
      </c>
      <c r="V72" s="105">
        <v>11876</v>
      </c>
      <c r="W72">
        <f>SUM(O72:V72)</f>
        <v>211148</v>
      </c>
    </row>
    <row r="73" spans="1:23" x14ac:dyDescent="0.2">
      <c r="A73" t="s">
        <v>236</v>
      </c>
      <c r="B73">
        <f t="shared" si="24"/>
        <v>76877</v>
      </c>
      <c r="C73">
        <f t="shared" si="24"/>
        <v>26380</v>
      </c>
      <c r="D73">
        <f t="shared" si="24"/>
        <v>23718</v>
      </c>
      <c r="E73">
        <f t="shared" si="24"/>
        <v>31933</v>
      </c>
      <c r="F73">
        <f t="shared" si="24"/>
        <v>6377</v>
      </c>
      <c r="G73">
        <f t="shared" si="24"/>
        <v>3747</v>
      </c>
      <c r="H73">
        <f t="shared" si="24"/>
        <v>43041</v>
      </c>
      <c r="I73">
        <f t="shared" si="25"/>
        <v>31367</v>
      </c>
      <c r="J73">
        <f t="shared" si="25"/>
        <v>243440</v>
      </c>
      <c r="N73" t="s">
        <v>236</v>
      </c>
      <c r="O73" s="105">
        <v>76877</v>
      </c>
      <c r="P73" s="105">
        <v>26380</v>
      </c>
      <c r="Q73" s="105">
        <v>23718</v>
      </c>
      <c r="R73" s="105">
        <v>31933</v>
      </c>
      <c r="S73" s="105">
        <v>6377</v>
      </c>
      <c r="T73" s="105">
        <v>3747</v>
      </c>
      <c r="U73" s="105">
        <v>43041</v>
      </c>
      <c r="V73" s="105">
        <v>31367</v>
      </c>
      <c r="W73">
        <f>SUM(O73:V73)</f>
        <v>243440</v>
      </c>
    </row>
    <row r="74" spans="1:23" x14ac:dyDescent="0.2">
      <c r="A74" t="s">
        <v>173</v>
      </c>
      <c r="B74">
        <f t="shared" si="24"/>
        <v>19412</v>
      </c>
      <c r="C74">
        <f t="shared" si="24"/>
        <v>7261</v>
      </c>
      <c r="D74">
        <f t="shared" si="24"/>
        <v>6403</v>
      </c>
      <c r="E74">
        <f t="shared" si="24"/>
        <v>8612</v>
      </c>
      <c r="F74">
        <f t="shared" si="24"/>
        <v>1641</v>
      </c>
      <c r="G74">
        <f t="shared" si="24"/>
        <v>969</v>
      </c>
      <c r="H74">
        <f t="shared" si="24"/>
        <v>10786</v>
      </c>
      <c r="I74">
        <f t="shared" si="25"/>
        <v>8375</v>
      </c>
      <c r="J74">
        <f t="shared" si="25"/>
        <v>63459</v>
      </c>
      <c r="N74" t="s">
        <v>173</v>
      </c>
      <c r="O74" s="105">
        <v>19412</v>
      </c>
      <c r="P74" s="105">
        <v>7261</v>
      </c>
      <c r="Q74" s="105">
        <v>6403</v>
      </c>
      <c r="R74" s="105">
        <v>8612</v>
      </c>
      <c r="S74" s="105">
        <v>1641</v>
      </c>
      <c r="T74" s="105">
        <v>969</v>
      </c>
      <c r="U74" s="105">
        <v>10786</v>
      </c>
      <c r="V74" s="105">
        <v>8375</v>
      </c>
      <c r="W74">
        <f>SUM(O74:V74)</f>
        <v>63459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8391</v>
      </c>
      <c r="C80">
        <f t="shared" si="26"/>
        <v>37325</v>
      </c>
      <c r="D80">
        <f t="shared" si="26"/>
        <v>81174</v>
      </c>
      <c r="E80">
        <f t="shared" si="26"/>
        <v>102273</v>
      </c>
      <c r="F80">
        <f t="shared" si="26"/>
        <v>16573</v>
      </c>
      <c r="G80">
        <f t="shared" si="26"/>
        <v>28870</v>
      </c>
      <c r="H80">
        <f t="shared" si="26"/>
        <v>177310</v>
      </c>
      <c r="I80">
        <f t="shared" ref="I80:J83" si="27">V80*$B$1</f>
        <v>85295</v>
      </c>
      <c r="J80">
        <f t="shared" si="27"/>
        <v>537211</v>
      </c>
      <c r="N80">
        <v>0</v>
      </c>
      <c r="O80" s="105">
        <v>8391</v>
      </c>
      <c r="P80" s="105">
        <v>37325</v>
      </c>
      <c r="Q80" s="105">
        <v>81174</v>
      </c>
      <c r="R80" s="105">
        <v>102273</v>
      </c>
      <c r="S80" s="105">
        <v>16573</v>
      </c>
      <c r="T80" s="105">
        <v>28870</v>
      </c>
      <c r="U80" s="105">
        <v>177310</v>
      </c>
      <c r="V80" s="105">
        <v>85295</v>
      </c>
      <c r="W80">
        <f>SUM(O80:V80)</f>
        <v>537211</v>
      </c>
    </row>
    <row r="81" spans="1:23" x14ac:dyDescent="0.2">
      <c r="A81">
        <v>1</v>
      </c>
      <c r="B81">
        <f t="shared" si="26"/>
        <v>481585</v>
      </c>
      <c r="C81">
        <f t="shared" si="26"/>
        <v>65542</v>
      </c>
      <c r="D81">
        <f t="shared" si="26"/>
        <v>0</v>
      </c>
      <c r="E81">
        <f t="shared" si="26"/>
        <v>0</v>
      </c>
      <c r="F81">
        <f t="shared" si="26"/>
        <v>51488</v>
      </c>
      <c r="G81">
        <f t="shared" si="26"/>
        <v>1213</v>
      </c>
      <c r="H81">
        <f t="shared" si="26"/>
        <v>1514</v>
      </c>
      <c r="I81">
        <f t="shared" si="27"/>
        <v>0</v>
      </c>
      <c r="J81">
        <f t="shared" si="27"/>
        <v>601342</v>
      </c>
      <c r="N81">
        <v>1</v>
      </c>
      <c r="O81" s="105">
        <v>481585</v>
      </c>
      <c r="P81" s="105">
        <v>65542</v>
      </c>
      <c r="Q81" s="105">
        <v>0</v>
      </c>
      <c r="R81" s="105">
        <v>0</v>
      </c>
      <c r="S81" s="105">
        <v>51488</v>
      </c>
      <c r="T81" s="105">
        <v>1213</v>
      </c>
      <c r="U81" s="105">
        <v>1514</v>
      </c>
      <c r="V81" s="105">
        <v>0</v>
      </c>
      <c r="W81">
        <f>SUM(O81:V81)</f>
        <v>601342</v>
      </c>
    </row>
    <row r="82" spans="1:23" x14ac:dyDescent="0.2">
      <c r="A82">
        <v>2</v>
      </c>
      <c r="B82">
        <f t="shared" si="26"/>
        <v>11095</v>
      </c>
      <c r="C82">
        <f t="shared" si="26"/>
        <v>3107</v>
      </c>
      <c r="D82">
        <f t="shared" si="26"/>
        <v>0</v>
      </c>
      <c r="E82">
        <f t="shared" si="26"/>
        <v>0</v>
      </c>
      <c r="F82">
        <f t="shared" si="26"/>
        <v>1636</v>
      </c>
      <c r="G82">
        <f t="shared" si="26"/>
        <v>29</v>
      </c>
      <c r="H82">
        <f t="shared" si="26"/>
        <v>11</v>
      </c>
      <c r="I82">
        <f t="shared" si="27"/>
        <v>0</v>
      </c>
      <c r="J82">
        <f t="shared" si="27"/>
        <v>15878</v>
      </c>
      <c r="N82">
        <v>2</v>
      </c>
      <c r="O82" s="105">
        <v>11095</v>
      </c>
      <c r="P82" s="105">
        <v>3107</v>
      </c>
      <c r="Q82" s="105">
        <v>0</v>
      </c>
      <c r="R82" s="105">
        <v>0</v>
      </c>
      <c r="S82" s="105">
        <v>1636</v>
      </c>
      <c r="T82" s="105">
        <v>29</v>
      </c>
      <c r="U82" s="105">
        <v>11</v>
      </c>
      <c r="V82" s="105">
        <v>0</v>
      </c>
      <c r="W82">
        <f>SUM(O82:V82)</f>
        <v>15878</v>
      </c>
    </row>
    <row r="83" spans="1:23" x14ac:dyDescent="0.2">
      <c r="A83" t="s">
        <v>116</v>
      </c>
      <c r="B83">
        <f t="shared" si="26"/>
        <v>480</v>
      </c>
      <c r="C83">
        <f t="shared" si="26"/>
        <v>135</v>
      </c>
      <c r="D83">
        <f t="shared" si="26"/>
        <v>0</v>
      </c>
      <c r="E83">
        <f t="shared" si="26"/>
        <v>0</v>
      </c>
      <c r="F83">
        <f t="shared" si="26"/>
        <v>72</v>
      </c>
      <c r="G83">
        <f t="shared" si="26"/>
        <v>3</v>
      </c>
      <c r="H83">
        <f t="shared" si="26"/>
        <v>0</v>
      </c>
      <c r="I83">
        <f t="shared" si="27"/>
        <v>0</v>
      </c>
      <c r="J83">
        <f t="shared" si="27"/>
        <v>690</v>
      </c>
      <c r="N83" t="s">
        <v>116</v>
      </c>
      <c r="O83" s="105">
        <v>480</v>
      </c>
      <c r="P83" s="105">
        <v>135</v>
      </c>
      <c r="Q83" s="105">
        <v>0</v>
      </c>
      <c r="R83" s="105">
        <v>0</v>
      </c>
      <c r="S83" s="105">
        <v>72</v>
      </c>
      <c r="T83" s="105">
        <v>3</v>
      </c>
      <c r="U83" s="105">
        <v>0</v>
      </c>
      <c r="V83" s="105">
        <v>0</v>
      </c>
      <c r="W83">
        <f>SUM(O83:V83)</f>
        <v>690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501551</v>
      </c>
      <c r="C87">
        <f t="shared" si="28"/>
        <v>106109</v>
      </c>
      <c r="D87">
        <f t="shared" si="28"/>
        <v>81174</v>
      </c>
      <c r="E87">
        <f t="shared" si="28"/>
        <v>102273</v>
      </c>
      <c r="F87">
        <f t="shared" si="28"/>
        <v>27159</v>
      </c>
      <c r="G87">
        <f t="shared" si="28"/>
        <v>1337</v>
      </c>
      <c r="H87">
        <f t="shared" si="28"/>
        <v>27315</v>
      </c>
      <c r="I87">
        <f t="shared" ref="I87:J90" si="29">V87*$B$1</f>
        <v>85295</v>
      </c>
      <c r="J87">
        <f t="shared" si="29"/>
        <v>932213</v>
      </c>
      <c r="N87">
        <v>0</v>
      </c>
      <c r="O87" s="105">
        <v>501551</v>
      </c>
      <c r="P87" s="105">
        <v>106109</v>
      </c>
      <c r="Q87" s="105">
        <v>81174</v>
      </c>
      <c r="R87" s="105">
        <v>102273</v>
      </c>
      <c r="S87" s="105">
        <v>27159</v>
      </c>
      <c r="T87" s="105">
        <v>1337</v>
      </c>
      <c r="U87" s="105">
        <v>27315</v>
      </c>
      <c r="V87" s="105">
        <v>85295</v>
      </c>
      <c r="W87">
        <f>SUM(O87:V87)</f>
        <v>932213</v>
      </c>
    </row>
    <row r="88" spans="1:23" x14ac:dyDescent="0.2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37959</v>
      </c>
      <c r="G88">
        <f t="shared" si="28"/>
        <v>28418</v>
      </c>
      <c r="H88">
        <f t="shared" si="28"/>
        <v>149146</v>
      </c>
      <c r="I88">
        <f t="shared" si="29"/>
        <v>0</v>
      </c>
      <c r="J88">
        <f t="shared" si="29"/>
        <v>215523</v>
      </c>
      <c r="N88">
        <v>1</v>
      </c>
      <c r="O88" s="105">
        <v>0</v>
      </c>
      <c r="P88" s="105">
        <v>0</v>
      </c>
      <c r="Q88" s="105">
        <v>0</v>
      </c>
      <c r="R88" s="105">
        <v>0</v>
      </c>
      <c r="S88" s="105">
        <v>37959</v>
      </c>
      <c r="T88" s="105">
        <v>28418</v>
      </c>
      <c r="U88" s="105">
        <v>149146</v>
      </c>
      <c r="V88" s="105">
        <v>0</v>
      </c>
      <c r="W88">
        <f>SUM(O88:V88)</f>
        <v>215523</v>
      </c>
    </row>
    <row r="89" spans="1:23" x14ac:dyDescent="0.2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4067</v>
      </c>
      <c r="G89">
        <f t="shared" si="28"/>
        <v>311</v>
      </c>
      <c r="H89">
        <f t="shared" si="28"/>
        <v>1988</v>
      </c>
      <c r="I89">
        <f t="shared" si="29"/>
        <v>0</v>
      </c>
      <c r="J89">
        <f t="shared" si="29"/>
        <v>6366</v>
      </c>
      <c r="N89">
        <v>2</v>
      </c>
      <c r="O89" s="105">
        <v>0</v>
      </c>
      <c r="P89" s="105">
        <v>0</v>
      </c>
      <c r="Q89" s="105">
        <v>0</v>
      </c>
      <c r="R89" s="105">
        <v>0</v>
      </c>
      <c r="S89" s="105">
        <v>4067</v>
      </c>
      <c r="T89" s="105">
        <v>311</v>
      </c>
      <c r="U89" s="105">
        <v>1988</v>
      </c>
      <c r="V89" s="105">
        <v>0</v>
      </c>
      <c r="W89">
        <f>SUM(O89:V89)</f>
        <v>6366</v>
      </c>
    </row>
    <row r="90" spans="1:23" x14ac:dyDescent="0.2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584</v>
      </c>
      <c r="G90">
        <f t="shared" si="28"/>
        <v>49</v>
      </c>
      <c r="H90">
        <f t="shared" si="28"/>
        <v>386</v>
      </c>
      <c r="I90">
        <f t="shared" si="29"/>
        <v>0</v>
      </c>
      <c r="J90">
        <f t="shared" si="29"/>
        <v>1019</v>
      </c>
      <c r="N90" t="s">
        <v>116</v>
      </c>
      <c r="O90" s="105">
        <v>0</v>
      </c>
      <c r="P90" s="105">
        <v>0</v>
      </c>
      <c r="Q90" s="105">
        <v>0</v>
      </c>
      <c r="R90" s="105">
        <v>0</v>
      </c>
      <c r="S90" s="105">
        <v>584</v>
      </c>
      <c r="T90" s="105">
        <v>49</v>
      </c>
      <c r="U90" s="105">
        <v>386</v>
      </c>
      <c r="V90" s="105">
        <v>0</v>
      </c>
      <c r="W90">
        <f>SUM(O90:V90)</f>
        <v>1019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435459</v>
      </c>
      <c r="C94">
        <f t="shared" si="30"/>
        <v>87088</v>
      </c>
      <c r="D94">
        <f t="shared" si="30"/>
        <v>68276</v>
      </c>
      <c r="E94">
        <f t="shared" si="30"/>
        <v>67489</v>
      </c>
      <c r="F94">
        <f t="shared" si="30"/>
        <v>67147</v>
      </c>
      <c r="G94">
        <f t="shared" si="30"/>
        <v>28790</v>
      </c>
      <c r="H94">
        <f t="shared" si="30"/>
        <v>170519</v>
      </c>
      <c r="I94">
        <f t="shared" ref="I94:J97" si="31">V94*$B$1</f>
        <v>62320</v>
      </c>
      <c r="J94">
        <f t="shared" si="31"/>
        <v>987088</v>
      </c>
      <c r="N94">
        <v>0</v>
      </c>
      <c r="O94" s="105">
        <v>435459</v>
      </c>
      <c r="P94" s="105">
        <v>87088</v>
      </c>
      <c r="Q94" s="105">
        <v>68276</v>
      </c>
      <c r="R94" s="105">
        <v>67489</v>
      </c>
      <c r="S94" s="105">
        <v>67147</v>
      </c>
      <c r="T94" s="105">
        <v>28790</v>
      </c>
      <c r="U94" s="105">
        <v>170519</v>
      </c>
      <c r="V94" s="105">
        <v>62320</v>
      </c>
      <c r="W94">
        <f>SUM(O94:V94)</f>
        <v>987088</v>
      </c>
    </row>
    <row r="95" spans="1:23" x14ac:dyDescent="0.2">
      <c r="A95">
        <v>1</v>
      </c>
      <c r="B95">
        <f t="shared" si="30"/>
        <v>57944</v>
      </c>
      <c r="C95">
        <f t="shared" si="30"/>
        <v>11573</v>
      </c>
      <c r="D95">
        <f t="shared" si="30"/>
        <v>9193</v>
      </c>
      <c r="E95">
        <f t="shared" si="30"/>
        <v>18344</v>
      </c>
      <c r="F95">
        <f t="shared" si="30"/>
        <v>2247</v>
      </c>
      <c r="G95">
        <f t="shared" si="30"/>
        <v>1180</v>
      </c>
      <c r="H95">
        <f t="shared" si="30"/>
        <v>7426</v>
      </c>
      <c r="I95">
        <f t="shared" si="31"/>
        <v>21397</v>
      </c>
      <c r="J95">
        <f t="shared" si="31"/>
        <v>129304</v>
      </c>
      <c r="N95">
        <v>1</v>
      </c>
      <c r="O95" s="105">
        <v>57944</v>
      </c>
      <c r="P95" s="105">
        <v>11573</v>
      </c>
      <c r="Q95" s="105">
        <v>9193</v>
      </c>
      <c r="R95" s="105">
        <v>18344</v>
      </c>
      <c r="S95" s="105">
        <v>2247</v>
      </c>
      <c r="T95" s="105">
        <v>1180</v>
      </c>
      <c r="U95" s="105">
        <v>7426</v>
      </c>
      <c r="V95" s="105">
        <v>21397</v>
      </c>
      <c r="W95">
        <f>SUM(O95:V95)</f>
        <v>129304</v>
      </c>
    </row>
    <row r="96" spans="1:23" x14ac:dyDescent="0.2">
      <c r="A96">
        <v>2</v>
      </c>
      <c r="B96">
        <f t="shared" si="30"/>
        <v>7025</v>
      </c>
      <c r="C96">
        <f t="shared" si="30"/>
        <v>6375</v>
      </c>
      <c r="D96">
        <f t="shared" si="30"/>
        <v>3170</v>
      </c>
      <c r="E96">
        <f t="shared" si="30"/>
        <v>14166</v>
      </c>
      <c r="F96">
        <f t="shared" si="30"/>
        <v>331</v>
      </c>
      <c r="G96">
        <f t="shared" si="30"/>
        <v>129</v>
      </c>
      <c r="H96">
        <f t="shared" si="30"/>
        <v>729</v>
      </c>
      <c r="I96">
        <f t="shared" si="31"/>
        <v>1324</v>
      </c>
      <c r="J96">
        <f t="shared" si="31"/>
        <v>33249</v>
      </c>
      <c r="N96">
        <v>2</v>
      </c>
      <c r="O96" s="105">
        <v>7025</v>
      </c>
      <c r="P96" s="105">
        <v>6375</v>
      </c>
      <c r="Q96" s="105">
        <v>3170</v>
      </c>
      <c r="R96" s="105">
        <v>14166</v>
      </c>
      <c r="S96" s="105">
        <v>331</v>
      </c>
      <c r="T96" s="105">
        <v>129</v>
      </c>
      <c r="U96" s="105">
        <v>729</v>
      </c>
      <c r="V96" s="105">
        <v>1324</v>
      </c>
      <c r="W96">
        <f>SUM(O96:V96)</f>
        <v>33249</v>
      </c>
    </row>
    <row r="97" spans="1:23" x14ac:dyDescent="0.2">
      <c r="A97" t="s">
        <v>116</v>
      </c>
      <c r="B97">
        <f t="shared" si="30"/>
        <v>1123</v>
      </c>
      <c r="C97">
        <f t="shared" si="30"/>
        <v>1073</v>
      </c>
      <c r="D97">
        <f t="shared" si="30"/>
        <v>535</v>
      </c>
      <c r="E97">
        <f t="shared" si="30"/>
        <v>2274</v>
      </c>
      <c r="F97">
        <f t="shared" si="30"/>
        <v>44</v>
      </c>
      <c r="G97">
        <f t="shared" si="30"/>
        <v>16</v>
      </c>
      <c r="H97">
        <f t="shared" si="30"/>
        <v>161</v>
      </c>
      <c r="I97">
        <f t="shared" si="31"/>
        <v>254</v>
      </c>
      <c r="J97">
        <f t="shared" si="31"/>
        <v>5480</v>
      </c>
      <c r="N97" t="s">
        <v>116</v>
      </c>
      <c r="O97" s="105">
        <v>1123</v>
      </c>
      <c r="P97" s="105">
        <v>1073</v>
      </c>
      <c r="Q97" s="105">
        <v>535</v>
      </c>
      <c r="R97" s="105">
        <v>2274</v>
      </c>
      <c r="S97" s="105">
        <v>44</v>
      </c>
      <c r="T97" s="105">
        <v>16</v>
      </c>
      <c r="U97" s="105">
        <v>161</v>
      </c>
      <c r="V97" s="105">
        <v>254</v>
      </c>
      <c r="W97">
        <f>SUM(O97:V97)</f>
        <v>5480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458413</v>
      </c>
      <c r="C101">
        <f t="shared" si="32"/>
        <v>86218</v>
      </c>
      <c r="D101">
        <f t="shared" si="32"/>
        <v>50581</v>
      </c>
      <c r="E101">
        <f t="shared" si="32"/>
        <v>73440</v>
      </c>
      <c r="F101">
        <f t="shared" si="32"/>
        <v>66698</v>
      </c>
      <c r="G101">
        <f t="shared" si="32"/>
        <v>28702</v>
      </c>
      <c r="H101">
        <f t="shared" si="32"/>
        <v>157734</v>
      </c>
      <c r="I101">
        <f t="shared" ref="I101:J104" si="33">V101*$B$1</f>
        <v>59811</v>
      </c>
      <c r="J101">
        <f t="shared" si="33"/>
        <v>981597</v>
      </c>
      <c r="N101">
        <v>0</v>
      </c>
      <c r="O101" s="105">
        <v>458413</v>
      </c>
      <c r="P101" s="105">
        <v>86218</v>
      </c>
      <c r="Q101" s="105">
        <v>50581</v>
      </c>
      <c r="R101" s="105">
        <v>73440</v>
      </c>
      <c r="S101" s="105">
        <v>66698</v>
      </c>
      <c r="T101" s="105">
        <v>28702</v>
      </c>
      <c r="U101" s="105">
        <v>157734</v>
      </c>
      <c r="V101" s="105">
        <v>59811</v>
      </c>
      <c r="W101">
        <f>SUM(O101:V101)</f>
        <v>981597</v>
      </c>
    </row>
    <row r="102" spans="1:23" x14ac:dyDescent="0.2">
      <c r="A102">
        <v>1</v>
      </c>
      <c r="B102">
        <f t="shared" si="32"/>
        <v>40218</v>
      </c>
      <c r="C102">
        <f t="shared" si="32"/>
        <v>17070</v>
      </c>
      <c r="D102">
        <f t="shared" si="32"/>
        <v>25256</v>
      </c>
      <c r="E102">
        <f t="shared" si="32"/>
        <v>23859</v>
      </c>
      <c r="F102">
        <f t="shared" si="32"/>
        <v>2767</v>
      </c>
      <c r="G102">
        <f t="shared" si="32"/>
        <v>1300</v>
      </c>
      <c r="H102">
        <f t="shared" si="32"/>
        <v>18890</v>
      </c>
      <c r="I102">
        <f t="shared" si="33"/>
        <v>21536</v>
      </c>
      <c r="J102">
        <f t="shared" si="33"/>
        <v>150896</v>
      </c>
      <c r="N102">
        <v>1</v>
      </c>
      <c r="O102" s="105">
        <v>40218</v>
      </c>
      <c r="P102" s="105">
        <v>17070</v>
      </c>
      <c r="Q102" s="105">
        <v>25256</v>
      </c>
      <c r="R102" s="105">
        <v>23859</v>
      </c>
      <c r="S102" s="105">
        <v>2767</v>
      </c>
      <c r="T102" s="105">
        <v>1300</v>
      </c>
      <c r="U102" s="105">
        <v>18890</v>
      </c>
      <c r="V102" s="105">
        <v>21536</v>
      </c>
      <c r="W102">
        <f>SUM(O102:V102)</f>
        <v>150896</v>
      </c>
    </row>
    <row r="103" spans="1:23" x14ac:dyDescent="0.2">
      <c r="A103">
        <v>2</v>
      </c>
      <c r="B103">
        <f t="shared" si="32"/>
        <v>2544</v>
      </c>
      <c r="C103">
        <f t="shared" si="32"/>
        <v>2429</v>
      </c>
      <c r="D103">
        <f t="shared" si="32"/>
        <v>4553</v>
      </c>
      <c r="E103">
        <f t="shared" si="32"/>
        <v>4270</v>
      </c>
      <c r="F103">
        <f t="shared" si="32"/>
        <v>259</v>
      </c>
      <c r="G103">
        <f t="shared" si="32"/>
        <v>97</v>
      </c>
      <c r="H103">
        <f t="shared" si="32"/>
        <v>1912</v>
      </c>
      <c r="I103">
        <f t="shared" si="33"/>
        <v>3417</v>
      </c>
      <c r="J103">
        <f t="shared" si="33"/>
        <v>19481</v>
      </c>
      <c r="N103">
        <v>2</v>
      </c>
      <c r="O103" s="105">
        <v>2544</v>
      </c>
      <c r="P103" s="105">
        <v>2429</v>
      </c>
      <c r="Q103" s="105">
        <v>4553</v>
      </c>
      <c r="R103" s="105">
        <v>4270</v>
      </c>
      <c r="S103" s="105">
        <v>259</v>
      </c>
      <c r="T103" s="105">
        <v>97</v>
      </c>
      <c r="U103" s="105">
        <v>1912</v>
      </c>
      <c r="V103" s="105">
        <v>3417</v>
      </c>
      <c r="W103">
        <f>SUM(O103:V103)</f>
        <v>19481</v>
      </c>
    </row>
    <row r="104" spans="1:23" x14ac:dyDescent="0.2">
      <c r="A104" t="s">
        <v>116</v>
      </c>
      <c r="B104">
        <f t="shared" si="32"/>
        <v>376</v>
      </c>
      <c r="C104">
        <f t="shared" si="32"/>
        <v>392</v>
      </c>
      <c r="D104">
        <f t="shared" si="32"/>
        <v>784</v>
      </c>
      <c r="E104">
        <f t="shared" si="32"/>
        <v>704</v>
      </c>
      <c r="F104">
        <f t="shared" si="32"/>
        <v>45</v>
      </c>
      <c r="G104">
        <f t="shared" si="32"/>
        <v>16</v>
      </c>
      <c r="H104">
        <f t="shared" si="32"/>
        <v>299</v>
      </c>
      <c r="I104">
        <f t="shared" si="33"/>
        <v>531</v>
      </c>
      <c r="J104">
        <f t="shared" si="33"/>
        <v>3147</v>
      </c>
      <c r="N104" t="s">
        <v>116</v>
      </c>
      <c r="O104" s="105">
        <v>376</v>
      </c>
      <c r="P104" s="105">
        <v>392</v>
      </c>
      <c r="Q104" s="105">
        <v>784</v>
      </c>
      <c r="R104" s="105">
        <v>704</v>
      </c>
      <c r="S104" s="105">
        <v>45</v>
      </c>
      <c r="T104" s="105">
        <v>16</v>
      </c>
      <c r="U104" s="105">
        <v>299</v>
      </c>
      <c r="V104" s="105">
        <v>531</v>
      </c>
      <c r="W104">
        <f>SUM(O104:V104)</f>
        <v>3147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451947</v>
      </c>
      <c r="C108">
        <f t="shared" si="34"/>
        <v>90117</v>
      </c>
      <c r="D108">
        <f t="shared" si="34"/>
        <v>56317</v>
      </c>
      <c r="E108">
        <f t="shared" si="34"/>
        <v>70451</v>
      </c>
      <c r="F108">
        <f t="shared" si="34"/>
        <v>66391</v>
      </c>
      <c r="G108">
        <f t="shared" si="34"/>
        <v>29722</v>
      </c>
      <c r="H108">
        <f t="shared" si="34"/>
        <v>175458</v>
      </c>
      <c r="I108">
        <f t="shared" ref="I108:J111" si="35">V108*$B$1</f>
        <v>66091</v>
      </c>
      <c r="J108">
        <f t="shared" si="35"/>
        <v>1006494</v>
      </c>
      <c r="N108">
        <v>0</v>
      </c>
      <c r="O108" s="105">
        <v>451947</v>
      </c>
      <c r="P108" s="105">
        <v>90117</v>
      </c>
      <c r="Q108" s="105">
        <v>56317</v>
      </c>
      <c r="R108" s="105">
        <v>70451</v>
      </c>
      <c r="S108" s="105">
        <v>66391</v>
      </c>
      <c r="T108" s="105">
        <v>29722</v>
      </c>
      <c r="U108" s="105">
        <v>175458</v>
      </c>
      <c r="V108" s="105">
        <v>66091</v>
      </c>
      <c r="W108">
        <f>SUM(O108:V108)</f>
        <v>1006494</v>
      </c>
    </row>
    <row r="109" spans="1:23" x14ac:dyDescent="0.2">
      <c r="A109">
        <v>1</v>
      </c>
      <c r="B109">
        <f t="shared" si="34"/>
        <v>46245</v>
      </c>
      <c r="C109">
        <f t="shared" si="34"/>
        <v>14573</v>
      </c>
      <c r="D109">
        <f t="shared" si="34"/>
        <v>22368</v>
      </c>
      <c r="E109">
        <f t="shared" si="34"/>
        <v>27948</v>
      </c>
      <c r="F109">
        <f t="shared" si="34"/>
        <v>3101</v>
      </c>
      <c r="G109">
        <f t="shared" si="34"/>
        <v>354</v>
      </c>
      <c r="H109">
        <f t="shared" si="34"/>
        <v>2570</v>
      </c>
      <c r="I109">
        <f t="shared" si="35"/>
        <v>17035</v>
      </c>
      <c r="J109">
        <f t="shared" si="35"/>
        <v>134194</v>
      </c>
      <c r="N109">
        <v>1</v>
      </c>
      <c r="O109" s="105">
        <v>46245</v>
      </c>
      <c r="P109" s="105">
        <v>14573</v>
      </c>
      <c r="Q109" s="105">
        <v>22368</v>
      </c>
      <c r="R109" s="105">
        <v>27948</v>
      </c>
      <c r="S109" s="105">
        <v>3101</v>
      </c>
      <c r="T109" s="105">
        <v>354</v>
      </c>
      <c r="U109" s="105">
        <v>2570</v>
      </c>
      <c r="V109" s="105">
        <v>17035</v>
      </c>
      <c r="W109">
        <f>SUM(O109:V109)</f>
        <v>134194</v>
      </c>
    </row>
    <row r="110" spans="1:23" x14ac:dyDescent="0.2">
      <c r="A110">
        <v>2</v>
      </c>
      <c r="B110">
        <f t="shared" si="34"/>
        <v>2798</v>
      </c>
      <c r="C110">
        <f t="shared" si="34"/>
        <v>1240</v>
      </c>
      <c r="D110">
        <f t="shared" si="34"/>
        <v>2249</v>
      </c>
      <c r="E110">
        <f t="shared" si="34"/>
        <v>3416</v>
      </c>
      <c r="F110">
        <f t="shared" si="34"/>
        <v>221</v>
      </c>
      <c r="G110">
        <f t="shared" si="34"/>
        <v>30</v>
      </c>
      <c r="H110">
        <f t="shared" si="34"/>
        <v>191</v>
      </c>
      <c r="I110">
        <f t="shared" si="35"/>
        <v>1421</v>
      </c>
      <c r="J110">
        <f t="shared" si="35"/>
        <v>11566</v>
      </c>
      <c r="N110">
        <v>2</v>
      </c>
      <c r="O110" s="105">
        <v>2798</v>
      </c>
      <c r="P110" s="105">
        <v>1240</v>
      </c>
      <c r="Q110" s="105">
        <v>2249</v>
      </c>
      <c r="R110" s="105">
        <v>3416</v>
      </c>
      <c r="S110" s="105">
        <v>221</v>
      </c>
      <c r="T110" s="105">
        <v>30</v>
      </c>
      <c r="U110" s="105">
        <v>191</v>
      </c>
      <c r="V110" s="105">
        <v>1421</v>
      </c>
      <c r="W110">
        <f>SUM(O110:V110)</f>
        <v>11566</v>
      </c>
    </row>
    <row r="111" spans="1:23" x14ac:dyDescent="0.2">
      <c r="A111" t="s">
        <v>116</v>
      </c>
      <c r="B111">
        <f t="shared" si="34"/>
        <v>561</v>
      </c>
      <c r="C111">
        <f t="shared" si="34"/>
        <v>179</v>
      </c>
      <c r="D111">
        <f t="shared" si="34"/>
        <v>240</v>
      </c>
      <c r="E111">
        <f t="shared" si="34"/>
        <v>458</v>
      </c>
      <c r="F111">
        <f t="shared" si="34"/>
        <v>56</v>
      </c>
      <c r="G111">
        <f t="shared" si="34"/>
        <v>9</v>
      </c>
      <c r="H111">
        <f t="shared" si="34"/>
        <v>616</v>
      </c>
      <c r="I111">
        <f t="shared" si="35"/>
        <v>748</v>
      </c>
      <c r="J111">
        <f t="shared" si="35"/>
        <v>2867</v>
      </c>
      <c r="N111" t="s">
        <v>116</v>
      </c>
      <c r="O111" s="105">
        <v>561</v>
      </c>
      <c r="P111" s="105">
        <v>179</v>
      </c>
      <c r="Q111" s="105">
        <v>240</v>
      </c>
      <c r="R111" s="105">
        <v>458</v>
      </c>
      <c r="S111" s="105">
        <v>56</v>
      </c>
      <c r="T111" s="105">
        <v>9</v>
      </c>
      <c r="U111" s="105">
        <v>616</v>
      </c>
      <c r="V111" s="105">
        <v>748</v>
      </c>
      <c r="W111">
        <f>SUM(O111:V111)</f>
        <v>2867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475390</v>
      </c>
      <c r="C115">
        <f t="shared" si="36"/>
        <v>99202</v>
      </c>
      <c r="D115">
        <f t="shared" si="36"/>
        <v>71636</v>
      </c>
      <c r="E115">
        <f t="shared" si="36"/>
        <v>90187</v>
      </c>
      <c r="F115">
        <f t="shared" si="36"/>
        <v>67770</v>
      </c>
      <c r="G115">
        <f t="shared" si="36"/>
        <v>28111</v>
      </c>
      <c r="H115">
        <f t="shared" si="36"/>
        <v>171260</v>
      </c>
      <c r="I115">
        <f t="shared" ref="I115:J118" si="37">V115*$B$1</f>
        <v>80437</v>
      </c>
      <c r="J115">
        <f t="shared" si="37"/>
        <v>1083993</v>
      </c>
      <c r="N115">
        <v>0</v>
      </c>
      <c r="O115" s="105">
        <v>475390</v>
      </c>
      <c r="P115" s="105">
        <v>99202</v>
      </c>
      <c r="Q115" s="105">
        <v>71636</v>
      </c>
      <c r="R115" s="105">
        <v>90187</v>
      </c>
      <c r="S115" s="105">
        <v>67770</v>
      </c>
      <c r="T115" s="105">
        <v>28111</v>
      </c>
      <c r="U115" s="105">
        <v>171260</v>
      </c>
      <c r="V115" s="105">
        <v>80437</v>
      </c>
      <c r="W115">
        <f>SUM(O115:V115)</f>
        <v>1083993</v>
      </c>
    </row>
    <row r="116" spans="1:23" x14ac:dyDescent="0.2">
      <c r="A116">
        <v>1</v>
      </c>
      <c r="B116">
        <f t="shared" si="36"/>
        <v>25894</v>
      </c>
      <c r="C116">
        <f t="shared" si="36"/>
        <v>6499</v>
      </c>
      <c r="D116">
        <f t="shared" si="36"/>
        <v>8582</v>
      </c>
      <c r="E116">
        <f t="shared" si="36"/>
        <v>11521</v>
      </c>
      <c r="F116">
        <f t="shared" si="36"/>
        <v>1976</v>
      </c>
      <c r="G116">
        <f t="shared" si="36"/>
        <v>1980</v>
      </c>
      <c r="H116">
        <f t="shared" si="36"/>
        <v>7566</v>
      </c>
      <c r="I116">
        <f t="shared" si="37"/>
        <v>4840</v>
      </c>
      <c r="J116">
        <f t="shared" si="37"/>
        <v>68858</v>
      </c>
      <c r="N116">
        <v>1</v>
      </c>
      <c r="O116" s="105">
        <v>25894</v>
      </c>
      <c r="P116" s="105">
        <v>6499</v>
      </c>
      <c r="Q116" s="105">
        <v>8582</v>
      </c>
      <c r="R116" s="105">
        <v>11521</v>
      </c>
      <c r="S116" s="105">
        <v>1976</v>
      </c>
      <c r="T116" s="105">
        <v>1980</v>
      </c>
      <c r="U116" s="105">
        <v>7566</v>
      </c>
      <c r="V116" s="105">
        <v>4840</v>
      </c>
      <c r="W116">
        <f>SUM(O116:V116)</f>
        <v>68858</v>
      </c>
    </row>
    <row r="117" spans="1:23" x14ac:dyDescent="0.2">
      <c r="A117">
        <v>2</v>
      </c>
      <c r="B117">
        <f t="shared" si="36"/>
        <v>267</v>
      </c>
      <c r="C117">
        <f t="shared" si="36"/>
        <v>408</v>
      </c>
      <c r="D117">
        <f t="shared" si="36"/>
        <v>956</v>
      </c>
      <c r="E117">
        <f t="shared" si="36"/>
        <v>565</v>
      </c>
      <c r="F117">
        <f t="shared" si="36"/>
        <v>23</v>
      </c>
      <c r="G117">
        <f t="shared" si="36"/>
        <v>24</v>
      </c>
      <c r="H117">
        <f t="shared" si="36"/>
        <v>9</v>
      </c>
      <c r="I117">
        <f t="shared" si="37"/>
        <v>18</v>
      </c>
      <c r="J117">
        <f t="shared" si="37"/>
        <v>2270</v>
      </c>
      <c r="N117">
        <v>2</v>
      </c>
      <c r="O117" s="105">
        <v>267</v>
      </c>
      <c r="P117" s="105">
        <v>408</v>
      </c>
      <c r="Q117" s="105">
        <v>956</v>
      </c>
      <c r="R117" s="105">
        <v>565</v>
      </c>
      <c r="S117" s="105">
        <v>23</v>
      </c>
      <c r="T117" s="105">
        <v>24</v>
      </c>
      <c r="U117" s="105">
        <v>9</v>
      </c>
      <c r="V117" s="105">
        <v>18</v>
      </c>
      <c r="W117">
        <f>SUM(O117:V117)</f>
        <v>2270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405262</v>
      </c>
      <c r="C122">
        <f t="shared" si="38"/>
        <v>72468</v>
      </c>
      <c r="D122">
        <f t="shared" si="38"/>
        <v>51053</v>
      </c>
      <c r="E122">
        <f t="shared" si="38"/>
        <v>61728</v>
      </c>
      <c r="F122">
        <f t="shared" si="38"/>
        <v>61751</v>
      </c>
      <c r="G122">
        <f t="shared" si="38"/>
        <v>25399</v>
      </c>
      <c r="H122">
        <f t="shared" si="38"/>
        <v>125008</v>
      </c>
      <c r="I122">
        <f t="shared" ref="I122:J125" si="39">V122*$B$1</f>
        <v>45553</v>
      </c>
      <c r="J122">
        <f t="shared" si="39"/>
        <v>848222</v>
      </c>
      <c r="N122">
        <v>0</v>
      </c>
      <c r="O122" s="105">
        <v>405262</v>
      </c>
      <c r="P122" s="105">
        <v>72468</v>
      </c>
      <c r="Q122" s="105">
        <v>51053</v>
      </c>
      <c r="R122" s="105">
        <v>61728</v>
      </c>
      <c r="S122" s="105">
        <v>61751</v>
      </c>
      <c r="T122" s="105">
        <v>25399</v>
      </c>
      <c r="U122" s="105">
        <v>125008</v>
      </c>
      <c r="V122" s="105">
        <v>45553</v>
      </c>
      <c r="W122">
        <f>SUM(O122:V122)</f>
        <v>848222</v>
      </c>
    </row>
    <row r="123" spans="1:23" x14ac:dyDescent="0.2">
      <c r="A123">
        <v>1</v>
      </c>
      <c r="B123">
        <f t="shared" si="38"/>
        <v>86482</v>
      </c>
      <c r="C123">
        <f t="shared" si="38"/>
        <v>29398</v>
      </c>
      <c r="D123">
        <f t="shared" si="38"/>
        <v>25300</v>
      </c>
      <c r="E123">
        <f t="shared" si="38"/>
        <v>34101</v>
      </c>
      <c r="F123">
        <f t="shared" si="38"/>
        <v>7316</v>
      </c>
      <c r="G123">
        <f t="shared" si="38"/>
        <v>4258</v>
      </c>
      <c r="H123">
        <f t="shared" si="38"/>
        <v>48841</v>
      </c>
      <c r="I123">
        <f t="shared" si="39"/>
        <v>33781</v>
      </c>
      <c r="J123">
        <f t="shared" si="39"/>
        <v>269477</v>
      </c>
      <c r="N123">
        <v>1</v>
      </c>
      <c r="O123" s="105">
        <v>86482</v>
      </c>
      <c r="P123" s="105">
        <v>29398</v>
      </c>
      <c r="Q123" s="105">
        <v>25300</v>
      </c>
      <c r="R123" s="105">
        <v>34101</v>
      </c>
      <c r="S123" s="105">
        <v>7316</v>
      </c>
      <c r="T123" s="105">
        <v>4258</v>
      </c>
      <c r="U123" s="105">
        <v>48841</v>
      </c>
      <c r="V123" s="105">
        <v>33781</v>
      </c>
      <c r="W123">
        <f>SUM(O123:V123)</f>
        <v>269477</v>
      </c>
    </row>
    <row r="124" spans="1:23" x14ac:dyDescent="0.2">
      <c r="A124">
        <v>2</v>
      </c>
      <c r="B124">
        <f t="shared" si="38"/>
        <v>8934</v>
      </c>
      <c r="C124">
        <f t="shared" si="38"/>
        <v>3832</v>
      </c>
      <c r="D124">
        <f t="shared" si="38"/>
        <v>4396</v>
      </c>
      <c r="E124">
        <f t="shared" si="38"/>
        <v>5857</v>
      </c>
      <c r="F124">
        <f t="shared" si="38"/>
        <v>632</v>
      </c>
      <c r="G124">
        <f t="shared" si="38"/>
        <v>419</v>
      </c>
      <c r="H124">
        <f t="shared" si="38"/>
        <v>4511</v>
      </c>
      <c r="I124">
        <f t="shared" si="39"/>
        <v>5386</v>
      </c>
      <c r="J124">
        <f t="shared" si="39"/>
        <v>33967</v>
      </c>
      <c r="N124">
        <v>2</v>
      </c>
      <c r="O124" s="105">
        <v>8934</v>
      </c>
      <c r="P124" s="105">
        <v>3832</v>
      </c>
      <c r="Q124" s="105">
        <v>4396</v>
      </c>
      <c r="R124" s="105">
        <v>5857</v>
      </c>
      <c r="S124" s="105">
        <v>632</v>
      </c>
      <c r="T124" s="105">
        <v>419</v>
      </c>
      <c r="U124" s="105">
        <v>4511</v>
      </c>
      <c r="V124" s="105">
        <v>5386</v>
      </c>
      <c r="W124">
        <f>SUM(O124:V124)</f>
        <v>33967</v>
      </c>
    </row>
    <row r="125" spans="1:23" x14ac:dyDescent="0.2">
      <c r="A125" t="s">
        <v>116</v>
      </c>
      <c r="B125">
        <f t="shared" si="38"/>
        <v>873</v>
      </c>
      <c r="C125">
        <f t="shared" si="38"/>
        <v>411</v>
      </c>
      <c r="D125">
        <f t="shared" si="38"/>
        <v>425</v>
      </c>
      <c r="E125">
        <f t="shared" si="38"/>
        <v>587</v>
      </c>
      <c r="F125">
        <f t="shared" si="38"/>
        <v>70</v>
      </c>
      <c r="G125">
        <f t="shared" si="38"/>
        <v>39</v>
      </c>
      <c r="H125">
        <f t="shared" si="38"/>
        <v>475</v>
      </c>
      <c r="I125">
        <f t="shared" si="39"/>
        <v>575</v>
      </c>
      <c r="J125">
        <f t="shared" si="39"/>
        <v>3455</v>
      </c>
      <c r="N125" t="s">
        <v>116</v>
      </c>
      <c r="O125" s="105">
        <v>873</v>
      </c>
      <c r="P125" s="105">
        <v>411</v>
      </c>
      <c r="Q125" s="105">
        <v>425</v>
      </c>
      <c r="R125" s="105">
        <v>587</v>
      </c>
      <c r="S125" s="105">
        <v>70</v>
      </c>
      <c r="T125" s="105">
        <v>39</v>
      </c>
      <c r="U125" s="105">
        <v>475</v>
      </c>
      <c r="V125" s="105">
        <v>575</v>
      </c>
      <c r="W125">
        <f>SUM(O125:V125)</f>
        <v>3455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458220</v>
      </c>
      <c r="C129">
        <f t="shared" si="40"/>
        <v>120612</v>
      </c>
      <c r="D129">
        <f t="shared" si="40"/>
        <v>578832</v>
      </c>
      <c r="N129">
        <v>0</v>
      </c>
      <c r="O129" s="105">
        <v>458220</v>
      </c>
      <c r="P129" s="105">
        <v>120612</v>
      </c>
      <c r="Q129">
        <f>SUM(O129:P129)</f>
        <v>578832</v>
      </c>
    </row>
    <row r="130" spans="1:17" x14ac:dyDescent="0.2">
      <c r="A130">
        <v>1</v>
      </c>
      <c r="B130">
        <f t="shared" si="40"/>
        <v>57143</v>
      </c>
      <c r="C130">
        <f t="shared" si="40"/>
        <v>11270</v>
      </c>
      <c r="D130">
        <f t="shared" si="40"/>
        <v>68413</v>
      </c>
      <c r="N130">
        <v>1</v>
      </c>
      <c r="O130" s="105">
        <v>57143</v>
      </c>
      <c r="P130" s="105">
        <v>11270</v>
      </c>
      <c r="Q130">
        <f>SUM(O130:P130)</f>
        <v>68413</v>
      </c>
    </row>
    <row r="131" spans="1:17" x14ac:dyDescent="0.2">
      <c r="A131">
        <v>2</v>
      </c>
      <c r="B131">
        <f t="shared" si="40"/>
        <v>4120</v>
      </c>
      <c r="C131">
        <f t="shared" si="40"/>
        <v>661</v>
      </c>
      <c r="D131">
        <f t="shared" si="40"/>
        <v>4781</v>
      </c>
      <c r="N131">
        <v>2</v>
      </c>
      <c r="O131" s="105">
        <v>4120</v>
      </c>
      <c r="P131" s="105">
        <v>661</v>
      </c>
      <c r="Q131">
        <f>SUM(O131:P131)</f>
        <v>4781</v>
      </c>
    </row>
    <row r="132" spans="1:17" x14ac:dyDescent="0.2">
      <c r="A132" t="s">
        <v>116</v>
      </c>
      <c r="B132">
        <f t="shared" si="40"/>
        <v>425</v>
      </c>
      <c r="C132">
        <f t="shared" si="40"/>
        <v>79</v>
      </c>
      <c r="D132">
        <f t="shared" si="40"/>
        <v>504</v>
      </c>
      <c r="N132" t="s">
        <v>116</v>
      </c>
      <c r="O132" s="105">
        <v>425</v>
      </c>
      <c r="P132" s="105">
        <v>79</v>
      </c>
      <c r="Q132">
        <f>SUM(O132:P132)</f>
        <v>504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B142" si="41">O136*$B$1</f>
        <v>14688</v>
      </c>
      <c r="C136">
        <f t="shared" ref="C136:C142" si="42">P136*$B$1</f>
        <v>2669</v>
      </c>
      <c r="D136">
        <f t="shared" ref="D136:D142" si="43">Q136*$B$1</f>
        <v>17357</v>
      </c>
      <c r="N136" t="s">
        <v>210</v>
      </c>
      <c r="O136" s="105">
        <v>14688</v>
      </c>
      <c r="P136" s="105">
        <v>2669</v>
      </c>
      <c r="Q136">
        <f>SUM(O136:P136)</f>
        <v>17357</v>
      </c>
    </row>
    <row r="137" spans="1:17" x14ac:dyDescent="0.2">
      <c r="A137" t="s">
        <v>211</v>
      </c>
      <c r="B137">
        <f t="shared" si="41"/>
        <v>0</v>
      </c>
      <c r="C137">
        <f t="shared" si="42"/>
        <v>397</v>
      </c>
      <c r="D137">
        <f t="shared" si="43"/>
        <v>397</v>
      </c>
      <c r="N137" t="s">
        <v>211</v>
      </c>
      <c r="O137" s="105">
        <v>0</v>
      </c>
      <c r="P137" s="105">
        <v>397</v>
      </c>
      <c r="Q137">
        <f t="shared" ref="Q137:Q142" si="44">SUM(O137:P137)</f>
        <v>397</v>
      </c>
    </row>
    <row r="138" spans="1:17" x14ac:dyDescent="0.2">
      <c r="A138" t="s">
        <v>212</v>
      </c>
      <c r="B138">
        <f t="shared" si="41"/>
        <v>2430</v>
      </c>
      <c r="C138">
        <f t="shared" si="42"/>
        <v>310</v>
      </c>
      <c r="D138">
        <f t="shared" si="43"/>
        <v>2740</v>
      </c>
      <c r="N138" t="s">
        <v>212</v>
      </c>
      <c r="O138" s="105">
        <v>2430</v>
      </c>
      <c r="P138" s="105">
        <v>310</v>
      </c>
      <c r="Q138">
        <f t="shared" si="44"/>
        <v>2740</v>
      </c>
    </row>
    <row r="139" spans="1:17" x14ac:dyDescent="0.2">
      <c r="A139" t="s">
        <v>36</v>
      </c>
      <c r="B139">
        <f t="shared" si="41"/>
        <v>7117</v>
      </c>
      <c r="C139">
        <f t="shared" si="42"/>
        <v>1347</v>
      </c>
      <c r="D139">
        <f t="shared" si="43"/>
        <v>8464</v>
      </c>
      <c r="N139" t="s">
        <v>36</v>
      </c>
      <c r="O139" s="105">
        <v>7117</v>
      </c>
      <c r="P139" s="105">
        <v>1347</v>
      </c>
      <c r="Q139">
        <f t="shared" si="44"/>
        <v>8464</v>
      </c>
    </row>
    <row r="140" spans="1:17" x14ac:dyDescent="0.2">
      <c r="A140" t="s">
        <v>214</v>
      </c>
      <c r="B140">
        <f t="shared" si="41"/>
        <v>7098</v>
      </c>
      <c r="C140">
        <f t="shared" si="42"/>
        <v>1123</v>
      </c>
      <c r="D140">
        <f t="shared" si="43"/>
        <v>8221</v>
      </c>
      <c r="N140" t="s">
        <v>214</v>
      </c>
      <c r="O140" s="105">
        <v>7098</v>
      </c>
      <c r="P140" s="105">
        <v>1123</v>
      </c>
      <c r="Q140">
        <f t="shared" si="44"/>
        <v>8221</v>
      </c>
    </row>
    <row r="141" spans="1:17" x14ac:dyDescent="0.2">
      <c r="A141" t="s">
        <v>129</v>
      </c>
      <c r="B141">
        <f t="shared" si="41"/>
        <v>28146</v>
      </c>
      <c r="C141">
        <f t="shared" si="42"/>
        <v>5412</v>
      </c>
      <c r="D141">
        <f t="shared" si="43"/>
        <v>33558</v>
      </c>
      <c r="N141" t="s">
        <v>129</v>
      </c>
      <c r="O141" s="105">
        <v>28146</v>
      </c>
      <c r="P141" s="105">
        <v>5412</v>
      </c>
      <c r="Q141">
        <f t="shared" si="44"/>
        <v>33558</v>
      </c>
    </row>
    <row r="142" spans="1:17" x14ac:dyDescent="0.2">
      <c r="A142" t="s">
        <v>130</v>
      </c>
      <c r="B142">
        <f t="shared" si="41"/>
        <v>7223</v>
      </c>
      <c r="C142">
        <f t="shared" si="42"/>
        <v>1596</v>
      </c>
      <c r="D142">
        <f t="shared" si="43"/>
        <v>8819</v>
      </c>
      <c r="N142" t="s">
        <v>130</v>
      </c>
      <c r="O142" s="105">
        <v>7223</v>
      </c>
      <c r="P142" s="105">
        <v>1596</v>
      </c>
      <c r="Q142">
        <f t="shared" si="44"/>
        <v>8819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201008</v>
      </c>
      <c r="C148">
        <f t="shared" si="45"/>
        <v>127422</v>
      </c>
      <c r="D148">
        <f t="shared" si="45"/>
        <v>105038</v>
      </c>
      <c r="E148">
        <f t="shared" si="45"/>
        <v>125137</v>
      </c>
      <c r="F148">
        <f t="shared" si="45"/>
        <v>106584</v>
      </c>
      <c r="G148">
        <f t="shared" si="45"/>
        <v>79579</v>
      </c>
      <c r="H148">
        <f t="shared" ref="H148:H154" si="46">U148*$B$1</f>
        <v>261773</v>
      </c>
      <c r="I148">
        <f t="shared" ref="I148:I154" si="47">V148*$B$1</f>
        <v>1006541</v>
      </c>
      <c r="N148">
        <v>0</v>
      </c>
      <c r="O148" s="105">
        <v>201008</v>
      </c>
      <c r="P148" s="105">
        <v>127422</v>
      </c>
      <c r="Q148" s="105">
        <v>105038</v>
      </c>
      <c r="R148" s="105">
        <v>125137</v>
      </c>
      <c r="S148" s="105">
        <v>106584</v>
      </c>
      <c r="T148" s="105">
        <v>79579</v>
      </c>
      <c r="U148" s="105">
        <v>261773</v>
      </c>
      <c r="V148">
        <f>SUM(O148:U148)</f>
        <v>1006541</v>
      </c>
    </row>
    <row r="149" spans="1:22" x14ac:dyDescent="0.2">
      <c r="A149">
        <v>1</v>
      </c>
      <c r="B149">
        <f t="shared" si="45"/>
        <v>204769</v>
      </c>
      <c r="C149">
        <f t="shared" si="45"/>
        <v>66603</v>
      </c>
      <c r="D149">
        <f t="shared" si="45"/>
        <v>68675</v>
      </c>
      <c r="E149">
        <f t="shared" si="45"/>
        <v>55585</v>
      </c>
      <c r="F149">
        <f t="shared" si="45"/>
        <v>45746</v>
      </c>
      <c r="G149">
        <f t="shared" si="45"/>
        <v>20344</v>
      </c>
      <c r="H149">
        <f t="shared" si="46"/>
        <v>73673</v>
      </c>
      <c r="I149">
        <f t="shared" si="47"/>
        <v>535395</v>
      </c>
      <c r="N149">
        <v>1</v>
      </c>
      <c r="O149" s="105">
        <v>204769</v>
      </c>
      <c r="P149" s="105">
        <v>66603</v>
      </c>
      <c r="Q149" s="105">
        <v>68675</v>
      </c>
      <c r="R149" s="105">
        <v>55585</v>
      </c>
      <c r="S149" s="105">
        <v>45746</v>
      </c>
      <c r="T149" s="105">
        <v>20344</v>
      </c>
      <c r="U149" s="105">
        <v>73673</v>
      </c>
      <c r="V149">
        <f t="shared" ref="V149:V154" si="48">SUM(O149:U149)</f>
        <v>535395</v>
      </c>
    </row>
    <row r="150" spans="1:22" x14ac:dyDescent="0.2">
      <c r="A150">
        <v>2</v>
      </c>
      <c r="B150">
        <f t="shared" si="45"/>
        <v>134878</v>
      </c>
      <c r="C150">
        <f t="shared" si="45"/>
        <v>27087</v>
      </c>
      <c r="D150">
        <f t="shared" si="45"/>
        <v>28345</v>
      </c>
      <c r="E150">
        <f t="shared" si="45"/>
        <v>19419</v>
      </c>
      <c r="F150">
        <f t="shared" si="45"/>
        <v>15629</v>
      </c>
      <c r="G150">
        <f t="shared" si="45"/>
        <v>5229</v>
      </c>
      <c r="H150">
        <f t="shared" si="46"/>
        <v>16676</v>
      </c>
      <c r="I150">
        <f t="shared" si="47"/>
        <v>247263</v>
      </c>
      <c r="N150">
        <v>2</v>
      </c>
      <c r="O150" s="105">
        <v>134878</v>
      </c>
      <c r="P150" s="105">
        <v>27087</v>
      </c>
      <c r="Q150" s="105">
        <v>28345</v>
      </c>
      <c r="R150" s="105">
        <v>19419</v>
      </c>
      <c r="S150" s="105">
        <v>15629</v>
      </c>
      <c r="T150" s="105">
        <v>5229</v>
      </c>
      <c r="U150" s="105">
        <v>16676</v>
      </c>
      <c r="V150">
        <f t="shared" si="48"/>
        <v>247263</v>
      </c>
    </row>
    <row r="151" spans="1:22" x14ac:dyDescent="0.2">
      <c r="A151">
        <v>3</v>
      </c>
      <c r="B151">
        <f t="shared" si="45"/>
        <v>62579</v>
      </c>
      <c r="C151">
        <f t="shared" si="45"/>
        <v>7755</v>
      </c>
      <c r="D151">
        <f t="shared" si="45"/>
        <v>9184</v>
      </c>
      <c r="E151">
        <f t="shared" si="45"/>
        <v>5698</v>
      </c>
      <c r="F151">
        <f t="shared" si="45"/>
        <v>4471</v>
      </c>
      <c r="G151">
        <f t="shared" si="45"/>
        <v>1320</v>
      </c>
      <c r="H151">
        <f t="shared" si="46"/>
        <v>3470</v>
      </c>
      <c r="I151">
        <f t="shared" si="47"/>
        <v>94477</v>
      </c>
      <c r="N151">
        <v>3</v>
      </c>
      <c r="O151" s="105">
        <v>62579</v>
      </c>
      <c r="P151" s="105">
        <v>7755</v>
      </c>
      <c r="Q151" s="105">
        <v>9184</v>
      </c>
      <c r="R151" s="105">
        <v>5698</v>
      </c>
      <c r="S151" s="105">
        <v>4471</v>
      </c>
      <c r="T151" s="105">
        <v>1320</v>
      </c>
      <c r="U151" s="105">
        <v>3470</v>
      </c>
      <c r="V151">
        <f t="shared" si="48"/>
        <v>94477</v>
      </c>
    </row>
    <row r="152" spans="1:22" x14ac:dyDescent="0.2">
      <c r="A152">
        <v>4</v>
      </c>
      <c r="B152">
        <f t="shared" si="45"/>
        <v>27262</v>
      </c>
      <c r="C152">
        <f t="shared" si="45"/>
        <v>2066</v>
      </c>
      <c r="D152">
        <f t="shared" si="45"/>
        <v>2687</v>
      </c>
      <c r="E152">
        <f t="shared" si="45"/>
        <v>1514</v>
      </c>
      <c r="F152">
        <f t="shared" si="45"/>
        <v>1281</v>
      </c>
      <c r="G152">
        <f t="shared" si="45"/>
        <v>361</v>
      </c>
      <c r="H152">
        <f t="shared" si="46"/>
        <v>773</v>
      </c>
      <c r="I152">
        <f t="shared" si="47"/>
        <v>35944</v>
      </c>
      <c r="N152">
        <v>4</v>
      </c>
      <c r="O152" s="105">
        <v>27262</v>
      </c>
      <c r="P152" s="105">
        <v>2066</v>
      </c>
      <c r="Q152" s="105">
        <v>2687</v>
      </c>
      <c r="R152" s="105">
        <v>1514</v>
      </c>
      <c r="S152" s="105">
        <v>1281</v>
      </c>
      <c r="T152" s="105">
        <v>361</v>
      </c>
      <c r="U152" s="105">
        <v>773</v>
      </c>
      <c r="V152">
        <f t="shared" si="48"/>
        <v>35944</v>
      </c>
    </row>
    <row r="153" spans="1:22" x14ac:dyDescent="0.2">
      <c r="A153">
        <v>5</v>
      </c>
      <c r="B153">
        <f t="shared" si="45"/>
        <v>10767</v>
      </c>
      <c r="C153">
        <f t="shared" si="45"/>
        <v>524</v>
      </c>
      <c r="D153">
        <f t="shared" si="45"/>
        <v>735</v>
      </c>
      <c r="E153">
        <f t="shared" si="45"/>
        <v>317</v>
      </c>
      <c r="F153">
        <f t="shared" si="45"/>
        <v>330</v>
      </c>
      <c r="G153">
        <f t="shared" si="45"/>
        <v>97</v>
      </c>
      <c r="H153">
        <f t="shared" si="46"/>
        <v>174</v>
      </c>
      <c r="I153">
        <f t="shared" si="47"/>
        <v>12944</v>
      </c>
      <c r="N153">
        <v>5</v>
      </c>
      <c r="O153" s="105">
        <v>10767</v>
      </c>
      <c r="P153" s="105">
        <v>524</v>
      </c>
      <c r="Q153" s="105">
        <v>735</v>
      </c>
      <c r="R153" s="105">
        <v>317</v>
      </c>
      <c r="S153" s="105">
        <v>330</v>
      </c>
      <c r="T153" s="105">
        <v>97</v>
      </c>
      <c r="U153" s="105">
        <v>174</v>
      </c>
      <c r="V153">
        <f t="shared" si="48"/>
        <v>12944</v>
      </c>
    </row>
    <row r="154" spans="1:22" x14ac:dyDescent="0.2">
      <c r="A154" t="s">
        <v>209</v>
      </c>
      <c r="B154">
        <f t="shared" si="45"/>
        <v>11267</v>
      </c>
      <c r="C154">
        <f t="shared" si="45"/>
        <v>252</v>
      </c>
      <c r="D154">
        <f t="shared" si="45"/>
        <v>318</v>
      </c>
      <c r="E154">
        <f t="shared" si="45"/>
        <v>93</v>
      </c>
      <c r="F154">
        <f t="shared" si="45"/>
        <v>108</v>
      </c>
      <c r="G154">
        <f t="shared" si="45"/>
        <v>26</v>
      </c>
      <c r="H154">
        <f t="shared" si="46"/>
        <v>56</v>
      </c>
      <c r="I154">
        <f t="shared" si="47"/>
        <v>12120</v>
      </c>
      <c r="N154" t="s">
        <v>209</v>
      </c>
      <c r="O154" s="105">
        <v>11267</v>
      </c>
      <c r="P154" s="105">
        <v>252</v>
      </c>
      <c r="Q154" s="105">
        <v>318</v>
      </c>
      <c r="R154" s="105">
        <v>93</v>
      </c>
      <c r="S154" s="105">
        <v>108</v>
      </c>
      <c r="T154" s="105">
        <v>26</v>
      </c>
      <c r="U154" s="105">
        <v>56</v>
      </c>
      <c r="V154">
        <f t="shared" si="48"/>
        <v>12120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437446</v>
      </c>
      <c r="C158">
        <f t="shared" si="49"/>
        <v>193100</v>
      </c>
      <c r="D158">
        <f t="shared" si="49"/>
        <v>159511</v>
      </c>
      <c r="E158">
        <f t="shared" si="49"/>
        <v>167411</v>
      </c>
      <c r="F158">
        <f t="shared" si="49"/>
        <v>140594</v>
      </c>
      <c r="G158">
        <f t="shared" si="49"/>
        <v>93912</v>
      </c>
      <c r="H158">
        <f t="shared" ref="H158:H164" si="50">U158*$B$1</f>
        <v>314667</v>
      </c>
      <c r="I158">
        <f t="shared" ref="I158:I164" si="51">V158*$B$1</f>
        <v>1506641</v>
      </c>
      <c r="N158">
        <v>0</v>
      </c>
      <c r="O158" s="105">
        <v>437446</v>
      </c>
      <c r="P158" s="105">
        <v>193100</v>
      </c>
      <c r="Q158" s="105">
        <v>159511</v>
      </c>
      <c r="R158" s="105">
        <v>167411</v>
      </c>
      <c r="S158" s="105">
        <v>140594</v>
      </c>
      <c r="T158" s="105">
        <v>93912</v>
      </c>
      <c r="U158" s="105">
        <v>314667</v>
      </c>
      <c r="V158">
        <f>SUM(O158:U158)</f>
        <v>1506641</v>
      </c>
    </row>
    <row r="159" spans="1:22" x14ac:dyDescent="0.2">
      <c r="A159">
        <v>1</v>
      </c>
      <c r="B159">
        <f t="shared" si="49"/>
        <v>154763</v>
      </c>
      <c r="C159">
        <f t="shared" si="49"/>
        <v>31823</v>
      </c>
      <c r="D159">
        <f t="shared" si="49"/>
        <v>43300</v>
      </c>
      <c r="E159">
        <f t="shared" si="49"/>
        <v>31940</v>
      </c>
      <c r="F159">
        <f t="shared" si="49"/>
        <v>26448</v>
      </c>
      <c r="G159">
        <f t="shared" si="49"/>
        <v>10665</v>
      </c>
      <c r="H159">
        <f t="shared" si="50"/>
        <v>36127</v>
      </c>
      <c r="I159">
        <f t="shared" si="51"/>
        <v>335066</v>
      </c>
      <c r="N159">
        <v>1</v>
      </c>
      <c r="O159" s="105">
        <v>154763</v>
      </c>
      <c r="P159" s="105">
        <v>31823</v>
      </c>
      <c r="Q159" s="105">
        <v>43300</v>
      </c>
      <c r="R159" s="105">
        <v>31940</v>
      </c>
      <c r="S159" s="105">
        <v>26448</v>
      </c>
      <c r="T159" s="105">
        <v>10665</v>
      </c>
      <c r="U159" s="105">
        <v>36127</v>
      </c>
      <c r="V159">
        <f t="shared" ref="V159:V164" si="52">SUM(O159:U159)</f>
        <v>335066</v>
      </c>
    </row>
    <row r="160" spans="1:22" x14ac:dyDescent="0.2">
      <c r="A160">
        <v>2</v>
      </c>
      <c r="B160">
        <f t="shared" si="49"/>
        <v>41477</v>
      </c>
      <c r="C160">
        <f t="shared" si="49"/>
        <v>5499</v>
      </c>
      <c r="D160">
        <f t="shared" si="49"/>
        <v>9457</v>
      </c>
      <c r="E160">
        <f t="shared" si="49"/>
        <v>6639</v>
      </c>
      <c r="F160">
        <f t="shared" si="49"/>
        <v>5603</v>
      </c>
      <c r="G160">
        <f t="shared" si="49"/>
        <v>1899</v>
      </c>
      <c r="H160">
        <f t="shared" si="50"/>
        <v>4869</v>
      </c>
      <c r="I160">
        <f t="shared" si="51"/>
        <v>75443</v>
      </c>
      <c r="N160">
        <v>2</v>
      </c>
      <c r="O160" s="105">
        <v>41477</v>
      </c>
      <c r="P160" s="105">
        <v>5499</v>
      </c>
      <c r="Q160" s="105">
        <v>9457</v>
      </c>
      <c r="R160" s="105">
        <v>6639</v>
      </c>
      <c r="S160" s="105">
        <v>5603</v>
      </c>
      <c r="T160" s="105">
        <v>1899</v>
      </c>
      <c r="U160" s="105">
        <v>4869</v>
      </c>
      <c r="V160">
        <f t="shared" si="52"/>
        <v>75443</v>
      </c>
    </row>
    <row r="161" spans="1:22" x14ac:dyDescent="0.2">
      <c r="A161">
        <v>3</v>
      </c>
      <c r="B161">
        <f t="shared" si="49"/>
        <v>11196</v>
      </c>
      <c r="C161">
        <f t="shared" si="49"/>
        <v>987</v>
      </c>
      <c r="D161">
        <f t="shared" si="49"/>
        <v>2017</v>
      </c>
      <c r="E161">
        <f t="shared" si="49"/>
        <v>1373</v>
      </c>
      <c r="F161">
        <f t="shared" si="49"/>
        <v>1123</v>
      </c>
      <c r="G161">
        <f t="shared" si="49"/>
        <v>361</v>
      </c>
      <c r="H161">
        <f t="shared" si="50"/>
        <v>741</v>
      </c>
      <c r="I161">
        <f t="shared" si="51"/>
        <v>17798</v>
      </c>
      <c r="N161">
        <v>3</v>
      </c>
      <c r="O161" s="105">
        <v>11196</v>
      </c>
      <c r="P161" s="105">
        <v>987</v>
      </c>
      <c r="Q161" s="105">
        <v>2017</v>
      </c>
      <c r="R161" s="105">
        <v>1373</v>
      </c>
      <c r="S161" s="105">
        <v>1123</v>
      </c>
      <c r="T161" s="105">
        <v>361</v>
      </c>
      <c r="U161" s="105">
        <v>741</v>
      </c>
      <c r="V161">
        <f t="shared" si="52"/>
        <v>17798</v>
      </c>
    </row>
    <row r="162" spans="1:22" x14ac:dyDescent="0.2">
      <c r="A162">
        <v>4</v>
      </c>
      <c r="B162">
        <f t="shared" si="49"/>
        <v>4631</v>
      </c>
      <c r="C162">
        <f t="shared" si="49"/>
        <v>224</v>
      </c>
      <c r="D162">
        <f t="shared" si="49"/>
        <v>529</v>
      </c>
      <c r="E162">
        <f t="shared" si="49"/>
        <v>331</v>
      </c>
      <c r="F162">
        <f t="shared" si="49"/>
        <v>309</v>
      </c>
      <c r="G162">
        <f t="shared" si="49"/>
        <v>93</v>
      </c>
      <c r="H162">
        <f t="shared" si="50"/>
        <v>155</v>
      </c>
      <c r="I162">
        <f t="shared" si="51"/>
        <v>6272</v>
      </c>
      <c r="N162">
        <v>4</v>
      </c>
      <c r="O162" s="105">
        <v>4631</v>
      </c>
      <c r="P162" s="105">
        <v>224</v>
      </c>
      <c r="Q162" s="105">
        <v>529</v>
      </c>
      <c r="R162" s="105">
        <v>331</v>
      </c>
      <c r="S162" s="105">
        <v>309</v>
      </c>
      <c r="T162" s="105">
        <v>93</v>
      </c>
      <c r="U162" s="105">
        <v>155</v>
      </c>
      <c r="V162">
        <f t="shared" si="52"/>
        <v>6272</v>
      </c>
    </row>
    <row r="163" spans="1:22" x14ac:dyDescent="0.2">
      <c r="A163">
        <v>5</v>
      </c>
      <c r="B163">
        <f t="shared" si="49"/>
        <v>1335</v>
      </c>
      <c r="C163">
        <f t="shared" si="49"/>
        <v>38</v>
      </c>
      <c r="D163">
        <f t="shared" si="49"/>
        <v>110</v>
      </c>
      <c r="E163">
        <f t="shared" si="49"/>
        <v>52</v>
      </c>
      <c r="F163">
        <f t="shared" si="49"/>
        <v>50</v>
      </c>
      <c r="G163">
        <f t="shared" si="49"/>
        <v>20</v>
      </c>
      <c r="H163">
        <f t="shared" si="50"/>
        <v>25</v>
      </c>
      <c r="I163">
        <f t="shared" si="51"/>
        <v>1630</v>
      </c>
      <c r="N163">
        <v>5</v>
      </c>
      <c r="O163" s="105">
        <v>1335</v>
      </c>
      <c r="P163" s="105">
        <v>38</v>
      </c>
      <c r="Q163" s="105">
        <v>110</v>
      </c>
      <c r="R163" s="105">
        <v>52</v>
      </c>
      <c r="S163" s="105">
        <v>50</v>
      </c>
      <c r="T163" s="105">
        <v>20</v>
      </c>
      <c r="U163" s="105">
        <v>25</v>
      </c>
      <c r="V163">
        <f t="shared" si="52"/>
        <v>1630</v>
      </c>
    </row>
    <row r="164" spans="1:22" x14ac:dyDescent="0.2">
      <c r="A164" t="s">
        <v>209</v>
      </c>
      <c r="B164">
        <f t="shared" si="49"/>
        <v>1682</v>
      </c>
      <c r="C164">
        <f t="shared" si="49"/>
        <v>38</v>
      </c>
      <c r="D164">
        <f t="shared" si="49"/>
        <v>58</v>
      </c>
      <c r="E164">
        <f t="shared" si="49"/>
        <v>17</v>
      </c>
      <c r="F164">
        <f t="shared" si="49"/>
        <v>22</v>
      </c>
      <c r="G164">
        <f t="shared" si="49"/>
        <v>6</v>
      </c>
      <c r="H164">
        <f t="shared" si="50"/>
        <v>11</v>
      </c>
      <c r="I164">
        <f t="shared" si="51"/>
        <v>1834</v>
      </c>
      <c r="N164" t="s">
        <v>209</v>
      </c>
      <c r="O164" s="105">
        <v>1682</v>
      </c>
      <c r="P164" s="105">
        <v>38</v>
      </c>
      <c r="Q164" s="105">
        <v>58</v>
      </c>
      <c r="R164" s="105">
        <v>17</v>
      </c>
      <c r="S164" s="105">
        <v>22</v>
      </c>
      <c r="T164" s="105">
        <v>6</v>
      </c>
      <c r="U164" s="105">
        <v>11</v>
      </c>
      <c r="V164">
        <f t="shared" si="52"/>
        <v>1834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269654</v>
      </c>
      <c r="C168">
        <f t="shared" si="53"/>
        <v>146950</v>
      </c>
      <c r="D168">
        <f t="shared" si="53"/>
        <v>136148</v>
      </c>
      <c r="E168">
        <f t="shared" si="53"/>
        <v>150913</v>
      </c>
      <c r="F168">
        <f t="shared" si="53"/>
        <v>128177</v>
      </c>
      <c r="G168">
        <f t="shared" si="53"/>
        <v>88816</v>
      </c>
      <c r="H168">
        <f t="shared" ref="H168:H174" si="54">U168*$B$1</f>
        <v>292348</v>
      </c>
      <c r="I168">
        <f t="shared" ref="I168:I174" si="55">V168*$B$1</f>
        <v>1213006</v>
      </c>
      <c r="N168">
        <v>0</v>
      </c>
      <c r="O168" s="105">
        <v>269654</v>
      </c>
      <c r="P168" s="105">
        <v>146950</v>
      </c>
      <c r="Q168" s="105">
        <v>136148</v>
      </c>
      <c r="R168" s="105">
        <v>150913</v>
      </c>
      <c r="S168" s="105">
        <v>128177</v>
      </c>
      <c r="T168" s="105">
        <v>88816</v>
      </c>
      <c r="U168" s="105">
        <v>292348</v>
      </c>
      <c r="V168">
        <f>SUM(O168:U168)</f>
        <v>1213006</v>
      </c>
    </row>
    <row r="169" spans="1:22" x14ac:dyDescent="0.2">
      <c r="A169">
        <v>1</v>
      </c>
      <c r="B169">
        <f t="shared" si="53"/>
        <v>238878</v>
      </c>
      <c r="C169">
        <f t="shared" si="53"/>
        <v>64191</v>
      </c>
      <c r="D169">
        <f t="shared" si="53"/>
        <v>62494</v>
      </c>
      <c r="E169">
        <f t="shared" si="53"/>
        <v>46556</v>
      </c>
      <c r="F169">
        <f t="shared" si="53"/>
        <v>37928</v>
      </c>
      <c r="G169">
        <f t="shared" si="53"/>
        <v>15785</v>
      </c>
      <c r="H169">
        <f t="shared" si="54"/>
        <v>56554</v>
      </c>
      <c r="I169">
        <f t="shared" si="55"/>
        <v>522386</v>
      </c>
      <c r="N169">
        <v>1</v>
      </c>
      <c r="O169" s="105">
        <v>238878</v>
      </c>
      <c r="P169" s="105">
        <v>64191</v>
      </c>
      <c r="Q169" s="105">
        <v>62494</v>
      </c>
      <c r="R169" s="105">
        <v>46556</v>
      </c>
      <c r="S169" s="105">
        <v>37928</v>
      </c>
      <c r="T169" s="105">
        <v>15785</v>
      </c>
      <c r="U169" s="105">
        <v>56554</v>
      </c>
      <c r="V169">
        <f t="shared" ref="V169:V174" si="56">SUM(O169:U169)</f>
        <v>522386</v>
      </c>
    </row>
    <row r="170" spans="1:22" x14ac:dyDescent="0.2">
      <c r="A170">
        <v>2</v>
      </c>
      <c r="B170">
        <f t="shared" si="53"/>
        <v>100827</v>
      </c>
      <c r="C170">
        <f t="shared" si="53"/>
        <v>17213</v>
      </c>
      <c r="D170">
        <f t="shared" si="53"/>
        <v>13925</v>
      </c>
      <c r="E170">
        <f t="shared" si="53"/>
        <v>8945</v>
      </c>
      <c r="F170">
        <f t="shared" si="53"/>
        <v>7007</v>
      </c>
      <c r="G170">
        <f t="shared" si="53"/>
        <v>2095</v>
      </c>
      <c r="H170">
        <f t="shared" si="54"/>
        <v>6918</v>
      </c>
      <c r="I170">
        <f t="shared" si="55"/>
        <v>156930</v>
      </c>
      <c r="N170">
        <v>2</v>
      </c>
      <c r="O170" s="105">
        <v>100827</v>
      </c>
      <c r="P170" s="105">
        <v>17213</v>
      </c>
      <c r="Q170" s="105">
        <v>13925</v>
      </c>
      <c r="R170" s="105">
        <v>8945</v>
      </c>
      <c r="S170" s="105">
        <v>7007</v>
      </c>
      <c r="T170" s="105">
        <v>2095</v>
      </c>
      <c r="U170" s="105">
        <v>6918</v>
      </c>
      <c r="V170">
        <f t="shared" si="56"/>
        <v>156930</v>
      </c>
    </row>
    <row r="171" spans="1:22" x14ac:dyDescent="0.2">
      <c r="A171">
        <v>3</v>
      </c>
      <c r="B171">
        <f t="shared" si="53"/>
        <v>27773</v>
      </c>
      <c r="C171">
        <f t="shared" si="53"/>
        <v>2756</v>
      </c>
      <c r="D171">
        <f t="shared" si="53"/>
        <v>2018</v>
      </c>
      <c r="E171">
        <f t="shared" si="53"/>
        <v>1167</v>
      </c>
      <c r="F171">
        <f t="shared" si="53"/>
        <v>893</v>
      </c>
      <c r="G171">
        <f t="shared" si="53"/>
        <v>219</v>
      </c>
      <c r="H171">
        <f t="shared" si="54"/>
        <v>660</v>
      </c>
      <c r="I171">
        <f t="shared" si="55"/>
        <v>35486</v>
      </c>
      <c r="N171">
        <v>3</v>
      </c>
      <c r="O171" s="105">
        <v>27773</v>
      </c>
      <c r="P171" s="105">
        <v>2756</v>
      </c>
      <c r="Q171" s="105">
        <v>2018</v>
      </c>
      <c r="R171" s="105">
        <v>1167</v>
      </c>
      <c r="S171" s="105">
        <v>893</v>
      </c>
      <c r="T171" s="105">
        <v>219</v>
      </c>
      <c r="U171" s="105">
        <v>660</v>
      </c>
      <c r="V171">
        <f t="shared" si="56"/>
        <v>35486</v>
      </c>
    </row>
    <row r="172" spans="1:22" x14ac:dyDescent="0.2">
      <c r="A172">
        <v>4</v>
      </c>
      <c r="B172">
        <f t="shared" si="53"/>
        <v>9873</v>
      </c>
      <c r="C172">
        <f t="shared" si="53"/>
        <v>479</v>
      </c>
      <c r="D172">
        <f t="shared" si="53"/>
        <v>346</v>
      </c>
      <c r="E172">
        <f t="shared" si="53"/>
        <v>160</v>
      </c>
      <c r="F172">
        <f t="shared" si="53"/>
        <v>127</v>
      </c>
      <c r="G172">
        <f t="shared" si="53"/>
        <v>36</v>
      </c>
      <c r="H172">
        <f t="shared" si="54"/>
        <v>102</v>
      </c>
      <c r="I172">
        <f t="shared" si="55"/>
        <v>11123</v>
      </c>
      <c r="N172">
        <v>4</v>
      </c>
      <c r="O172" s="105">
        <v>9873</v>
      </c>
      <c r="P172" s="105">
        <v>479</v>
      </c>
      <c r="Q172" s="105">
        <v>346</v>
      </c>
      <c r="R172" s="105">
        <v>160</v>
      </c>
      <c r="S172" s="105">
        <v>127</v>
      </c>
      <c r="T172" s="105">
        <v>36</v>
      </c>
      <c r="U172" s="105">
        <v>102</v>
      </c>
      <c r="V172">
        <f t="shared" si="56"/>
        <v>11123</v>
      </c>
    </row>
    <row r="173" spans="1:22" x14ac:dyDescent="0.2">
      <c r="A173">
        <v>5</v>
      </c>
      <c r="B173">
        <f t="shared" si="53"/>
        <v>1463</v>
      </c>
      <c r="C173">
        <f t="shared" si="53"/>
        <v>58</v>
      </c>
      <c r="D173">
        <f t="shared" si="53"/>
        <v>29</v>
      </c>
      <c r="E173">
        <f t="shared" si="53"/>
        <v>11</v>
      </c>
      <c r="F173">
        <f t="shared" si="53"/>
        <v>12</v>
      </c>
      <c r="G173">
        <f t="shared" si="53"/>
        <v>4</v>
      </c>
      <c r="H173">
        <f t="shared" si="54"/>
        <v>5</v>
      </c>
      <c r="I173">
        <f t="shared" si="55"/>
        <v>1582</v>
      </c>
      <c r="N173">
        <v>5</v>
      </c>
      <c r="O173" s="105">
        <v>1463</v>
      </c>
      <c r="P173" s="105">
        <v>58</v>
      </c>
      <c r="Q173" s="105">
        <v>29</v>
      </c>
      <c r="R173" s="105">
        <v>11</v>
      </c>
      <c r="S173" s="105">
        <v>12</v>
      </c>
      <c r="T173" s="105">
        <v>4</v>
      </c>
      <c r="U173" s="105">
        <v>5</v>
      </c>
      <c r="V173">
        <f t="shared" si="56"/>
        <v>1582</v>
      </c>
    </row>
    <row r="174" spans="1:22" x14ac:dyDescent="0.2">
      <c r="A174" t="s">
        <v>209</v>
      </c>
      <c r="B174">
        <f t="shared" si="53"/>
        <v>4062</v>
      </c>
      <c r="C174">
        <f t="shared" si="53"/>
        <v>62</v>
      </c>
      <c r="D174">
        <f t="shared" si="53"/>
        <v>22</v>
      </c>
      <c r="E174">
        <f t="shared" si="53"/>
        <v>11</v>
      </c>
      <c r="F174">
        <f t="shared" si="53"/>
        <v>5</v>
      </c>
      <c r="G174">
        <f t="shared" si="53"/>
        <v>1</v>
      </c>
      <c r="H174">
        <f t="shared" si="54"/>
        <v>8</v>
      </c>
      <c r="I174">
        <f t="shared" si="55"/>
        <v>4171</v>
      </c>
      <c r="N174" t="s">
        <v>209</v>
      </c>
      <c r="O174" s="105">
        <v>4062</v>
      </c>
      <c r="P174" s="105">
        <v>62</v>
      </c>
      <c r="Q174" s="105">
        <v>22</v>
      </c>
      <c r="R174" s="105">
        <v>11</v>
      </c>
      <c r="S174" s="105">
        <v>5</v>
      </c>
      <c r="T174" s="105">
        <v>1</v>
      </c>
      <c r="U174" s="105">
        <v>8</v>
      </c>
      <c r="V174">
        <f t="shared" si="56"/>
        <v>4171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H185" si="57">O178*$B$1</f>
        <v>505220</v>
      </c>
      <c r="C178">
        <f t="shared" si="57"/>
        <v>72161</v>
      </c>
      <c r="D178">
        <f t="shared" si="57"/>
        <v>0</v>
      </c>
      <c r="E178">
        <f t="shared" si="57"/>
        <v>0</v>
      </c>
      <c r="F178">
        <f t="shared" si="57"/>
        <v>54976</v>
      </c>
      <c r="G178">
        <f t="shared" si="57"/>
        <v>1280</v>
      </c>
      <c r="H178">
        <f t="shared" si="57"/>
        <v>1536</v>
      </c>
      <c r="I178">
        <f t="shared" ref="I178:I185" si="58">V178*$B$1</f>
        <v>0</v>
      </c>
      <c r="J178">
        <f t="shared" ref="J178:J185" si="59">W178*$B$1</f>
        <v>635173</v>
      </c>
      <c r="N178" t="s">
        <v>210</v>
      </c>
      <c r="O178" s="105">
        <v>505220</v>
      </c>
      <c r="P178" s="105">
        <v>72161</v>
      </c>
      <c r="Q178" s="105">
        <v>0</v>
      </c>
      <c r="R178" s="105">
        <v>0</v>
      </c>
      <c r="S178" s="105">
        <v>54976</v>
      </c>
      <c r="T178" s="105">
        <v>1280</v>
      </c>
      <c r="U178" s="105">
        <v>1536</v>
      </c>
      <c r="V178" s="105">
        <v>0</v>
      </c>
      <c r="W178">
        <f>SUM(O178:V178)</f>
        <v>635173</v>
      </c>
    </row>
    <row r="179" spans="1:23" x14ac:dyDescent="0.2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47845</v>
      </c>
      <c r="G179">
        <f t="shared" si="57"/>
        <v>29187</v>
      </c>
      <c r="H179">
        <f t="shared" si="57"/>
        <v>154280</v>
      </c>
      <c r="I179">
        <f t="shared" si="58"/>
        <v>0</v>
      </c>
      <c r="J179">
        <f t="shared" si="59"/>
        <v>231312</v>
      </c>
      <c r="N179" t="s">
        <v>211</v>
      </c>
      <c r="O179" s="105">
        <v>0</v>
      </c>
      <c r="P179" s="105">
        <v>0</v>
      </c>
      <c r="Q179" s="105">
        <v>0</v>
      </c>
      <c r="R179" s="105">
        <v>0</v>
      </c>
      <c r="S179" s="105">
        <v>47845</v>
      </c>
      <c r="T179" s="105">
        <v>29187</v>
      </c>
      <c r="U179" s="105">
        <v>154280</v>
      </c>
      <c r="V179" s="105">
        <v>0</v>
      </c>
      <c r="W179">
        <f t="shared" ref="W179:W185" si="60">SUM(O179:V179)</f>
        <v>231312</v>
      </c>
    </row>
    <row r="180" spans="1:23" x14ac:dyDescent="0.2">
      <c r="A180" t="s">
        <v>212</v>
      </c>
      <c r="B180">
        <f t="shared" si="57"/>
        <v>75363</v>
      </c>
      <c r="C180">
        <f t="shared" si="57"/>
        <v>27542</v>
      </c>
      <c r="D180">
        <f t="shared" si="57"/>
        <v>17138</v>
      </c>
      <c r="E180">
        <f t="shared" si="57"/>
        <v>53498</v>
      </c>
      <c r="F180">
        <f t="shared" si="57"/>
        <v>3041</v>
      </c>
      <c r="G180">
        <f t="shared" si="57"/>
        <v>1486</v>
      </c>
      <c r="H180">
        <f t="shared" si="57"/>
        <v>9367</v>
      </c>
      <c r="I180">
        <f t="shared" si="58"/>
        <v>24807</v>
      </c>
      <c r="J180">
        <f t="shared" si="59"/>
        <v>212242</v>
      </c>
      <c r="N180" t="s">
        <v>212</v>
      </c>
      <c r="O180" s="105">
        <v>75363</v>
      </c>
      <c r="P180" s="105">
        <v>27542</v>
      </c>
      <c r="Q180" s="105">
        <v>17138</v>
      </c>
      <c r="R180" s="105">
        <v>53498</v>
      </c>
      <c r="S180" s="105">
        <v>3041</v>
      </c>
      <c r="T180" s="105">
        <v>1486</v>
      </c>
      <c r="U180" s="105">
        <v>9367</v>
      </c>
      <c r="V180" s="105">
        <v>24807</v>
      </c>
      <c r="W180">
        <f t="shared" si="60"/>
        <v>212242</v>
      </c>
    </row>
    <row r="181" spans="1:23" x14ac:dyDescent="0.2">
      <c r="A181" t="s">
        <v>36</v>
      </c>
      <c r="B181">
        <f t="shared" si="57"/>
        <v>46434</v>
      </c>
      <c r="C181">
        <f t="shared" si="57"/>
        <v>23104</v>
      </c>
      <c r="D181">
        <f t="shared" si="57"/>
        <v>36714</v>
      </c>
      <c r="E181">
        <f t="shared" si="57"/>
        <v>34511</v>
      </c>
      <c r="F181">
        <f t="shared" si="57"/>
        <v>3420</v>
      </c>
      <c r="G181">
        <f t="shared" si="57"/>
        <v>1542</v>
      </c>
      <c r="H181">
        <f t="shared" si="57"/>
        <v>23611</v>
      </c>
      <c r="I181">
        <f t="shared" si="58"/>
        <v>29963</v>
      </c>
      <c r="J181">
        <f t="shared" si="59"/>
        <v>199299</v>
      </c>
      <c r="N181" t="s">
        <v>36</v>
      </c>
      <c r="O181" s="105">
        <v>46434</v>
      </c>
      <c r="P181" s="105">
        <v>23104</v>
      </c>
      <c r="Q181" s="105">
        <v>36714</v>
      </c>
      <c r="R181" s="105">
        <v>34511</v>
      </c>
      <c r="S181" s="105">
        <v>3420</v>
      </c>
      <c r="T181" s="105">
        <v>1542</v>
      </c>
      <c r="U181" s="105">
        <v>23611</v>
      </c>
      <c r="V181" s="105">
        <v>29963</v>
      </c>
      <c r="W181">
        <f t="shared" si="60"/>
        <v>199299</v>
      </c>
    </row>
    <row r="182" spans="1:23" x14ac:dyDescent="0.2">
      <c r="A182" t="s">
        <v>214</v>
      </c>
      <c r="B182">
        <f t="shared" si="57"/>
        <v>53525</v>
      </c>
      <c r="C182">
        <f t="shared" si="57"/>
        <v>17590</v>
      </c>
      <c r="D182">
        <f t="shared" si="57"/>
        <v>27586</v>
      </c>
      <c r="E182">
        <f t="shared" si="57"/>
        <v>36154</v>
      </c>
      <c r="F182">
        <f t="shared" si="57"/>
        <v>3711</v>
      </c>
      <c r="G182">
        <f t="shared" si="57"/>
        <v>441</v>
      </c>
      <c r="H182">
        <f t="shared" si="57"/>
        <v>4800</v>
      </c>
      <c r="I182">
        <f t="shared" si="58"/>
        <v>22121</v>
      </c>
      <c r="J182">
        <f t="shared" si="59"/>
        <v>165928</v>
      </c>
      <c r="N182" t="s">
        <v>214</v>
      </c>
      <c r="O182" s="105">
        <v>53525</v>
      </c>
      <c r="P182" s="105">
        <v>17590</v>
      </c>
      <c r="Q182" s="105">
        <v>27586</v>
      </c>
      <c r="R182" s="105">
        <v>36154</v>
      </c>
      <c r="S182" s="105">
        <v>3711</v>
      </c>
      <c r="T182" s="105">
        <v>441</v>
      </c>
      <c r="U182" s="105">
        <v>4800</v>
      </c>
      <c r="V182" s="105">
        <v>22121</v>
      </c>
      <c r="W182">
        <f t="shared" si="60"/>
        <v>165928</v>
      </c>
    </row>
    <row r="183" spans="1:23" x14ac:dyDescent="0.2">
      <c r="A183" t="s">
        <v>129</v>
      </c>
      <c r="B183">
        <f t="shared" si="57"/>
        <v>26428</v>
      </c>
      <c r="C183">
        <f t="shared" si="57"/>
        <v>7315</v>
      </c>
      <c r="D183">
        <f t="shared" si="57"/>
        <v>10494</v>
      </c>
      <c r="E183">
        <f t="shared" si="57"/>
        <v>12651</v>
      </c>
      <c r="F183">
        <f t="shared" si="57"/>
        <v>2022</v>
      </c>
      <c r="G183">
        <f t="shared" si="57"/>
        <v>2028</v>
      </c>
      <c r="H183">
        <f t="shared" si="57"/>
        <v>7584</v>
      </c>
      <c r="I183">
        <f t="shared" si="58"/>
        <v>4876</v>
      </c>
      <c r="J183">
        <f t="shared" si="59"/>
        <v>73398</v>
      </c>
      <c r="N183" t="s">
        <v>129</v>
      </c>
      <c r="O183" s="105">
        <v>26428</v>
      </c>
      <c r="P183" s="105">
        <v>7315</v>
      </c>
      <c r="Q183" s="105">
        <v>10494</v>
      </c>
      <c r="R183" s="105">
        <v>12651</v>
      </c>
      <c r="S183" s="105">
        <v>2022</v>
      </c>
      <c r="T183" s="105">
        <v>2028</v>
      </c>
      <c r="U183" s="105">
        <v>7584</v>
      </c>
      <c r="V183" s="105">
        <v>4876</v>
      </c>
      <c r="W183">
        <f t="shared" si="60"/>
        <v>73398</v>
      </c>
    </row>
    <row r="184" spans="1:23" x14ac:dyDescent="0.2">
      <c r="A184" t="s">
        <v>130</v>
      </c>
      <c r="B184">
        <f t="shared" si="57"/>
        <v>106969</v>
      </c>
      <c r="C184">
        <f t="shared" si="57"/>
        <v>38295</v>
      </c>
      <c r="D184">
        <f t="shared" si="57"/>
        <v>35367</v>
      </c>
      <c r="E184">
        <f t="shared" si="57"/>
        <v>47576</v>
      </c>
      <c r="F184">
        <f t="shared" si="57"/>
        <v>8790</v>
      </c>
      <c r="G184">
        <f t="shared" si="57"/>
        <v>5213</v>
      </c>
      <c r="H184">
        <f t="shared" si="57"/>
        <v>59288</v>
      </c>
      <c r="I184">
        <f t="shared" si="58"/>
        <v>46278</v>
      </c>
      <c r="J184">
        <f t="shared" si="59"/>
        <v>347776</v>
      </c>
      <c r="N184" t="s">
        <v>130</v>
      </c>
      <c r="O184" s="105">
        <v>106969</v>
      </c>
      <c r="P184" s="105">
        <v>38295</v>
      </c>
      <c r="Q184" s="105">
        <v>35367</v>
      </c>
      <c r="R184" s="105">
        <v>47576</v>
      </c>
      <c r="S184" s="105">
        <v>8790</v>
      </c>
      <c r="T184" s="105">
        <v>5213</v>
      </c>
      <c r="U184" s="105">
        <v>59288</v>
      </c>
      <c r="V184" s="105">
        <v>46278</v>
      </c>
      <c r="W184">
        <f t="shared" si="60"/>
        <v>347776</v>
      </c>
    </row>
    <row r="185" spans="1:23" x14ac:dyDescent="0.2">
      <c r="A185" t="s">
        <v>247</v>
      </c>
      <c r="B185">
        <f t="shared" si="57"/>
        <v>66702</v>
      </c>
      <c r="C185">
        <f t="shared" si="57"/>
        <v>6438</v>
      </c>
      <c r="D185">
        <f t="shared" si="57"/>
        <v>0</v>
      </c>
      <c r="E185">
        <f t="shared" si="57"/>
        <v>0</v>
      </c>
      <c r="F185">
        <f t="shared" si="57"/>
        <v>6232</v>
      </c>
      <c r="G185">
        <f t="shared" si="57"/>
        <v>104</v>
      </c>
      <c r="H185">
        <f t="shared" si="57"/>
        <v>80</v>
      </c>
      <c r="I185">
        <f t="shared" si="58"/>
        <v>0</v>
      </c>
      <c r="J185">
        <f t="shared" si="59"/>
        <v>79556</v>
      </c>
      <c r="N185" t="s">
        <v>247</v>
      </c>
      <c r="O185" s="105">
        <v>66702</v>
      </c>
      <c r="P185" s="105">
        <v>6438</v>
      </c>
      <c r="Q185" s="105">
        <v>0</v>
      </c>
      <c r="R185" s="105">
        <v>0</v>
      </c>
      <c r="S185" s="105">
        <v>6232</v>
      </c>
      <c r="T185" s="105">
        <v>104</v>
      </c>
      <c r="U185" s="105">
        <v>80</v>
      </c>
      <c r="V185" s="105">
        <v>0</v>
      </c>
      <c r="W185">
        <f t="shared" si="60"/>
        <v>79556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D196" si="61">O189*$B$1</f>
        <v>7927</v>
      </c>
      <c r="C189">
        <f t="shared" si="61"/>
        <v>67147</v>
      </c>
      <c r="D189">
        <f t="shared" si="61"/>
        <v>80221</v>
      </c>
      <c r="E189">
        <f t="shared" ref="E189:E196" si="62">R189*$B$1</f>
        <v>479820</v>
      </c>
      <c r="F189">
        <f t="shared" ref="F189:F196" si="63">S189*$B$1</f>
        <v>635115</v>
      </c>
      <c r="N189" t="s">
        <v>210</v>
      </c>
      <c r="O189" s="105">
        <v>7927</v>
      </c>
      <c r="P189" s="105">
        <v>67147</v>
      </c>
      <c r="Q189" s="105">
        <v>80221</v>
      </c>
      <c r="R189" s="105">
        <v>479820</v>
      </c>
      <c r="S189">
        <f>SUM(O189:R189)</f>
        <v>635115</v>
      </c>
    </row>
    <row r="190" spans="1:23" x14ac:dyDescent="0.2">
      <c r="A190" t="s">
        <v>211</v>
      </c>
      <c r="B190">
        <f t="shared" si="61"/>
        <v>8727</v>
      </c>
      <c r="C190">
        <f t="shared" si="61"/>
        <v>30083</v>
      </c>
      <c r="D190">
        <f t="shared" si="61"/>
        <v>27053</v>
      </c>
      <c r="E190">
        <f t="shared" si="62"/>
        <v>165396</v>
      </c>
      <c r="F190">
        <f t="shared" si="63"/>
        <v>231259</v>
      </c>
      <c r="N190" t="s">
        <v>211</v>
      </c>
      <c r="O190" s="105">
        <v>8727</v>
      </c>
      <c r="P190" s="105">
        <v>30083</v>
      </c>
      <c r="Q190" s="105">
        <v>27053</v>
      </c>
      <c r="R190" s="105">
        <v>165396</v>
      </c>
      <c r="S190">
        <f t="shared" ref="S190:S196" si="64">SUM(O190:R190)</f>
        <v>231259</v>
      </c>
    </row>
    <row r="191" spans="1:23" x14ac:dyDescent="0.2">
      <c r="A191" t="s">
        <v>212</v>
      </c>
      <c r="B191">
        <f t="shared" si="61"/>
        <v>6444</v>
      </c>
      <c r="C191">
        <f t="shared" si="61"/>
        <v>26623</v>
      </c>
      <c r="D191">
        <f t="shared" si="61"/>
        <v>27457</v>
      </c>
      <c r="E191">
        <f t="shared" si="62"/>
        <v>151656</v>
      </c>
      <c r="F191">
        <f t="shared" si="63"/>
        <v>212180</v>
      </c>
      <c r="N191" t="s">
        <v>212</v>
      </c>
      <c r="O191" s="105">
        <v>6444</v>
      </c>
      <c r="P191" s="105">
        <v>26623</v>
      </c>
      <c r="Q191" s="105">
        <v>27457</v>
      </c>
      <c r="R191" s="105">
        <v>151656</v>
      </c>
      <c r="S191">
        <f t="shared" si="64"/>
        <v>212180</v>
      </c>
    </row>
    <row r="192" spans="1:23" x14ac:dyDescent="0.2">
      <c r="A192" t="s">
        <v>36</v>
      </c>
      <c r="B192">
        <f t="shared" si="61"/>
        <v>10794</v>
      </c>
      <c r="C192">
        <f t="shared" si="61"/>
        <v>39218</v>
      </c>
      <c r="D192">
        <f t="shared" si="61"/>
        <v>27055</v>
      </c>
      <c r="E192">
        <f t="shared" si="62"/>
        <v>122173</v>
      </c>
      <c r="F192">
        <f t="shared" si="63"/>
        <v>199240</v>
      </c>
      <c r="N192" t="s">
        <v>36</v>
      </c>
      <c r="O192" s="105">
        <v>10794</v>
      </c>
      <c r="P192" s="105">
        <v>39218</v>
      </c>
      <c r="Q192" s="105">
        <v>27055</v>
      </c>
      <c r="R192" s="105">
        <v>122173</v>
      </c>
      <c r="S192">
        <f t="shared" si="64"/>
        <v>199240</v>
      </c>
    </row>
    <row r="193" spans="1:19" x14ac:dyDescent="0.2">
      <c r="A193" t="s">
        <v>214</v>
      </c>
      <c r="B193">
        <f t="shared" si="61"/>
        <v>8455</v>
      </c>
      <c r="C193">
        <f t="shared" si="61"/>
        <v>28805</v>
      </c>
      <c r="D193">
        <f t="shared" si="61"/>
        <v>23194</v>
      </c>
      <c r="E193">
        <f t="shared" si="62"/>
        <v>105425</v>
      </c>
      <c r="F193">
        <f t="shared" si="63"/>
        <v>165879</v>
      </c>
      <c r="N193" t="s">
        <v>214</v>
      </c>
      <c r="O193" s="105">
        <v>8455</v>
      </c>
      <c r="P193" s="105">
        <v>28805</v>
      </c>
      <c r="Q193" s="105">
        <v>23194</v>
      </c>
      <c r="R193" s="105">
        <v>105425</v>
      </c>
      <c r="S193">
        <f t="shared" si="64"/>
        <v>165879</v>
      </c>
    </row>
    <row r="194" spans="1:19" x14ac:dyDescent="0.2">
      <c r="A194" t="s">
        <v>129</v>
      </c>
      <c r="B194">
        <f t="shared" si="61"/>
        <v>2538</v>
      </c>
      <c r="C194">
        <f t="shared" si="61"/>
        <v>11853</v>
      </c>
      <c r="D194">
        <f t="shared" si="61"/>
        <v>10333</v>
      </c>
      <c r="E194">
        <f t="shared" si="62"/>
        <v>48657</v>
      </c>
      <c r="F194">
        <f t="shared" si="63"/>
        <v>73381</v>
      </c>
      <c r="N194" t="s">
        <v>129</v>
      </c>
      <c r="O194" s="105">
        <v>2538</v>
      </c>
      <c r="P194" s="105">
        <v>11853</v>
      </c>
      <c r="Q194" s="105">
        <v>10333</v>
      </c>
      <c r="R194" s="105">
        <v>48657</v>
      </c>
      <c r="S194">
        <f t="shared" si="64"/>
        <v>73381</v>
      </c>
    </row>
    <row r="195" spans="1:19" x14ac:dyDescent="0.2">
      <c r="A195" t="s">
        <v>130</v>
      </c>
      <c r="B195">
        <f t="shared" si="61"/>
        <v>10278</v>
      </c>
      <c r="C195">
        <f t="shared" si="61"/>
        <v>49002</v>
      </c>
      <c r="D195">
        <f t="shared" si="61"/>
        <v>44574</v>
      </c>
      <c r="E195">
        <f t="shared" si="62"/>
        <v>243835</v>
      </c>
      <c r="F195">
        <f t="shared" si="63"/>
        <v>347689</v>
      </c>
      <c r="N195" t="s">
        <v>130</v>
      </c>
      <c r="O195" s="105">
        <v>10278</v>
      </c>
      <c r="P195" s="105">
        <v>49002</v>
      </c>
      <c r="Q195" s="105">
        <v>44574</v>
      </c>
      <c r="R195" s="105">
        <v>243835</v>
      </c>
      <c r="S195">
        <f t="shared" si="64"/>
        <v>347689</v>
      </c>
    </row>
    <row r="196" spans="1:19" x14ac:dyDescent="0.2">
      <c r="A196" t="s">
        <v>247</v>
      </c>
      <c r="B196">
        <f t="shared" si="61"/>
        <v>801</v>
      </c>
      <c r="C196">
        <f t="shared" si="61"/>
        <v>7968</v>
      </c>
      <c r="D196">
        <f t="shared" si="61"/>
        <v>9916</v>
      </c>
      <c r="E196">
        <f t="shared" si="62"/>
        <v>60864</v>
      </c>
      <c r="F196">
        <f t="shared" si="63"/>
        <v>79549</v>
      </c>
      <c r="N196" t="s">
        <v>247</v>
      </c>
      <c r="O196" s="105">
        <v>801</v>
      </c>
      <c r="P196" s="105">
        <v>7968</v>
      </c>
      <c r="Q196" s="105">
        <v>9916</v>
      </c>
      <c r="R196" s="105">
        <v>60864</v>
      </c>
      <c r="S196">
        <f t="shared" si="64"/>
        <v>79549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D207" si="65">O200*$B$1</f>
        <v>10170</v>
      </c>
      <c r="C200">
        <f t="shared" si="65"/>
        <v>153727</v>
      </c>
      <c r="D200">
        <f t="shared" si="65"/>
        <v>357478</v>
      </c>
      <c r="E200">
        <f t="shared" ref="E200:E207" si="66">R200*$B$1</f>
        <v>113798</v>
      </c>
      <c r="F200">
        <f t="shared" ref="F200:F207" si="67">S200*$B$1</f>
        <v>635173</v>
      </c>
      <c r="N200" t="s">
        <v>210</v>
      </c>
      <c r="O200" s="105">
        <v>10170</v>
      </c>
      <c r="P200" s="105">
        <v>153727</v>
      </c>
      <c r="Q200" s="105">
        <v>357478</v>
      </c>
      <c r="R200" s="105">
        <v>113798</v>
      </c>
      <c r="S200">
        <f>SUM(O200:R200)</f>
        <v>635173</v>
      </c>
    </row>
    <row r="201" spans="1:19" x14ac:dyDescent="0.2">
      <c r="A201" t="s">
        <v>211</v>
      </c>
      <c r="B201">
        <f t="shared" si="65"/>
        <v>4386</v>
      </c>
      <c r="C201">
        <f t="shared" si="65"/>
        <v>75697</v>
      </c>
      <c r="D201">
        <f t="shared" si="65"/>
        <v>116598</v>
      </c>
      <c r="E201">
        <f t="shared" si="66"/>
        <v>34631</v>
      </c>
      <c r="F201">
        <f t="shared" si="67"/>
        <v>231312</v>
      </c>
      <c r="N201" t="s">
        <v>211</v>
      </c>
      <c r="O201" s="105">
        <v>4386</v>
      </c>
      <c r="P201" s="105">
        <v>75697</v>
      </c>
      <c r="Q201" s="105">
        <v>116598</v>
      </c>
      <c r="R201" s="105">
        <v>34631</v>
      </c>
      <c r="S201">
        <f t="shared" ref="S201:S207" si="68">SUM(O201:R201)</f>
        <v>231312</v>
      </c>
    </row>
    <row r="202" spans="1:19" x14ac:dyDescent="0.2">
      <c r="A202" t="s">
        <v>212</v>
      </c>
      <c r="B202">
        <f t="shared" si="65"/>
        <v>4378</v>
      </c>
      <c r="C202">
        <f t="shared" si="65"/>
        <v>58502</v>
      </c>
      <c r="D202">
        <f t="shared" si="65"/>
        <v>116115</v>
      </c>
      <c r="E202">
        <f t="shared" si="66"/>
        <v>33247</v>
      </c>
      <c r="F202">
        <f t="shared" si="67"/>
        <v>212242</v>
      </c>
      <c r="N202" t="s">
        <v>212</v>
      </c>
      <c r="O202" s="105">
        <v>4378</v>
      </c>
      <c r="P202" s="105">
        <v>58502</v>
      </c>
      <c r="Q202" s="105">
        <v>116115</v>
      </c>
      <c r="R202" s="105">
        <v>33247</v>
      </c>
      <c r="S202">
        <f t="shared" si="68"/>
        <v>212242</v>
      </c>
    </row>
    <row r="203" spans="1:19" x14ac:dyDescent="0.2">
      <c r="A203" t="s">
        <v>36</v>
      </c>
      <c r="B203">
        <f t="shared" si="65"/>
        <v>7575</v>
      </c>
      <c r="C203">
        <f t="shared" si="65"/>
        <v>47082</v>
      </c>
      <c r="D203">
        <f t="shared" si="65"/>
        <v>111528</v>
      </c>
      <c r="E203">
        <f t="shared" si="66"/>
        <v>33114</v>
      </c>
      <c r="F203">
        <f t="shared" si="67"/>
        <v>199299</v>
      </c>
      <c r="N203" t="s">
        <v>36</v>
      </c>
      <c r="O203" s="105">
        <v>7575</v>
      </c>
      <c r="P203" s="105">
        <v>47082</v>
      </c>
      <c r="Q203" s="105">
        <v>111528</v>
      </c>
      <c r="R203" s="105">
        <v>33114</v>
      </c>
      <c r="S203">
        <f t="shared" si="68"/>
        <v>199299</v>
      </c>
    </row>
    <row r="204" spans="1:19" x14ac:dyDescent="0.2">
      <c r="A204" t="s">
        <v>214</v>
      </c>
      <c r="B204">
        <f t="shared" si="65"/>
        <v>6827</v>
      </c>
      <c r="C204">
        <f t="shared" si="65"/>
        <v>40955</v>
      </c>
      <c r="D204">
        <f t="shared" si="65"/>
        <v>91002</v>
      </c>
      <c r="E204">
        <f t="shared" si="66"/>
        <v>27144</v>
      </c>
      <c r="F204">
        <f t="shared" si="67"/>
        <v>165928</v>
      </c>
      <c r="N204" t="s">
        <v>214</v>
      </c>
      <c r="O204" s="105">
        <v>6827</v>
      </c>
      <c r="P204" s="105">
        <v>40955</v>
      </c>
      <c r="Q204" s="105">
        <v>91002</v>
      </c>
      <c r="R204" s="105">
        <v>27144</v>
      </c>
      <c r="S204">
        <f t="shared" si="68"/>
        <v>165928</v>
      </c>
    </row>
    <row r="205" spans="1:19" x14ac:dyDescent="0.2">
      <c r="A205" t="s">
        <v>129</v>
      </c>
      <c r="B205">
        <f t="shared" si="65"/>
        <v>2201</v>
      </c>
      <c r="C205">
        <f t="shared" si="65"/>
        <v>20535</v>
      </c>
      <c r="D205">
        <f t="shared" si="65"/>
        <v>38745</v>
      </c>
      <c r="E205">
        <f t="shared" si="66"/>
        <v>11917</v>
      </c>
      <c r="F205">
        <f t="shared" si="67"/>
        <v>73398</v>
      </c>
      <c r="N205" t="s">
        <v>129</v>
      </c>
      <c r="O205" s="105">
        <v>2201</v>
      </c>
      <c r="P205" s="105">
        <v>20535</v>
      </c>
      <c r="Q205" s="105">
        <v>38745</v>
      </c>
      <c r="R205" s="105">
        <v>11917</v>
      </c>
      <c r="S205">
        <f t="shared" si="68"/>
        <v>73398</v>
      </c>
    </row>
    <row r="206" spans="1:19" x14ac:dyDescent="0.2">
      <c r="A206" t="s">
        <v>130</v>
      </c>
      <c r="B206">
        <f t="shared" si="65"/>
        <v>8018</v>
      </c>
      <c r="C206">
        <f t="shared" si="65"/>
        <v>80242</v>
      </c>
      <c r="D206">
        <f t="shared" si="65"/>
        <v>198842</v>
      </c>
      <c r="E206">
        <f t="shared" si="66"/>
        <v>60674</v>
      </c>
      <c r="F206">
        <f t="shared" si="67"/>
        <v>347776</v>
      </c>
      <c r="N206" t="s">
        <v>130</v>
      </c>
      <c r="O206" s="105">
        <v>8018</v>
      </c>
      <c r="P206" s="105">
        <v>80242</v>
      </c>
      <c r="Q206" s="105">
        <v>198842</v>
      </c>
      <c r="R206" s="105">
        <v>60674</v>
      </c>
      <c r="S206">
        <f t="shared" si="68"/>
        <v>347776</v>
      </c>
    </row>
    <row r="207" spans="1:19" x14ac:dyDescent="0.2">
      <c r="A207" t="s">
        <v>247</v>
      </c>
      <c r="B207">
        <f t="shared" si="65"/>
        <v>1402</v>
      </c>
      <c r="C207">
        <f t="shared" si="65"/>
        <v>20417</v>
      </c>
      <c r="D207">
        <f t="shared" si="65"/>
        <v>43787</v>
      </c>
      <c r="E207">
        <f t="shared" si="66"/>
        <v>13950</v>
      </c>
      <c r="F207">
        <f t="shared" si="67"/>
        <v>79556</v>
      </c>
      <c r="N207" t="s">
        <v>247</v>
      </c>
      <c r="O207" s="105">
        <v>1402</v>
      </c>
      <c r="P207" s="105">
        <v>20417</v>
      </c>
      <c r="Q207" s="105">
        <v>43787</v>
      </c>
      <c r="R207" s="105">
        <v>13950</v>
      </c>
      <c r="S207">
        <f t="shared" si="68"/>
        <v>79556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69">O211*$B$1</f>
        <v>81614</v>
      </c>
      <c r="C211">
        <f t="shared" si="69"/>
        <v>8082</v>
      </c>
      <c r="D211">
        <f t="shared" si="69"/>
        <v>79505</v>
      </c>
      <c r="E211">
        <f t="shared" si="69"/>
        <v>60725</v>
      </c>
      <c r="F211">
        <f t="shared" ref="F211:G218" si="70">S211*$B$1</f>
        <v>94339</v>
      </c>
      <c r="G211">
        <f t="shared" si="70"/>
        <v>8729</v>
      </c>
      <c r="H211">
        <f t="shared" ref="H211:I218" si="71">U211*$B$1</f>
        <v>302179</v>
      </c>
      <c r="I211">
        <f t="shared" si="71"/>
        <v>635173</v>
      </c>
      <c r="N211" t="s">
        <v>210</v>
      </c>
      <c r="O211" s="105">
        <v>81614</v>
      </c>
      <c r="P211" s="105">
        <v>8082</v>
      </c>
      <c r="Q211" s="105">
        <v>79505</v>
      </c>
      <c r="R211" s="105">
        <v>60725</v>
      </c>
      <c r="S211" s="105">
        <v>94339</v>
      </c>
      <c r="T211" s="105">
        <v>8729</v>
      </c>
      <c r="U211">
        <v>302179</v>
      </c>
      <c r="V211">
        <f>SUM(O211:U211)</f>
        <v>635173</v>
      </c>
    </row>
    <row r="212" spans="1:23" x14ac:dyDescent="0.2">
      <c r="A212" t="s">
        <v>211</v>
      </c>
      <c r="B212">
        <f t="shared" si="69"/>
        <v>32240</v>
      </c>
      <c r="C212">
        <f t="shared" si="69"/>
        <v>1457</v>
      </c>
      <c r="D212">
        <f t="shared" si="69"/>
        <v>25421</v>
      </c>
      <c r="E212">
        <f t="shared" si="69"/>
        <v>22162</v>
      </c>
      <c r="F212">
        <f t="shared" si="70"/>
        <v>28689</v>
      </c>
      <c r="G212">
        <f t="shared" si="70"/>
        <v>854</v>
      </c>
      <c r="H212">
        <f t="shared" si="71"/>
        <v>120489</v>
      </c>
      <c r="I212">
        <f t="shared" si="71"/>
        <v>231312</v>
      </c>
      <c r="N212" t="s">
        <v>211</v>
      </c>
      <c r="O212" s="105">
        <v>32240</v>
      </c>
      <c r="P212" s="105">
        <v>1457</v>
      </c>
      <c r="Q212" s="105">
        <v>25421</v>
      </c>
      <c r="R212" s="105">
        <v>22162</v>
      </c>
      <c r="S212" s="105">
        <v>28689</v>
      </c>
      <c r="T212" s="105">
        <v>854</v>
      </c>
      <c r="U212">
        <v>120489</v>
      </c>
      <c r="V212">
        <f t="shared" ref="V212:V218" si="72">SUM(O212:U212)</f>
        <v>231312</v>
      </c>
    </row>
    <row r="213" spans="1:23" x14ac:dyDescent="0.2">
      <c r="A213" t="s">
        <v>212</v>
      </c>
      <c r="B213">
        <f t="shared" si="69"/>
        <v>29670</v>
      </c>
      <c r="C213">
        <f t="shared" si="69"/>
        <v>2027</v>
      </c>
      <c r="D213">
        <f t="shared" si="69"/>
        <v>24333</v>
      </c>
      <c r="E213">
        <f t="shared" si="69"/>
        <v>21384</v>
      </c>
      <c r="F213">
        <f t="shared" si="70"/>
        <v>26672</v>
      </c>
      <c r="G213">
        <f t="shared" si="70"/>
        <v>1388</v>
      </c>
      <c r="H213">
        <f t="shared" si="71"/>
        <v>106768</v>
      </c>
      <c r="I213">
        <f t="shared" si="71"/>
        <v>212242</v>
      </c>
      <c r="N213" t="s">
        <v>212</v>
      </c>
      <c r="O213" s="105">
        <v>29670</v>
      </c>
      <c r="P213" s="105">
        <v>2027</v>
      </c>
      <c r="Q213" s="105">
        <v>24333</v>
      </c>
      <c r="R213" s="105">
        <v>21384</v>
      </c>
      <c r="S213" s="105">
        <v>26672</v>
      </c>
      <c r="T213" s="105">
        <v>1388</v>
      </c>
      <c r="U213">
        <v>106768</v>
      </c>
      <c r="V213">
        <f t="shared" si="72"/>
        <v>212242</v>
      </c>
    </row>
    <row r="214" spans="1:23" x14ac:dyDescent="0.2">
      <c r="A214" t="s">
        <v>36</v>
      </c>
      <c r="B214">
        <f t="shared" si="69"/>
        <v>28726</v>
      </c>
      <c r="C214">
        <f t="shared" si="69"/>
        <v>3339</v>
      </c>
      <c r="D214">
        <f t="shared" si="69"/>
        <v>25444</v>
      </c>
      <c r="E214">
        <f t="shared" si="69"/>
        <v>20737</v>
      </c>
      <c r="F214">
        <f t="shared" si="70"/>
        <v>25036</v>
      </c>
      <c r="G214">
        <f t="shared" si="70"/>
        <v>1892</v>
      </c>
      <c r="H214">
        <f t="shared" si="71"/>
        <v>94125</v>
      </c>
      <c r="I214">
        <f t="shared" si="71"/>
        <v>199299</v>
      </c>
      <c r="N214" t="s">
        <v>36</v>
      </c>
      <c r="O214" s="105">
        <v>28726</v>
      </c>
      <c r="P214" s="105">
        <v>3339</v>
      </c>
      <c r="Q214" s="105">
        <v>25444</v>
      </c>
      <c r="R214" s="105">
        <v>20737</v>
      </c>
      <c r="S214" s="105">
        <v>25036</v>
      </c>
      <c r="T214" s="105">
        <v>1892</v>
      </c>
      <c r="U214">
        <v>94125</v>
      </c>
      <c r="V214">
        <f t="shared" si="72"/>
        <v>199299</v>
      </c>
    </row>
    <row r="215" spans="1:23" x14ac:dyDescent="0.2">
      <c r="A215" t="s">
        <v>214</v>
      </c>
      <c r="B215">
        <f t="shared" si="69"/>
        <v>23868</v>
      </c>
      <c r="C215">
        <f t="shared" si="69"/>
        <v>2936</v>
      </c>
      <c r="D215">
        <f t="shared" si="69"/>
        <v>21170</v>
      </c>
      <c r="E215">
        <f t="shared" si="69"/>
        <v>16844</v>
      </c>
      <c r="F215">
        <f t="shared" si="70"/>
        <v>20979</v>
      </c>
      <c r="G215">
        <f t="shared" si="70"/>
        <v>1678</v>
      </c>
      <c r="H215">
        <f t="shared" si="71"/>
        <v>78453</v>
      </c>
      <c r="I215">
        <f t="shared" si="71"/>
        <v>165928</v>
      </c>
      <c r="N215" t="s">
        <v>214</v>
      </c>
      <c r="O215" s="105">
        <v>23868</v>
      </c>
      <c r="P215" s="105">
        <v>2936</v>
      </c>
      <c r="Q215" s="105">
        <v>21170</v>
      </c>
      <c r="R215" s="105">
        <v>16844</v>
      </c>
      <c r="S215" s="105">
        <v>20979</v>
      </c>
      <c r="T215" s="105">
        <v>1678</v>
      </c>
      <c r="U215">
        <v>78453</v>
      </c>
      <c r="V215">
        <f t="shared" si="72"/>
        <v>165928</v>
      </c>
    </row>
    <row r="216" spans="1:23" x14ac:dyDescent="0.2">
      <c r="A216" t="s">
        <v>129</v>
      </c>
      <c r="B216">
        <f t="shared" si="69"/>
        <v>11423</v>
      </c>
      <c r="C216">
        <f t="shared" si="69"/>
        <v>1494</v>
      </c>
      <c r="D216">
        <f t="shared" si="69"/>
        <v>9695</v>
      </c>
      <c r="E216">
        <f t="shared" si="69"/>
        <v>7553</v>
      </c>
      <c r="F216">
        <f t="shared" si="70"/>
        <v>10445</v>
      </c>
      <c r="G216">
        <f t="shared" si="70"/>
        <v>941</v>
      </c>
      <c r="H216">
        <f t="shared" si="71"/>
        <v>31847</v>
      </c>
      <c r="I216">
        <f t="shared" si="71"/>
        <v>73398</v>
      </c>
      <c r="N216" t="s">
        <v>129</v>
      </c>
      <c r="O216" s="105">
        <v>11423</v>
      </c>
      <c r="P216" s="105">
        <v>1494</v>
      </c>
      <c r="Q216" s="105">
        <v>9695</v>
      </c>
      <c r="R216" s="105">
        <v>7553</v>
      </c>
      <c r="S216" s="105">
        <v>10445</v>
      </c>
      <c r="T216" s="105">
        <v>941</v>
      </c>
      <c r="U216">
        <v>31847</v>
      </c>
      <c r="V216">
        <f t="shared" si="72"/>
        <v>73398</v>
      </c>
    </row>
    <row r="217" spans="1:23" x14ac:dyDescent="0.2">
      <c r="A217" t="s">
        <v>130</v>
      </c>
      <c r="B217">
        <f t="shared" si="69"/>
        <v>53239</v>
      </c>
      <c r="C217">
        <f t="shared" si="69"/>
        <v>5391</v>
      </c>
      <c r="D217">
        <f t="shared" si="69"/>
        <v>44991</v>
      </c>
      <c r="E217">
        <f t="shared" si="69"/>
        <v>36939</v>
      </c>
      <c r="F217">
        <f t="shared" si="70"/>
        <v>48691</v>
      </c>
      <c r="G217">
        <f t="shared" si="70"/>
        <v>4040</v>
      </c>
      <c r="H217">
        <f t="shared" si="71"/>
        <v>154485</v>
      </c>
      <c r="I217">
        <f t="shared" si="71"/>
        <v>347776</v>
      </c>
      <c r="N217" t="s">
        <v>130</v>
      </c>
      <c r="O217" s="105">
        <v>53239</v>
      </c>
      <c r="P217" s="105">
        <v>5391</v>
      </c>
      <c r="Q217" s="105">
        <v>44991</v>
      </c>
      <c r="R217" s="105">
        <v>36939</v>
      </c>
      <c r="S217" s="105">
        <v>48691</v>
      </c>
      <c r="T217" s="105">
        <v>4040</v>
      </c>
      <c r="U217">
        <v>154485</v>
      </c>
      <c r="V217">
        <f t="shared" si="72"/>
        <v>347776</v>
      </c>
    </row>
    <row r="218" spans="1:23" x14ac:dyDescent="0.2">
      <c r="A218" t="s">
        <v>247</v>
      </c>
      <c r="B218">
        <f t="shared" si="69"/>
        <v>10197</v>
      </c>
      <c r="C218">
        <f t="shared" si="69"/>
        <v>1089</v>
      </c>
      <c r="D218">
        <f t="shared" si="69"/>
        <v>10085</v>
      </c>
      <c r="E218">
        <f t="shared" si="69"/>
        <v>7309</v>
      </c>
      <c r="F218">
        <f t="shared" si="70"/>
        <v>13334</v>
      </c>
      <c r="G218">
        <f t="shared" si="70"/>
        <v>1348</v>
      </c>
      <c r="H218">
        <f t="shared" si="71"/>
        <v>36194</v>
      </c>
      <c r="I218">
        <f t="shared" si="71"/>
        <v>79556</v>
      </c>
      <c r="N218" t="s">
        <v>247</v>
      </c>
      <c r="O218" s="105">
        <v>10197</v>
      </c>
      <c r="P218" s="105">
        <v>1089</v>
      </c>
      <c r="Q218" s="105">
        <v>10085</v>
      </c>
      <c r="R218" s="105">
        <v>7309</v>
      </c>
      <c r="S218" s="105">
        <v>13334</v>
      </c>
      <c r="T218" s="105">
        <v>1348</v>
      </c>
      <c r="U218">
        <v>36194</v>
      </c>
      <c r="V218">
        <f t="shared" si="72"/>
        <v>79556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H228" si="73">O222*$B$1</f>
        <v>85458</v>
      </c>
      <c r="C222">
        <f t="shared" si="73"/>
        <v>11070</v>
      </c>
      <c r="D222">
        <f t="shared" si="73"/>
        <v>0</v>
      </c>
      <c r="E222">
        <f t="shared" si="73"/>
        <v>0</v>
      </c>
      <c r="F222">
        <f t="shared" si="73"/>
        <v>8141</v>
      </c>
      <c r="G222">
        <f t="shared" si="73"/>
        <v>110</v>
      </c>
      <c r="H222">
        <f t="shared" si="73"/>
        <v>149</v>
      </c>
      <c r="I222">
        <f t="shared" ref="I222:I228" si="74">V222*$B$1</f>
        <v>0</v>
      </c>
      <c r="J222">
        <f t="shared" ref="J222:J228" si="75">W222*$B$1</f>
        <v>104928</v>
      </c>
      <c r="N222" t="s">
        <v>210</v>
      </c>
      <c r="O222" s="105">
        <v>85458</v>
      </c>
      <c r="P222" s="105">
        <v>11070</v>
      </c>
      <c r="Q222" s="105">
        <v>0</v>
      </c>
      <c r="R222" s="105">
        <v>0</v>
      </c>
      <c r="S222" s="105">
        <v>8141</v>
      </c>
      <c r="T222" s="105">
        <v>110</v>
      </c>
      <c r="U222" s="105">
        <v>149</v>
      </c>
      <c r="V222" s="105">
        <v>0</v>
      </c>
      <c r="W222">
        <f>SUM(O222:V222)</f>
        <v>104928</v>
      </c>
    </row>
    <row r="223" spans="1:23" x14ac:dyDescent="0.2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7573</v>
      </c>
      <c r="G223">
        <f t="shared" si="73"/>
        <v>4495</v>
      </c>
      <c r="H223">
        <f t="shared" si="73"/>
        <v>20787</v>
      </c>
      <c r="I223">
        <f t="shared" si="74"/>
        <v>0</v>
      </c>
      <c r="J223">
        <f t="shared" si="75"/>
        <v>32855</v>
      </c>
      <c r="N223" t="s">
        <v>211</v>
      </c>
      <c r="O223" s="105">
        <v>0</v>
      </c>
      <c r="P223" s="105">
        <v>0</v>
      </c>
      <c r="Q223" s="105">
        <v>0</v>
      </c>
      <c r="R223" s="105">
        <v>0</v>
      </c>
      <c r="S223" s="105">
        <v>7573</v>
      </c>
      <c r="T223" s="105">
        <v>4495</v>
      </c>
      <c r="U223" s="105">
        <v>20787</v>
      </c>
      <c r="V223" s="105">
        <v>0</v>
      </c>
      <c r="W223">
        <f t="shared" ref="W223:W228" si="76">SUM(O223:V223)</f>
        <v>32855</v>
      </c>
    </row>
    <row r="224" spans="1:23" x14ac:dyDescent="0.2">
      <c r="A224" t="s">
        <v>212</v>
      </c>
      <c r="B224">
        <f t="shared" si="73"/>
        <v>144626</v>
      </c>
      <c r="C224">
        <f t="shared" si="73"/>
        <v>15314</v>
      </c>
      <c r="D224">
        <f t="shared" si="73"/>
        <v>3565</v>
      </c>
      <c r="E224">
        <f t="shared" si="73"/>
        <v>9474</v>
      </c>
      <c r="F224">
        <f t="shared" si="73"/>
        <v>13658</v>
      </c>
      <c r="G224">
        <f t="shared" si="73"/>
        <v>2274</v>
      </c>
      <c r="H224">
        <f t="shared" si="73"/>
        <v>9211</v>
      </c>
      <c r="I224">
        <f t="shared" si="74"/>
        <v>6565</v>
      </c>
      <c r="J224">
        <f t="shared" si="75"/>
        <v>204687</v>
      </c>
      <c r="N224" t="s">
        <v>212</v>
      </c>
      <c r="O224" s="105">
        <v>144626</v>
      </c>
      <c r="P224" s="105">
        <v>15314</v>
      </c>
      <c r="Q224" s="105">
        <v>3565</v>
      </c>
      <c r="R224" s="105">
        <v>9474</v>
      </c>
      <c r="S224" s="105">
        <v>13658</v>
      </c>
      <c r="T224" s="105">
        <v>2274</v>
      </c>
      <c r="U224" s="105">
        <v>9211</v>
      </c>
      <c r="V224" s="105">
        <v>6565</v>
      </c>
      <c r="W224">
        <f t="shared" si="76"/>
        <v>204687</v>
      </c>
    </row>
    <row r="225" spans="1:23" x14ac:dyDescent="0.2">
      <c r="A225" t="s">
        <v>36</v>
      </c>
      <c r="B225">
        <f t="shared" si="73"/>
        <v>169956</v>
      </c>
      <c r="C225">
        <f t="shared" si="73"/>
        <v>35823</v>
      </c>
      <c r="D225">
        <f t="shared" si="73"/>
        <v>33104</v>
      </c>
      <c r="E225">
        <f t="shared" si="73"/>
        <v>36980</v>
      </c>
      <c r="F225">
        <f t="shared" si="73"/>
        <v>18480</v>
      </c>
      <c r="G225">
        <f t="shared" si="73"/>
        <v>3318</v>
      </c>
      <c r="H225">
        <f t="shared" si="73"/>
        <v>33625</v>
      </c>
      <c r="I225">
        <f t="shared" si="74"/>
        <v>30388</v>
      </c>
      <c r="J225">
        <f t="shared" si="75"/>
        <v>361674</v>
      </c>
      <c r="N225" t="s">
        <v>36</v>
      </c>
      <c r="O225" s="105">
        <v>169956</v>
      </c>
      <c r="P225" s="105">
        <v>35823</v>
      </c>
      <c r="Q225" s="105">
        <v>33104</v>
      </c>
      <c r="R225" s="105">
        <v>36980</v>
      </c>
      <c r="S225" s="105">
        <v>18480</v>
      </c>
      <c r="T225" s="105">
        <v>3318</v>
      </c>
      <c r="U225" s="105">
        <v>33625</v>
      </c>
      <c r="V225" s="105">
        <v>30388</v>
      </c>
      <c r="W225">
        <f t="shared" si="76"/>
        <v>361674</v>
      </c>
    </row>
    <row r="226" spans="1:23" x14ac:dyDescent="0.2">
      <c r="A226" t="s">
        <v>214</v>
      </c>
      <c r="B226">
        <f t="shared" si="73"/>
        <v>272370</v>
      </c>
      <c r="C226">
        <f t="shared" si="73"/>
        <v>42110</v>
      </c>
      <c r="D226">
        <f t="shared" si="73"/>
        <v>39835</v>
      </c>
      <c r="E226">
        <f t="shared" si="73"/>
        <v>56216</v>
      </c>
      <c r="F226">
        <f t="shared" si="73"/>
        <v>30588</v>
      </c>
      <c r="G226">
        <f t="shared" si="73"/>
        <v>1677</v>
      </c>
      <c r="H226">
        <f t="shared" si="73"/>
        <v>7903</v>
      </c>
      <c r="I226">
        <f t="shared" si="74"/>
        <v>33191</v>
      </c>
      <c r="J226">
        <f t="shared" si="75"/>
        <v>483890</v>
      </c>
      <c r="N226" t="s">
        <v>214</v>
      </c>
      <c r="O226" s="105">
        <v>272370</v>
      </c>
      <c r="P226" s="105">
        <v>42110</v>
      </c>
      <c r="Q226" s="105">
        <v>39835</v>
      </c>
      <c r="R226" s="105">
        <v>56216</v>
      </c>
      <c r="S226" s="105">
        <v>30588</v>
      </c>
      <c r="T226" s="105">
        <v>1677</v>
      </c>
      <c r="U226" s="105">
        <v>7903</v>
      </c>
      <c r="V226" s="105">
        <v>33191</v>
      </c>
      <c r="W226">
        <f t="shared" si="76"/>
        <v>483890</v>
      </c>
    </row>
    <row r="227" spans="1:23" x14ac:dyDescent="0.2">
      <c r="A227" t="s">
        <v>129</v>
      </c>
      <c r="B227">
        <f t="shared" si="73"/>
        <v>141952</v>
      </c>
      <c r="C227">
        <f t="shared" si="73"/>
        <v>19244</v>
      </c>
      <c r="D227">
        <f t="shared" si="73"/>
        <v>13865</v>
      </c>
      <c r="E227">
        <f t="shared" si="73"/>
        <v>20305</v>
      </c>
      <c r="F227">
        <f t="shared" si="73"/>
        <v>21018</v>
      </c>
      <c r="G227">
        <f t="shared" si="73"/>
        <v>8894</v>
      </c>
      <c r="H227">
        <f t="shared" si="73"/>
        <v>24139</v>
      </c>
      <c r="I227">
        <f t="shared" si="74"/>
        <v>8751</v>
      </c>
      <c r="J227">
        <f t="shared" si="75"/>
        <v>258168</v>
      </c>
      <c r="N227" t="s">
        <v>129</v>
      </c>
      <c r="O227" s="105">
        <v>141952</v>
      </c>
      <c r="P227" s="105">
        <v>19244</v>
      </c>
      <c r="Q227" s="105">
        <v>13865</v>
      </c>
      <c r="R227" s="105">
        <v>20305</v>
      </c>
      <c r="S227" s="105">
        <v>21018</v>
      </c>
      <c r="T227" s="105">
        <v>8894</v>
      </c>
      <c r="U227" s="105">
        <v>24139</v>
      </c>
      <c r="V227" s="105">
        <v>8751</v>
      </c>
      <c r="W227">
        <f t="shared" si="76"/>
        <v>258168</v>
      </c>
    </row>
    <row r="228" spans="1:23" x14ac:dyDescent="0.2">
      <c r="A228" t="s">
        <v>130</v>
      </c>
      <c r="B228">
        <f t="shared" si="73"/>
        <v>119558</v>
      </c>
      <c r="C228">
        <f t="shared" si="73"/>
        <v>25472</v>
      </c>
      <c r="D228">
        <f t="shared" si="73"/>
        <v>15181</v>
      </c>
      <c r="E228">
        <f t="shared" si="73"/>
        <v>21327</v>
      </c>
      <c r="F228">
        <f t="shared" si="73"/>
        <v>18233</v>
      </c>
      <c r="G228">
        <f t="shared" si="73"/>
        <v>5851</v>
      </c>
      <c r="H228">
        <f t="shared" si="73"/>
        <v>48734</v>
      </c>
      <c r="I228">
        <f t="shared" si="74"/>
        <v>20251</v>
      </c>
      <c r="J228">
        <f t="shared" si="75"/>
        <v>274607</v>
      </c>
      <c r="N228" t="s">
        <v>130</v>
      </c>
      <c r="O228" s="105">
        <v>119558</v>
      </c>
      <c r="P228" s="105">
        <v>25472</v>
      </c>
      <c r="Q228" s="105">
        <v>15181</v>
      </c>
      <c r="R228" s="105">
        <v>21327</v>
      </c>
      <c r="S228" s="105">
        <v>18233</v>
      </c>
      <c r="T228" s="105">
        <v>5851</v>
      </c>
      <c r="U228" s="105">
        <v>48734</v>
      </c>
      <c r="V228" s="105">
        <v>20251</v>
      </c>
      <c r="W228">
        <f t="shared" si="76"/>
        <v>274607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D238" si="77">O232*$B$1</f>
        <v>1189</v>
      </c>
      <c r="C232">
        <f t="shared" si="77"/>
        <v>10985</v>
      </c>
      <c r="D232">
        <f t="shared" si="77"/>
        <v>13160</v>
      </c>
      <c r="E232">
        <f t="shared" ref="E232:E238" si="78">R232*$B$1</f>
        <v>79582</v>
      </c>
      <c r="F232">
        <f t="shared" ref="F232:F238" si="79">S232*$B$1</f>
        <v>104916</v>
      </c>
      <c r="N232" t="s">
        <v>210</v>
      </c>
      <c r="O232" s="105">
        <v>1189</v>
      </c>
      <c r="P232" s="105">
        <v>10985</v>
      </c>
      <c r="Q232" s="105">
        <v>13160</v>
      </c>
      <c r="R232" s="105">
        <v>79582</v>
      </c>
      <c r="S232">
        <f>SUM(O232:R232)</f>
        <v>104916</v>
      </c>
    </row>
    <row r="233" spans="1:23" x14ac:dyDescent="0.2">
      <c r="A233" t="s">
        <v>211</v>
      </c>
      <c r="B233">
        <f t="shared" si="77"/>
        <v>1137</v>
      </c>
      <c r="C233">
        <f t="shared" si="77"/>
        <v>4173</v>
      </c>
      <c r="D233">
        <f t="shared" si="77"/>
        <v>3765</v>
      </c>
      <c r="E233">
        <f t="shared" si="78"/>
        <v>23777</v>
      </c>
      <c r="F233">
        <f t="shared" si="79"/>
        <v>32852</v>
      </c>
      <c r="N233" t="s">
        <v>211</v>
      </c>
      <c r="O233" s="105">
        <v>1137</v>
      </c>
      <c r="P233" s="105">
        <v>4173</v>
      </c>
      <c r="Q233" s="105">
        <v>3765</v>
      </c>
      <c r="R233" s="105">
        <v>23777</v>
      </c>
      <c r="S233">
        <f t="shared" ref="S233:S238" si="80">SUM(O233:R233)</f>
        <v>32852</v>
      </c>
    </row>
    <row r="234" spans="1:23" x14ac:dyDescent="0.2">
      <c r="A234" t="s">
        <v>212</v>
      </c>
      <c r="B234">
        <f t="shared" si="77"/>
        <v>2665</v>
      </c>
      <c r="C234">
        <f t="shared" si="77"/>
        <v>17618</v>
      </c>
      <c r="D234">
        <f t="shared" si="77"/>
        <v>23742</v>
      </c>
      <c r="E234">
        <f t="shared" si="78"/>
        <v>160642</v>
      </c>
      <c r="F234">
        <f t="shared" si="79"/>
        <v>204667</v>
      </c>
      <c r="N234" t="s">
        <v>212</v>
      </c>
      <c r="O234" s="105">
        <v>2665</v>
      </c>
      <c r="P234" s="105">
        <v>17618</v>
      </c>
      <c r="Q234" s="105">
        <v>23742</v>
      </c>
      <c r="R234" s="105">
        <v>160642</v>
      </c>
      <c r="S234">
        <f t="shared" si="80"/>
        <v>204667</v>
      </c>
    </row>
    <row r="235" spans="1:23" x14ac:dyDescent="0.2">
      <c r="A235" t="s">
        <v>36</v>
      </c>
      <c r="B235">
        <f t="shared" si="77"/>
        <v>12075</v>
      </c>
      <c r="C235">
        <f t="shared" si="77"/>
        <v>54906</v>
      </c>
      <c r="D235">
        <f t="shared" si="77"/>
        <v>46449</v>
      </c>
      <c r="E235">
        <f t="shared" si="78"/>
        <v>248167</v>
      </c>
      <c r="F235">
        <f t="shared" si="79"/>
        <v>361597</v>
      </c>
      <c r="N235" t="s">
        <v>36</v>
      </c>
      <c r="O235" s="105">
        <v>12075</v>
      </c>
      <c r="P235" s="105">
        <v>54906</v>
      </c>
      <c r="Q235" s="105">
        <v>46449</v>
      </c>
      <c r="R235" s="105">
        <v>248167</v>
      </c>
      <c r="S235">
        <f t="shared" si="80"/>
        <v>361597</v>
      </c>
    </row>
    <row r="236" spans="1:23" x14ac:dyDescent="0.2">
      <c r="A236" t="s">
        <v>214</v>
      </c>
      <c r="B236">
        <f t="shared" si="77"/>
        <v>14558</v>
      </c>
      <c r="C236">
        <f t="shared" si="77"/>
        <v>64766</v>
      </c>
      <c r="D236">
        <f t="shared" si="77"/>
        <v>62361</v>
      </c>
      <c r="E236">
        <f t="shared" si="78"/>
        <v>342100</v>
      </c>
      <c r="F236">
        <f t="shared" si="79"/>
        <v>483785</v>
      </c>
      <c r="N236" t="s">
        <v>214</v>
      </c>
      <c r="O236" s="105">
        <v>14558</v>
      </c>
      <c r="P236" s="105">
        <v>64766</v>
      </c>
      <c r="Q236" s="105">
        <v>62361</v>
      </c>
      <c r="R236" s="105">
        <v>342100</v>
      </c>
      <c r="S236">
        <f t="shared" si="80"/>
        <v>483785</v>
      </c>
    </row>
    <row r="237" spans="1:23" x14ac:dyDescent="0.2">
      <c r="A237" t="s">
        <v>129</v>
      </c>
      <c r="B237">
        <f t="shared" si="77"/>
        <v>5304</v>
      </c>
      <c r="C237">
        <f t="shared" si="77"/>
        <v>31363</v>
      </c>
      <c r="D237">
        <f t="shared" si="77"/>
        <v>32915</v>
      </c>
      <c r="E237">
        <f t="shared" si="78"/>
        <v>188540</v>
      </c>
      <c r="F237">
        <f t="shared" si="79"/>
        <v>258122</v>
      </c>
      <c r="N237" t="s">
        <v>129</v>
      </c>
      <c r="O237" s="105">
        <v>5304</v>
      </c>
      <c r="P237" s="105">
        <v>31363</v>
      </c>
      <c r="Q237" s="105">
        <v>32915</v>
      </c>
      <c r="R237" s="105">
        <v>188540</v>
      </c>
      <c r="S237">
        <f t="shared" si="80"/>
        <v>258122</v>
      </c>
    </row>
    <row r="238" spans="1:23" x14ac:dyDescent="0.2">
      <c r="A238" t="s">
        <v>130</v>
      </c>
      <c r="B238">
        <f t="shared" si="77"/>
        <v>5788</v>
      </c>
      <c r="C238">
        <f t="shared" si="77"/>
        <v>32296</v>
      </c>
      <c r="D238">
        <f t="shared" si="77"/>
        <v>32924</v>
      </c>
      <c r="E238">
        <f t="shared" si="78"/>
        <v>203542</v>
      </c>
      <c r="F238">
        <f t="shared" si="79"/>
        <v>274550</v>
      </c>
      <c r="N238" t="s">
        <v>130</v>
      </c>
      <c r="O238" s="105">
        <v>5788</v>
      </c>
      <c r="P238" s="105">
        <v>32296</v>
      </c>
      <c r="Q238" s="105">
        <v>32924</v>
      </c>
      <c r="R238" s="105">
        <v>203542</v>
      </c>
      <c r="S238">
        <f t="shared" si="80"/>
        <v>274550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D248" si="81">O242*$B$1</f>
        <v>1816</v>
      </c>
      <c r="C242">
        <f t="shared" si="81"/>
        <v>25394</v>
      </c>
      <c r="D242">
        <f t="shared" si="81"/>
        <v>58750</v>
      </c>
      <c r="E242">
        <f t="shared" ref="E242:E248" si="82">R242*$B$1</f>
        <v>18968</v>
      </c>
      <c r="F242">
        <f t="shared" ref="F242:F248" si="83">S242*$B$1</f>
        <v>104928</v>
      </c>
      <c r="N242" t="s">
        <v>210</v>
      </c>
      <c r="O242" s="105">
        <v>1816</v>
      </c>
      <c r="P242" s="105">
        <v>25394</v>
      </c>
      <c r="Q242" s="105">
        <v>58750</v>
      </c>
      <c r="R242" s="105">
        <v>18968</v>
      </c>
      <c r="S242">
        <f>SUM(O242:R242)</f>
        <v>104928</v>
      </c>
    </row>
    <row r="243" spans="1:22" x14ac:dyDescent="0.2">
      <c r="A243" t="s">
        <v>211</v>
      </c>
      <c r="B243">
        <f t="shared" si="81"/>
        <v>573</v>
      </c>
      <c r="C243">
        <f t="shared" si="81"/>
        <v>10836</v>
      </c>
      <c r="D243">
        <f t="shared" si="81"/>
        <v>16645</v>
      </c>
      <c r="E243">
        <f t="shared" si="82"/>
        <v>4801</v>
      </c>
      <c r="F243">
        <f t="shared" si="83"/>
        <v>32855</v>
      </c>
      <c r="N243" t="s">
        <v>211</v>
      </c>
      <c r="O243" s="105">
        <v>573</v>
      </c>
      <c r="P243" s="105">
        <v>10836</v>
      </c>
      <c r="Q243" s="105">
        <v>16645</v>
      </c>
      <c r="R243" s="105">
        <v>4801</v>
      </c>
      <c r="S243">
        <f t="shared" ref="S243:S248" si="84">SUM(O243:R243)</f>
        <v>32855</v>
      </c>
    </row>
    <row r="244" spans="1:22" x14ac:dyDescent="0.2">
      <c r="A244" t="s">
        <v>212</v>
      </c>
      <c r="B244">
        <f t="shared" si="81"/>
        <v>2133</v>
      </c>
      <c r="C244">
        <f t="shared" si="81"/>
        <v>52845</v>
      </c>
      <c r="D244">
        <f t="shared" si="81"/>
        <v>114563</v>
      </c>
      <c r="E244">
        <f t="shared" si="82"/>
        <v>35146</v>
      </c>
      <c r="F244">
        <f t="shared" si="83"/>
        <v>204687</v>
      </c>
      <c r="N244" t="s">
        <v>212</v>
      </c>
      <c r="O244" s="105">
        <v>2133</v>
      </c>
      <c r="P244" s="105">
        <v>52845</v>
      </c>
      <c r="Q244" s="105">
        <v>114563</v>
      </c>
      <c r="R244" s="105">
        <v>35146</v>
      </c>
      <c r="S244">
        <f t="shared" si="84"/>
        <v>204687</v>
      </c>
    </row>
    <row r="245" spans="1:22" x14ac:dyDescent="0.2">
      <c r="A245" t="s">
        <v>36</v>
      </c>
      <c r="B245">
        <f t="shared" si="81"/>
        <v>8593</v>
      </c>
      <c r="C245">
        <f t="shared" si="81"/>
        <v>86880</v>
      </c>
      <c r="D245">
        <f t="shared" si="81"/>
        <v>203555</v>
      </c>
      <c r="E245">
        <f t="shared" si="82"/>
        <v>62646</v>
      </c>
      <c r="F245">
        <f t="shared" si="83"/>
        <v>361674</v>
      </c>
      <c r="N245" t="s">
        <v>36</v>
      </c>
      <c r="O245" s="105">
        <v>8593</v>
      </c>
      <c r="P245" s="105">
        <v>86880</v>
      </c>
      <c r="Q245" s="105">
        <v>203555</v>
      </c>
      <c r="R245" s="105">
        <v>62646</v>
      </c>
      <c r="S245">
        <f t="shared" si="84"/>
        <v>361674</v>
      </c>
    </row>
    <row r="246" spans="1:22" x14ac:dyDescent="0.2">
      <c r="A246" t="s">
        <v>214</v>
      </c>
      <c r="B246">
        <f t="shared" si="81"/>
        <v>10994</v>
      </c>
      <c r="C246">
        <f t="shared" si="81"/>
        <v>119169</v>
      </c>
      <c r="D246">
        <f t="shared" si="81"/>
        <v>270237</v>
      </c>
      <c r="E246">
        <f t="shared" si="82"/>
        <v>83490</v>
      </c>
      <c r="F246">
        <f t="shared" si="83"/>
        <v>483890</v>
      </c>
      <c r="N246" t="s">
        <v>214</v>
      </c>
      <c r="O246" s="105">
        <v>10994</v>
      </c>
      <c r="P246" s="105">
        <v>119169</v>
      </c>
      <c r="Q246" s="105">
        <v>270237</v>
      </c>
      <c r="R246" s="105">
        <v>83490</v>
      </c>
      <c r="S246">
        <f t="shared" si="84"/>
        <v>483890</v>
      </c>
    </row>
    <row r="247" spans="1:22" x14ac:dyDescent="0.2">
      <c r="A247" t="s">
        <v>129</v>
      </c>
      <c r="B247">
        <f t="shared" si="81"/>
        <v>4825</v>
      </c>
      <c r="C247">
        <f t="shared" si="81"/>
        <v>71611</v>
      </c>
      <c r="D247">
        <f t="shared" si="81"/>
        <v>138623</v>
      </c>
      <c r="E247">
        <f t="shared" si="82"/>
        <v>43109</v>
      </c>
      <c r="F247">
        <f t="shared" si="83"/>
        <v>258168</v>
      </c>
      <c r="N247" t="s">
        <v>129</v>
      </c>
      <c r="O247" s="105">
        <v>4825</v>
      </c>
      <c r="P247" s="105">
        <v>71611</v>
      </c>
      <c r="Q247" s="105">
        <v>138623</v>
      </c>
      <c r="R247" s="105">
        <v>43109</v>
      </c>
      <c r="S247">
        <f t="shared" si="84"/>
        <v>258168</v>
      </c>
    </row>
    <row r="248" spans="1:22" x14ac:dyDescent="0.2">
      <c r="A248" t="s">
        <v>130</v>
      </c>
      <c r="B248">
        <f t="shared" si="81"/>
        <v>4341</v>
      </c>
      <c r="C248">
        <f t="shared" si="81"/>
        <v>64804</v>
      </c>
      <c r="D248">
        <f t="shared" si="81"/>
        <v>156439</v>
      </c>
      <c r="E248">
        <f t="shared" si="82"/>
        <v>49023</v>
      </c>
      <c r="F248">
        <f t="shared" si="83"/>
        <v>274607</v>
      </c>
      <c r="N248" t="s">
        <v>130</v>
      </c>
      <c r="O248" s="105">
        <v>4341</v>
      </c>
      <c r="P248" s="105">
        <v>64804</v>
      </c>
      <c r="Q248" s="105">
        <v>156439</v>
      </c>
      <c r="R248" s="105">
        <v>49023</v>
      </c>
      <c r="S248">
        <f t="shared" si="84"/>
        <v>274607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F258" si="85">O252*$B$1</f>
        <v>13167</v>
      </c>
      <c r="C252">
        <f t="shared" si="85"/>
        <v>1292</v>
      </c>
      <c r="D252">
        <f t="shared" si="85"/>
        <v>12816</v>
      </c>
      <c r="E252">
        <f t="shared" si="85"/>
        <v>9665</v>
      </c>
      <c r="F252">
        <f t="shared" si="85"/>
        <v>16289</v>
      </c>
      <c r="G252">
        <f t="shared" ref="G252:G258" si="86">T252*$B$1</f>
        <v>1525</v>
      </c>
      <c r="H252">
        <f t="shared" ref="H252:I258" si="87">U252*$B$1</f>
        <v>50174</v>
      </c>
      <c r="I252">
        <f t="shared" si="87"/>
        <v>104928</v>
      </c>
      <c r="N252" t="s">
        <v>210</v>
      </c>
      <c r="O252" s="105">
        <v>13167</v>
      </c>
      <c r="P252" s="105">
        <v>1292</v>
      </c>
      <c r="Q252" s="105">
        <v>12816</v>
      </c>
      <c r="R252" s="105">
        <v>9665</v>
      </c>
      <c r="S252">
        <v>16289</v>
      </c>
      <c r="T252">
        <v>1525</v>
      </c>
      <c r="U252">
        <v>50174</v>
      </c>
      <c r="V252">
        <f>SUM(O252:U252)</f>
        <v>104928</v>
      </c>
    </row>
    <row r="253" spans="1:22" x14ac:dyDescent="0.2">
      <c r="A253" t="s">
        <v>211</v>
      </c>
      <c r="B253">
        <f t="shared" si="85"/>
        <v>4882</v>
      </c>
      <c r="C253">
        <f t="shared" si="85"/>
        <v>233</v>
      </c>
      <c r="D253">
        <f t="shared" si="85"/>
        <v>3730</v>
      </c>
      <c r="E253">
        <f t="shared" si="85"/>
        <v>3213</v>
      </c>
      <c r="F253">
        <f t="shared" si="85"/>
        <v>4302</v>
      </c>
      <c r="G253">
        <f t="shared" si="86"/>
        <v>142</v>
      </c>
      <c r="H253">
        <f t="shared" si="87"/>
        <v>16353</v>
      </c>
      <c r="I253">
        <f t="shared" si="87"/>
        <v>32855</v>
      </c>
      <c r="N253" t="s">
        <v>211</v>
      </c>
      <c r="O253" s="105">
        <v>4882</v>
      </c>
      <c r="P253" s="105">
        <v>233</v>
      </c>
      <c r="Q253" s="105">
        <v>3730</v>
      </c>
      <c r="R253" s="105">
        <v>3213</v>
      </c>
      <c r="S253">
        <v>4302</v>
      </c>
      <c r="T253">
        <v>142</v>
      </c>
      <c r="U253">
        <v>16353</v>
      </c>
      <c r="V253">
        <f t="shared" ref="V253:V258" si="88">SUM(O253:U253)</f>
        <v>32855</v>
      </c>
    </row>
    <row r="254" spans="1:22" x14ac:dyDescent="0.2">
      <c r="A254" t="s">
        <v>212</v>
      </c>
      <c r="B254">
        <f t="shared" si="85"/>
        <v>26653</v>
      </c>
      <c r="C254">
        <f t="shared" si="85"/>
        <v>1608</v>
      </c>
      <c r="D254">
        <f t="shared" si="85"/>
        <v>23493</v>
      </c>
      <c r="E254">
        <f t="shared" si="85"/>
        <v>19747</v>
      </c>
      <c r="F254">
        <f t="shared" si="85"/>
        <v>27459</v>
      </c>
      <c r="G254">
        <f t="shared" si="86"/>
        <v>1479</v>
      </c>
      <c r="H254">
        <f t="shared" si="87"/>
        <v>104248</v>
      </c>
      <c r="I254">
        <f t="shared" si="87"/>
        <v>204687</v>
      </c>
      <c r="N254" t="s">
        <v>212</v>
      </c>
      <c r="O254" s="105">
        <v>26653</v>
      </c>
      <c r="P254" s="105">
        <v>1608</v>
      </c>
      <c r="Q254" s="105">
        <v>23493</v>
      </c>
      <c r="R254" s="105">
        <v>19747</v>
      </c>
      <c r="S254">
        <v>27459</v>
      </c>
      <c r="T254">
        <v>1479</v>
      </c>
      <c r="U254">
        <v>104248</v>
      </c>
      <c r="V254">
        <f t="shared" si="88"/>
        <v>204687</v>
      </c>
    </row>
    <row r="255" spans="1:22" x14ac:dyDescent="0.2">
      <c r="A255" t="s">
        <v>36</v>
      </c>
      <c r="B255">
        <f t="shared" si="85"/>
        <v>52485</v>
      </c>
      <c r="C255">
        <f t="shared" si="85"/>
        <v>5376</v>
      </c>
      <c r="D255">
        <f t="shared" si="85"/>
        <v>47244</v>
      </c>
      <c r="E255">
        <f t="shared" si="85"/>
        <v>37079</v>
      </c>
      <c r="F255">
        <f t="shared" si="85"/>
        <v>48039</v>
      </c>
      <c r="G255">
        <f t="shared" si="86"/>
        <v>3724</v>
      </c>
      <c r="H255">
        <f t="shared" si="87"/>
        <v>167727</v>
      </c>
      <c r="I255">
        <f t="shared" si="87"/>
        <v>361674</v>
      </c>
      <c r="N255" t="s">
        <v>36</v>
      </c>
      <c r="O255" s="105">
        <v>52485</v>
      </c>
      <c r="P255" s="105">
        <v>5376</v>
      </c>
      <c r="Q255" s="105">
        <v>47244</v>
      </c>
      <c r="R255" s="105">
        <v>37079</v>
      </c>
      <c r="S255">
        <v>48039</v>
      </c>
      <c r="T255">
        <v>3724</v>
      </c>
      <c r="U255">
        <v>167727</v>
      </c>
      <c r="V255">
        <f t="shared" si="88"/>
        <v>361674</v>
      </c>
    </row>
    <row r="256" spans="1:22" x14ac:dyDescent="0.2">
      <c r="A256" t="s">
        <v>214</v>
      </c>
      <c r="B256">
        <f t="shared" si="85"/>
        <v>68997</v>
      </c>
      <c r="C256">
        <f t="shared" si="85"/>
        <v>7321</v>
      </c>
      <c r="D256">
        <f t="shared" si="85"/>
        <v>63242</v>
      </c>
      <c r="E256">
        <f t="shared" si="85"/>
        <v>49072</v>
      </c>
      <c r="F256">
        <f t="shared" si="85"/>
        <v>66170</v>
      </c>
      <c r="G256">
        <f t="shared" si="86"/>
        <v>5498</v>
      </c>
      <c r="H256">
        <f t="shared" si="87"/>
        <v>223590</v>
      </c>
      <c r="I256">
        <f t="shared" si="87"/>
        <v>483890</v>
      </c>
      <c r="N256" t="s">
        <v>214</v>
      </c>
      <c r="O256" s="105">
        <v>68997</v>
      </c>
      <c r="P256" s="105">
        <v>7321</v>
      </c>
      <c r="Q256" s="105">
        <v>63242</v>
      </c>
      <c r="R256" s="105">
        <v>49072</v>
      </c>
      <c r="S256">
        <v>66170</v>
      </c>
      <c r="T256">
        <v>5498</v>
      </c>
      <c r="U256">
        <v>223590</v>
      </c>
      <c r="V256">
        <f t="shared" si="88"/>
        <v>483890</v>
      </c>
    </row>
    <row r="257" spans="1:23" x14ac:dyDescent="0.2">
      <c r="A257" t="s">
        <v>129</v>
      </c>
      <c r="B257">
        <f t="shared" si="85"/>
        <v>40254</v>
      </c>
      <c r="C257">
        <f t="shared" si="85"/>
        <v>4455</v>
      </c>
      <c r="D257">
        <f t="shared" si="85"/>
        <v>34528</v>
      </c>
      <c r="E257">
        <f t="shared" si="85"/>
        <v>26208</v>
      </c>
      <c r="F257">
        <f t="shared" si="85"/>
        <v>39988</v>
      </c>
      <c r="G257">
        <f t="shared" si="86"/>
        <v>3674</v>
      </c>
      <c r="H257">
        <f t="shared" si="87"/>
        <v>109061</v>
      </c>
      <c r="I257">
        <f t="shared" si="87"/>
        <v>258168</v>
      </c>
      <c r="N257" t="s">
        <v>129</v>
      </c>
      <c r="O257" s="105">
        <v>40254</v>
      </c>
      <c r="P257" s="105">
        <v>4455</v>
      </c>
      <c r="Q257" s="105">
        <v>34528</v>
      </c>
      <c r="R257" s="105">
        <v>26208</v>
      </c>
      <c r="S257">
        <v>39988</v>
      </c>
      <c r="T257">
        <v>3674</v>
      </c>
      <c r="U257">
        <v>109061</v>
      </c>
      <c r="V257">
        <f t="shared" si="88"/>
        <v>258168</v>
      </c>
    </row>
    <row r="258" spans="1:23" x14ac:dyDescent="0.2">
      <c r="A258" t="s">
        <v>130</v>
      </c>
      <c r="B258">
        <f t="shared" si="85"/>
        <v>39398</v>
      </c>
      <c r="C258">
        <f t="shared" si="85"/>
        <v>3271</v>
      </c>
      <c r="D258">
        <f t="shared" si="85"/>
        <v>34769</v>
      </c>
      <c r="E258">
        <f t="shared" si="85"/>
        <v>28011</v>
      </c>
      <c r="F258">
        <f t="shared" si="85"/>
        <v>37115</v>
      </c>
      <c r="G258">
        <f t="shared" si="86"/>
        <v>2605</v>
      </c>
      <c r="H258">
        <f t="shared" si="87"/>
        <v>129438</v>
      </c>
      <c r="I258">
        <f t="shared" si="87"/>
        <v>274607</v>
      </c>
      <c r="N258" t="s">
        <v>130</v>
      </c>
      <c r="O258" s="105">
        <v>39398</v>
      </c>
      <c r="P258" s="105">
        <v>3271</v>
      </c>
      <c r="Q258" s="105">
        <v>34769</v>
      </c>
      <c r="R258" s="105">
        <v>28011</v>
      </c>
      <c r="S258">
        <v>37115</v>
      </c>
      <c r="T258">
        <v>2605</v>
      </c>
      <c r="U258">
        <v>129438</v>
      </c>
      <c r="V258">
        <f t="shared" si="88"/>
        <v>274607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H269" si="89">O262*$B$1</f>
        <v>393397</v>
      </c>
      <c r="C262">
        <f t="shared" si="89"/>
        <v>55236</v>
      </c>
      <c r="D262">
        <f t="shared" si="89"/>
        <v>0</v>
      </c>
      <c r="E262">
        <f t="shared" si="89"/>
        <v>0</v>
      </c>
      <c r="F262">
        <f t="shared" si="89"/>
        <v>39101</v>
      </c>
      <c r="G262">
        <f t="shared" si="89"/>
        <v>796</v>
      </c>
      <c r="H262">
        <f t="shared" si="89"/>
        <v>757</v>
      </c>
      <c r="I262">
        <f t="shared" ref="I262:I269" si="90">V262*$B$1</f>
        <v>0</v>
      </c>
      <c r="J262">
        <f t="shared" ref="J262:J269" si="91">W262*$B$1</f>
        <v>489287</v>
      </c>
      <c r="N262" t="s">
        <v>210</v>
      </c>
      <c r="O262" s="105">
        <v>393397</v>
      </c>
      <c r="P262" s="105">
        <v>55236</v>
      </c>
      <c r="Q262" s="105">
        <v>0</v>
      </c>
      <c r="R262" s="105">
        <v>0</v>
      </c>
      <c r="S262" s="105">
        <v>39101</v>
      </c>
      <c r="T262" s="105">
        <v>796</v>
      </c>
      <c r="U262" s="105">
        <v>757</v>
      </c>
      <c r="V262" s="105">
        <v>0</v>
      </c>
      <c r="W262">
        <f>SUM(O262:V262)</f>
        <v>489287</v>
      </c>
    </row>
    <row r="263" spans="1:23" x14ac:dyDescent="0.2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28693</v>
      </c>
      <c r="G263">
        <f t="shared" si="89"/>
        <v>15824</v>
      </c>
      <c r="H263">
        <f t="shared" si="89"/>
        <v>70379</v>
      </c>
      <c r="I263">
        <f t="shared" si="90"/>
        <v>0</v>
      </c>
      <c r="J263">
        <f t="shared" si="91"/>
        <v>114896</v>
      </c>
      <c r="N263" t="s">
        <v>211</v>
      </c>
      <c r="O263" s="105">
        <v>0</v>
      </c>
      <c r="P263" s="105">
        <v>0</v>
      </c>
      <c r="Q263" s="105">
        <v>0</v>
      </c>
      <c r="R263" s="105">
        <v>0</v>
      </c>
      <c r="S263" s="105">
        <v>28693</v>
      </c>
      <c r="T263" s="105">
        <v>15824</v>
      </c>
      <c r="U263" s="105">
        <v>70379</v>
      </c>
      <c r="V263" s="105">
        <v>0</v>
      </c>
      <c r="W263">
        <f t="shared" ref="W263:W269" si="92">SUM(O263:V263)</f>
        <v>114896</v>
      </c>
    </row>
    <row r="264" spans="1:23" x14ac:dyDescent="0.2">
      <c r="A264" t="s">
        <v>212</v>
      </c>
      <c r="B264">
        <f t="shared" si="89"/>
        <v>119809</v>
      </c>
      <c r="C264">
        <f t="shared" si="89"/>
        <v>20469</v>
      </c>
      <c r="D264">
        <f t="shared" si="89"/>
        <v>11663</v>
      </c>
      <c r="E264">
        <f t="shared" si="89"/>
        <v>29574</v>
      </c>
      <c r="F264">
        <f t="shared" si="89"/>
        <v>10236</v>
      </c>
      <c r="G264">
        <f t="shared" si="89"/>
        <v>1991</v>
      </c>
      <c r="H264">
        <f t="shared" si="89"/>
        <v>8808</v>
      </c>
      <c r="I264">
        <f t="shared" si="90"/>
        <v>12718</v>
      </c>
      <c r="J264">
        <f t="shared" si="91"/>
        <v>215268</v>
      </c>
      <c r="N264" t="s">
        <v>212</v>
      </c>
      <c r="O264" s="105">
        <v>119809</v>
      </c>
      <c r="P264" s="105">
        <v>20469</v>
      </c>
      <c r="Q264" s="105">
        <v>11663</v>
      </c>
      <c r="R264" s="105">
        <v>29574</v>
      </c>
      <c r="S264" s="105">
        <v>10236</v>
      </c>
      <c r="T264" s="105">
        <v>1991</v>
      </c>
      <c r="U264" s="105">
        <v>8808</v>
      </c>
      <c r="V264" s="105">
        <v>12718</v>
      </c>
      <c r="W264">
        <f t="shared" si="92"/>
        <v>215268</v>
      </c>
    </row>
    <row r="265" spans="1:23" x14ac:dyDescent="0.2">
      <c r="A265" t="s">
        <v>36</v>
      </c>
      <c r="B265">
        <f t="shared" si="89"/>
        <v>104831</v>
      </c>
      <c r="C265">
        <f t="shared" si="89"/>
        <v>31336</v>
      </c>
      <c r="D265">
        <f t="shared" si="89"/>
        <v>46963</v>
      </c>
      <c r="E265">
        <f t="shared" si="89"/>
        <v>38518</v>
      </c>
      <c r="F265">
        <f t="shared" si="89"/>
        <v>10487</v>
      </c>
      <c r="G265">
        <f t="shared" si="89"/>
        <v>2142</v>
      </c>
      <c r="H265">
        <f t="shared" si="89"/>
        <v>25834</v>
      </c>
      <c r="I265">
        <f t="shared" si="90"/>
        <v>27378</v>
      </c>
      <c r="J265">
        <f t="shared" si="91"/>
        <v>287489</v>
      </c>
      <c r="N265" t="s">
        <v>36</v>
      </c>
      <c r="O265" s="105">
        <v>104831</v>
      </c>
      <c r="P265" s="105">
        <v>31336</v>
      </c>
      <c r="Q265" s="105">
        <v>46963</v>
      </c>
      <c r="R265" s="105">
        <v>38518</v>
      </c>
      <c r="S265" s="105">
        <v>10487</v>
      </c>
      <c r="T265" s="105">
        <v>2142</v>
      </c>
      <c r="U265" s="105">
        <v>25834</v>
      </c>
      <c r="V265" s="105">
        <v>27378</v>
      </c>
      <c r="W265">
        <f t="shared" si="92"/>
        <v>287489</v>
      </c>
    </row>
    <row r="266" spans="1:23" x14ac:dyDescent="0.2">
      <c r="A266" t="s">
        <v>214</v>
      </c>
      <c r="B266">
        <f t="shared" si="89"/>
        <v>144484</v>
      </c>
      <c r="C266">
        <f t="shared" si="89"/>
        <v>28957</v>
      </c>
      <c r="D266">
        <f t="shared" si="89"/>
        <v>42688</v>
      </c>
      <c r="E266">
        <f t="shared" si="89"/>
        <v>46606</v>
      </c>
      <c r="F266">
        <f t="shared" si="89"/>
        <v>14777</v>
      </c>
      <c r="G266">
        <f t="shared" si="89"/>
        <v>881</v>
      </c>
      <c r="H266">
        <f t="shared" si="89"/>
        <v>4694</v>
      </c>
      <c r="I266">
        <f t="shared" si="90"/>
        <v>22809</v>
      </c>
      <c r="J266">
        <f t="shared" si="91"/>
        <v>305896</v>
      </c>
      <c r="N266" t="s">
        <v>214</v>
      </c>
      <c r="O266" s="105">
        <v>144484</v>
      </c>
      <c r="P266" s="105">
        <v>28957</v>
      </c>
      <c r="Q266" s="105">
        <v>42688</v>
      </c>
      <c r="R266" s="105">
        <v>46606</v>
      </c>
      <c r="S266" s="105">
        <v>14777</v>
      </c>
      <c r="T266" s="105">
        <v>881</v>
      </c>
      <c r="U266" s="105">
        <v>4694</v>
      </c>
      <c r="V266" s="105">
        <v>22809</v>
      </c>
      <c r="W266">
        <f t="shared" si="92"/>
        <v>305896</v>
      </c>
    </row>
    <row r="267" spans="1:23" x14ac:dyDescent="0.2">
      <c r="A267" t="s">
        <v>129</v>
      </c>
      <c r="B267">
        <f t="shared" si="89"/>
        <v>76114</v>
      </c>
      <c r="C267">
        <f t="shared" si="89"/>
        <v>12807</v>
      </c>
      <c r="D267">
        <f t="shared" si="89"/>
        <v>14237</v>
      </c>
      <c r="E267">
        <f t="shared" si="89"/>
        <v>16223</v>
      </c>
      <c r="F267">
        <f t="shared" si="89"/>
        <v>10146</v>
      </c>
      <c r="G267">
        <f t="shared" si="89"/>
        <v>4844</v>
      </c>
      <c r="H267">
        <f t="shared" si="89"/>
        <v>13717</v>
      </c>
      <c r="I267">
        <f t="shared" si="90"/>
        <v>5806</v>
      </c>
      <c r="J267">
        <f t="shared" si="91"/>
        <v>153894</v>
      </c>
      <c r="N267" t="s">
        <v>129</v>
      </c>
      <c r="O267" s="105">
        <v>76114</v>
      </c>
      <c r="P267" s="105">
        <v>12807</v>
      </c>
      <c r="Q267" s="105">
        <v>14237</v>
      </c>
      <c r="R267" s="105">
        <v>16223</v>
      </c>
      <c r="S267" s="105">
        <v>10146</v>
      </c>
      <c r="T267" s="105">
        <v>4844</v>
      </c>
      <c r="U267" s="105">
        <v>13717</v>
      </c>
      <c r="V267" s="105">
        <v>5806</v>
      </c>
      <c r="W267">
        <f t="shared" si="92"/>
        <v>153894</v>
      </c>
    </row>
    <row r="268" spans="1:23" x14ac:dyDescent="0.2">
      <c r="A268" t="s">
        <v>130</v>
      </c>
      <c r="B268">
        <f t="shared" si="89"/>
        <v>97902</v>
      </c>
      <c r="C268">
        <f t="shared" si="89"/>
        <v>29302</v>
      </c>
      <c r="D268">
        <f t="shared" si="89"/>
        <v>29300</v>
      </c>
      <c r="E268">
        <f t="shared" si="89"/>
        <v>33082</v>
      </c>
      <c r="F268">
        <f t="shared" si="89"/>
        <v>10757</v>
      </c>
      <c r="G268">
        <f t="shared" si="89"/>
        <v>4448</v>
      </c>
      <c r="H268">
        <f t="shared" si="89"/>
        <v>44381</v>
      </c>
      <c r="I268">
        <f t="shared" si="90"/>
        <v>27310</v>
      </c>
      <c r="J268">
        <f t="shared" si="91"/>
        <v>276482</v>
      </c>
      <c r="N268" t="s">
        <v>130</v>
      </c>
      <c r="O268" s="105">
        <v>97902</v>
      </c>
      <c r="P268" s="105">
        <v>29302</v>
      </c>
      <c r="Q268" s="105">
        <v>29300</v>
      </c>
      <c r="R268" s="105">
        <v>33082</v>
      </c>
      <c r="S268" s="105">
        <v>10757</v>
      </c>
      <c r="T268" s="105">
        <v>4448</v>
      </c>
      <c r="U268" s="105">
        <v>44381</v>
      </c>
      <c r="V268" s="105">
        <v>27310</v>
      </c>
      <c r="W268">
        <f t="shared" si="92"/>
        <v>276482</v>
      </c>
    </row>
    <row r="269" spans="1:23" x14ac:dyDescent="0.2">
      <c r="A269" t="s">
        <v>145</v>
      </c>
      <c r="B269">
        <f t="shared" si="89"/>
        <v>420017</v>
      </c>
      <c r="C269">
        <f t="shared" si="89"/>
        <v>94494</v>
      </c>
      <c r="D269">
        <f t="shared" si="89"/>
        <v>81903</v>
      </c>
      <c r="E269">
        <f t="shared" si="89"/>
        <v>94932</v>
      </c>
      <c r="F269">
        <f t="shared" si="89"/>
        <v>61048</v>
      </c>
      <c r="G269">
        <f t="shared" si="89"/>
        <v>19145</v>
      </c>
      <c r="H269">
        <f t="shared" si="89"/>
        <v>110827</v>
      </c>
      <c r="I269">
        <f t="shared" si="90"/>
        <v>55802</v>
      </c>
      <c r="J269">
        <f t="shared" si="91"/>
        <v>938168</v>
      </c>
      <c r="N269" t="s">
        <v>145</v>
      </c>
      <c r="O269" s="105">
        <v>420017</v>
      </c>
      <c r="P269" s="105">
        <v>94494</v>
      </c>
      <c r="Q269" s="105">
        <v>81903</v>
      </c>
      <c r="R269" s="105">
        <v>94932</v>
      </c>
      <c r="S269" s="105">
        <v>61048</v>
      </c>
      <c r="T269" s="105">
        <v>19145</v>
      </c>
      <c r="U269" s="105">
        <v>110827</v>
      </c>
      <c r="V269" s="105">
        <v>55802</v>
      </c>
      <c r="W269">
        <f t="shared" si="92"/>
        <v>938168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D280" si="93">O273*$B$1</f>
        <v>7280</v>
      </c>
      <c r="C273">
        <f t="shared" si="93"/>
        <v>56179</v>
      </c>
      <c r="D273">
        <f t="shared" si="93"/>
        <v>62784</v>
      </c>
      <c r="E273">
        <f t="shared" ref="E273:E280" si="94">R273*$B$1</f>
        <v>362990</v>
      </c>
      <c r="F273">
        <f t="shared" ref="F273:F280" si="95">S273*$B$1</f>
        <v>489233</v>
      </c>
      <c r="N273" t="s">
        <v>210</v>
      </c>
      <c r="O273" s="105">
        <v>7280</v>
      </c>
      <c r="P273" s="105">
        <v>56179</v>
      </c>
      <c r="Q273" s="105">
        <v>62784</v>
      </c>
      <c r="R273" s="105">
        <v>362990</v>
      </c>
      <c r="S273">
        <f>SUM(O273:R273)</f>
        <v>489233</v>
      </c>
    </row>
    <row r="274" spans="1:19" x14ac:dyDescent="0.2">
      <c r="A274" t="s">
        <v>211</v>
      </c>
      <c r="B274">
        <f t="shared" si="93"/>
        <v>5476</v>
      </c>
      <c r="C274">
        <f t="shared" si="93"/>
        <v>13729</v>
      </c>
      <c r="D274">
        <f t="shared" si="93"/>
        <v>11239</v>
      </c>
      <c r="E274">
        <f t="shared" si="94"/>
        <v>84410</v>
      </c>
      <c r="F274">
        <f t="shared" si="95"/>
        <v>114854</v>
      </c>
      <c r="N274" t="s">
        <v>211</v>
      </c>
      <c r="O274" s="105">
        <v>5476</v>
      </c>
      <c r="P274" s="105">
        <v>13729</v>
      </c>
      <c r="Q274" s="105">
        <v>11239</v>
      </c>
      <c r="R274" s="105">
        <v>84410</v>
      </c>
      <c r="S274">
        <f t="shared" ref="S274:S280" si="96">SUM(O274:R274)</f>
        <v>114854</v>
      </c>
    </row>
    <row r="275" spans="1:19" x14ac:dyDescent="0.2">
      <c r="A275" t="s">
        <v>212</v>
      </c>
      <c r="B275">
        <f t="shared" si="93"/>
        <v>5314</v>
      </c>
      <c r="C275">
        <f t="shared" si="93"/>
        <v>20668</v>
      </c>
      <c r="D275">
        <f t="shared" si="93"/>
        <v>22926</v>
      </c>
      <c r="E275">
        <f t="shared" si="94"/>
        <v>166306</v>
      </c>
      <c r="F275">
        <f t="shared" si="95"/>
        <v>215214</v>
      </c>
      <c r="N275" t="s">
        <v>212</v>
      </c>
      <c r="O275" s="105">
        <v>5314</v>
      </c>
      <c r="P275" s="105">
        <v>20668</v>
      </c>
      <c r="Q275" s="105">
        <v>22926</v>
      </c>
      <c r="R275" s="105">
        <v>166306</v>
      </c>
      <c r="S275">
        <f t="shared" si="96"/>
        <v>215214</v>
      </c>
    </row>
    <row r="276" spans="1:19" x14ac:dyDescent="0.2">
      <c r="A276" t="s">
        <v>36</v>
      </c>
      <c r="B276">
        <f t="shared" si="93"/>
        <v>14942</v>
      </c>
      <c r="C276">
        <f t="shared" si="93"/>
        <v>50906</v>
      </c>
      <c r="D276">
        <f t="shared" si="93"/>
        <v>35394</v>
      </c>
      <c r="E276">
        <f t="shared" si="94"/>
        <v>186164</v>
      </c>
      <c r="F276">
        <f t="shared" si="95"/>
        <v>287406</v>
      </c>
      <c r="N276" t="s">
        <v>36</v>
      </c>
      <c r="O276" s="105">
        <v>14942</v>
      </c>
      <c r="P276" s="105">
        <v>50906</v>
      </c>
      <c r="Q276" s="105">
        <v>35394</v>
      </c>
      <c r="R276" s="105">
        <v>186164</v>
      </c>
      <c r="S276">
        <f t="shared" si="96"/>
        <v>287406</v>
      </c>
    </row>
    <row r="277" spans="1:19" x14ac:dyDescent="0.2">
      <c r="A277" t="s">
        <v>214</v>
      </c>
      <c r="B277">
        <f t="shared" si="93"/>
        <v>13998</v>
      </c>
      <c r="C277">
        <f t="shared" si="93"/>
        <v>46631</v>
      </c>
      <c r="D277">
        <f t="shared" si="93"/>
        <v>38523</v>
      </c>
      <c r="E277">
        <f t="shared" si="94"/>
        <v>206661</v>
      </c>
      <c r="F277">
        <f t="shared" si="95"/>
        <v>305813</v>
      </c>
      <c r="N277" t="s">
        <v>214</v>
      </c>
      <c r="O277" s="105">
        <v>13998</v>
      </c>
      <c r="P277" s="105">
        <v>46631</v>
      </c>
      <c r="Q277" s="105">
        <v>38523</v>
      </c>
      <c r="R277" s="105">
        <v>206661</v>
      </c>
      <c r="S277">
        <f t="shared" si="96"/>
        <v>305813</v>
      </c>
    </row>
    <row r="278" spans="1:19" x14ac:dyDescent="0.2">
      <c r="A278" t="s">
        <v>129</v>
      </c>
      <c r="B278">
        <f t="shared" si="93"/>
        <v>4603</v>
      </c>
      <c r="C278">
        <f t="shared" si="93"/>
        <v>20847</v>
      </c>
      <c r="D278">
        <f t="shared" si="93"/>
        <v>19579</v>
      </c>
      <c r="E278">
        <f t="shared" si="94"/>
        <v>108834</v>
      </c>
      <c r="F278">
        <f t="shared" si="95"/>
        <v>153863</v>
      </c>
      <c r="N278" t="s">
        <v>129</v>
      </c>
      <c r="O278" s="105">
        <v>4603</v>
      </c>
      <c r="P278" s="105">
        <v>20847</v>
      </c>
      <c r="Q278" s="105">
        <v>19579</v>
      </c>
      <c r="R278" s="105">
        <v>108834</v>
      </c>
      <c r="S278">
        <f t="shared" si="96"/>
        <v>153863</v>
      </c>
    </row>
    <row r="279" spans="1:19" x14ac:dyDescent="0.2">
      <c r="A279" t="s">
        <v>130</v>
      </c>
      <c r="B279">
        <f t="shared" si="93"/>
        <v>8982</v>
      </c>
      <c r="C279">
        <f t="shared" si="93"/>
        <v>35601</v>
      </c>
      <c r="D279">
        <f t="shared" si="93"/>
        <v>31163</v>
      </c>
      <c r="E279">
        <f t="shared" si="94"/>
        <v>200651</v>
      </c>
      <c r="F279">
        <f t="shared" si="95"/>
        <v>276397</v>
      </c>
      <c r="N279" t="s">
        <v>130</v>
      </c>
      <c r="O279" s="105">
        <v>8982</v>
      </c>
      <c r="P279" s="105">
        <v>35601</v>
      </c>
      <c r="Q279" s="105">
        <v>31163</v>
      </c>
      <c r="R279" s="105">
        <v>200651</v>
      </c>
      <c r="S279">
        <f t="shared" si="96"/>
        <v>276397</v>
      </c>
    </row>
    <row r="280" spans="1:19" x14ac:dyDescent="0.2">
      <c r="A280" t="s">
        <v>145</v>
      </c>
      <c r="B280">
        <f t="shared" si="93"/>
        <v>33553</v>
      </c>
      <c r="C280">
        <f t="shared" si="93"/>
        <v>126216</v>
      </c>
      <c r="D280">
        <f t="shared" si="93"/>
        <v>111071</v>
      </c>
      <c r="E280">
        <f t="shared" si="94"/>
        <v>667081</v>
      </c>
      <c r="F280">
        <f t="shared" si="95"/>
        <v>937921</v>
      </c>
      <c r="N280" t="s">
        <v>145</v>
      </c>
      <c r="O280" s="105">
        <v>33553</v>
      </c>
      <c r="P280" s="105">
        <v>126216</v>
      </c>
      <c r="Q280" s="105">
        <v>111071</v>
      </c>
      <c r="R280" s="105">
        <v>667081</v>
      </c>
      <c r="S280">
        <f t="shared" si="96"/>
        <v>937921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D291" si="97">O284*$B$1</f>
        <v>9360</v>
      </c>
      <c r="C284">
        <f t="shared" si="97"/>
        <v>101968</v>
      </c>
      <c r="D284">
        <f t="shared" si="97"/>
        <v>285322</v>
      </c>
      <c r="E284">
        <f t="shared" ref="E284:E291" si="98">R284*$B$1</f>
        <v>92637</v>
      </c>
      <c r="F284">
        <f t="shared" ref="F284:F291" si="99">S284*$B$1</f>
        <v>489287</v>
      </c>
      <c r="N284" t="s">
        <v>210</v>
      </c>
      <c r="O284" s="105">
        <v>9360</v>
      </c>
      <c r="P284" s="105">
        <v>101968</v>
      </c>
      <c r="Q284" s="105">
        <v>285322</v>
      </c>
      <c r="R284" s="105">
        <v>92637</v>
      </c>
      <c r="S284">
        <f>SUM(O284:R284)</f>
        <v>489287</v>
      </c>
    </row>
    <row r="285" spans="1:19" x14ac:dyDescent="0.2">
      <c r="A285" t="s">
        <v>211</v>
      </c>
      <c r="B285">
        <f t="shared" si="97"/>
        <v>2480</v>
      </c>
      <c r="C285">
        <f t="shared" si="97"/>
        <v>34007</v>
      </c>
      <c r="D285">
        <f t="shared" si="97"/>
        <v>59945</v>
      </c>
      <c r="E285">
        <f t="shared" si="98"/>
        <v>18464</v>
      </c>
      <c r="F285">
        <f t="shared" si="99"/>
        <v>114896</v>
      </c>
      <c r="N285" t="s">
        <v>211</v>
      </c>
      <c r="O285" s="105">
        <v>2480</v>
      </c>
      <c r="P285" s="105">
        <v>34007</v>
      </c>
      <c r="Q285" s="105">
        <v>59945</v>
      </c>
      <c r="R285" s="105">
        <v>18464</v>
      </c>
      <c r="S285">
        <f t="shared" ref="S285:S291" si="100">SUM(O285:R285)</f>
        <v>114896</v>
      </c>
    </row>
    <row r="286" spans="1:19" x14ac:dyDescent="0.2">
      <c r="A286" t="s">
        <v>212</v>
      </c>
      <c r="B286">
        <f t="shared" si="97"/>
        <v>3617</v>
      </c>
      <c r="C286">
        <f t="shared" si="97"/>
        <v>49506</v>
      </c>
      <c r="D286">
        <f t="shared" si="97"/>
        <v>123532</v>
      </c>
      <c r="E286">
        <f t="shared" si="98"/>
        <v>38613</v>
      </c>
      <c r="F286">
        <f t="shared" si="99"/>
        <v>215268</v>
      </c>
      <c r="N286" t="s">
        <v>212</v>
      </c>
      <c r="O286" s="105">
        <v>3617</v>
      </c>
      <c r="P286" s="105">
        <v>49506</v>
      </c>
      <c r="Q286" s="105">
        <v>123532</v>
      </c>
      <c r="R286" s="105">
        <v>38613</v>
      </c>
      <c r="S286">
        <f t="shared" si="100"/>
        <v>215268</v>
      </c>
    </row>
    <row r="287" spans="1:19" x14ac:dyDescent="0.2">
      <c r="A287" t="s">
        <v>36</v>
      </c>
      <c r="B287">
        <f t="shared" si="97"/>
        <v>10564</v>
      </c>
      <c r="C287">
        <f t="shared" si="97"/>
        <v>57140</v>
      </c>
      <c r="D287">
        <f t="shared" si="97"/>
        <v>167505</v>
      </c>
      <c r="E287">
        <f t="shared" si="98"/>
        <v>52280</v>
      </c>
      <c r="F287">
        <f t="shared" si="99"/>
        <v>287489</v>
      </c>
      <c r="N287" t="s">
        <v>36</v>
      </c>
      <c r="O287" s="105">
        <v>10564</v>
      </c>
      <c r="P287" s="105">
        <v>57140</v>
      </c>
      <c r="Q287" s="105">
        <v>167505</v>
      </c>
      <c r="R287" s="105">
        <v>52280</v>
      </c>
      <c r="S287">
        <f t="shared" si="100"/>
        <v>287489</v>
      </c>
    </row>
    <row r="288" spans="1:19" x14ac:dyDescent="0.2">
      <c r="A288" t="s">
        <v>214</v>
      </c>
      <c r="B288">
        <f t="shared" si="97"/>
        <v>10400</v>
      </c>
      <c r="C288">
        <f t="shared" si="97"/>
        <v>62968</v>
      </c>
      <c r="D288">
        <f t="shared" si="97"/>
        <v>176478</v>
      </c>
      <c r="E288">
        <f t="shared" si="98"/>
        <v>56050</v>
      </c>
      <c r="F288">
        <f t="shared" si="99"/>
        <v>305896</v>
      </c>
      <c r="N288" t="s">
        <v>214</v>
      </c>
      <c r="O288" s="105">
        <v>10400</v>
      </c>
      <c r="P288" s="105">
        <v>62968</v>
      </c>
      <c r="Q288" s="105">
        <v>176478</v>
      </c>
      <c r="R288" s="105">
        <v>56050</v>
      </c>
      <c r="S288">
        <f t="shared" si="100"/>
        <v>305896</v>
      </c>
    </row>
    <row r="289" spans="1:22" x14ac:dyDescent="0.2">
      <c r="A289" t="s">
        <v>129</v>
      </c>
      <c r="B289">
        <f t="shared" si="97"/>
        <v>4013</v>
      </c>
      <c r="C289">
        <f t="shared" si="97"/>
        <v>36616</v>
      </c>
      <c r="D289">
        <f t="shared" si="97"/>
        <v>85883</v>
      </c>
      <c r="E289">
        <f t="shared" si="98"/>
        <v>27382</v>
      </c>
      <c r="F289">
        <f t="shared" si="99"/>
        <v>153894</v>
      </c>
      <c r="N289" t="s">
        <v>129</v>
      </c>
      <c r="O289" s="105">
        <v>4013</v>
      </c>
      <c r="P289" s="105">
        <v>36616</v>
      </c>
      <c r="Q289" s="105">
        <v>85883</v>
      </c>
      <c r="R289" s="105">
        <v>27382</v>
      </c>
      <c r="S289">
        <f t="shared" si="100"/>
        <v>153894</v>
      </c>
    </row>
    <row r="290" spans="1:22" x14ac:dyDescent="0.2">
      <c r="A290" t="s">
        <v>130</v>
      </c>
      <c r="B290">
        <f t="shared" si="97"/>
        <v>7001</v>
      </c>
      <c r="C290">
        <f t="shared" si="97"/>
        <v>53653</v>
      </c>
      <c r="D290">
        <f t="shared" si="97"/>
        <v>163339</v>
      </c>
      <c r="E290">
        <f t="shared" si="98"/>
        <v>52489</v>
      </c>
      <c r="F290">
        <f t="shared" si="99"/>
        <v>276482</v>
      </c>
      <c r="N290" t="s">
        <v>130</v>
      </c>
      <c r="O290" s="105">
        <v>7001</v>
      </c>
      <c r="P290" s="105">
        <v>53653</v>
      </c>
      <c r="Q290" s="105">
        <v>163339</v>
      </c>
      <c r="R290" s="105">
        <v>52489</v>
      </c>
      <c r="S290">
        <f t="shared" si="100"/>
        <v>276482</v>
      </c>
    </row>
    <row r="291" spans="1:22" x14ac:dyDescent="0.2">
      <c r="A291" t="s">
        <v>145</v>
      </c>
      <c r="B291">
        <f t="shared" si="97"/>
        <v>26422</v>
      </c>
      <c r="C291">
        <f t="shared" si="97"/>
        <v>199693</v>
      </c>
      <c r="D291">
        <f t="shared" si="97"/>
        <v>540074</v>
      </c>
      <c r="E291">
        <f t="shared" si="98"/>
        <v>171979</v>
      </c>
      <c r="F291">
        <f t="shared" si="99"/>
        <v>938168</v>
      </c>
      <c r="N291" t="s">
        <v>145</v>
      </c>
      <c r="O291" s="105">
        <v>26422</v>
      </c>
      <c r="P291" s="105">
        <v>199693</v>
      </c>
      <c r="Q291" s="105">
        <v>540074</v>
      </c>
      <c r="R291" s="105">
        <v>171979</v>
      </c>
      <c r="S291">
        <f t="shared" si="100"/>
        <v>938168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101">O295*$B$1</f>
        <v>124896</v>
      </c>
      <c r="C295">
        <f t="shared" si="101"/>
        <v>25770</v>
      </c>
      <c r="D295">
        <f t="shared" si="101"/>
        <v>101597</v>
      </c>
      <c r="E295">
        <f t="shared" si="101"/>
        <v>83638</v>
      </c>
      <c r="F295">
        <f t="shared" si="101"/>
        <v>35750</v>
      </c>
      <c r="G295">
        <f t="shared" ref="G295:G302" si="102">T295*$B$1</f>
        <v>5548</v>
      </c>
      <c r="H295">
        <f t="shared" ref="H295:I302" si="103">U295*$B$1</f>
        <v>112088</v>
      </c>
      <c r="I295">
        <f t="shared" si="103"/>
        <v>489287</v>
      </c>
      <c r="N295" t="s">
        <v>210</v>
      </c>
      <c r="O295" s="105">
        <v>124896</v>
      </c>
      <c r="P295" s="105">
        <v>25770</v>
      </c>
      <c r="Q295" s="105">
        <v>101597</v>
      </c>
      <c r="R295" s="105">
        <v>83638</v>
      </c>
      <c r="S295">
        <v>35750</v>
      </c>
      <c r="T295">
        <v>5548</v>
      </c>
      <c r="U295">
        <v>112088</v>
      </c>
      <c r="V295">
        <f>SUM(O295:U295)</f>
        <v>489287</v>
      </c>
    </row>
    <row r="296" spans="1:22" x14ac:dyDescent="0.2">
      <c r="A296" t="s">
        <v>211</v>
      </c>
      <c r="B296">
        <f t="shared" si="101"/>
        <v>37076</v>
      </c>
      <c r="C296">
        <f t="shared" si="101"/>
        <v>1982</v>
      </c>
      <c r="D296">
        <f t="shared" si="101"/>
        <v>28962</v>
      </c>
      <c r="E296">
        <f t="shared" si="101"/>
        <v>24363</v>
      </c>
      <c r="F296">
        <f t="shared" si="101"/>
        <v>2401</v>
      </c>
      <c r="G296">
        <f t="shared" si="102"/>
        <v>130</v>
      </c>
      <c r="H296">
        <f t="shared" si="103"/>
        <v>19982</v>
      </c>
      <c r="I296">
        <f t="shared" si="103"/>
        <v>114896</v>
      </c>
      <c r="N296" t="s">
        <v>211</v>
      </c>
      <c r="O296" s="105">
        <v>37076</v>
      </c>
      <c r="P296" s="105">
        <v>1982</v>
      </c>
      <c r="Q296" s="105">
        <v>28962</v>
      </c>
      <c r="R296" s="105">
        <v>24363</v>
      </c>
      <c r="S296">
        <v>2401</v>
      </c>
      <c r="T296">
        <v>130</v>
      </c>
      <c r="U296">
        <v>19982</v>
      </c>
      <c r="V296">
        <f t="shared" ref="V296:V302" si="104">SUM(O296:U296)</f>
        <v>114896</v>
      </c>
    </row>
    <row r="297" spans="1:22" x14ac:dyDescent="0.2">
      <c r="A297" t="s">
        <v>212</v>
      </c>
      <c r="B297">
        <f t="shared" si="101"/>
        <v>65975</v>
      </c>
      <c r="C297">
        <f t="shared" si="101"/>
        <v>10695</v>
      </c>
      <c r="D297">
        <f t="shared" si="101"/>
        <v>52007</v>
      </c>
      <c r="E297">
        <f t="shared" si="101"/>
        <v>47527</v>
      </c>
      <c r="F297">
        <f t="shared" si="101"/>
        <v>7626</v>
      </c>
      <c r="G297">
        <f t="shared" si="102"/>
        <v>1863</v>
      </c>
      <c r="H297">
        <f t="shared" si="103"/>
        <v>29575</v>
      </c>
      <c r="I297">
        <f t="shared" si="103"/>
        <v>215268</v>
      </c>
      <c r="N297" t="s">
        <v>212</v>
      </c>
      <c r="O297" s="105">
        <v>65975</v>
      </c>
      <c r="P297" s="105">
        <v>10695</v>
      </c>
      <c r="Q297" s="105">
        <v>52007</v>
      </c>
      <c r="R297" s="105">
        <v>47527</v>
      </c>
      <c r="S297">
        <v>7626</v>
      </c>
      <c r="T297">
        <v>1863</v>
      </c>
      <c r="U297">
        <v>29575</v>
      </c>
      <c r="V297">
        <f t="shared" si="104"/>
        <v>215268</v>
      </c>
    </row>
    <row r="298" spans="1:22" x14ac:dyDescent="0.2">
      <c r="A298" t="s">
        <v>36</v>
      </c>
      <c r="B298">
        <f t="shared" si="101"/>
        <v>85431</v>
      </c>
      <c r="C298">
        <f t="shared" si="101"/>
        <v>18910</v>
      </c>
      <c r="D298">
        <f t="shared" si="101"/>
        <v>70299</v>
      </c>
      <c r="E298">
        <f t="shared" si="101"/>
        <v>60149</v>
      </c>
      <c r="F298">
        <f t="shared" si="101"/>
        <v>9939</v>
      </c>
      <c r="G298">
        <f t="shared" si="102"/>
        <v>2086</v>
      </c>
      <c r="H298">
        <f t="shared" si="103"/>
        <v>40675</v>
      </c>
      <c r="I298">
        <f t="shared" si="103"/>
        <v>287489</v>
      </c>
      <c r="N298" t="s">
        <v>36</v>
      </c>
      <c r="O298" s="105">
        <v>85431</v>
      </c>
      <c r="P298" s="105">
        <v>18910</v>
      </c>
      <c r="Q298" s="105">
        <v>70299</v>
      </c>
      <c r="R298" s="105">
        <v>60149</v>
      </c>
      <c r="S298">
        <v>9939</v>
      </c>
      <c r="T298">
        <v>2086</v>
      </c>
      <c r="U298">
        <v>40675</v>
      </c>
      <c r="V298">
        <f t="shared" si="104"/>
        <v>287489</v>
      </c>
    </row>
    <row r="299" spans="1:22" x14ac:dyDescent="0.2">
      <c r="A299" t="s">
        <v>214</v>
      </c>
      <c r="B299">
        <f t="shared" si="101"/>
        <v>86664</v>
      </c>
      <c r="C299">
        <f t="shared" si="101"/>
        <v>26329</v>
      </c>
      <c r="D299">
        <f t="shared" si="101"/>
        <v>70491</v>
      </c>
      <c r="E299">
        <f t="shared" si="101"/>
        <v>65191</v>
      </c>
      <c r="F299">
        <f t="shared" si="101"/>
        <v>12320</v>
      </c>
      <c r="G299">
        <f t="shared" si="102"/>
        <v>3089</v>
      </c>
      <c r="H299">
        <f t="shared" si="103"/>
        <v>41812</v>
      </c>
      <c r="I299">
        <f t="shared" si="103"/>
        <v>305896</v>
      </c>
      <c r="N299" t="s">
        <v>214</v>
      </c>
      <c r="O299" s="105">
        <v>86664</v>
      </c>
      <c r="P299" s="105">
        <v>26329</v>
      </c>
      <c r="Q299" s="105">
        <v>70491</v>
      </c>
      <c r="R299" s="105">
        <v>65191</v>
      </c>
      <c r="S299">
        <v>12320</v>
      </c>
      <c r="T299">
        <v>3089</v>
      </c>
      <c r="U299">
        <v>41812</v>
      </c>
      <c r="V299">
        <f t="shared" si="104"/>
        <v>305896</v>
      </c>
    </row>
    <row r="300" spans="1:22" x14ac:dyDescent="0.2">
      <c r="A300" t="s">
        <v>129</v>
      </c>
      <c r="B300">
        <f t="shared" si="101"/>
        <v>45600</v>
      </c>
      <c r="C300">
        <f t="shared" si="101"/>
        <v>13737</v>
      </c>
      <c r="D300">
        <f t="shared" si="101"/>
        <v>34772</v>
      </c>
      <c r="E300">
        <f t="shared" si="101"/>
        <v>32442</v>
      </c>
      <c r="F300">
        <f t="shared" si="101"/>
        <v>5752</v>
      </c>
      <c r="G300">
        <f t="shared" si="102"/>
        <v>1374</v>
      </c>
      <c r="H300">
        <f t="shared" si="103"/>
        <v>20217</v>
      </c>
      <c r="I300">
        <f t="shared" si="103"/>
        <v>153894</v>
      </c>
      <c r="N300" t="s">
        <v>129</v>
      </c>
      <c r="O300" s="105">
        <v>45600</v>
      </c>
      <c r="P300" s="105">
        <v>13737</v>
      </c>
      <c r="Q300" s="105">
        <v>34772</v>
      </c>
      <c r="R300" s="105">
        <v>32442</v>
      </c>
      <c r="S300">
        <v>5752</v>
      </c>
      <c r="T300">
        <v>1374</v>
      </c>
      <c r="U300">
        <v>20217</v>
      </c>
      <c r="V300">
        <f t="shared" si="104"/>
        <v>153894</v>
      </c>
    </row>
    <row r="301" spans="1:22" x14ac:dyDescent="0.2">
      <c r="A301" t="s">
        <v>130</v>
      </c>
      <c r="B301">
        <f t="shared" si="101"/>
        <v>85710</v>
      </c>
      <c r="C301">
        <f t="shared" si="101"/>
        <v>14652</v>
      </c>
      <c r="D301">
        <f t="shared" si="101"/>
        <v>69952</v>
      </c>
      <c r="E301">
        <f t="shared" si="101"/>
        <v>60619</v>
      </c>
      <c r="F301">
        <f t="shared" si="101"/>
        <v>12431</v>
      </c>
      <c r="G301">
        <f t="shared" si="102"/>
        <v>2675</v>
      </c>
      <c r="H301">
        <f t="shared" si="103"/>
        <v>30443</v>
      </c>
      <c r="I301">
        <f t="shared" si="103"/>
        <v>276482</v>
      </c>
      <c r="N301" t="s">
        <v>130</v>
      </c>
      <c r="O301" s="105">
        <v>85710</v>
      </c>
      <c r="P301" s="105">
        <v>14652</v>
      </c>
      <c r="Q301" s="105">
        <v>69952</v>
      </c>
      <c r="R301" s="105">
        <v>60619</v>
      </c>
      <c r="S301">
        <v>12431</v>
      </c>
      <c r="T301">
        <v>2675</v>
      </c>
      <c r="U301">
        <v>30443</v>
      </c>
      <c r="V301">
        <f t="shared" si="104"/>
        <v>276482</v>
      </c>
    </row>
    <row r="302" spans="1:22" x14ac:dyDescent="0.2">
      <c r="A302" t="s">
        <v>145</v>
      </c>
      <c r="B302">
        <f t="shared" si="101"/>
        <v>282688</v>
      </c>
      <c r="C302">
        <f t="shared" si="101"/>
        <v>82716</v>
      </c>
      <c r="D302">
        <f t="shared" si="101"/>
        <v>218856</v>
      </c>
      <c r="E302">
        <f t="shared" si="101"/>
        <v>192341</v>
      </c>
      <c r="F302">
        <f t="shared" si="101"/>
        <v>48042</v>
      </c>
      <c r="G302">
        <f t="shared" si="102"/>
        <v>13130</v>
      </c>
      <c r="H302">
        <f t="shared" si="103"/>
        <v>100395</v>
      </c>
      <c r="I302">
        <f t="shared" si="103"/>
        <v>938168</v>
      </c>
      <c r="N302" t="s">
        <v>145</v>
      </c>
      <c r="O302" s="105">
        <v>282688</v>
      </c>
      <c r="P302" s="105">
        <v>82716</v>
      </c>
      <c r="Q302" s="105">
        <v>218856</v>
      </c>
      <c r="R302" s="105">
        <v>192341</v>
      </c>
      <c r="S302">
        <v>48042</v>
      </c>
      <c r="T302">
        <v>13130</v>
      </c>
      <c r="U302">
        <v>100395</v>
      </c>
      <c r="V302">
        <f t="shared" si="104"/>
        <v>938168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5">O306*$B$1</f>
        <v>501551</v>
      </c>
      <c r="N306" t="s">
        <v>21</v>
      </c>
      <c r="O306" s="105">
        <v>501551</v>
      </c>
    </row>
    <row r="307" spans="1:15" x14ac:dyDescent="0.2">
      <c r="A307" t="s">
        <v>22</v>
      </c>
      <c r="B307">
        <f t="shared" si="105"/>
        <v>106109</v>
      </c>
      <c r="N307" t="s">
        <v>22</v>
      </c>
      <c r="O307" s="105">
        <v>106109</v>
      </c>
    </row>
    <row r="308" spans="1:15" x14ac:dyDescent="0.2">
      <c r="A308" t="s">
        <v>148</v>
      </c>
      <c r="B308">
        <f t="shared" si="105"/>
        <v>81174</v>
      </c>
      <c r="N308" t="s">
        <v>148</v>
      </c>
      <c r="O308" s="105">
        <v>81174</v>
      </c>
    </row>
    <row r="309" spans="1:15" x14ac:dyDescent="0.2">
      <c r="A309" t="s">
        <v>243</v>
      </c>
      <c r="B309">
        <f t="shared" si="105"/>
        <v>102273</v>
      </c>
      <c r="N309" t="s">
        <v>243</v>
      </c>
      <c r="O309" s="105">
        <v>102273</v>
      </c>
    </row>
    <row r="310" spans="1:15" x14ac:dyDescent="0.2">
      <c r="A310" t="s">
        <v>23</v>
      </c>
      <c r="B310">
        <f t="shared" si="105"/>
        <v>69769</v>
      </c>
      <c r="N310" t="s">
        <v>23</v>
      </c>
      <c r="O310" s="105">
        <v>69769</v>
      </c>
    </row>
    <row r="311" spans="1:15" x14ac:dyDescent="0.2">
      <c r="A311" t="s">
        <v>24</v>
      </c>
      <c r="B311">
        <f t="shared" si="105"/>
        <v>30115</v>
      </c>
      <c r="N311" t="s">
        <v>24</v>
      </c>
      <c r="O311" s="105">
        <v>30115</v>
      </c>
    </row>
    <row r="312" spans="1:15" x14ac:dyDescent="0.2">
      <c r="A312" t="s">
        <v>25</v>
      </c>
      <c r="B312">
        <f t="shared" si="105"/>
        <v>178835</v>
      </c>
      <c r="N312" t="s">
        <v>25</v>
      </c>
      <c r="O312" s="105">
        <v>178835</v>
      </c>
    </row>
    <row r="313" spans="1:15" x14ac:dyDescent="0.2">
      <c r="A313" t="s">
        <v>26</v>
      </c>
      <c r="B313">
        <f t="shared" si="105"/>
        <v>85295</v>
      </c>
      <c r="N313" t="s">
        <v>26</v>
      </c>
      <c r="O313" s="105">
        <v>85295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33103</v>
      </c>
      <c r="N317" t="s">
        <v>296</v>
      </c>
      <c r="O317" s="105">
        <v>33103</v>
      </c>
    </row>
    <row r="318" spans="1:15" x14ac:dyDescent="0.2">
      <c r="A318" t="s">
        <v>297</v>
      </c>
      <c r="B318">
        <f>O318*$B$1</f>
        <v>154992</v>
      </c>
      <c r="N318" t="s">
        <v>297</v>
      </c>
      <c r="O318" s="105">
        <v>154992</v>
      </c>
    </row>
    <row r="319" spans="1:15" x14ac:dyDescent="0.2">
      <c r="A319" t="s">
        <v>298</v>
      </c>
      <c r="B319">
        <f>O319*$B$1</f>
        <v>148379</v>
      </c>
      <c r="N319" t="s">
        <v>298</v>
      </c>
      <c r="O319" s="105">
        <v>148379</v>
      </c>
    </row>
    <row r="320" spans="1:15" x14ac:dyDescent="0.2">
      <c r="A320" t="s">
        <v>299</v>
      </c>
      <c r="B320">
        <f>O320*$B$1</f>
        <v>818426</v>
      </c>
      <c r="N320" t="s">
        <v>299</v>
      </c>
      <c r="O320" s="105">
        <v>818426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26477</v>
      </c>
      <c r="N324" t="s">
        <v>98</v>
      </c>
      <c r="O324" s="105">
        <v>26477</v>
      </c>
    </row>
    <row r="325" spans="1:16" x14ac:dyDescent="0.2">
      <c r="A325" t="s">
        <v>281</v>
      </c>
      <c r="B325">
        <f>O325*$B$1</f>
        <v>301126</v>
      </c>
      <c r="N325" t="s">
        <v>281</v>
      </c>
      <c r="O325" s="105">
        <v>301126</v>
      </c>
    </row>
    <row r="326" spans="1:16" x14ac:dyDescent="0.2">
      <c r="A326" t="s">
        <v>282</v>
      </c>
      <c r="B326">
        <f>O326*$B$1</f>
        <v>633787</v>
      </c>
      <c r="N326" t="s">
        <v>282</v>
      </c>
      <c r="O326" s="105">
        <v>633787</v>
      </c>
    </row>
    <row r="327" spans="1:16" x14ac:dyDescent="0.2">
      <c r="A327" t="s">
        <v>283</v>
      </c>
      <c r="B327">
        <f>O327*$B$1</f>
        <v>193731</v>
      </c>
      <c r="N327" t="s">
        <v>283</v>
      </c>
      <c r="O327" s="105">
        <v>193731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159549</v>
      </c>
      <c r="N331">
        <v>1</v>
      </c>
      <c r="O331" s="105">
        <v>159549</v>
      </c>
    </row>
    <row r="332" spans="1:16" x14ac:dyDescent="0.2">
      <c r="A332" t="s">
        <v>10863</v>
      </c>
      <c r="B332">
        <f>O332*$B$1</f>
        <v>14491</v>
      </c>
      <c r="N332">
        <v>2</v>
      </c>
      <c r="O332" s="105">
        <v>14491</v>
      </c>
    </row>
    <row r="333" spans="1:16" x14ac:dyDescent="0.2">
      <c r="A333" t="s">
        <v>10864</v>
      </c>
      <c r="B333">
        <f>O333*$B$1</f>
        <v>143414</v>
      </c>
      <c r="N333">
        <v>3</v>
      </c>
      <c r="O333" s="105">
        <v>143414</v>
      </c>
    </row>
    <row r="334" spans="1:16" x14ac:dyDescent="0.2">
      <c r="A334" t="s">
        <v>10865</v>
      </c>
      <c r="B334">
        <f>O334*$B$1</f>
        <v>114848</v>
      </c>
      <c r="N334">
        <v>4</v>
      </c>
      <c r="O334" s="105">
        <v>114848</v>
      </c>
    </row>
    <row r="335" spans="1:16" x14ac:dyDescent="0.2">
      <c r="A335" t="s">
        <v>1689</v>
      </c>
      <c r="B335">
        <f t="shared" ref="B335:B337" si="106">O335*$B$1</f>
        <v>152576</v>
      </c>
      <c r="N335">
        <v>5</v>
      </c>
      <c r="O335">
        <v>152576</v>
      </c>
    </row>
    <row r="336" spans="1:16" x14ac:dyDescent="0.2">
      <c r="A336" t="s">
        <v>10866</v>
      </c>
      <c r="B336">
        <f t="shared" si="106"/>
        <v>10929</v>
      </c>
      <c r="N336">
        <v>6</v>
      </c>
      <c r="O336">
        <v>10929</v>
      </c>
    </row>
    <row r="337" spans="1:15" x14ac:dyDescent="0.2">
      <c r="A337" t="s">
        <v>10867</v>
      </c>
      <c r="B337">
        <f t="shared" si="106"/>
        <v>559314</v>
      </c>
      <c r="O337">
        <v>559314</v>
      </c>
    </row>
  </sheetData>
  <phoneticPr fontId="5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A252" workbookViewId="0">
      <selection activeCell="G287" sqref="G287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12335.489299999999</v>
      </c>
      <c r="C4">
        <f t="shared" si="0"/>
        <v>5664.5200999999997</v>
      </c>
      <c r="D4">
        <f t="shared" si="0"/>
        <v>11504.18</v>
      </c>
      <c r="E4">
        <f t="shared" si="0"/>
        <v>6770.2892000000002</v>
      </c>
      <c r="F4">
        <f t="shared" si="0"/>
        <v>941.99800000000005</v>
      </c>
      <c r="G4">
        <f t="shared" si="0"/>
        <v>0</v>
      </c>
      <c r="H4">
        <f t="shared" si="0"/>
        <v>5459.0389999999998</v>
      </c>
      <c r="I4">
        <f t="shared" si="0"/>
        <v>5622.6423999999997</v>
      </c>
      <c r="J4">
        <f t="shared" si="0"/>
        <v>48298.157999999996</v>
      </c>
      <c r="N4">
        <v>0</v>
      </c>
      <c r="O4">
        <v>12335.489299999999</v>
      </c>
      <c r="P4">
        <v>5664.5200999999997</v>
      </c>
      <c r="Q4">
        <v>11504.18</v>
      </c>
      <c r="R4">
        <v>6770.2892000000002</v>
      </c>
      <c r="S4">
        <v>941.99800000000005</v>
      </c>
      <c r="T4">
        <v>0</v>
      </c>
      <c r="U4">
        <v>5459.0389999999998</v>
      </c>
      <c r="V4">
        <v>5622.6423999999997</v>
      </c>
      <c r="W4">
        <f>SUM(O4:V4)</f>
        <v>48298.157999999996</v>
      </c>
    </row>
    <row r="5" spans="1:23" x14ac:dyDescent="0.2">
      <c r="A5">
        <v>1</v>
      </c>
      <c r="B5">
        <f t="shared" si="0"/>
        <v>114127.67200000001</v>
      </c>
      <c r="C5">
        <f t="shared" si="0"/>
        <v>16877.941500000001</v>
      </c>
      <c r="D5">
        <f t="shared" si="0"/>
        <v>17572.563699999999</v>
      </c>
      <c r="E5">
        <f t="shared" si="0"/>
        <v>26163.9473</v>
      </c>
      <c r="F5">
        <f t="shared" si="0"/>
        <v>3871.7212999999997</v>
      </c>
      <c r="G5">
        <f t="shared" si="0"/>
        <v>6071.6220000000003</v>
      </c>
      <c r="H5">
        <f t="shared" si="0"/>
        <v>28493.8783</v>
      </c>
      <c r="I5">
        <f t="shared" si="0"/>
        <v>14319.1855</v>
      </c>
      <c r="J5">
        <f t="shared" si="0"/>
        <v>227498.53160000002</v>
      </c>
      <c r="N5">
        <v>1</v>
      </c>
      <c r="O5">
        <v>114127.67200000001</v>
      </c>
      <c r="P5">
        <v>16877.941500000001</v>
      </c>
      <c r="Q5">
        <v>17572.563699999999</v>
      </c>
      <c r="R5">
        <v>26163.9473</v>
      </c>
      <c r="S5">
        <v>3871.7212999999997</v>
      </c>
      <c r="T5">
        <v>6071.6220000000003</v>
      </c>
      <c r="U5">
        <v>28493.8783</v>
      </c>
      <c r="V5">
        <v>14319.1855</v>
      </c>
      <c r="W5">
        <f>SUM(O5:V5)</f>
        <v>227498.53160000002</v>
      </c>
    </row>
    <row r="6" spans="1:23" x14ac:dyDescent="0.2">
      <c r="A6">
        <v>2</v>
      </c>
      <c r="B6">
        <f t="shared" si="0"/>
        <v>38552.971799999999</v>
      </c>
      <c r="C6">
        <f t="shared" si="0"/>
        <v>7838.8414000000002</v>
      </c>
      <c r="D6">
        <f t="shared" si="0"/>
        <v>11066.16</v>
      </c>
      <c r="E6">
        <f t="shared" si="0"/>
        <v>13782.9084</v>
      </c>
      <c r="F6">
        <f t="shared" si="0"/>
        <v>2109.0448999999999</v>
      </c>
      <c r="G6">
        <f t="shared" si="0"/>
        <v>1940.1444999999999</v>
      </c>
      <c r="H6">
        <f t="shared" si="0"/>
        <v>24651.809700000002</v>
      </c>
      <c r="I6">
        <f t="shared" si="0"/>
        <v>7262.3218999999999</v>
      </c>
      <c r="J6">
        <f t="shared" si="0"/>
        <v>107204.20259999998</v>
      </c>
      <c r="N6">
        <v>2</v>
      </c>
      <c r="O6">
        <v>38552.971799999999</v>
      </c>
      <c r="P6">
        <v>7838.8414000000002</v>
      </c>
      <c r="Q6">
        <v>11066.16</v>
      </c>
      <c r="R6">
        <v>13782.9084</v>
      </c>
      <c r="S6">
        <v>2109.0448999999999</v>
      </c>
      <c r="T6">
        <v>1940.1444999999999</v>
      </c>
      <c r="U6">
        <v>24651.809700000002</v>
      </c>
      <c r="V6">
        <v>7262.3218999999999</v>
      </c>
      <c r="W6">
        <f>SUM(O6:V6)</f>
        <v>107204.20259999998</v>
      </c>
    </row>
    <row r="7" spans="1:23" x14ac:dyDescent="0.2">
      <c r="A7">
        <v>3</v>
      </c>
      <c r="B7">
        <f t="shared" si="0"/>
        <v>9018.3564999999999</v>
      </c>
      <c r="C7">
        <f t="shared" si="0"/>
        <v>5341.5374000000002</v>
      </c>
      <c r="D7">
        <f t="shared" si="0"/>
        <v>2207.4119999999998</v>
      </c>
      <c r="E7">
        <f t="shared" si="0"/>
        <v>11745.3925</v>
      </c>
      <c r="F7">
        <f t="shared" si="0"/>
        <v>423.09899999999999</v>
      </c>
      <c r="G7">
        <f t="shared" si="0"/>
        <v>0</v>
      </c>
      <c r="H7">
        <f t="shared" si="0"/>
        <v>1651.6732</v>
      </c>
      <c r="I7">
        <f t="shared" si="0"/>
        <v>2216.183</v>
      </c>
      <c r="J7">
        <f t="shared" si="0"/>
        <v>32603.653600000001</v>
      </c>
      <c r="N7">
        <v>3</v>
      </c>
      <c r="O7">
        <v>9018.3564999999999</v>
      </c>
      <c r="P7">
        <v>5341.5374000000002</v>
      </c>
      <c r="Q7">
        <v>2207.4119999999998</v>
      </c>
      <c r="R7">
        <v>11745.3925</v>
      </c>
      <c r="S7">
        <v>423.09899999999999</v>
      </c>
      <c r="T7">
        <v>0</v>
      </c>
      <c r="U7">
        <v>1651.6732</v>
      </c>
      <c r="V7">
        <v>2216.183</v>
      </c>
      <c r="W7">
        <f>SUM(O7:V7)</f>
        <v>32603.653600000001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J23" si="1">O11*$B$1</f>
        <v>12335.489299999999</v>
      </c>
      <c r="C11">
        <f t="shared" si="1"/>
        <v>5664.5200999999997</v>
      </c>
      <c r="D11">
        <f t="shared" si="1"/>
        <v>11504.18</v>
      </c>
      <c r="E11">
        <f t="shared" si="1"/>
        <v>6770.2892000000002</v>
      </c>
      <c r="F11">
        <f t="shared" si="1"/>
        <v>941.99800000000005</v>
      </c>
      <c r="G11">
        <f t="shared" si="1"/>
        <v>0</v>
      </c>
      <c r="H11">
        <f t="shared" si="1"/>
        <v>5459.0389999999998</v>
      </c>
      <c r="I11">
        <f t="shared" si="1"/>
        <v>5622.6423999999997</v>
      </c>
      <c r="J11">
        <f t="shared" si="1"/>
        <v>48298.157999999996</v>
      </c>
      <c r="N11" t="s">
        <v>226</v>
      </c>
      <c r="O11">
        <v>12335.489299999999</v>
      </c>
      <c r="P11">
        <v>5664.5200999999997</v>
      </c>
      <c r="Q11">
        <v>11504.18</v>
      </c>
      <c r="R11">
        <v>6770.2892000000002</v>
      </c>
      <c r="S11">
        <v>941.99800000000005</v>
      </c>
      <c r="T11">
        <v>0</v>
      </c>
      <c r="U11">
        <v>5459.0389999999998</v>
      </c>
      <c r="V11">
        <v>5622.6423999999997</v>
      </c>
      <c r="W11">
        <f>SUM(O11:V11)</f>
        <v>48298.157999999996</v>
      </c>
    </row>
    <row r="12" spans="1:23" x14ac:dyDescent="0.2">
      <c r="A12" s="95" t="s">
        <v>231</v>
      </c>
      <c r="B12">
        <f t="shared" si="1"/>
        <v>48670.701500000003</v>
      </c>
      <c r="C12">
        <f t="shared" si="1"/>
        <v>8960.0753999999997</v>
      </c>
      <c r="D12">
        <f t="shared" si="1"/>
        <v>7278.78</v>
      </c>
      <c r="E12">
        <f t="shared" si="1"/>
        <v>16361.6798</v>
      </c>
      <c r="F12">
        <f t="shared" si="1"/>
        <v>1734.6528999999998</v>
      </c>
      <c r="G12">
        <f t="shared" si="1"/>
        <v>3524.1048999999998</v>
      </c>
      <c r="H12">
        <f t="shared" si="1"/>
        <v>19207.8969</v>
      </c>
      <c r="I12">
        <f t="shared" si="1"/>
        <v>10522.8393</v>
      </c>
      <c r="J12">
        <f t="shared" si="1"/>
        <v>116260.73070000001</v>
      </c>
      <c r="N12" s="95" t="s">
        <v>231</v>
      </c>
      <c r="O12">
        <v>48670.701500000003</v>
      </c>
      <c r="P12">
        <v>8960.0753999999997</v>
      </c>
      <c r="Q12">
        <v>7278.78</v>
      </c>
      <c r="R12">
        <v>16361.6798</v>
      </c>
      <c r="S12">
        <v>1734.6528999999998</v>
      </c>
      <c r="T12">
        <v>3524.1048999999998</v>
      </c>
      <c r="U12">
        <v>19207.8969</v>
      </c>
      <c r="V12">
        <v>10522.8393</v>
      </c>
      <c r="W12">
        <f t="shared" ref="W12:W23" si="2">SUM(O12:V12)</f>
        <v>116260.73070000001</v>
      </c>
    </row>
    <row r="13" spans="1:23" x14ac:dyDescent="0.2">
      <c r="A13" s="93" t="s">
        <v>232</v>
      </c>
      <c r="B13">
        <f t="shared" si="1"/>
        <v>33992.593000000001</v>
      </c>
      <c r="C13">
        <f t="shared" si="1"/>
        <v>3381.4283</v>
      </c>
      <c r="D13">
        <f t="shared" si="1"/>
        <v>3607.7574</v>
      </c>
      <c r="E13">
        <f t="shared" si="1"/>
        <v>3744.4810000000002</v>
      </c>
      <c r="F13">
        <f t="shared" si="1"/>
        <v>254.52370000000002</v>
      </c>
      <c r="G13">
        <f t="shared" si="1"/>
        <v>2284.7264</v>
      </c>
      <c r="H13">
        <f t="shared" si="1"/>
        <v>4972.6278000000002</v>
      </c>
      <c r="I13">
        <f t="shared" si="1"/>
        <v>2381.1885000000002</v>
      </c>
      <c r="J13">
        <f t="shared" si="1"/>
        <v>54619.326100000006</v>
      </c>
      <c r="N13" s="93" t="s">
        <v>232</v>
      </c>
      <c r="O13">
        <v>33992.593000000001</v>
      </c>
      <c r="P13">
        <v>3381.4283</v>
      </c>
      <c r="Q13">
        <v>3607.7574</v>
      </c>
      <c r="R13">
        <v>3744.4810000000002</v>
      </c>
      <c r="S13">
        <v>254.52370000000002</v>
      </c>
      <c r="T13">
        <v>2284.7264</v>
      </c>
      <c r="U13">
        <v>4972.6278000000002</v>
      </c>
      <c r="V13">
        <v>2381.1885000000002</v>
      </c>
      <c r="W13">
        <f t="shared" si="2"/>
        <v>54619.326100000006</v>
      </c>
    </row>
    <row r="14" spans="1:23" x14ac:dyDescent="0.2">
      <c r="A14" s="93" t="s">
        <v>207</v>
      </c>
      <c r="B14">
        <f t="shared" si="1"/>
        <v>15983.1919</v>
      </c>
      <c r="C14">
        <f t="shared" si="1"/>
        <v>2204.3564999999999</v>
      </c>
      <c r="D14">
        <f t="shared" si="1"/>
        <v>3912.4391000000001</v>
      </c>
      <c r="E14">
        <f t="shared" si="1"/>
        <v>2200.4589999999998</v>
      </c>
      <c r="F14">
        <f t="shared" si="1"/>
        <v>1583.7572</v>
      </c>
      <c r="G14">
        <f t="shared" si="1"/>
        <v>262.79070000000002</v>
      </c>
      <c r="H14">
        <f t="shared" si="1"/>
        <v>2384.4313999999999</v>
      </c>
      <c r="I14">
        <f t="shared" si="1"/>
        <v>427.7441</v>
      </c>
      <c r="J14">
        <f t="shared" si="1"/>
        <v>28959.169900000001</v>
      </c>
      <c r="N14" s="93" t="s">
        <v>207</v>
      </c>
      <c r="O14">
        <v>15983.1919</v>
      </c>
      <c r="P14">
        <v>2204.3564999999999</v>
      </c>
      <c r="Q14">
        <v>3912.4391000000001</v>
      </c>
      <c r="R14">
        <v>2200.4589999999998</v>
      </c>
      <c r="S14">
        <v>1583.7572</v>
      </c>
      <c r="T14">
        <v>262.79070000000002</v>
      </c>
      <c r="U14">
        <v>2384.4313999999999</v>
      </c>
      <c r="V14">
        <v>427.7441</v>
      </c>
      <c r="W14">
        <f t="shared" si="2"/>
        <v>28959.169900000001</v>
      </c>
    </row>
    <row r="15" spans="1:23" x14ac:dyDescent="0.2">
      <c r="A15" t="s">
        <v>9</v>
      </c>
      <c r="B15">
        <f t="shared" si="1"/>
        <v>15481.185600000001</v>
      </c>
      <c r="C15">
        <f t="shared" si="1"/>
        <v>2332.0812999999998</v>
      </c>
      <c r="D15">
        <f t="shared" si="1"/>
        <v>2773.5871999999999</v>
      </c>
      <c r="E15">
        <f t="shared" si="1"/>
        <v>3857.3274999999999</v>
      </c>
      <c r="F15">
        <f t="shared" si="1"/>
        <v>298.78749999999997</v>
      </c>
      <c r="G15">
        <f t="shared" si="1"/>
        <v>0</v>
      </c>
      <c r="H15">
        <f t="shared" si="1"/>
        <v>1928.9222</v>
      </c>
      <c r="I15">
        <f t="shared" si="1"/>
        <v>987.41360000000009</v>
      </c>
      <c r="J15">
        <f t="shared" si="1"/>
        <v>27659.304900000003</v>
      </c>
      <c r="N15" t="s">
        <v>9</v>
      </c>
      <c r="O15">
        <v>15481.185600000001</v>
      </c>
      <c r="P15">
        <v>2332.0812999999998</v>
      </c>
      <c r="Q15">
        <v>2773.5871999999999</v>
      </c>
      <c r="R15">
        <v>3857.3274999999999</v>
      </c>
      <c r="S15">
        <v>298.78749999999997</v>
      </c>
      <c r="T15">
        <v>0</v>
      </c>
      <c r="U15">
        <v>1928.9222</v>
      </c>
      <c r="V15">
        <v>987.41360000000009</v>
      </c>
      <c r="W15">
        <f t="shared" si="2"/>
        <v>27659.304900000003</v>
      </c>
    </row>
    <row r="16" spans="1:23" x14ac:dyDescent="0.2">
      <c r="A16" s="95" t="s">
        <v>233</v>
      </c>
      <c r="B16">
        <f t="shared" si="1"/>
        <v>19741.959200000001</v>
      </c>
      <c r="C16">
        <f t="shared" si="1"/>
        <v>2088.8168999999998</v>
      </c>
      <c r="D16">
        <f t="shared" si="1"/>
        <v>4166.4179000000004</v>
      </c>
      <c r="E16">
        <f t="shared" si="1"/>
        <v>7099.5969999999998</v>
      </c>
      <c r="F16">
        <f t="shared" si="1"/>
        <v>78.068799999999996</v>
      </c>
      <c r="G16">
        <f t="shared" si="1"/>
        <v>805.20490000000007</v>
      </c>
      <c r="H16">
        <f t="shared" si="1"/>
        <v>15609.4984</v>
      </c>
      <c r="I16">
        <f t="shared" si="1"/>
        <v>4430.5447999999997</v>
      </c>
      <c r="J16">
        <f t="shared" si="1"/>
        <v>54020.107900000003</v>
      </c>
      <c r="N16" s="95" t="s">
        <v>233</v>
      </c>
      <c r="O16">
        <v>19741.959200000001</v>
      </c>
      <c r="P16">
        <v>2088.8168999999998</v>
      </c>
      <c r="Q16">
        <v>4166.4179000000004</v>
      </c>
      <c r="R16">
        <v>7099.5969999999998</v>
      </c>
      <c r="S16">
        <v>78.068799999999996</v>
      </c>
      <c r="T16">
        <v>805.20490000000007</v>
      </c>
      <c r="U16">
        <v>15609.4984</v>
      </c>
      <c r="V16">
        <v>4430.5447999999997</v>
      </c>
      <c r="W16">
        <f t="shared" si="2"/>
        <v>54020.107900000003</v>
      </c>
    </row>
    <row r="17" spans="1:23" x14ac:dyDescent="0.2">
      <c r="A17" s="93" t="s">
        <v>234</v>
      </c>
      <c r="B17">
        <f t="shared" si="1"/>
        <v>7482.0834999999997</v>
      </c>
      <c r="C17">
        <f t="shared" si="1"/>
        <v>1449.0882000000001</v>
      </c>
      <c r="D17">
        <f t="shared" si="1"/>
        <v>1884.6854000000001</v>
      </c>
      <c r="E17">
        <f t="shared" si="1"/>
        <v>1247.0649000000001</v>
      </c>
      <c r="F17">
        <f t="shared" si="1"/>
        <v>855.73559999999998</v>
      </c>
      <c r="G17">
        <f t="shared" si="1"/>
        <v>0</v>
      </c>
      <c r="H17">
        <f t="shared" si="1"/>
        <v>5469.8942999999999</v>
      </c>
      <c r="I17">
        <f t="shared" si="1"/>
        <v>967.24559999999997</v>
      </c>
      <c r="J17">
        <f t="shared" si="1"/>
        <v>19355.797499999997</v>
      </c>
      <c r="N17" s="93" t="s">
        <v>234</v>
      </c>
      <c r="O17">
        <v>7482.0834999999997</v>
      </c>
      <c r="P17">
        <v>1449.0882000000001</v>
      </c>
      <c r="Q17">
        <v>1884.6854000000001</v>
      </c>
      <c r="R17">
        <v>1247.0649000000001</v>
      </c>
      <c r="S17">
        <v>855.73559999999998</v>
      </c>
      <c r="T17">
        <v>0</v>
      </c>
      <c r="U17">
        <v>5469.8942999999999</v>
      </c>
      <c r="V17">
        <v>967.24559999999997</v>
      </c>
      <c r="W17">
        <f t="shared" si="2"/>
        <v>19355.797499999997</v>
      </c>
    </row>
    <row r="18" spans="1:23" x14ac:dyDescent="0.2">
      <c r="A18" s="93" t="s">
        <v>208</v>
      </c>
      <c r="B18">
        <f t="shared" si="1"/>
        <v>7465.7300999999998</v>
      </c>
      <c r="C18">
        <f t="shared" si="1"/>
        <v>2962.6325000000002</v>
      </c>
      <c r="D18">
        <f t="shared" si="1"/>
        <v>1493.5089</v>
      </c>
      <c r="E18">
        <f t="shared" si="1"/>
        <v>917.35680000000002</v>
      </c>
      <c r="F18">
        <f t="shared" si="1"/>
        <v>699.39319999999998</v>
      </c>
      <c r="G18">
        <f t="shared" si="1"/>
        <v>0</v>
      </c>
      <c r="H18">
        <f t="shared" si="1"/>
        <v>2215.2029000000002</v>
      </c>
      <c r="I18">
        <f t="shared" si="1"/>
        <v>1864.5315000000001</v>
      </c>
      <c r="J18">
        <f t="shared" si="1"/>
        <v>17618.355900000002</v>
      </c>
      <c r="N18" s="93" t="s">
        <v>208</v>
      </c>
      <c r="O18">
        <v>7465.7300999999998</v>
      </c>
      <c r="P18">
        <v>2962.6325000000002</v>
      </c>
      <c r="Q18">
        <v>1493.5089</v>
      </c>
      <c r="R18">
        <v>917.35680000000002</v>
      </c>
      <c r="S18">
        <v>699.39319999999998</v>
      </c>
      <c r="T18">
        <v>0</v>
      </c>
      <c r="U18">
        <v>2215.2029000000002</v>
      </c>
      <c r="V18">
        <v>1864.5315000000001</v>
      </c>
      <c r="W18">
        <f t="shared" si="2"/>
        <v>17618.355900000002</v>
      </c>
    </row>
    <row r="19" spans="1:23" x14ac:dyDescent="0.2">
      <c r="A19" t="s">
        <v>10</v>
      </c>
      <c r="B19">
        <f t="shared" si="1"/>
        <v>3863.1990000000001</v>
      </c>
      <c r="C19">
        <f t="shared" si="1"/>
        <v>1338.3038000000001</v>
      </c>
      <c r="D19">
        <f t="shared" si="1"/>
        <v>3521.5477999999998</v>
      </c>
      <c r="E19">
        <f t="shared" si="1"/>
        <v>4518.8896999999997</v>
      </c>
      <c r="F19">
        <f t="shared" si="1"/>
        <v>475.84730000000002</v>
      </c>
      <c r="G19">
        <f t="shared" si="1"/>
        <v>1134.9395999999999</v>
      </c>
      <c r="H19">
        <f t="shared" si="1"/>
        <v>1357.2141000000001</v>
      </c>
      <c r="I19">
        <f t="shared" si="1"/>
        <v>0</v>
      </c>
      <c r="J19">
        <f t="shared" si="1"/>
        <v>16209.941299999999</v>
      </c>
      <c r="N19" t="s">
        <v>10</v>
      </c>
      <c r="O19">
        <v>3863.1990000000001</v>
      </c>
      <c r="P19">
        <v>1338.3038000000001</v>
      </c>
      <c r="Q19">
        <v>3521.5477999999998</v>
      </c>
      <c r="R19">
        <v>4518.8896999999997</v>
      </c>
      <c r="S19">
        <v>475.84730000000002</v>
      </c>
      <c r="T19">
        <v>1134.9395999999999</v>
      </c>
      <c r="U19">
        <v>1357.2141000000001</v>
      </c>
      <c r="V19">
        <v>0</v>
      </c>
      <c r="W19">
        <f t="shared" si="2"/>
        <v>16209.941299999999</v>
      </c>
    </row>
    <row r="20" spans="1:23" x14ac:dyDescent="0.2">
      <c r="A20" s="95" t="s">
        <v>227</v>
      </c>
      <c r="B20">
        <f t="shared" si="1"/>
        <v>3895.1587</v>
      </c>
      <c r="C20">
        <f t="shared" si="1"/>
        <v>376.1189</v>
      </c>
      <c r="D20">
        <f t="shared" si="1"/>
        <v>724.71159999999998</v>
      </c>
      <c r="E20">
        <f t="shared" si="1"/>
        <v>4084.2604999999999</v>
      </c>
      <c r="F20">
        <f t="shared" si="1"/>
        <v>0</v>
      </c>
      <c r="G20">
        <f t="shared" si="1"/>
        <v>0</v>
      </c>
      <c r="H20">
        <f t="shared" si="1"/>
        <v>1459.9391000000001</v>
      </c>
      <c r="I20">
        <f t="shared" si="1"/>
        <v>1267.5135</v>
      </c>
      <c r="J20">
        <f t="shared" si="1"/>
        <v>11807.702300000001</v>
      </c>
      <c r="N20" s="95" t="s">
        <v>227</v>
      </c>
      <c r="O20">
        <v>3895.1587</v>
      </c>
      <c r="P20">
        <v>376.1189</v>
      </c>
      <c r="Q20">
        <v>724.71159999999998</v>
      </c>
      <c r="R20">
        <v>4084.2604999999999</v>
      </c>
      <c r="S20">
        <v>0</v>
      </c>
      <c r="T20">
        <v>0</v>
      </c>
      <c r="U20">
        <v>1459.9391000000001</v>
      </c>
      <c r="V20">
        <v>1267.5135</v>
      </c>
      <c r="W20">
        <f t="shared" si="2"/>
        <v>11807.702300000001</v>
      </c>
    </row>
    <row r="21" spans="1:23" x14ac:dyDescent="0.2">
      <c r="A21" s="93" t="s">
        <v>230</v>
      </c>
      <c r="B21">
        <f t="shared" si="1"/>
        <v>2814.7293</v>
      </c>
      <c r="C21">
        <f t="shared" si="1"/>
        <v>1489.4537</v>
      </c>
      <c r="D21">
        <f t="shared" si="1"/>
        <v>574.99149999999997</v>
      </c>
      <c r="E21">
        <f t="shared" si="1"/>
        <v>1947.2936</v>
      </c>
      <c r="F21">
        <f t="shared" si="1"/>
        <v>423.09899999999999</v>
      </c>
      <c r="G21">
        <f t="shared" si="1"/>
        <v>0</v>
      </c>
      <c r="H21">
        <f t="shared" si="1"/>
        <v>191.73410000000001</v>
      </c>
      <c r="I21">
        <f t="shared" si="1"/>
        <v>0</v>
      </c>
      <c r="J21">
        <f t="shared" si="1"/>
        <v>7441.3011999999999</v>
      </c>
      <c r="N21" s="93" t="s">
        <v>230</v>
      </c>
      <c r="O21">
        <v>2814.7293</v>
      </c>
      <c r="P21">
        <v>1489.4537</v>
      </c>
      <c r="Q21">
        <v>574.99149999999997</v>
      </c>
      <c r="R21">
        <v>1947.2936</v>
      </c>
      <c r="S21">
        <v>423.09899999999999</v>
      </c>
      <c r="T21">
        <v>0</v>
      </c>
      <c r="U21">
        <v>191.73410000000001</v>
      </c>
      <c r="V21">
        <v>0</v>
      </c>
      <c r="W21">
        <f t="shared" si="2"/>
        <v>7441.3011999999999</v>
      </c>
    </row>
    <row r="22" spans="1:23" x14ac:dyDescent="0.2">
      <c r="A22" s="93" t="s">
        <v>11</v>
      </c>
      <c r="B22">
        <f t="shared" si="1"/>
        <v>697.13210000000004</v>
      </c>
      <c r="C22">
        <f t="shared" si="1"/>
        <v>1594.7572</v>
      </c>
      <c r="D22">
        <f t="shared" si="1"/>
        <v>766.33590000000004</v>
      </c>
      <c r="E22">
        <f t="shared" si="1"/>
        <v>412.16459999999995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948.66949999999997</v>
      </c>
      <c r="J22">
        <f t="shared" si="1"/>
        <v>4419.0592999999999</v>
      </c>
      <c r="N22" s="93" t="s">
        <v>11</v>
      </c>
      <c r="O22">
        <v>697.13210000000004</v>
      </c>
      <c r="P22">
        <v>1594.7572</v>
      </c>
      <c r="Q22">
        <v>766.33590000000004</v>
      </c>
      <c r="R22">
        <v>412.16459999999995</v>
      </c>
      <c r="S22">
        <v>0</v>
      </c>
      <c r="T22">
        <v>0</v>
      </c>
      <c r="U22">
        <v>0</v>
      </c>
      <c r="V22">
        <v>948.66949999999997</v>
      </c>
      <c r="W22">
        <f t="shared" si="2"/>
        <v>4419.0592999999999</v>
      </c>
    </row>
    <row r="23" spans="1:23" x14ac:dyDescent="0.2">
      <c r="A23" t="s">
        <v>206</v>
      </c>
      <c r="B23">
        <f t="shared" si="1"/>
        <v>1611.3363999999999</v>
      </c>
      <c r="C23">
        <f t="shared" si="1"/>
        <v>1881.2076</v>
      </c>
      <c r="D23">
        <f t="shared" si="1"/>
        <v>141.37299999999999</v>
      </c>
      <c r="E23">
        <f t="shared" si="1"/>
        <v>5301.6737999999996</v>
      </c>
      <c r="F23">
        <f t="shared" si="1"/>
        <v>0</v>
      </c>
      <c r="G23">
        <f t="shared" si="1"/>
        <v>0</v>
      </c>
      <c r="H23">
        <f t="shared" si="1"/>
        <v>0</v>
      </c>
      <c r="I23">
        <f t="shared" si="1"/>
        <v>0</v>
      </c>
      <c r="J23">
        <f t="shared" si="1"/>
        <v>8935.5907999999999</v>
      </c>
      <c r="N23" t="s">
        <v>206</v>
      </c>
      <c r="O23">
        <v>1611.3363999999999</v>
      </c>
      <c r="P23">
        <v>1881.2076</v>
      </c>
      <c r="Q23">
        <v>141.37299999999999</v>
      </c>
      <c r="R23">
        <v>5301.6737999999996</v>
      </c>
      <c r="S23">
        <v>0</v>
      </c>
      <c r="T23">
        <v>0</v>
      </c>
      <c r="U23">
        <v>0</v>
      </c>
      <c r="V23">
        <v>0</v>
      </c>
      <c r="W23">
        <f t="shared" si="2"/>
        <v>8935.5907999999999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J32" si="3">O29*$B$1</f>
        <v>33100.374199999998</v>
      </c>
      <c r="C29">
        <f t="shared" si="3"/>
        <v>22033.653000000002</v>
      </c>
      <c r="D29">
        <f t="shared" si="3"/>
        <v>40284.049899999998</v>
      </c>
      <c r="E29">
        <f t="shared" si="3"/>
        <v>56506.675499999998</v>
      </c>
      <c r="F29">
        <f t="shared" si="3"/>
        <v>3806.7114999999999</v>
      </c>
      <c r="G29">
        <f t="shared" si="3"/>
        <v>7283.4059999999999</v>
      </c>
      <c r="H29">
        <f t="shared" si="3"/>
        <v>59331.710400000004</v>
      </c>
      <c r="I29">
        <f t="shared" si="3"/>
        <v>29420.3328</v>
      </c>
      <c r="J29">
        <f t="shared" si="3"/>
        <v>251766.91330000001</v>
      </c>
      <c r="N29" t="s">
        <v>226</v>
      </c>
      <c r="O29">
        <v>33100.374199999998</v>
      </c>
      <c r="P29">
        <v>22033.653000000002</v>
      </c>
      <c r="Q29">
        <v>40284.049899999998</v>
      </c>
      <c r="R29">
        <v>56506.675499999998</v>
      </c>
      <c r="S29">
        <v>3806.7114999999999</v>
      </c>
      <c r="T29">
        <v>7283.4059999999999</v>
      </c>
      <c r="U29">
        <v>59331.710400000004</v>
      </c>
      <c r="V29">
        <v>29420.3328</v>
      </c>
      <c r="W29">
        <f>SUM(O29:V29)</f>
        <v>251766.91330000001</v>
      </c>
    </row>
    <row r="30" spans="1:23" x14ac:dyDescent="0.2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1258.7035000000001</v>
      </c>
      <c r="G30">
        <f t="shared" si="3"/>
        <v>728.3605</v>
      </c>
      <c r="H30">
        <f t="shared" si="3"/>
        <v>0</v>
      </c>
      <c r="I30">
        <f t="shared" si="3"/>
        <v>0</v>
      </c>
      <c r="J30">
        <f t="shared" si="3"/>
        <v>1987.0640000000001</v>
      </c>
      <c r="N30" t="s">
        <v>235</v>
      </c>
      <c r="O30">
        <v>0</v>
      </c>
      <c r="P30">
        <v>0</v>
      </c>
      <c r="Q30">
        <v>0</v>
      </c>
      <c r="R30">
        <v>0</v>
      </c>
      <c r="S30">
        <v>1258.7035000000001</v>
      </c>
      <c r="T30">
        <v>728.3605</v>
      </c>
      <c r="U30">
        <v>0</v>
      </c>
      <c r="V30">
        <v>0</v>
      </c>
      <c r="W30">
        <f>SUM(O30:V30)</f>
        <v>1987.0640000000001</v>
      </c>
    </row>
    <row r="31" spans="1:23" x14ac:dyDescent="0.2">
      <c r="A31" t="s">
        <v>236</v>
      </c>
      <c r="B31">
        <f t="shared" si="3"/>
        <v>126290.93210000001</v>
      </c>
      <c r="C31">
        <f t="shared" si="3"/>
        <v>12703.308300000001</v>
      </c>
      <c r="D31">
        <f t="shared" si="3"/>
        <v>1303.2951</v>
      </c>
      <c r="E31">
        <f t="shared" si="3"/>
        <v>1031.1721</v>
      </c>
      <c r="F31">
        <f t="shared" si="3"/>
        <v>2138.1581000000001</v>
      </c>
      <c r="G31">
        <f t="shared" si="3"/>
        <v>0</v>
      </c>
      <c r="H31">
        <f t="shared" si="3"/>
        <v>924.68979999999999</v>
      </c>
      <c r="I31">
        <f t="shared" si="3"/>
        <v>0</v>
      </c>
      <c r="J31">
        <f t="shared" si="3"/>
        <v>144391.55549999999</v>
      </c>
      <c r="N31" t="s">
        <v>236</v>
      </c>
      <c r="O31">
        <v>126290.93210000001</v>
      </c>
      <c r="P31">
        <v>12703.308300000001</v>
      </c>
      <c r="Q31">
        <v>1303.2951</v>
      </c>
      <c r="R31">
        <v>1031.1721</v>
      </c>
      <c r="S31">
        <v>2138.1581000000001</v>
      </c>
      <c r="T31">
        <v>0</v>
      </c>
      <c r="U31">
        <v>924.68979999999999</v>
      </c>
      <c r="V31">
        <v>0</v>
      </c>
      <c r="W31">
        <f>SUM(O31:V31)</f>
        <v>144391.55549999999</v>
      </c>
    </row>
    <row r="32" spans="1:23" x14ac:dyDescent="0.2">
      <c r="A32" t="s">
        <v>173</v>
      </c>
      <c r="B32">
        <f t="shared" si="3"/>
        <v>14643.183300000001</v>
      </c>
      <c r="C32">
        <f t="shared" si="3"/>
        <v>985.87909999999999</v>
      </c>
      <c r="D32">
        <f t="shared" si="3"/>
        <v>762.97069999999997</v>
      </c>
      <c r="E32">
        <f t="shared" si="3"/>
        <v>924.68979999999999</v>
      </c>
      <c r="F32">
        <f t="shared" si="3"/>
        <v>142.2901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17459.012999999999</v>
      </c>
      <c r="N32" t="s">
        <v>173</v>
      </c>
      <c r="O32">
        <v>14643.183300000001</v>
      </c>
      <c r="P32">
        <v>985.87909999999999</v>
      </c>
      <c r="Q32">
        <v>762.97069999999997</v>
      </c>
      <c r="R32">
        <v>924.68979999999999</v>
      </c>
      <c r="S32">
        <v>142.2901</v>
      </c>
      <c r="T32">
        <v>0</v>
      </c>
      <c r="U32">
        <v>0</v>
      </c>
      <c r="V32">
        <v>0</v>
      </c>
      <c r="W32">
        <f>SUM(O32:V32)</f>
        <v>17459.012999999999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J39" si="4">O36*$B$1</f>
        <v>170305.19519999999</v>
      </c>
      <c r="C36">
        <f t="shared" si="4"/>
        <v>32216.057499999999</v>
      </c>
      <c r="D36">
        <f t="shared" si="4"/>
        <v>41908.572999999997</v>
      </c>
      <c r="E36">
        <f t="shared" si="4"/>
        <v>55327.396000000001</v>
      </c>
      <c r="F36">
        <f t="shared" si="4"/>
        <v>5110.0509999999995</v>
      </c>
      <c r="G36">
        <f t="shared" si="4"/>
        <v>76.335899999999995</v>
      </c>
      <c r="H36">
        <f t="shared" si="4"/>
        <v>13569.1749</v>
      </c>
      <c r="I36">
        <f t="shared" si="4"/>
        <v>20256.0717</v>
      </c>
      <c r="J36">
        <f t="shared" si="4"/>
        <v>338768.85519999999</v>
      </c>
      <c r="N36" t="s">
        <v>226</v>
      </c>
      <c r="O36">
        <v>170305.19519999999</v>
      </c>
      <c r="P36">
        <v>32216.057499999999</v>
      </c>
      <c r="Q36">
        <v>41908.572999999997</v>
      </c>
      <c r="R36">
        <v>55327.396000000001</v>
      </c>
      <c r="S36">
        <v>5110.0509999999995</v>
      </c>
      <c r="T36">
        <v>76.335899999999995</v>
      </c>
      <c r="U36">
        <v>13569.1749</v>
      </c>
      <c r="V36">
        <v>20256.0717</v>
      </c>
      <c r="W36">
        <f>SUM(O36:V36)</f>
        <v>338768.85519999999</v>
      </c>
    </row>
    <row r="37" spans="1:23" x14ac:dyDescent="0.2">
      <c r="A37" t="s">
        <v>235</v>
      </c>
      <c r="B37">
        <f t="shared" si="4"/>
        <v>764.64599999999996</v>
      </c>
      <c r="C37">
        <f t="shared" si="4"/>
        <v>380.9837</v>
      </c>
      <c r="D37">
        <f t="shared" si="4"/>
        <v>0</v>
      </c>
      <c r="E37">
        <f t="shared" si="4"/>
        <v>0</v>
      </c>
      <c r="F37">
        <f t="shared" si="4"/>
        <v>118.39579999999999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1264.0255</v>
      </c>
      <c r="N37" t="s">
        <v>235</v>
      </c>
      <c r="O37">
        <v>764.64599999999996</v>
      </c>
      <c r="P37">
        <v>380.9837</v>
      </c>
      <c r="Q37">
        <v>0</v>
      </c>
      <c r="R37">
        <v>0</v>
      </c>
      <c r="S37">
        <v>118.39579999999999</v>
      </c>
      <c r="T37">
        <v>0</v>
      </c>
      <c r="U37">
        <v>0</v>
      </c>
      <c r="V37">
        <v>0</v>
      </c>
      <c r="W37">
        <f>SUM(O37:V37)</f>
        <v>1264.0255</v>
      </c>
    </row>
    <row r="38" spans="1:23" x14ac:dyDescent="0.2">
      <c r="A38" t="s">
        <v>236</v>
      </c>
      <c r="B38">
        <f t="shared" si="4"/>
        <v>2964.6484</v>
      </c>
      <c r="C38">
        <f t="shared" si="4"/>
        <v>3125.7991999999999</v>
      </c>
      <c r="D38">
        <f t="shared" si="4"/>
        <v>441.74270000000001</v>
      </c>
      <c r="E38">
        <f t="shared" si="4"/>
        <v>3135.1414</v>
      </c>
      <c r="F38">
        <f t="shared" si="4"/>
        <v>2074.0754000000002</v>
      </c>
      <c r="G38">
        <f t="shared" si="4"/>
        <v>7935.4305999999997</v>
      </c>
      <c r="H38">
        <f t="shared" si="4"/>
        <v>43648.592300000004</v>
      </c>
      <c r="I38">
        <f t="shared" si="4"/>
        <v>9164.2610999999997</v>
      </c>
      <c r="J38">
        <f t="shared" si="4"/>
        <v>72489.691099999996</v>
      </c>
      <c r="N38" t="s">
        <v>236</v>
      </c>
      <c r="O38">
        <v>2964.6484</v>
      </c>
      <c r="P38">
        <v>3125.7991999999999</v>
      </c>
      <c r="Q38">
        <v>441.74270000000001</v>
      </c>
      <c r="R38">
        <v>3135.1414</v>
      </c>
      <c r="S38">
        <v>2074.0754000000002</v>
      </c>
      <c r="T38">
        <v>7935.4305999999997</v>
      </c>
      <c r="U38">
        <v>43648.592300000004</v>
      </c>
      <c r="V38">
        <v>9164.2610999999997</v>
      </c>
      <c r="W38">
        <f>SUM(O38:V38)</f>
        <v>72489.691099999996</v>
      </c>
    </row>
    <row r="39" spans="1:23" x14ac:dyDescent="0.2">
      <c r="A39" t="s">
        <v>173</v>
      </c>
      <c r="B39">
        <f t="shared" si="4"/>
        <v>0</v>
      </c>
      <c r="C39">
        <f t="shared" si="4"/>
        <v>0</v>
      </c>
      <c r="D39">
        <f t="shared" si="4"/>
        <v>0</v>
      </c>
      <c r="E39">
        <f t="shared" si="4"/>
        <v>0</v>
      </c>
      <c r="F39">
        <f t="shared" si="4"/>
        <v>43.341000000000001</v>
      </c>
      <c r="G39">
        <f t="shared" si="4"/>
        <v>0</v>
      </c>
      <c r="H39">
        <f t="shared" si="4"/>
        <v>3038.6329999999998</v>
      </c>
      <c r="I39">
        <f t="shared" si="4"/>
        <v>0</v>
      </c>
      <c r="J39">
        <f t="shared" si="4"/>
        <v>3081.9739999999997</v>
      </c>
      <c r="N39" t="s">
        <v>173</v>
      </c>
      <c r="O39">
        <v>0</v>
      </c>
      <c r="P39">
        <v>0</v>
      </c>
      <c r="Q39">
        <v>0</v>
      </c>
      <c r="R39">
        <v>0</v>
      </c>
      <c r="S39">
        <v>43.341000000000001</v>
      </c>
      <c r="T39">
        <v>0</v>
      </c>
      <c r="U39">
        <v>3038.6329999999998</v>
      </c>
      <c r="V39">
        <v>0</v>
      </c>
      <c r="W39">
        <f>SUM(O39:V39)</f>
        <v>3081.9739999999997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J46" si="5">O43*$B$1</f>
        <v>137038.98730000001</v>
      </c>
      <c r="C43">
        <f t="shared" si="5"/>
        <v>27721.0317</v>
      </c>
      <c r="D43">
        <f t="shared" si="5"/>
        <v>36243.093099999998</v>
      </c>
      <c r="E43">
        <f t="shared" si="5"/>
        <v>38240.5602</v>
      </c>
      <c r="F43">
        <f t="shared" si="5"/>
        <v>5840.0237999999999</v>
      </c>
      <c r="G43">
        <f t="shared" si="5"/>
        <v>6774.8627999999999</v>
      </c>
      <c r="H43">
        <f t="shared" si="5"/>
        <v>53337.608399999997</v>
      </c>
      <c r="I43">
        <f t="shared" si="5"/>
        <v>24396.644799999998</v>
      </c>
      <c r="J43">
        <f t="shared" si="5"/>
        <v>329592.81209999998</v>
      </c>
      <c r="N43" t="s">
        <v>226</v>
      </c>
      <c r="O43">
        <v>137038.98730000001</v>
      </c>
      <c r="P43">
        <v>27721.0317</v>
      </c>
      <c r="Q43">
        <v>36243.093099999998</v>
      </c>
      <c r="R43">
        <v>38240.5602</v>
      </c>
      <c r="S43">
        <v>5840.0237999999999</v>
      </c>
      <c r="T43">
        <v>6774.8627999999999</v>
      </c>
      <c r="U43">
        <v>53337.608399999997</v>
      </c>
      <c r="V43">
        <v>24396.644799999998</v>
      </c>
      <c r="W43">
        <f>SUM(O43:V43)</f>
        <v>329592.81209999998</v>
      </c>
    </row>
    <row r="44" spans="1:23" x14ac:dyDescent="0.2">
      <c r="A44" t="s">
        <v>235</v>
      </c>
      <c r="B44">
        <f t="shared" si="5"/>
        <v>23374.019100000001</v>
      </c>
      <c r="C44">
        <f t="shared" si="5"/>
        <v>1080.5936999999999</v>
      </c>
      <c r="D44">
        <f t="shared" si="5"/>
        <v>324.66919999999999</v>
      </c>
      <c r="E44">
        <f t="shared" si="5"/>
        <v>176.34800000000001</v>
      </c>
      <c r="F44">
        <f t="shared" si="5"/>
        <v>240.02160000000001</v>
      </c>
      <c r="G44">
        <f t="shared" si="5"/>
        <v>101.9641</v>
      </c>
      <c r="H44">
        <f t="shared" si="5"/>
        <v>3699.4147000000003</v>
      </c>
      <c r="I44">
        <f t="shared" si="5"/>
        <v>567.35719999999992</v>
      </c>
      <c r="J44">
        <f t="shared" si="5"/>
        <v>29564.387600000005</v>
      </c>
      <c r="N44" t="s">
        <v>235</v>
      </c>
      <c r="O44">
        <v>23374.019100000001</v>
      </c>
      <c r="P44">
        <v>1080.5936999999999</v>
      </c>
      <c r="Q44">
        <v>324.66919999999999</v>
      </c>
      <c r="R44">
        <v>176.34800000000001</v>
      </c>
      <c r="S44">
        <v>240.02160000000001</v>
      </c>
      <c r="T44">
        <v>101.9641</v>
      </c>
      <c r="U44">
        <v>3699.4147000000003</v>
      </c>
      <c r="V44">
        <v>567.35719999999992</v>
      </c>
      <c r="W44">
        <f>SUM(O44:V44)</f>
        <v>29564.387600000005</v>
      </c>
    </row>
    <row r="45" spans="1:23" x14ac:dyDescent="0.2">
      <c r="A45" t="s">
        <v>236</v>
      </c>
      <c r="B45">
        <f t="shared" si="5"/>
        <v>9942.7122999999992</v>
      </c>
      <c r="C45">
        <f t="shared" si="5"/>
        <v>3132.5191</v>
      </c>
      <c r="D45">
        <f t="shared" si="5"/>
        <v>4177.4389000000001</v>
      </c>
      <c r="E45">
        <f t="shared" si="5"/>
        <v>13519.519399999999</v>
      </c>
      <c r="F45">
        <f t="shared" si="5"/>
        <v>497.83750000000003</v>
      </c>
      <c r="G45">
        <f t="shared" si="5"/>
        <v>1134.9395999999999</v>
      </c>
      <c r="H45">
        <f t="shared" si="5"/>
        <v>1718.5706</v>
      </c>
      <c r="I45">
        <f t="shared" si="5"/>
        <v>3771.7691</v>
      </c>
      <c r="J45">
        <f t="shared" si="5"/>
        <v>37895.306499999999</v>
      </c>
      <c r="N45" t="s">
        <v>236</v>
      </c>
      <c r="O45">
        <v>9942.7122999999992</v>
      </c>
      <c r="P45">
        <v>3132.5191</v>
      </c>
      <c r="Q45">
        <v>4177.4389000000001</v>
      </c>
      <c r="R45">
        <v>13519.519399999999</v>
      </c>
      <c r="S45">
        <v>497.83750000000003</v>
      </c>
      <c r="T45">
        <v>1134.9395999999999</v>
      </c>
      <c r="U45">
        <v>1718.5706</v>
      </c>
      <c r="V45">
        <v>3771.7691</v>
      </c>
      <c r="W45">
        <f>SUM(O45:V45)</f>
        <v>37895.306499999999</v>
      </c>
    </row>
    <row r="46" spans="1:23" x14ac:dyDescent="0.2">
      <c r="A46" t="s">
        <v>173</v>
      </c>
      <c r="B46">
        <f t="shared" si="5"/>
        <v>3678.7709</v>
      </c>
      <c r="C46">
        <f t="shared" si="5"/>
        <v>3788.6959000000002</v>
      </c>
      <c r="D46">
        <f t="shared" si="5"/>
        <v>1605.1144999999999</v>
      </c>
      <c r="E46">
        <f t="shared" si="5"/>
        <v>6526.1098000000002</v>
      </c>
      <c r="F46">
        <f t="shared" si="5"/>
        <v>767.98029999999994</v>
      </c>
      <c r="G46">
        <f t="shared" si="5"/>
        <v>0</v>
      </c>
      <c r="H46">
        <f t="shared" si="5"/>
        <v>1500.8065000000001</v>
      </c>
      <c r="I46">
        <f t="shared" si="5"/>
        <v>684.56169999999997</v>
      </c>
      <c r="J46">
        <f t="shared" si="5"/>
        <v>18552.039599999996</v>
      </c>
      <c r="N46" t="s">
        <v>173</v>
      </c>
      <c r="O46">
        <v>3678.7709</v>
      </c>
      <c r="P46">
        <v>3788.6959000000002</v>
      </c>
      <c r="Q46">
        <v>1605.1144999999999</v>
      </c>
      <c r="R46">
        <v>6526.1098000000002</v>
      </c>
      <c r="S46">
        <v>767.98029999999994</v>
      </c>
      <c r="T46">
        <v>0</v>
      </c>
      <c r="U46">
        <v>1500.8065000000001</v>
      </c>
      <c r="V46">
        <v>684.56169999999997</v>
      </c>
      <c r="W46">
        <f>SUM(O46:V46)</f>
        <v>18552.039599999996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J53" si="6">O50*$B$1</f>
        <v>142007.76010000001</v>
      </c>
      <c r="C50">
        <f t="shared" si="6"/>
        <v>25014.513299999999</v>
      </c>
      <c r="D50">
        <f t="shared" si="6"/>
        <v>29350.241999999998</v>
      </c>
      <c r="E50">
        <f t="shared" si="6"/>
        <v>38005.197</v>
      </c>
      <c r="F50">
        <f t="shared" si="6"/>
        <v>5594.7368999999999</v>
      </c>
      <c r="G50">
        <f t="shared" si="6"/>
        <v>6302.4853999999996</v>
      </c>
      <c r="H50">
        <f t="shared" si="6"/>
        <v>45579.790200000003</v>
      </c>
      <c r="I50">
        <f t="shared" si="6"/>
        <v>22821.061799999999</v>
      </c>
      <c r="J50">
        <f t="shared" si="6"/>
        <v>314675.78670000006</v>
      </c>
      <c r="N50" t="s">
        <v>226</v>
      </c>
      <c r="O50">
        <v>142007.76010000001</v>
      </c>
      <c r="P50">
        <v>25014.513299999999</v>
      </c>
      <c r="Q50">
        <v>29350.241999999998</v>
      </c>
      <c r="R50">
        <v>38005.197</v>
      </c>
      <c r="S50">
        <v>5594.7368999999999</v>
      </c>
      <c r="T50">
        <v>6302.4853999999996</v>
      </c>
      <c r="U50">
        <v>45579.790200000003</v>
      </c>
      <c r="V50">
        <v>22821.061799999999</v>
      </c>
      <c r="W50">
        <f>SUM(O50:V50)</f>
        <v>314675.78670000006</v>
      </c>
    </row>
    <row r="51" spans="1:23" x14ac:dyDescent="0.2">
      <c r="A51" t="s">
        <v>235</v>
      </c>
      <c r="B51">
        <f t="shared" si="6"/>
        <v>19193.176500000001</v>
      </c>
      <c r="C51">
        <f t="shared" si="6"/>
        <v>6941.1058000000003</v>
      </c>
      <c r="D51">
        <f t="shared" si="6"/>
        <v>4306.6911</v>
      </c>
      <c r="E51">
        <f t="shared" si="6"/>
        <v>7695.9543000000003</v>
      </c>
      <c r="F51">
        <f t="shared" si="6"/>
        <v>1324.3523</v>
      </c>
      <c r="G51">
        <f t="shared" si="6"/>
        <v>1090.5309999999999</v>
      </c>
      <c r="H51">
        <f t="shared" si="6"/>
        <v>5856.7937000000002</v>
      </c>
      <c r="I51">
        <f t="shared" si="6"/>
        <v>1569.0448000000001</v>
      </c>
      <c r="J51">
        <f t="shared" si="6"/>
        <v>47977.649500000007</v>
      </c>
      <c r="N51" t="s">
        <v>235</v>
      </c>
      <c r="O51">
        <v>19193.176500000001</v>
      </c>
      <c r="P51">
        <v>6941.1058000000003</v>
      </c>
      <c r="Q51">
        <v>4306.6911</v>
      </c>
      <c r="R51">
        <v>7695.9543000000003</v>
      </c>
      <c r="S51">
        <v>1324.3523</v>
      </c>
      <c r="T51">
        <v>1090.5309999999999</v>
      </c>
      <c r="U51">
        <v>5856.7937000000002</v>
      </c>
      <c r="V51">
        <v>1569.0448000000001</v>
      </c>
      <c r="W51">
        <f>SUM(O51:V51)</f>
        <v>47977.649500000007</v>
      </c>
    </row>
    <row r="52" spans="1:23" x14ac:dyDescent="0.2">
      <c r="A52" t="s">
        <v>236</v>
      </c>
      <c r="B52">
        <f t="shared" si="6"/>
        <v>10553.0062</v>
      </c>
      <c r="C52">
        <f t="shared" si="6"/>
        <v>2594.5693999999999</v>
      </c>
      <c r="D52">
        <f t="shared" si="6"/>
        <v>4992.7515000000003</v>
      </c>
      <c r="E52">
        <f t="shared" si="6"/>
        <v>10542.5288</v>
      </c>
      <c r="F52">
        <f t="shared" si="6"/>
        <v>426.774</v>
      </c>
      <c r="G52">
        <f t="shared" si="6"/>
        <v>618.75010000000009</v>
      </c>
      <c r="H52">
        <f t="shared" si="6"/>
        <v>8819.8163000000004</v>
      </c>
      <c r="I52">
        <f t="shared" si="6"/>
        <v>2949.0236999999997</v>
      </c>
      <c r="J52">
        <f t="shared" si="6"/>
        <v>41497.22</v>
      </c>
      <c r="N52" t="s">
        <v>236</v>
      </c>
      <c r="O52">
        <v>10553.0062</v>
      </c>
      <c r="P52">
        <v>2594.5693999999999</v>
      </c>
      <c r="Q52">
        <v>4992.7515000000003</v>
      </c>
      <c r="R52">
        <v>10542.5288</v>
      </c>
      <c r="S52">
        <v>426.774</v>
      </c>
      <c r="T52">
        <v>618.75010000000009</v>
      </c>
      <c r="U52">
        <v>8819.8163000000004</v>
      </c>
      <c r="V52">
        <v>2949.0236999999997</v>
      </c>
      <c r="W52">
        <f>SUM(O52:V52)</f>
        <v>41497.22</v>
      </c>
    </row>
    <row r="53" spans="1:23" x14ac:dyDescent="0.2">
      <c r="A53" t="s">
        <v>173</v>
      </c>
      <c r="B53">
        <f t="shared" si="6"/>
        <v>2280.5468000000001</v>
      </c>
      <c r="C53">
        <f t="shared" si="6"/>
        <v>1172.6518999999998</v>
      </c>
      <c r="D53">
        <f t="shared" si="6"/>
        <v>3700.6311000000001</v>
      </c>
      <c r="E53">
        <f t="shared" si="6"/>
        <v>2218.8573000000001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2081.2024999999999</v>
      </c>
      <c r="J53">
        <f t="shared" si="6"/>
        <v>11453.889599999999</v>
      </c>
      <c r="N53" t="s">
        <v>173</v>
      </c>
      <c r="O53">
        <v>2280.5468000000001</v>
      </c>
      <c r="P53">
        <v>1172.6518999999998</v>
      </c>
      <c r="Q53">
        <v>3700.6311000000001</v>
      </c>
      <c r="R53">
        <v>2218.8573000000001</v>
      </c>
      <c r="S53">
        <v>0</v>
      </c>
      <c r="T53">
        <v>0</v>
      </c>
      <c r="U53">
        <v>0</v>
      </c>
      <c r="V53">
        <v>2081.2024999999999</v>
      </c>
      <c r="W53">
        <f>SUM(O53:V53)</f>
        <v>11453.889599999999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J60" si="7">O57*$B$1</f>
        <v>127769.663</v>
      </c>
      <c r="C57">
        <f t="shared" si="7"/>
        <v>23963.385600000001</v>
      </c>
      <c r="D57">
        <f t="shared" si="7"/>
        <v>23635.3344</v>
      </c>
      <c r="E57">
        <f t="shared" si="7"/>
        <v>36550.071900000003</v>
      </c>
      <c r="F57">
        <f t="shared" si="7"/>
        <v>4668.1840000000002</v>
      </c>
      <c r="G57">
        <f t="shared" si="7"/>
        <v>7385.1049999999996</v>
      </c>
      <c r="H57">
        <f t="shared" si="7"/>
        <v>52909.478300000002</v>
      </c>
      <c r="I57">
        <f t="shared" si="7"/>
        <v>23228.267599999999</v>
      </c>
      <c r="J57">
        <f t="shared" si="7"/>
        <v>300109.48980000004</v>
      </c>
      <c r="N57" t="s">
        <v>226</v>
      </c>
      <c r="O57">
        <v>127769.663</v>
      </c>
      <c r="P57">
        <v>23963.385600000001</v>
      </c>
      <c r="Q57">
        <v>23635.3344</v>
      </c>
      <c r="R57">
        <v>36550.071900000003</v>
      </c>
      <c r="S57">
        <v>4668.1840000000002</v>
      </c>
      <c r="T57">
        <v>7385.1049999999996</v>
      </c>
      <c r="U57">
        <v>52909.478300000002</v>
      </c>
      <c r="V57">
        <v>23228.267599999999</v>
      </c>
      <c r="W57">
        <f>SUM(O57:V57)</f>
        <v>300109.48980000004</v>
      </c>
    </row>
    <row r="58" spans="1:23" x14ac:dyDescent="0.2">
      <c r="A58" t="s">
        <v>235</v>
      </c>
      <c r="B58">
        <f t="shared" si="7"/>
        <v>38795.4061</v>
      </c>
      <c r="C58">
        <f t="shared" si="7"/>
        <v>4864.9309000000003</v>
      </c>
      <c r="D58">
        <f t="shared" si="7"/>
        <v>7405.3796999999995</v>
      </c>
      <c r="E58">
        <f t="shared" si="7"/>
        <v>8745.1746999999996</v>
      </c>
      <c r="F58">
        <f t="shared" si="7"/>
        <v>2212.5517</v>
      </c>
      <c r="G58">
        <f t="shared" si="7"/>
        <v>626.66150000000005</v>
      </c>
      <c r="H58">
        <f t="shared" si="7"/>
        <v>5453.0187999999998</v>
      </c>
      <c r="I58">
        <f t="shared" si="7"/>
        <v>1382.8743999999999</v>
      </c>
      <c r="J58">
        <f t="shared" si="7"/>
        <v>69485.997799999997</v>
      </c>
      <c r="N58" t="s">
        <v>235</v>
      </c>
      <c r="O58">
        <v>38795.4061</v>
      </c>
      <c r="P58">
        <v>4864.9309000000003</v>
      </c>
      <c r="Q58">
        <v>7405.3796999999995</v>
      </c>
      <c r="R58">
        <v>8745.1746999999996</v>
      </c>
      <c r="S58">
        <v>2212.5517</v>
      </c>
      <c r="T58">
        <v>626.66150000000005</v>
      </c>
      <c r="U58">
        <v>5453.0187999999998</v>
      </c>
      <c r="V58">
        <v>1382.8743999999999</v>
      </c>
      <c r="W58">
        <f>SUM(O58:V58)</f>
        <v>69485.997799999997</v>
      </c>
    </row>
    <row r="59" spans="1:23" x14ac:dyDescent="0.2">
      <c r="A59" t="s">
        <v>236</v>
      </c>
      <c r="B59">
        <f t="shared" si="7"/>
        <v>6384.7569000000003</v>
      </c>
      <c r="C59">
        <f t="shared" si="7"/>
        <v>2623.3530000000001</v>
      </c>
      <c r="D59">
        <f t="shared" si="7"/>
        <v>6566.7114000000001</v>
      </c>
      <c r="E59">
        <f t="shared" si="7"/>
        <v>9925.5267999999996</v>
      </c>
      <c r="F59">
        <f t="shared" si="7"/>
        <v>19.977</v>
      </c>
      <c r="G59">
        <f t="shared" si="7"/>
        <v>0</v>
      </c>
      <c r="H59">
        <f t="shared" si="7"/>
        <v>1893.9031</v>
      </c>
      <c r="I59">
        <f t="shared" si="7"/>
        <v>2198.9047</v>
      </c>
      <c r="J59">
        <f t="shared" si="7"/>
        <v>29613.132899999997</v>
      </c>
      <c r="N59" t="s">
        <v>236</v>
      </c>
      <c r="O59">
        <v>6384.7569000000003</v>
      </c>
      <c r="P59">
        <v>2623.3530000000001</v>
      </c>
      <c r="Q59">
        <v>6566.7114000000001</v>
      </c>
      <c r="R59">
        <v>9925.5267999999996</v>
      </c>
      <c r="S59">
        <v>19.977</v>
      </c>
      <c r="T59">
        <v>0</v>
      </c>
      <c r="U59">
        <v>1893.9031</v>
      </c>
      <c r="V59">
        <v>2198.9047</v>
      </c>
      <c r="W59">
        <f>SUM(O59:V59)</f>
        <v>29613.132899999997</v>
      </c>
    </row>
    <row r="60" spans="1:23" x14ac:dyDescent="0.2">
      <c r="A60" t="s">
        <v>173</v>
      </c>
      <c r="B60">
        <f t="shared" si="7"/>
        <v>1084.6636000000001</v>
      </c>
      <c r="C60">
        <f t="shared" si="7"/>
        <v>4271.1709000000001</v>
      </c>
      <c r="D60">
        <f t="shared" si="7"/>
        <v>4742.8901999999998</v>
      </c>
      <c r="E60">
        <f t="shared" si="7"/>
        <v>3241.7640000000001</v>
      </c>
      <c r="F60">
        <f t="shared" si="7"/>
        <v>445.15050000000002</v>
      </c>
      <c r="G60">
        <f t="shared" si="7"/>
        <v>0</v>
      </c>
      <c r="H60">
        <f t="shared" si="7"/>
        <v>0</v>
      </c>
      <c r="I60">
        <f t="shared" si="7"/>
        <v>2610.2861000000003</v>
      </c>
      <c r="J60">
        <f t="shared" si="7"/>
        <v>16395.925299999999</v>
      </c>
      <c r="N60" t="s">
        <v>173</v>
      </c>
      <c r="O60">
        <v>1084.6636000000001</v>
      </c>
      <c r="P60">
        <v>4271.1709000000001</v>
      </c>
      <c r="Q60">
        <v>4742.8901999999998</v>
      </c>
      <c r="R60">
        <v>3241.7640000000001</v>
      </c>
      <c r="S60">
        <v>445.15050000000002</v>
      </c>
      <c r="T60">
        <v>0</v>
      </c>
      <c r="U60">
        <v>0</v>
      </c>
      <c r="V60">
        <v>2610.2861000000003</v>
      </c>
      <c r="W60">
        <f>SUM(O60:V60)</f>
        <v>16395.925299999999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J67" si="8">O64*$B$1</f>
        <v>151148.2519</v>
      </c>
      <c r="C64">
        <f t="shared" si="8"/>
        <v>27308.849900000001</v>
      </c>
      <c r="D64">
        <f t="shared" si="8"/>
        <v>34768.708500000001</v>
      </c>
      <c r="E64">
        <f t="shared" si="8"/>
        <v>44401.305</v>
      </c>
      <c r="F64">
        <f t="shared" si="8"/>
        <v>6240.6562999999996</v>
      </c>
      <c r="G64">
        <f t="shared" si="8"/>
        <v>6876.8269</v>
      </c>
      <c r="H64">
        <f t="shared" si="8"/>
        <v>56275.240100000003</v>
      </c>
      <c r="I64">
        <f t="shared" si="8"/>
        <v>27900.676599999999</v>
      </c>
      <c r="J64">
        <f t="shared" si="8"/>
        <v>354920.51519999997</v>
      </c>
      <c r="N64" t="s">
        <v>226</v>
      </c>
      <c r="O64">
        <v>151148.2519</v>
      </c>
      <c r="P64">
        <v>27308.849900000001</v>
      </c>
      <c r="Q64">
        <v>34768.708500000001</v>
      </c>
      <c r="R64">
        <v>44401.305</v>
      </c>
      <c r="S64">
        <v>6240.6562999999996</v>
      </c>
      <c r="T64">
        <v>6876.8269</v>
      </c>
      <c r="U64">
        <v>56275.240100000003</v>
      </c>
      <c r="V64">
        <v>27900.676599999999</v>
      </c>
      <c r="W64">
        <f>SUM(O64:V64)</f>
        <v>354920.51519999997</v>
      </c>
    </row>
    <row r="65" spans="1:23" x14ac:dyDescent="0.2">
      <c r="A65" t="s">
        <v>235</v>
      </c>
      <c r="B65">
        <f t="shared" si="8"/>
        <v>16911.1695</v>
      </c>
      <c r="C65">
        <f t="shared" si="8"/>
        <v>6986.8311000000003</v>
      </c>
      <c r="D65">
        <f t="shared" si="8"/>
        <v>3533.9387999999999</v>
      </c>
      <c r="E65">
        <f t="shared" si="8"/>
        <v>8649.2976999999992</v>
      </c>
      <c r="F65">
        <f t="shared" si="8"/>
        <v>529.43679999999995</v>
      </c>
      <c r="G65">
        <f t="shared" si="8"/>
        <v>1134.9395999999999</v>
      </c>
      <c r="H65">
        <f t="shared" si="8"/>
        <v>1175.2190000000001</v>
      </c>
      <c r="I65">
        <f t="shared" si="8"/>
        <v>787.41840000000002</v>
      </c>
      <c r="J65">
        <f t="shared" si="8"/>
        <v>39708.250899999999</v>
      </c>
      <c r="N65" t="s">
        <v>235</v>
      </c>
      <c r="O65">
        <v>16911.1695</v>
      </c>
      <c r="P65">
        <v>6986.8311000000003</v>
      </c>
      <c r="Q65">
        <v>3533.9387999999999</v>
      </c>
      <c r="R65">
        <v>8649.2976999999992</v>
      </c>
      <c r="S65">
        <v>529.43679999999995</v>
      </c>
      <c r="T65">
        <v>1134.9395999999999</v>
      </c>
      <c r="U65">
        <v>1175.2190000000001</v>
      </c>
      <c r="V65">
        <v>787.41840000000002</v>
      </c>
      <c r="W65">
        <f>SUM(O65:V65)</f>
        <v>39708.250899999999</v>
      </c>
    </row>
    <row r="66" spans="1:23" x14ac:dyDescent="0.2">
      <c r="A66" t="s">
        <v>236</v>
      </c>
      <c r="B66">
        <f t="shared" si="8"/>
        <v>4726.4058999999997</v>
      </c>
      <c r="C66">
        <f t="shared" si="8"/>
        <v>1427.1594</v>
      </c>
      <c r="D66">
        <f t="shared" si="8"/>
        <v>2996.7473</v>
      </c>
      <c r="E66">
        <f t="shared" si="8"/>
        <v>4464.4160000000002</v>
      </c>
      <c r="F66">
        <f t="shared" si="8"/>
        <v>575.77009999999996</v>
      </c>
      <c r="G66">
        <f t="shared" si="8"/>
        <v>0</v>
      </c>
      <c r="H66">
        <f t="shared" si="8"/>
        <v>1937.4670000000001</v>
      </c>
      <c r="I66">
        <f t="shared" si="8"/>
        <v>732.23779999999999</v>
      </c>
      <c r="J66">
        <f t="shared" si="8"/>
        <v>16860.203500000003</v>
      </c>
      <c r="N66" t="s">
        <v>236</v>
      </c>
      <c r="O66">
        <v>4726.4058999999997</v>
      </c>
      <c r="P66">
        <v>1427.1594</v>
      </c>
      <c r="Q66">
        <v>2996.7473</v>
      </c>
      <c r="R66">
        <v>4464.4160000000002</v>
      </c>
      <c r="S66">
        <v>575.77009999999996</v>
      </c>
      <c r="T66">
        <v>0</v>
      </c>
      <c r="U66">
        <v>1937.4670000000001</v>
      </c>
      <c r="V66">
        <v>732.23779999999999</v>
      </c>
      <c r="W66">
        <f>SUM(O66:V66)</f>
        <v>16860.203500000003</v>
      </c>
    </row>
    <row r="67" spans="1:23" x14ac:dyDescent="0.2">
      <c r="A67" t="s">
        <v>173</v>
      </c>
      <c r="B67">
        <f t="shared" si="8"/>
        <v>1248.6623</v>
      </c>
      <c r="C67">
        <f t="shared" si="8"/>
        <v>0</v>
      </c>
      <c r="D67">
        <f t="shared" si="8"/>
        <v>1050.9211</v>
      </c>
      <c r="E67">
        <f t="shared" si="8"/>
        <v>947.51869999999997</v>
      </c>
      <c r="F67">
        <f t="shared" si="8"/>
        <v>0</v>
      </c>
      <c r="G67">
        <f t="shared" si="8"/>
        <v>0</v>
      </c>
      <c r="H67">
        <f t="shared" si="8"/>
        <v>868.47409999999991</v>
      </c>
      <c r="I67">
        <f t="shared" si="8"/>
        <v>0</v>
      </c>
      <c r="J67">
        <f t="shared" si="8"/>
        <v>4115.5761999999995</v>
      </c>
      <c r="N67" t="s">
        <v>173</v>
      </c>
      <c r="O67">
        <v>1248.6623</v>
      </c>
      <c r="P67">
        <v>0</v>
      </c>
      <c r="Q67">
        <v>1050.9211</v>
      </c>
      <c r="R67">
        <v>947.51869999999997</v>
      </c>
      <c r="S67">
        <v>0</v>
      </c>
      <c r="T67">
        <v>0</v>
      </c>
      <c r="U67">
        <v>868.47409999999991</v>
      </c>
      <c r="V67">
        <v>0</v>
      </c>
      <c r="W67">
        <f>SUM(O67:V67)</f>
        <v>4115.5761999999995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J74" si="9">O71*$B$1</f>
        <v>134288.71530000001</v>
      </c>
      <c r="C71">
        <f t="shared" si="9"/>
        <v>26357.6387</v>
      </c>
      <c r="D71">
        <f t="shared" si="9"/>
        <v>30449.577099999999</v>
      </c>
      <c r="E71">
        <f t="shared" si="9"/>
        <v>27860.466899999999</v>
      </c>
      <c r="F71">
        <f t="shared" si="9"/>
        <v>5035.3301999999994</v>
      </c>
      <c r="G71">
        <f t="shared" si="9"/>
        <v>6351.2455</v>
      </c>
      <c r="H71">
        <f t="shared" si="9"/>
        <v>40063.891799999998</v>
      </c>
      <c r="I71">
        <f t="shared" si="9"/>
        <v>20600.590100000001</v>
      </c>
      <c r="J71">
        <f t="shared" si="9"/>
        <v>291007.45559999999</v>
      </c>
      <c r="N71" t="s">
        <v>226</v>
      </c>
      <c r="O71">
        <v>134288.71530000001</v>
      </c>
      <c r="P71">
        <v>26357.6387</v>
      </c>
      <c r="Q71">
        <v>30449.577099999999</v>
      </c>
      <c r="R71">
        <v>27860.466899999999</v>
      </c>
      <c r="S71">
        <v>5035.3301999999994</v>
      </c>
      <c r="T71">
        <v>6351.2455</v>
      </c>
      <c r="U71">
        <v>40063.891799999998</v>
      </c>
      <c r="V71">
        <v>20600.590100000001</v>
      </c>
      <c r="W71">
        <f>SUM(O71:V71)</f>
        <v>291007.45559999999</v>
      </c>
    </row>
    <row r="72" spans="1:23" x14ac:dyDescent="0.2">
      <c r="A72" t="s">
        <v>235</v>
      </c>
      <c r="B72">
        <f t="shared" si="9"/>
        <v>15648.909799999999</v>
      </c>
      <c r="C72">
        <f t="shared" si="9"/>
        <v>2779.2795000000001</v>
      </c>
      <c r="D72">
        <f t="shared" si="9"/>
        <v>2292.6025</v>
      </c>
      <c r="E72">
        <f t="shared" si="9"/>
        <v>8053.6233000000002</v>
      </c>
      <c r="F72">
        <f t="shared" si="9"/>
        <v>212.82899999999998</v>
      </c>
      <c r="G72">
        <f t="shared" si="9"/>
        <v>1397.7302999999999</v>
      </c>
      <c r="H72">
        <f t="shared" si="9"/>
        <v>4904.3001000000004</v>
      </c>
      <c r="I72">
        <f t="shared" si="9"/>
        <v>1232.5978</v>
      </c>
      <c r="J72">
        <f t="shared" si="9"/>
        <v>36521.872300000003</v>
      </c>
      <c r="N72" t="s">
        <v>235</v>
      </c>
      <c r="O72">
        <v>15648.909799999999</v>
      </c>
      <c r="P72">
        <v>2779.2795000000001</v>
      </c>
      <c r="Q72">
        <v>2292.6025</v>
      </c>
      <c r="R72">
        <v>8053.6233000000002</v>
      </c>
      <c r="S72">
        <v>212.82899999999998</v>
      </c>
      <c r="T72">
        <v>1397.7302999999999</v>
      </c>
      <c r="U72">
        <v>4904.3001000000004</v>
      </c>
      <c r="V72">
        <v>1232.5978</v>
      </c>
      <c r="W72">
        <f>SUM(O72:V72)</f>
        <v>36521.872300000003</v>
      </c>
    </row>
    <row r="73" spans="1:23" x14ac:dyDescent="0.2">
      <c r="A73" t="s">
        <v>236</v>
      </c>
      <c r="B73">
        <f t="shared" si="9"/>
        <v>21401.967100000002</v>
      </c>
      <c r="C73">
        <f t="shared" si="9"/>
        <v>5392.1031000000003</v>
      </c>
      <c r="D73">
        <f t="shared" si="9"/>
        <v>7336.1563999999998</v>
      </c>
      <c r="E73">
        <f t="shared" si="9"/>
        <v>17452.665499999999</v>
      </c>
      <c r="F73">
        <f t="shared" si="9"/>
        <v>1769.6054999999999</v>
      </c>
      <c r="G73">
        <f t="shared" si="9"/>
        <v>262.79070000000002</v>
      </c>
      <c r="H73">
        <f t="shared" si="9"/>
        <v>14608.1297</v>
      </c>
      <c r="I73">
        <f t="shared" si="9"/>
        <v>7143.6117999999997</v>
      </c>
      <c r="J73">
        <f t="shared" si="9"/>
        <v>75367.029799999989</v>
      </c>
      <c r="N73" t="s">
        <v>236</v>
      </c>
      <c r="O73">
        <v>21401.967100000002</v>
      </c>
      <c r="P73">
        <v>5392.1031000000003</v>
      </c>
      <c r="Q73">
        <v>7336.1563999999998</v>
      </c>
      <c r="R73">
        <v>17452.665499999999</v>
      </c>
      <c r="S73">
        <v>1769.6054999999999</v>
      </c>
      <c r="T73">
        <v>262.79070000000002</v>
      </c>
      <c r="U73">
        <v>14608.1297</v>
      </c>
      <c r="V73">
        <v>7143.6117999999997</v>
      </c>
      <c r="W73">
        <f>SUM(O73:V73)</f>
        <v>75367.029799999989</v>
      </c>
    </row>
    <row r="74" spans="1:23" x14ac:dyDescent="0.2">
      <c r="A74" t="s">
        <v>173</v>
      </c>
      <c r="B74">
        <f t="shared" si="9"/>
        <v>2694.8973999999998</v>
      </c>
      <c r="C74">
        <f t="shared" si="9"/>
        <v>1193.8190999999999</v>
      </c>
      <c r="D74">
        <f t="shared" si="9"/>
        <v>2271.9796999999999</v>
      </c>
      <c r="E74">
        <f t="shared" si="9"/>
        <v>5095.7816999999995</v>
      </c>
      <c r="F74">
        <f t="shared" si="9"/>
        <v>328.0985</v>
      </c>
      <c r="G74">
        <f t="shared" si="9"/>
        <v>0</v>
      </c>
      <c r="H74">
        <f t="shared" si="9"/>
        <v>680.07859999999994</v>
      </c>
      <c r="I74">
        <f t="shared" si="9"/>
        <v>443.53309999999999</v>
      </c>
      <c r="J74">
        <f t="shared" si="9"/>
        <v>12708.188099999999</v>
      </c>
      <c r="N74" t="s">
        <v>173</v>
      </c>
      <c r="O74">
        <v>2694.8973999999998</v>
      </c>
      <c r="P74">
        <v>1193.8190999999999</v>
      </c>
      <c r="Q74">
        <v>2271.9796999999999</v>
      </c>
      <c r="R74">
        <v>5095.7816999999995</v>
      </c>
      <c r="S74">
        <v>328.0985</v>
      </c>
      <c r="T74">
        <v>0</v>
      </c>
      <c r="U74">
        <v>680.07859999999994</v>
      </c>
      <c r="V74">
        <v>443.53309999999999</v>
      </c>
      <c r="W74">
        <f>SUM(O74:V74)</f>
        <v>12708.188099999999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33100.374199999998</v>
      </c>
      <c r="C80">
        <f t="shared" si="10"/>
        <v>22033.653000000002</v>
      </c>
      <c r="D80">
        <f t="shared" si="10"/>
        <v>40284.049899999998</v>
      </c>
      <c r="E80">
        <f t="shared" si="10"/>
        <v>56506.675499999998</v>
      </c>
      <c r="F80">
        <f t="shared" si="10"/>
        <v>5065.415</v>
      </c>
      <c r="G80">
        <f t="shared" si="10"/>
        <v>8011.7664999999997</v>
      </c>
      <c r="H80">
        <f t="shared" si="10"/>
        <v>59331.710400000004</v>
      </c>
      <c r="I80">
        <f t="shared" si="10"/>
        <v>29420.3328</v>
      </c>
      <c r="J80">
        <f t="shared" si="10"/>
        <v>253753.97730000003</v>
      </c>
      <c r="N80">
        <v>0</v>
      </c>
      <c r="O80">
        <v>33100.374199999998</v>
      </c>
      <c r="P80">
        <v>22033.653000000002</v>
      </c>
      <c r="Q80">
        <v>40284.049899999998</v>
      </c>
      <c r="R80">
        <v>56506.675499999998</v>
      </c>
      <c r="S80">
        <v>5065.415</v>
      </c>
      <c r="T80">
        <v>8011.7664999999997</v>
      </c>
      <c r="U80">
        <v>59331.710400000004</v>
      </c>
      <c r="V80">
        <v>29420.3328</v>
      </c>
      <c r="W80">
        <f>SUM(O80:V80)</f>
        <v>253753.97730000003</v>
      </c>
    </row>
    <row r="81" spans="1:23" x14ac:dyDescent="0.2">
      <c r="A81">
        <v>1</v>
      </c>
      <c r="B81">
        <f t="shared" si="10"/>
        <v>138329.62650000001</v>
      </c>
      <c r="C81">
        <f t="shared" si="10"/>
        <v>12822.7801</v>
      </c>
      <c r="D81">
        <f t="shared" si="10"/>
        <v>1773.2345</v>
      </c>
      <c r="E81">
        <f t="shared" si="10"/>
        <v>1955.8619000000001</v>
      </c>
      <c r="F81">
        <f t="shared" si="10"/>
        <v>2150.3980999999999</v>
      </c>
      <c r="G81">
        <f t="shared" si="10"/>
        <v>0</v>
      </c>
      <c r="H81">
        <f t="shared" si="10"/>
        <v>924.68979999999999</v>
      </c>
      <c r="I81">
        <f t="shared" si="10"/>
        <v>0</v>
      </c>
      <c r="J81">
        <f t="shared" si="10"/>
        <v>157956.59089999998</v>
      </c>
      <c r="N81">
        <v>1</v>
      </c>
      <c r="O81">
        <v>138329.62650000001</v>
      </c>
      <c r="P81">
        <v>12822.7801</v>
      </c>
      <c r="Q81">
        <v>1773.2345</v>
      </c>
      <c r="R81">
        <v>1955.8619000000001</v>
      </c>
      <c r="S81">
        <v>2150.3980999999999</v>
      </c>
      <c r="T81">
        <v>0</v>
      </c>
      <c r="U81">
        <v>924.68979999999999</v>
      </c>
      <c r="V81">
        <v>0</v>
      </c>
      <c r="W81">
        <f>SUM(O81:V81)</f>
        <v>157956.59089999998</v>
      </c>
    </row>
    <row r="82" spans="1:23" x14ac:dyDescent="0.2">
      <c r="A82">
        <v>2</v>
      </c>
      <c r="B82">
        <f t="shared" si="10"/>
        <v>2377.5322999999999</v>
      </c>
      <c r="C82">
        <f t="shared" si="10"/>
        <v>866.40729999999996</v>
      </c>
      <c r="D82">
        <f t="shared" si="10"/>
        <v>293.03129999999999</v>
      </c>
      <c r="E82">
        <f t="shared" si="10"/>
        <v>0</v>
      </c>
      <c r="F82">
        <f t="shared" si="10"/>
        <v>130.05009999999999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3667.0209999999997</v>
      </c>
      <c r="N82">
        <v>2</v>
      </c>
      <c r="O82">
        <v>2377.5322999999999</v>
      </c>
      <c r="P82">
        <v>866.40729999999996</v>
      </c>
      <c r="Q82">
        <v>293.03129999999999</v>
      </c>
      <c r="R82">
        <v>0</v>
      </c>
      <c r="S82">
        <v>130.05009999999999</v>
      </c>
      <c r="T82">
        <v>0</v>
      </c>
      <c r="U82">
        <v>0</v>
      </c>
      <c r="V82">
        <v>0</v>
      </c>
      <c r="W82">
        <f>SUM(O82:V82)</f>
        <v>3667.0209999999997</v>
      </c>
    </row>
    <row r="83" spans="1:23" x14ac:dyDescent="0.2">
      <c r="A83" t="s">
        <v>116</v>
      </c>
      <c r="B83">
        <f t="shared" si="10"/>
        <v>226.95660000000001</v>
      </c>
      <c r="C83">
        <f t="shared" si="10"/>
        <v>0</v>
      </c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226.95660000000001</v>
      </c>
      <c r="N83" t="s">
        <v>116</v>
      </c>
      <c r="O83">
        <v>226.95660000000001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f>SUM(O83:V83)</f>
        <v>226.95660000000001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171069.8412</v>
      </c>
      <c r="C87">
        <f t="shared" si="11"/>
        <v>32597.0412</v>
      </c>
      <c r="D87">
        <f t="shared" si="11"/>
        <v>41908.572999999997</v>
      </c>
      <c r="E87">
        <f t="shared" si="11"/>
        <v>55327.396000000001</v>
      </c>
      <c r="F87">
        <f t="shared" si="11"/>
        <v>5228.4467999999997</v>
      </c>
      <c r="G87">
        <f t="shared" si="11"/>
        <v>76.335899999999995</v>
      </c>
      <c r="H87">
        <f t="shared" si="11"/>
        <v>13569.1749</v>
      </c>
      <c r="I87">
        <f t="shared" si="11"/>
        <v>20256.0717</v>
      </c>
      <c r="J87">
        <f t="shared" si="11"/>
        <v>340032.88069999998</v>
      </c>
      <c r="N87">
        <v>0</v>
      </c>
      <c r="O87">
        <v>171069.8412</v>
      </c>
      <c r="P87">
        <v>32597.0412</v>
      </c>
      <c r="Q87">
        <v>41908.572999999997</v>
      </c>
      <c r="R87">
        <v>55327.396000000001</v>
      </c>
      <c r="S87">
        <v>5228.4467999999997</v>
      </c>
      <c r="T87">
        <v>76.335899999999995</v>
      </c>
      <c r="U87">
        <v>13569.1749</v>
      </c>
      <c r="V87">
        <v>20256.0717</v>
      </c>
      <c r="W87">
        <f>SUM(O87:V87)</f>
        <v>340032.88069999998</v>
      </c>
    </row>
    <row r="88" spans="1:23" x14ac:dyDescent="0.2">
      <c r="A88">
        <v>1</v>
      </c>
      <c r="B88">
        <f t="shared" si="11"/>
        <v>2964.6484</v>
      </c>
      <c r="C88">
        <f t="shared" si="11"/>
        <v>2920.2535000000003</v>
      </c>
      <c r="D88">
        <f t="shared" si="11"/>
        <v>441.74270000000001</v>
      </c>
      <c r="E88">
        <f t="shared" si="11"/>
        <v>3135.1414</v>
      </c>
      <c r="F88">
        <f t="shared" si="11"/>
        <v>2117.4164000000001</v>
      </c>
      <c r="G88">
        <f t="shared" si="11"/>
        <v>7935.4305999999997</v>
      </c>
      <c r="H88">
        <f t="shared" si="11"/>
        <v>44834.660300000003</v>
      </c>
      <c r="I88">
        <f t="shared" si="11"/>
        <v>8726.902</v>
      </c>
      <c r="J88">
        <f t="shared" si="11"/>
        <v>73076.195300000007</v>
      </c>
      <c r="N88">
        <v>1</v>
      </c>
      <c r="O88">
        <v>2964.6484</v>
      </c>
      <c r="P88">
        <v>2920.2535000000003</v>
      </c>
      <c r="Q88">
        <v>441.74270000000001</v>
      </c>
      <c r="R88">
        <v>3135.1414</v>
      </c>
      <c r="S88">
        <v>2117.4164000000001</v>
      </c>
      <c r="T88">
        <v>7935.4305999999997</v>
      </c>
      <c r="U88">
        <v>44834.660300000003</v>
      </c>
      <c r="V88">
        <v>8726.902</v>
      </c>
      <c r="W88">
        <f>SUM(O88:V88)</f>
        <v>73076.195300000007</v>
      </c>
    </row>
    <row r="89" spans="1:23" x14ac:dyDescent="0.2">
      <c r="A89">
        <v>2</v>
      </c>
      <c r="B89">
        <f t="shared" si="11"/>
        <v>0</v>
      </c>
      <c r="C89">
        <f t="shared" si="11"/>
        <v>205.54570000000001</v>
      </c>
      <c r="D89">
        <f t="shared" si="11"/>
        <v>0</v>
      </c>
      <c r="E89">
        <f t="shared" si="11"/>
        <v>0</v>
      </c>
      <c r="F89">
        <f t="shared" si="11"/>
        <v>0</v>
      </c>
      <c r="G89">
        <f t="shared" si="11"/>
        <v>0</v>
      </c>
      <c r="H89">
        <f t="shared" si="11"/>
        <v>1852.5650000000001</v>
      </c>
      <c r="I89">
        <f t="shared" si="11"/>
        <v>437.35910000000001</v>
      </c>
      <c r="J89">
        <f t="shared" si="11"/>
        <v>2495.4698000000003</v>
      </c>
      <c r="N89">
        <v>2</v>
      </c>
      <c r="O89">
        <v>0</v>
      </c>
      <c r="P89">
        <v>205.54570000000001</v>
      </c>
      <c r="Q89">
        <v>0</v>
      </c>
      <c r="R89">
        <v>0</v>
      </c>
      <c r="S89">
        <v>0</v>
      </c>
      <c r="T89">
        <v>0</v>
      </c>
      <c r="U89">
        <v>1852.5650000000001</v>
      </c>
      <c r="V89">
        <v>437.35910000000001</v>
      </c>
      <c r="W89">
        <f>SUM(O89:V89)</f>
        <v>2495.4698000000003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0</v>
      </c>
      <c r="G90">
        <f t="shared" si="11"/>
        <v>0</v>
      </c>
      <c r="H90">
        <f t="shared" si="11"/>
        <v>0</v>
      </c>
      <c r="I90">
        <f t="shared" si="11"/>
        <v>0</v>
      </c>
      <c r="J90">
        <f t="shared" si="11"/>
        <v>0</v>
      </c>
      <c r="N90" t="s">
        <v>116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160413.00640000001</v>
      </c>
      <c r="C94">
        <f t="shared" si="12"/>
        <v>28801.625400000001</v>
      </c>
      <c r="D94">
        <f t="shared" si="12"/>
        <v>36567.762300000002</v>
      </c>
      <c r="E94">
        <f t="shared" si="12"/>
        <v>38416.908199999998</v>
      </c>
      <c r="F94">
        <f t="shared" si="12"/>
        <v>6080.0454</v>
      </c>
      <c r="G94">
        <f t="shared" si="12"/>
        <v>6876.8269</v>
      </c>
      <c r="H94">
        <f t="shared" si="12"/>
        <v>57037.023099999999</v>
      </c>
      <c r="I94">
        <f t="shared" si="12"/>
        <v>24964.002</v>
      </c>
      <c r="J94">
        <f t="shared" si="12"/>
        <v>359157.19969999994</v>
      </c>
      <c r="N94">
        <v>0</v>
      </c>
      <c r="O94">
        <v>160413.00640000001</v>
      </c>
      <c r="P94">
        <v>28801.625400000001</v>
      </c>
      <c r="Q94">
        <v>36567.762300000002</v>
      </c>
      <c r="R94">
        <v>38416.908199999998</v>
      </c>
      <c r="S94">
        <v>6080.0454</v>
      </c>
      <c r="T94">
        <v>6876.8269</v>
      </c>
      <c r="U94">
        <v>57037.023099999999</v>
      </c>
      <c r="V94">
        <v>24964.002</v>
      </c>
      <c r="W94">
        <f>SUM(O94:V94)</f>
        <v>359157.19969999994</v>
      </c>
    </row>
    <row r="95" spans="1:23" x14ac:dyDescent="0.2">
      <c r="A95">
        <v>1</v>
      </c>
      <c r="B95">
        <f t="shared" si="12"/>
        <v>10324.152700000001</v>
      </c>
      <c r="C95">
        <f t="shared" si="12"/>
        <v>4200.2017999999998</v>
      </c>
      <c r="D95">
        <f t="shared" si="12"/>
        <v>5023.5501999999997</v>
      </c>
      <c r="E95">
        <f t="shared" si="12"/>
        <v>12003.2189</v>
      </c>
      <c r="F95">
        <f t="shared" si="12"/>
        <v>1265.8178</v>
      </c>
      <c r="G95">
        <f t="shared" si="12"/>
        <v>1134.9395999999999</v>
      </c>
      <c r="H95">
        <f t="shared" si="12"/>
        <v>3219.3771000000002</v>
      </c>
      <c r="I95">
        <f t="shared" si="12"/>
        <v>3693.7633000000001</v>
      </c>
      <c r="J95">
        <f t="shared" si="12"/>
        <v>40865.021399999991</v>
      </c>
      <c r="N95">
        <v>1</v>
      </c>
      <c r="O95">
        <v>10324.152700000001</v>
      </c>
      <c r="P95">
        <v>4200.2017999999998</v>
      </c>
      <c r="Q95">
        <v>5023.5501999999997</v>
      </c>
      <c r="R95">
        <v>12003.2189</v>
      </c>
      <c r="S95">
        <v>1265.8178</v>
      </c>
      <c r="T95">
        <v>1134.9395999999999</v>
      </c>
      <c r="U95">
        <v>3219.3771000000002</v>
      </c>
      <c r="V95">
        <v>3693.7633000000001</v>
      </c>
      <c r="W95">
        <f>SUM(O95:V95)</f>
        <v>40865.021399999991</v>
      </c>
    </row>
    <row r="96" spans="1:23" x14ac:dyDescent="0.2">
      <c r="A96">
        <v>2</v>
      </c>
      <c r="B96">
        <f t="shared" si="12"/>
        <v>2138.3071</v>
      </c>
      <c r="C96">
        <f t="shared" si="12"/>
        <v>1443.8301000000001</v>
      </c>
      <c r="D96">
        <f t="shared" si="12"/>
        <v>759.00319999999999</v>
      </c>
      <c r="E96">
        <f t="shared" si="12"/>
        <v>5018.2281999999996</v>
      </c>
      <c r="F96">
        <f t="shared" si="12"/>
        <v>0</v>
      </c>
      <c r="G96">
        <f t="shared" si="12"/>
        <v>0</v>
      </c>
      <c r="H96">
        <f t="shared" si="12"/>
        <v>0</v>
      </c>
      <c r="I96">
        <f t="shared" si="12"/>
        <v>762.5675</v>
      </c>
      <c r="J96">
        <f t="shared" si="12"/>
        <v>10121.936099999999</v>
      </c>
      <c r="N96">
        <v>2</v>
      </c>
      <c r="O96">
        <v>2138.3071</v>
      </c>
      <c r="P96">
        <v>1443.8301000000001</v>
      </c>
      <c r="Q96">
        <v>759.00319999999999</v>
      </c>
      <c r="R96">
        <v>5018.2281999999996</v>
      </c>
      <c r="S96">
        <v>0</v>
      </c>
      <c r="T96">
        <v>0</v>
      </c>
      <c r="U96">
        <v>0</v>
      </c>
      <c r="V96">
        <v>762.5675</v>
      </c>
      <c r="W96">
        <f>SUM(O96:V96)</f>
        <v>10121.936099999999</v>
      </c>
    </row>
    <row r="97" spans="1:23" x14ac:dyDescent="0.2">
      <c r="A97" t="s">
        <v>116</v>
      </c>
      <c r="B97">
        <f t="shared" si="12"/>
        <v>1159.0234</v>
      </c>
      <c r="C97">
        <f t="shared" si="12"/>
        <v>1277.1831</v>
      </c>
      <c r="D97">
        <f t="shared" si="12"/>
        <v>0</v>
      </c>
      <c r="E97">
        <f t="shared" si="12"/>
        <v>3024.1821</v>
      </c>
      <c r="F97">
        <f t="shared" si="12"/>
        <v>0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5460.3886000000002</v>
      </c>
      <c r="N97" t="s">
        <v>116</v>
      </c>
      <c r="O97">
        <v>1159.0234</v>
      </c>
      <c r="P97">
        <v>1277.1831</v>
      </c>
      <c r="Q97">
        <v>0</v>
      </c>
      <c r="R97">
        <v>3024.1821</v>
      </c>
      <c r="S97">
        <v>0</v>
      </c>
      <c r="T97">
        <v>0</v>
      </c>
      <c r="U97">
        <v>0</v>
      </c>
      <c r="V97">
        <v>0</v>
      </c>
      <c r="W97">
        <f>SUM(O97:V97)</f>
        <v>5460.3886000000002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161200.93659999999</v>
      </c>
      <c r="C101">
        <f t="shared" si="13"/>
        <v>31955.6191</v>
      </c>
      <c r="D101">
        <f t="shared" si="13"/>
        <v>33656.933100000002</v>
      </c>
      <c r="E101">
        <f t="shared" si="13"/>
        <v>45701.151299999998</v>
      </c>
      <c r="F101">
        <f t="shared" si="13"/>
        <v>6919.0891999999994</v>
      </c>
      <c r="G101">
        <f t="shared" si="13"/>
        <v>7393.0163999999995</v>
      </c>
      <c r="H101">
        <f t="shared" si="13"/>
        <v>51436.583899999998</v>
      </c>
      <c r="I101">
        <f t="shared" si="13"/>
        <v>24390.106599999999</v>
      </c>
      <c r="J101">
        <f t="shared" si="13"/>
        <v>362653.43619999994</v>
      </c>
      <c r="N101">
        <v>0</v>
      </c>
      <c r="O101">
        <v>161200.93659999999</v>
      </c>
      <c r="P101">
        <v>31955.6191</v>
      </c>
      <c r="Q101">
        <v>33656.933100000002</v>
      </c>
      <c r="R101">
        <v>45701.151299999998</v>
      </c>
      <c r="S101">
        <v>6919.0891999999994</v>
      </c>
      <c r="T101">
        <v>7393.0163999999995</v>
      </c>
      <c r="U101">
        <v>51436.583899999998</v>
      </c>
      <c r="V101">
        <v>24390.106599999999</v>
      </c>
      <c r="W101">
        <f>SUM(O101:V101)</f>
        <v>362653.43619999994</v>
      </c>
    </row>
    <row r="102" spans="1:23" x14ac:dyDescent="0.2">
      <c r="A102">
        <v>1</v>
      </c>
      <c r="B102">
        <f t="shared" si="13"/>
        <v>11382.665000000001</v>
      </c>
      <c r="C102">
        <f t="shared" si="13"/>
        <v>3318.8218999999999</v>
      </c>
      <c r="D102">
        <f t="shared" si="13"/>
        <v>7286.9757</v>
      </c>
      <c r="E102">
        <f t="shared" si="13"/>
        <v>9667.9989000000005</v>
      </c>
      <c r="F102">
        <f t="shared" si="13"/>
        <v>426.774</v>
      </c>
      <c r="G102">
        <f t="shared" si="13"/>
        <v>618.75010000000009</v>
      </c>
      <c r="H102">
        <f t="shared" si="13"/>
        <v>7877.5111999999999</v>
      </c>
      <c r="I102">
        <f t="shared" si="13"/>
        <v>3555.0967000000001</v>
      </c>
      <c r="J102">
        <f t="shared" si="13"/>
        <v>44134.593500000003</v>
      </c>
      <c r="N102">
        <v>1</v>
      </c>
      <c r="O102">
        <v>11382.665000000001</v>
      </c>
      <c r="P102">
        <v>3318.8218999999999</v>
      </c>
      <c r="Q102">
        <v>7286.9757</v>
      </c>
      <c r="R102">
        <v>9667.9989000000005</v>
      </c>
      <c r="S102">
        <v>426.774</v>
      </c>
      <c r="T102">
        <v>618.75010000000009</v>
      </c>
      <c r="U102">
        <v>7877.5111999999999</v>
      </c>
      <c r="V102">
        <v>3555.0967000000001</v>
      </c>
      <c r="W102">
        <f>SUM(O102:V102)</f>
        <v>44134.593500000003</v>
      </c>
    </row>
    <row r="103" spans="1:23" x14ac:dyDescent="0.2">
      <c r="A103">
        <v>2</v>
      </c>
      <c r="B103">
        <f t="shared" si="13"/>
        <v>1450.8879999999999</v>
      </c>
      <c r="C103">
        <f t="shared" si="13"/>
        <v>448.39939999999996</v>
      </c>
      <c r="D103">
        <f t="shared" si="13"/>
        <v>1149.0853</v>
      </c>
      <c r="E103">
        <f t="shared" si="13"/>
        <v>2929.3975</v>
      </c>
      <c r="F103">
        <f t="shared" si="13"/>
        <v>0</v>
      </c>
      <c r="G103">
        <f t="shared" si="13"/>
        <v>0</v>
      </c>
      <c r="H103">
        <f t="shared" si="13"/>
        <v>942.30510000000004</v>
      </c>
      <c r="I103">
        <f t="shared" si="13"/>
        <v>532.82439999999997</v>
      </c>
      <c r="J103">
        <f t="shared" si="13"/>
        <v>7452.8996999999999</v>
      </c>
      <c r="N103">
        <v>2</v>
      </c>
      <c r="O103">
        <v>1450.8879999999999</v>
      </c>
      <c r="P103">
        <v>448.39939999999996</v>
      </c>
      <c r="Q103">
        <v>1149.0853</v>
      </c>
      <c r="R103">
        <v>2929.3975</v>
      </c>
      <c r="S103">
        <v>0</v>
      </c>
      <c r="T103">
        <v>0</v>
      </c>
      <c r="U103">
        <v>942.30510000000004</v>
      </c>
      <c r="V103">
        <v>532.82439999999997</v>
      </c>
      <c r="W103">
        <f>SUM(O103:V103)</f>
        <v>7452.8996999999999</v>
      </c>
    </row>
    <row r="104" spans="1:23" x14ac:dyDescent="0.2">
      <c r="A104" t="s">
        <v>116</v>
      </c>
      <c r="B104">
        <f t="shared" si="13"/>
        <v>0</v>
      </c>
      <c r="C104">
        <f t="shared" si="13"/>
        <v>0</v>
      </c>
      <c r="D104">
        <f t="shared" si="13"/>
        <v>257.32159999999999</v>
      </c>
      <c r="E104">
        <f t="shared" si="13"/>
        <v>163.9897</v>
      </c>
      <c r="F104">
        <f t="shared" si="13"/>
        <v>0</v>
      </c>
      <c r="G104">
        <f t="shared" si="13"/>
        <v>0</v>
      </c>
      <c r="H104">
        <f t="shared" si="13"/>
        <v>0</v>
      </c>
      <c r="I104">
        <f t="shared" si="13"/>
        <v>942.30510000000004</v>
      </c>
      <c r="J104">
        <f t="shared" si="13"/>
        <v>1363.6163999999999</v>
      </c>
      <c r="N104" t="s">
        <v>116</v>
      </c>
      <c r="O104">
        <v>0</v>
      </c>
      <c r="P104">
        <v>0</v>
      </c>
      <c r="Q104">
        <v>257.32159999999999</v>
      </c>
      <c r="R104">
        <v>163.9897</v>
      </c>
      <c r="S104">
        <v>0</v>
      </c>
      <c r="T104">
        <v>0</v>
      </c>
      <c r="U104">
        <v>0</v>
      </c>
      <c r="V104">
        <v>942.30510000000004</v>
      </c>
      <c r="W104">
        <f>SUM(O104:V104)</f>
        <v>1363.6163999999999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166565.06909999999</v>
      </c>
      <c r="C108">
        <f t="shared" si="14"/>
        <v>28828.316500000001</v>
      </c>
      <c r="D108">
        <f t="shared" si="14"/>
        <v>31040.714100000001</v>
      </c>
      <c r="E108">
        <f t="shared" si="14"/>
        <v>45295.246599999999</v>
      </c>
      <c r="F108">
        <f t="shared" si="14"/>
        <v>6880.7357000000002</v>
      </c>
      <c r="G108">
        <f t="shared" si="14"/>
        <v>8011.7664999999997</v>
      </c>
      <c r="H108">
        <f t="shared" si="14"/>
        <v>58362.497100000001</v>
      </c>
      <c r="I108">
        <f t="shared" si="14"/>
        <v>24611.142</v>
      </c>
      <c r="J108">
        <f t="shared" si="14"/>
        <v>369595.48759999999</v>
      </c>
      <c r="N108">
        <v>0</v>
      </c>
      <c r="O108">
        <v>166565.06909999999</v>
      </c>
      <c r="P108">
        <v>28828.316500000001</v>
      </c>
      <c r="Q108">
        <v>31040.714100000001</v>
      </c>
      <c r="R108">
        <v>45295.246599999999</v>
      </c>
      <c r="S108">
        <v>6880.7357000000002</v>
      </c>
      <c r="T108">
        <v>8011.7664999999997</v>
      </c>
      <c r="U108">
        <v>58362.497100000001</v>
      </c>
      <c r="V108">
        <v>24611.142</v>
      </c>
      <c r="W108">
        <f>SUM(O108:V108)</f>
        <v>369595.48759999999</v>
      </c>
    </row>
    <row r="109" spans="1:23" x14ac:dyDescent="0.2">
      <c r="A109">
        <v>1</v>
      </c>
      <c r="B109">
        <f t="shared" si="14"/>
        <v>6932.7617</v>
      </c>
      <c r="C109">
        <f t="shared" si="14"/>
        <v>6809.7551000000003</v>
      </c>
      <c r="D109">
        <f t="shared" si="14"/>
        <v>11067.996999999999</v>
      </c>
      <c r="E109">
        <f t="shared" si="14"/>
        <v>12148.9899</v>
      </c>
      <c r="F109">
        <f t="shared" si="14"/>
        <v>465.1275</v>
      </c>
      <c r="G109">
        <f t="shared" si="14"/>
        <v>0</v>
      </c>
      <c r="H109">
        <f t="shared" si="14"/>
        <v>1893.9031</v>
      </c>
      <c r="I109">
        <f t="shared" si="14"/>
        <v>4809.1908000000003</v>
      </c>
      <c r="J109">
        <f t="shared" si="14"/>
        <v>44127.725100000011</v>
      </c>
      <c r="N109">
        <v>1</v>
      </c>
      <c r="O109">
        <v>6932.7617</v>
      </c>
      <c r="P109">
        <v>6809.7551000000003</v>
      </c>
      <c r="Q109">
        <v>11067.996999999999</v>
      </c>
      <c r="R109">
        <v>12148.9899</v>
      </c>
      <c r="S109">
        <v>465.1275</v>
      </c>
      <c r="T109">
        <v>0</v>
      </c>
      <c r="U109">
        <v>1893.9031</v>
      </c>
      <c r="V109">
        <v>4809.1908000000003</v>
      </c>
      <c r="W109">
        <f>SUM(O109:V109)</f>
        <v>44127.725100000011</v>
      </c>
    </row>
    <row r="110" spans="1:23" x14ac:dyDescent="0.2">
      <c r="A110">
        <v>2</v>
      </c>
      <c r="B110">
        <f t="shared" si="14"/>
        <v>536.65880000000004</v>
      </c>
      <c r="C110">
        <f t="shared" si="14"/>
        <v>84.768799999999999</v>
      </c>
      <c r="D110">
        <f t="shared" si="14"/>
        <v>241.6046</v>
      </c>
      <c r="E110">
        <f t="shared" si="14"/>
        <v>986.66110000000003</v>
      </c>
      <c r="F110">
        <f t="shared" si="14"/>
        <v>0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1849.6932999999999</v>
      </c>
      <c r="N110">
        <v>2</v>
      </c>
      <c r="O110">
        <v>536.65880000000004</v>
      </c>
      <c r="P110">
        <v>84.768799999999999</v>
      </c>
      <c r="Q110">
        <v>241.6046</v>
      </c>
      <c r="R110">
        <v>986.66110000000003</v>
      </c>
      <c r="S110">
        <v>0</v>
      </c>
      <c r="T110">
        <v>0</v>
      </c>
      <c r="U110">
        <v>0</v>
      </c>
      <c r="V110">
        <v>0</v>
      </c>
      <c r="W110">
        <f>SUM(O110:V110)</f>
        <v>1849.6932999999999</v>
      </c>
    </row>
    <row r="111" spans="1:23" x14ac:dyDescent="0.2">
      <c r="A111" t="s">
        <v>116</v>
      </c>
      <c r="B111">
        <f t="shared" si="14"/>
        <v>0</v>
      </c>
      <c r="C111">
        <f t="shared" si="14"/>
        <v>0</v>
      </c>
      <c r="D111">
        <f t="shared" si="14"/>
        <v>0</v>
      </c>
      <c r="E111">
        <f t="shared" si="14"/>
        <v>31.639800000000001</v>
      </c>
      <c r="F111">
        <f t="shared" si="14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31.639800000000001</v>
      </c>
      <c r="N111" t="s">
        <v>116</v>
      </c>
      <c r="O111">
        <v>0</v>
      </c>
      <c r="P111">
        <v>0</v>
      </c>
      <c r="Q111">
        <v>0</v>
      </c>
      <c r="R111">
        <v>31.639800000000001</v>
      </c>
      <c r="S111">
        <v>0</v>
      </c>
      <c r="T111">
        <v>0</v>
      </c>
      <c r="U111">
        <v>0</v>
      </c>
      <c r="V111">
        <v>0</v>
      </c>
      <c r="W111">
        <f>SUM(O111:V111)</f>
        <v>31.639800000000001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168059.42139999999</v>
      </c>
      <c r="C115">
        <f t="shared" si="15"/>
        <v>34295.680999999997</v>
      </c>
      <c r="D115">
        <f t="shared" si="15"/>
        <v>38302.647299999997</v>
      </c>
      <c r="E115">
        <f t="shared" si="15"/>
        <v>53050.602699999996</v>
      </c>
      <c r="F115">
        <f t="shared" si="15"/>
        <v>6770.0931</v>
      </c>
      <c r="G115">
        <f t="shared" si="15"/>
        <v>8011.7664999999997</v>
      </c>
      <c r="H115">
        <f t="shared" si="15"/>
        <v>57450.4591</v>
      </c>
      <c r="I115">
        <f t="shared" si="15"/>
        <v>28688.095000000001</v>
      </c>
      <c r="J115">
        <f t="shared" si="15"/>
        <v>394628.76610000001</v>
      </c>
      <c r="N115">
        <v>0</v>
      </c>
      <c r="O115">
        <v>168059.42139999999</v>
      </c>
      <c r="P115">
        <v>34295.680999999997</v>
      </c>
      <c r="Q115">
        <v>38302.647299999997</v>
      </c>
      <c r="R115">
        <v>53050.602699999996</v>
      </c>
      <c r="S115">
        <v>6770.0931</v>
      </c>
      <c r="T115">
        <v>8011.7664999999997</v>
      </c>
      <c r="U115">
        <v>57450.4591</v>
      </c>
      <c r="V115">
        <v>28688.095000000001</v>
      </c>
      <c r="W115">
        <f>SUM(O115:V115)</f>
        <v>394628.76610000001</v>
      </c>
    </row>
    <row r="116" spans="1:23" x14ac:dyDescent="0.2">
      <c r="A116">
        <v>1</v>
      </c>
      <c r="B116">
        <f t="shared" si="15"/>
        <v>5865.7181</v>
      </c>
      <c r="C116">
        <f t="shared" si="15"/>
        <v>1227.1641999999999</v>
      </c>
      <c r="D116">
        <f t="shared" si="15"/>
        <v>2984.9879000000001</v>
      </c>
      <c r="E116">
        <f t="shared" si="15"/>
        <v>4973.8720000000003</v>
      </c>
      <c r="F116">
        <f t="shared" si="15"/>
        <v>575.77009999999996</v>
      </c>
      <c r="G116">
        <f t="shared" si="15"/>
        <v>0</v>
      </c>
      <c r="H116">
        <f t="shared" si="15"/>
        <v>2805.9411</v>
      </c>
      <c r="I116">
        <f t="shared" si="15"/>
        <v>732.23779999999999</v>
      </c>
      <c r="J116">
        <f t="shared" si="15"/>
        <v>19165.691199999997</v>
      </c>
      <c r="N116">
        <v>1</v>
      </c>
      <c r="O116">
        <v>5865.7181</v>
      </c>
      <c r="P116">
        <v>1227.1641999999999</v>
      </c>
      <c r="Q116">
        <v>2984.9879000000001</v>
      </c>
      <c r="R116">
        <v>4973.8720000000003</v>
      </c>
      <c r="S116">
        <v>575.77009999999996</v>
      </c>
      <c r="T116">
        <v>0</v>
      </c>
      <c r="U116">
        <v>2805.9411</v>
      </c>
      <c r="V116">
        <v>732.23779999999999</v>
      </c>
      <c r="W116">
        <f>SUM(O116:V116)</f>
        <v>19165.691199999997</v>
      </c>
    </row>
    <row r="117" spans="1:23" x14ac:dyDescent="0.2">
      <c r="A117">
        <v>2</v>
      </c>
      <c r="B117">
        <f t="shared" si="15"/>
        <v>109.3501</v>
      </c>
      <c r="C117">
        <f t="shared" si="15"/>
        <v>199.99520000000001</v>
      </c>
      <c r="D117">
        <f t="shared" si="15"/>
        <v>1062.6804999999999</v>
      </c>
      <c r="E117">
        <f t="shared" si="15"/>
        <v>438.06270000000001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1810.0884999999998</v>
      </c>
      <c r="N117">
        <v>2</v>
      </c>
      <c r="O117">
        <v>109.3501</v>
      </c>
      <c r="P117">
        <v>199.99520000000001</v>
      </c>
      <c r="Q117">
        <v>1062.6804999999999</v>
      </c>
      <c r="R117">
        <v>438.06270000000001</v>
      </c>
      <c r="S117">
        <v>0</v>
      </c>
      <c r="T117">
        <v>0</v>
      </c>
      <c r="U117">
        <v>0</v>
      </c>
      <c r="V117">
        <v>0</v>
      </c>
      <c r="W117">
        <f>SUM(O117:V117)</f>
        <v>1810.0884999999998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149937.6251</v>
      </c>
      <c r="C122">
        <f t="shared" si="16"/>
        <v>29136.9182</v>
      </c>
      <c r="D122">
        <f t="shared" si="16"/>
        <v>32742.179599999999</v>
      </c>
      <c r="E122">
        <f t="shared" si="16"/>
        <v>35914.090199999999</v>
      </c>
      <c r="F122">
        <f t="shared" si="16"/>
        <v>5248.1592000000001</v>
      </c>
      <c r="G122">
        <f t="shared" si="16"/>
        <v>7748.9758000000002</v>
      </c>
      <c r="H122">
        <f t="shared" si="16"/>
        <v>44968.191899999998</v>
      </c>
      <c r="I122">
        <f t="shared" si="16"/>
        <v>21833.187900000001</v>
      </c>
      <c r="J122">
        <f t="shared" si="16"/>
        <v>327529.32790000003</v>
      </c>
      <c r="N122">
        <v>0</v>
      </c>
      <c r="O122">
        <v>149937.6251</v>
      </c>
      <c r="P122">
        <v>29136.9182</v>
      </c>
      <c r="Q122">
        <v>32742.179599999999</v>
      </c>
      <c r="R122">
        <v>35914.090199999999</v>
      </c>
      <c r="S122">
        <v>5248.1592000000001</v>
      </c>
      <c r="T122">
        <v>7748.9758000000002</v>
      </c>
      <c r="U122">
        <v>44968.191899999998</v>
      </c>
      <c r="V122">
        <v>21833.187900000001</v>
      </c>
      <c r="W122">
        <f>SUM(O122:V122)</f>
        <v>327529.32790000003</v>
      </c>
    </row>
    <row r="123" spans="1:23" x14ac:dyDescent="0.2">
      <c r="A123">
        <v>1</v>
      </c>
      <c r="B123">
        <f t="shared" si="16"/>
        <v>21577.608899999999</v>
      </c>
      <c r="C123">
        <f t="shared" si="16"/>
        <v>5948.5250999999998</v>
      </c>
      <c r="D123">
        <f t="shared" si="16"/>
        <v>9025.6162000000004</v>
      </c>
      <c r="E123">
        <f t="shared" si="16"/>
        <v>20526.551100000001</v>
      </c>
      <c r="F123">
        <f t="shared" si="16"/>
        <v>2097.7040000000002</v>
      </c>
      <c r="G123">
        <f t="shared" si="16"/>
        <v>262.79070000000002</v>
      </c>
      <c r="H123">
        <f t="shared" si="16"/>
        <v>14969.722100000001</v>
      </c>
      <c r="I123">
        <f t="shared" si="16"/>
        <v>7054.1602999999996</v>
      </c>
      <c r="J123">
        <f t="shared" si="16"/>
        <v>81462.67839999999</v>
      </c>
      <c r="N123">
        <v>1</v>
      </c>
      <c r="O123">
        <v>21577.608899999999</v>
      </c>
      <c r="P123">
        <v>5948.5250999999998</v>
      </c>
      <c r="Q123">
        <v>9025.6162000000004</v>
      </c>
      <c r="R123">
        <v>20526.551100000001</v>
      </c>
      <c r="S123">
        <v>2097.7040000000002</v>
      </c>
      <c r="T123">
        <v>262.79070000000002</v>
      </c>
      <c r="U123">
        <v>14969.722100000001</v>
      </c>
      <c r="V123">
        <v>7054.1602999999996</v>
      </c>
      <c r="W123">
        <f>SUM(O123:V123)</f>
        <v>81462.67839999999</v>
      </c>
    </row>
    <row r="124" spans="1:23" x14ac:dyDescent="0.2">
      <c r="A124">
        <v>2</v>
      </c>
      <c r="B124">
        <f t="shared" si="16"/>
        <v>2409.9054999999998</v>
      </c>
      <c r="C124">
        <f t="shared" si="16"/>
        <v>637.39710000000002</v>
      </c>
      <c r="D124">
        <f t="shared" si="16"/>
        <v>582.51990000000001</v>
      </c>
      <c r="E124">
        <f t="shared" si="16"/>
        <v>2021.8960999999999</v>
      </c>
      <c r="F124">
        <f t="shared" si="16"/>
        <v>0</v>
      </c>
      <c r="G124">
        <f t="shared" si="16"/>
        <v>0</v>
      </c>
      <c r="H124">
        <f t="shared" si="16"/>
        <v>318.4862</v>
      </c>
      <c r="I124">
        <f t="shared" si="16"/>
        <v>532.9846</v>
      </c>
      <c r="J124">
        <f t="shared" si="16"/>
        <v>6503.1894000000002</v>
      </c>
      <c r="N124">
        <v>2</v>
      </c>
      <c r="O124">
        <v>2409.9054999999998</v>
      </c>
      <c r="P124">
        <v>637.39710000000002</v>
      </c>
      <c r="Q124">
        <v>582.51990000000001</v>
      </c>
      <c r="R124">
        <v>2021.8960999999999</v>
      </c>
      <c r="S124">
        <v>0</v>
      </c>
      <c r="T124">
        <v>0</v>
      </c>
      <c r="U124">
        <v>318.4862</v>
      </c>
      <c r="V124">
        <v>532.9846</v>
      </c>
      <c r="W124">
        <f>SUM(O124:V124)</f>
        <v>6503.1894000000002</v>
      </c>
    </row>
    <row r="125" spans="1:23" x14ac:dyDescent="0.2">
      <c r="A125" t="s">
        <v>116</v>
      </c>
      <c r="B125">
        <f t="shared" si="16"/>
        <v>109.3501</v>
      </c>
      <c r="C125">
        <f t="shared" si="16"/>
        <v>0</v>
      </c>
      <c r="D125">
        <f t="shared" si="16"/>
        <v>0</v>
      </c>
      <c r="E125">
        <f t="shared" si="16"/>
        <v>0</v>
      </c>
      <c r="F125">
        <f t="shared" si="16"/>
        <v>0</v>
      </c>
      <c r="G125">
        <f t="shared" si="16"/>
        <v>0</v>
      </c>
      <c r="H125">
        <f t="shared" si="16"/>
        <v>0</v>
      </c>
      <c r="I125">
        <f t="shared" si="16"/>
        <v>0</v>
      </c>
      <c r="J125">
        <f t="shared" si="16"/>
        <v>109.3501</v>
      </c>
      <c r="N125" t="s">
        <v>116</v>
      </c>
      <c r="O125">
        <v>109.3501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f>SUM(O125:V125)</f>
        <v>109.3501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161981.5431294445</v>
      </c>
      <c r="C129">
        <f t="shared" si="17"/>
        <v>27621.9311994167</v>
      </c>
      <c r="D129">
        <f t="shared" si="17"/>
        <v>189603.47432886119</v>
      </c>
      <c r="N129">
        <v>0</v>
      </c>
      <c r="O129">
        <v>161981.5431294445</v>
      </c>
      <c r="P129">
        <v>27621.9311994167</v>
      </c>
      <c r="Q129">
        <f>SUM(O129:P129)</f>
        <v>189603.47432886119</v>
      </c>
    </row>
    <row r="130" spans="1:17" x14ac:dyDescent="0.2">
      <c r="A130">
        <v>1</v>
      </c>
      <c r="B130">
        <f t="shared" si="17"/>
        <v>16142.6037526376</v>
      </c>
      <c r="C130">
        <f t="shared" si="17"/>
        <v>692.41967974889997</v>
      </c>
      <c r="D130">
        <f t="shared" si="17"/>
        <v>16835.023432386501</v>
      </c>
      <c r="N130">
        <v>1</v>
      </c>
      <c r="O130">
        <v>16142.6037526376</v>
      </c>
      <c r="P130">
        <v>692.41967974889997</v>
      </c>
      <c r="Q130">
        <f>SUM(O130:P130)</f>
        <v>16835.023432386501</v>
      </c>
    </row>
    <row r="131" spans="1:17" x14ac:dyDescent="0.2">
      <c r="A131">
        <v>2</v>
      </c>
      <c r="B131">
        <f t="shared" si="17"/>
        <v>2229.7239792959999</v>
      </c>
      <c r="C131">
        <f t="shared" si="17"/>
        <v>0</v>
      </c>
      <c r="D131">
        <f t="shared" si="17"/>
        <v>2229.7239792959999</v>
      </c>
      <c r="N131">
        <v>2</v>
      </c>
      <c r="O131">
        <v>2229.7239792959999</v>
      </c>
      <c r="P131">
        <v>0</v>
      </c>
      <c r="Q131">
        <f>SUM(O131:P131)</f>
        <v>2229.7239792959999</v>
      </c>
    </row>
    <row r="132" spans="1:17" x14ac:dyDescent="0.2">
      <c r="A132" t="s">
        <v>116</v>
      </c>
      <c r="B132">
        <f t="shared" si="17"/>
        <v>356.00600450000002</v>
      </c>
      <c r="C132">
        <f t="shared" si="17"/>
        <v>0</v>
      </c>
      <c r="D132">
        <f t="shared" si="17"/>
        <v>356.00600450000002</v>
      </c>
      <c r="N132" t="s">
        <v>116</v>
      </c>
      <c r="O132">
        <v>356.00600450000002</v>
      </c>
      <c r="P132">
        <v>0</v>
      </c>
      <c r="Q132">
        <f>SUM(O132:P132)</f>
        <v>356.00600450000002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D142" si="18">O136*$B$1</f>
        <v>2686.7596185446</v>
      </c>
      <c r="C136">
        <f t="shared" si="18"/>
        <v>0</v>
      </c>
      <c r="D136">
        <f t="shared" si="18"/>
        <v>2686.7596185446</v>
      </c>
      <c r="N136" t="s">
        <v>210</v>
      </c>
      <c r="O136">
        <v>2686.7596185446</v>
      </c>
      <c r="P136">
        <v>0</v>
      </c>
      <c r="Q136">
        <f>SUM(O136:P136)</f>
        <v>2686.7596185446</v>
      </c>
    </row>
    <row r="137" spans="1:17" x14ac:dyDescent="0.2">
      <c r="A137" t="s">
        <v>211</v>
      </c>
      <c r="B137">
        <f t="shared" si="18"/>
        <v>0</v>
      </c>
      <c r="C137">
        <f t="shared" si="18"/>
        <v>0</v>
      </c>
      <c r="D137">
        <f t="shared" si="18"/>
        <v>0</v>
      </c>
      <c r="N137" t="s">
        <v>211</v>
      </c>
      <c r="O137">
        <v>0</v>
      </c>
      <c r="P137">
        <v>0</v>
      </c>
      <c r="Q137">
        <f t="shared" ref="Q137:Q142" si="19">SUM(O137:P137)</f>
        <v>0</v>
      </c>
    </row>
    <row r="138" spans="1:17" x14ac:dyDescent="0.2">
      <c r="A138" t="s">
        <v>212</v>
      </c>
      <c r="B138">
        <f t="shared" si="18"/>
        <v>609.45416345700005</v>
      </c>
      <c r="C138">
        <f t="shared" si="18"/>
        <v>38.319343903899998</v>
      </c>
      <c r="D138">
        <f t="shared" si="18"/>
        <v>647.7735073609</v>
      </c>
      <c r="N138" t="s">
        <v>212</v>
      </c>
      <c r="O138">
        <v>609.45416345700005</v>
      </c>
      <c r="P138">
        <v>38.319343903899998</v>
      </c>
      <c r="Q138">
        <f t="shared" si="19"/>
        <v>647.7735073609</v>
      </c>
    </row>
    <row r="139" spans="1:17" x14ac:dyDescent="0.2">
      <c r="A139" t="s">
        <v>36</v>
      </c>
      <c r="B139">
        <f t="shared" si="18"/>
        <v>1235.4037437901</v>
      </c>
      <c r="C139">
        <f t="shared" si="18"/>
        <v>0</v>
      </c>
      <c r="D139">
        <f t="shared" si="18"/>
        <v>1235.4037437901</v>
      </c>
      <c r="N139" t="s">
        <v>36</v>
      </c>
      <c r="O139">
        <v>1235.4037437901</v>
      </c>
      <c r="P139">
        <v>0</v>
      </c>
      <c r="Q139">
        <f t="shared" si="19"/>
        <v>1235.4037437901</v>
      </c>
    </row>
    <row r="140" spans="1:17" x14ac:dyDescent="0.2">
      <c r="A140" t="s">
        <v>214</v>
      </c>
      <c r="B140">
        <f t="shared" si="18"/>
        <v>5085.279307148</v>
      </c>
      <c r="C140">
        <f t="shared" si="18"/>
        <v>654.10033584500002</v>
      </c>
      <c r="D140">
        <f t="shared" si="18"/>
        <v>5739.3796429929998</v>
      </c>
      <c r="N140" t="s">
        <v>214</v>
      </c>
      <c r="O140">
        <v>5085.279307148</v>
      </c>
      <c r="P140">
        <v>654.10033584500002</v>
      </c>
      <c r="Q140">
        <f t="shared" si="19"/>
        <v>5739.3796429929998</v>
      </c>
    </row>
    <row r="141" spans="1:17" x14ac:dyDescent="0.2">
      <c r="A141" t="s">
        <v>129</v>
      </c>
      <c r="B141">
        <f t="shared" si="18"/>
        <v>9584.1145185034002</v>
      </c>
      <c r="C141">
        <f t="shared" si="18"/>
        <v>0</v>
      </c>
      <c r="D141">
        <f t="shared" si="18"/>
        <v>9584.1145185034002</v>
      </c>
      <c r="N141" t="s">
        <v>129</v>
      </c>
      <c r="O141">
        <v>9584.1145185034002</v>
      </c>
      <c r="P141">
        <v>0</v>
      </c>
      <c r="Q141">
        <f t="shared" si="19"/>
        <v>9584.1145185034002</v>
      </c>
    </row>
    <row r="142" spans="1:17" x14ac:dyDescent="0.2">
      <c r="A142" t="s">
        <v>130</v>
      </c>
      <c r="B142">
        <f t="shared" si="18"/>
        <v>2469.0583732865002</v>
      </c>
      <c r="C142">
        <f t="shared" si="18"/>
        <v>0</v>
      </c>
      <c r="D142">
        <f t="shared" si="18"/>
        <v>2469.0583732865002</v>
      </c>
      <c r="N142" t="s">
        <v>130</v>
      </c>
      <c r="O142">
        <v>2469.0583732865002</v>
      </c>
      <c r="P142">
        <v>0</v>
      </c>
      <c r="Q142">
        <f t="shared" si="19"/>
        <v>2469.0583732865002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>SUM(O148:U148)</f>
        <v>0</v>
      </c>
    </row>
    <row r="149" spans="1:22" x14ac:dyDescent="0.2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ref="V149:V154" si="21">SUM(O149:U149)</f>
        <v>0</v>
      </c>
    </row>
    <row r="150" spans="1:22" x14ac:dyDescent="0.2">
      <c r="A150">
        <v>2</v>
      </c>
      <c r="B150">
        <f t="shared" si="20"/>
        <v>103254.0337908037</v>
      </c>
      <c r="C150">
        <f t="shared" si="20"/>
        <v>71426.979794398794</v>
      </c>
      <c r="D150">
        <f t="shared" si="20"/>
        <v>58631.6391351563</v>
      </c>
      <c r="E150">
        <f t="shared" si="20"/>
        <v>70143.0184423092</v>
      </c>
      <c r="F150">
        <f t="shared" si="20"/>
        <v>37286.096876464399</v>
      </c>
      <c r="G150">
        <f t="shared" si="20"/>
        <v>26696.8380650244</v>
      </c>
      <c r="H150">
        <f t="shared" si="20"/>
        <v>98234.240725116397</v>
      </c>
      <c r="I150">
        <f t="shared" si="20"/>
        <v>465672.84682927321</v>
      </c>
      <c r="N150">
        <v>2</v>
      </c>
      <c r="O150">
        <v>103254.0337908037</v>
      </c>
      <c r="P150">
        <v>71426.979794398794</v>
      </c>
      <c r="Q150">
        <v>58631.6391351563</v>
      </c>
      <c r="R150">
        <v>70143.0184423092</v>
      </c>
      <c r="S150">
        <v>37286.096876464399</v>
      </c>
      <c r="T150">
        <v>26696.8380650244</v>
      </c>
      <c r="U150">
        <v>98234.240725116397</v>
      </c>
      <c r="V150">
        <f t="shared" si="21"/>
        <v>465672.84682927321</v>
      </c>
    </row>
    <row r="151" spans="1:22" x14ac:dyDescent="0.2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1"/>
        <v>0</v>
      </c>
    </row>
    <row r="152" spans="1:22" x14ac:dyDescent="0.2">
      <c r="A152">
        <v>4</v>
      </c>
      <c r="B152">
        <f t="shared" si="20"/>
        <v>58080.9879999935</v>
      </c>
      <c r="C152">
        <f t="shared" si="20"/>
        <v>18044.770852238002</v>
      </c>
      <c r="D152">
        <f t="shared" si="20"/>
        <v>14465.827256007</v>
      </c>
      <c r="E152">
        <f t="shared" si="20"/>
        <v>5184.5216899409997</v>
      </c>
      <c r="F152">
        <f t="shared" si="20"/>
        <v>11686.030760235801</v>
      </c>
      <c r="G152">
        <f t="shared" si="20"/>
        <v>8615.2370149809994</v>
      </c>
      <c r="H152">
        <f t="shared" si="20"/>
        <v>14578.628389605599</v>
      </c>
      <c r="I152">
        <f t="shared" si="20"/>
        <v>130656.00396300192</v>
      </c>
      <c r="N152">
        <v>4</v>
      </c>
      <c r="O152">
        <v>58080.9879999935</v>
      </c>
      <c r="P152">
        <v>18044.770852238002</v>
      </c>
      <c r="Q152">
        <v>14465.827256007</v>
      </c>
      <c r="R152">
        <v>5184.5216899409997</v>
      </c>
      <c r="S152">
        <v>11686.030760235801</v>
      </c>
      <c r="T152">
        <v>8615.2370149809994</v>
      </c>
      <c r="U152">
        <v>14578.628389605599</v>
      </c>
      <c r="V152">
        <f t="shared" si="21"/>
        <v>130656.00396300192</v>
      </c>
    </row>
    <row r="153" spans="1:22" x14ac:dyDescent="0.2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1"/>
        <v>0</v>
      </c>
    </row>
    <row r="154" spans="1:22" x14ac:dyDescent="0.2">
      <c r="A154" t="s">
        <v>209</v>
      </c>
      <c r="B154">
        <f t="shared" si="20"/>
        <v>47689.205954246499</v>
      </c>
      <c r="C154">
        <f t="shared" si="20"/>
        <v>9434.0246338430006</v>
      </c>
      <c r="D154">
        <f t="shared" si="20"/>
        <v>28522.7043539724</v>
      </c>
      <c r="E154">
        <f t="shared" si="20"/>
        <v>6256.0031093480002</v>
      </c>
      <c r="F154">
        <f t="shared" si="20"/>
        <v>16972.640117390802</v>
      </c>
      <c r="G154">
        <f t="shared" si="20"/>
        <v>2933.4808036748</v>
      </c>
      <c r="H154">
        <f t="shared" si="20"/>
        <v>9665.7510859755002</v>
      </c>
      <c r="I154">
        <f t="shared" si="20"/>
        <v>121473.81005845101</v>
      </c>
      <c r="N154" t="s">
        <v>209</v>
      </c>
      <c r="O154">
        <v>47689.205954246499</v>
      </c>
      <c r="P154">
        <v>9434.0246338430006</v>
      </c>
      <c r="Q154">
        <v>28522.7043539724</v>
      </c>
      <c r="R154">
        <v>6256.0031093480002</v>
      </c>
      <c r="S154">
        <v>16972.640117390802</v>
      </c>
      <c r="T154">
        <v>2933.4808036748</v>
      </c>
      <c r="U154">
        <v>9665.7510859755002</v>
      </c>
      <c r="V154">
        <f t="shared" si="21"/>
        <v>121473.81005845101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>SUM(O158:U158)</f>
        <v>0</v>
      </c>
    </row>
    <row r="159" spans="1:22" x14ac:dyDescent="0.2">
      <c r="A159">
        <v>1</v>
      </c>
      <c r="B159">
        <f t="shared" si="22"/>
        <v>163233.77296073659</v>
      </c>
      <c r="C159">
        <f t="shared" si="22"/>
        <v>91749.775004780793</v>
      </c>
      <c r="D159">
        <f t="shared" si="22"/>
        <v>82816.236521116996</v>
      </c>
      <c r="E159">
        <f t="shared" si="22"/>
        <v>78953.815117332197</v>
      </c>
      <c r="F159">
        <f t="shared" si="22"/>
        <v>47347.348689410901</v>
      </c>
      <c r="G159">
        <f t="shared" si="22"/>
        <v>34192.8885277714</v>
      </c>
      <c r="H159">
        <f t="shared" si="22"/>
        <v>110464.3767796419</v>
      </c>
      <c r="I159">
        <f t="shared" si="22"/>
        <v>608758.21360079083</v>
      </c>
      <c r="N159">
        <v>1</v>
      </c>
      <c r="O159">
        <v>163233.77296073659</v>
      </c>
      <c r="P159">
        <v>91749.775004780793</v>
      </c>
      <c r="Q159">
        <v>82816.236521116996</v>
      </c>
      <c r="R159">
        <v>78953.815117332197</v>
      </c>
      <c r="S159">
        <v>47347.348689410901</v>
      </c>
      <c r="T159">
        <v>34192.8885277714</v>
      </c>
      <c r="U159">
        <v>110464.3767796419</v>
      </c>
      <c r="V159">
        <f t="shared" ref="V159:V164" si="23">SUM(O159:U159)</f>
        <v>608758.21360079083</v>
      </c>
    </row>
    <row r="160" spans="1:22" x14ac:dyDescent="0.2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3"/>
        <v>0</v>
      </c>
    </row>
    <row r="161" spans="1:22" x14ac:dyDescent="0.2">
      <c r="A161">
        <v>3</v>
      </c>
      <c r="B161">
        <f t="shared" si="22"/>
        <v>33178.216355763398</v>
      </c>
      <c r="C161">
        <f t="shared" si="22"/>
        <v>5598.8215999450003</v>
      </c>
      <c r="D161">
        <f t="shared" si="22"/>
        <v>7048.4908250749995</v>
      </c>
      <c r="E161">
        <f t="shared" si="22"/>
        <v>2103.4158954169998</v>
      </c>
      <c r="F161">
        <f t="shared" si="22"/>
        <v>14518.2886179214</v>
      </c>
      <c r="G161">
        <f t="shared" si="22"/>
        <v>3518.4410592939998</v>
      </c>
      <c r="H161">
        <f t="shared" si="22"/>
        <v>8289.7603681225992</v>
      </c>
      <c r="I161">
        <f t="shared" si="22"/>
        <v>74255.43472153839</v>
      </c>
      <c r="N161">
        <v>3</v>
      </c>
      <c r="O161">
        <v>33178.216355763398</v>
      </c>
      <c r="P161">
        <v>5598.8215999450003</v>
      </c>
      <c r="Q161">
        <v>7048.4908250749995</v>
      </c>
      <c r="R161">
        <v>2103.4158954169998</v>
      </c>
      <c r="S161">
        <v>14518.2886179214</v>
      </c>
      <c r="T161">
        <v>3518.4410592939998</v>
      </c>
      <c r="U161">
        <v>8289.7603681225992</v>
      </c>
      <c r="V161">
        <f t="shared" si="23"/>
        <v>74255.43472153839</v>
      </c>
    </row>
    <row r="162" spans="1:22" x14ac:dyDescent="0.2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3"/>
        <v>0</v>
      </c>
    </row>
    <row r="163" spans="1:22" x14ac:dyDescent="0.2">
      <c r="A163">
        <v>5</v>
      </c>
      <c r="B163">
        <f t="shared" si="22"/>
        <v>7488.6202947467</v>
      </c>
      <c r="C163">
        <f t="shared" si="22"/>
        <v>470.93867575400003</v>
      </c>
      <c r="D163">
        <f t="shared" si="22"/>
        <v>3444.7793025967003</v>
      </c>
      <c r="E163">
        <f t="shared" si="22"/>
        <v>420.26597606199999</v>
      </c>
      <c r="F163">
        <f t="shared" si="22"/>
        <v>3239.1345732047002</v>
      </c>
      <c r="G163">
        <f t="shared" si="22"/>
        <v>534.22629661480005</v>
      </c>
      <c r="H163">
        <f t="shared" si="22"/>
        <v>3148.8174538819999</v>
      </c>
      <c r="I163">
        <f t="shared" si="22"/>
        <v>18746.782572860902</v>
      </c>
      <c r="N163">
        <v>5</v>
      </c>
      <c r="O163">
        <v>7488.6202947467</v>
      </c>
      <c r="P163">
        <v>470.93867575400003</v>
      </c>
      <c r="Q163">
        <v>3444.7793025967003</v>
      </c>
      <c r="R163">
        <v>420.26597606199999</v>
      </c>
      <c r="S163">
        <v>3239.1345732047002</v>
      </c>
      <c r="T163">
        <v>534.22629661480005</v>
      </c>
      <c r="U163">
        <v>3148.8174538819999</v>
      </c>
      <c r="V163">
        <f t="shared" si="23"/>
        <v>18746.782572860902</v>
      </c>
    </row>
    <row r="164" spans="1:22" x14ac:dyDescent="0.2">
      <c r="A164" t="s">
        <v>209</v>
      </c>
      <c r="B164">
        <f t="shared" si="22"/>
        <v>5123.6181337970002</v>
      </c>
      <c r="C164">
        <f t="shared" si="22"/>
        <v>1086.24</v>
      </c>
      <c r="D164">
        <f t="shared" si="22"/>
        <v>8310.6640963469999</v>
      </c>
      <c r="E164">
        <f t="shared" si="22"/>
        <v>106.046252787</v>
      </c>
      <c r="F164">
        <f t="shared" si="22"/>
        <v>839.99587355400001</v>
      </c>
      <c r="G164">
        <f t="shared" si="22"/>
        <v>0</v>
      </c>
      <c r="H164">
        <f t="shared" si="22"/>
        <v>575.66559905099996</v>
      </c>
      <c r="I164">
        <f t="shared" si="22"/>
        <v>16042.229955536002</v>
      </c>
      <c r="N164" t="s">
        <v>209</v>
      </c>
      <c r="O164">
        <v>5123.6181337970002</v>
      </c>
      <c r="P164">
        <v>1086.24</v>
      </c>
      <c r="Q164">
        <v>8310.6640963469999</v>
      </c>
      <c r="R164">
        <v>106.046252787</v>
      </c>
      <c r="S164">
        <v>839.99587355400001</v>
      </c>
      <c r="T164">
        <v>0</v>
      </c>
      <c r="U164">
        <v>575.66559905099996</v>
      </c>
      <c r="V164">
        <f t="shared" si="23"/>
        <v>16042.229955536002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>SUM(O168:U168)</f>
        <v>0</v>
      </c>
    </row>
    <row r="169" spans="1:22" x14ac:dyDescent="0.2">
      <c r="A169">
        <v>1</v>
      </c>
      <c r="B169">
        <f t="shared" si="24"/>
        <v>121341.0691812446</v>
      </c>
      <c r="C169">
        <f t="shared" si="24"/>
        <v>74391.263320097802</v>
      </c>
      <c r="D169">
        <f t="shared" si="24"/>
        <v>71143.174927778993</v>
      </c>
      <c r="E169">
        <f t="shared" si="24"/>
        <v>70391.462001148204</v>
      </c>
      <c r="F169">
        <f t="shared" si="24"/>
        <v>46215.782605780099</v>
      </c>
      <c r="G169">
        <f t="shared" si="24"/>
        <v>29624.1240356952</v>
      </c>
      <c r="H169">
        <f t="shared" si="24"/>
        <v>106080.30327489899</v>
      </c>
      <c r="I169">
        <f t="shared" si="24"/>
        <v>519187.17934664397</v>
      </c>
      <c r="N169">
        <v>1</v>
      </c>
      <c r="O169">
        <v>121341.0691812446</v>
      </c>
      <c r="P169">
        <v>74391.263320097802</v>
      </c>
      <c r="Q169">
        <v>71143.174927778993</v>
      </c>
      <c r="R169">
        <v>70391.462001148204</v>
      </c>
      <c r="S169">
        <v>46215.782605780099</v>
      </c>
      <c r="T169">
        <v>29624.1240356952</v>
      </c>
      <c r="U169">
        <v>106080.30327489899</v>
      </c>
      <c r="V169">
        <f t="shared" ref="V169:V174" si="25">SUM(O169:U169)</f>
        <v>519187.17934664397</v>
      </c>
    </row>
    <row r="170" spans="1:22" x14ac:dyDescent="0.2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5"/>
        <v>0</v>
      </c>
    </row>
    <row r="171" spans="1:22" x14ac:dyDescent="0.2">
      <c r="A171">
        <v>3</v>
      </c>
      <c r="B171">
        <f t="shared" si="24"/>
        <v>57333.409017710401</v>
      </c>
      <c r="C171">
        <f t="shared" si="24"/>
        <v>18833.683502292999</v>
      </c>
      <c r="D171">
        <f t="shared" si="24"/>
        <v>14707.047555628</v>
      </c>
      <c r="E171">
        <f t="shared" si="24"/>
        <v>7123.3638573150001</v>
      </c>
      <c r="F171">
        <f t="shared" si="24"/>
        <v>11993.9141802742</v>
      </c>
      <c r="G171">
        <f t="shared" si="24"/>
        <v>6222.177340925</v>
      </c>
      <c r="H171">
        <f t="shared" si="24"/>
        <v>11876.918088908</v>
      </c>
      <c r="I171">
        <f t="shared" si="24"/>
        <v>128090.51354305359</v>
      </c>
      <c r="N171">
        <v>3</v>
      </c>
      <c r="O171">
        <v>57333.409017710401</v>
      </c>
      <c r="P171">
        <v>18833.683502292999</v>
      </c>
      <c r="Q171">
        <v>14707.047555628</v>
      </c>
      <c r="R171">
        <v>7123.3638573150001</v>
      </c>
      <c r="S171">
        <v>11993.9141802742</v>
      </c>
      <c r="T171">
        <v>6222.177340925</v>
      </c>
      <c r="U171">
        <v>11876.918088908</v>
      </c>
      <c r="V171">
        <f t="shared" si="25"/>
        <v>128090.51354305359</v>
      </c>
    </row>
    <row r="172" spans="1:22" x14ac:dyDescent="0.2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5"/>
        <v>0</v>
      </c>
    </row>
    <row r="173" spans="1:22" x14ac:dyDescent="0.2">
      <c r="A173">
        <v>5</v>
      </c>
      <c r="B173">
        <f t="shared" si="24"/>
        <v>22237.804879314699</v>
      </c>
      <c r="C173">
        <f t="shared" si="24"/>
        <v>5095.1267193479998</v>
      </c>
      <c r="D173">
        <f t="shared" si="24"/>
        <v>7473.2990823546997</v>
      </c>
      <c r="E173">
        <f t="shared" si="24"/>
        <v>2541.0825863509999</v>
      </c>
      <c r="F173">
        <f t="shared" si="24"/>
        <v>4879.8789797867003</v>
      </c>
      <c r="G173">
        <f t="shared" si="24"/>
        <v>1536.1445875649999</v>
      </c>
      <c r="H173">
        <f t="shared" si="24"/>
        <v>3052.6735458534999</v>
      </c>
      <c r="I173">
        <f t="shared" si="24"/>
        <v>46816.0103805736</v>
      </c>
      <c r="N173">
        <v>5</v>
      </c>
      <c r="O173">
        <v>22237.804879314699</v>
      </c>
      <c r="P173">
        <v>5095.1267193479998</v>
      </c>
      <c r="Q173">
        <v>7473.2990823546997</v>
      </c>
      <c r="R173">
        <v>2541.0825863509999</v>
      </c>
      <c r="S173">
        <v>4879.8789797867003</v>
      </c>
      <c r="T173">
        <v>1536.1445875649999</v>
      </c>
      <c r="U173">
        <v>3052.6735458534999</v>
      </c>
      <c r="V173">
        <f t="shared" si="25"/>
        <v>46816.0103805736</v>
      </c>
    </row>
    <row r="174" spans="1:22" x14ac:dyDescent="0.2">
      <c r="A174" t="s">
        <v>209</v>
      </c>
      <c r="B174">
        <f t="shared" si="24"/>
        <v>8111.9446667740003</v>
      </c>
      <c r="C174">
        <f t="shared" si="24"/>
        <v>585.70173874099999</v>
      </c>
      <c r="D174">
        <f t="shared" si="24"/>
        <v>8296.6491793740006</v>
      </c>
      <c r="E174">
        <f t="shared" si="24"/>
        <v>1527.6347967839999</v>
      </c>
      <c r="F174">
        <f t="shared" si="24"/>
        <v>2855.1919882500001</v>
      </c>
      <c r="G174">
        <f t="shared" si="24"/>
        <v>863.10991949499999</v>
      </c>
      <c r="H174">
        <f t="shared" si="24"/>
        <v>1468.725291037</v>
      </c>
      <c r="I174">
        <f t="shared" si="24"/>
        <v>23708.957580455004</v>
      </c>
      <c r="N174" t="s">
        <v>209</v>
      </c>
      <c r="O174">
        <v>8111.9446667740003</v>
      </c>
      <c r="P174">
        <v>585.70173874099999</v>
      </c>
      <c r="Q174">
        <v>8296.6491793740006</v>
      </c>
      <c r="R174">
        <v>1527.6347967839999</v>
      </c>
      <c r="S174">
        <v>2855.1919882500001</v>
      </c>
      <c r="T174">
        <v>863.10991949499999</v>
      </c>
      <c r="U174">
        <v>1468.725291037</v>
      </c>
      <c r="V174">
        <f t="shared" si="25"/>
        <v>23708.957580455004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J185" si="26">O178*$B$1</f>
        <v>178023.11724733349</v>
      </c>
      <c r="C178">
        <f t="shared" si="26"/>
        <v>18640.379403565399</v>
      </c>
      <c r="D178">
        <f t="shared" si="26"/>
        <v>2881.1716124157001</v>
      </c>
      <c r="E178">
        <f t="shared" si="26"/>
        <v>2581.6362792660002</v>
      </c>
      <c r="F178">
        <f t="shared" si="26"/>
        <v>3055.3013339184999</v>
      </c>
      <c r="G178">
        <f t="shared" si="26"/>
        <v>0</v>
      </c>
      <c r="H178">
        <f t="shared" si="26"/>
        <v>1155.8622499999999</v>
      </c>
      <c r="I178">
        <f t="shared" si="26"/>
        <v>0</v>
      </c>
      <c r="J178">
        <f t="shared" si="26"/>
        <v>206337.46812649909</v>
      </c>
      <c r="N178" t="s">
        <v>210</v>
      </c>
      <c r="O178">
        <v>178023.11724733349</v>
      </c>
      <c r="P178">
        <v>18640.379403565399</v>
      </c>
      <c r="Q178">
        <v>2881.1716124157001</v>
      </c>
      <c r="R178">
        <v>2581.6362792660002</v>
      </c>
      <c r="S178">
        <v>3055.3013339184999</v>
      </c>
      <c r="T178">
        <v>0</v>
      </c>
      <c r="U178">
        <v>1155.8622499999999</v>
      </c>
      <c r="V178">
        <v>0</v>
      </c>
      <c r="W178">
        <f>SUM(O178:V178)</f>
        <v>206337.46812649909</v>
      </c>
    </row>
    <row r="179" spans="1:23" x14ac:dyDescent="0.2">
      <c r="A179" t="s">
        <v>211</v>
      </c>
      <c r="B179">
        <f t="shared" si="26"/>
        <v>3834.0755676137001</v>
      </c>
      <c r="C179">
        <f t="shared" si="26"/>
        <v>4638.6656048349996</v>
      </c>
      <c r="D179">
        <f t="shared" si="26"/>
        <v>539.18334384299999</v>
      </c>
      <c r="E179">
        <f t="shared" si="26"/>
        <v>4556.7887150310999</v>
      </c>
      <c r="F179">
        <f t="shared" si="26"/>
        <v>2741.0106741570003</v>
      </c>
      <c r="G179">
        <f t="shared" si="26"/>
        <v>9919.2882499999996</v>
      </c>
      <c r="H179">
        <f t="shared" si="26"/>
        <v>60674.737874999999</v>
      </c>
      <c r="I179">
        <f t="shared" si="26"/>
        <v>12002.025250000001</v>
      </c>
      <c r="J179">
        <f t="shared" si="26"/>
        <v>98905.775280479807</v>
      </c>
      <c r="N179" t="s">
        <v>211</v>
      </c>
      <c r="O179">
        <v>3834.0755676137001</v>
      </c>
      <c r="P179">
        <v>4638.6656048349996</v>
      </c>
      <c r="Q179">
        <v>539.18334384299999</v>
      </c>
      <c r="R179">
        <v>4556.7887150310999</v>
      </c>
      <c r="S179">
        <v>2741.0106741570003</v>
      </c>
      <c r="T179">
        <v>9919.2882499999996</v>
      </c>
      <c r="U179">
        <v>60674.737874999999</v>
      </c>
      <c r="V179">
        <v>12002.025250000001</v>
      </c>
      <c r="W179">
        <f t="shared" ref="W179:W185" si="27">SUM(O179:V179)</f>
        <v>98905.775280479807</v>
      </c>
    </row>
    <row r="180" spans="1:23" x14ac:dyDescent="0.2">
      <c r="A180" t="s">
        <v>212</v>
      </c>
      <c r="B180">
        <f t="shared" si="26"/>
        <v>22488.596239990202</v>
      </c>
      <c r="C180">
        <f t="shared" si="26"/>
        <v>12740.073806155</v>
      </c>
      <c r="D180">
        <f t="shared" si="26"/>
        <v>8120.4655404935002</v>
      </c>
      <c r="E180">
        <f t="shared" si="26"/>
        <v>44137.714797544897</v>
      </c>
      <c r="F180">
        <f t="shared" si="26"/>
        <v>1519.0281035912001</v>
      </c>
      <c r="G180">
        <f t="shared" si="26"/>
        <v>1418.6745000000001</v>
      </c>
      <c r="H180">
        <f t="shared" si="26"/>
        <v>4024.2213750000001</v>
      </c>
      <c r="I180">
        <f t="shared" si="26"/>
        <v>6523.622875</v>
      </c>
      <c r="J180">
        <f>W180*$B$1*1.2</f>
        <v>121166.87668532976</v>
      </c>
      <c r="N180" t="s">
        <v>212</v>
      </c>
      <c r="O180">
        <v>22488.596239990202</v>
      </c>
      <c r="P180">
        <v>12740.073806155</v>
      </c>
      <c r="Q180">
        <v>8120.4655404935002</v>
      </c>
      <c r="R180">
        <v>44137.714797544897</v>
      </c>
      <c r="S180">
        <v>1519.0281035912001</v>
      </c>
      <c r="T180">
        <v>1418.6745000000001</v>
      </c>
      <c r="U180">
        <v>4024.2213750000001</v>
      </c>
      <c r="V180">
        <v>6523.622875</v>
      </c>
      <c r="W180">
        <f t="shared" si="27"/>
        <v>100972.3972377748</v>
      </c>
    </row>
    <row r="181" spans="1:23" x14ac:dyDescent="0.2">
      <c r="A181" t="s">
        <v>36</v>
      </c>
      <c r="B181">
        <f t="shared" si="26"/>
        <v>17775.134653696601</v>
      </c>
      <c r="C181">
        <f t="shared" si="26"/>
        <v>5094.7862598720003</v>
      </c>
      <c r="D181">
        <f t="shared" si="26"/>
        <v>13285.7380068985</v>
      </c>
      <c r="E181">
        <f t="shared" si="26"/>
        <v>20103.407934487001</v>
      </c>
      <c r="F181">
        <f t="shared" si="26"/>
        <v>625.52589285399995</v>
      </c>
      <c r="G181">
        <f t="shared" si="26"/>
        <v>773.43762500000003</v>
      </c>
      <c r="H181">
        <f t="shared" si="26"/>
        <v>12202.651750000001</v>
      </c>
      <c r="I181">
        <f t="shared" si="26"/>
        <v>10487.457375</v>
      </c>
      <c r="J181">
        <f>W181*$B$1*1.2</f>
        <v>96417.767397369709</v>
      </c>
      <c r="N181" t="s">
        <v>36</v>
      </c>
      <c r="O181">
        <v>17775.134653696601</v>
      </c>
      <c r="P181">
        <v>5094.7862598720003</v>
      </c>
      <c r="Q181">
        <v>13285.7380068985</v>
      </c>
      <c r="R181">
        <v>20103.407934487001</v>
      </c>
      <c r="S181">
        <v>625.52589285399995</v>
      </c>
      <c r="T181">
        <v>773.43762500000003</v>
      </c>
      <c r="U181">
        <v>12202.651750000001</v>
      </c>
      <c r="V181">
        <v>10487.457375</v>
      </c>
      <c r="W181">
        <f t="shared" si="27"/>
        <v>80348.139497808093</v>
      </c>
    </row>
    <row r="182" spans="1:23" x14ac:dyDescent="0.2">
      <c r="A182" t="s">
        <v>214</v>
      </c>
      <c r="B182">
        <f t="shared" si="26"/>
        <v>10066.8121117022</v>
      </c>
      <c r="C182">
        <f t="shared" si="26"/>
        <v>8569.9753624388995</v>
      </c>
      <c r="D182">
        <f t="shared" si="26"/>
        <v>14236.4776564657</v>
      </c>
      <c r="E182">
        <f t="shared" si="26"/>
        <v>18340.389329583199</v>
      </c>
      <c r="F182">
        <f t="shared" si="26"/>
        <v>612.86627590800003</v>
      </c>
      <c r="G182">
        <f t="shared" si="26"/>
        <v>0</v>
      </c>
      <c r="H182">
        <f t="shared" si="26"/>
        <v>2367.3788749999999</v>
      </c>
      <c r="I182">
        <f t="shared" si="26"/>
        <v>6011.4885000000004</v>
      </c>
      <c r="J182">
        <f>W182*$B$1*1.2</f>
        <v>72246.4657333176</v>
      </c>
      <c r="N182" t="s">
        <v>214</v>
      </c>
      <c r="O182">
        <v>10066.8121117022</v>
      </c>
      <c r="P182">
        <v>8569.9753624388995</v>
      </c>
      <c r="Q182">
        <v>14236.4776564657</v>
      </c>
      <c r="R182">
        <v>18340.389329583199</v>
      </c>
      <c r="S182">
        <v>612.86627590800003</v>
      </c>
      <c r="T182">
        <v>0</v>
      </c>
      <c r="U182">
        <v>2367.3788749999999</v>
      </c>
      <c r="V182">
        <v>6011.4885000000004</v>
      </c>
      <c r="W182">
        <f t="shared" si="27"/>
        <v>60205.388111098</v>
      </c>
    </row>
    <row r="183" spans="1:23" x14ac:dyDescent="0.2">
      <c r="A183" t="s">
        <v>129</v>
      </c>
      <c r="B183">
        <f t="shared" si="26"/>
        <v>7442.9439695050005</v>
      </c>
      <c r="C183">
        <f t="shared" si="26"/>
        <v>2031.240603749</v>
      </c>
      <c r="D183">
        <f t="shared" si="26"/>
        <v>6409.2037592037996</v>
      </c>
      <c r="E183">
        <f t="shared" si="26"/>
        <v>7642.9230883460004</v>
      </c>
      <c r="F183">
        <f t="shared" si="26"/>
        <v>712.40631937300009</v>
      </c>
      <c r="G183">
        <f t="shared" si="26"/>
        <v>0</v>
      </c>
      <c r="H183">
        <f t="shared" si="26"/>
        <v>3507.426375</v>
      </c>
      <c r="I183">
        <f t="shared" si="26"/>
        <v>915.29724999999996</v>
      </c>
      <c r="J183">
        <f>W183*$B$1*1.2</f>
        <v>34393.729638212157</v>
      </c>
      <c r="N183" t="s">
        <v>129</v>
      </c>
      <c r="O183">
        <v>7442.9439695050005</v>
      </c>
      <c r="P183">
        <v>2031.240603749</v>
      </c>
      <c r="Q183">
        <v>6409.2037592037996</v>
      </c>
      <c r="R183">
        <v>7642.9230883460004</v>
      </c>
      <c r="S183">
        <v>712.40631937300009</v>
      </c>
      <c r="T183">
        <v>0</v>
      </c>
      <c r="U183">
        <v>3507.426375</v>
      </c>
      <c r="V183">
        <v>915.29724999999996</v>
      </c>
      <c r="W183">
        <f t="shared" si="27"/>
        <v>28661.441365176801</v>
      </c>
    </row>
    <row r="184" spans="1:23" x14ac:dyDescent="0.2">
      <c r="A184" t="s">
        <v>130</v>
      </c>
      <c r="B184">
        <f t="shared" si="26"/>
        <v>33560.508327229501</v>
      </c>
      <c r="C184">
        <f t="shared" si="26"/>
        <v>8901.6961035390996</v>
      </c>
      <c r="D184">
        <f t="shared" si="26"/>
        <v>12667.7773240797</v>
      </c>
      <c r="E184">
        <f t="shared" si="26"/>
        <v>32210.340660853901</v>
      </c>
      <c r="F184">
        <f t="shared" si="26"/>
        <v>2682.2210367088001</v>
      </c>
      <c r="G184">
        <f t="shared" si="26"/>
        <v>328.48837500000002</v>
      </c>
      <c r="H184">
        <f t="shared" si="26"/>
        <v>19508.368125000001</v>
      </c>
      <c r="I184">
        <f t="shared" si="26"/>
        <v>10150.161875</v>
      </c>
      <c r="J184">
        <f>W184*$B$1*1.2</f>
        <v>144011.47419289319</v>
      </c>
      <c r="N184" t="s">
        <v>130</v>
      </c>
      <c r="O184">
        <v>33560.508327229501</v>
      </c>
      <c r="P184">
        <v>8901.6961035390996</v>
      </c>
      <c r="Q184">
        <v>12667.7773240797</v>
      </c>
      <c r="R184">
        <v>32210.340660853901</v>
      </c>
      <c r="S184">
        <v>2682.2210367088001</v>
      </c>
      <c r="T184">
        <v>328.48837500000002</v>
      </c>
      <c r="U184">
        <v>19508.368125000001</v>
      </c>
      <c r="V184">
        <v>10150.161875</v>
      </c>
      <c r="W184">
        <f t="shared" si="27"/>
        <v>120009.56182741099</v>
      </c>
    </row>
    <row r="185" spans="1:23" x14ac:dyDescent="0.2">
      <c r="A185" t="s">
        <v>247</v>
      </c>
      <c r="B185">
        <f t="shared" si="26"/>
        <v>21670.069724729601</v>
      </c>
      <c r="C185">
        <f t="shared" si="26"/>
        <v>692.41967974889997</v>
      </c>
      <c r="D185">
        <f t="shared" si="26"/>
        <v>0</v>
      </c>
      <c r="E185">
        <f t="shared" si="26"/>
        <v>0</v>
      </c>
      <c r="F185">
        <f t="shared" si="26"/>
        <v>0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22362.4894044785</v>
      </c>
      <c r="N185" t="s">
        <v>247</v>
      </c>
      <c r="O185">
        <v>21670.069724729601</v>
      </c>
      <c r="P185">
        <v>692.41967974889997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f t="shared" si="27"/>
        <v>22362.4894044785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F196" si="28">O189*$B$1</f>
        <v>3816.0095233219999</v>
      </c>
      <c r="C189">
        <f t="shared" si="28"/>
        <v>23591.411652372299</v>
      </c>
      <c r="D189">
        <f t="shared" si="28"/>
        <v>26029.797916596002</v>
      </c>
      <c r="E189">
        <f t="shared" si="28"/>
        <v>138284.1863507005</v>
      </c>
      <c r="F189">
        <f t="shared" si="28"/>
        <v>191721.4054429908</v>
      </c>
      <c r="N189" t="s">
        <v>210</v>
      </c>
      <c r="O189">
        <v>3816.0095233219999</v>
      </c>
      <c r="P189">
        <v>23591.411652372299</v>
      </c>
      <c r="Q189">
        <v>26029.797916596002</v>
      </c>
      <c r="R189">
        <v>138284.1863507005</v>
      </c>
      <c r="S189">
        <f>SUM(O189:R189)</f>
        <v>191721.4054429908</v>
      </c>
    </row>
    <row r="190" spans="1:23" x14ac:dyDescent="0.2">
      <c r="A190" t="s">
        <v>211</v>
      </c>
      <c r="B190">
        <f t="shared" si="28"/>
        <v>902.36287500000003</v>
      </c>
      <c r="C190">
        <f t="shared" si="28"/>
        <v>6483.5648797779995</v>
      </c>
      <c r="D190">
        <f t="shared" si="28"/>
        <v>1895.9633313979998</v>
      </c>
      <c r="E190">
        <f t="shared" si="28"/>
        <v>77019.418743070099</v>
      </c>
      <c r="F190">
        <f t="shared" si="28"/>
        <v>86301.309829246093</v>
      </c>
      <c r="N190" t="s">
        <v>211</v>
      </c>
      <c r="O190">
        <v>902.36287500000003</v>
      </c>
      <c r="P190">
        <v>6483.5648797779995</v>
      </c>
      <c r="Q190">
        <v>1895.9633313979998</v>
      </c>
      <c r="R190">
        <v>77019.418743070099</v>
      </c>
      <c r="S190">
        <f t="shared" ref="S190:S196" si="29">SUM(O190:R190)</f>
        <v>86301.309829246093</v>
      </c>
    </row>
    <row r="191" spans="1:23" x14ac:dyDescent="0.2">
      <c r="A191" t="s">
        <v>212</v>
      </c>
      <c r="B191">
        <f t="shared" si="28"/>
        <v>1137.1437497740001</v>
      </c>
      <c r="C191">
        <f t="shared" si="28"/>
        <v>9173.9219011693003</v>
      </c>
      <c r="D191">
        <f t="shared" si="28"/>
        <v>3964.3000225189999</v>
      </c>
      <c r="E191">
        <f t="shared" si="28"/>
        <v>78958.599628740005</v>
      </c>
      <c r="F191">
        <f t="shared" si="28"/>
        <v>93233.965302202298</v>
      </c>
      <c r="N191" t="s">
        <v>212</v>
      </c>
      <c r="O191">
        <v>1137.1437497740001</v>
      </c>
      <c r="P191">
        <v>9173.9219011693003</v>
      </c>
      <c r="Q191">
        <v>3964.3000225189999</v>
      </c>
      <c r="R191">
        <v>78958.599628740005</v>
      </c>
      <c r="S191">
        <f t="shared" si="29"/>
        <v>93233.965302202298</v>
      </c>
    </row>
    <row r="192" spans="1:23" x14ac:dyDescent="0.2">
      <c r="A192" t="s">
        <v>36</v>
      </c>
      <c r="B192">
        <f t="shared" si="28"/>
        <v>6584.5109178359999</v>
      </c>
      <c r="C192">
        <f t="shared" si="28"/>
        <v>17004.954404716198</v>
      </c>
      <c r="D192">
        <f t="shared" si="28"/>
        <v>6367.9251876917997</v>
      </c>
      <c r="E192">
        <f t="shared" si="28"/>
        <v>43066.992802310597</v>
      </c>
      <c r="F192">
        <f t="shared" si="28"/>
        <v>73024.383312554593</v>
      </c>
      <c r="N192" t="s">
        <v>36</v>
      </c>
      <c r="O192">
        <v>6584.5109178359999</v>
      </c>
      <c r="P192">
        <v>17004.954404716198</v>
      </c>
      <c r="Q192">
        <v>6367.9251876917997</v>
      </c>
      <c r="R192">
        <v>43066.992802310597</v>
      </c>
      <c r="S192">
        <f t="shared" si="29"/>
        <v>73024.383312554593</v>
      </c>
    </row>
    <row r="193" spans="1:19" x14ac:dyDescent="0.2">
      <c r="A193" t="s">
        <v>214</v>
      </c>
      <c r="B193">
        <f t="shared" si="28"/>
        <v>526.72710594599994</v>
      </c>
      <c r="C193">
        <f t="shared" si="28"/>
        <v>10868.056938231999</v>
      </c>
      <c r="D193">
        <f t="shared" si="28"/>
        <v>3060.1487096810001</v>
      </c>
      <c r="E193">
        <f t="shared" si="28"/>
        <v>39366.2383901223</v>
      </c>
      <c r="F193">
        <f t="shared" si="28"/>
        <v>53821.171143981301</v>
      </c>
      <c r="N193" t="s">
        <v>214</v>
      </c>
      <c r="O193">
        <v>526.72710594599994</v>
      </c>
      <c r="P193">
        <v>10868.056938231999</v>
      </c>
      <c r="Q193">
        <v>3060.1487096810001</v>
      </c>
      <c r="R193">
        <v>39366.2383901223</v>
      </c>
      <c r="S193">
        <f t="shared" si="29"/>
        <v>53821.171143981301</v>
      </c>
    </row>
    <row r="194" spans="1:19" x14ac:dyDescent="0.2">
      <c r="A194" t="s">
        <v>129</v>
      </c>
      <c r="B194">
        <f t="shared" si="28"/>
        <v>0</v>
      </c>
      <c r="C194">
        <f t="shared" si="28"/>
        <v>3671.7152726998002</v>
      </c>
      <c r="D194">
        <f t="shared" si="28"/>
        <v>4037.0831814430003</v>
      </c>
      <c r="E194">
        <f t="shared" si="28"/>
        <v>16358.752141655001</v>
      </c>
      <c r="F194">
        <f t="shared" si="28"/>
        <v>24067.550595797802</v>
      </c>
      <c r="N194" t="s">
        <v>129</v>
      </c>
      <c r="O194">
        <v>0</v>
      </c>
      <c r="P194">
        <v>3671.7152726998002</v>
      </c>
      <c r="Q194">
        <v>4037.0831814430003</v>
      </c>
      <c r="R194">
        <v>16358.752141655001</v>
      </c>
      <c r="S194">
        <f t="shared" si="29"/>
        <v>24067.550595797802</v>
      </c>
    </row>
    <row r="195" spans="1:19" x14ac:dyDescent="0.2">
      <c r="A195" t="s">
        <v>130</v>
      </c>
      <c r="B195">
        <f t="shared" si="28"/>
        <v>2486.8713270349999</v>
      </c>
      <c r="C195">
        <f t="shared" si="28"/>
        <v>21785.590373071998</v>
      </c>
      <c r="D195">
        <f t="shared" si="28"/>
        <v>15568.641928146</v>
      </c>
      <c r="E195">
        <f t="shared" si="28"/>
        <v>73392.600940700097</v>
      </c>
      <c r="F195">
        <f t="shared" si="28"/>
        <v>113233.70456895309</v>
      </c>
      <c r="N195" t="s">
        <v>130</v>
      </c>
      <c r="O195">
        <v>2486.8713270349999</v>
      </c>
      <c r="P195">
        <v>21785.590373071998</v>
      </c>
      <c r="Q195">
        <v>15568.641928146</v>
      </c>
      <c r="R195">
        <v>73392.600940700097</v>
      </c>
      <c r="S195">
        <f t="shared" si="29"/>
        <v>113233.70456895309</v>
      </c>
    </row>
    <row r="196" spans="1:19" x14ac:dyDescent="0.2">
      <c r="A196" t="s">
        <v>247</v>
      </c>
      <c r="B196">
        <f t="shared" si="28"/>
        <v>240.60352573500001</v>
      </c>
      <c r="C196">
        <f t="shared" si="28"/>
        <v>5823.72013401</v>
      </c>
      <c r="D196">
        <f t="shared" si="28"/>
        <v>1769.1422292080001</v>
      </c>
      <c r="E196">
        <f t="shared" si="28"/>
        <v>13033.765853889499</v>
      </c>
      <c r="F196">
        <f t="shared" si="28"/>
        <v>20867.231742842501</v>
      </c>
      <c r="N196" t="s">
        <v>247</v>
      </c>
      <c r="O196">
        <v>240.60352573500001</v>
      </c>
      <c r="P196">
        <v>5823.72013401</v>
      </c>
      <c r="Q196">
        <v>1769.1422292080001</v>
      </c>
      <c r="R196">
        <v>13033.765853889499</v>
      </c>
      <c r="S196">
        <f t="shared" si="29"/>
        <v>20867.231742842501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F207" si="30">O200*$B$1</f>
        <v>8221.5560014490002</v>
      </c>
      <c r="C200">
        <f t="shared" si="30"/>
        <v>36557.2315927171</v>
      </c>
      <c r="D200">
        <f t="shared" si="30"/>
        <v>116399.5938207494</v>
      </c>
      <c r="E200">
        <f t="shared" si="30"/>
        <v>45159.086711583601</v>
      </c>
      <c r="F200">
        <f t="shared" si="30"/>
        <v>206337.46812649909</v>
      </c>
      <c r="N200" t="s">
        <v>210</v>
      </c>
      <c r="O200">
        <v>8221.5560014490002</v>
      </c>
      <c r="P200">
        <v>36557.2315927171</v>
      </c>
      <c r="Q200">
        <v>116399.5938207494</v>
      </c>
      <c r="R200">
        <v>45159.086711583601</v>
      </c>
      <c r="S200">
        <f>SUM(O200:R200)</f>
        <v>206337.46812649909</v>
      </c>
    </row>
    <row r="201" spans="1:19" x14ac:dyDescent="0.2">
      <c r="A201" t="s">
        <v>211</v>
      </c>
      <c r="B201">
        <f t="shared" si="30"/>
        <v>1754.672093486</v>
      </c>
      <c r="C201">
        <f t="shared" si="30"/>
        <v>11217.392982883101</v>
      </c>
      <c r="D201">
        <f t="shared" si="30"/>
        <v>67987.679970520694</v>
      </c>
      <c r="E201">
        <f t="shared" si="30"/>
        <v>17946.030233589998</v>
      </c>
      <c r="F201">
        <f t="shared" si="30"/>
        <v>98905.775280479778</v>
      </c>
      <c r="N201" t="s">
        <v>211</v>
      </c>
      <c r="O201">
        <v>1754.672093486</v>
      </c>
      <c r="P201">
        <v>11217.392982883101</v>
      </c>
      <c r="Q201">
        <v>67987.679970520694</v>
      </c>
      <c r="R201">
        <v>17946.030233589998</v>
      </c>
      <c r="S201">
        <f t="shared" ref="S201:S207" si="31">SUM(O201:R201)</f>
        <v>98905.775280479778</v>
      </c>
    </row>
    <row r="202" spans="1:19" x14ac:dyDescent="0.2">
      <c r="A202" t="s">
        <v>212</v>
      </c>
      <c r="B202">
        <f t="shared" si="30"/>
        <v>0</v>
      </c>
      <c r="C202">
        <f t="shared" si="30"/>
        <v>18368.139280289699</v>
      </c>
      <c r="D202">
        <f t="shared" si="30"/>
        <v>64153.235459190102</v>
      </c>
      <c r="E202">
        <f t="shared" si="30"/>
        <v>18451.022498294999</v>
      </c>
      <c r="F202">
        <f t="shared" si="30"/>
        <v>100972.3972377748</v>
      </c>
      <c r="N202" t="s">
        <v>212</v>
      </c>
      <c r="O202">
        <v>0</v>
      </c>
      <c r="P202">
        <v>18368.139280289699</v>
      </c>
      <c r="Q202">
        <v>64153.235459190102</v>
      </c>
      <c r="R202">
        <v>18451.022498294999</v>
      </c>
      <c r="S202">
        <f t="shared" si="31"/>
        <v>100972.3972377748</v>
      </c>
    </row>
    <row r="203" spans="1:19" x14ac:dyDescent="0.2">
      <c r="A203" t="s">
        <v>36</v>
      </c>
      <c r="B203">
        <f t="shared" si="30"/>
        <v>5950.77534569</v>
      </c>
      <c r="C203">
        <f t="shared" si="30"/>
        <v>13628.118853945</v>
      </c>
      <c r="D203">
        <f t="shared" si="30"/>
        <v>50821.696192719101</v>
      </c>
      <c r="E203">
        <f t="shared" si="30"/>
        <v>9947.5491054539998</v>
      </c>
      <c r="F203">
        <f t="shared" si="30"/>
        <v>80348.139497808108</v>
      </c>
      <c r="N203" t="s">
        <v>36</v>
      </c>
      <c r="O203">
        <v>5950.77534569</v>
      </c>
      <c r="P203">
        <v>13628.118853945</v>
      </c>
      <c r="Q203">
        <v>50821.696192719101</v>
      </c>
      <c r="R203">
        <v>9947.5491054539998</v>
      </c>
      <c r="S203">
        <f t="shared" si="31"/>
        <v>80348.139497808108</v>
      </c>
    </row>
    <row r="204" spans="1:19" x14ac:dyDescent="0.2">
      <c r="A204" t="s">
        <v>214</v>
      </c>
      <c r="B204">
        <f t="shared" si="30"/>
        <v>2922.7933804659997</v>
      </c>
      <c r="C204">
        <f t="shared" si="30"/>
        <v>15163.781483364701</v>
      </c>
      <c r="D204">
        <f t="shared" si="30"/>
        <v>31526.312839045298</v>
      </c>
      <c r="E204">
        <f t="shared" si="30"/>
        <v>10592.500408222</v>
      </c>
      <c r="F204">
        <f t="shared" si="30"/>
        <v>60205.388111098</v>
      </c>
      <c r="N204" t="s">
        <v>214</v>
      </c>
      <c r="O204">
        <v>2922.7933804659997</v>
      </c>
      <c r="P204">
        <v>15163.781483364701</v>
      </c>
      <c r="Q204">
        <v>31526.312839045298</v>
      </c>
      <c r="R204">
        <v>10592.500408222</v>
      </c>
      <c r="S204">
        <f t="shared" si="31"/>
        <v>60205.388111098</v>
      </c>
    </row>
    <row r="205" spans="1:19" x14ac:dyDescent="0.2">
      <c r="A205" t="s">
        <v>129</v>
      </c>
      <c r="B205">
        <f t="shared" si="30"/>
        <v>685.39749325299999</v>
      </c>
      <c r="C205">
        <f t="shared" si="30"/>
        <v>4681.4798993040004</v>
      </c>
      <c r="D205">
        <f t="shared" si="30"/>
        <v>14585.558323831799</v>
      </c>
      <c r="E205">
        <f t="shared" si="30"/>
        <v>8709.0056487880011</v>
      </c>
      <c r="F205">
        <f t="shared" si="30"/>
        <v>28661.441365176797</v>
      </c>
      <c r="N205" t="s">
        <v>129</v>
      </c>
      <c r="O205">
        <v>685.39749325299999</v>
      </c>
      <c r="P205">
        <v>4681.4798993040004</v>
      </c>
      <c r="Q205">
        <v>14585.558323831799</v>
      </c>
      <c r="R205">
        <v>8709.0056487880011</v>
      </c>
      <c r="S205">
        <f t="shared" si="31"/>
        <v>28661.441365176797</v>
      </c>
    </row>
    <row r="206" spans="1:19" x14ac:dyDescent="0.2">
      <c r="A206" t="s">
        <v>130</v>
      </c>
      <c r="B206">
        <f t="shared" si="30"/>
        <v>944.02082061900001</v>
      </c>
      <c r="C206">
        <f t="shared" si="30"/>
        <v>26009.101765114301</v>
      </c>
      <c r="D206">
        <f t="shared" si="30"/>
        <v>80276.907738036098</v>
      </c>
      <c r="E206">
        <f t="shared" si="30"/>
        <v>12779.5315036416</v>
      </c>
      <c r="F206">
        <f t="shared" si="30"/>
        <v>120009.561827411</v>
      </c>
      <c r="N206" t="s">
        <v>130</v>
      </c>
      <c r="O206">
        <v>944.02082061900001</v>
      </c>
      <c r="P206">
        <v>26009.101765114301</v>
      </c>
      <c r="Q206">
        <v>80276.907738036098</v>
      </c>
      <c r="R206">
        <v>12779.5315036416</v>
      </c>
      <c r="S206">
        <f t="shared" si="31"/>
        <v>120009.561827411</v>
      </c>
    </row>
    <row r="207" spans="1:19" x14ac:dyDescent="0.2">
      <c r="A207" t="s">
        <v>247</v>
      </c>
      <c r="B207">
        <f t="shared" si="30"/>
        <v>2308.9522289440001</v>
      </c>
      <c r="C207">
        <f t="shared" si="30"/>
        <v>3718.1565377930001</v>
      </c>
      <c r="D207">
        <f t="shared" si="30"/>
        <v>15542.0559565569</v>
      </c>
      <c r="E207">
        <f t="shared" si="30"/>
        <v>793.32468118459997</v>
      </c>
      <c r="F207">
        <f t="shared" si="30"/>
        <v>22362.4894044785</v>
      </c>
      <c r="N207" t="s">
        <v>247</v>
      </c>
      <c r="O207">
        <v>2308.9522289440001</v>
      </c>
      <c r="P207">
        <v>3718.1565377930001</v>
      </c>
      <c r="Q207">
        <v>15542.0559565569</v>
      </c>
      <c r="R207">
        <v>793.32468118459997</v>
      </c>
      <c r="S207">
        <f t="shared" si="31"/>
        <v>22362.4894044785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0</v>
      </c>
      <c r="G211">
        <f t="shared" ref="G211:G218" si="34">T211*$B$1</f>
        <v>0</v>
      </c>
      <c r="H211">
        <f t="shared" ref="H211:I218" si="35">U211*$B$1</f>
        <v>0</v>
      </c>
      <c r="I211">
        <f t="shared" si="35"/>
        <v>206337.46812649909</v>
      </c>
      <c r="N211" t="s">
        <v>210</v>
      </c>
      <c r="O211">
        <v>79037.6401089188</v>
      </c>
      <c r="P211">
        <v>6027.8099673173001</v>
      </c>
      <c r="Q211">
        <v>70900.655516414394</v>
      </c>
      <c r="R211">
        <v>50371.362533848602</v>
      </c>
      <c r="S211">
        <v>0</v>
      </c>
      <c r="T211">
        <v>0</v>
      </c>
      <c r="U211">
        <v>0</v>
      </c>
      <c r="V211">
        <f>SUM(O211:U211)</f>
        <v>206337.46812649909</v>
      </c>
    </row>
    <row r="212" spans="1:23" x14ac:dyDescent="0.2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0</v>
      </c>
      <c r="G212">
        <f t="shared" si="34"/>
        <v>0</v>
      </c>
      <c r="H212">
        <f t="shared" si="35"/>
        <v>0</v>
      </c>
      <c r="I212">
        <f t="shared" si="35"/>
        <v>98905.775280479807</v>
      </c>
      <c r="N212" t="s">
        <v>211</v>
      </c>
      <c r="O212">
        <v>34613.001160360101</v>
      </c>
      <c r="P212">
        <v>789.45598320570002</v>
      </c>
      <c r="Q212">
        <v>28160.228371058001</v>
      </c>
      <c r="R212">
        <v>35343.089765855999</v>
      </c>
      <c r="S212">
        <v>0</v>
      </c>
      <c r="T212">
        <v>0</v>
      </c>
      <c r="U212">
        <v>0</v>
      </c>
      <c r="V212">
        <f t="shared" ref="V212:V218" si="36">SUM(O212:U212)</f>
        <v>98905.775280479807</v>
      </c>
    </row>
    <row r="213" spans="1:23" x14ac:dyDescent="0.2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0</v>
      </c>
      <c r="G213">
        <f t="shared" si="34"/>
        <v>0</v>
      </c>
      <c r="H213">
        <f t="shared" si="35"/>
        <v>0</v>
      </c>
      <c r="I213">
        <f t="shared" si="35"/>
        <v>100972.3972377748</v>
      </c>
      <c r="N213" t="s">
        <v>212</v>
      </c>
      <c r="O213">
        <v>34061.977706629201</v>
      </c>
      <c r="P213">
        <v>462.67095220929997</v>
      </c>
      <c r="Q213">
        <v>31876.0289466779</v>
      </c>
      <c r="R213">
        <v>34571.719632258399</v>
      </c>
      <c r="S213">
        <v>0</v>
      </c>
      <c r="T213">
        <v>0</v>
      </c>
      <c r="U213">
        <v>0</v>
      </c>
      <c r="V213">
        <f t="shared" si="36"/>
        <v>100972.3972377748</v>
      </c>
    </row>
    <row r="214" spans="1:23" x14ac:dyDescent="0.2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24559.552869661002</v>
      </c>
      <c r="F214">
        <f t="shared" si="33"/>
        <v>0</v>
      </c>
      <c r="G214">
        <f t="shared" si="34"/>
        <v>0</v>
      </c>
      <c r="H214">
        <f t="shared" si="35"/>
        <v>0</v>
      </c>
      <c r="I214">
        <f t="shared" si="35"/>
        <v>80348.139497808093</v>
      </c>
      <c r="N214" t="s">
        <v>36</v>
      </c>
      <c r="O214">
        <v>24933.076938066599</v>
      </c>
      <c r="P214">
        <v>485.76884120250003</v>
      </c>
      <c r="Q214">
        <v>30369.740848877998</v>
      </c>
      <c r="R214">
        <v>24559.552869661002</v>
      </c>
      <c r="S214">
        <v>0</v>
      </c>
      <c r="T214">
        <v>0</v>
      </c>
      <c r="U214">
        <v>0</v>
      </c>
      <c r="V214">
        <f t="shared" si="36"/>
        <v>80348.139497808093</v>
      </c>
    </row>
    <row r="215" spans="1:23" x14ac:dyDescent="0.2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0</v>
      </c>
      <c r="G215">
        <f t="shared" si="34"/>
        <v>0</v>
      </c>
      <c r="H215">
        <f t="shared" si="35"/>
        <v>0</v>
      </c>
      <c r="I215">
        <f t="shared" si="35"/>
        <v>60205.388111098</v>
      </c>
      <c r="N215" t="s">
        <v>214</v>
      </c>
      <c r="O215">
        <v>17968.983954022002</v>
      </c>
      <c r="P215">
        <v>1607.070992965</v>
      </c>
      <c r="Q215">
        <v>20932.738866469499</v>
      </c>
      <c r="R215">
        <v>19696.594297641499</v>
      </c>
      <c r="S215">
        <v>0</v>
      </c>
      <c r="T215">
        <v>0</v>
      </c>
      <c r="U215">
        <v>0</v>
      </c>
      <c r="V215">
        <f t="shared" si="36"/>
        <v>60205.388111098</v>
      </c>
    </row>
    <row r="216" spans="1:23" x14ac:dyDescent="0.2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0</v>
      </c>
      <c r="G216">
        <f t="shared" si="34"/>
        <v>0</v>
      </c>
      <c r="H216">
        <f t="shared" si="35"/>
        <v>0</v>
      </c>
      <c r="I216">
        <f t="shared" si="35"/>
        <v>28661.441365176801</v>
      </c>
      <c r="N216" t="s">
        <v>129</v>
      </c>
      <c r="O216">
        <v>11939.972133858801</v>
      </c>
      <c r="P216">
        <v>488.07562926700001</v>
      </c>
      <c r="Q216">
        <v>4287.132606657</v>
      </c>
      <c r="R216">
        <v>11946.260995394001</v>
      </c>
      <c r="S216">
        <v>0</v>
      </c>
      <c r="T216">
        <v>0</v>
      </c>
      <c r="U216">
        <v>0</v>
      </c>
      <c r="V216">
        <f t="shared" si="36"/>
        <v>28661.441365176801</v>
      </c>
    </row>
    <row r="217" spans="1:23" x14ac:dyDescent="0.2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0</v>
      </c>
      <c r="G217">
        <f t="shared" si="34"/>
        <v>0</v>
      </c>
      <c r="H217">
        <f t="shared" si="35"/>
        <v>0</v>
      </c>
      <c r="I217">
        <f t="shared" si="35"/>
        <v>120009.561827411</v>
      </c>
      <c r="N217" t="s">
        <v>130</v>
      </c>
      <c r="O217">
        <v>45357.532431543703</v>
      </c>
      <c r="P217">
        <v>2552.9661731877</v>
      </c>
      <c r="Q217">
        <v>32411.710559707601</v>
      </c>
      <c r="R217">
        <v>39687.352662972</v>
      </c>
      <c r="S217">
        <v>0</v>
      </c>
      <c r="T217">
        <v>0</v>
      </c>
      <c r="U217">
        <v>0</v>
      </c>
      <c r="V217">
        <f t="shared" si="36"/>
        <v>120009.561827411</v>
      </c>
    </row>
    <row r="218" spans="1:23" x14ac:dyDescent="0.2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0</v>
      </c>
      <c r="G218">
        <f t="shared" si="34"/>
        <v>0</v>
      </c>
      <c r="H218">
        <f t="shared" si="35"/>
        <v>0</v>
      </c>
      <c r="I218">
        <f t="shared" si="35"/>
        <v>22362.489404478503</v>
      </c>
      <c r="N218" t="s">
        <v>247</v>
      </c>
      <c r="O218">
        <v>5113.9959560066</v>
      </c>
      <c r="P218">
        <v>811.99076192229995</v>
      </c>
      <c r="Q218">
        <v>8000.7828230945006</v>
      </c>
      <c r="R218">
        <v>8435.7198634551005</v>
      </c>
      <c r="S218">
        <v>0</v>
      </c>
      <c r="T218">
        <v>0</v>
      </c>
      <c r="U218">
        <v>0</v>
      </c>
      <c r="V218">
        <f t="shared" si="36"/>
        <v>22362.489404478503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J228" si="37">O222*$B$1</f>
        <v>20234.285199999998</v>
      </c>
      <c r="C222">
        <f t="shared" si="37"/>
        <v>1482.4309000000001</v>
      </c>
      <c r="D222">
        <f t="shared" si="37"/>
        <v>1133.1333</v>
      </c>
      <c r="E222">
        <f t="shared" si="37"/>
        <v>924.68979999999999</v>
      </c>
      <c r="F222">
        <f t="shared" si="37"/>
        <v>1531.0436999999999</v>
      </c>
      <c r="G222">
        <f t="shared" si="37"/>
        <v>728.3605</v>
      </c>
      <c r="H222">
        <f t="shared" si="37"/>
        <v>0</v>
      </c>
      <c r="I222">
        <f t="shared" si="37"/>
        <v>0</v>
      </c>
      <c r="J222">
        <f t="shared" si="37"/>
        <v>26033.943399999996</v>
      </c>
      <c r="N222" t="s">
        <v>210</v>
      </c>
      <c r="O222" s="104">
        <v>20234.285199999998</v>
      </c>
      <c r="P222" s="104">
        <v>1482.4309000000001</v>
      </c>
      <c r="Q222" s="104">
        <v>1133.1333</v>
      </c>
      <c r="R222" s="104">
        <v>924.68979999999999</v>
      </c>
      <c r="S222" s="104">
        <v>1531.0436999999999</v>
      </c>
      <c r="T222" s="104">
        <v>728.3605</v>
      </c>
      <c r="U222" s="104">
        <v>0</v>
      </c>
      <c r="V222">
        <v>0</v>
      </c>
      <c r="W222" s="104">
        <f>SUM(O222:V222)</f>
        <v>26033.943399999996</v>
      </c>
    </row>
    <row r="223" spans="1:23" x14ac:dyDescent="0.2">
      <c r="A223" t="s">
        <v>211</v>
      </c>
      <c r="B223">
        <f t="shared" si="37"/>
        <v>764.64599999999996</v>
      </c>
      <c r="C223">
        <f t="shared" si="37"/>
        <v>380.9837</v>
      </c>
      <c r="D223">
        <f t="shared" si="37"/>
        <v>0</v>
      </c>
      <c r="E223">
        <f t="shared" si="37"/>
        <v>0</v>
      </c>
      <c r="F223">
        <f t="shared" si="37"/>
        <v>182.41579999999999</v>
      </c>
      <c r="G223">
        <f t="shared" si="37"/>
        <v>0</v>
      </c>
      <c r="H223">
        <f t="shared" si="37"/>
        <v>3038.6329999999998</v>
      </c>
      <c r="I223">
        <f t="shared" si="37"/>
        <v>0</v>
      </c>
      <c r="J223">
        <f t="shared" si="37"/>
        <v>4366.6785</v>
      </c>
      <c r="N223" t="s">
        <v>211</v>
      </c>
      <c r="O223" s="104">
        <v>764.64599999999996</v>
      </c>
      <c r="P223" s="104">
        <v>380.9837</v>
      </c>
      <c r="Q223" s="104">
        <v>0</v>
      </c>
      <c r="R223" s="104">
        <v>0</v>
      </c>
      <c r="S223" s="104">
        <v>182.41579999999999</v>
      </c>
      <c r="T223" s="104">
        <v>0</v>
      </c>
      <c r="U223" s="104">
        <v>3038.6329999999998</v>
      </c>
      <c r="V223">
        <v>0</v>
      </c>
      <c r="W223" s="104">
        <f t="shared" ref="W223:W228" si="38">SUM(O223:V223)</f>
        <v>4366.6785</v>
      </c>
    </row>
    <row r="224" spans="1:23" x14ac:dyDescent="0.2">
      <c r="A224" t="s">
        <v>212</v>
      </c>
      <c r="B224">
        <f t="shared" si="37"/>
        <v>42576.642500000002</v>
      </c>
      <c r="C224">
        <f t="shared" si="37"/>
        <v>5247.2844999999998</v>
      </c>
      <c r="D224">
        <f t="shared" si="37"/>
        <v>2046.1207999999999</v>
      </c>
      <c r="E224">
        <f t="shared" si="37"/>
        <v>8784.5867999999991</v>
      </c>
      <c r="F224">
        <f t="shared" si="37"/>
        <v>1591.6532</v>
      </c>
      <c r="G224">
        <f t="shared" si="37"/>
        <v>101.9641</v>
      </c>
      <c r="H224">
        <f t="shared" si="37"/>
        <v>6629.1468999999997</v>
      </c>
      <c r="I224">
        <f t="shared" si="37"/>
        <v>1637.2401</v>
      </c>
      <c r="J224">
        <f t="shared" si="37"/>
        <v>68614.638899999991</v>
      </c>
      <c r="N224" t="s">
        <v>212</v>
      </c>
      <c r="O224" s="104">
        <v>42576.642500000002</v>
      </c>
      <c r="P224" s="104">
        <v>5247.2844999999998</v>
      </c>
      <c r="Q224" s="104">
        <v>2046.1207999999999</v>
      </c>
      <c r="R224" s="104">
        <v>8784.5867999999991</v>
      </c>
      <c r="S224" s="104">
        <v>1591.6532</v>
      </c>
      <c r="T224" s="104">
        <v>101.9641</v>
      </c>
      <c r="U224" s="104">
        <v>6629.1468999999997</v>
      </c>
      <c r="V224">
        <v>1637.2401</v>
      </c>
      <c r="W224" s="104">
        <f t="shared" si="38"/>
        <v>68614.638899999991</v>
      </c>
    </row>
    <row r="225" spans="1:23" x14ac:dyDescent="0.2">
      <c r="A225" t="s">
        <v>36</v>
      </c>
      <c r="B225">
        <f t="shared" si="37"/>
        <v>27161.6459</v>
      </c>
      <c r="C225">
        <f t="shared" si="37"/>
        <v>9158.2234000000008</v>
      </c>
      <c r="D225">
        <f t="shared" si="37"/>
        <v>10233.160400000001</v>
      </c>
      <c r="E225">
        <f t="shared" si="37"/>
        <v>13140.4555</v>
      </c>
      <c r="F225">
        <f t="shared" si="37"/>
        <v>1371.4322999999999</v>
      </c>
      <c r="G225">
        <f t="shared" si="37"/>
        <v>1090.5309999999999</v>
      </c>
      <c r="H225">
        <f t="shared" si="37"/>
        <v>6943.0631999999996</v>
      </c>
      <c r="I225">
        <f t="shared" si="37"/>
        <v>4890.7901000000002</v>
      </c>
      <c r="J225">
        <f t="shared" si="37"/>
        <v>73989.301800000001</v>
      </c>
      <c r="N225" t="s">
        <v>36</v>
      </c>
      <c r="O225" s="104">
        <v>27161.6459</v>
      </c>
      <c r="P225" s="104">
        <v>9158.2234000000008</v>
      </c>
      <c r="Q225" s="104">
        <v>10233.160400000001</v>
      </c>
      <c r="R225" s="104">
        <v>13140.4555</v>
      </c>
      <c r="S225" s="104">
        <v>1371.4322999999999</v>
      </c>
      <c r="T225" s="104">
        <v>1090.5309999999999</v>
      </c>
      <c r="U225" s="104">
        <v>6943.0631999999996</v>
      </c>
      <c r="V225">
        <v>4890.7901000000002</v>
      </c>
      <c r="W225" s="104">
        <f t="shared" si="38"/>
        <v>73989.301800000001</v>
      </c>
    </row>
    <row r="226" spans="1:23" x14ac:dyDescent="0.2">
      <c r="A226" t="s">
        <v>214</v>
      </c>
      <c r="B226">
        <f t="shared" si="37"/>
        <v>48752.9565</v>
      </c>
      <c r="C226">
        <f t="shared" si="37"/>
        <v>12791.7323</v>
      </c>
      <c r="D226">
        <f t="shared" si="37"/>
        <v>16304.8802</v>
      </c>
      <c r="E226">
        <f t="shared" si="37"/>
        <v>16467.9712</v>
      </c>
      <c r="F226">
        <f t="shared" si="37"/>
        <v>2915.9573999999998</v>
      </c>
      <c r="G226">
        <f t="shared" si="37"/>
        <v>626.66150000000005</v>
      </c>
      <c r="H226">
        <f t="shared" si="37"/>
        <v>5635.0138999999999</v>
      </c>
      <c r="I226">
        <f t="shared" si="37"/>
        <v>4588.4040000000005</v>
      </c>
      <c r="J226">
        <f t="shared" si="37"/>
        <v>108083.577</v>
      </c>
      <c r="N226" t="s">
        <v>214</v>
      </c>
      <c r="O226" s="104">
        <v>48752.9565</v>
      </c>
      <c r="P226" s="104">
        <v>12791.7323</v>
      </c>
      <c r="Q226" s="104">
        <v>16304.8802</v>
      </c>
      <c r="R226" s="104">
        <v>16467.9712</v>
      </c>
      <c r="S226" s="104">
        <v>2915.9573999999998</v>
      </c>
      <c r="T226" s="104">
        <v>626.66150000000005</v>
      </c>
      <c r="U226" s="104">
        <v>5635.0138999999999</v>
      </c>
      <c r="V226">
        <v>4588.4040000000005</v>
      </c>
      <c r="W226" s="104">
        <f t="shared" si="38"/>
        <v>108083.577</v>
      </c>
    </row>
    <row r="227" spans="1:23" x14ac:dyDescent="0.2">
      <c r="A227" t="s">
        <v>129</v>
      </c>
      <c r="B227">
        <f t="shared" si="37"/>
        <v>21204.690399999999</v>
      </c>
      <c r="C227">
        <f t="shared" si="37"/>
        <v>7943.4664000000002</v>
      </c>
      <c r="D227">
        <f t="shared" si="37"/>
        <v>5719.7995000000001</v>
      </c>
      <c r="E227">
        <f t="shared" si="37"/>
        <v>11166.936</v>
      </c>
      <c r="F227">
        <f t="shared" si="37"/>
        <v>713.74479999999994</v>
      </c>
      <c r="G227">
        <f t="shared" si="37"/>
        <v>2269.8791999999999</v>
      </c>
      <c r="H227">
        <f t="shared" si="37"/>
        <v>2043.6931</v>
      </c>
      <c r="I227">
        <f t="shared" si="37"/>
        <v>787.41840000000002</v>
      </c>
      <c r="J227">
        <f t="shared" si="37"/>
        <v>51849.627800000002</v>
      </c>
      <c r="N227" t="s">
        <v>129</v>
      </c>
      <c r="O227" s="104">
        <v>21204.690399999999</v>
      </c>
      <c r="P227" s="104">
        <v>7943.4664000000002</v>
      </c>
      <c r="Q227" s="104">
        <v>5719.7995000000001</v>
      </c>
      <c r="R227" s="104">
        <v>11166.936</v>
      </c>
      <c r="S227" s="104">
        <v>713.74479999999994</v>
      </c>
      <c r="T227" s="104">
        <v>2269.8791999999999</v>
      </c>
      <c r="U227" s="104">
        <v>2043.6931</v>
      </c>
      <c r="V227">
        <v>787.41840000000002</v>
      </c>
      <c r="W227" s="104">
        <f t="shared" si="38"/>
        <v>51849.627800000002</v>
      </c>
    </row>
    <row r="228" spans="1:23" x14ac:dyDescent="0.2">
      <c r="A228" t="s">
        <v>130</v>
      </c>
      <c r="B228">
        <f t="shared" si="37"/>
        <v>21233.434600000001</v>
      </c>
      <c r="C228">
        <f t="shared" si="37"/>
        <v>4199.1689999999999</v>
      </c>
      <c r="D228">
        <f t="shared" si="37"/>
        <v>6355.3389999999999</v>
      </c>
      <c r="E228">
        <f t="shared" si="37"/>
        <v>19010.783599999999</v>
      </c>
      <c r="F228">
        <f t="shared" si="37"/>
        <v>723.05250000000001</v>
      </c>
      <c r="G228">
        <f t="shared" si="37"/>
        <v>2532.6698999999999</v>
      </c>
      <c r="H228">
        <f t="shared" si="37"/>
        <v>6070.1917999999996</v>
      </c>
      <c r="I228">
        <f t="shared" si="37"/>
        <v>1676.1309000000001</v>
      </c>
      <c r="J228">
        <f t="shared" si="37"/>
        <v>61800.771300000008</v>
      </c>
      <c r="N228" t="s">
        <v>130</v>
      </c>
      <c r="O228" s="104">
        <v>21233.434600000001</v>
      </c>
      <c r="P228" s="104">
        <v>4199.1689999999999</v>
      </c>
      <c r="Q228" s="104">
        <v>6355.3389999999999</v>
      </c>
      <c r="R228" s="104">
        <v>19010.783599999999</v>
      </c>
      <c r="S228" s="104">
        <v>723.05250000000001</v>
      </c>
      <c r="T228" s="104">
        <v>2532.6698999999999</v>
      </c>
      <c r="U228" s="104">
        <v>6070.1917999999996</v>
      </c>
      <c r="V228">
        <v>1676.1309000000001</v>
      </c>
      <c r="W228" s="104">
        <f t="shared" si="38"/>
        <v>61800.771300000008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F238" si="39">O232*$B$1</f>
        <v>0</v>
      </c>
      <c r="C232">
        <f t="shared" si="39"/>
        <v>3525.8056000000001</v>
      </c>
      <c r="D232">
        <f t="shared" si="39"/>
        <v>4395.4359999999997</v>
      </c>
      <c r="E232">
        <f t="shared" si="39"/>
        <v>15458.562099999999</v>
      </c>
      <c r="F232">
        <f t="shared" si="39"/>
        <v>23379.803699999997</v>
      </c>
      <c r="N232" t="s">
        <v>210</v>
      </c>
      <c r="O232" s="104">
        <v>0</v>
      </c>
      <c r="P232" s="104">
        <v>3525.8056000000001</v>
      </c>
      <c r="Q232" s="104">
        <v>4395.4359999999997</v>
      </c>
      <c r="R232" s="104">
        <v>15458.562099999999</v>
      </c>
      <c r="S232" s="104">
        <f>SUM(O232:R232)</f>
        <v>23379.803699999997</v>
      </c>
    </row>
    <row r="233" spans="1:23" x14ac:dyDescent="0.2">
      <c r="A233" t="s">
        <v>211</v>
      </c>
      <c r="B233">
        <f t="shared" si="39"/>
        <v>0</v>
      </c>
      <c r="C233">
        <f t="shared" si="39"/>
        <v>861.8306</v>
      </c>
      <c r="D233">
        <f t="shared" si="39"/>
        <v>0</v>
      </c>
      <c r="E233">
        <f t="shared" si="39"/>
        <v>3019.4980999999998</v>
      </c>
      <c r="F233">
        <f t="shared" si="39"/>
        <v>3881.3287</v>
      </c>
      <c r="N233" t="s">
        <v>211</v>
      </c>
      <c r="O233" s="104">
        <v>0</v>
      </c>
      <c r="P233" s="104">
        <v>861.8306</v>
      </c>
      <c r="Q233" s="104">
        <v>0</v>
      </c>
      <c r="R233" s="104">
        <v>3019.4980999999998</v>
      </c>
      <c r="S233" s="104">
        <f t="shared" ref="S233:S238" si="40">SUM(O233:R233)</f>
        <v>3881.3287</v>
      </c>
    </row>
    <row r="234" spans="1:23" x14ac:dyDescent="0.2">
      <c r="A234" t="s">
        <v>212</v>
      </c>
      <c r="B234">
        <f t="shared" si="39"/>
        <v>721.89030000000002</v>
      </c>
      <c r="C234">
        <f t="shared" si="39"/>
        <v>2834.4263999999998</v>
      </c>
      <c r="D234">
        <f t="shared" si="39"/>
        <v>3840.5769999999998</v>
      </c>
      <c r="E234">
        <f t="shared" si="39"/>
        <v>54730.127999999997</v>
      </c>
      <c r="F234">
        <f t="shared" si="39"/>
        <v>62127.021699999998</v>
      </c>
      <c r="N234" t="s">
        <v>212</v>
      </c>
      <c r="O234" s="104">
        <v>721.89030000000002</v>
      </c>
      <c r="P234" s="104">
        <v>2834.4263999999998</v>
      </c>
      <c r="Q234" s="104">
        <v>3840.5769999999998</v>
      </c>
      <c r="R234" s="104">
        <v>54730.127999999997</v>
      </c>
      <c r="S234" s="104">
        <f t="shared" si="40"/>
        <v>62127.021699999998</v>
      </c>
    </row>
    <row r="235" spans="1:23" x14ac:dyDescent="0.2">
      <c r="A235" t="s">
        <v>36</v>
      </c>
      <c r="B235">
        <f t="shared" si="39"/>
        <v>438.99860000000001</v>
      </c>
      <c r="C235">
        <f t="shared" si="39"/>
        <v>7730.9233000000004</v>
      </c>
      <c r="D235">
        <f t="shared" si="39"/>
        <v>8723.6185999999998</v>
      </c>
      <c r="E235">
        <f t="shared" si="39"/>
        <v>48810.976000000002</v>
      </c>
      <c r="F235">
        <f t="shared" si="39"/>
        <v>65704.516499999998</v>
      </c>
      <c r="N235" t="s">
        <v>36</v>
      </c>
      <c r="O235" s="104">
        <v>438.99860000000001</v>
      </c>
      <c r="P235" s="104">
        <v>7730.9233000000004</v>
      </c>
      <c r="Q235" s="104">
        <v>8723.6185999999998</v>
      </c>
      <c r="R235" s="104">
        <v>48810.976000000002</v>
      </c>
      <c r="S235" s="104">
        <f t="shared" si="40"/>
        <v>65704.516499999998</v>
      </c>
    </row>
    <row r="236" spans="1:23" x14ac:dyDescent="0.2">
      <c r="A236" t="s">
        <v>214</v>
      </c>
      <c r="B236">
        <f t="shared" si="39"/>
        <v>235.27350000000001</v>
      </c>
      <c r="C236">
        <f t="shared" si="39"/>
        <v>13722.162700000001</v>
      </c>
      <c r="D236">
        <f t="shared" si="39"/>
        <v>13043.5028</v>
      </c>
      <c r="E236">
        <f t="shared" si="39"/>
        <v>71093.945399999997</v>
      </c>
      <c r="F236">
        <f t="shared" si="39"/>
        <v>98094.884399999995</v>
      </c>
      <c r="N236" t="s">
        <v>214</v>
      </c>
      <c r="O236" s="104">
        <v>235.27350000000001</v>
      </c>
      <c r="P236" s="104">
        <v>13722.162700000001</v>
      </c>
      <c r="Q236" s="104">
        <v>13043.5028</v>
      </c>
      <c r="R236" s="104">
        <v>71093.945399999997</v>
      </c>
      <c r="S236" s="104">
        <f t="shared" si="40"/>
        <v>98094.884399999995</v>
      </c>
    </row>
    <row r="237" spans="1:23" x14ac:dyDescent="0.2">
      <c r="A237" t="s">
        <v>129</v>
      </c>
      <c r="B237">
        <f t="shared" si="39"/>
        <v>559.07740000000001</v>
      </c>
      <c r="C237">
        <f t="shared" si="39"/>
        <v>9365.7160000000003</v>
      </c>
      <c r="D237">
        <f t="shared" si="39"/>
        <v>6319.7314999999999</v>
      </c>
      <c r="E237">
        <f t="shared" si="39"/>
        <v>32668.524099999999</v>
      </c>
      <c r="F237">
        <f t="shared" si="39"/>
        <v>48913.048999999999</v>
      </c>
      <c r="N237" t="s">
        <v>129</v>
      </c>
      <c r="O237" s="104">
        <v>559.07740000000001</v>
      </c>
      <c r="P237" s="104">
        <v>9365.7160000000003</v>
      </c>
      <c r="Q237" s="104">
        <v>6319.7314999999999</v>
      </c>
      <c r="R237" s="104">
        <v>32668.524099999999</v>
      </c>
      <c r="S237" s="104">
        <f t="shared" si="40"/>
        <v>48913.048999999999</v>
      </c>
    </row>
    <row r="238" spans="1:23" x14ac:dyDescent="0.2">
      <c r="A238" t="s">
        <v>130</v>
      </c>
      <c r="B238">
        <f t="shared" si="39"/>
        <v>0</v>
      </c>
      <c r="C238">
        <f t="shared" si="39"/>
        <v>6053.4879000000001</v>
      </c>
      <c r="D238">
        <f t="shared" si="39"/>
        <v>7039.7741999999998</v>
      </c>
      <c r="E238">
        <f t="shared" si="39"/>
        <v>41314.502200000003</v>
      </c>
      <c r="F238">
        <f t="shared" si="39"/>
        <v>54407.764300000003</v>
      </c>
      <c r="N238" t="s">
        <v>130</v>
      </c>
      <c r="O238" s="104">
        <v>0</v>
      </c>
      <c r="P238" s="104">
        <v>6053.4879000000001</v>
      </c>
      <c r="Q238" s="104">
        <v>7039.7741999999998</v>
      </c>
      <c r="R238" s="104">
        <v>41314.502200000003</v>
      </c>
      <c r="S238" s="104">
        <f t="shared" si="40"/>
        <v>54407.764300000003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F248" si="41">O242*$B$1</f>
        <v>154.3417</v>
      </c>
      <c r="C242">
        <f t="shared" si="41"/>
        <v>2653.0135</v>
      </c>
      <c r="D242">
        <f t="shared" si="41"/>
        <v>15761.099</v>
      </c>
      <c r="E242">
        <f t="shared" si="41"/>
        <v>7465.4892</v>
      </c>
      <c r="F242">
        <f t="shared" si="41"/>
        <v>26033.9434</v>
      </c>
      <c r="N242" t="s">
        <v>210</v>
      </c>
      <c r="O242" s="104">
        <v>154.3417</v>
      </c>
      <c r="P242" s="104">
        <v>2653.0135</v>
      </c>
      <c r="Q242" s="104">
        <v>15761.099</v>
      </c>
      <c r="R242" s="104">
        <v>7465.4892</v>
      </c>
      <c r="S242" s="104">
        <f>SUM(O242:R242)</f>
        <v>26033.9434</v>
      </c>
    </row>
    <row r="243" spans="1:22" x14ac:dyDescent="0.2">
      <c r="A243" t="s">
        <v>211</v>
      </c>
      <c r="B243">
        <f t="shared" si="41"/>
        <v>0</v>
      </c>
      <c r="C243">
        <f t="shared" si="41"/>
        <v>386.01440000000002</v>
      </c>
      <c r="D243">
        <f t="shared" si="41"/>
        <v>3976.2211000000002</v>
      </c>
      <c r="E243">
        <f t="shared" si="41"/>
        <v>4.4429999999999996</v>
      </c>
      <c r="F243">
        <f t="shared" si="41"/>
        <v>4366.6785000000009</v>
      </c>
      <c r="N243" t="s">
        <v>211</v>
      </c>
      <c r="O243" s="104">
        <v>0</v>
      </c>
      <c r="P243" s="104">
        <v>386.01440000000002</v>
      </c>
      <c r="Q243" s="104">
        <v>3976.2211000000002</v>
      </c>
      <c r="R243" s="104">
        <v>4.4429999999999996</v>
      </c>
      <c r="S243" s="104">
        <f t="shared" ref="S243:S248" si="42">SUM(O243:R243)</f>
        <v>4366.6785000000009</v>
      </c>
    </row>
    <row r="244" spans="1:22" x14ac:dyDescent="0.2">
      <c r="A244" t="s">
        <v>212</v>
      </c>
      <c r="B244">
        <f t="shared" si="41"/>
        <v>0</v>
      </c>
      <c r="C244">
        <f t="shared" si="41"/>
        <v>13803.9995</v>
      </c>
      <c r="D244">
        <f t="shared" si="41"/>
        <v>49139.421699999999</v>
      </c>
      <c r="E244">
        <f t="shared" si="41"/>
        <v>5671.2177000000001</v>
      </c>
      <c r="F244">
        <f t="shared" si="41"/>
        <v>68614.638899999991</v>
      </c>
      <c r="N244" t="s">
        <v>212</v>
      </c>
      <c r="O244" s="104">
        <v>0</v>
      </c>
      <c r="P244" s="104">
        <v>13803.9995</v>
      </c>
      <c r="Q244" s="104">
        <v>49139.421699999999</v>
      </c>
      <c r="R244" s="104">
        <v>5671.2177000000001</v>
      </c>
      <c r="S244" s="104">
        <f t="shared" si="42"/>
        <v>68614.638899999991</v>
      </c>
    </row>
    <row r="245" spans="1:22" x14ac:dyDescent="0.2">
      <c r="A245" t="s">
        <v>36</v>
      </c>
      <c r="B245">
        <f t="shared" si="41"/>
        <v>430.25069999999999</v>
      </c>
      <c r="C245">
        <f t="shared" si="41"/>
        <v>11798.4884</v>
      </c>
      <c r="D245">
        <f t="shared" si="41"/>
        <v>52511.149299999997</v>
      </c>
      <c r="E245">
        <f t="shared" si="41"/>
        <v>9249.4133999999995</v>
      </c>
      <c r="F245">
        <f t="shared" si="41"/>
        <v>73989.301800000001</v>
      </c>
      <c r="N245" t="s">
        <v>36</v>
      </c>
      <c r="O245" s="104">
        <v>430.25069999999999</v>
      </c>
      <c r="P245" s="104">
        <v>11798.4884</v>
      </c>
      <c r="Q245" s="104">
        <v>52511.149299999997</v>
      </c>
      <c r="R245" s="104">
        <v>9249.4133999999995</v>
      </c>
      <c r="S245" s="104">
        <f t="shared" si="42"/>
        <v>73989.301800000001</v>
      </c>
    </row>
    <row r="246" spans="1:22" x14ac:dyDescent="0.2">
      <c r="A246" t="s">
        <v>214</v>
      </c>
      <c r="B246">
        <f t="shared" si="41"/>
        <v>1355.1786</v>
      </c>
      <c r="C246">
        <f t="shared" si="41"/>
        <v>14845.4139</v>
      </c>
      <c r="D246">
        <f t="shared" si="41"/>
        <v>70061.812300000005</v>
      </c>
      <c r="E246">
        <f t="shared" si="41"/>
        <v>21821.172200000001</v>
      </c>
      <c r="F246">
        <f t="shared" si="41"/>
        <v>108083.577</v>
      </c>
      <c r="N246" t="s">
        <v>214</v>
      </c>
      <c r="O246" s="104">
        <v>1355.1786</v>
      </c>
      <c r="P246" s="104">
        <v>14845.4139</v>
      </c>
      <c r="Q246" s="104">
        <v>70061.812300000005</v>
      </c>
      <c r="R246" s="104">
        <v>21821.172200000001</v>
      </c>
      <c r="S246" s="104">
        <f t="shared" si="42"/>
        <v>108083.577</v>
      </c>
    </row>
    <row r="247" spans="1:22" x14ac:dyDescent="0.2">
      <c r="A247" t="s">
        <v>129</v>
      </c>
      <c r="B247">
        <f t="shared" si="41"/>
        <v>1647.4991</v>
      </c>
      <c r="C247">
        <f t="shared" si="41"/>
        <v>13718.872799999999</v>
      </c>
      <c r="D247">
        <f t="shared" si="41"/>
        <v>28184.2925</v>
      </c>
      <c r="E247">
        <f t="shared" si="41"/>
        <v>8298.9634000000005</v>
      </c>
      <c r="F247">
        <f t="shared" si="41"/>
        <v>51849.627799999995</v>
      </c>
      <c r="N247" t="s">
        <v>129</v>
      </c>
      <c r="O247" s="104">
        <v>1647.4991</v>
      </c>
      <c r="P247" s="104">
        <v>13718.872799999999</v>
      </c>
      <c r="Q247" s="104">
        <v>28184.2925</v>
      </c>
      <c r="R247" s="104">
        <v>8298.9634000000005</v>
      </c>
      <c r="S247" s="104">
        <f t="shared" si="42"/>
        <v>51849.627799999995</v>
      </c>
    </row>
    <row r="248" spans="1:22" x14ac:dyDescent="0.2">
      <c r="A248" t="s">
        <v>130</v>
      </c>
      <c r="B248">
        <f t="shared" si="41"/>
        <v>974.44029999999998</v>
      </c>
      <c r="C248">
        <f t="shared" si="41"/>
        <v>14110.696599999999</v>
      </c>
      <c r="D248">
        <f t="shared" si="41"/>
        <v>38761.112399999998</v>
      </c>
      <c r="E248">
        <f t="shared" si="41"/>
        <v>7954.5219999999999</v>
      </c>
      <c r="F248">
        <f t="shared" si="41"/>
        <v>61800.771299999993</v>
      </c>
      <c r="N248" t="s">
        <v>130</v>
      </c>
      <c r="O248" s="104">
        <v>974.44029999999998</v>
      </c>
      <c r="P248" s="104">
        <v>14110.696599999999</v>
      </c>
      <c r="Q248" s="104">
        <v>38761.112399999998</v>
      </c>
      <c r="R248" s="104">
        <v>7954.5219999999999</v>
      </c>
      <c r="S248" s="104">
        <f t="shared" si="42"/>
        <v>61800.771299999993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0</v>
      </c>
      <c r="G252">
        <f t="shared" si="43"/>
        <v>0</v>
      </c>
      <c r="H252">
        <f t="shared" ref="H252:I258" si="44">U252*$B$1</f>
        <v>0</v>
      </c>
      <c r="I252">
        <f t="shared" si="44"/>
        <v>26033.9434</v>
      </c>
      <c r="N252" t="s">
        <v>210</v>
      </c>
      <c r="O252" s="104">
        <v>6923.8131999999996</v>
      </c>
      <c r="P252" s="104">
        <v>1080.2171000000001</v>
      </c>
      <c r="Q252" s="104">
        <v>12381.686400000001</v>
      </c>
      <c r="R252" s="104">
        <v>5648.2267000000002</v>
      </c>
      <c r="S252" s="104">
        <v>0</v>
      </c>
      <c r="T252" s="104">
        <v>0</v>
      </c>
      <c r="U252" s="104">
        <v>0</v>
      </c>
      <c r="V252" s="104">
        <f>SUM(O252:U252)</f>
        <v>26033.9434</v>
      </c>
    </row>
    <row r="253" spans="1:22" x14ac:dyDescent="0.2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0</v>
      </c>
      <c r="G253">
        <f t="shared" ref="G253:G258" si="46">T253*$B$1</f>
        <v>0</v>
      </c>
      <c r="H253">
        <f t="shared" si="44"/>
        <v>0</v>
      </c>
      <c r="I253">
        <f t="shared" si="44"/>
        <v>4366.6785</v>
      </c>
      <c r="N253" t="s">
        <v>211</v>
      </c>
      <c r="O253" s="104">
        <v>1646.5905</v>
      </c>
      <c r="P253" s="104">
        <v>32.201999999999998</v>
      </c>
      <c r="Q253" s="104">
        <v>2191.0479</v>
      </c>
      <c r="R253" s="104">
        <v>496.8381</v>
      </c>
      <c r="S253" s="104">
        <v>0</v>
      </c>
      <c r="T253" s="104">
        <v>0</v>
      </c>
      <c r="U253" s="104">
        <v>0</v>
      </c>
      <c r="V253" s="104">
        <f t="shared" ref="V253:V258" si="47">SUM(O253:U253)</f>
        <v>4366.6785</v>
      </c>
    </row>
    <row r="254" spans="1:22" x14ac:dyDescent="0.2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0</v>
      </c>
      <c r="G254">
        <f t="shared" si="46"/>
        <v>0</v>
      </c>
      <c r="H254">
        <f t="shared" si="44"/>
        <v>0</v>
      </c>
      <c r="I254">
        <f t="shared" si="44"/>
        <v>68614.638900000005</v>
      </c>
      <c r="N254" t="s">
        <v>212</v>
      </c>
      <c r="O254" s="104">
        <v>30462.906999999999</v>
      </c>
      <c r="P254" s="104">
        <v>431.32029999999997</v>
      </c>
      <c r="Q254" s="104">
        <v>20026.817600000002</v>
      </c>
      <c r="R254" s="104">
        <v>17693.594000000001</v>
      </c>
      <c r="S254" s="104">
        <v>0</v>
      </c>
      <c r="T254" s="104">
        <v>0</v>
      </c>
      <c r="U254" s="104">
        <v>0</v>
      </c>
      <c r="V254" s="104">
        <f t="shared" si="47"/>
        <v>68614.638900000005</v>
      </c>
    </row>
    <row r="255" spans="1:22" x14ac:dyDescent="0.2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0</v>
      </c>
      <c r="G255">
        <f t="shared" si="46"/>
        <v>0</v>
      </c>
      <c r="H255">
        <f t="shared" si="44"/>
        <v>0</v>
      </c>
      <c r="I255">
        <f t="shared" si="44"/>
        <v>73989.301800000001</v>
      </c>
      <c r="N255" t="s">
        <v>36</v>
      </c>
      <c r="O255" s="104">
        <v>26310.457399999999</v>
      </c>
      <c r="P255" s="104">
        <v>1648.1524999999999</v>
      </c>
      <c r="Q255" s="104">
        <v>24141.128799999999</v>
      </c>
      <c r="R255" s="104">
        <v>21889.563099999999</v>
      </c>
      <c r="S255" s="104">
        <v>0</v>
      </c>
      <c r="T255" s="104">
        <v>0</v>
      </c>
      <c r="U255" s="104">
        <v>0</v>
      </c>
      <c r="V255" s="104">
        <f t="shared" si="47"/>
        <v>73989.301800000001</v>
      </c>
    </row>
    <row r="256" spans="1:22" x14ac:dyDescent="0.2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0</v>
      </c>
      <c r="G256">
        <f t="shared" si="46"/>
        <v>0</v>
      </c>
      <c r="H256">
        <f t="shared" si="44"/>
        <v>0</v>
      </c>
      <c r="I256">
        <f t="shared" si="44"/>
        <v>108083.577</v>
      </c>
      <c r="N256" t="s">
        <v>214</v>
      </c>
      <c r="O256" s="104">
        <v>38577.354899999998</v>
      </c>
      <c r="P256" s="104">
        <v>1723.5217</v>
      </c>
      <c r="Q256" s="104">
        <v>38740.460500000001</v>
      </c>
      <c r="R256" s="104">
        <v>29042.2399</v>
      </c>
      <c r="S256" s="104">
        <v>0</v>
      </c>
      <c r="T256" s="104">
        <v>0</v>
      </c>
      <c r="U256" s="104">
        <v>0</v>
      </c>
      <c r="V256" s="104">
        <f t="shared" si="47"/>
        <v>108083.577</v>
      </c>
    </row>
    <row r="257" spans="1:23" x14ac:dyDescent="0.2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0</v>
      </c>
      <c r="G257">
        <f t="shared" si="46"/>
        <v>0</v>
      </c>
      <c r="H257">
        <f t="shared" si="44"/>
        <v>0</v>
      </c>
      <c r="I257">
        <f t="shared" si="44"/>
        <v>51849.627800000002</v>
      </c>
      <c r="N257" t="s">
        <v>129</v>
      </c>
      <c r="O257" s="104">
        <v>15798.5699</v>
      </c>
      <c r="P257" s="104">
        <v>931.07539999999995</v>
      </c>
      <c r="Q257" s="104">
        <v>9291.6589000000004</v>
      </c>
      <c r="R257" s="104">
        <v>25828.3236</v>
      </c>
      <c r="S257" s="104">
        <v>0</v>
      </c>
      <c r="T257" s="104">
        <v>0</v>
      </c>
      <c r="U257" s="104">
        <v>0</v>
      </c>
      <c r="V257" s="104">
        <f t="shared" si="47"/>
        <v>51849.627800000002</v>
      </c>
    </row>
    <row r="258" spans="1:23" x14ac:dyDescent="0.2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0</v>
      </c>
      <c r="G258">
        <f t="shared" si="46"/>
        <v>0</v>
      </c>
      <c r="H258">
        <f t="shared" si="44"/>
        <v>0</v>
      </c>
      <c r="I258">
        <f t="shared" si="44"/>
        <v>61800.7713</v>
      </c>
      <c r="N258" t="s">
        <v>130</v>
      </c>
      <c r="O258" s="104">
        <v>21874.137500000001</v>
      </c>
      <c r="P258" s="104">
        <v>394.45179999999999</v>
      </c>
      <c r="Q258" s="104">
        <v>12859.3099</v>
      </c>
      <c r="R258" s="104">
        <v>26672.872100000001</v>
      </c>
      <c r="S258" s="104">
        <v>0</v>
      </c>
      <c r="T258" s="104">
        <v>0</v>
      </c>
      <c r="U258" s="104">
        <v>0</v>
      </c>
      <c r="V258" s="104">
        <f t="shared" si="47"/>
        <v>61800.7713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J269" si="48">O262*$B$1</f>
        <v>222459.6539918684</v>
      </c>
      <c r="C262">
        <f t="shared" si="48"/>
        <v>21095.591604953199</v>
      </c>
      <c r="D262">
        <f t="shared" si="48"/>
        <v>4262.2132344067004</v>
      </c>
      <c r="E262">
        <f t="shared" si="48"/>
        <v>3691.281996616</v>
      </c>
      <c r="F262">
        <f t="shared" si="48"/>
        <v>5013.1414350044997</v>
      </c>
      <c r="G262">
        <f t="shared" si="48"/>
        <v>910.45062499999995</v>
      </c>
      <c r="H262">
        <f t="shared" si="48"/>
        <v>1155.8622499999999</v>
      </c>
      <c r="I262">
        <f t="shared" si="48"/>
        <v>0</v>
      </c>
      <c r="J262">
        <f t="shared" si="48"/>
        <v>258588.19513784879</v>
      </c>
      <c r="N262" t="s">
        <v>210</v>
      </c>
      <c r="O262">
        <v>222459.6539918684</v>
      </c>
      <c r="P262">
        <v>21095.591604953199</v>
      </c>
      <c r="Q262">
        <v>4262.2132344067004</v>
      </c>
      <c r="R262">
        <v>3691.281996616</v>
      </c>
      <c r="S262">
        <v>5013.1414350044997</v>
      </c>
      <c r="T262">
        <v>910.45062499999995</v>
      </c>
      <c r="U262">
        <v>1155.8622499999999</v>
      </c>
      <c r="V262">
        <v>0</v>
      </c>
      <c r="W262">
        <f>SUM(O262:V262)</f>
        <v>258588.19513784879</v>
      </c>
    </row>
    <row r="263" spans="1:23" x14ac:dyDescent="0.2">
      <c r="A263" t="s">
        <v>211</v>
      </c>
      <c r="B263">
        <f t="shared" si="48"/>
        <v>4762.2635984796998</v>
      </c>
      <c r="C263">
        <f t="shared" si="48"/>
        <v>5216.7407591929996</v>
      </c>
      <c r="D263">
        <f t="shared" si="48"/>
        <v>539.18334384299999</v>
      </c>
      <c r="E263">
        <f t="shared" si="48"/>
        <v>4556.7887150310999</v>
      </c>
      <c r="F263">
        <f t="shared" si="48"/>
        <v>2976.939140641</v>
      </c>
      <c r="G263">
        <f t="shared" si="48"/>
        <v>9919.2882499999996</v>
      </c>
      <c r="H263">
        <f t="shared" si="48"/>
        <v>64473.029125000001</v>
      </c>
      <c r="I263">
        <f t="shared" si="48"/>
        <v>12002.025250000001</v>
      </c>
      <c r="J263">
        <f t="shared" si="48"/>
        <v>104446.2581821878</v>
      </c>
      <c r="N263" t="s">
        <v>211</v>
      </c>
      <c r="O263">
        <v>4762.2635984796998</v>
      </c>
      <c r="P263">
        <v>5216.7407591929996</v>
      </c>
      <c r="Q263">
        <v>539.18334384299999</v>
      </c>
      <c r="R263">
        <v>4556.7887150310999</v>
      </c>
      <c r="S263">
        <v>2976.939140641</v>
      </c>
      <c r="T263">
        <v>9919.2882499999996</v>
      </c>
      <c r="U263">
        <v>64473.029125000001</v>
      </c>
      <c r="V263">
        <v>12002.025250000001</v>
      </c>
      <c r="W263">
        <f t="shared" ref="W263:W269" si="49">SUM(O263:V263)</f>
        <v>104446.2581821878</v>
      </c>
    </row>
    <row r="264" spans="1:23" x14ac:dyDescent="0.2">
      <c r="A264" t="s">
        <v>212</v>
      </c>
      <c r="B264">
        <f t="shared" si="48"/>
        <v>73904.848366852399</v>
      </c>
      <c r="C264">
        <f t="shared" si="48"/>
        <v>18966.723626958501</v>
      </c>
      <c r="D264">
        <f t="shared" si="48"/>
        <v>10793.3421324675</v>
      </c>
      <c r="E264">
        <f t="shared" si="48"/>
        <v>55933.227418525101</v>
      </c>
      <c r="F264">
        <f t="shared" si="48"/>
        <v>3521.7752881873002</v>
      </c>
      <c r="G264">
        <f t="shared" si="48"/>
        <v>1546.129625</v>
      </c>
      <c r="H264">
        <f t="shared" si="48"/>
        <v>12310.655000000001</v>
      </c>
      <c r="I264">
        <f t="shared" si="48"/>
        <v>8570.1730000000007</v>
      </c>
      <c r="J264">
        <f t="shared" ref="J264:J269" si="50">W264*$B$1</f>
        <v>185546.87445799081</v>
      </c>
      <c r="N264" t="s">
        <v>212</v>
      </c>
      <c r="O264">
        <v>73904.848366852399</v>
      </c>
      <c r="P264">
        <v>18966.723626958501</v>
      </c>
      <c r="Q264">
        <v>10793.3421324675</v>
      </c>
      <c r="R264">
        <v>55933.227418525101</v>
      </c>
      <c r="S264">
        <v>3521.7752881873002</v>
      </c>
      <c r="T264">
        <v>1546.129625</v>
      </c>
      <c r="U264">
        <v>12310.655000000001</v>
      </c>
      <c r="V264">
        <v>8570.1730000000007</v>
      </c>
      <c r="W264">
        <f t="shared" si="49"/>
        <v>185546.87445799081</v>
      </c>
    </row>
    <row r="265" spans="1:23" x14ac:dyDescent="0.2">
      <c r="A265" t="s">
        <v>36</v>
      </c>
      <c r="B265">
        <f t="shared" si="48"/>
        <v>52427.481449741899</v>
      </c>
      <c r="C265">
        <f t="shared" si="48"/>
        <v>16071.570118837999</v>
      </c>
      <c r="D265">
        <f t="shared" si="48"/>
        <v>25923.459218489799</v>
      </c>
      <c r="E265">
        <f t="shared" si="48"/>
        <v>36783.353656293999</v>
      </c>
      <c r="F265">
        <f t="shared" si="48"/>
        <v>2293.6967550852</v>
      </c>
      <c r="G265">
        <f t="shared" si="48"/>
        <v>2136.6013750000002</v>
      </c>
      <c r="H265">
        <f t="shared" si="48"/>
        <v>20881.480749999999</v>
      </c>
      <c r="I265">
        <f t="shared" si="48"/>
        <v>16600.945</v>
      </c>
      <c r="J265">
        <f t="shared" si="50"/>
        <v>173118.5883234489</v>
      </c>
      <c r="N265" t="s">
        <v>36</v>
      </c>
      <c r="O265">
        <v>52427.481449741899</v>
      </c>
      <c r="P265">
        <v>16071.570118837999</v>
      </c>
      <c r="Q265">
        <v>25923.459218489799</v>
      </c>
      <c r="R265">
        <v>36783.353656293999</v>
      </c>
      <c r="S265">
        <v>2293.6967550852</v>
      </c>
      <c r="T265">
        <v>2136.6013750000002</v>
      </c>
      <c r="U265">
        <v>20881.480749999999</v>
      </c>
      <c r="V265">
        <v>16600.945</v>
      </c>
      <c r="W265">
        <f t="shared" si="49"/>
        <v>173118.5883234489</v>
      </c>
    </row>
    <row r="266" spans="1:23" x14ac:dyDescent="0.2">
      <c r="A266" t="s">
        <v>214</v>
      </c>
      <c r="B266">
        <f t="shared" si="48"/>
        <v>69550.770272049398</v>
      </c>
      <c r="C266">
        <f t="shared" si="48"/>
        <v>24068.545402951499</v>
      </c>
      <c r="D266">
        <f t="shared" si="48"/>
        <v>34382.476091263001</v>
      </c>
      <c r="E266">
        <f t="shared" si="48"/>
        <v>39915.872425074704</v>
      </c>
      <c r="F266">
        <f t="shared" si="48"/>
        <v>4432.0347819372</v>
      </c>
      <c r="G266">
        <f t="shared" si="48"/>
        <v>783.32687499999997</v>
      </c>
      <c r="H266">
        <f t="shared" si="48"/>
        <v>9411.1462499999998</v>
      </c>
      <c r="I266">
        <f t="shared" si="48"/>
        <v>11746.9935</v>
      </c>
      <c r="J266">
        <f t="shared" si="50"/>
        <v>194291.16559827578</v>
      </c>
      <c r="N266" t="s">
        <v>214</v>
      </c>
      <c r="O266">
        <v>69550.770272049398</v>
      </c>
      <c r="P266">
        <v>24068.545402951499</v>
      </c>
      <c r="Q266">
        <v>34382.476091263001</v>
      </c>
      <c r="R266">
        <v>39915.872425074704</v>
      </c>
      <c r="S266">
        <v>4432.0347819372</v>
      </c>
      <c r="T266">
        <v>783.32687499999997</v>
      </c>
      <c r="U266">
        <v>9411.1462499999998</v>
      </c>
      <c r="V266">
        <v>11746.9935</v>
      </c>
      <c r="W266">
        <f t="shared" si="49"/>
        <v>194291.16559827578</v>
      </c>
    </row>
    <row r="267" spans="1:23" x14ac:dyDescent="0.2">
      <c r="A267" t="s">
        <v>129</v>
      </c>
      <c r="B267">
        <f t="shared" si="48"/>
        <v>33578.298337313703</v>
      </c>
      <c r="C267">
        <f t="shared" si="48"/>
        <v>11615.526058432</v>
      </c>
      <c r="D267">
        <f t="shared" si="48"/>
        <v>13571.484875664799</v>
      </c>
      <c r="E267">
        <f t="shared" si="48"/>
        <v>22288.863303090002</v>
      </c>
      <c r="F267">
        <f t="shared" si="48"/>
        <v>1612.4960358570002</v>
      </c>
      <c r="G267">
        <f t="shared" si="48"/>
        <v>2837.3490000000002</v>
      </c>
      <c r="H267">
        <f t="shared" si="48"/>
        <v>6062.0427500000005</v>
      </c>
      <c r="I267">
        <f t="shared" si="48"/>
        <v>1899.57025</v>
      </c>
      <c r="J267">
        <f t="shared" si="50"/>
        <v>93465.63061035749</v>
      </c>
      <c r="N267" t="s">
        <v>129</v>
      </c>
      <c r="O267">
        <v>33578.298337313703</v>
      </c>
      <c r="P267">
        <v>11615.526058432</v>
      </c>
      <c r="Q267">
        <v>13571.484875664799</v>
      </c>
      <c r="R267">
        <v>22288.863303090002</v>
      </c>
      <c r="S267">
        <v>1612.4960358570002</v>
      </c>
      <c r="T267">
        <v>2837.3490000000002</v>
      </c>
      <c r="U267">
        <v>6062.0427500000005</v>
      </c>
      <c r="V267">
        <v>1899.57025</v>
      </c>
      <c r="W267">
        <f t="shared" si="49"/>
        <v>93465.63061035749</v>
      </c>
    </row>
    <row r="268" spans="1:23" x14ac:dyDescent="0.2">
      <c r="A268" t="s">
        <v>130</v>
      </c>
      <c r="B268">
        <f t="shared" si="48"/>
        <v>59836.600830153198</v>
      </c>
      <c r="C268">
        <f t="shared" si="48"/>
        <v>14274.0051989821</v>
      </c>
      <c r="D268">
        <f t="shared" si="48"/>
        <v>20550.8776516777</v>
      </c>
      <c r="E268">
        <f t="shared" si="48"/>
        <v>57574.844504085901</v>
      </c>
      <c r="F268">
        <f t="shared" si="48"/>
        <v>3563.2735130277997</v>
      </c>
      <c r="G268">
        <f t="shared" si="48"/>
        <v>3494.32575</v>
      </c>
      <c r="H268">
        <f t="shared" si="48"/>
        <v>27179.500375</v>
      </c>
      <c r="I268">
        <f t="shared" si="48"/>
        <v>12245.325500000001</v>
      </c>
      <c r="J268">
        <f t="shared" si="50"/>
        <v>198718.75332292667</v>
      </c>
      <c r="N268" t="s">
        <v>130</v>
      </c>
      <c r="O268">
        <v>59836.600830153198</v>
      </c>
      <c r="P268">
        <v>14274.0051989821</v>
      </c>
      <c r="Q268">
        <v>20550.8776516777</v>
      </c>
      <c r="R268">
        <v>57574.844504085901</v>
      </c>
      <c r="S268">
        <v>3563.2735130277997</v>
      </c>
      <c r="T268">
        <v>3494.32575</v>
      </c>
      <c r="U268">
        <v>27179.500375</v>
      </c>
      <c r="V268">
        <v>12245.325500000001</v>
      </c>
      <c r="W268">
        <f t="shared" si="49"/>
        <v>198718.75332292667</v>
      </c>
    </row>
    <row r="269" spans="1:23" x14ac:dyDescent="0.2">
      <c r="A269" t="s">
        <v>145</v>
      </c>
      <c r="B269">
        <f t="shared" si="48"/>
        <v>272751.8650399287</v>
      </c>
      <c r="C269">
        <f t="shared" si="48"/>
        <v>60258.750470361403</v>
      </c>
      <c r="D269">
        <f t="shared" si="48"/>
        <v>58013.143755494901</v>
      </c>
      <c r="E269">
        <f t="shared" si="48"/>
        <v>129356.4642166064</v>
      </c>
      <c r="F269">
        <f t="shared" si="48"/>
        <v>11942.805886510499</v>
      </c>
      <c r="G269">
        <f t="shared" si="48"/>
        <v>12439.88875</v>
      </c>
      <c r="H269">
        <f t="shared" si="48"/>
        <v>103357.25412499999</v>
      </c>
      <c r="I269">
        <f t="shared" si="48"/>
        <v>46090.053124999999</v>
      </c>
      <c r="J269">
        <f t="shared" si="50"/>
        <v>694210.22536890185</v>
      </c>
      <c r="N269" t="s">
        <v>145</v>
      </c>
      <c r="O269">
        <v>272751.8650399287</v>
      </c>
      <c r="P269">
        <v>60258.750470361403</v>
      </c>
      <c r="Q269">
        <v>58013.143755494901</v>
      </c>
      <c r="R269">
        <v>129356.4642166064</v>
      </c>
      <c r="S269">
        <v>11942.805886510499</v>
      </c>
      <c r="T269">
        <v>12439.88875</v>
      </c>
      <c r="U269">
        <v>103357.25412499999</v>
      </c>
      <c r="V269">
        <v>46090.053124999999</v>
      </c>
      <c r="W269">
        <f t="shared" si="49"/>
        <v>694210.22536890185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F280" si="51">O273*$B$1</f>
        <v>4056.6130490569999</v>
      </c>
      <c r="C273">
        <f t="shared" si="51"/>
        <v>33421.766321018302</v>
      </c>
      <c r="D273">
        <f t="shared" si="51"/>
        <v>33111.255040896001</v>
      </c>
      <c r="E273">
        <f t="shared" si="51"/>
        <v>168611.42000420319</v>
      </c>
      <c r="F273">
        <f t="shared" si="51"/>
        <v>239201.0544151745</v>
      </c>
      <c r="N273" t="s">
        <v>210</v>
      </c>
      <c r="O273">
        <v>4056.6130490569999</v>
      </c>
      <c r="P273">
        <v>33421.766321018302</v>
      </c>
      <c r="Q273">
        <v>33111.255040896001</v>
      </c>
      <c r="R273">
        <v>168611.42000420319</v>
      </c>
      <c r="S273">
        <f>SUM(O273:R273)</f>
        <v>239201.0544151745</v>
      </c>
    </row>
    <row r="274" spans="1:19" x14ac:dyDescent="0.2">
      <c r="A274" t="s">
        <v>211</v>
      </c>
      <c r="B274">
        <f t="shared" si="51"/>
        <v>902.36287500000003</v>
      </c>
      <c r="C274">
        <f t="shared" si="51"/>
        <v>7691.6144966009997</v>
      </c>
      <c r="D274">
        <f t="shared" si="51"/>
        <v>1895.9633313979998</v>
      </c>
      <c r="E274">
        <f t="shared" si="51"/>
        <v>80766.340710731107</v>
      </c>
      <c r="F274">
        <f t="shared" si="51"/>
        <v>91256.281413730103</v>
      </c>
      <c r="N274" t="s">
        <v>211</v>
      </c>
      <c r="O274">
        <v>902.36287500000003</v>
      </c>
      <c r="P274">
        <v>7691.6144966009997</v>
      </c>
      <c r="Q274">
        <v>1895.9633313979998</v>
      </c>
      <c r="R274">
        <v>80766.340710731107</v>
      </c>
      <c r="S274">
        <f t="shared" ref="S274:S280" si="52">SUM(O274:R274)</f>
        <v>91256.281413730103</v>
      </c>
    </row>
    <row r="275" spans="1:19" x14ac:dyDescent="0.2">
      <c r="A275" t="s">
        <v>212</v>
      </c>
      <c r="B275">
        <f t="shared" si="51"/>
        <v>1979.3667564340001</v>
      </c>
      <c r="C275">
        <f t="shared" si="51"/>
        <v>12605.371425130299</v>
      </c>
      <c r="D275">
        <f t="shared" si="51"/>
        <v>8727.4489151159996</v>
      </c>
      <c r="E275">
        <f t="shared" si="51"/>
        <v>146629.7958699821</v>
      </c>
      <c r="F275">
        <f t="shared" si="51"/>
        <v>169941.98296666238</v>
      </c>
      <c r="N275" t="s">
        <v>212</v>
      </c>
      <c r="O275">
        <v>1979.3667564340001</v>
      </c>
      <c r="P275">
        <v>12605.371425130299</v>
      </c>
      <c r="Q275">
        <v>8727.4489151159996</v>
      </c>
      <c r="R275">
        <v>146629.7958699821</v>
      </c>
      <c r="S275">
        <f t="shared" si="52"/>
        <v>169941.98296666238</v>
      </c>
    </row>
    <row r="276" spans="1:19" x14ac:dyDescent="0.2">
      <c r="A276" t="s">
        <v>36</v>
      </c>
      <c r="B276">
        <f t="shared" si="51"/>
        <v>7107.8167449479997</v>
      </c>
      <c r="C276">
        <f t="shared" si="51"/>
        <v>26562.956096206799</v>
      </c>
      <c r="D276">
        <f t="shared" si="51"/>
        <v>16904.061974398799</v>
      </c>
      <c r="E276">
        <f t="shared" si="51"/>
        <v>105250.15054971181</v>
      </c>
      <c r="F276">
        <f t="shared" si="51"/>
        <v>155824.9853652654</v>
      </c>
      <c r="N276" t="s">
        <v>36</v>
      </c>
      <c r="O276">
        <v>7107.8167449479997</v>
      </c>
      <c r="P276">
        <v>26562.956096206799</v>
      </c>
      <c r="Q276">
        <v>16904.061974398799</v>
      </c>
      <c r="R276">
        <v>105250.15054971181</v>
      </c>
      <c r="S276">
        <f t="shared" si="52"/>
        <v>155824.9853652654</v>
      </c>
    </row>
    <row r="277" spans="1:19" x14ac:dyDescent="0.2">
      <c r="A277" t="s">
        <v>214</v>
      </c>
      <c r="B277">
        <f t="shared" si="51"/>
        <v>812.85068615699993</v>
      </c>
      <c r="C277">
        <f t="shared" si="51"/>
        <v>28072.929428977</v>
      </c>
      <c r="D277">
        <f t="shared" si="51"/>
        <v>18905.218059401999</v>
      </c>
      <c r="E277">
        <f t="shared" si="51"/>
        <v>127453.5541503406</v>
      </c>
      <c r="F277">
        <f t="shared" si="51"/>
        <v>175244.5523248766</v>
      </c>
      <c r="N277" t="s">
        <v>214</v>
      </c>
      <c r="O277">
        <v>812.85068615699993</v>
      </c>
      <c r="P277">
        <v>28072.929428977</v>
      </c>
      <c r="Q277">
        <v>18905.218059401999</v>
      </c>
      <c r="R277">
        <v>127453.5541503406</v>
      </c>
      <c r="S277">
        <f t="shared" si="52"/>
        <v>175244.5523248766</v>
      </c>
    </row>
    <row r="278" spans="1:19" x14ac:dyDescent="0.2">
      <c r="A278" t="s">
        <v>129</v>
      </c>
      <c r="B278">
        <f t="shared" si="51"/>
        <v>656.80913232400007</v>
      </c>
      <c r="C278">
        <f t="shared" si="51"/>
        <v>15730.467727122799</v>
      </c>
      <c r="D278">
        <f t="shared" si="51"/>
        <v>11667.603226139001</v>
      </c>
      <c r="E278">
        <f t="shared" si="51"/>
        <v>57259.557498024704</v>
      </c>
      <c r="F278">
        <f t="shared" si="51"/>
        <v>85314.437583610503</v>
      </c>
      <c r="N278" t="s">
        <v>129</v>
      </c>
      <c r="O278">
        <v>656.80913232400007</v>
      </c>
      <c r="P278">
        <v>15730.467727122799</v>
      </c>
      <c r="Q278">
        <v>11667.603226139001</v>
      </c>
      <c r="R278">
        <v>57259.557498024704</v>
      </c>
      <c r="S278">
        <f t="shared" si="52"/>
        <v>85314.437583610503</v>
      </c>
    </row>
    <row r="279" spans="1:19" x14ac:dyDescent="0.2">
      <c r="A279" t="s">
        <v>130</v>
      </c>
      <c r="B279">
        <f t="shared" si="51"/>
        <v>2486.8713270349999</v>
      </c>
      <c r="C279">
        <f t="shared" si="51"/>
        <v>30123.113023219001</v>
      </c>
      <c r="D279">
        <f t="shared" si="51"/>
        <v>24013.605602246</v>
      </c>
      <c r="E279">
        <f t="shared" si="51"/>
        <v>126198.6021975347</v>
      </c>
      <c r="F279">
        <f t="shared" si="51"/>
        <v>182822.19215003471</v>
      </c>
      <c r="N279" t="s">
        <v>130</v>
      </c>
      <c r="O279">
        <v>2486.8713270349999</v>
      </c>
      <c r="P279">
        <v>30123.113023219001</v>
      </c>
      <c r="Q279">
        <v>24013.605602246</v>
      </c>
      <c r="R279">
        <v>126198.6021975347</v>
      </c>
      <c r="S279">
        <f t="shared" si="52"/>
        <v>182822.19215003471</v>
      </c>
    </row>
    <row r="280" spans="1:19" x14ac:dyDescent="0.2">
      <c r="A280" t="s">
        <v>145</v>
      </c>
      <c r="B280">
        <f t="shared" si="51"/>
        <v>15453.625498913001</v>
      </c>
      <c r="C280">
        <f t="shared" si="51"/>
        <v>91781.825671104598</v>
      </c>
      <c r="D280">
        <f t="shared" si="51"/>
        <v>60923.8602774748</v>
      </c>
      <c r="E280">
        <f t="shared" si="51"/>
        <v>466146.65990879288</v>
      </c>
      <c r="F280">
        <f t="shared" si="51"/>
        <v>634305.97135628527</v>
      </c>
      <c r="N280" t="s">
        <v>145</v>
      </c>
      <c r="O280">
        <v>15453.625498913001</v>
      </c>
      <c r="P280">
        <v>91781.825671104598</v>
      </c>
      <c r="Q280">
        <v>60923.8602774748</v>
      </c>
      <c r="R280">
        <v>466146.65990879288</v>
      </c>
      <c r="S280">
        <f t="shared" si="52"/>
        <v>634305.97135628527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F291" si="53">O284*$B$1</f>
        <v>10553.790665005999</v>
      </c>
      <c r="C284">
        <f t="shared" si="53"/>
        <v>42192.430351161798</v>
      </c>
      <c r="D284">
        <f t="shared" si="53"/>
        <v>151134.99859535421</v>
      </c>
      <c r="E284">
        <f t="shared" si="53"/>
        <v>54706.975526326802</v>
      </c>
      <c r="F284">
        <f t="shared" si="53"/>
        <v>258588.19513784879</v>
      </c>
      <c r="N284" t="s">
        <v>210</v>
      </c>
      <c r="O284">
        <v>10553.790665005999</v>
      </c>
      <c r="P284">
        <v>42192.430351161798</v>
      </c>
      <c r="Q284">
        <v>151134.99859535421</v>
      </c>
      <c r="R284">
        <v>54706.975526326802</v>
      </c>
      <c r="S284">
        <f>SUM(O284:R284)</f>
        <v>258588.19513784879</v>
      </c>
    </row>
    <row r="285" spans="1:19" x14ac:dyDescent="0.2">
      <c r="A285" t="s">
        <v>211</v>
      </c>
      <c r="B285">
        <f t="shared" si="53"/>
        <v>1754.672093486</v>
      </c>
      <c r="C285">
        <f t="shared" si="53"/>
        <v>11720.9181038641</v>
      </c>
      <c r="D285">
        <f t="shared" si="53"/>
        <v>73019.084001247698</v>
      </c>
      <c r="E285">
        <f t="shared" si="53"/>
        <v>17951.583983590001</v>
      </c>
      <c r="F285">
        <f t="shared" si="53"/>
        <v>104446.2581821878</v>
      </c>
      <c r="N285" t="s">
        <v>211</v>
      </c>
      <c r="O285">
        <v>1754.672093486</v>
      </c>
      <c r="P285">
        <v>11720.9181038641</v>
      </c>
      <c r="Q285">
        <v>73019.084001247698</v>
      </c>
      <c r="R285">
        <v>17951.583983590001</v>
      </c>
      <c r="S285">
        <f t="shared" ref="S285:S291" si="54">SUM(O285:R285)</f>
        <v>104446.2581821878</v>
      </c>
    </row>
    <row r="286" spans="1:19" x14ac:dyDescent="0.2">
      <c r="A286" t="s">
        <v>212</v>
      </c>
      <c r="B286">
        <f t="shared" si="53"/>
        <v>0</v>
      </c>
      <c r="C286">
        <f t="shared" si="53"/>
        <v>35604.6797673619</v>
      </c>
      <c r="D286">
        <f t="shared" si="53"/>
        <v>124659.2605217739</v>
      </c>
      <c r="E286">
        <f t="shared" si="53"/>
        <v>25282.934168855001</v>
      </c>
      <c r="F286">
        <f t="shared" si="53"/>
        <v>185546.87445799078</v>
      </c>
      <c r="N286" t="s">
        <v>212</v>
      </c>
      <c r="O286">
        <v>0</v>
      </c>
      <c r="P286">
        <v>35604.6797673619</v>
      </c>
      <c r="Q286">
        <v>124659.2605217739</v>
      </c>
      <c r="R286">
        <v>25282.934168855001</v>
      </c>
      <c r="S286">
        <f t="shared" si="54"/>
        <v>185546.87445799078</v>
      </c>
    </row>
    <row r="287" spans="1:19" x14ac:dyDescent="0.2">
      <c r="A287" t="s">
        <v>36</v>
      </c>
      <c r="B287">
        <f t="shared" si="53"/>
        <v>6641.726588943</v>
      </c>
      <c r="C287">
        <f t="shared" si="53"/>
        <v>30213.194763772699</v>
      </c>
      <c r="D287">
        <f t="shared" si="53"/>
        <v>115023.8407213566</v>
      </c>
      <c r="E287">
        <f t="shared" si="53"/>
        <v>21239.826249376601</v>
      </c>
      <c r="F287">
        <f t="shared" si="53"/>
        <v>173118.5883234489</v>
      </c>
      <c r="N287" t="s">
        <v>36</v>
      </c>
      <c r="O287">
        <v>6641.726588943</v>
      </c>
      <c r="P287">
        <v>30213.194763772699</v>
      </c>
      <c r="Q287">
        <v>115023.8407213566</v>
      </c>
      <c r="R287">
        <v>21239.826249376601</v>
      </c>
      <c r="S287">
        <f t="shared" si="54"/>
        <v>173118.5883234489</v>
      </c>
    </row>
    <row r="288" spans="1:19" x14ac:dyDescent="0.2">
      <c r="A288" t="s">
        <v>214</v>
      </c>
      <c r="B288">
        <f t="shared" si="53"/>
        <v>4977.5796518239995</v>
      </c>
      <c r="C288">
        <f t="shared" si="53"/>
        <v>34569.891015552603</v>
      </c>
      <c r="D288">
        <f t="shared" si="53"/>
        <v>117422.16724974519</v>
      </c>
      <c r="E288">
        <f t="shared" si="53"/>
        <v>37321.527681154002</v>
      </c>
      <c r="F288">
        <f t="shared" si="53"/>
        <v>194291.16559827581</v>
      </c>
      <c r="N288" t="s">
        <v>214</v>
      </c>
      <c r="O288">
        <v>4977.5796518239995</v>
      </c>
      <c r="P288">
        <v>34569.891015552603</v>
      </c>
      <c r="Q288">
        <v>117422.16724974519</v>
      </c>
      <c r="R288">
        <v>37321.527681154002</v>
      </c>
      <c r="S288">
        <f t="shared" si="54"/>
        <v>194291.16559827581</v>
      </c>
    </row>
    <row r="289" spans="1:22" x14ac:dyDescent="0.2">
      <c r="A289" t="s">
        <v>129</v>
      </c>
      <c r="B289">
        <f t="shared" si="53"/>
        <v>3139.1744906270001</v>
      </c>
      <c r="C289">
        <f t="shared" si="53"/>
        <v>22424.030206168401</v>
      </c>
      <c r="D289">
        <f t="shared" si="53"/>
        <v>49026.580368994102</v>
      </c>
      <c r="E289">
        <f t="shared" si="53"/>
        <v>18875.845544568001</v>
      </c>
      <c r="F289">
        <f t="shared" si="53"/>
        <v>93465.630610357504</v>
      </c>
      <c r="N289" t="s">
        <v>129</v>
      </c>
      <c r="O289">
        <v>3139.1744906270001</v>
      </c>
      <c r="P289">
        <v>22424.030206168401</v>
      </c>
      <c r="Q289">
        <v>49026.580368994102</v>
      </c>
      <c r="R289">
        <v>18875.845544568001</v>
      </c>
      <c r="S289">
        <f t="shared" si="54"/>
        <v>93465.630610357504</v>
      </c>
    </row>
    <row r="290" spans="1:22" x14ac:dyDescent="0.2">
      <c r="A290" t="s">
        <v>130</v>
      </c>
      <c r="B290">
        <f t="shared" si="53"/>
        <v>2245.148664934</v>
      </c>
      <c r="C290">
        <f t="shared" si="53"/>
        <v>45612.456196528197</v>
      </c>
      <c r="D290">
        <f t="shared" si="53"/>
        <v>128333.9603383769</v>
      </c>
      <c r="E290">
        <f t="shared" si="53"/>
        <v>22527.188123087599</v>
      </c>
      <c r="F290">
        <f t="shared" si="53"/>
        <v>198718.7533229267</v>
      </c>
      <c r="N290" t="s">
        <v>130</v>
      </c>
      <c r="O290">
        <v>2245.148664934</v>
      </c>
      <c r="P290">
        <v>45612.456196528197</v>
      </c>
      <c r="Q290">
        <v>128333.9603383769</v>
      </c>
      <c r="R290">
        <v>22527.188123087599</v>
      </c>
      <c r="S290">
        <f t="shared" si="54"/>
        <v>198718.7533229267</v>
      </c>
    </row>
    <row r="291" spans="1:22" x14ac:dyDescent="0.2">
      <c r="A291" t="s">
        <v>145</v>
      </c>
      <c r="B291">
        <f t="shared" si="53"/>
        <v>20473.661384963001</v>
      </c>
      <c r="C291">
        <f t="shared" si="53"/>
        <v>124527.7270181772</v>
      </c>
      <c r="D291">
        <f t="shared" si="53"/>
        <v>425624.11085618747</v>
      </c>
      <c r="E291">
        <f t="shared" si="53"/>
        <v>123584.7261095742</v>
      </c>
      <c r="F291">
        <f t="shared" si="53"/>
        <v>694210.22536890185</v>
      </c>
      <c r="N291" t="s">
        <v>145</v>
      </c>
      <c r="O291">
        <v>20473.661384963001</v>
      </c>
      <c r="P291">
        <v>124527.7270181772</v>
      </c>
      <c r="Q291">
        <v>425624.11085618747</v>
      </c>
      <c r="R291">
        <v>123584.7261095742</v>
      </c>
      <c r="S291">
        <f t="shared" si="54"/>
        <v>694210.22536890185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55">O295*$B$1</f>
        <v>85176.614164515006</v>
      </c>
      <c r="C295">
        <f t="shared" si="55"/>
        <v>11761.8780538639</v>
      </c>
      <c r="D295">
        <f t="shared" si="55"/>
        <v>70050.983496302797</v>
      </c>
      <c r="E295">
        <f t="shared" si="55"/>
        <v>52038.316487796103</v>
      </c>
      <c r="F295">
        <f t="shared" si="55"/>
        <v>18536.085534360598</v>
      </c>
      <c r="G295">
        <f t="shared" ref="G295:G302" si="56">T295*$B$1</f>
        <v>3086.2264860158998</v>
      </c>
      <c r="H295">
        <f t="shared" ref="H295:I302" si="57">U295*$B$1</f>
        <v>17938.0909149945</v>
      </c>
      <c r="I295">
        <f t="shared" si="57"/>
        <v>258588.19513784882</v>
      </c>
      <c r="N295" t="s">
        <v>210</v>
      </c>
      <c r="O295">
        <v>85176.614164515006</v>
      </c>
      <c r="P295">
        <v>11761.8780538639</v>
      </c>
      <c r="Q295">
        <v>70050.983496302797</v>
      </c>
      <c r="R295">
        <v>52038.316487796103</v>
      </c>
      <c r="S295">
        <v>18536.085534360598</v>
      </c>
      <c r="T295">
        <v>3086.2264860158998</v>
      </c>
      <c r="U295">
        <v>17938.0909149945</v>
      </c>
      <c r="V295">
        <f>SUM(O295:U295)</f>
        <v>258588.19513784882</v>
      </c>
    </row>
    <row r="296" spans="1:22" x14ac:dyDescent="0.2">
      <c r="A296" t="s">
        <v>211</v>
      </c>
      <c r="B296">
        <f t="shared" si="55"/>
        <v>37889.520256315103</v>
      </c>
      <c r="C296">
        <f t="shared" si="55"/>
        <v>1117.9443582056999</v>
      </c>
      <c r="D296">
        <f t="shared" si="55"/>
        <v>30251.589962541999</v>
      </c>
      <c r="E296">
        <f t="shared" si="55"/>
        <v>33793.420683390003</v>
      </c>
      <c r="F296">
        <f t="shared" si="55"/>
        <v>781.92279673500002</v>
      </c>
      <c r="G296">
        <f t="shared" si="56"/>
        <v>607.26637500000004</v>
      </c>
      <c r="H296">
        <f t="shared" si="57"/>
        <v>4.59375</v>
      </c>
      <c r="I296">
        <f t="shared" si="57"/>
        <v>104446.25818218781</v>
      </c>
      <c r="N296" t="s">
        <v>211</v>
      </c>
      <c r="O296">
        <v>37889.520256315103</v>
      </c>
      <c r="P296">
        <v>1117.9443582056999</v>
      </c>
      <c r="Q296">
        <v>30251.589962541999</v>
      </c>
      <c r="R296">
        <v>33793.420683390003</v>
      </c>
      <c r="S296">
        <v>781.92279673500002</v>
      </c>
      <c r="T296">
        <v>607.26637500000004</v>
      </c>
      <c r="U296">
        <v>4.59375</v>
      </c>
      <c r="V296">
        <f t="shared" ref="V296:V302" si="58">SUM(O296:U296)</f>
        <v>104446.25818218781</v>
      </c>
    </row>
    <row r="297" spans="1:22" x14ac:dyDescent="0.2">
      <c r="A297" t="s">
        <v>212</v>
      </c>
      <c r="B297">
        <f t="shared" si="55"/>
        <v>62252.711339732901</v>
      </c>
      <c r="C297">
        <f t="shared" si="55"/>
        <v>6059.3848045508003</v>
      </c>
      <c r="D297">
        <f t="shared" si="55"/>
        <v>47644.131865424999</v>
      </c>
      <c r="E297">
        <f t="shared" si="55"/>
        <v>48567.587609926901</v>
      </c>
      <c r="F297">
        <f t="shared" si="55"/>
        <v>4235.543112585</v>
      </c>
      <c r="G297">
        <f t="shared" si="56"/>
        <v>9273.3096037979994</v>
      </c>
      <c r="H297">
        <f t="shared" si="57"/>
        <v>7514.2061219722</v>
      </c>
      <c r="I297">
        <f t="shared" si="57"/>
        <v>185546.87445799081</v>
      </c>
      <c r="N297" t="s">
        <v>212</v>
      </c>
      <c r="O297">
        <v>62252.711339732901</v>
      </c>
      <c r="P297">
        <v>6059.3848045508003</v>
      </c>
      <c r="Q297">
        <v>47644.131865424999</v>
      </c>
      <c r="R297">
        <v>48567.587609926901</v>
      </c>
      <c r="S297">
        <v>4235.543112585</v>
      </c>
      <c r="T297">
        <v>9273.3096037979994</v>
      </c>
      <c r="U297">
        <v>7514.2061219722</v>
      </c>
      <c r="V297">
        <f t="shared" si="58"/>
        <v>185546.87445799081</v>
      </c>
    </row>
    <row r="298" spans="1:22" x14ac:dyDescent="0.2">
      <c r="A298" t="s">
        <v>36</v>
      </c>
      <c r="B298">
        <f t="shared" si="55"/>
        <v>47551.285478452402</v>
      </c>
      <c r="C298">
        <f t="shared" si="55"/>
        <v>7012.3430352566002</v>
      </c>
      <c r="D298">
        <f t="shared" si="55"/>
        <v>51649.2425579423</v>
      </c>
      <c r="E298">
        <f t="shared" si="55"/>
        <v>47587.570026329602</v>
      </c>
      <c r="F298">
        <f t="shared" si="55"/>
        <v>7915.1345541780001</v>
      </c>
      <c r="G298">
        <f t="shared" si="56"/>
        <v>2884.8691990490001</v>
      </c>
      <c r="H298">
        <f t="shared" si="57"/>
        <v>8518.1434722409995</v>
      </c>
      <c r="I298">
        <f t="shared" si="57"/>
        <v>173118.58832344887</v>
      </c>
      <c r="N298" t="s">
        <v>36</v>
      </c>
      <c r="O298">
        <v>47551.285478452402</v>
      </c>
      <c r="P298">
        <v>7012.3430352566002</v>
      </c>
      <c r="Q298">
        <v>51649.2425579423</v>
      </c>
      <c r="R298">
        <v>47587.570026329602</v>
      </c>
      <c r="S298">
        <v>7915.1345541780001</v>
      </c>
      <c r="T298">
        <v>2884.8691990490001</v>
      </c>
      <c r="U298">
        <v>8518.1434722409995</v>
      </c>
      <c r="V298">
        <f t="shared" si="58"/>
        <v>173118.58832344887</v>
      </c>
    </row>
    <row r="299" spans="1:22" x14ac:dyDescent="0.2">
      <c r="A299" t="s">
        <v>214</v>
      </c>
      <c r="B299">
        <f t="shared" si="55"/>
        <v>43146.658125670801</v>
      </c>
      <c r="C299">
        <f t="shared" si="55"/>
        <v>6572.3401063869997</v>
      </c>
      <c r="D299">
        <f t="shared" si="55"/>
        <v>56362.526171546699</v>
      </c>
      <c r="E299">
        <f t="shared" si="55"/>
        <v>42229.562780010601</v>
      </c>
      <c r="F299">
        <f t="shared" si="55"/>
        <v>10504.289536296399</v>
      </c>
      <c r="G299">
        <f t="shared" si="56"/>
        <v>7098.4659689969994</v>
      </c>
      <c r="H299">
        <f t="shared" si="57"/>
        <v>28377.3229093673</v>
      </c>
      <c r="I299">
        <f t="shared" si="57"/>
        <v>194291.16559827581</v>
      </c>
      <c r="N299" t="s">
        <v>214</v>
      </c>
      <c r="O299">
        <v>43146.658125670801</v>
      </c>
      <c r="P299">
        <v>6572.3401063869997</v>
      </c>
      <c r="Q299">
        <v>56362.526171546699</v>
      </c>
      <c r="R299">
        <v>42229.562780010601</v>
      </c>
      <c r="S299">
        <v>10504.289536296399</v>
      </c>
      <c r="T299">
        <v>7098.4659689969994</v>
      </c>
      <c r="U299">
        <v>28377.3229093673</v>
      </c>
      <c r="V299">
        <f t="shared" si="58"/>
        <v>194291.16559827581</v>
      </c>
    </row>
    <row r="300" spans="1:22" x14ac:dyDescent="0.2">
      <c r="A300" t="s">
        <v>129</v>
      </c>
      <c r="B300">
        <f t="shared" si="55"/>
        <v>27732.360630399999</v>
      </c>
      <c r="C300">
        <f t="shared" si="55"/>
        <v>5054.7242271082005</v>
      </c>
      <c r="D300">
        <f t="shared" si="55"/>
        <v>9221.9553348879999</v>
      </c>
      <c r="E300">
        <f t="shared" si="55"/>
        <v>26789.814501848399</v>
      </c>
      <c r="F300">
        <f t="shared" si="55"/>
        <v>2994.7797227260003</v>
      </c>
      <c r="G300">
        <f t="shared" si="56"/>
        <v>13309.0591514303</v>
      </c>
      <c r="H300">
        <f t="shared" si="57"/>
        <v>8362.9370419566003</v>
      </c>
      <c r="I300">
        <f t="shared" si="57"/>
        <v>93465.63061035749</v>
      </c>
      <c r="N300" t="s">
        <v>129</v>
      </c>
      <c r="O300">
        <v>27732.360630399999</v>
      </c>
      <c r="P300">
        <v>5054.7242271082005</v>
      </c>
      <c r="Q300">
        <v>9221.9553348879999</v>
      </c>
      <c r="R300">
        <v>26789.814501848399</v>
      </c>
      <c r="S300">
        <v>2994.7797227260003</v>
      </c>
      <c r="T300">
        <v>13309.0591514303</v>
      </c>
      <c r="U300">
        <v>8362.9370419566003</v>
      </c>
      <c r="V300">
        <f t="shared" si="58"/>
        <v>93465.63061035749</v>
      </c>
    </row>
    <row r="301" spans="1:22" x14ac:dyDescent="0.2">
      <c r="A301" t="s">
        <v>130</v>
      </c>
      <c r="B301">
        <f t="shared" si="55"/>
        <v>59522.6075547609</v>
      </c>
      <c r="C301">
        <f t="shared" si="55"/>
        <v>8650.593366688001</v>
      </c>
      <c r="D301">
        <f t="shared" si="55"/>
        <v>42941.893781935003</v>
      </c>
      <c r="E301">
        <f t="shared" si="55"/>
        <v>56648.767118000302</v>
      </c>
      <c r="F301">
        <f t="shared" si="55"/>
        <v>8670.836099184</v>
      </c>
      <c r="G301">
        <f t="shared" si="56"/>
        <v>8302.6739772799992</v>
      </c>
      <c r="H301">
        <f t="shared" si="57"/>
        <v>13981.3814250785</v>
      </c>
      <c r="I301">
        <f t="shared" si="57"/>
        <v>198718.75332292673</v>
      </c>
      <c r="N301" t="s">
        <v>130</v>
      </c>
      <c r="O301">
        <v>59522.6075547609</v>
      </c>
      <c r="P301">
        <v>8650.593366688001</v>
      </c>
      <c r="Q301">
        <v>42941.893781935003</v>
      </c>
      <c r="R301">
        <v>56648.767118000302</v>
      </c>
      <c r="S301">
        <v>8670.836099184</v>
      </c>
      <c r="T301">
        <v>8302.6739772799992</v>
      </c>
      <c r="U301">
        <v>13981.3814250785</v>
      </c>
      <c r="V301">
        <f t="shared" si="58"/>
        <v>198718.75332292673</v>
      </c>
    </row>
    <row r="302" spans="1:22" x14ac:dyDescent="0.2">
      <c r="A302" t="s">
        <v>145</v>
      </c>
      <c r="B302">
        <f t="shared" si="55"/>
        <v>181436.63578690161</v>
      </c>
      <c r="C302">
        <f t="shared" si="55"/>
        <v>34572.043924316298</v>
      </c>
      <c r="D302">
        <f t="shared" si="55"/>
        <v>177849.039330022</v>
      </c>
      <c r="E302">
        <f t="shared" si="55"/>
        <v>178953.68797305151</v>
      </c>
      <c r="F302">
        <f t="shared" si="55"/>
        <v>44164.8513183471</v>
      </c>
      <c r="G302">
        <f t="shared" si="56"/>
        <v>17328.035947344</v>
      </c>
      <c r="H302">
        <f t="shared" si="57"/>
        <v>59905.931088919402</v>
      </c>
      <c r="I302">
        <f t="shared" si="57"/>
        <v>694210.22536890209</v>
      </c>
      <c r="N302" t="s">
        <v>145</v>
      </c>
      <c r="O302">
        <v>181436.63578690161</v>
      </c>
      <c r="P302">
        <v>34572.043924316298</v>
      </c>
      <c r="Q302">
        <v>177849.039330022</v>
      </c>
      <c r="R302">
        <v>178953.68797305151</v>
      </c>
      <c r="S302">
        <v>44164.8513183471</v>
      </c>
      <c r="T302">
        <v>17328.035947344</v>
      </c>
      <c r="U302">
        <v>59905.931088919402</v>
      </c>
      <c r="V302">
        <f t="shared" si="58"/>
        <v>694210.22536890209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9">O306*$B$1</f>
        <v>174034.4896</v>
      </c>
      <c r="N306" t="s">
        <v>21</v>
      </c>
      <c r="O306">
        <v>174034.4896</v>
      </c>
    </row>
    <row r="307" spans="1:15" x14ac:dyDescent="0.2">
      <c r="A307" t="s">
        <v>22</v>
      </c>
      <c r="B307">
        <f t="shared" si="59"/>
        <v>35722.840400000001</v>
      </c>
      <c r="N307" t="s">
        <v>22</v>
      </c>
      <c r="O307">
        <v>35722.840400000001</v>
      </c>
    </row>
    <row r="308" spans="1:15" x14ac:dyDescent="0.2">
      <c r="A308" t="s">
        <v>148</v>
      </c>
      <c r="B308">
        <f t="shared" si="59"/>
        <v>42350.315699999999</v>
      </c>
      <c r="N308" t="s">
        <v>148</v>
      </c>
      <c r="O308">
        <v>42350.315699999999</v>
      </c>
    </row>
    <row r="309" spans="1:15" x14ac:dyDescent="0.2">
      <c r="A309" t="s">
        <v>243</v>
      </c>
      <c r="B309">
        <f t="shared" si="59"/>
        <v>58462.537400000001</v>
      </c>
      <c r="N309" t="s">
        <v>243</v>
      </c>
      <c r="O309">
        <v>58462.537400000001</v>
      </c>
    </row>
    <row r="310" spans="1:15" x14ac:dyDescent="0.2">
      <c r="A310" t="s">
        <v>23</v>
      </c>
      <c r="B310">
        <f t="shared" si="59"/>
        <v>7345.8631999999998</v>
      </c>
      <c r="N310" t="s">
        <v>23</v>
      </c>
      <c r="O310">
        <v>7345.8631999999998</v>
      </c>
    </row>
    <row r="311" spans="1:15" x14ac:dyDescent="0.2">
      <c r="A311" t="s">
        <v>24</v>
      </c>
      <c r="B311">
        <f t="shared" si="59"/>
        <v>8011.7664999999997</v>
      </c>
      <c r="N311" t="s">
        <v>24</v>
      </c>
      <c r="O311">
        <v>8011.7664999999997</v>
      </c>
    </row>
    <row r="312" spans="1:15" x14ac:dyDescent="0.2">
      <c r="A312" t="s">
        <v>25</v>
      </c>
      <c r="B312">
        <f t="shared" si="59"/>
        <v>60256.400200000004</v>
      </c>
      <c r="N312" t="s">
        <v>25</v>
      </c>
      <c r="O312">
        <v>60256.400200000004</v>
      </c>
    </row>
    <row r="313" spans="1:15" x14ac:dyDescent="0.2">
      <c r="A313" t="s">
        <v>26</v>
      </c>
      <c r="B313">
        <f t="shared" si="59"/>
        <v>29420.3328</v>
      </c>
      <c r="N313" t="s">
        <v>26</v>
      </c>
      <c r="O313">
        <v>29420.3328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9952.4868000000006</v>
      </c>
      <c r="N317" t="s">
        <v>296</v>
      </c>
      <c r="O317" s="104">
        <v>9952.4868000000006</v>
      </c>
    </row>
    <row r="318" spans="1:15" x14ac:dyDescent="0.2">
      <c r="A318" t="s">
        <v>297</v>
      </c>
      <c r="B318">
        <f>O318*$B$1</f>
        <v>56947.638800000001</v>
      </c>
      <c r="N318" t="s">
        <v>297</v>
      </c>
      <c r="O318" s="104">
        <v>56947.638800000001</v>
      </c>
    </row>
    <row r="319" spans="1:15" x14ac:dyDescent="0.2">
      <c r="A319" t="s">
        <v>298</v>
      </c>
      <c r="B319">
        <f>O319*$B$1</f>
        <v>37966.100200000001</v>
      </c>
      <c r="N319" t="s">
        <v>298</v>
      </c>
      <c r="O319" s="104">
        <v>37966.100200000001</v>
      </c>
    </row>
    <row r="320" spans="1:15" x14ac:dyDescent="0.2">
      <c r="A320" t="s">
        <v>299</v>
      </c>
      <c r="B320">
        <f>O320*$B$1</f>
        <v>268210.74040000001</v>
      </c>
      <c r="N320" t="s">
        <v>299</v>
      </c>
      <c r="O320" s="104">
        <v>268210.74040000001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13603.1626</v>
      </c>
      <c r="N324" t="s">
        <v>98</v>
      </c>
      <c r="O324" s="104">
        <v>13603.1626</v>
      </c>
    </row>
    <row r="325" spans="1:16" x14ac:dyDescent="0.2">
      <c r="A325" t="s">
        <v>281</v>
      </c>
      <c r="B325">
        <f>O325*$B$1</f>
        <v>77411.448999999993</v>
      </c>
      <c r="N325" t="s">
        <v>281</v>
      </c>
      <c r="O325" s="104">
        <v>77411.448999999993</v>
      </c>
    </row>
    <row r="326" spans="1:16" x14ac:dyDescent="0.2">
      <c r="A326" t="s">
        <v>282</v>
      </c>
      <c r="B326">
        <f>O326*$B$1</f>
        <v>248525.38699999999</v>
      </c>
      <c r="N326" t="s">
        <v>282</v>
      </c>
      <c r="O326" s="104">
        <v>248525.38699999999</v>
      </c>
    </row>
    <row r="327" spans="1:16" x14ac:dyDescent="0.2">
      <c r="A327" t="s">
        <v>283</v>
      </c>
      <c r="B327">
        <f>O327*$B$1</f>
        <v>76064.547200000001</v>
      </c>
      <c r="N327" t="s">
        <v>283</v>
      </c>
      <c r="O327" s="104">
        <v>76064.547200000001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151396.64790000001</v>
      </c>
      <c r="N331">
        <v>1</v>
      </c>
      <c r="O331" s="104">
        <v>151396.64790000001</v>
      </c>
    </row>
    <row r="332" spans="1:16" x14ac:dyDescent="0.2">
      <c r="A332" t="s">
        <v>10863</v>
      </c>
      <c r="B332">
        <f>O332*$B$1</f>
        <v>8845.8525000000009</v>
      </c>
      <c r="N332">
        <v>2</v>
      </c>
      <c r="O332" s="104">
        <v>8845.8525000000009</v>
      </c>
    </row>
    <row r="333" spans="1:16" x14ac:dyDescent="0.2">
      <c r="A333" t="s">
        <v>10864</v>
      </c>
      <c r="B333">
        <f>O333*$B$1</f>
        <v>131529.91500000001</v>
      </c>
      <c r="N333">
        <v>3</v>
      </c>
      <c r="O333" s="104">
        <v>131529.91500000001</v>
      </c>
    </row>
    <row r="334" spans="1:16" x14ac:dyDescent="0.2">
      <c r="A334" t="s">
        <v>10865</v>
      </c>
      <c r="B334">
        <f>O334*$B$1</f>
        <v>123832.13039999999</v>
      </c>
      <c r="N334">
        <v>4</v>
      </c>
      <c r="O334" s="104">
        <v>123832.13039999999</v>
      </c>
    </row>
    <row r="335" spans="1:16" x14ac:dyDescent="0.2">
      <c r="A335" t="s">
        <v>1689</v>
      </c>
      <c r="B335">
        <f t="shared" ref="B335:B337" si="60">O335*$B$1</f>
        <v>0</v>
      </c>
      <c r="N335">
        <v>5</v>
      </c>
      <c r="O335" s="104">
        <v>0</v>
      </c>
    </row>
    <row r="336" spans="1:16" x14ac:dyDescent="0.2">
      <c r="A336" t="s">
        <v>10866</v>
      </c>
      <c r="B336">
        <f t="shared" si="60"/>
        <v>0</v>
      </c>
      <c r="N336">
        <v>6</v>
      </c>
      <c r="O336" s="104">
        <v>0</v>
      </c>
    </row>
    <row r="337" spans="1:15" x14ac:dyDescent="0.2">
      <c r="A337" t="s">
        <v>10867</v>
      </c>
      <c r="B337">
        <f t="shared" si="60"/>
        <v>0</v>
      </c>
      <c r="N337">
        <v>7</v>
      </c>
      <c r="O337">
        <v>0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workbookViewId="0">
      <selection activeCell="I90" sqref="I90"/>
    </sheetView>
  </sheetViews>
  <sheetFormatPr defaultRowHeight="12.75" x14ac:dyDescent="0.2"/>
  <sheetData>
    <row r="1" spans="1:5" ht="15" x14ac:dyDescent="0.2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r="2" spans="1:5" ht="15" x14ac:dyDescent="0.2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r="3" spans="1:5" ht="15" x14ac:dyDescent="0.2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r="4" spans="1:5" ht="15" x14ac:dyDescent="0.2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r="5" spans="1:5" ht="15" x14ac:dyDescent="0.2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r="6" spans="1:5" ht="15" x14ac:dyDescent="0.2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r="7" spans="1:5" ht="15" x14ac:dyDescent="0.2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r="8" spans="1:5" ht="15" x14ac:dyDescent="0.2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r="9" spans="1:5" ht="15" x14ac:dyDescent="0.2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r="10" spans="1:5" ht="15" x14ac:dyDescent="0.2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r="11" spans="1:5" ht="15" x14ac:dyDescent="0.2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r="12" spans="1:5" ht="15" x14ac:dyDescent="0.2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r="13" spans="1:5" ht="15" x14ac:dyDescent="0.2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r="14" spans="1:5" ht="15" x14ac:dyDescent="0.2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r="15" spans="1:5" ht="15" x14ac:dyDescent="0.2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r="16" spans="1:5" ht="15" x14ac:dyDescent="0.2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r="17" spans="1:5" ht="15" x14ac:dyDescent="0.2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r="18" spans="1:5" ht="15" x14ac:dyDescent="0.2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r="19" spans="1:5" ht="15" x14ac:dyDescent="0.2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r="20" spans="1:5" ht="15" x14ac:dyDescent="0.2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r="21" spans="1:5" ht="15" x14ac:dyDescent="0.2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r="22" spans="1:5" ht="15" x14ac:dyDescent="0.2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r="23" spans="1:5" ht="15" x14ac:dyDescent="0.2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r="24" spans="1:5" ht="15" x14ac:dyDescent="0.2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r="25" spans="1:5" ht="15" x14ac:dyDescent="0.2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r="26" spans="1:5" ht="15" x14ac:dyDescent="0.2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r="27" spans="1:5" ht="15" x14ac:dyDescent="0.2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r="28" spans="1:5" ht="15" x14ac:dyDescent="0.2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r="29" spans="1:5" ht="15" x14ac:dyDescent="0.2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r="30" spans="1:5" ht="15" x14ac:dyDescent="0.25">
      <c r="A30" s="108"/>
      <c r="B30" s="108"/>
      <c r="C30" s="108"/>
      <c r="D30" s="109"/>
      <c r="E30" s="107" t="s">
        <v>377</v>
      </c>
    </row>
    <row r="31" spans="1:5" ht="15" x14ac:dyDescent="0.25">
      <c r="A31" s="108"/>
      <c r="B31" s="108"/>
      <c r="C31" s="108"/>
      <c r="D31" s="109"/>
      <c r="E31" s="107" t="s">
        <v>378</v>
      </c>
    </row>
    <row r="32" spans="1:5" ht="15" x14ac:dyDescent="0.25">
      <c r="A32" s="108"/>
      <c r="B32" s="108"/>
      <c r="C32" s="108"/>
      <c r="D32" s="109"/>
      <c r="E32" s="107" t="s">
        <v>379</v>
      </c>
    </row>
    <row r="33" spans="1:5" ht="15" x14ac:dyDescent="0.2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r="34" spans="1:5" ht="15" x14ac:dyDescent="0.2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r="35" spans="1:5" ht="15" x14ac:dyDescent="0.2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r="36" spans="1:5" ht="15" x14ac:dyDescent="0.2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r="37" spans="1:5" ht="15" x14ac:dyDescent="0.2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r="38" spans="1:5" ht="15" x14ac:dyDescent="0.2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r="39" spans="1:5" ht="15" x14ac:dyDescent="0.2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r="40" spans="1:5" ht="15" x14ac:dyDescent="0.2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r="41" spans="1:5" ht="15" x14ac:dyDescent="0.2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r="42" spans="1:5" ht="15" x14ac:dyDescent="0.2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r="43" spans="1:5" ht="15" x14ac:dyDescent="0.25">
      <c r="A43" s="108"/>
      <c r="B43" s="108"/>
      <c r="C43" s="108"/>
      <c r="D43" s="109"/>
      <c r="E43" s="107" t="s">
        <v>400</v>
      </c>
    </row>
    <row r="44" spans="1:5" ht="15" x14ac:dyDescent="0.2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r="45" spans="1:5" ht="15" x14ac:dyDescent="0.2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r="46" spans="1:5" ht="15" x14ac:dyDescent="0.2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r="47" spans="1:5" ht="15" x14ac:dyDescent="0.2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r="48" spans="1:5" ht="15" x14ac:dyDescent="0.2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r="49" spans="1:5" ht="15" x14ac:dyDescent="0.2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r="50" spans="1:5" ht="15" x14ac:dyDescent="0.2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r="51" spans="1:5" ht="15" x14ac:dyDescent="0.2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r="52" spans="1:5" ht="15" x14ac:dyDescent="0.2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r="53" spans="1:5" ht="15" x14ac:dyDescent="0.2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r="54" spans="1:5" ht="15" x14ac:dyDescent="0.2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r="55" spans="1:5" ht="15" x14ac:dyDescent="0.2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r="56" spans="1:5" ht="15" x14ac:dyDescent="0.2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r="57" spans="1:5" ht="15" x14ac:dyDescent="0.2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r="58" spans="1:5" ht="15" x14ac:dyDescent="0.2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r="59" spans="1:5" ht="15" x14ac:dyDescent="0.2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r="60" spans="1:5" ht="15" x14ac:dyDescent="0.2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r="61" spans="1:5" ht="15" x14ac:dyDescent="0.2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r="62" spans="1:5" ht="15" x14ac:dyDescent="0.2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r="63" spans="1:5" ht="15" x14ac:dyDescent="0.2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r="64" spans="1:5" ht="15" x14ac:dyDescent="0.2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r="65" spans="1:5" ht="15" x14ac:dyDescent="0.2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r="66" spans="1:5" ht="15" x14ac:dyDescent="0.2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r="67" spans="1:5" ht="15" x14ac:dyDescent="0.2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r="68" spans="1:5" ht="15" x14ac:dyDescent="0.2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r="69" spans="1:5" ht="15" x14ac:dyDescent="0.2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r="70" spans="1:5" ht="15" x14ac:dyDescent="0.2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r="71" spans="1:5" ht="15" x14ac:dyDescent="0.2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r="72" spans="1:5" ht="15" x14ac:dyDescent="0.2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r="73" spans="1:5" ht="15" x14ac:dyDescent="0.2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r="74" spans="1:5" ht="15" x14ac:dyDescent="0.25">
      <c r="A74" s="108"/>
      <c r="B74" s="108"/>
      <c r="C74" s="108"/>
      <c r="D74" s="109"/>
      <c r="E74" s="107" t="s">
        <v>459</v>
      </c>
    </row>
    <row r="75" spans="1:5" ht="15" x14ac:dyDescent="0.2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r="76" spans="1:5" ht="15" x14ac:dyDescent="0.2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r="77" spans="1:5" ht="15" x14ac:dyDescent="0.2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r="78" spans="1:5" ht="15" x14ac:dyDescent="0.2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r="79" spans="1:5" ht="15" x14ac:dyDescent="0.2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r="80" spans="1:5" ht="15" x14ac:dyDescent="0.2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r="81" spans="1:5" ht="15" x14ac:dyDescent="0.2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r="82" spans="1:5" ht="15" x14ac:dyDescent="0.2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r="83" spans="1:5" ht="15" x14ac:dyDescent="0.2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r="84" spans="1:5" ht="15" x14ac:dyDescent="0.2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r="85" spans="1:5" ht="15" x14ac:dyDescent="0.2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r="86" spans="1:5" ht="15" x14ac:dyDescent="0.2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r="87" spans="1:5" ht="15" x14ac:dyDescent="0.2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r="88" spans="1:5" ht="15" x14ac:dyDescent="0.2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r="89" spans="1:5" ht="15" x14ac:dyDescent="0.2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r="90" spans="1:5" ht="15" x14ac:dyDescent="0.2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r="91" spans="1:5" ht="15" x14ac:dyDescent="0.2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r="92" spans="1:5" ht="15" x14ac:dyDescent="0.2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r="93" spans="1:5" ht="15" x14ac:dyDescent="0.2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r="94" spans="1:5" ht="15" x14ac:dyDescent="0.2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r="95" spans="1:5" ht="15" x14ac:dyDescent="0.2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r="96" spans="1:5" ht="15" x14ac:dyDescent="0.2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r="97" spans="1:5" ht="15" x14ac:dyDescent="0.2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r="98" spans="1:5" ht="15" x14ac:dyDescent="0.2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r="99" spans="1:5" ht="15" x14ac:dyDescent="0.2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r="100" spans="1:5" ht="15" x14ac:dyDescent="0.2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r="101" spans="1:5" ht="15" x14ac:dyDescent="0.2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r="102" spans="1:5" ht="15" x14ac:dyDescent="0.2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r="103" spans="1:5" ht="15" x14ac:dyDescent="0.2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r="104" spans="1:5" ht="15" x14ac:dyDescent="0.2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r="105" spans="1:5" ht="15" x14ac:dyDescent="0.25">
      <c r="A105" s="108"/>
      <c r="B105" s="108"/>
      <c r="C105" s="108"/>
      <c r="D105" s="109"/>
      <c r="E105" s="107" t="s">
        <v>518</v>
      </c>
    </row>
    <row r="106" spans="1:5" ht="15" x14ac:dyDescent="0.2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r="107" spans="1:5" ht="15" x14ac:dyDescent="0.2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r="108" spans="1:5" ht="15" x14ac:dyDescent="0.2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r="109" spans="1:5" ht="15" x14ac:dyDescent="0.2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r="110" spans="1:5" ht="15" x14ac:dyDescent="0.2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r="111" spans="1:5" ht="15" x14ac:dyDescent="0.2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r="112" spans="1:5" ht="15" x14ac:dyDescent="0.2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r="113" spans="1:5" ht="15" x14ac:dyDescent="0.2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r="114" spans="1:5" ht="15" x14ac:dyDescent="0.2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r="115" spans="1:5" ht="15" x14ac:dyDescent="0.2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r="116" spans="1:5" ht="15" x14ac:dyDescent="0.2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r="117" spans="1:5" ht="15" x14ac:dyDescent="0.2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r="118" spans="1:5" ht="15" x14ac:dyDescent="0.2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r="119" spans="1:5" ht="15" x14ac:dyDescent="0.2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r="120" spans="1:5" ht="15" x14ac:dyDescent="0.2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r="121" spans="1:5" ht="15" x14ac:dyDescent="0.2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r="122" spans="1:5" ht="15" x14ac:dyDescent="0.2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r="123" spans="1:5" ht="15" x14ac:dyDescent="0.2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r="124" spans="1:5" ht="15" x14ac:dyDescent="0.2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r="125" spans="1:5" ht="15" x14ac:dyDescent="0.2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r="126" spans="1:5" ht="15" x14ac:dyDescent="0.2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r="127" spans="1:5" ht="15" x14ac:dyDescent="0.2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r="128" spans="1:5" ht="15" x14ac:dyDescent="0.2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r="129" spans="1:5" ht="15" x14ac:dyDescent="0.2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r="130" spans="1:5" ht="15" x14ac:dyDescent="0.2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r="131" spans="1:5" ht="15" x14ac:dyDescent="0.2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r="132" spans="1:5" ht="15" x14ac:dyDescent="0.2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r="133" spans="1:5" ht="15" x14ac:dyDescent="0.2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r="134" spans="1:5" ht="15" x14ac:dyDescent="0.2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r="135" spans="1:5" ht="15" x14ac:dyDescent="0.2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r="136" spans="1:5" ht="15" x14ac:dyDescent="0.25">
      <c r="A136" s="108"/>
      <c r="B136" s="108"/>
      <c r="C136" s="108"/>
      <c r="D136" s="109"/>
      <c r="E136" s="107" t="s">
        <v>577</v>
      </c>
    </row>
    <row r="137" spans="1:5" ht="15" x14ac:dyDescent="0.2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r="138" spans="1:5" ht="15" x14ac:dyDescent="0.2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r="139" spans="1:5" ht="15" x14ac:dyDescent="0.2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r="140" spans="1:5" ht="15" x14ac:dyDescent="0.2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r="141" spans="1:5" ht="15" x14ac:dyDescent="0.2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r="142" spans="1:5" ht="15" x14ac:dyDescent="0.2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r="143" spans="1:5" ht="15" x14ac:dyDescent="0.2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r="144" spans="1:5" ht="15" x14ac:dyDescent="0.2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r="145" spans="1:5" ht="15" x14ac:dyDescent="0.2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r="146" spans="1:5" ht="15" x14ac:dyDescent="0.2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r="147" spans="1:5" ht="15" x14ac:dyDescent="0.2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r="148" spans="1:5" ht="15" x14ac:dyDescent="0.2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r="149" spans="1:5" ht="15" x14ac:dyDescent="0.2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r="150" spans="1:5" ht="15" x14ac:dyDescent="0.2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r="151" spans="1:5" ht="15" x14ac:dyDescent="0.2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r="152" spans="1:5" ht="15" x14ac:dyDescent="0.2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r="153" spans="1:5" ht="15" x14ac:dyDescent="0.2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r="154" spans="1:5" ht="15" x14ac:dyDescent="0.2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r="155" spans="1:5" ht="15" x14ac:dyDescent="0.2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r="156" spans="1:5" ht="15" x14ac:dyDescent="0.2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r="157" spans="1:5" ht="15" x14ac:dyDescent="0.2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r="158" spans="1:5" ht="15" x14ac:dyDescent="0.2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r="159" spans="1:5" ht="15" x14ac:dyDescent="0.2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r="160" spans="1:5" ht="15" x14ac:dyDescent="0.2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r="161" spans="1:5" ht="15" x14ac:dyDescent="0.2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r="162" spans="1:5" ht="15" x14ac:dyDescent="0.2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r="163" spans="1:5" ht="15" x14ac:dyDescent="0.2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r="164" spans="1:5" ht="15" x14ac:dyDescent="0.2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r="165" spans="1:5" ht="15" x14ac:dyDescent="0.2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r="166" spans="1:5" ht="15" x14ac:dyDescent="0.2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r="167" spans="1:5" ht="15" x14ac:dyDescent="0.25">
      <c r="A167" s="108"/>
      <c r="B167" s="108"/>
      <c r="C167" s="108"/>
      <c r="D167" s="109"/>
      <c r="E167" s="107" t="s">
        <v>636</v>
      </c>
    </row>
    <row r="168" spans="1:5" ht="15" x14ac:dyDescent="0.2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r="169" spans="1:5" ht="15" x14ac:dyDescent="0.2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r="170" spans="1:5" ht="15" x14ac:dyDescent="0.2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r="171" spans="1:5" ht="15" x14ac:dyDescent="0.2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r="172" spans="1:5" ht="15" x14ac:dyDescent="0.2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r="173" spans="1:5" ht="15" x14ac:dyDescent="0.2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r="174" spans="1:5" ht="15" x14ac:dyDescent="0.2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r="175" spans="1:5" ht="15" x14ac:dyDescent="0.2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r="176" spans="1:5" ht="15" x14ac:dyDescent="0.2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r="177" spans="1:5" ht="15" x14ac:dyDescent="0.2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r="178" spans="1:5" ht="15" x14ac:dyDescent="0.2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r="179" spans="1:5" ht="15" x14ac:dyDescent="0.2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r="180" spans="1:5" ht="15" x14ac:dyDescent="0.2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r="181" spans="1:5" ht="15" x14ac:dyDescent="0.2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r="182" spans="1:5" ht="15" x14ac:dyDescent="0.2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r="183" spans="1:5" ht="15" x14ac:dyDescent="0.2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r="184" spans="1:5" ht="15" x14ac:dyDescent="0.2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r="185" spans="1:5" ht="15" x14ac:dyDescent="0.2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r="186" spans="1:5" ht="15" x14ac:dyDescent="0.2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r="187" spans="1:5" ht="15" x14ac:dyDescent="0.2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r="188" spans="1:5" ht="15" x14ac:dyDescent="0.2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r="189" spans="1:5" ht="15" x14ac:dyDescent="0.2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r="190" spans="1:5" ht="15" x14ac:dyDescent="0.2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r="191" spans="1:5" ht="15" x14ac:dyDescent="0.2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r="192" spans="1:5" ht="15" x14ac:dyDescent="0.2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r="193" spans="1:5" ht="15" x14ac:dyDescent="0.2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r="194" spans="1:5" ht="15" x14ac:dyDescent="0.2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r="195" spans="1:5" ht="15" x14ac:dyDescent="0.2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r="196" spans="1:5" ht="15" x14ac:dyDescent="0.2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r="197" spans="1:5" ht="15" x14ac:dyDescent="0.2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r="198" spans="1:5" ht="15" x14ac:dyDescent="0.25">
      <c r="A198" s="108"/>
      <c r="B198" s="108"/>
      <c r="C198" s="108"/>
      <c r="D198" s="109"/>
      <c r="E198" s="107" t="s">
        <v>695</v>
      </c>
    </row>
    <row r="199" spans="1:5" ht="15" x14ac:dyDescent="0.2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r="200" spans="1:5" ht="15" x14ac:dyDescent="0.2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r="201" spans="1:5" ht="15" x14ac:dyDescent="0.2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r="202" spans="1:5" ht="15" x14ac:dyDescent="0.2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r="203" spans="1:5" ht="15" x14ac:dyDescent="0.2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r="204" spans="1:5" ht="15" x14ac:dyDescent="0.2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r="205" spans="1:5" ht="15" x14ac:dyDescent="0.2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r="206" spans="1:5" ht="15" x14ac:dyDescent="0.2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r="207" spans="1:5" ht="15" x14ac:dyDescent="0.2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r="208" spans="1:5" ht="15" x14ac:dyDescent="0.2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r="209" spans="1:5" ht="15" x14ac:dyDescent="0.2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r="210" spans="1:5" ht="15" x14ac:dyDescent="0.2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r="211" spans="1:5" ht="15" x14ac:dyDescent="0.2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r="212" spans="1:5" ht="15" x14ac:dyDescent="0.2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r="213" spans="1:5" ht="15" x14ac:dyDescent="0.2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r="214" spans="1:5" ht="15" x14ac:dyDescent="0.2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r="215" spans="1:5" ht="15" x14ac:dyDescent="0.2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r="216" spans="1:5" ht="15" x14ac:dyDescent="0.2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r="217" spans="1:5" ht="15" x14ac:dyDescent="0.2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r="218" spans="1:5" ht="15" x14ac:dyDescent="0.2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r="219" spans="1:5" ht="15" x14ac:dyDescent="0.2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r="220" spans="1:5" ht="15" x14ac:dyDescent="0.2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r="221" spans="1:5" ht="15" x14ac:dyDescent="0.2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r="222" spans="1:5" ht="15" x14ac:dyDescent="0.2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r="223" spans="1:5" ht="15" x14ac:dyDescent="0.2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r="224" spans="1:5" ht="15" x14ac:dyDescent="0.2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r="225" spans="1:5" ht="15" x14ac:dyDescent="0.2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r="226" spans="1:5" ht="15" x14ac:dyDescent="0.2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r="227" spans="1:5" ht="15" x14ac:dyDescent="0.25">
      <c r="A227" s="108"/>
      <c r="B227" s="108"/>
      <c r="C227" s="108"/>
      <c r="D227" s="109"/>
      <c r="E227" s="107" t="s">
        <v>750</v>
      </c>
    </row>
    <row r="228" spans="1:5" ht="15" x14ac:dyDescent="0.2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r="229" spans="1:5" ht="15" x14ac:dyDescent="0.2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r="230" spans="1:5" ht="15" x14ac:dyDescent="0.2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r="231" spans="1:5" ht="15" x14ac:dyDescent="0.2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r="232" spans="1:5" ht="15" x14ac:dyDescent="0.2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r="233" spans="1:5" ht="15" x14ac:dyDescent="0.2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r="234" spans="1:5" ht="15" x14ac:dyDescent="0.2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r="235" spans="1:5" ht="15" x14ac:dyDescent="0.2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r="236" spans="1:5" ht="15" x14ac:dyDescent="0.2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r="237" spans="1:5" ht="15" x14ac:dyDescent="0.2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r="238" spans="1:5" ht="15" x14ac:dyDescent="0.2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r="239" spans="1:5" ht="15" x14ac:dyDescent="0.2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r="240" spans="1:5" ht="15" x14ac:dyDescent="0.2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r="241" spans="1:5" ht="15" x14ac:dyDescent="0.2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r="242" spans="1:5" ht="15" x14ac:dyDescent="0.2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r="243" spans="1:5" ht="15" x14ac:dyDescent="0.2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r="244" spans="1:5" ht="15" x14ac:dyDescent="0.2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r="245" spans="1:5" ht="15" x14ac:dyDescent="0.2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r="246" spans="1:5" ht="15" x14ac:dyDescent="0.2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r="247" spans="1:5" ht="15" x14ac:dyDescent="0.2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r="248" spans="1:5" ht="15" x14ac:dyDescent="0.2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r="249" spans="1:5" ht="15" x14ac:dyDescent="0.2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r="250" spans="1:5" ht="15" x14ac:dyDescent="0.2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r="251" spans="1:5" ht="15" x14ac:dyDescent="0.2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r="252" spans="1:5" ht="15" x14ac:dyDescent="0.2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r="253" spans="1:5" ht="15" x14ac:dyDescent="0.2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r="254" spans="1:5" ht="15" x14ac:dyDescent="0.25">
      <c r="A254" s="108"/>
      <c r="B254" s="108"/>
      <c r="C254" s="108"/>
      <c r="D254" s="109"/>
      <c r="E254" s="107" t="s">
        <v>803</v>
      </c>
    </row>
    <row r="255" spans="1:5" ht="15" x14ac:dyDescent="0.2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r="256" spans="1:5" ht="15" x14ac:dyDescent="0.2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r="257" spans="1:5" ht="15" x14ac:dyDescent="0.2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r="258" spans="1:5" ht="15" x14ac:dyDescent="0.2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r="259" spans="1:5" ht="15" x14ac:dyDescent="0.2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r="260" spans="1:5" ht="15" x14ac:dyDescent="0.2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r="261" spans="1:5" ht="15" x14ac:dyDescent="0.2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r="262" spans="1:5" ht="15" x14ac:dyDescent="0.2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r="263" spans="1:5" ht="15" x14ac:dyDescent="0.2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r="264" spans="1:5" ht="15" x14ac:dyDescent="0.2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r="265" spans="1:5" ht="15" x14ac:dyDescent="0.2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r="266" spans="1:5" ht="15" x14ac:dyDescent="0.2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r="267" spans="1:5" ht="15" x14ac:dyDescent="0.2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r="268" spans="1:5" ht="15" x14ac:dyDescent="0.2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r="269" spans="1:5" ht="15" x14ac:dyDescent="0.2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r="270" spans="1:5" ht="15" x14ac:dyDescent="0.2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r="271" spans="1:5" ht="15" x14ac:dyDescent="0.2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r="272" spans="1:5" ht="15" x14ac:dyDescent="0.2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r="273" spans="1:5" ht="15" x14ac:dyDescent="0.2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r="274" spans="1:5" ht="15" x14ac:dyDescent="0.2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r="275" spans="1:5" ht="15" x14ac:dyDescent="0.25">
      <c r="A275" s="108"/>
      <c r="B275" s="108"/>
      <c r="C275" s="108"/>
      <c r="D275" s="109"/>
      <c r="E275" s="107" t="s">
        <v>844</v>
      </c>
    </row>
    <row r="276" spans="1:5" ht="15" x14ac:dyDescent="0.2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r="277" spans="1:5" ht="15" x14ac:dyDescent="0.2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r="278" spans="1:5" ht="15" x14ac:dyDescent="0.2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r="279" spans="1:5" ht="15" x14ac:dyDescent="0.2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r="280" spans="1:5" ht="15" x14ac:dyDescent="0.2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r="281" spans="1:5" ht="15" x14ac:dyDescent="0.2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r="282" spans="1:5" ht="15" x14ac:dyDescent="0.2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r="283" spans="1:5" ht="15" x14ac:dyDescent="0.2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r="284" spans="1:5" ht="15" x14ac:dyDescent="0.2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r="285" spans="1:5" ht="15" x14ac:dyDescent="0.2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r="286" spans="1:5" ht="15" x14ac:dyDescent="0.2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r="287" spans="1:5" ht="15" x14ac:dyDescent="0.2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r="288" spans="1:5" ht="15" x14ac:dyDescent="0.2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r="289" spans="1:5" ht="15" x14ac:dyDescent="0.2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r="290" spans="1:5" ht="15" x14ac:dyDescent="0.2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r="291" spans="1:5" ht="15" x14ac:dyDescent="0.2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r="292" spans="1:5" ht="15" x14ac:dyDescent="0.2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r="293" spans="1:5" ht="15" x14ac:dyDescent="0.2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r="294" spans="1:5" ht="15" x14ac:dyDescent="0.2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r="295" spans="1:5" ht="15" x14ac:dyDescent="0.2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r="296" spans="1:5" ht="15" x14ac:dyDescent="0.2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r="297" spans="1:5" ht="15" x14ac:dyDescent="0.2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r="298" spans="1:5" ht="15" x14ac:dyDescent="0.2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r="299" spans="1:5" ht="15" x14ac:dyDescent="0.2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r="300" spans="1:5" ht="15" x14ac:dyDescent="0.2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r="301" spans="1:5" ht="15" x14ac:dyDescent="0.2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r="302" spans="1:5" ht="15" x14ac:dyDescent="0.2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r="303" spans="1:5" ht="15" x14ac:dyDescent="0.2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r="304" spans="1:5" ht="15" x14ac:dyDescent="0.2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r="305" spans="1:5" ht="15" x14ac:dyDescent="0.2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r="306" spans="1:5" ht="15" x14ac:dyDescent="0.2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r="307" spans="1:5" ht="15" x14ac:dyDescent="0.2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r="308" spans="1:5" ht="15" x14ac:dyDescent="0.2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r="309" spans="1:5" ht="15" x14ac:dyDescent="0.2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r="310" spans="1:5" ht="15" x14ac:dyDescent="0.2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r="311" spans="1:5" ht="15" x14ac:dyDescent="0.2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r="312" spans="1:5" ht="15" x14ac:dyDescent="0.2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r="313" spans="1:5" ht="15" x14ac:dyDescent="0.2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r="314" spans="1:5" ht="15" x14ac:dyDescent="0.2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r="315" spans="1:5" ht="15" x14ac:dyDescent="0.2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r="316" spans="1:5" ht="15" x14ac:dyDescent="0.2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r="317" spans="1:5" ht="15" x14ac:dyDescent="0.2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r="318" spans="1:5" ht="15" x14ac:dyDescent="0.2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r="319" spans="1:5" ht="15" x14ac:dyDescent="0.2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r="320" spans="1:5" ht="15" x14ac:dyDescent="0.2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r="321" spans="1:5" ht="15" x14ac:dyDescent="0.2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r="322" spans="1:5" ht="15" x14ac:dyDescent="0.2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r="323" spans="1:5" ht="15" x14ac:dyDescent="0.2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r="324" spans="1:5" ht="15" x14ac:dyDescent="0.2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r="325" spans="1:5" ht="15" x14ac:dyDescent="0.2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r="326" spans="1:5" ht="15" x14ac:dyDescent="0.2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r="327" spans="1:5" ht="15" x14ac:dyDescent="0.2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r="328" spans="1:5" ht="15" x14ac:dyDescent="0.2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r="329" spans="1:5" ht="15" x14ac:dyDescent="0.2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r="330" spans="1:5" ht="15" x14ac:dyDescent="0.2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r="331" spans="1:5" ht="15" x14ac:dyDescent="0.2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r="332" spans="1:5" ht="15" x14ac:dyDescent="0.2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r="333" spans="1:5" ht="15" x14ac:dyDescent="0.2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r="334" spans="1:5" ht="15" x14ac:dyDescent="0.2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r="335" spans="1:5" ht="15" x14ac:dyDescent="0.2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r="336" spans="1:5" ht="15" x14ac:dyDescent="0.2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r="337" spans="1:5" ht="15" x14ac:dyDescent="0.2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r="338" spans="1:5" ht="15" x14ac:dyDescent="0.2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r="339" spans="1:5" ht="15" x14ac:dyDescent="0.2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r="340" spans="1:5" ht="15" x14ac:dyDescent="0.2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r="341" spans="1:5" ht="15" x14ac:dyDescent="0.2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r="342" spans="1:5" ht="15" x14ac:dyDescent="0.2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r="343" spans="1:5" ht="15" x14ac:dyDescent="0.2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r="344" spans="1:5" ht="15" x14ac:dyDescent="0.2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r="345" spans="1:5" ht="15" x14ac:dyDescent="0.2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r="346" spans="1:5" ht="15" x14ac:dyDescent="0.2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r="347" spans="1:5" ht="15" x14ac:dyDescent="0.2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r="348" spans="1:5" ht="15" x14ac:dyDescent="0.2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r="349" spans="1:5" ht="15" x14ac:dyDescent="0.2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r="350" spans="1:5" ht="15" x14ac:dyDescent="0.2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r="351" spans="1:5" ht="15" x14ac:dyDescent="0.2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r="352" spans="1:5" ht="15" x14ac:dyDescent="0.2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r="353" spans="1:5" ht="15" x14ac:dyDescent="0.2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r="354" spans="1:5" ht="15" x14ac:dyDescent="0.2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r="355" spans="1:5" ht="15" x14ac:dyDescent="0.2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r="356" spans="1:5" ht="15" x14ac:dyDescent="0.2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r="357" spans="1:5" ht="15" x14ac:dyDescent="0.2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r="358" spans="1:5" ht="15" x14ac:dyDescent="0.2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r="359" spans="1:5" ht="15" x14ac:dyDescent="0.2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r="360" spans="1:5" ht="15" x14ac:dyDescent="0.2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r="361" spans="1:5" ht="15" x14ac:dyDescent="0.2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r="362" spans="1:5" ht="15" x14ac:dyDescent="0.2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r="363" spans="1:5" ht="15" x14ac:dyDescent="0.2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O7294"/>
  <sheetViews>
    <sheetView zoomScaleNormal="100" workbookViewId="0">
      <selection activeCell="B12" sqref="B12"/>
    </sheetView>
  </sheetViews>
  <sheetFormatPr defaultColWidth="9" defaultRowHeight="15" x14ac:dyDescent="0.25"/>
  <cols>
    <col min="1" max="14" width="9" style="115" collapsed="1"/>
    <col min="15" max="15" width="14.5" style="115" customWidth="1" collapsed="1"/>
    <col min="16" max="16384" width="9" style="115" collapsed="1"/>
  </cols>
  <sheetData>
    <row r="1" spans="1: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2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2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2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2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2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25">
      <c r="A10" s="115" t="s">
        <v>316</v>
      </c>
    </row>
    <row r="11" spans="1:15" x14ac:dyDescent="0.2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2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2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2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2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2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2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2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2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2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2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2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2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2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2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2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2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2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2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2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2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2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2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2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2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2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2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2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2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2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2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2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2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2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2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2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2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2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2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2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2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2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2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2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2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2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2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2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2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2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2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2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2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2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2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2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2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2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2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2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2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2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2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2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2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2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2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2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2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2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2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2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2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2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2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2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2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2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2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2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2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2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2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2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2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2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2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2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2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2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2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2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2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2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2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2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2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2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2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2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2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2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2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2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2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2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2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2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2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2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2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2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2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2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2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2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2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2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2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2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2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2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2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2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2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2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2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2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2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2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2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2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2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2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2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2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2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2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2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2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2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2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2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2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2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2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2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2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2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2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2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2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2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2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2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2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2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2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2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2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2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2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2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2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2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2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2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2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2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2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2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2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2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2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2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2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2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2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2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2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2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2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2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2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2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2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2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2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2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2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2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2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2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2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2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2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2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2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2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2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2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2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2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2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2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2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2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2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2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2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2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2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2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2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2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2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2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2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2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2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2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2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2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2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2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2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2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2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2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2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2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2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2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2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2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2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2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2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2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2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2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2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2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2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2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2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2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2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2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2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2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2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2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2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2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2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2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2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2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2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2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2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2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2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2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2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2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2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2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2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2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2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2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2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2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2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2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2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2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2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2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2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2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2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2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2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2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2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2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2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2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2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2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2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2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2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2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2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2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2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2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2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2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2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2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2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2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2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2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2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2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2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2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2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2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2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2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2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2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2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2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2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2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2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2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2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2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2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2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2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2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2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2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2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2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2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2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2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2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2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2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2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2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2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2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2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2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2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2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2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25">
      <c r="A361" s="115">
        <v>-1</v>
      </c>
    </row>
    <row r="362" spans="1:5" x14ac:dyDescent="0.2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2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2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25">
      <c r="B365" s="115" t="s">
        <v>1139</v>
      </c>
      <c r="D365" s="115" t="s">
        <v>1703</v>
      </c>
      <c r="E365" s="115" t="s">
        <v>1704</v>
      </c>
    </row>
    <row r="366" spans="1:5" x14ac:dyDescent="0.25">
      <c r="B366" s="115" t="s">
        <v>1139</v>
      </c>
      <c r="D366" s="115" t="s">
        <v>1140</v>
      </c>
      <c r="E366" s="115" t="s">
        <v>1705</v>
      </c>
    </row>
    <row r="367" spans="1:5" x14ac:dyDescent="0.2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25">
      <c r="B368" s="115" t="s">
        <v>1139</v>
      </c>
      <c r="D368" s="115" t="s">
        <v>1140</v>
      </c>
      <c r="E368" s="115" t="s">
        <v>1141</v>
      </c>
    </row>
    <row r="369" spans="1:5" x14ac:dyDescent="0.25">
      <c r="B369" s="115" t="s">
        <v>1139</v>
      </c>
      <c r="D369" s="115" t="s">
        <v>1140</v>
      </c>
      <c r="E369" s="115" t="s">
        <v>1141</v>
      </c>
    </row>
    <row r="370" spans="1:5" x14ac:dyDescent="0.25">
      <c r="B370" s="115" t="s">
        <v>1139</v>
      </c>
      <c r="D370" s="115" t="s">
        <v>1140</v>
      </c>
      <c r="E370" s="115" t="s">
        <v>1708</v>
      </c>
    </row>
    <row r="371" spans="1:5" x14ac:dyDescent="0.25">
      <c r="B371" s="115" t="s">
        <v>1139</v>
      </c>
      <c r="D371" s="115" t="s">
        <v>1709</v>
      </c>
      <c r="E371" s="115" t="s">
        <v>1710</v>
      </c>
    </row>
    <row r="372" spans="1:5" x14ac:dyDescent="0.2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2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25">
      <c r="B374" s="115" t="s">
        <v>1139</v>
      </c>
      <c r="D374" s="115" t="s">
        <v>1140</v>
      </c>
      <c r="E374" s="115" t="s">
        <v>1141</v>
      </c>
    </row>
    <row r="375" spans="1:5" x14ac:dyDescent="0.25">
      <c r="B375" s="115" t="s">
        <v>1139</v>
      </c>
      <c r="D375" s="115" t="s">
        <v>1140</v>
      </c>
      <c r="E375" s="115" t="s">
        <v>1141</v>
      </c>
    </row>
    <row r="376" spans="1:5" x14ac:dyDescent="0.25">
      <c r="B376" s="115" t="s">
        <v>1139</v>
      </c>
      <c r="D376" s="115" t="s">
        <v>1140</v>
      </c>
      <c r="E376" s="115" t="s">
        <v>1141</v>
      </c>
    </row>
    <row r="377" spans="1:5" x14ac:dyDescent="0.25">
      <c r="B377" s="115" t="s">
        <v>1139</v>
      </c>
      <c r="D377" s="115" t="s">
        <v>1140</v>
      </c>
      <c r="E377" s="115" t="s">
        <v>1141</v>
      </c>
    </row>
    <row r="378" spans="1:5" x14ac:dyDescent="0.25">
      <c r="B378" s="115" t="s">
        <v>1139</v>
      </c>
      <c r="D378" s="115" t="s">
        <v>1140</v>
      </c>
      <c r="E378" s="115" t="s">
        <v>1141</v>
      </c>
    </row>
    <row r="379" spans="1:5" x14ac:dyDescent="0.25">
      <c r="B379" s="115" t="s">
        <v>1139</v>
      </c>
      <c r="D379" s="115" t="s">
        <v>1140</v>
      </c>
      <c r="E379" s="115" t="s">
        <v>1141</v>
      </c>
    </row>
    <row r="380" spans="1:5" x14ac:dyDescent="0.25">
      <c r="B380" s="115" t="s">
        <v>1139</v>
      </c>
      <c r="D380" s="115" t="s">
        <v>1140</v>
      </c>
      <c r="E380" s="115" t="s">
        <v>1141</v>
      </c>
    </row>
    <row r="381" spans="1:5" x14ac:dyDescent="0.25">
      <c r="B381" s="115" t="s">
        <v>1139</v>
      </c>
      <c r="D381" s="117" t="s">
        <v>1140</v>
      </c>
      <c r="E381" s="117" t="s">
        <v>1141</v>
      </c>
    </row>
    <row r="382" spans="1:5" x14ac:dyDescent="0.25">
      <c r="B382" s="115" t="s">
        <v>1139</v>
      </c>
      <c r="D382" s="115" t="s">
        <v>1140</v>
      </c>
      <c r="E382" s="115" t="s">
        <v>1141</v>
      </c>
    </row>
    <row r="383" spans="1:5" x14ac:dyDescent="0.25">
      <c r="B383" s="115" t="s">
        <v>1139</v>
      </c>
      <c r="D383" s="115" t="s">
        <v>1140</v>
      </c>
      <c r="E383" s="115" t="s">
        <v>1141</v>
      </c>
    </row>
    <row r="384" spans="1:5" x14ac:dyDescent="0.25">
      <c r="B384" s="115" t="s">
        <v>1139</v>
      </c>
      <c r="D384" s="115" t="s">
        <v>1140</v>
      </c>
      <c r="E384" s="115" t="s">
        <v>1141</v>
      </c>
    </row>
    <row r="385" spans="2:5" x14ac:dyDescent="0.25">
      <c r="B385" s="115" t="s">
        <v>1139</v>
      </c>
      <c r="D385" s="117" t="s">
        <v>1140</v>
      </c>
      <c r="E385" s="117" t="s">
        <v>1141</v>
      </c>
    </row>
    <row r="386" spans="2:5" x14ac:dyDescent="0.25">
      <c r="B386" s="115" t="s">
        <v>1139</v>
      </c>
      <c r="D386" s="115" t="s">
        <v>1140</v>
      </c>
      <c r="E386" s="115" t="s">
        <v>1141</v>
      </c>
    </row>
    <row r="387" spans="2:5" x14ac:dyDescent="0.2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25">
      <c r="B388" s="115" t="s">
        <v>1139</v>
      </c>
      <c r="D388" s="115" t="s">
        <v>1716</v>
      </c>
      <c r="E388" s="115" t="s">
        <v>1141</v>
      </c>
    </row>
    <row r="389" spans="2:5" x14ac:dyDescent="0.25">
      <c r="B389" s="115" t="s">
        <v>1139</v>
      </c>
      <c r="D389" s="115" t="s">
        <v>1717</v>
      </c>
      <c r="E389" s="115" t="s">
        <v>1718</v>
      </c>
    </row>
    <row r="390" spans="2:5" x14ac:dyDescent="0.25">
      <c r="B390" s="115" t="s">
        <v>1719</v>
      </c>
      <c r="D390" s="115" t="s">
        <v>1720</v>
      </c>
      <c r="E390" s="115" t="s">
        <v>1721</v>
      </c>
    </row>
    <row r="391" spans="2:5" x14ac:dyDescent="0.25">
      <c r="B391" s="115" t="s">
        <v>1139</v>
      </c>
      <c r="D391" s="117" t="s">
        <v>1722</v>
      </c>
      <c r="E391" s="117" t="s">
        <v>1141</v>
      </c>
    </row>
    <row r="392" spans="2:5" x14ac:dyDescent="0.25">
      <c r="B392" s="115" t="s">
        <v>1139</v>
      </c>
      <c r="D392" s="115" t="s">
        <v>1140</v>
      </c>
      <c r="E392" s="115" t="s">
        <v>1141</v>
      </c>
    </row>
    <row r="393" spans="2:5" x14ac:dyDescent="0.25">
      <c r="B393" s="115" t="s">
        <v>1139</v>
      </c>
      <c r="D393" s="115" t="s">
        <v>1140</v>
      </c>
      <c r="E393" s="115" t="s">
        <v>1141</v>
      </c>
    </row>
    <row r="394" spans="2:5" x14ac:dyDescent="0.2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25">
      <c r="B395" s="115" t="s">
        <v>1139</v>
      </c>
      <c r="D395" s="116" t="s">
        <v>1140</v>
      </c>
      <c r="E395" s="115" t="s">
        <v>1141</v>
      </c>
    </row>
    <row r="396" spans="2:5" x14ac:dyDescent="0.25">
      <c r="B396" s="115" t="s">
        <v>1139</v>
      </c>
      <c r="D396" s="115" t="s">
        <v>1723</v>
      </c>
      <c r="E396" s="115" t="s">
        <v>1724</v>
      </c>
    </row>
    <row r="397" spans="2:5" x14ac:dyDescent="0.25">
      <c r="B397" s="115" t="s">
        <v>1725</v>
      </c>
      <c r="D397" s="115" t="s">
        <v>1726</v>
      </c>
      <c r="E397" s="115" t="s">
        <v>1727</v>
      </c>
    </row>
    <row r="398" spans="2:5" x14ac:dyDescent="0.25">
      <c r="B398" s="115" t="s">
        <v>1139</v>
      </c>
      <c r="D398" s="115" t="s">
        <v>1140</v>
      </c>
      <c r="E398" s="115" t="s">
        <v>1728</v>
      </c>
    </row>
    <row r="399" spans="2:5" x14ac:dyDescent="0.2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25">
      <c r="B400" s="115" t="s">
        <v>1139</v>
      </c>
      <c r="D400" s="115" t="s">
        <v>1732</v>
      </c>
      <c r="E400" s="115" t="s">
        <v>1141</v>
      </c>
    </row>
    <row r="401" spans="1:5" x14ac:dyDescent="0.25">
      <c r="B401" s="115" t="s">
        <v>1139</v>
      </c>
      <c r="D401" s="115" t="s">
        <v>1733</v>
      </c>
      <c r="E401" s="115" t="s">
        <v>1734</v>
      </c>
    </row>
    <row r="402" spans="1:5" x14ac:dyDescent="0.2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2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2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25">
      <c r="B405" s="115" t="s">
        <v>1139</v>
      </c>
      <c r="D405" s="115" t="s">
        <v>1742</v>
      </c>
      <c r="E405" s="115" t="s">
        <v>1743</v>
      </c>
    </row>
    <row r="406" spans="1:5" x14ac:dyDescent="0.25">
      <c r="B406" s="115" t="s">
        <v>1139</v>
      </c>
      <c r="D406" s="115" t="s">
        <v>1140</v>
      </c>
      <c r="E406" s="115" t="s">
        <v>1744</v>
      </c>
    </row>
    <row r="407" spans="1:5" x14ac:dyDescent="0.2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25">
      <c r="B408" s="115" t="s">
        <v>1747</v>
      </c>
      <c r="D408" s="115" t="s">
        <v>1748</v>
      </c>
      <c r="E408" s="115" t="s">
        <v>1749</v>
      </c>
    </row>
    <row r="409" spans="1:5" x14ac:dyDescent="0.25">
      <c r="B409" s="115" t="s">
        <v>1139</v>
      </c>
      <c r="D409" s="115" t="s">
        <v>1140</v>
      </c>
      <c r="E409" s="115" t="s">
        <v>1750</v>
      </c>
    </row>
    <row r="410" spans="1:5" x14ac:dyDescent="0.2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25">
      <c r="B411" s="115" t="s">
        <v>1209</v>
      </c>
      <c r="D411" s="115" t="s">
        <v>1754</v>
      </c>
      <c r="E411" s="115" t="s">
        <v>1755</v>
      </c>
    </row>
    <row r="412" spans="1:5" x14ac:dyDescent="0.25">
      <c r="B412" s="115" t="s">
        <v>1139</v>
      </c>
      <c r="D412" s="115" t="s">
        <v>1140</v>
      </c>
      <c r="E412" s="115" t="s">
        <v>1756</v>
      </c>
    </row>
    <row r="413" spans="1:5" x14ac:dyDescent="0.2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25">
      <c r="B414" s="115" t="s">
        <v>1139</v>
      </c>
      <c r="D414" s="115" t="s">
        <v>1140</v>
      </c>
      <c r="E414" s="115" t="s">
        <v>1141</v>
      </c>
    </row>
    <row r="415" spans="1:5" x14ac:dyDescent="0.25">
      <c r="B415" s="115" t="s">
        <v>1139</v>
      </c>
      <c r="D415" s="115" t="s">
        <v>1140</v>
      </c>
      <c r="E415" s="115" t="s">
        <v>1141</v>
      </c>
    </row>
    <row r="416" spans="1:5" x14ac:dyDescent="0.25">
      <c r="B416" s="115" t="s">
        <v>1139</v>
      </c>
      <c r="D416" s="115" t="s">
        <v>1140</v>
      </c>
      <c r="E416" s="115" t="s">
        <v>1141</v>
      </c>
    </row>
    <row r="417" spans="2:5" x14ac:dyDescent="0.25">
      <c r="B417" s="115" t="s">
        <v>1139</v>
      </c>
      <c r="D417" s="115" t="s">
        <v>1140</v>
      </c>
      <c r="E417" s="115" t="s">
        <v>1141</v>
      </c>
    </row>
    <row r="418" spans="2:5" x14ac:dyDescent="0.25">
      <c r="B418" s="115" t="s">
        <v>1139</v>
      </c>
      <c r="D418" s="115" t="s">
        <v>1140</v>
      </c>
      <c r="E418" s="115" t="s">
        <v>1141</v>
      </c>
    </row>
    <row r="419" spans="2:5" x14ac:dyDescent="0.25">
      <c r="B419" s="115" t="s">
        <v>1139</v>
      </c>
      <c r="D419" s="115" t="s">
        <v>1140</v>
      </c>
      <c r="E419" s="115" t="s">
        <v>1141</v>
      </c>
    </row>
    <row r="420" spans="2:5" x14ac:dyDescent="0.25">
      <c r="B420" s="115" t="s">
        <v>1139</v>
      </c>
      <c r="D420" s="115" t="s">
        <v>1140</v>
      </c>
      <c r="E420" s="115" t="s">
        <v>1141</v>
      </c>
    </row>
    <row r="421" spans="2:5" x14ac:dyDescent="0.25">
      <c r="B421" s="115" t="s">
        <v>1139</v>
      </c>
      <c r="D421" s="115" t="s">
        <v>1140</v>
      </c>
      <c r="E421" s="115" t="s">
        <v>1141</v>
      </c>
    </row>
    <row r="422" spans="2:5" x14ac:dyDescent="0.25">
      <c r="B422" s="115" t="s">
        <v>1139</v>
      </c>
      <c r="D422" s="115" t="s">
        <v>1140</v>
      </c>
      <c r="E422" s="115" t="s">
        <v>1141</v>
      </c>
    </row>
    <row r="423" spans="2:5" x14ac:dyDescent="0.25">
      <c r="B423" s="115" t="s">
        <v>1139</v>
      </c>
      <c r="D423" s="115" t="s">
        <v>1760</v>
      </c>
      <c r="E423" s="115" t="s">
        <v>1761</v>
      </c>
    </row>
    <row r="424" spans="2:5" x14ac:dyDescent="0.25">
      <c r="B424" s="115" t="s">
        <v>1762</v>
      </c>
      <c r="D424" s="115" t="s">
        <v>1763</v>
      </c>
      <c r="E424" s="115" t="s">
        <v>1764</v>
      </c>
    </row>
    <row r="425" spans="2:5" x14ac:dyDescent="0.25">
      <c r="B425" s="115" t="s">
        <v>1139</v>
      </c>
      <c r="D425" s="115" t="s">
        <v>1140</v>
      </c>
      <c r="E425" s="115" t="s">
        <v>1765</v>
      </c>
    </row>
    <row r="426" spans="2:5" x14ac:dyDescent="0.2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25">
      <c r="B427" s="115" t="s">
        <v>1139</v>
      </c>
      <c r="D427" s="115" t="s">
        <v>1140</v>
      </c>
      <c r="E427" s="115" t="s">
        <v>1141</v>
      </c>
    </row>
    <row r="428" spans="2:5" x14ac:dyDescent="0.25">
      <c r="B428" s="115" t="s">
        <v>1139</v>
      </c>
      <c r="D428" s="115" t="s">
        <v>1140</v>
      </c>
      <c r="E428" s="115" t="s">
        <v>1141</v>
      </c>
    </row>
    <row r="429" spans="2:5" x14ac:dyDescent="0.25">
      <c r="B429" s="115" t="s">
        <v>1139</v>
      </c>
      <c r="D429" s="115" t="s">
        <v>1140</v>
      </c>
      <c r="E429" s="115" t="s">
        <v>1141</v>
      </c>
    </row>
    <row r="430" spans="2:5" x14ac:dyDescent="0.25">
      <c r="B430" s="115" t="s">
        <v>1139</v>
      </c>
      <c r="D430" s="115" t="s">
        <v>1140</v>
      </c>
      <c r="E430" s="115" t="s">
        <v>1141</v>
      </c>
    </row>
    <row r="431" spans="2:5" x14ac:dyDescent="0.25">
      <c r="B431" s="115" t="s">
        <v>1139</v>
      </c>
      <c r="D431" s="115" t="s">
        <v>1140</v>
      </c>
      <c r="E431" s="115" t="s">
        <v>1141</v>
      </c>
    </row>
    <row r="432" spans="2:5" x14ac:dyDescent="0.25">
      <c r="B432" s="115" t="s">
        <v>1139</v>
      </c>
      <c r="D432" s="115" t="s">
        <v>1140</v>
      </c>
      <c r="E432" s="115" t="s">
        <v>1141</v>
      </c>
    </row>
    <row r="433" spans="1:5" x14ac:dyDescent="0.25">
      <c r="B433" s="115" t="s">
        <v>1139</v>
      </c>
      <c r="D433" s="115" t="s">
        <v>1140</v>
      </c>
      <c r="E433" s="115" t="s">
        <v>1141</v>
      </c>
    </row>
    <row r="434" spans="1:5" x14ac:dyDescent="0.25">
      <c r="B434" s="115" t="s">
        <v>1139</v>
      </c>
      <c r="D434" s="115" t="s">
        <v>1140</v>
      </c>
      <c r="E434" s="115" t="s">
        <v>1141</v>
      </c>
    </row>
    <row r="435" spans="1:5" x14ac:dyDescent="0.25">
      <c r="B435" s="115" t="s">
        <v>1139</v>
      </c>
      <c r="D435" s="115" t="s">
        <v>1140</v>
      </c>
      <c r="E435" s="115" t="s">
        <v>1141</v>
      </c>
    </row>
    <row r="436" spans="1:5" x14ac:dyDescent="0.25">
      <c r="B436" s="115" t="s">
        <v>1139</v>
      </c>
      <c r="D436" s="115" t="s">
        <v>1140</v>
      </c>
      <c r="E436" s="115" t="s">
        <v>1141</v>
      </c>
    </row>
    <row r="437" spans="1:5" x14ac:dyDescent="0.25">
      <c r="B437" s="115" t="s">
        <v>1139</v>
      </c>
      <c r="D437" s="115" t="s">
        <v>1140</v>
      </c>
      <c r="E437" s="115" t="s">
        <v>1141</v>
      </c>
    </row>
    <row r="438" spans="1:5" x14ac:dyDescent="0.25">
      <c r="B438" s="115" t="s">
        <v>1247</v>
      </c>
      <c r="D438" s="115" t="s">
        <v>1769</v>
      </c>
      <c r="E438" s="115" t="s">
        <v>1770</v>
      </c>
    </row>
    <row r="439" spans="1:5" x14ac:dyDescent="0.25">
      <c r="B439" s="115" t="s">
        <v>1139</v>
      </c>
      <c r="D439" s="115" t="s">
        <v>1771</v>
      </c>
      <c r="E439" s="115" t="s">
        <v>1141</v>
      </c>
    </row>
    <row r="440" spans="1:5" x14ac:dyDescent="0.25">
      <c r="B440" s="115" t="s">
        <v>1139</v>
      </c>
      <c r="D440" s="115" t="s">
        <v>1772</v>
      </c>
      <c r="E440" s="115" t="s">
        <v>1773</v>
      </c>
    </row>
    <row r="441" spans="1:5" x14ac:dyDescent="0.2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25">
      <c r="B442" s="115" t="s">
        <v>1139</v>
      </c>
      <c r="D442" s="115" t="s">
        <v>1140</v>
      </c>
      <c r="E442" s="115" t="s">
        <v>1141</v>
      </c>
    </row>
    <row r="443" spans="1:5" x14ac:dyDescent="0.25">
      <c r="B443" s="115" t="s">
        <v>1139</v>
      </c>
      <c r="D443" s="115" t="s">
        <v>1140</v>
      </c>
      <c r="E443" s="115" t="s">
        <v>1141</v>
      </c>
    </row>
    <row r="444" spans="1:5" x14ac:dyDescent="0.25">
      <c r="B444" s="115" t="s">
        <v>1139</v>
      </c>
      <c r="D444" s="115" t="s">
        <v>1140</v>
      </c>
      <c r="E444" s="115" t="s">
        <v>1141</v>
      </c>
    </row>
    <row r="445" spans="1:5" x14ac:dyDescent="0.25">
      <c r="B445" s="115" t="s">
        <v>1139</v>
      </c>
      <c r="D445" s="115" t="s">
        <v>1140</v>
      </c>
      <c r="E445" s="115" t="s">
        <v>1141</v>
      </c>
    </row>
    <row r="446" spans="1:5" x14ac:dyDescent="0.25">
      <c r="B446" s="115" t="s">
        <v>1139</v>
      </c>
      <c r="D446" s="115" t="s">
        <v>1140</v>
      </c>
      <c r="E446" s="115" t="s">
        <v>1141</v>
      </c>
    </row>
    <row r="447" spans="1:5" x14ac:dyDescent="0.25">
      <c r="B447" s="115" t="s">
        <v>1139</v>
      </c>
      <c r="D447" s="115" t="s">
        <v>1140</v>
      </c>
      <c r="E447" s="115" t="s">
        <v>1141</v>
      </c>
    </row>
    <row r="448" spans="1:5" x14ac:dyDescent="0.25">
      <c r="B448" s="115" t="s">
        <v>1139</v>
      </c>
      <c r="D448" s="115" t="s">
        <v>1140</v>
      </c>
      <c r="E448" s="115" t="s">
        <v>1141</v>
      </c>
    </row>
    <row r="449" spans="1:5" x14ac:dyDescent="0.25">
      <c r="B449" s="115" t="s">
        <v>1139</v>
      </c>
      <c r="D449" s="115" t="s">
        <v>1140</v>
      </c>
      <c r="E449" s="115" t="s">
        <v>1141</v>
      </c>
    </row>
    <row r="450" spans="1:5" x14ac:dyDescent="0.25">
      <c r="B450" s="115" t="s">
        <v>1139</v>
      </c>
      <c r="D450" s="115" t="s">
        <v>1140</v>
      </c>
      <c r="E450" s="115" t="s">
        <v>1141</v>
      </c>
    </row>
    <row r="451" spans="1:5" x14ac:dyDescent="0.25">
      <c r="B451" s="115" t="s">
        <v>1139</v>
      </c>
      <c r="D451" s="115" t="s">
        <v>1140</v>
      </c>
      <c r="E451" s="115" t="s">
        <v>1141</v>
      </c>
    </row>
    <row r="452" spans="1:5" x14ac:dyDescent="0.25">
      <c r="B452" s="115" t="s">
        <v>1139</v>
      </c>
      <c r="D452" s="115" t="s">
        <v>1140</v>
      </c>
      <c r="E452" s="115" t="s">
        <v>1141</v>
      </c>
    </row>
    <row r="453" spans="1:5" x14ac:dyDescent="0.25">
      <c r="B453" s="115" t="s">
        <v>1139</v>
      </c>
      <c r="D453" s="115" t="s">
        <v>1140</v>
      </c>
      <c r="E453" s="115" t="s">
        <v>1141</v>
      </c>
    </row>
    <row r="454" spans="1:5" x14ac:dyDescent="0.25">
      <c r="B454" s="115" t="s">
        <v>1139</v>
      </c>
      <c r="D454" s="115" t="s">
        <v>1140</v>
      </c>
      <c r="E454" s="115" t="s">
        <v>1141</v>
      </c>
    </row>
    <row r="455" spans="1:5" x14ac:dyDescent="0.25">
      <c r="B455" s="115" t="s">
        <v>1139</v>
      </c>
      <c r="D455" s="115" t="s">
        <v>1140</v>
      </c>
      <c r="E455" s="115" t="s">
        <v>1141</v>
      </c>
    </row>
    <row r="456" spans="1:5" x14ac:dyDescent="0.25">
      <c r="B456" s="115" t="s">
        <v>1139</v>
      </c>
      <c r="D456" s="115" t="s">
        <v>1140</v>
      </c>
      <c r="E456" s="115" t="s">
        <v>1141</v>
      </c>
    </row>
    <row r="457" spans="1:5" x14ac:dyDescent="0.25">
      <c r="B457" s="115" t="s">
        <v>1139</v>
      </c>
      <c r="D457" s="115" t="s">
        <v>1140</v>
      </c>
      <c r="E457" s="115" t="s">
        <v>1141</v>
      </c>
    </row>
    <row r="458" spans="1:5" x14ac:dyDescent="0.25">
      <c r="B458" s="115" t="s">
        <v>1139</v>
      </c>
      <c r="D458" s="115" t="s">
        <v>1140</v>
      </c>
      <c r="E458" s="115" t="s">
        <v>1141</v>
      </c>
    </row>
    <row r="459" spans="1:5" x14ac:dyDescent="0.25">
      <c r="B459" s="115" t="s">
        <v>1139</v>
      </c>
      <c r="D459" s="115" t="s">
        <v>1140</v>
      </c>
      <c r="E459" s="115" t="s">
        <v>1141</v>
      </c>
    </row>
    <row r="460" spans="1:5" x14ac:dyDescent="0.25">
      <c r="B460" s="115" t="s">
        <v>1139</v>
      </c>
      <c r="D460" s="115" t="s">
        <v>1140</v>
      </c>
      <c r="E460" s="115" t="s">
        <v>1141</v>
      </c>
    </row>
    <row r="461" spans="1:5" x14ac:dyDescent="0.25">
      <c r="B461" s="115" t="s">
        <v>1139</v>
      </c>
      <c r="D461" s="115" t="s">
        <v>1140</v>
      </c>
      <c r="E461" s="115" t="s">
        <v>1141</v>
      </c>
    </row>
    <row r="462" spans="1:5" x14ac:dyDescent="0.25">
      <c r="B462" s="115" t="s">
        <v>1139</v>
      </c>
      <c r="D462" s="115" t="s">
        <v>1140</v>
      </c>
      <c r="E462" s="115" t="s">
        <v>1141</v>
      </c>
    </row>
    <row r="463" spans="1:5" x14ac:dyDescent="0.2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25">
      <c r="B464" s="115" t="s">
        <v>1139</v>
      </c>
      <c r="D464" s="115" t="s">
        <v>1780</v>
      </c>
      <c r="E464" s="115" t="s">
        <v>1141</v>
      </c>
    </row>
    <row r="465" spans="1:5" x14ac:dyDescent="0.25">
      <c r="B465" s="115" t="s">
        <v>1139</v>
      </c>
      <c r="D465" s="115" t="s">
        <v>1781</v>
      </c>
      <c r="E465" s="115" t="s">
        <v>1782</v>
      </c>
    </row>
    <row r="466" spans="1:5" x14ac:dyDescent="0.2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25">
      <c r="B467" s="115" t="s">
        <v>1139</v>
      </c>
      <c r="D467" s="115" t="s">
        <v>1140</v>
      </c>
      <c r="E467" s="115" t="s">
        <v>1141</v>
      </c>
    </row>
    <row r="468" spans="1:5" x14ac:dyDescent="0.25">
      <c r="B468" s="115" t="s">
        <v>1139</v>
      </c>
      <c r="D468" s="115" t="s">
        <v>1140</v>
      </c>
      <c r="E468" s="115" t="s">
        <v>1141</v>
      </c>
    </row>
    <row r="469" spans="1:5" x14ac:dyDescent="0.25">
      <c r="B469" s="115" t="s">
        <v>1139</v>
      </c>
      <c r="D469" s="115" t="s">
        <v>1140</v>
      </c>
      <c r="E469" s="115" t="s">
        <v>1141</v>
      </c>
    </row>
    <row r="470" spans="1:5" x14ac:dyDescent="0.25">
      <c r="B470" s="115" t="s">
        <v>1139</v>
      </c>
      <c r="D470" s="115" t="s">
        <v>1140</v>
      </c>
      <c r="E470" s="115" t="s">
        <v>1141</v>
      </c>
    </row>
    <row r="471" spans="1:5" x14ac:dyDescent="0.25">
      <c r="B471" s="115" t="s">
        <v>1139</v>
      </c>
      <c r="D471" s="115" t="s">
        <v>1140</v>
      </c>
      <c r="E471" s="115" t="s">
        <v>1141</v>
      </c>
    </row>
    <row r="472" spans="1:5" x14ac:dyDescent="0.25">
      <c r="B472" s="115" t="s">
        <v>1139</v>
      </c>
      <c r="D472" s="115" t="s">
        <v>1140</v>
      </c>
      <c r="E472" s="115" t="s">
        <v>1141</v>
      </c>
    </row>
    <row r="473" spans="1:5" x14ac:dyDescent="0.25">
      <c r="B473" s="115" t="s">
        <v>1139</v>
      </c>
      <c r="D473" s="115" t="s">
        <v>1140</v>
      </c>
      <c r="E473" s="115" t="s">
        <v>1141</v>
      </c>
    </row>
    <row r="474" spans="1:5" x14ac:dyDescent="0.25">
      <c r="B474" s="115" t="s">
        <v>1139</v>
      </c>
      <c r="D474" s="115" t="s">
        <v>1140</v>
      </c>
      <c r="E474" s="115" t="s">
        <v>1141</v>
      </c>
    </row>
    <row r="475" spans="1:5" x14ac:dyDescent="0.25">
      <c r="B475" s="115" t="s">
        <v>1139</v>
      </c>
      <c r="D475" s="115" t="s">
        <v>1140</v>
      </c>
      <c r="E475" s="115" t="s">
        <v>1141</v>
      </c>
    </row>
    <row r="476" spans="1:5" x14ac:dyDescent="0.25">
      <c r="B476" s="115" t="s">
        <v>1139</v>
      </c>
      <c r="D476" s="115" t="s">
        <v>1140</v>
      </c>
      <c r="E476" s="115" t="s">
        <v>1141</v>
      </c>
    </row>
    <row r="477" spans="1:5" x14ac:dyDescent="0.25">
      <c r="B477" s="115" t="s">
        <v>1139</v>
      </c>
      <c r="D477" s="115" t="s">
        <v>1140</v>
      </c>
      <c r="E477" s="115" t="s">
        <v>1141</v>
      </c>
    </row>
    <row r="478" spans="1:5" x14ac:dyDescent="0.25">
      <c r="B478" s="115" t="s">
        <v>1139</v>
      </c>
      <c r="D478" s="115" t="s">
        <v>1140</v>
      </c>
      <c r="E478" s="115" t="s">
        <v>1141</v>
      </c>
    </row>
    <row r="479" spans="1:5" x14ac:dyDescent="0.25">
      <c r="B479" s="115" t="s">
        <v>1139</v>
      </c>
      <c r="D479" s="115" t="s">
        <v>1140</v>
      </c>
      <c r="E479" s="115" t="s">
        <v>1141</v>
      </c>
    </row>
    <row r="480" spans="1:5" x14ac:dyDescent="0.25">
      <c r="B480" s="115" t="s">
        <v>1139</v>
      </c>
      <c r="D480" s="115" t="s">
        <v>1140</v>
      </c>
      <c r="E480" s="115" t="s">
        <v>1141</v>
      </c>
    </row>
    <row r="481" spans="2:5" x14ac:dyDescent="0.25">
      <c r="B481" s="115" t="s">
        <v>1139</v>
      </c>
      <c r="D481" s="115" t="s">
        <v>1140</v>
      </c>
      <c r="E481" s="115" t="s">
        <v>1141</v>
      </c>
    </row>
    <row r="482" spans="2:5" x14ac:dyDescent="0.25">
      <c r="B482" s="115" t="s">
        <v>1139</v>
      </c>
      <c r="D482" s="115" t="s">
        <v>1140</v>
      </c>
      <c r="E482" s="115" t="s">
        <v>1141</v>
      </c>
    </row>
    <row r="483" spans="2:5" x14ac:dyDescent="0.25">
      <c r="B483" s="115" t="s">
        <v>1139</v>
      </c>
      <c r="D483" s="115" t="s">
        <v>1140</v>
      </c>
      <c r="E483" s="115" t="s">
        <v>1141</v>
      </c>
    </row>
    <row r="484" spans="2:5" x14ac:dyDescent="0.25">
      <c r="B484" s="115" t="s">
        <v>1139</v>
      </c>
      <c r="D484" s="115" t="s">
        <v>1140</v>
      </c>
      <c r="E484" s="115" t="s">
        <v>1141</v>
      </c>
    </row>
    <row r="485" spans="2:5" x14ac:dyDescent="0.25">
      <c r="B485" s="115" t="s">
        <v>1139</v>
      </c>
      <c r="D485" s="115" t="s">
        <v>1140</v>
      </c>
      <c r="E485" s="115" t="s">
        <v>1141</v>
      </c>
    </row>
    <row r="486" spans="2:5" x14ac:dyDescent="0.25">
      <c r="B486" s="115" t="s">
        <v>1139</v>
      </c>
      <c r="D486" s="115" t="s">
        <v>1140</v>
      </c>
      <c r="E486" s="115" t="s">
        <v>1141</v>
      </c>
    </row>
    <row r="487" spans="2:5" x14ac:dyDescent="0.25">
      <c r="B487" s="115" t="s">
        <v>1139</v>
      </c>
      <c r="D487" s="115" t="s">
        <v>1140</v>
      </c>
      <c r="E487" s="115" t="s">
        <v>1141</v>
      </c>
    </row>
    <row r="488" spans="2:5" x14ac:dyDescent="0.25">
      <c r="B488" s="115" t="s">
        <v>1139</v>
      </c>
      <c r="D488" s="115" t="s">
        <v>1140</v>
      </c>
      <c r="E488" s="115" t="s">
        <v>1141</v>
      </c>
    </row>
    <row r="489" spans="2:5" x14ac:dyDescent="0.25">
      <c r="B489" s="115" t="s">
        <v>1139</v>
      </c>
      <c r="D489" s="115" t="s">
        <v>1140</v>
      </c>
      <c r="E489" s="115" t="s">
        <v>1141</v>
      </c>
    </row>
    <row r="490" spans="2:5" x14ac:dyDescent="0.25">
      <c r="B490" s="115" t="s">
        <v>1139</v>
      </c>
      <c r="D490" s="115" t="s">
        <v>1140</v>
      </c>
      <c r="E490" s="115" t="s">
        <v>1141</v>
      </c>
    </row>
    <row r="491" spans="2:5" x14ac:dyDescent="0.25">
      <c r="B491" s="115" t="s">
        <v>1139</v>
      </c>
      <c r="D491" s="115" t="s">
        <v>1140</v>
      </c>
      <c r="E491" s="115" t="s">
        <v>1141</v>
      </c>
    </row>
    <row r="492" spans="2:5" x14ac:dyDescent="0.25">
      <c r="B492" s="115" t="s">
        <v>1139</v>
      </c>
      <c r="D492" s="115" t="s">
        <v>1140</v>
      </c>
      <c r="E492" s="115" t="s">
        <v>1141</v>
      </c>
    </row>
    <row r="493" spans="2:5" x14ac:dyDescent="0.25">
      <c r="B493" s="115" t="s">
        <v>1139</v>
      </c>
      <c r="D493" s="115" t="s">
        <v>1140</v>
      </c>
      <c r="E493" s="115" t="s">
        <v>1141</v>
      </c>
    </row>
    <row r="494" spans="2:5" x14ac:dyDescent="0.25">
      <c r="B494" s="115" t="s">
        <v>1139</v>
      </c>
      <c r="D494" s="115" t="s">
        <v>1140</v>
      </c>
      <c r="E494" s="115" t="s">
        <v>1141</v>
      </c>
    </row>
    <row r="495" spans="2:5" x14ac:dyDescent="0.25">
      <c r="B495" s="115" t="s">
        <v>1139</v>
      </c>
      <c r="D495" s="115" t="s">
        <v>1140</v>
      </c>
      <c r="E495" s="115" t="s">
        <v>1141</v>
      </c>
    </row>
    <row r="496" spans="2:5" x14ac:dyDescent="0.25">
      <c r="B496" s="115" t="s">
        <v>1139</v>
      </c>
      <c r="D496" s="115" t="s">
        <v>1140</v>
      </c>
      <c r="E496" s="115" t="s">
        <v>1141</v>
      </c>
    </row>
    <row r="497" spans="1:5" x14ac:dyDescent="0.25">
      <c r="B497" s="115" t="s">
        <v>1139</v>
      </c>
      <c r="D497" s="115" t="s">
        <v>1140</v>
      </c>
      <c r="E497" s="115" t="s">
        <v>1141</v>
      </c>
    </row>
    <row r="498" spans="1:5" x14ac:dyDescent="0.25">
      <c r="B498" s="115" t="s">
        <v>1139</v>
      </c>
      <c r="D498" s="115" t="s">
        <v>1140</v>
      </c>
      <c r="E498" s="115" t="s">
        <v>1141</v>
      </c>
    </row>
    <row r="499" spans="1:5" x14ac:dyDescent="0.25">
      <c r="B499" s="115" t="s">
        <v>1139</v>
      </c>
      <c r="D499" s="115" t="s">
        <v>1140</v>
      </c>
      <c r="E499" s="115" t="s">
        <v>1141</v>
      </c>
    </row>
    <row r="500" spans="1:5" x14ac:dyDescent="0.25">
      <c r="B500" s="115" t="s">
        <v>1139</v>
      </c>
      <c r="D500" s="115" t="s">
        <v>1140</v>
      </c>
      <c r="E500" s="115" t="s">
        <v>1141</v>
      </c>
    </row>
    <row r="501" spans="1:5" x14ac:dyDescent="0.25">
      <c r="B501" s="115" t="s">
        <v>1139</v>
      </c>
      <c r="D501" s="115" t="s">
        <v>1140</v>
      </c>
      <c r="E501" s="115" t="s">
        <v>1786</v>
      </c>
    </row>
    <row r="502" spans="1:5" x14ac:dyDescent="0.2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2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2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25">
      <c r="B505" s="115" t="s">
        <v>1139</v>
      </c>
      <c r="D505" s="115" t="s">
        <v>1794</v>
      </c>
      <c r="E505" s="115" t="s">
        <v>1795</v>
      </c>
    </row>
    <row r="506" spans="1:5" x14ac:dyDescent="0.25">
      <c r="B506" s="115" t="s">
        <v>1139</v>
      </c>
      <c r="D506" s="115" t="s">
        <v>1796</v>
      </c>
      <c r="E506" s="115" t="s">
        <v>1141</v>
      </c>
    </row>
    <row r="507" spans="1:5" x14ac:dyDescent="0.2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25">
      <c r="B508" s="115" t="s">
        <v>1139</v>
      </c>
      <c r="D508" s="115" t="s">
        <v>1800</v>
      </c>
      <c r="E508" s="115" t="s">
        <v>1141</v>
      </c>
    </row>
    <row r="509" spans="1:5" x14ac:dyDescent="0.25">
      <c r="B509" s="115" t="s">
        <v>1139</v>
      </c>
      <c r="D509" s="115" t="s">
        <v>1801</v>
      </c>
      <c r="E509" s="115" t="s">
        <v>1802</v>
      </c>
    </row>
    <row r="510" spans="1:5" x14ac:dyDescent="0.25">
      <c r="B510" s="115" t="s">
        <v>1803</v>
      </c>
      <c r="D510" s="115" t="s">
        <v>1804</v>
      </c>
      <c r="E510" s="115" t="s">
        <v>1805</v>
      </c>
    </row>
    <row r="511" spans="1:5" x14ac:dyDescent="0.25">
      <c r="B511" s="115" t="s">
        <v>1806</v>
      </c>
      <c r="D511" s="115" t="s">
        <v>1140</v>
      </c>
      <c r="E511" s="115" t="s">
        <v>1807</v>
      </c>
    </row>
    <row r="512" spans="1:5" x14ac:dyDescent="0.25">
      <c r="B512" s="115" t="s">
        <v>1139</v>
      </c>
      <c r="D512" s="115" t="s">
        <v>1808</v>
      </c>
      <c r="E512" s="115" t="s">
        <v>1141</v>
      </c>
    </row>
    <row r="513" spans="1:5" x14ac:dyDescent="0.25">
      <c r="B513" s="115" t="s">
        <v>1139</v>
      </c>
      <c r="D513" s="115" t="s">
        <v>1140</v>
      </c>
      <c r="E513" s="115" t="s">
        <v>1141</v>
      </c>
    </row>
    <row r="514" spans="1:5" x14ac:dyDescent="0.25">
      <c r="B514" s="115" t="s">
        <v>1139</v>
      </c>
      <c r="D514" s="115" t="s">
        <v>1140</v>
      </c>
      <c r="E514" s="115" t="s">
        <v>1141</v>
      </c>
    </row>
    <row r="515" spans="1:5" x14ac:dyDescent="0.25">
      <c r="B515" s="115" t="s">
        <v>1139</v>
      </c>
      <c r="D515" s="115" t="s">
        <v>1140</v>
      </c>
      <c r="E515" s="115" t="s">
        <v>1141</v>
      </c>
    </row>
    <row r="516" spans="1:5" x14ac:dyDescent="0.25">
      <c r="B516" s="115" t="s">
        <v>1139</v>
      </c>
      <c r="D516" s="115" t="s">
        <v>1140</v>
      </c>
      <c r="E516" s="115" t="s">
        <v>1141</v>
      </c>
    </row>
    <row r="517" spans="1:5" x14ac:dyDescent="0.25">
      <c r="B517" s="115" t="s">
        <v>1139</v>
      </c>
      <c r="D517" s="115" t="s">
        <v>1140</v>
      </c>
      <c r="E517" s="115" t="s">
        <v>1141</v>
      </c>
    </row>
    <row r="518" spans="1:5" x14ac:dyDescent="0.2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2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25">
      <c r="B520" s="115" t="s">
        <v>1139</v>
      </c>
      <c r="D520" s="115" t="s">
        <v>1813</v>
      </c>
      <c r="E520" s="115" t="s">
        <v>1814</v>
      </c>
    </row>
    <row r="521" spans="1:5" x14ac:dyDescent="0.2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25">
      <c r="B522" s="115" t="s">
        <v>1139</v>
      </c>
      <c r="D522" s="115" t="s">
        <v>1818</v>
      </c>
      <c r="E522" s="115" t="s">
        <v>1819</v>
      </c>
    </row>
    <row r="523" spans="1:5" x14ac:dyDescent="0.25">
      <c r="B523" s="115" t="s">
        <v>1139</v>
      </c>
      <c r="D523" s="115" t="s">
        <v>1820</v>
      </c>
      <c r="E523" s="115" t="s">
        <v>1141</v>
      </c>
    </row>
    <row r="524" spans="1:5" x14ac:dyDescent="0.25">
      <c r="B524" s="115" t="s">
        <v>1139</v>
      </c>
      <c r="D524" s="115" t="s">
        <v>1140</v>
      </c>
      <c r="E524" s="115" t="s">
        <v>1141</v>
      </c>
    </row>
    <row r="525" spans="1:5" x14ac:dyDescent="0.25">
      <c r="B525" s="115" t="s">
        <v>1139</v>
      </c>
      <c r="D525" s="115" t="s">
        <v>1140</v>
      </c>
      <c r="E525" s="115" t="s">
        <v>1141</v>
      </c>
    </row>
    <row r="526" spans="1:5" x14ac:dyDescent="0.25">
      <c r="B526" s="115" t="s">
        <v>1139</v>
      </c>
      <c r="D526" s="115" t="s">
        <v>1140</v>
      </c>
      <c r="E526" s="115" t="s">
        <v>1141</v>
      </c>
    </row>
    <row r="527" spans="1:5" x14ac:dyDescent="0.25">
      <c r="B527" s="115" t="s">
        <v>1139</v>
      </c>
      <c r="D527" s="115" t="s">
        <v>1140</v>
      </c>
      <c r="E527" s="115" t="s">
        <v>1141</v>
      </c>
    </row>
    <row r="528" spans="1:5" x14ac:dyDescent="0.25">
      <c r="B528" s="115" t="s">
        <v>1139</v>
      </c>
      <c r="D528" s="115" t="s">
        <v>1140</v>
      </c>
      <c r="E528" s="115" t="s">
        <v>1141</v>
      </c>
    </row>
    <row r="529" spans="2:5" x14ac:dyDescent="0.25">
      <c r="B529" s="115" t="s">
        <v>1139</v>
      </c>
      <c r="D529" s="115" t="s">
        <v>1140</v>
      </c>
      <c r="E529" s="115" t="s">
        <v>1141</v>
      </c>
    </row>
    <row r="530" spans="2:5" x14ac:dyDescent="0.25">
      <c r="B530" s="115" t="s">
        <v>1139</v>
      </c>
      <c r="D530" s="115" t="s">
        <v>1140</v>
      </c>
      <c r="E530" s="115" t="s">
        <v>1141</v>
      </c>
    </row>
    <row r="531" spans="2:5" x14ac:dyDescent="0.25">
      <c r="B531" s="115" t="s">
        <v>1139</v>
      </c>
      <c r="D531" s="115" t="s">
        <v>1140</v>
      </c>
      <c r="E531" s="115" t="s">
        <v>1141</v>
      </c>
    </row>
    <row r="532" spans="2:5" x14ac:dyDescent="0.25">
      <c r="B532" s="115" t="s">
        <v>1139</v>
      </c>
      <c r="D532" s="115" t="s">
        <v>1140</v>
      </c>
      <c r="E532" s="115" t="s">
        <v>1141</v>
      </c>
    </row>
    <row r="533" spans="2:5" x14ac:dyDescent="0.25">
      <c r="B533" s="115" t="s">
        <v>1139</v>
      </c>
      <c r="D533" s="115" t="s">
        <v>1140</v>
      </c>
      <c r="E533" s="115" t="s">
        <v>1141</v>
      </c>
    </row>
    <row r="534" spans="2:5" x14ac:dyDescent="0.25">
      <c r="B534" s="115" t="s">
        <v>1139</v>
      </c>
      <c r="D534" s="115" t="s">
        <v>1140</v>
      </c>
      <c r="E534" s="115" t="s">
        <v>1141</v>
      </c>
    </row>
    <row r="535" spans="2:5" x14ac:dyDescent="0.25">
      <c r="B535" s="115" t="s">
        <v>1139</v>
      </c>
      <c r="D535" s="115" t="s">
        <v>1140</v>
      </c>
      <c r="E535" s="115" t="s">
        <v>1141</v>
      </c>
    </row>
    <row r="536" spans="2:5" x14ac:dyDescent="0.25">
      <c r="B536" s="115" t="s">
        <v>1139</v>
      </c>
      <c r="D536" s="115" t="s">
        <v>1140</v>
      </c>
      <c r="E536" s="115" t="s">
        <v>1141</v>
      </c>
    </row>
    <row r="537" spans="2:5" x14ac:dyDescent="0.25">
      <c r="B537" s="115" t="s">
        <v>1139</v>
      </c>
      <c r="D537" s="115" t="s">
        <v>1140</v>
      </c>
      <c r="E537" s="115" t="s">
        <v>1141</v>
      </c>
    </row>
    <row r="538" spans="2:5" x14ac:dyDescent="0.25">
      <c r="B538" s="115" t="s">
        <v>1139</v>
      </c>
      <c r="D538" s="115" t="s">
        <v>1140</v>
      </c>
      <c r="E538" s="115" t="s">
        <v>1141</v>
      </c>
    </row>
    <row r="539" spans="2:5" x14ac:dyDescent="0.25">
      <c r="B539" s="115" t="s">
        <v>1139</v>
      </c>
      <c r="D539" s="115" t="s">
        <v>1140</v>
      </c>
      <c r="E539" s="115" t="s">
        <v>1141</v>
      </c>
    </row>
    <row r="540" spans="2:5" x14ac:dyDescent="0.25">
      <c r="B540" s="115" t="s">
        <v>1139</v>
      </c>
      <c r="D540" s="115" t="s">
        <v>1140</v>
      </c>
      <c r="E540" s="115" t="s">
        <v>1141</v>
      </c>
    </row>
    <row r="541" spans="2:5" x14ac:dyDescent="0.25">
      <c r="B541" s="115" t="s">
        <v>1139</v>
      </c>
      <c r="D541" s="115" t="s">
        <v>1140</v>
      </c>
      <c r="E541" s="115" t="s">
        <v>1141</v>
      </c>
    </row>
    <row r="542" spans="2:5" x14ac:dyDescent="0.25">
      <c r="B542" s="115" t="s">
        <v>1139</v>
      </c>
      <c r="D542" s="115" t="s">
        <v>1140</v>
      </c>
      <c r="E542" s="115" t="s">
        <v>1141</v>
      </c>
    </row>
    <row r="543" spans="2:5" x14ac:dyDescent="0.25">
      <c r="B543" s="115" t="s">
        <v>1139</v>
      </c>
      <c r="D543" s="115" t="s">
        <v>1140</v>
      </c>
      <c r="E543" s="115" t="s">
        <v>1141</v>
      </c>
    </row>
    <row r="544" spans="2:5" x14ac:dyDescent="0.25">
      <c r="B544" s="115" t="s">
        <v>1139</v>
      </c>
      <c r="D544" s="115" t="s">
        <v>1140</v>
      </c>
      <c r="E544" s="115" t="s">
        <v>1141</v>
      </c>
    </row>
    <row r="545" spans="1:5" x14ac:dyDescent="0.25">
      <c r="B545" s="115" t="s">
        <v>1139</v>
      </c>
      <c r="D545" s="115" t="s">
        <v>1140</v>
      </c>
      <c r="E545" s="115" t="s">
        <v>1141</v>
      </c>
    </row>
    <row r="546" spans="1:5" x14ac:dyDescent="0.25">
      <c r="B546" s="115" t="s">
        <v>1139</v>
      </c>
      <c r="D546" s="115" t="s">
        <v>1140</v>
      </c>
      <c r="E546" s="115" t="s">
        <v>1141</v>
      </c>
    </row>
    <row r="547" spans="1:5" x14ac:dyDescent="0.2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25">
      <c r="B548" s="115" t="s">
        <v>1139</v>
      </c>
      <c r="D548" s="115" t="s">
        <v>1824</v>
      </c>
      <c r="E548" s="115" t="s">
        <v>1141</v>
      </c>
    </row>
    <row r="549" spans="1:5" x14ac:dyDescent="0.25">
      <c r="B549" s="115" t="s">
        <v>1139</v>
      </c>
      <c r="D549" s="115" t="s">
        <v>1825</v>
      </c>
      <c r="E549" s="115" t="s">
        <v>1826</v>
      </c>
    </row>
    <row r="550" spans="1:5" x14ac:dyDescent="0.2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25">
      <c r="B551" s="115" t="s">
        <v>1139</v>
      </c>
      <c r="D551" s="115" t="s">
        <v>1830</v>
      </c>
      <c r="E551" s="115" t="s">
        <v>1819</v>
      </c>
    </row>
    <row r="552" spans="1:5" x14ac:dyDescent="0.25">
      <c r="B552" s="115" t="s">
        <v>1139</v>
      </c>
      <c r="D552" s="115" t="s">
        <v>1831</v>
      </c>
      <c r="E552" s="115" t="s">
        <v>1832</v>
      </c>
    </row>
    <row r="553" spans="1:5" x14ac:dyDescent="0.25">
      <c r="B553" s="115" t="s">
        <v>1833</v>
      </c>
      <c r="D553" s="115" t="s">
        <v>1834</v>
      </c>
      <c r="E553" s="115" t="s">
        <v>1835</v>
      </c>
    </row>
    <row r="554" spans="1:5" x14ac:dyDescent="0.25">
      <c r="B554" s="115" t="s">
        <v>1139</v>
      </c>
      <c r="D554" s="115" t="s">
        <v>1836</v>
      </c>
      <c r="E554" s="115" t="s">
        <v>1141</v>
      </c>
    </row>
    <row r="555" spans="1:5" x14ac:dyDescent="0.25">
      <c r="B555" s="115" t="s">
        <v>1139</v>
      </c>
      <c r="D555" s="115" t="s">
        <v>1837</v>
      </c>
      <c r="E555" s="115" t="s">
        <v>1838</v>
      </c>
    </row>
    <row r="556" spans="1:5" x14ac:dyDescent="0.25">
      <c r="B556" s="115" t="s">
        <v>1839</v>
      </c>
      <c r="D556" s="115" t="s">
        <v>1840</v>
      </c>
      <c r="E556" s="115" t="s">
        <v>1841</v>
      </c>
    </row>
    <row r="557" spans="1:5" x14ac:dyDescent="0.2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25">
      <c r="B558" s="115" t="s">
        <v>1139</v>
      </c>
      <c r="D558" s="115" t="s">
        <v>1843</v>
      </c>
      <c r="E558" s="115" t="s">
        <v>1844</v>
      </c>
    </row>
    <row r="559" spans="1:5" x14ac:dyDescent="0.25">
      <c r="B559" s="115" t="s">
        <v>1139</v>
      </c>
      <c r="D559" s="115" t="s">
        <v>1845</v>
      </c>
      <c r="E559" s="115" t="s">
        <v>1846</v>
      </c>
    </row>
    <row r="560" spans="1:5" x14ac:dyDescent="0.25">
      <c r="B560" s="115" t="s">
        <v>1847</v>
      </c>
      <c r="D560" s="115" t="s">
        <v>1848</v>
      </c>
      <c r="E560" s="115" t="s">
        <v>1849</v>
      </c>
    </row>
    <row r="561" spans="2:5" x14ac:dyDescent="0.25">
      <c r="B561" s="115" t="s">
        <v>1139</v>
      </c>
      <c r="D561" s="115" t="s">
        <v>1850</v>
      </c>
      <c r="E561" s="115" t="s">
        <v>1851</v>
      </c>
    </row>
    <row r="562" spans="2:5" x14ac:dyDescent="0.25">
      <c r="B562" s="115" t="s">
        <v>1852</v>
      </c>
      <c r="D562" s="115" t="s">
        <v>1853</v>
      </c>
      <c r="E562" s="115" t="s">
        <v>1854</v>
      </c>
    </row>
    <row r="563" spans="2:5" x14ac:dyDescent="0.25">
      <c r="B563" s="115" t="s">
        <v>1139</v>
      </c>
      <c r="D563" s="115" t="s">
        <v>1855</v>
      </c>
      <c r="E563" s="115" t="s">
        <v>1856</v>
      </c>
    </row>
    <row r="564" spans="2:5" x14ac:dyDescent="0.25">
      <c r="B564" s="115" t="s">
        <v>1139</v>
      </c>
      <c r="D564" s="115" t="s">
        <v>1140</v>
      </c>
      <c r="E564" s="115" t="s">
        <v>1857</v>
      </c>
    </row>
    <row r="565" spans="2:5" x14ac:dyDescent="0.25">
      <c r="B565" s="115" t="s">
        <v>1139</v>
      </c>
      <c r="D565" s="115" t="s">
        <v>1858</v>
      </c>
      <c r="E565" s="115" t="s">
        <v>1859</v>
      </c>
    </row>
    <row r="566" spans="2:5" x14ac:dyDescent="0.25">
      <c r="B566" s="115" t="s">
        <v>1139</v>
      </c>
      <c r="D566" s="115" t="s">
        <v>1140</v>
      </c>
      <c r="E566" s="115" t="s">
        <v>1141</v>
      </c>
    </row>
    <row r="567" spans="2:5" x14ac:dyDescent="0.25">
      <c r="B567" s="115" t="s">
        <v>1139</v>
      </c>
      <c r="D567" s="115" t="s">
        <v>1140</v>
      </c>
      <c r="E567" s="115" t="s">
        <v>1141</v>
      </c>
    </row>
    <row r="568" spans="2:5" x14ac:dyDescent="0.25">
      <c r="B568" s="115" t="s">
        <v>1139</v>
      </c>
      <c r="D568" s="115" t="s">
        <v>1140</v>
      </c>
      <c r="E568" s="115" t="s">
        <v>1141</v>
      </c>
    </row>
    <row r="569" spans="2:5" x14ac:dyDescent="0.25">
      <c r="B569" s="115" t="s">
        <v>1139</v>
      </c>
      <c r="D569" s="115" t="s">
        <v>1140</v>
      </c>
      <c r="E569" s="115" t="s">
        <v>1141</v>
      </c>
    </row>
    <row r="570" spans="2:5" x14ac:dyDescent="0.25">
      <c r="B570" s="115" t="s">
        <v>1139</v>
      </c>
      <c r="D570" s="115" t="s">
        <v>1140</v>
      </c>
      <c r="E570" s="115" t="s">
        <v>1141</v>
      </c>
    </row>
    <row r="571" spans="2:5" x14ac:dyDescent="0.25">
      <c r="B571" s="115" t="s">
        <v>1139</v>
      </c>
      <c r="D571" s="115" t="s">
        <v>1140</v>
      </c>
      <c r="E571" s="115" t="s">
        <v>1141</v>
      </c>
    </row>
    <row r="572" spans="2:5" x14ac:dyDescent="0.25">
      <c r="B572" s="115" t="s">
        <v>1139</v>
      </c>
      <c r="D572" s="115" t="s">
        <v>1140</v>
      </c>
      <c r="E572" s="115" t="s">
        <v>1141</v>
      </c>
    </row>
    <row r="573" spans="2:5" x14ac:dyDescent="0.25">
      <c r="B573" s="115" t="s">
        <v>1139</v>
      </c>
      <c r="D573" s="115" t="s">
        <v>1140</v>
      </c>
      <c r="E573" s="115" t="s">
        <v>1141</v>
      </c>
    </row>
    <row r="574" spans="2:5" x14ac:dyDescent="0.25">
      <c r="B574" s="115" t="s">
        <v>1139</v>
      </c>
      <c r="D574" s="115" t="s">
        <v>1140</v>
      </c>
      <c r="E574" s="115" t="s">
        <v>1141</v>
      </c>
    </row>
    <row r="575" spans="2:5" x14ac:dyDescent="0.25">
      <c r="B575" s="115" t="s">
        <v>1139</v>
      </c>
      <c r="D575" s="115" t="s">
        <v>1140</v>
      </c>
      <c r="E575" s="115" t="s">
        <v>1141</v>
      </c>
    </row>
    <row r="576" spans="2:5" x14ac:dyDescent="0.25">
      <c r="B576" s="115" t="s">
        <v>1139</v>
      </c>
      <c r="D576" s="115" t="s">
        <v>1140</v>
      </c>
      <c r="E576" s="115" t="s">
        <v>1141</v>
      </c>
    </row>
    <row r="577" spans="1:5" x14ac:dyDescent="0.25">
      <c r="B577" s="115" t="s">
        <v>1139</v>
      </c>
      <c r="D577" s="115" t="s">
        <v>1140</v>
      </c>
      <c r="E577" s="115" t="s">
        <v>1141</v>
      </c>
    </row>
    <row r="578" spans="1:5" x14ac:dyDescent="0.25">
      <c r="B578" s="115" t="s">
        <v>1139</v>
      </c>
      <c r="D578" s="115" t="s">
        <v>1860</v>
      </c>
      <c r="E578" s="115" t="s">
        <v>1861</v>
      </c>
    </row>
    <row r="579" spans="1:5" x14ac:dyDescent="0.25">
      <c r="B579" s="115" t="s">
        <v>1862</v>
      </c>
      <c r="D579" s="115" t="s">
        <v>1863</v>
      </c>
      <c r="E579" s="115" t="s">
        <v>1864</v>
      </c>
    </row>
    <row r="580" spans="1:5" x14ac:dyDescent="0.25">
      <c r="B580" s="115" t="s">
        <v>1139</v>
      </c>
      <c r="D580" s="115" t="s">
        <v>1140</v>
      </c>
      <c r="E580" s="115" t="s">
        <v>1865</v>
      </c>
    </row>
    <row r="581" spans="1:5" x14ac:dyDescent="0.25">
      <c r="B581" s="115" t="s">
        <v>1866</v>
      </c>
      <c r="D581" s="115" t="s">
        <v>1867</v>
      </c>
      <c r="E581" s="115" t="s">
        <v>1868</v>
      </c>
    </row>
    <row r="582" spans="1:5" x14ac:dyDescent="0.25">
      <c r="B582" s="115" t="s">
        <v>1654</v>
      </c>
      <c r="D582" s="115" t="s">
        <v>1430</v>
      </c>
      <c r="E582" s="115" t="s">
        <v>1141</v>
      </c>
    </row>
    <row r="583" spans="1:5" x14ac:dyDescent="0.25">
      <c r="B583" s="115" t="s">
        <v>1869</v>
      </c>
      <c r="D583" s="115" t="s">
        <v>1140</v>
      </c>
      <c r="E583" s="115" t="s">
        <v>1870</v>
      </c>
    </row>
    <row r="584" spans="1:5" x14ac:dyDescent="0.25">
      <c r="B584" s="115" t="s">
        <v>1871</v>
      </c>
      <c r="D584" s="115" t="s">
        <v>1140</v>
      </c>
      <c r="E584" s="115" t="s">
        <v>1872</v>
      </c>
    </row>
    <row r="585" spans="1:5" x14ac:dyDescent="0.25">
      <c r="B585" s="115" t="s">
        <v>1873</v>
      </c>
      <c r="D585" s="115" t="s">
        <v>1874</v>
      </c>
      <c r="E585" s="115" t="s">
        <v>1875</v>
      </c>
    </row>
    <row r="586" spans="1:5" x14ac:dyDescent="0.25">
      <c r="B586" s="115" t="s">
        <v>1139</v>
      </c>
      <c r="D586" s="115" t="s">
        <v>1876</v>
      </c>
      <c r="E586" s="115" t="s">
        <v>1141</v>
      </c>
    </row>
    <row r="587" spans="1:5" x14ac:dyDescent="0.25">
      <c r="B587" s="115" t="s">
        <v>1139</v>
      </c>
      <c r="D587" s="115" t="s">
        <v>1877</v>
      </c>
      <c r="E587" s="115" t="s">
        <v>1878</v>
      </c>
    </row>
    <row r="588" spans="1:5" x14ac:dyDescent="0.25">
      <c r="B588" s="115" t="s">
        <v>1879</v>
      </c>
      <c r="D588" s="115" t="s">
        <v>1221</v>
      </c>
      <c r="E588" s="115" t="s">
        <v>1880</v>
      </c>
    </row>
    <row r="589" spans="1:5" x14ac:dyDescent="0.2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25">
      <c r="B590" s="115" t="s">
        <v>1139</v>
      </c>
      <c r="D590" s="115" t="s">
        <v>1882</v>
      </c>
      <c r="E590" s="115" t="s">
        <v>1883</v>
      </c>
    </row>
    <row r="591" spans="1:5" x14ac:dyDescent="0.2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25">
      <c r="B592" s="115" t="s">
        <v>1139</v>
      </c>
      <c r="D592" s="115" t="s">
        <v>1140</v>
      </c>
      <c r="E592" s="115" t="s">
        <v>1141</v>
      </c>
    </row>
    <row r="593" spans="1:5" x14ac:dyDescent="0.25">
      <c r="B593" s="115" t="s">
        <v>1139</v>
      </c>
      <c r="D593" s="115" t="s">
        <v>1140</v>
      </c>
      <c r="E593" s="115" t="s">
        <v>1141</v>
      </c>
    </row>
    <row r="594" spans="1:5" x14ac:dyDescent="0.25">
      <c r="B594" s="115" t="s">
        <v>1139</v>
      </c>
      <c r="D594" s="115" t="s">
        <v>1140</v>
      </c>
      <c r="E594" s="115" t="s">
        <v>1141</v>
      </c>
    </row>
    <row r="595" spans="1:5" x14ac:dyDescent="0.25">
      <c r="B595" s="115" t="s">
        <v>1139</v>
      </c>
      <c r="D595" s="115" t="s">
        <v>1140</v>
      </c>
      <c r="E595" s="115" t="s">
        <v>1141</v>
      </c>
    </row>
    <row r="596" spans="1:5" x14ac:dyDescent="0.25">
      <c r="B596" s="115" t="s">
        <v>1139</v>
      </c>
      <c r="D596" s="115" t="s">
        <v>1140</v>
      </c>
      <c r="E596" s="115" t="s">
        <v>1141</v>
      </c>
    </row>
    <row r="597" spans="1:5" x14ac:dyDescent="0.25">
      <c r="B597" s="115" t="s">
        <v>1139</v>
      </c>
      <c r="D597" s="115" t="s">
        <v>1140</v>
      </c>
      <c r="E597" s="115" t="s">
        <v>1141</v>
      </c>
    </row>
    <row r="598" spans="1:5" x14ac:dyDescent="0.25">
      <c r="B598" s="115" t="s">
        <v>1139</v>
      </c>
      <c r="D598" s="115" t="s">
        <v>1140</v>
      </c>
      <c r="E598" s="115" t="s">
        <v>1886</v>
      </c>
    </row>
    <row r="599" spans="1:5" x14ac:dyDescent="0.25">
      <c r="B599" s="115" t="s">
        <v>1139</v>
      </c>
      <c r="D599" s="115" t="s">
        <v>1887</v>
      </c>
      <c r="E599" s="115" t="s">
        <v>1888</v>
      </c>
    </row>
    <row r="600" spans="1:5" x14ac:dyDescent="0.25">
      <c r="B600" s="115" t="s">
        <v>1139</v>
      </c>
      <c r="D600" s="115" t="s">
        <v>1140</v>
      </c>
      <c r="E600" s="115" t="s">
        <v>1889</v>
      </c>
    </row>
    <row r="601" spans="1:5" x14ac:dyDescent="0.25">
      <c r="B601" s="115" t="s">
        <v>1139</v>
      </c>
      <c r="D601" s="115" t="s">
        <v>1890</v>
      </c>
      <c r="E601" s="115" t="s">
        <v>1891</v>
      </c>
    </row>
    <row r="602" spans="1:5" x14ac:dyDescent="0.25">
      <c r="B602" s="115" t="s">
        <v>1892</v>
      </c>
      <c r="D602" s="115" t="s">
        <v>1893</v>
      </c>
      <c r="E602" s="115" t="s">
        <v>1894</v>
      </c>
    </row>
    <row r="603" spans="1:5" x14ac:dyDescent="0.25">
      <c r="B603" s="115" t="s">
        <v>1327</v>
      </c>
      <c r="D603" s="115" t="s">
        <v>1140</v>
      </c>
      <c r="E603" s="115" t="s">
        <v>1895</v>
      </c>
    </row>
    <row r="604" spans="1:5" x14ac:dyDescent="0.2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2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25">
      <c r="B606" s="115" t="s">
        <v>1283</v>
      </c>
      <c r="D606" s="115" t="s">
        <v>1540</v>
      </c>
      <c r="E606" s="115" t="s">
        <v>1900</v>
      </c>
    </row>
    <row r="607" spans="1:5" x14ac:dyDescent="0.25">
      <c r="B607" s="115" t="s">
        <v>1139</v>
      </c>
      <c r="D607" s="115" t="s">
        <v>1140</v>
      </c>
      <c r="E607" s="115" t="s">
        <v>1901</v>
      </c>
    </row>
    <row r="608" spans="1:5" x14ac:dyDescent="0.25">
      <c r="B608" s="115" t="s">
        <v>1902</v>
      </c>
      <c r="D608" s="115" t="s">
        <v>1903</v>
      </c>
      <c r="E608" s="115" t="s">
        <v>1904</v>
      </c>
    </row>
    <row r="609" spans="1:5" x14ac:dyDescent="0.2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25">
      <c r="B610" s="115" t="s">
        <v>1906</v>
      </c>
      <c r="D610" s="115" t="s">
        <v>1140</v>
      </c>
      <c r="E610" s="115" t="s">
        <v>1907</v>
      </c>
    </row>
    <row r="611" spans="1:5" x14ac:dyDescent="0.25">
      <c r="B611" s="115" t="s">
        <v>1908</v>
      </c>
      <c r="D611" s="115" t="s">
        <v>1140</v>
      </c>
      <c r="E611" s="115" t="s">
        <v>1909</v>
      </c>
    </row>
    <row r="612" spans="1:5" x14ac:dyDescent="0.25">
      <c r="B612" s="115" t="s">
        <v>1910</v>
      </c>
      <c r="D612" s="115" t="s">
        <v>1911</v>
      </c>
      <c r="E612" s="115" t="s">
        <v>1912</v>
      </c>
    </row>
    <row r="613" spans="1:5" x14ac:dyDescent="0.25">
      <c r="B613" s="115" t="s">
        <v>1677</v>
      </c>
      <c r="D613" s="115" t="s">
        <v>1913</v>
      </c>
      <c r="E613" s="115" t="s">
        <v>1914</v>
      </c>
    </row>
    <row r="614" spans="1:5" x14ac:dyDescent="0.25">
      <c r="B614" s="115" t="s">
        <v>1139</v>
      </c>
      <c r="D614" s="115" t="s">
        <v>1140</v>
      </c>
      <c r="E614" s="115" t="s">
        <v>1915</v>
      </c>
    </row>
    <row r="615" spans="1:5" x14ac:dyDescent="0.25">
      <c r="B615" s="115" t="s">
        <v>1916</v>
      </c>
      <c r="D615" s="115" t="s">
        <v>1917</v>
      </c>
      <c r="E615" s="115" t="s">
        <v>1918</v>
      </c>
    </row>
    <row r="616" spans="1:5" x14ac:dyDescent="0.25">
      <c r="B616" s="115" t="s">
        <v>1348</v>
      </c>
      <c r="D616" s="115" t="s">
        <v>1919</v>
      </c>
      <c r="E616" s="115" t="s">
        <v>1141</v>
      </c>
    </row>
    <row r="617" spans="1:5" x14ac:dyDescent="0.25">
      <c r="B617" s="115" t="s">
        <v>1356</v>
      </c>
      <c r="D617" s="115" t="s">
        <v>1140</v>
      </c>
      <c r="E617" s="115" t="s">
        <v>1920</v>
      </c>
    </row>
    <row r="618" spans="1:5" x14ac:dyDescent="0.25">
      <c r="B618" s="115" t="s">
        <v>1921</v>
      </c>
      <c r="D618" s="115" t="s">
        <v>1140</v>
      </c>
      <c r="E618" s="115" t="s">
        <v>1922</v>
      </c>
    </row>
    <row r="619" spans="1:5" x14ac:dyDescent="0.2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25">
      <c r="B620" s="115" t="s">
        <v>1139</v>
      </c>
      <c r="D620" s="115" t="s">
        <v>1926</v>
      </c>
      <c r="E620" s="115" t="s">
        <v>1927</v>
      </c>
    </row>
    <row r="621" spans="1:5" x14ac:dyDescent="0.25">
      <c r="B621" s="115" t="s">
        <v>1139</v>
      </c>
      <c r="D621" s="115" t="s">
        <v>1140</v>
      </c>
      <c r="E621" s="115" t="s">
        <v>1928</v>
      </c>
    </row>
    <row r="622" spans="1:5" x14ac:dyDescent="0.25">
      <c r="B622" s="115" t="s">
        <v>1139</v>
      </c>
      <c r="D622" s="115" t="s">
        <v>1929</v>
      </c>
      <c r="E622" s="115" t="s">
        <v>1930</v>
      </c>
    </row>
    <row r="623" spans="1:5" x14ac:dyDescent="0.25">
      <c r="B623" s="115" t="s">
        <v>1931</v>
      </c>
      <c r="D623" s="115" t="s">
        <v>1932</v>
      </c>
      <c r="E623" s="115" t="s">
        <v>1759</v>
      </c>
    </row>
    <row r="624" spans="1:5" x14ac:dyDescent="0.25">
      <c r="B624" s="115" t="s">
        <v>1310</v>
      </c>
      <c r="D624" s="115" t="s">
        <v>1140</v>
      </c>
      <c r="E624" s="115" t="s">
        <v>1933</v>
      </c>
    </row>
    <row r="625" spans="1:5" x14ac:dyDescent="0.2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2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2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25">
      <c r="B628" s="115">
        <f>-42   -213</f>
        <v>-255</v>
      </c>
      <c r="D628" s="115" t="s">
        <v>1140</v>
      </c>
      <c r="E628" s="115" t="s">
        <v>1141</v>
      </c>
    </row>
    <row r="629" spans="1:5" x14ac:dyDescent="0.25">
      <c r="B629" s="115" t="s">
        <v>1942</v>
      </c>
      <c r="D629" s="115" t="s">
        <v>1943</v>
      </c>
      <c r="E629" s="115" t="s">
        <v>1944</v>
      </c>
    </row>
    <row r="630" spans="1:5" x14ac:dyDescent="0.25">
      <c r="B630" s="115" t="s">
        <v>1139</v>
      </c>
      <c r="D630" s="115" t="s">
        <v>1945</v>
      </c>
      <c r="E630" s="115" t="s">
        <v>1946</v>
      </c>
    </row>
    <row r="631" spans="1:5" x14ac:dyDescent="0.25">
      <c r="B631" s="115" t="s">
        <v>1139</v>
      </c>
      <c r="D631" s="115" t="s">
        <v>1947</v>
      </c>
      <c r="E631" s="115" t="s">
        <v>1141</v>
      </c>
    </row>
    <row r="632" spans="1:5" x14ac:dyDescent="0.2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2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2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25">
      <c r="B635" s="115" t="s">
        <v>1139</v>
      </c>
      <c r="D635" s="115" t="s">
        <v>1956</v>
      </c>
      <c r="E635" s="115" t="s">
        <v>1141</v>
      </c>
    </row>
    <row r="636" spans="1:5" x14ac:dyDescent="0.25">
      <c r="B636" s="115" t="s">
        <v>1139</v>
      </c>
      <c r="D636" s="115" t="s">
        <v>1957</v>
      </c>
      <c r="E636" s="115" t="s">
        <v>1958</v>
      </c>
    </row>
    <row r="637" spans="1:5" x14ac:dyDescent="0.2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2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25">
      <c r="B639" s="115" t="s">
        <v>1139</v>
      </c>
      <c r="D639" s="115" t="s">
        <v>1962</v>
      </c>
      <c r="E639" s="115" t="s">
        <v>1963</v>
      </c>
    </row>
    <row r="640" spans="1:5" x14ac:dyDescent="0.2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2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25">
      <c r="B642" s="115" t="s">
        <v>1969</v>
      </c>
      <c r="D642" s="115" t="s">
        <v>1970</v>
      </c>
      <c r="E642" s="115" t="s">
        <v>1971</v>
      </c>
    </row>
    <row r="643" spans="1:5" x14ac:dyDescent="0.25">
      <c r="B643" s="115" t="s">
        <v>1139</v>
      </c>
      <c r="D643" s="115" t="s">
        <v>1140</v>
      </c>
      <c r="E643" s="115" t="s">
        <v>1972</v>
      </c>
    </row>
    <row r="644" spans="1:5" x14ac:dyDescent="0.2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2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25">
      <c r="B646" s="115" t="s">
        <v>1192</v>
      </c>
      <c r="D646" s="115" t="s">
        <v>1140</v>
      </c>
      <c r="E646" s="115" t="s">
        <v>1976</v>
      </c>
    </row>
    <row r="647" spans="1:5" x14ac:dyDescent="0.25">
      <c r="B647" s="115" t="s">
        <v>1977</v>
      </c>
      <c r="D647" s="115" t="s">
        <v>1140</v>
      </c>
      <c r="E647" s="115" t="s">
        <v>1978</v>
      </c>
    </row>
    <row r="648" spans="1:5" x14ac:dyDescent="0.25">
      <c r="B648" s="115" t="s">
        <v>1979</v>
      </c>
      <c r="D648" s="115" t="s">
        <v>1980</v>
      </c>
      <c r="E648" s="115" t="s">
        <v>1981</v>
      </c>
    </row>
    <row r="649" spans="1:5" x14ac:dyDescent="0.25">
      <c r="B649" s="115" t="s">
        <v>1139</v>
      </c>
      <c r="D649" s="115" t="s">
        <v>1140</v>
      </c>
      <c r="E649" s="115" t="s">
        <v>1141</v>
      </c>
    </row>
    <row r="650" spans="1:5" x14ac:dyDescent="0.25">
      <c r="B650" s="115" t="s">
        <v>1139</v>
      </c>
      <c r="D650" s="115" t="s">
        <v>1140</v>
      </c>
      <c r="E650" s="115" t="s">
        <v>1141</v>
      </c>
    </row>
    <row r="651" spans="1:5" x14ac:dyDescent="0.25">
      <c r="B651" s="115" t="s">
        <v>1139</v>
      </c>
      <c r="D651" s="115" t="s">
        <v>1140</v>
      </c>
      <c r="E651" s="115" t="s">
        <v>1141</v>
      </c>
    </row>
    <row r="652" spans="1:5" x14ac:dyDescent="0.25">
      <c r="B652" s="115" t="s">
        <v>1139</v>
      </c>
      <c r="D652" s="115" t="s">
        <v>1140</v>
      </c>
      <c r="E652" s="115" t="s">
        <v>1141</v>
      </c>
    </row>
    <row r="653" spans="1:5" x14ac:dyDescent="0.25">
      <c r="B653" s="115" t="s">
        <v>1139</v>
      </c>
      <c r="D653" s="115" t="s">
        <v>1140</v>
      </c>
      <c r="E653" s="115" t="s">
        <v>1141</v>
      </c>
    </row>
    <row r="654" spans="1:5" x14ac:dyDescent="0.25">
      <c r="B654" s="115" t="s">
        <v>1139</v>
      </c>
      <c r="D654" s="115" t="s">
        <v>1140</v>
      </c>
      <c r="E654" s="115" t="s">
        <v>1141</v>
      </c>
    </row>
    <row r="655" spans="1:5" x14ac:dyDescent="0.25">
      <c r="B655" s="115" t="s">
        <v>1139</v>
      </c>
      <c r="D655" s="115" t="s">
        <v>1140</v>
      </c>
      <c r="E655" s="115" t="s">
        <v>1141</v>
      </c>
    </row>
    <row r="656" spans="1:5" x14ac:dyDescent="0.25">
      <c r="B656" s="115" t="s">
        <v>1139</v>
      </c>
      <c r="D656" s="115" t="s">
        <v>1140</v>
      </c>
      <c r="E656" s="115" t="s">
        <v>1141</v>
      </c>
    </row>
    <row r="657" spans="2:5" x14ac:dyDescent="0.25">
      <c r="B657" s="115" t="s">
        <v>1139</v>
      </c>
      <c r="D657" s="115" t="s">
        <v>1140</v>
      </c>
      <c r="E657" s="115" t="s">
        <v>1141</v>
      </c>
    </row>
    <row r="658" spans="2:5" x14ac:dyDescent="0.25">
      <c r="B658" s="115" t="s">
        <v>1139</v>
      </c>
      <c r="D658" s="115" t="s">
        <v>1140</v>
      </c>
      <c r="E658" s="115" t="s">
        <v>1141</v>
      </c>
    </row>
    <row r="659" spans="2:5" x14ac:dyDescent="0.25">
      <c r="B659" s="115" t="s">
        <v>1139</v>
      </c>
      <c r="D659" s="115" t="s">
        <v>1140</v>
      </c>
      <c r="E659" s="115" t="s">
        <v>1141</v>
      </c>
    </row>
    <row r="660" spans="2:5" x14ac:dyDescent="0.25">
      <c r="B660" s="115" t="s">
        <v>1139</v>
      </c>
      <c r="D660" s="115" t="s">
        <v>1140</v>
      </c>
      <c r="E660" s="115" t="s">
        <v>1141</v>
      </c>
    </row>
    <row r="661" spans="2:5" x14ac:dyDescent="0.25">
      <c r="B661" s="115" t="s">
        <v>1139</v>
      </c>
      <c r="D661" s="115" t="s">
        <v>1140</v>
      </c>
      <c r="E661" s="115" t="s">
        <v>1141</v>
      </c>
    </row>
    <row r="662" spans="2:5" x14ac:dyDescent="0.25">
      <c r="B662" s="115" t="s">
        <v>1139</v>
      </c>
      <c r="D662" s="115" t="s">
        <v>1140</v>
      </c>
      <c r="E662" s="115" t="s">
        <v>1141</v>
      </c>
    </row>
    <row r="663" spans="2:5" x14ac:dyDescent="0.25">
      <c r="B663" s="115" t="s">
        <v>1139</v>
      </c>
      <c r="D663" s="115" t="s">
        <v>1140</v>
      </c>
      <c r="E663" s="115" t="s">
        <v>1141</v>
      </c>
    </row>
    <row r="664" spans="2:5" x14ac:dyDescent="0.25">
      <c r="B664" s="115" t="s">
        <v>1139</v>
      </c>
      <c r="D664" s="115" t="s">
        <v>1140</v>
      </c>
      <c r="E664" s="115" t="s">
        <v>1141</v>
      </c>
    </row>
    <row r="665" spans="2:5" x14ac:dyDescent="0.25">
      <c r="B665" s="115" t="s">
        <v>1139</v>
      </c>
      <c r="D665" s="115" t="s">
        <v>1140</v>
      </c>
      <c r="E665" s="115" t="s">
        <v>1141</v>
      </c>
    </row>
    <row r="666" spans="2:5" x14ac:dyDescent="0.25">
      <c r="B666" s="115" t="s">
        <v>1139</v>
      </c>
      <c r="D666" s="115" t="s">
        <v>1140</v>
      </c>
      <c r="E666" s="115" t="s">
        <v>1141</v>
      </c>
    </row>
    <row r="667" spans="2:5" x14ac:dyDescent="0.25">
      <c r="B667" s="115" t="s">
        <v>1139</v>
      </c>
      <c r="D667" s="115" t="s">
        <v>1140</v>
      </c>
      <c r="E667" s="115" t="s">
        <v>1141</v>
      </c>
    </row>
    <row r="668" spans="2:5" x14ac:dyDescent="0.25">
      <c r="B668" s="115" t="s">
        <v>1139</v>
      </c>
      <c r="D668" s="115" t="s">
        <v>1140</v>
      </c>
      <c r="E668" s="115" t="s">
        <v>1141</v>
      </c>
    </row>
    <row r="669" spans="2:5" x14ac:dyDescent="0.25">
      <c r="B669" s="115" t="s">
        <v>1139</v>
      </c>
      <c r="D669" s="115" t="s">
        <v>1140</v>
      </c>
      <c r="E669" s="115" t="s">
        <v>1141</v>
      </c>
    </row>
    <row r="670" spans="2:5" x14ac:dyDescent="0.25">
      <c r="B670" s="115" t="s">
        <v>1139</v>
      </c>
      <c r="D670" s="115" t="s">
        <v>1140</v>
      </c>
      <c r="E670" s="115" t="s">
        <v>1141</v>
      </c>
    </row>
    <row r="671" spans="2:5" x14ac:dyDescent="0.25">
      <c r="B671" s="115" t="s">
        <v>1139</v>
      </c>
      <c r="D671" s="115" t="s">
        <v>1140</v>
      </c>
      <c r="E671" s="115" t="s">
        <v>1141</v>
      </c>
    </row>
    <row r="672" spans="2:5" x14ac:dyDescent="0.25">
      <c r="B672" s="115" t="s">
        <v>1139</v>
      </c>
      <c r="D672" s="115" t="s">
        <v>1140</v>
      </c>
      <c r="E672" s="115" t="s">
        <v>1141</v>
      </c>
    </row>
    <row r="673" spans="1:5" x14ac:dyDescent="0.25">
      <c r="B673" s="115" t="s">
        <v>1139</v>
      </c>
      <c r="D673" s="115" t="s">
        <v>1140</v>
      </c>
      <c r="E673" s="115" t="s">
        <v>1141</v>
      </c>
    </row>
    <row r="674" spans="1:5" x14ac:dyDescent="0.25">
      <c r="B674" s="115" t="s">
        <v>1139</v>
      </c>
      <c r="D674" s="115" t="s">
        <v>1140</v>
      </c>
      <c r="E674" s="115" t="s">
        <v>1141</v>
      </c>
    </row>
    <row r="675" spans="1:5" x14ac:dyDescent="0.25">
      <c r="B675" s="115" t="s">
        <v>1139</v>
      </c>
      <c r="D675" s="115" t="s">
        <v>1140</v>
      </c>
      <c r="E675" s="115" t="s">
        <v>1141</v>
      </c>
    </row>
    <row r="676" spans="1:5" x14ac:dyDescent="0.25">
      <c r="B676" s="115" t="s">
        <v>1139</v>
      </c>
      <c r="D676" s="115" t="s">
        <v>1140</v>
      </c>
      <c r="E676" s="115" t="s">
        <v>1141</v>
      </c>
    </row>
    <row r="677" spans="1:5" x14ac:dyDescent="0.25">
      <c r="B677" s="115" t="s">
        <v>1139</v>
      </c>
      <c r="D677" s="115" t="s">
        <v>1140</v>
      </c>
      <c r="E677" s="115" t="s">
        <v>1141</v>
      </c>
    </row>
    <row r="678" spans="1:5" x14ac:dyDescent="0.25">
      <c r="B678" s="115" t="s">
        <v>1139</v>
      </c>
      <c r="D678" s="115" t="s">
        <v>1140</v>
      </c>
      <c r="E678" s="115" t="s">
        <v>1141</v>
      </c>
    </row>
    <row r="679" spans="1:5" x14ac:dyDescent="0.25">
      <c r="B679" s="115" t="s">
        <v>1139</v>
      </c>
      <c r="D679" s="115" t="s">
        <v>1140</v>
      </c>
      <c r="E679" s="115" t="s">
        <v>1141</v>
      </c>
    </row>
    <row r="680" spans="1:5" x14ac:dyDescent="0.25">
      <c r="B680" s="115" t="s">
        <v>1982</v>
      </c>
      <c r="D680" s="115" t="s">
        <v>1983</v>
      </c>
      <c r="E680" s="115" t="s">
        <v>1984</v>
      </c>
    </row>
    <row r="681" spans="1:5" x14ac:dyDescent="0.25">
      <c r="B681" s="115" t="s">
        <v>1139</v>
      </c>
      <c r="D681" s="115" t="s">
        <v>1985</v>
      </c>
      <c r="E681" s="115" t="s">
        <v>1141</v>
      </c>
    </row>
    <row r="682" spans="1:5" x14ac:dyDescent="0.25">
      <c r="B682" s="115" t="s">
        <v>1139</v>
      </c>
      <c r="D682" s="115" t="s">
        <v>1986</v>
      </c>
      <c r="E682" s="115" t="s">
        <v>1987</v>
      </c>
    </row>
    <row r="683" spans="1:5" x14ac:dyDescent="0.2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25">
      <c r="B684" s="115" t="s">
        <v>1139</v>
      </c>
      <c r="D684" s="115" t="s">
        <v>1991</v>
      </c>
      <c r="E684" s="115" t="s">
        <v>1759</v>
      </c>
    </row>
    <row r="685" spans="1:5" x14ac:dyDescent="0.25">
      <c r="B685" s="115" t="s">
        <v>1139</v>
      </c>
      <c r="D685" s="115" t="s">
        <v>1992</v>
      </c>
      <c r="E685" s="115" t="s">
        <v>1993</v>
      </c>
    </row>
    <row r="686" spans="1:5" x14ac:dyDescent="0.2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2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2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25">
      <c r="B689" s="115" t="s">
        <v>1139</v>
      </c>
      <c r="D689" s="115" t="s">
        <v>2002</v>
      </c>
      <c r="E689" s="115" t="s">
        <v>1141</v>
      </c>
    </row>
    <row r="690" spans="1:5" x14ac:dyDescent="0.25">
      <c r="B690" s="115" t="s">
        <v>1139</v>
      </c>
      <c r="D690" s="115" t="s">
        <v>2003</v>
      </c>
      <c r="E690" s="115" t="s">
        <v>2004</v>
      </c>
    </row>
    <row r="691" spans="1:5" x14ac:dyDescent="0.2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25">
      <c r="B692" s="115" t="s">
        <v>1139</v>
      </c>
      <c r="D692" s="115" t="s">
        <v>1850</v>
      </c>
      <c r="E692" s="115" t="s">
        <v>1141</v>
      </c>
    </row>
    <row r="693" spans="1:5" x14ac:dyDescent="0.25">
      <c r="B693" s="115" t="s">
        <v>1139</v>
      </c>
      <c r="D693" s="115" t="s">
        <v>2008</v>
      </c>
      <c r="E693" s="115" t="s">
        <v>2009</v>
      </c>
    </row>
    <row r="694" spans="1:5" x14ac:dyDescent="0.2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2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2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25">
      <c r="B697" s="115" t="s">
        <v>1139</v>
      </c>
      <c r="D697" s="115" t="s">
        <v>2018</v>
      </c>
      <c r="E697" s="115" t="s">
        <v>1141</v>
      </c>
    </row>
    <row r="698" spans="1:5" x14ac:dyDescent="0.25">
      <c r="B698" s="115" t="s">
        <v>1139</v>
      </c>
      <c r="D698" s="115" t="s">
        <v>2019</v>
      </c>
      <c r="E698" s="115" t="s">
        <v>2020</v>
      </c>
    </row>
    <row r="699" spans="1:5" x14ac:dyDescent="0.2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2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25">
      <c r="B701" s="115" t="s">
        <v>1139</v>
      </c>
      <c r="D701" s="115" t="s">
        <v>2025</v>
      </c>
      <c r="E701" s="115" t="s">
        <v>2026</v>
      </c>
    </row>
    <row r="702" spans="1:5" x14ac:dyDescent="0.2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2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25">
      <c r="B704" s="115" t="s">
        <v>2032</v>
      </c>
      <c r="D704" s="115" t="s">
        <v>2033</v>
      </c>
      <c r="E704" s="115" t="s">
        <v>2034</v>
      </c>
    </row>
    <row r="705" spans="1:5" x14ac:dyDescent="0.25">
      <c r="B705" s="115" t="s">
        <v>1159</v>
      </c>
      <c r="D705" s="115" t="s">
        <v>2035</v>
      </c>
      <c r="E705" s="115" t="s">
        <v>2036</v>
      </c>
    </row>
    <row r="706" spans="1:5" x14ac:dyDescent="0.25">
      <c r="B706" s="115" t="s">
        <v>1139</v>
      </c>
      <c r="D706" s="115" t="s">
        <v>2037</v>
      </c>
      <c r="E706" s="115" t="s">
        <v>2038</v>
      </c>
    </row>
    <row r="707" spans="1:5" x14ac:dyDescent="0.2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25">
      <c r="B708" s="115" t="s">
        <v>1139</v>
      </c>
      <c r="D708" s="115" t="s">
        <v>2042</v>
      </c>
      <c r="E708" s="115" t="s">
        <v>2043</v>
      </c>
    </row>
    <row r="709" spans="1:5" x14ac:dyDescent="0.25">
      <c r="B709" s="115" t="s">
        <v>1139</v>
      </c>
      <c r="D709" s="115" t="s">
        <v>1140</v>
      </c>
      <c r="E709" s="115" t="s">
        <v>2044</v>
      </c>
    </row>
    <row r="710" spans="1:5" x14ac:dyDescent="0.25">
      <c r="B710" s="115" t="s">
        <v>1139</v>
      </c>
      <c r="D710" s="115" t="s">
        <v>2045</v>
      </c>
      <c r="E710" s="115" t="s">
        <v>2046</v>
      </c>
    </row>
    <row r="711" spans="1:5" x14ac:dyDescent="0.25">
      <c r="B711" s="115" t="s">
        <v>2047</v>
      </c>
      <c r="D711" s="115" t="s">
        <v>2048</v>
      </c>
      <c r="E711" s="115" t="s">
        <v>2049</v>
      </c>
    </row>
    <row r="712" spans="1:5" x14ac:dyDescent="0.25">
      <c r="B712" s="115" t="s">
        <v>1139</v>
      </c>
      <c r="D712" s="115" t="s">
        <v>2050</v>
      </c>
      <c r="E712" s="115" t="s">
        <v>2051</v>
      </c>
    </row>
    <row r="713" spans="1:5" x14ac:dyDescent="0.25">
      <c r="B713" s="115" t="s">
        <v>1139</v>
      </c>
      <c r="D713" s="115" t="s">
        <v>2052</v>
      </c>
      <c r="E713" s="115" t="s">
        <v>2053</v>
      </c>
    </row>
    <row r="714" spans="1:5" x14ac:dyDescent="0.25">
      <c r="B714" s="115" t="s">
        <v>1139</v>
      </c>
      <c r="D714" s="115" t="s">
        <v>1140</v>
      </c>
      <c r="E714" s="115" t="s">
        <v>2054</v>
      </c>
    </row>
    <row r="715" spans="1:5" x14ac:dyDescent="0.25">
      <c r="B715" s="115" t="s">
        <v>1139</v>
      </c>
      <c r="D715" s="115" t="s">
        <v>2055</v>
      </c>
      <c r="E715" s="115" t="s">
        <v>2056</v>
      </c>
    </row>
    <row r="716" spans="1:5" x14ac:dyDescent="0.25">
      <c r="B716" s="115" t="s">
        <v>2057</v>
      </c>
      <c r="D716" s="115" t="s">
        <v>2058</v>
      </c>
      <c r="E716" s="115" t="s">
        <v>1759</v>
      </c>
    </row>
    <row r="717" spans="1:5" x14ac:dyDescent="0.25">
      <c r="B717" s="115" t="s">
        <v>2059</v>
      </c>
      <c r="D717" s="115" t="s">
        <v>1140</v>
      </c>
      <c r="E717" s="115" t="s">
        <v>2060</v>
      </c>
    </row>
    <row r="718" spans="1:5" x14ac:dyDescent="0.2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25">
      <c r="B719" s="115" t="s">
        <v>1139</v>
      </c>
      <c r="D719" s="115" t="s">
        <v>2062</v>
      </c>
      <c r="E719" s="115" t="s">
        <v>2063</v>
      </c>
    </row>
    <row r="720" spans="1:5" x14ac:dyDescent="0.25">
      <c r="B720" s="115" t="s">
        <v>2064</v>
      </c>
      <c r="D720" s="115" t="s">
        <v>1140</v>
      </c>
      <c r="E720" s="115" t="s">
        <v>2065</v>
      </c>
    </row>
    <row r="721" spans="1:5" x14ac:dyDescent="0.2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25">
      <c r="B722" s="115" t="s">
        <v>1139</v>
      </c>
      <c r="D722" s="115" t="s">
        <v>2069</v>
      </c>
      <c r="E722" s="115" t="s">
        <v>1141</v>
      </c>
    </row>
    <row r="723" spans="1:5" x14ac:dyDescent="0.25">
      <c r="B723" s="115" t="s">
        <v>1139</v>
      </c>
      <c r="D723" s="115" t="s">
        <v>2070</v>
      </c>
      <c r="E723" s="115" t="s">
        <v>2071</v>
      </c>
    </row>
    <row r="724" spans="1:5" x14ac:dyDescent="0.2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25">
      <c r="B725" s="115" t="s">
        <v>1139</v>
      </c>
      <c r="D725" s="115" t="s">
        <v>2075</v>
      </c>
      <c r="E725" s="115" t="s">
        <v>1759</v>
      </c>
    </row>
    <row r="726" spans="1:5" x14ac:dyDescent="0.25">
      <c r="B726" s="115" t="s">
        <v>1139</v>
      </c>
      <c r="D726" s="115" t="s">
        <v>2076</v>
      </c>
      <c r="E726" s="115" t="s">
        <v>1880</v>
      </c>
    </row>
    <row r="727" spans="1:5" x14ac:dyDescent="0.25">
      <c r="B727" s="115" t="s">
        <v>2077</v>
      </c>
      <c r="D727" s="115" t="s">
        <v>2078</v>
      </c>
      <c r="E727" s="115" t="s">
        <v>2079</v>
      </c>
    </row>
    <row r="728" spans="1:5" x14ac:dyDescent="0.25">
      <c r="B728" s="115" t="s">
        <v>2080</v>
      </c>
      <c r="D728" s="115" t="s">
        <v>2081</v>
      </c>
      <c r="E728" s="115" t="s">
        <v>2082</v>
      </c>
    </row>
    <row r="729" spans="1:5" x14ac:dyDescent="0.2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25">
      <c r="B730" s="115" t="s">
        <v>2086</v>
      </c>
      <c r="D730" s="115" t="s">
        <v>2087</v>
      </c>
      <c r="E730" s="115" t="s">
        <v>2088</v>
      </c>
    </row>
    <row r="731" spans="1:5" x14ac:dyDescent="0.25">
      <c r="B731" s="115" t="s">
        <v>1139</v>
      </c>
      <c r="D731" s="115" t="s">
        <v>1140</v>
      </c>
      <c r="E731" s="115" t="s">
        <v>2089</v>
      </c>
    </row>
    <row r="732" spans="1:5" x14ac:dyDescent="0.25">
      <c r="B732" s="115" t="s">
        <v>2090</v>
      </c>
      <c r="D732" s="115" t="s">
        <v>2091</v>
      </c>
      <c r="E732" s="115" t="s">
        <v>2092</v>
      </c>
    </row>
    <row r="733" spans="1:5" x14ac:dyDescent="0.2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2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25">
      <c r="B735" s="115" t="s">
        <v>2095</v>
      </c>
      <c r="D735" s="115" t="s">
        <v>1140</v>
      </c>
      <c r="E735" s="115" t="s">
        <v>2096</v>
      </c>
    </row>
    <row r="736" spans="1:5" x14ac:dyDescent="0.25">
      <c r="B736" s="115" t="s">
        <v>2097</v>
      </c>
      <c r="D736" s="115" t="s">
        <v>2098</v>
      </c>
      <c r="E736" s="115" t="s">
        <v>2099</v>
      </c>
    </row>
    <row r="737" spans="1:5" x14ac:dyDescent="0.2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2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25">
      <c r="B739" s="115" t="s">
        <v>1139</v>
      </c>
      <c r="D739" s="115" t="s">
        <v>2105</v>
      </c>
      <c r="E739" s="115" t="s">
        <v>1141</v>
      </c>
    </row>
    <row r="740" spans="1:5" x14ac:dyDescent="0.25">
      <c r="B740" s="115" t="s">
        <v>1139</v>
      </c>
      <c r="D740" s="115" t="s">
        <v>2106</v>
      </c>
      <c r="E740" s="115" t="s">
        <v>2107</v>
      </c>
    </row>
    <row r="741" spans="1:5" x14ac:dyDescent="0.2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2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25">
      <c r="B743" s="115" t="s">
        <v>1139</v>
      </c>
      <c r="D743" s="115" t="s">
        <v>2111</v>
      </c>
      <c r="E743" s="115" t="s">
        <v>2112</v>
      </c>
    </row>
    <row r="744" spans="1:5" x14ac:dyDescent="0.25">
      <c r="B744" s="115" t="s">
        <v>1139</v>
      </c>
      <c r="D744" s="115" t="s">
        <v>2113</v>
      </c>
      <c r="E744" s="115" t="s">
        <v>2114</v>
      </c>
    </row>
    <row r="745" spans="1:5" x14ac:dyDescent="0.25">
      <c r="B745" s="115" t="s">
        <v>2115</v>
      </c>
      <c r="D745" s="115" t="s">
        <v>2116</v>
      </c>
      <c r="E745" s="115" t="s">
        <v>2117</v>
      </c>
    </row>
    <row r="746" spans="1:5" x14ac:dyDescent="0.25">
      <c r="B746" s="115" t="s">
        <v>2118</v>
      </c>
      <c r="D746" s="115" t="s">
        <v>2119</v>
      </c>
      <c r="E746" s="115" t="s">
        <v>2120</v>
      </c>
    </row>
    <row r="747" spans="1:5" x14ac:dyDescent="0.25">
      <c r="B747" s="115" t="s">
        <v>1139</v>
      </c>
      <c r="D747" s="115" t="s">
        <v>1140</v>
      </c>
      <c r="E747" s="115" t="s">
        <v>1141</v>
      </c>
    </row>
    <row r="748" spans="1:5" x14ac:dyDescent="0.25">
      <c r="B748" s="115" t="s">
        <v>1139</v>
      </c>
      <c r="D748" s="115" t="s">
        <v>1140</v>
      </c>
      <c r="E748" s="115" t="s">
        <v>1141</v>
      </c>
    </row>
    <row r="749" spans="1:5" x14ac:dyDescent="0.25">
      <c r="B749" s="115" t="s">
        <v>1139</v>
      </c>
      <c r="D749" s="115" t="s">
        <v>1140</v>
      </c>
      <c r="E749" s="115" t="s">
        <v>1141</v>
      </c>
    </row>
    <row r="750" spans="1:5" x14ac:dyDescent="0.25">
      <c r="B750" s="115" t="s">
        <v>1139</v>
      </c>
      <c r="D750" s="115" t="s">
        <v>1140</v>
      </c>
      <c r="E750" s="115" t="s">
        <v>1141</v>
      </c>
    </row>
    <row r="751" spans="1:5" x14ac:dyDescent="0.25">
      <c r="B751" s="115" t="s">
        <v>1139</v>
      </c>
      <c r="D751" s="115" t="s">
        <v>1140</v>
      </c>
      <c r="E751" s="115" t="s">
        <v>1141</v>
      </c>
    </row>
    <row r="752" spans="1:5" x14ac:dyDescent="0.25">
      <c r="B752" s="115" t="s">
        <v>1139</v>
      </c>
      <c r="D752" s="115" t="s">
        <v>1140</v>
      </c>
      <c r="E752" s="115" t="s">
        <v>1141</v>
      </c>
    </row>
    <row r="753" spans="1:5" x14ac:dyDescent="0.25">
      <c r="B753" s="115" t="s">
        <v>1139</v>
      </c>
      <c r="D753" s="115" t="s">
        <v>1140</v>
      </c>
      <c r="E753" s="115" t="s">
        <v>1141</v>
      </c>
    </row>
    <row r="754" spans="1:5" x14ac:dyDescent="0.25">
      <c r="B754" s="115" t="s">
        <v>1139</v>
      </c>
      <c r="D754" s="115" t="s">
        <v>1140</v>
      </c>
      <c r="E754" s="115" t="s">
        <v>1141</v>
      </c>
    </row>
    <row r="755" spans="1:5" x14ac:dyDescent="0.25">
      <c r="B755" s="115" t="s">
        <v>1139</v>
      </c>
      <c r="D755" s="115" t="s">
        <v>1140</v>
      </c>
      <c r="E755" s="115" t="s">
        <v>2121</v>
      </c>
    </row>
    <row r="756" spans="1:5" x14ac:dyDescent="0.25">
      <c r="B756" s="115" t="s">
        <v>1139</v>
      </c>
      <c r="D756" s="115" t="s">
        <v>2122</v>
      </c>
      <c r="E756" s="115" t="s">
        <v>2123</v>
      </c>
    </row>
    <row r="757" spans="1:5" x14ac:dyDescent="0.25">
      <c r="B757" s="115" t="s">
        <v>1139</v>
      </c>
      <c r="D757" s="115" t="s">
        <v>1140</v>
      </c>
      <c r="E757" s="115" t="s">
        <v>2124</v>
      </c>
    </row>
    <row r="758" spans="1:5" x14ac:dyDescent="0.25">
      <c r="B758" s="115" t="s">
        <v>1139</v>
      </c>
      <c r="D758" s="115" t="s">
        <v>2125</v>
      </c>
      <c r="E758" s="115" t="s">
        <v>2126</v>
      </c>
    </row>
    <row r="759" spans="1:5" x14ac:dyDescent="0.25">
      <c r="B759" s="115" t="s">
        <v>1655</v>
      </c>
      <c r="D759" s="115" t="s">
        <v>2127</v>
      </c>
      <c r="E759" s="115" t="s">
        <v>1759</v>
      </c>
    </row>
    <row r="760" spans="1:5" x14ac:dyDescent="0.25">
      <c r="B760" s="115" t="s">
        <v>2128</v>
      </c>
      <c r="D760" s="115" t="s">
        <v>1140</v>
      </c>
      <c r="E760" s="115" t="s">
        <v>1417</v>
      </c>
    </row>
    <row r="761" spans="1:5" x14ac:dyDescent="0.2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2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2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2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25">
      <c r="B765" s="115" t="s">
        <v>2138</v>
      </c>
      <c r="D765" s="115" t="s">
        <v>2139</v>
      </c>
      <c r="E765" s="115" t="s">
        <v>2140</v>
      </c>
    </row>
    <row r="766" spans="1:5" x14ac:dyDescent="0.25">
      <c r="B766" s="115" t="s">
        <v>1139</v>
      </c>
      <c r="D766" s="115" t="s">
        <v>1140</v>
      </c>
      <c r="E766" s="115" t="s">
        <v>2141</v>
      </c>
    </row>
    <row r="767" spans="1:5" x14ac:dyDescent="0.25">
      <c r="B767" s="115" t="s">
        <v>1299</v>
      </c>
      <c r="D767" s="115" t="s">
        <v>2142</v>
      </c>
      <c r="E767" s="115" t="s">
        <v>2143</v>
      </c>
    </row>
    <row r="768" spans="1:5" x14ac:dyDescent="0.2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25">
      <c r="B769" s="115" t="s">
        <v>1206</v>
      </c>
      <c r="D769" s="115" t="s">
        <v>1140</v>
      </c>
      <c r="E769" s="115" t="s">
        <v>2145</v>
      </c>
    </row>
    <row r="770" spans="1:5" x14ac:dyDescent="0.25">
      <c r="B770" s="115" t="s">
        <v>2146</v>
      </c>
      <c r="D770" s="115" t="s">
        <v>1140</v>
      </c>
      <c r="E770" s="115" t="s">
        <v>2147</v>
      </c>
    </row>
    <row r="771" spans="1:5" x14ac:dyDescent="0.25">
      <c r="B771" s="115" t="s">
        <v>2148</v>
      </c>
      <c r="D771" s="115" t="s">
        <v>2149</v>
      </c>
      <c r="E771" s="115" t="s">
        <v>2150</v>
      </c>
    </row>
    <row r="772" spans="1:5" x14ac:dyDescent="0.2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2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25">
      <c r="B774" s="115" t="s">
        <v>2156</v>
      </c>
      <c r="D774" s="115" t="s">
        <v>2157</v>
      </c>
      <c r="E774" s="115" t="s">
        <v>2158</v>
      </c>
    </row>
    <row r="775" spans="1:5" x14ac:dyDescent="0.25">
      <c r="B775" s="115" t="s">
        <v>1139</v>
      </c>
      <c r="D775" s="115" t="s">
        <v>1140</v>
      </c>
      <c r="E775" s="115" t="s">
        <v>2159</v>
      </c>
    </row>
    <row r="776" spans="1:5" x14ac:dyDescent="0.25">
      <c r="B776" s="115" t="s">
        <v>2160</v>
      </c>
      <c r="D776" s="115" t="s">
        <v>2161</v>
      </c>
      <c r="E776" s="115" t="s">
        <v>2162</v>
      </c>
    </row>
    <row r="777" spans="1:5" x14ac:dyDescent="0.2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25">
      <c r="B778" s="115" t="s">
        <v>2164</v>
      </c>
      <c r="D778" s="115" t="s">
        <v>1140</v>
      </c>
      <c r="E778" s="115" t="s">
        <v>2165</v>
      </c>
    </row>
    <row r="779" spans="1:5" x14ac:dyDescent="0.25">
      <c r="B779" s="115" t="s">
        <v>2166</v>
      </c>
      <c r="D779" s="115" t="s">
        <v>1140</v>
      </c>
      <c r="E779" s="115" t="s">
        <v>2167</v>
      </c>
    </row>
    <row r="780" spans="1:5" x14ac:dyDescent="0.25">
      <c r="B780" s="115" t="s">
        <v>2168</v>
      </c>
      <c r="D780" s="115" t="s">
        <v>2169</v>
      </c>
      <c r="E780" s="115" t="s">
        <v>2170</v>
      </c>
    </row>
    <row r="781" spans="1:5" x14ac:dyDescent="0.2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2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25">
      <c r="B783" s="115" t="s">
        <v>1139</v>
      </c>
      <c r="D783" s="115" t="s">
        <v>2177</v>
      </c>
      <c r="E783" s="115" t="s">
        <v>2178</v>
      </c>
    </row>
    <row r="784" spans="1:5" x14ac:dyDescent="0.25">
      <c r="B784" s="115" t="s">
        <v>1139</v>
      </c>
      <c r="D784" s="115" t="s">
        <v>1140</v>
      </c>
      <c r="E784" s="115" t="s">
        <v>2179</v>
      </c>
    </row>
    <row r="785" spans="1:5" x14ac:dyDescent="0.25">
      <c r="B785" s="115" t="s">
        <v>1139</v>
      </c>
      <c r="D785" s="115" t="s">
        <v>2180</v>
      </c>
      <c r="E785" s="115" t="s">
        <v>2181</v>
      </c>
    </row>
    <row r="786" spans="1:5" x14ac:dyDescent="0.25">
      <c r="B786" s="115" t="s">
        <v>2182</v>
      </c>
      <c r="D786" s="115" t="s">
        <v>2183</v>
      </c>
      <c r="E786" s="115" t="s">
        <v>1894</v>
      </c>
    </row>
    <row r="787" spans="1:5" x14ac:dyDescent="0.25">
      <c r="B787" s="115" t="s">
        <v>1380</v>
      </c>
      <c r="D787" s="115" t="s">
        <v>1140</v>
      </c>
      <c r="E787" s="115" t="s">
        <v>2184</v>
      </c>
    </row>
    <row r="788" spans="1:5" x14ac:dyDescent="0.25">
      <c r="B788" s="115" t="s">
        <v>1251</v>
      </c>
      <c r="D788" s="115" t="s">
        <v>2185</v>
      </c>
      <c r="E788" s="115" t="s">
        <v>2186</v>
      </c>
    </row>
    <row r="789" spans="1:5" x14ac:dyDescent="0.25">
      <c r="B789" s="115" t="s">
        <v>1139</v>
      </c>
      <c r="D789" s="115" t="s">
        <v>2187</v>
      </c>
      <c r="E789" s="115" t="s">
        <v>2188</v>
      </c>
    </row>
    <row r="790" spans="1:5" x14ac:dyDescent="0.25">
      <c r="B790" s="115" t="s">
        <v>2189</v>
      </c>
      <c r="D790" s="115" t="s">
        <v>1140</v>
      </c>
      <c r="E790" s="115" t="s">
        <v>2190</v>
      </c>
    </row>
    <row r="791" spans="1:5" x14ac:dyDescent="0.2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2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25">
      <c r="B793" s="115">
        <f>-71    -67</f>
        <v>-138</v>
      </c>
      <c r="D793" s="115" t="s">
        <v>1140</v>
      </c>
      <c r="E793" s="115" t="s">
        <v>1141</v>
      </c>
    </row>
    <row r="794" spans="1:5" x14ac:dyDescent="0.25">
      <c r="B794" s="115" t="s">
        <v>2197</v>
      </c>
      <c r="D794" s="115" t="s">
        <v>2198</v>
      </c>
      <c r="E794" s="115" t="s">
        <v>2199</v>
      </c>
    </row>
    <row r="795" spans="1:5" x14ac:dyDescent="0.25">
      <c r="B795" s="115" t="s">
        <v>1139</v>
      </c>
      <c r="D795" s="115" t="s">
        <v>2200</v>
      </c>
      <c r="E795" s="115" t="s">
        <v>2201</v>
      </c>
    </row>
    <row r="796" spans="1:5" x14ac:dyDescent="0.25">
      <c r="B796" s="115" t="s">
        <v>1139</v>
      </c>
      <c r="D796" s="115" t="s">
        <v>2202</v>
      </c>
      <c r="E796" s="115" t="s">
        <v>1141</v>
      </c>
    </row>
    <row r="797" spans="1:5" x14ac:dyDescent="0.25">
      <c r="B797" s="115" t="s">
        <v>2203</v>
      </c>
      <c r="D797" s="115" t="s">
        <v>2204</v>
      </c>
      <c r="E797" s="115" t="s">
        <v>2205</v>
      </c>
    </row>
    <row r="798" spans="1:5" x14ac:dyDescent="0.2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25">
      <c r="B799" s="115">
        <f>-19   -174</f>
        <v>-193</v>
      </c>
      <c r="D799" s="115" t="s">
        <v>2209</v>
      </c>
      <c r="E799" s="115" t="s">
        <v>2210</v>
      </c>
    </row>
    <row r="800" spans="1:5" x14ac:dyDescent="0.2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2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25">
      <c r="B802" s="115" t="s">
        <v>1139</v>
      </c>
      <c r="D802" s="115" t="s">
        <v>2217</v>
      </c>
      <c r="E802" s="115" t="s">
        <v>1141</v>
      </c>
    </row>
    <row r="803" spans="1:5" x14ac:dyDescent="0.25">
      <c r="B803" s="115" t="s">
        <v>1139</v>
      </c>
      <c r="D803" s="115" t="s">
        <v>2218</v>
      </c>
      <c r="E803" s="115" t="s">
        <v>2219</v>
      </c>
    </row>
    <row r="804" spans="1:5" x14ac:dyDescent="0.25">
      <c r="B804" s="115" t="s">
        <v>2220</v>
      </c>
      <c r="D804" s="115" t="s">
        <v>1354</v>
      </c>
      <c r="E804" s="115" t="s">
        <v>2221</v>
      </c>
    </row>
    <row r="805" spans="1:5" x14ac:dyDescent="0.25">
      <c r="B805" s="115" t="s">
        <v>2222</v>
      </c>
      <c r="D805" s="115" t="s">
        <v>1140</v>
      </c>
      <c r="E805" s="115" t="s">
        <v>2223</v>
      </c>
    </row>
    <row r="806" spans="1:5" x14ac:dyDescent="0.25">
      <c r="B806" s="115" t="s">
        <v>1139</v>
      </c>
      <c r="D806" s="115" t="s">
        <v>2224</v>
      </c>
      <c r="E806" s="115" t="s">
        <v>2225</v>
      </c>
    </row>
    <row r="807" spans="1:5" x14ac:dyDescent="0.25">
      <c r="B807" s="115" t="s">
        <v>1139</v>
      </c>
      <c r="D807" s="115" t="s">
        <v>2226</v>
      </c>
      <c r="E807" s="115" t="s">
        <v>2227</v>
      </c>
    </row>
    <row r="808" spans="1:5" x14ac:dyDescent="0.2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2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2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25">
      <c r="B811" s="115" t="s">
        <v>2233</v>
      </c>
      <c r="D811" s="115" t="s">
        <v>2234</v>
      </c>
      <c r="E811" s="115" t="s">
        <v>2235</v>
      </c>
    </row>
    <row r="812" spans="1:5" x14ac:dyDescent="0.25">
      <c r="B812" s="115" t="s">
        <v>1139</v>
      </c>
      <c r="D812" s="115" t="s">
        <v>1140</v>
      </c>
      <c r="E812" s="115" t="s">
        <v>2236</v>
      </c>
    </row>
    <row r="813" spans="1:5" x14ac:dyDescent="0.2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2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2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25">
      <c r="B816" s="115" t="s">
        <v>2241</v>
      </c>
      <c r="D816" s="115" t="s">
        <v>1140</v>
      </c>
      <c r="E816" s="115" t="s">
        <v>2242</v>
      </c>
    </row>
    <row r="817" spans="1:5" x14ac:dyDescent="0.25">
      <c r="B817" s="115" t="s">
        <v>2243</v>
      </c>
      <c r="D817" s="115" t="s">
        <v>2244</v>
      </c>
      <c r="E817" s="115" t="s">
        <v>2245</v>
      </c>
    </row>
    <row r="818" spans="1:5" x14ac:dyDescent="0.25">
      <c r="B818" s="115" t="s">
        <v>1353</v>
      </c>
      <c r="D818" s="115" t="s">
        <v>2246</v>
      </c>
      <c r="E818" s="115" t="s">
        <v>2247</v>
      </c>
    </row>
    <row r="819" spans="1:5" x14ac:dyDescent="0.2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2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25">
      <c r="B821" s="115" t="s">
        <v>1139</v>
      </c>
      <c r="D821" s="115" t="s">
        <v>2254</v>
      </c>
      <c r="E821" s="115" t="s">
        <v>1141</v>
      </c>
    </row>
    <row r="822" spans="1:5" x14ac:dyDescent="0.25">
      <c r="B822" s="115" t="s">
        <v>1139</v>
      </c>
      <c r="D822" s="115" t="s">
        <v>2255</v>
      </c>
      <c r="E822" s="115" t="s">
        <v>2256</v>
      </c>
    </row>
    <row r="823" spans="1:5" x14ac:dyDescent="0.25">
      <c r="B823" s="115" t="s">
        <v>2257</v>
      </c>
      <c r="D823" s="115" t="s">
        <v>1860</v>
      </c>
      <c r="E823" s="115" t="s">
        <v>2258</v>
      </c>
    </row>
    <row r="824" spans="1:5" x14ac:dyDescent="0.25">
      <c r="B824" s="115" t="s">
        <v>1139</v>
      </c>
      <c r="D824" s="115" t="s">
        <v>2259</v>
      </c>
      <c r="E824" s="115" t="s">
        <v>2260</v>
      </c>
    </row>
    <row r="825" spans="1:5" x14ac:dyDescent="0.25">
      <c r="B825" s="115" t="s">
        <v>1139</v>
      </c>
      <c r="D825" s="115" t="s">
        <v>2261</v>
      </c>
      <c r="E825" s="115" t="s">
        <v>2262</v>
      </c>
    </row>
    <row r="826" spans="1:5" x14ac:dyDescent="0.25">
      <c r="B826" s="115" t="s">
        <v>2263</v>
      </c>
      <c r="D826" s="115" t="s">
        <v>2264</v>
      </c>
      <c r="E826" s="115" t="s">
        <v>2265</v>
      </c>
    </row>
    <row r="827" spans="1:5" x14ac:dyDescent="0.2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25">
      <c r="B828" s="115" t="s">
        <v>2268</v>
      </c>
      <c r="D828" s="115" t="s">
        <v>2269</v>
      </c>
      <c r="E828" s="115" t="s">
        <v>2270</v>
      </c>
    </row>
    <row r="829" spans="1:5" x14ac:dyDescent="0.2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25">
      <c r="B830" s="115" t="s">
        <v>1139</v>
      </c>
      <c r="D830" s="115" t="s">
        <v>1140</v>
      </c>
      <c r="E830" s="115" t="s">
        <v>1141</v>
      </c>
    </row>
    <row r="831" spans="1:5" x14ac:dyDescent="0.25">
      <c r="B831" s="115" t="s">
        <v>1139</v>
      </c>
      <c r="D831" s="115" t="s">
        <v>1140</v>
      </c>
      <c r="E831" s="115" t="s">
        <v>1141</v>
      </c>
    </row>
    <row r="832" spans="1:5" x14ac:dyDescent="0.25">
      <c r="B832" s="115" t="s">
        <v>1139</v>
      </c>
      <c r="D832" s="115" t="s">
        <v>1140</v>
      </c>
      <c r="E832" s="115" t="s">
        <v>1141</v>
      </c>
    </row>
    <row r="833" spans="2:5" x14ac:dyDescent="0.25">
      <c r="B833" s="115" t="s">
        <v>1139</v>
      </c>
      <c r="D833" s="115" t="s">
        <v>1140</v>
      </c>
      <c r="E833" s="115" t="s">
        <v>1141</v>
      </c>
    </row>
    <row r="834" spans="2:5" x14ac:dyDescent="0.25">
      <c r="B834" s="115" t="s">
        <v>1139</v>
      </c>
      <c r="D834" s="115" t="s">
        <v>1140</v>
      </c>
      <c r="E834" s="115" t="s">
        <v>1141</v>
      </c>
    </row>
    <row r="835" spans="2:5" x14ac:dyDescent="0.25">
      <c r="B835" s="115" t="s">
        <v>1139</v>
      </c>
      <c r="D835" s="115" t="s">
        <v>1140</v>
      </c>
      <c r="E835" s="115" t="s">
        <v>1141</v>
      </c>
    </row>
    <row r="836" spans="2:5" x14ac:dyDescent="0.25">
      <c r="B836" s="115" t="s">
        <v>1139</v>
      </c>
      <c r="D836" s="115" t="s">
        <v>1140</v>
      </c>
      <c r="E836" s="115" t="s">
        <v>1141</v>
      </c>
    </row>
    <row r="837" spans="2:5" x14ac:dyDescent="0.25">
      <c r="B837" s="115" t="s">
        <v>1139</v>
      </c>
      <c r="D837" s="115" t="s">
        <v>1140</v>
      </c>
      <c r="E837" s="115" t="s">
        <v>1141</v>
      </c>
    </row>
    <row r="838" spans="2:5" x14ac:dyDescent="0.25">
      <c r="B838" s="115" t="s">
        <v>1139</v>
      </c>
      <c r="D838" s="115" t="s">
        <v>1140</v>
      </c>
      <c r="E838" s="115" t="s">
        <v>1141</v>
      </c>
    </row>
    <row r="839" spans="2:5" x14ac:dyDescent="0.25">
      <c r="B839" s="115" t="s">
        <v>1139</v>
      </c>
      <c r="D839" s="115" t="s">
        <v>1140</v>
      </c>
      <c r="E839" s="115" t="s">
        <v>1141</v>
      </c>
    </row>
    <row r="840" spans="2:5" x14ac:dyDescent="0.25">
      <c r="B840" s="115" t="s">
        <v>1139</v>
      </c>
      <c r="D840" s="115" t="s">
        <v>1140</v>
      </c>
      <c r="E840" s="115" t="s">
        <v>1141</v>
      </c>
    </row>
    <row r="841" spans="2:5" x14ac:dyDescent="0.25">
      <c r="B841" s="115" t="s">
        <v>1139</v>
      </c>
      <c r="D841" s="115" t="s">
        <v>1140</v>
      </c>
      <c r="E841" s="115" t="s">
        <v>1141</v>
      </c>
    </row>
    <row r="842" spans="2:5" x14ac:dyDescent="0.25">
      <c r="B842" s="115" t="s">
        <v>1139</v>
      </c>
      <c r="D842" s="115" t="s">
        <v>1140</v>
      </c>
      <c r="E842" s="115" t="s">
        <v>1141</v>
      </c>
    </row>
    <row r="843" spans="2:5" x14ac:dyDescent="0.25">
      <c r="B843" s="115" t="s">
        <v>1139</v>
      </c>
      <c r="D843" s="115" t="s">
        <v>1140</v>
      </c>
      <c r="E843" s="115" t="s">
        <v>1141</v>
      </c>
    </row>
    <row r="844" spans="2:5" x14ac:dyDescent="0.25">
      <c r="B844" s="115" t="s">
        <v>1139</v>
      </c>
      <c r="D844" s="115" t="s">
        <v>1140</v>
      </c>
      <c r="E844" s="115" t="s">
        <v>1141</v>
      </c>
    </row>
    <row r="845" spans="2:5" x14ac:dyDescent="0.25">
      <c r="B845" s="115" t="s">
        <v>1139</v>
      </c>
      <c r="D845" s="115" t="s">
        <v>1140</v>
      </c>
      <c r="E845" s="115" t="s">
        <v>1141</v>
      </c>
    </row>
    <row r="846" spans="2:5" x14ac:dyDescent="0.25">
      <c r="B846" s="115" t="s">
        <v>1139</v>
      </c>
      <c r="D846" s="115" t="s">
        <v>1140</v>
      </c>
      <c r="E846" s="115" t="s">
        <v>1141</v>
      </c>
    </row>
    <row r="847" spans="2:5" x14ac:dyDescent="0.25">
      <c r="B847" s="115" t="s">
        <v>1139</v>
      </c>
      <c r="D847" s="115" t="s">
        <v>1140</v>
      </c>
      <c r="E847" s="115" t="s">
        <v>1141</v>
      </c>
    </row>
    <row r="848" spans="2:5" x14ac:dyDescent="0.25">
      <c r="B848" s="115" t="s">
        <v>1139</v>
      </c>
      <c r="D848" s="115" t="s">
        <v>1140</v>
      </c>
      <c r="E848" s="115" t="s">
        <v>1141</v>
      </c>
    </row>
    <row r="849" spans="1:5" x14ac:dyDescent="0.25">
      <c r="B849" s="115" t="s">
        <v>2273</v>
      </c>
      <c r="D849" s="115" t="s">
        <v>2274</v>
      </c>
      <c r="E849" s="115" t="s">
        <v>2275</v>
      </c>
    </row>
    <row r="850" spans="1:5" x14ac:dyDescent="0.25">
      <c r="B850" s="115" t="s">
        <v>1139</v>
      </c>
      <c r="D850" s="115" t="s">
        <v>2276</v>
      </c>
      <c r="E850" s="115" t="s">
        <v>1141</v>
      </c>
    </row>
    <row r="851" spans="1:5" x14ac:dyDescent="0.25">
      <c r="B851" s="115" t="s">
        <v>1139</v>
      </c>
      <c r="D851" s="115" t="s">
        <v>2277</v>
      </c>
      <c r="E851" s="115" t="s">
        <v>2278</v>
      </c>
    </row>
    <row r="852" spans="1:5" x14ac:dyDescent="0.25">
      <c r="B852" s="115" t="s">
        <v>2279</v>
      </c>
      <c r="D852" s="115" t="s">
        <v>2280</v>
      </c>
      <c r="E852" s="115" t="s">
        <v>2281</v>
      </c>
    </row>
    <row r="853" spans="1:5" x14ac:dyDescent="0.2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25">
      <c r="B854" s="115" t="s">
        <v>1139</v>
      </c>
      <c r="D854" s="115" t="s">
        <v>2283</v>
      </c>
      <c r="E854" s="115" t="s">
        <v>2284</v>
      </c>
    </row>
    <row r="855" spans="1:5" x14ac:dyDescent="0.25">
      <c r="B855" s="115" t="s">
        <v>1139</v>
      </c>
      <c r="D855" s="115" t="s">
        <v>2285</v>
      </c>
      <c r="E855" s="115" t="s">
        <v>2286</v>
      </c>
    </row>
    <row r="856" spans="1:5" x14ac:dyDescent="0.2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2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2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2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2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25">
      <c r="B861" s="115" t="s">
        <v>1139</v>
      </c>
      <c r="D861" s="115" t="s">
        <v>2299</v>
      </c>
      <c r="E861" s="115" t="s">
        <v>2300</v>
      </c>
    </row>
    <row r="862" spans="1:5" x14ac:dyDescent="0.25">
      <c r="B862" s="115" t="s">
        <v>2301</v>
      </c>
      <c r="D862" s="115" t="s">
        <v>2302</v>
      </c>
      <c r="E862" s="115" t="s">
        <v>2303</v>
      </c>
    </row>
    <row r="863" spans="1:5" x14ac:dyDescent="0.25">
      <c r="B863" s="115" t="s">
        <v>1139</v>
      </c>
      <c r="D863" s="115" t="s">
        <v>2058</v>
      </c>
      <c r="E863" s="115" t="s">
        <v>1859</v>
      </c>
    </row>
    <row r="864" spans="1:5" x14ac:dyDescent="0.25">
      <c r="B864" s="115" t="s">
        <v>1139</v>
      </c>
      <c r="D864" s="115" t="s">
        <v>2304</v>
      </c>
      <c r="E864" s="115" t="s">
        <v>2305</v>
      </c>
    </row>
    <row r="865" spans="1:5" x14ac:dyDescent="0.25">
      <c r="B865" s="115" t="s">
        <v>2306</v>
      </c>
      <c r="D865" s="115" t="s">
        <v>2307</v>
      </c>
      <c r="E865" s="115" t="s">
        <v>2308</v>
      </c>
    </row>
    <row r="866" spans="1:5" x14ac:dyDescent="0.2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2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2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25">
      <c r="B869" s="115" t="s">
        <v>1139</v>
      </c>
      <c r="D869" s="115" t="s">
        <v>1140</v>
      </c>
      <c r="E869" s="115" t="s">
        <v>1141</v>
      </c>
    </row>
    <row r="870" spans="1:5" x14ac:dyDescent="0.25">
      <c r="B870" s="115" t="s">
        <v>1139</v>
      </c>
      <c r="D870" s="115" t="s">
        <v>1140</v>
      </c>
      <c r="E870" s="115" t="s">
        <v>1141</v>
      </c>
    </row>
    <row r="871" spans="1:5" x14ac:dyDescent="0.25">
      <c r="B871" s="115" t="s">
        <v>1139</v>
      </c>
      <c r="D871" s="115" t="s">
        <v>1140</v>
      </c>
      <c r="E871" s="115" t="s">
        <v>1141</v>
      </c>
    </row>
    <row r="872" spans="1:5" x14ac:dyDescent="0.25">
      <c r="B872" s="115" t="s">
        <v>1139</v>
      </c>
      <c r="D872" s="115" t="s">
        <v>1140</v>
      </c>
      <c r="E872" s="115" t="s">
        <v>1141</v>
      </c>
    </row>
    <row r="873" spans="1:5" x14ac:dyDescent="0.25">
      <c r="B873" s="115" t="s">
        <v>1139</v>
      </c>
      <c r="D873" s="115" t="s">
        <v>1140</v>
      </c>
      <c r="E873" s="115" t="s">
        <v>1141</v>
      </c>
    </row>
    <row r="874" spans="1:5" x14ac:dyDescent="0.25">
      <c r="B874" s="115" t="s">
        <v>1139</v>
      </c>
      <c r="D874" s="115" t="s">
        <v>1140</v>
      </c>
      <c r="E874" s="115" t="s">
        <v>1141</v>
      </c>
    </row>
    <row r="875" spans="1:5" x14ac:dyDescent="0.25">
      <c r="B875" s="115" t="s">
        <v>1139</v>
      </c>
      <c r="D875" s="115" t="s">
        <v>1140</v>
      </c>
      <c r="E875" s="115" t="s">
        <v>1141</v>
      </c>
    </row>
    <row r="876" spans="1:5" x14ac:dyDescent="0.25">
      <c r="B876" s="115" t="s">
        <v>1139</v>
      </c>
      <c r="D876" s="115" t="s">
        <v>1140</v>
      </c>
      <c r="E876" s="115" t="s">
        <v>1141</v>
      </c>
    </row>
    <row r="877" spans="1:5" x14ac:dyDescent="0.25">
      <c r="B877" s="115" t="s">
        <v>1139</v>
      </c>
      <c r="D877" s="115" t="s">
        <v>1140</v>
      </c>
      <c r="E877" s="115" t="s">
        <v>1141</v>
      </c>
    </row>
    <row r="878" spans="1:5" x14ac:dyDescent="0.25">
      <c r="B878" s="115" t="s">
        <v>1139</v>
      </c>
      <c r="D878" s="115" t="s">
        <v>1140</v>
      </c>
      <c r="E878" s="115" t="s">
        <v>1141</v>
      </c>
    </row>
    <row r="879" spans="1:5" x14ac:dyDescent="0.25">
      <c r="B879" s="115" t="s">
        <v>1665</v>
      </c>
      <c r="D879" s="115" t="s">
        <v>2315</v>
      </c>
      <c r="E879" s="115" t="s">
        <v>2316</v>
      </c>
    </row>
    <row r="880" spans="1:5" x14ac:dyDescent="0.25">
      <c r="B880" s="115" t="s">
        <v>1139</v>
      </c>
      <c r="D880" s="115" t="s">
        <v>2317</v>
      </c>
      <c r="E880" s="115" t="s">
        <v>1141</v>
      </c>
    </row>
    <row r="881" spans="1:5" x14ac:dyDescent="0.25">
      <c r="B881" s="115" t="s">
        <v>1139</v>
      </c>
      <c r="D881" s="115" t="s">
        <v>2318</v>
      </c>
      <c r="E881" s="115" t="s">
        <v>2319</v>
      </c>
    </row>
    <row r="882" spans="1:5" x14ac:dyDescent="0.25">
      <c r="B882" s="115">
        <f>-65    -13</f>
        <v>-78</v>
      </c>
      <c r="D882" s="115" t="s">
        <v>2320</v>
      </c>
      <c r="E882" s="115" t="s">
        <v>2321</v>
      </c>
    </row>
    <row r="883" spans="1:5" x14ac:dyDescent="0.25">
      <c r="B883" s="115" t="s">
        <v>1332</v>
      </c>
      <c r="D883" s="115" t="s">
        <v>1140</v>
      </c>
      <c r="E883" s="115" t="s">
        <v>2322</v>
      </c>
    </row>
    <row r="884" spans="1:5" x14ac:dyDescent="0.25">
      <c r="B884" s="115" t="s">
        <v>1139</v>
      </c>
      <c r="D884" s="115" t="s">
        <v>2323</v>
      </c>
      <c r="E884" s="115" t="s">
        <v>2324</v>
      </c>
    </row>
    <row r="885" spans="1:5" x14ac:dyDescent="0.25">
      <c r="B885" s="115" t="s">
        <v>1139</v>
      </c>
      <c r="D885" s="115" t="s">
        <v>2325</v>
      </c>
      <c r="E885" s="115" t="s">
        <v>2326</v>
      </c>
    </row>
    <row r="886" spans="1:5" x14ac:dyDescent="0.2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2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2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2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25">
      <c r="B890" s="115" t="s">
        <v>2337</v>
      </c>
      <c r="D890" s="115" t="s">
        <v>2338</v>
      </c>
      <c r="E890" s="115" t="s">
        <v>2339</v>
      </c>
    </row>
    <row r="891" spans="1:5" x14ac:dyDescent="0.25">
      <c r="B891" s="115" t="s">
        <v>1139</v>
      </c>
      <c r="D891" s="115" t="s">
        <v>2340</v>
      </c>
      <c r="E891" s="115" t="s">
        <v>2341</v>
      </c>
    </row>
    <row r="892" spans="1:5" x14ac:dyDescent="0.2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25">
      <c r="B893" s="115" t="s">
        <v>1139</v>
      </c>
      <c r="D893" s="115" t="s">
        <v>1290</v>
      </c>
      <c r="E893" s="115" t="s">
        <v>2344</v>
      </c>
    </row>
    <row r="894" spans="1:5" x14ac:dyDescent="0.25">
      <c r="B894" s="115" t="s">
        <v>1139</v>
      </c>
      <c r="D894" s="115" t="s">
        <v>1140</v>
      </c>
      <c r="E894" s="115" t="s">
        <v>2345</v>
      </c>
    </row>
    <row r="895" spans="1:5" x14ac:dyDescent="0.25">
      <c r="B895" s="115" t="s">
        <v>1139</v>
      </c>
      <c r="D895" s="115" t="s">
        <v>2346</v>
      </c>
      <c r="E895" s="115" t="s">
        <v>2347</v>
      </c>
    </row>
    <row r="896" spans="1:5" x14ac:dyDescent="0.2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25">
      <c r="B897" s="115" t="s">
        <v>1139</v>
      </c>
      <c r="D897" s="115" t="s">
        <v>2350</v>
      </c>
      <c r="E897" s="115" t="s">
        <v>2351</v>
      </c>
    </row>
    <row r="898" spans="1:5" x14ac:dyDescent="0.2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25">
      <c r="B899" s="115" t="s">
        <v>1139</v>
      </c>
      <c r="D899" s="115" t="s">
        <v>2354</v>
      </c>
      <c r="E899" s="115" t="s">
        <v>2355</v>
      </c>
    </row>
    <row r="900" spans="1:5" x14ac:dyDescent="0.25">
      <c r="B900" s="115" t="s">
        <v>1139</v>
      </c>
      <c r="D900" s="115" t="s">
        <v>2356</v>
      </c>
      <c r="E900" s="115" t="s">
        <v>2357</v>
      </c>
    </row>
    <row r="901" spans="1:5" x14ac:dyDescent="0.25">
      <c r="B901" s="115" t="s">
        <v>1139</v>
      </c>
      <c r="D901" s="115" t="s">
        <v>1140</v>
      </c>
      <c r="E901" s="115" t="s">
        <v>2358</v>
      </c>
    </row>
    <row r="902" spans="1:5" x14ac:dyDescent="0.25">
      <c r="B902" s="115" t="s">
        <v>1139</v>
      </c>
      <c r="D902" s="115" t="s">
        <v>2359</v>
      </c>
      <c r="E902" s="115" t="s">
        <v>2360</v>
      </c>
    </row>
    <row r="903" spans="1:5" x14ac:dyDescent="0.25">
      <c r="B903" s="115" t="s">
        <v>2361</v>
      </c>
      <c r="D903" s="115" t="s">
        <v>2362</v>
      </c>
      <c r="E903" s="115" t="s">
        <v>1759</v>
      </c>
    </row>
    <row r="904" spans="1:5" x14ac:dyDescent="0.25">
      <c r="B904" s="115" t="s">
        <v>1513</v>
      </c>
      <c r="D904" s="115" t="s">
        <v>1140</v>
      </c>
      <c r="E904" s="115" t="s">
        <v>2363</v>
      </c>
    </row>
    <row r="905" spans="1:5" x14ac:dyDescent="0.2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25">
      <c r="B906" s="115" t="s">
        <v>1139</v>
      </c>
      <c r="D906" s="115" t="s">
        <v>2367</v>
      </c>
      <c r="E906" s="115" t="s">
        <v>2368</v>
      </c>
    </row>
    <row r="907" spans="1:5" x14ac:dyDescent="0.2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2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2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25">
      <c r="B910" s="115" t="s">
        <v>2377</v>
      </c>
      <c r="D910" s="115" t="s">
        <v>2378</v>
      </c>
      <c r="E910" s="115" t="s">
        <v>2379</v>
      </c>
    </row>
    <row r="911" spans="1:5" x14ac:dyDescent="0.25">
      <c r="B911" s="115" t="s">
        <v>1139</v>
      </c>
      <c r="D911" s="115" t="s">
        <v>2380</v>
      </c>
      <c r="E911" s="115" t="s">
        <v>1141</v>
      </c>
    </row>
    <row r="912" spans="1:5" x14ac:dyDescent="0.25">
      <c r="B912" s="115" t="s">
        <v>1139</v>
      </c>
      <c r="D912" s="115" t="s">
        <v>2381</v>
      </c>
      <c r="E912" s="115" t="s">
        <v>2382</v>
      </c>
    </row>
    <row r="913" spans="1:5" x14ac:dyDescent="0.25">
      <c r="B913" s="115" t="s">
        <v>2383</v>
      </c>
      <c r="D913" s="115" t="s">
        <v>2384</v>
      </c>
      <c r="E913" s="115" t="s">
        <v>2385</v>
      </c>
    </row>
    <row r="914" spans="1:5" x14ac:dyDescent="0.25">
      <c r="B914" s="115" t="s">
        <v>1139</v>
      </c>
      <c r="D914" s="115" t="s">
        <v>2386</v>
      </c>
      <c r="E914" s="115" t="s">
        <v>1759</v>
      </c>
    </row>
    <row r="915" spans="1:5" x14ac:dyDescent="0.25">
      <c r="B915" s="115" t="s">
        <v>1139</v>
      </c>
      <c r="D915" s="115" t="s">
        <v>2387</v>
      </c>
      <c r="E915" s="115" t="s">
        <v>2388</v>
      </c>
    </row>
    <row r="916" spans="1:5" x14ac:dyDescent="0.25">
      <c r="B916" s="115" t="s">
        <v>2389</v>
      </c>
      <c r="D916" s="115" t="s">
        <v>2390</v>
      </c>
      <c r="E916" s="115" t="s">
        <v>2391</v>
      </c>
    </row>
    <row r="917" spans="1:5" x14ac:dyDescent="0.2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2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2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2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25">
      <c r="B921" s="115" t="s">
        <v>1139</v>
      </c>
      <c r="D921" s="115" t="s">
        <v>1140</v>
      </c>
      <c r="E921" s="115" t="s">
        <v>1141</v>
      </c>
    </row>
    <row r="922" spans="1:5" x14ac:dyDescent="0.25">
      <c r="B922" s="115" t="s">
        <v>1139</v>
      </c>
      <c r="D922" s="115" t="s">
        <v>1140</v>
      </c>
      <c r="E922" s="115" t="s">
        <v>1141</v>
      </c>
    </row>
    <row r="923" spans="1:5" x14ac:dyDescent="0.25">
      <c r="B923" s="115" t="s">
        <v>1139</v>
      </c>
      <c r="D923" s="115" t="s">
        <v>1140</v>
      </c>
      <c r="E923" s="115" t="s">
        <v>1141</v>
      </c>
    </row>
    <row r="924" spans="1:5" x14ac:dyDescent="0.25">
      <c r="B924" s="115" t="s">
        <v>1139</v>
      </c>
      <c r="D924" s="115" t="s">
        <v>1140</v>
      </c>
      <c r="E924" s="115" t="s">
        <v>1141</v>
      </c>
    </row>
    <row r="925" spans="1:5" x14ac:dyDescent="0.25">
      <c r="B925" s="115" t="s">
        <v>1139</v>
      </c>
      <c r="D925" s="115" t="s">
        <v>1140</v>
      </c>
      <c r="E925" s="115" t="s">
        <v>1141</v>
      </c>
    </row>
    <row r="926" spans="1:5" x14ac:dyDescent="0.25">
      <c r="B926" s="115" t="s">
        <v>1139</v>
      </c>
      <c r="D926" s="115" t="s">
        <v>1140</v>
      </c>
      <c r="E926" s="115" t="s">
        <v>1141</v>
      </c>
    </row>
    <row r="927" spans="1:5" x14ac:dyDescent="0.25">
      <c r="B927" s="115" t="s">
        <v>1139</v>
      </c>
      <c r="D927" s="115" t="s">
        <v>1140</v>
      </c>
      <c r="E927" s="115" t="s">
        <v>1141</v>
      </c>
    </row>
    <row r="928" spans="1:5" x14ac:dyDescent="0.25">
      <c r="B928" s="115" t="s">
        <v>1139</v>
      </c>
      <c r="D928" s="115" t="s">
        <v>1140</v>
      </c>
      <c r="E928" s="115" t="s">
        <v>1141</v>
      </c>
    </row>
    <row r="929" spans="2:5" x14ac:dyDescent="0.25">
      <c r="B929" s="115" t="s">
        <v>1139</v>
      </c>
      <c r="D929" s="115" t="s">
        <v>1140</v>
      </c>
      <c r="E929" s="115" t="s">
        <v>1141</v>
      </c>
    </row>
    <row r="930" spans="2:5" x14ac:dyDescent="0.25">
      <c r="B930" s="115" t="s">
        <v>1139</v>
      </c>
      <c r="D930" s="115" t="s">
        <v>1140</v>
      </c>
      <c r="E930" s="115" t="s">
        <v>1141</v>
      </c>
    </row>
    <row r="931" spans="2:5" x14ac:dyDescent="0.25">
      <c r="B931" s="115" t="s">
        <v>1139</v>
      </c>
      <c r="D931" s="115" t="s">
        <v>1140</v>
      </c>
      <c r="E931" s="115" t="s">
        <v>1141</v>
      </c>
    </row>
    <row r="932" spans="2:5" x14ac:dyDescent="0.25">
      <c r="B932" s="115" t="s">
        <v>1139</v>
      </c>
      <c r="D932" s="115" t="s">
        <v>1140</v>
      </c>
      <c r="E932" s="115" t="s">
        <v>1141</v>
      </c>
    </row>
    <row r="933" spans="2:5" x14ac:dyDescent="0.25">
      <c r="B933" s="115" t="s">
        <v>1139</v>
      </c>
      <c r="D933" s="115" t="s">
        <v>1140</v>
      </c>
      <c r="E933" s="115" t="s">
        <v>1141</v>
      </c>
    </row>
    <row r="934" spans="2:5" x14ac:dyDescent="0.25">
      <c r="B934" s="115" t="s">
        <v>1139</v>
      </c>
      <c r="D934" s="115" t="s">
        <v>1140</v>
      </c>
      <c r="E934" s="115" t="s">
        <v>1141</v>
      </c>
    </row>
    <row r="935" spans="2:5" x14ac:dyDescent="0.25">
      <c r="B935" s="115" t="s">
        <v>1139</v>
      </c>
      <c r="D935" s="115" t="s">
        <v>1140</v>
      </c>
      <c r="E935" s="115" t="s">
        <v>1141</v>
      </c>
    </row>
    <row r="936" spans="2:5" x14ac:dyDescent="0.25">
      <c r="B936" s="115" t="s">
        <v>1139</v>
      </c>
      <c r="D936" s="115" t="s">
        <v>1140</v>
      </c>
      <c r="E936" s="115" t="s">
        <v>1141</v>
      </c>
    </row>
    <row r="937" spans="2:5" x14ac:dyDescent="0.25">
      <c r="B937" s="115" t="s">
        <v>1139</v>
      </c>
      <c r="D937" s="115" t="s">
        <v>1140</v>
      </c>
      <c r="E937" s="115" t="s">
        <v>1141</v>
      </c>
    </row>
    <row r="938" spans="2:5" x14ac:dyDescent="0.25">
      <c r="B938" s="115" t="s">
        <v>1139</v>
      </c>
      <c r="D938" s="115" t="s">
        <v>1140</v>
      </c>
      <c r="E938" s="115" t="s">
        <v>1141</v>
      </c>
    </row>
    <row r="939" spans="2:5" x14ac:dyDescent="0.25">
      <c r="B939" s="115" t="s">
        <v>1139</v>
      </c>
      <c r="D939" s="115" t="s">
        <v>1140</v>
      </c>
      <c r="E939" s="115" t="s">
        <v>1141</v>
      </c>
    </row>
    <row r="940" spans="2:5" x14ac:dyDescent="0.25">
      <c r="B940" s="115" t="s">
        <v>1139</v>
      </c>
      <c r="D940" s="115" t="s">
        <v>1140</v>
      </c>
      <c r="E940" s="115" t="s">
        <v>1141</v>
      </c>
    </row>
    <row r="941" spans="2:5" x14ac:dyDescent="0.25">
      <c r="B941" s="115" t="s">
        <v>1139</v>
      </c>
      <c r="D941" s="115" t="s">
        <v>1140</v>
      </c>
      <c r="E941" s="115" t="s">
        <v>1141</v>
      </c>
    </row>
    <row r="942" spans="2:5" x14ac:dyDescent="0.25">
      <c r="B942" s="115" t="s">
        <v>1139</v>
      </c>
      <c r="D942" s="115" t="s">
        <v>1140</v>
      </c>
      <c r="E942" s="115" t="s">
        <v>1141</v>
      </c>
    </row>
    <row r="943" spans="2:5" x14ac:dyDescent="0.25">
      <c r="B943" s="115" t="s">
        <v>1139</v>
      </c>
      <c r="D943" s="115" t="s">
        <v>1140</v>
      </c>
      <c r="E943" s="115" t="s">
        <v>1141</v>
      </c>
    </row>
    <row r="944" spans="2:5" x14ac:dyDescent="0.25">
      <c r="B944" s="115" t="s">
        <v>1139</v>
      </c>
      <c r="D944" s="115" t="s">
        <v>1140</v>
      </c>
      <c r="E944" s="115" t="s">
        <v>1141</v>
      </c>
    </row>
    <row r="945" spans="2:5" x14ac:dyDescent="0.25">
      <c r="B945" s="115" t="s">
        <v>1139</v>
      </c>
      <c r="D945" s="115" t="s">
        <v>1140</v>
      </c>
      <c r="E945" s="115" t="s">
        <v>1141</v>
      </c>
    </row>
    <row r="946" spans="2:5" x14ac:dyDescent="0.25">
      <c r="B946" s="115" t="s">
        <v>1139</v>
      </c>
      <c r="D946" s="115" t="s">
        <v>1140</v>
      </c>
      <c r="E946" s="115" t="s">
        <v>1141</v>
      </c>
    </row>
    <row r="947" spans="2:5" x14ac:dyDescent="0.25">
      <c r="B947" s="115" t="s">
        <v>1139</v>
      </c>
      <c r="D947" s="115" t="s">
        <v>1140</v>
      </c>
      <c r="E947" s="115" t="s">
        <v>1141</v>
      </c>
    </row>
    <row r="948" spans="2:5" x14ac:dyDescent="0.25">
      <c r="B948" s="115" t="s">
        <v>1139</v>
      </c>
      <c r="D948" s="115" t="s">
        <v>1140</v>
      </c>
      <c r="E948" s="115" t="s">
        <v>1141</v>
      </c>
    </row>
    <row r="949" spans="2:5" x14ac:dyDescent="0.25">
      <c r="B949" s="115" t="s">
        <v>1139</v>
      </c>
      <c r="D949" s="115" t="s">
        <v>1140</v>
      </c>
      <c r="E949" s="115" t="s">
        <v>1141</v>
      </c>
    </row>
    <row r="950" spans="2:5" x14ac:dyDescent="0.25">
      <c r="B950" s="115" t="s">
        <v>1139</v>
      </c>
      <c r="D950" s="115" t="s">
        <v>1140</v>
      </c>
      <c r="E950" s="115" t="s">
        <v>1141</v>
      </c>
    </row>
    <row r="951" spans="2:5" x14ac:dyDescent="0.25">
      <c r="B951" s="115" t="s">
        <v>1139</v>
      </c>
      <c r="D951" s="115" t="s">
        <v>1140</v>
      </c>
      <c r="E951" s="115" t="s">
        <v>1141</v>
      </c>
    </row>
    <row r="952" spans="2:5" x14ac:dyDescent="0.25">
      <c r="B952" s="115" t="s">
        <v>1139</v>
      </c>
      <c r="D952" s="115" t="s">
        <v>1140</v>
      </c>
      <c r="E952" s="115" t="s">
        <v>1141</v>
      </c>
    </row>
    <row r="953" spans="2:5" x14ac:dyDescent="0.25">
      <c r="B953" s="115" t="s">
        <v>1139</v>
      </c>
      <c r="D953" s="115" t="s">
        <v>1140</v>
      </c>
      <c r="E953" s="115" t="s">
        <v>1141</v>
      </c>
    </row>
    <row r="954" spans="2:5" x14ac:dyDescent="0.25">
      <c r="B954" s="115" t="s">
        <v>1139</v>
      </c>
      <c r="D954" s="115" t="s">
        <v>1140</v>
      </c>
      <c r="E954" s="115" t="s">
        <v>1141</v>
      </c>
    </row>
    <row r="955" spans="2:5" x14ac:dyDescent="0.25">
      <c r="B955" s="115" t="s">
        <v>1139</v>
      </c>
      <c r="D955" s="115" t="s">
        <v>1140</v>
      </c>
      <c r="E955" s="115" t="s">
        <v>1141</v>
      </c>
    </row>
    <row r="956" spans="2:5" x14ac:dyDescent="0.25">
      <c r="B956" s="115" t="s">
        <v>1139</v>
      </c>
      <c r="D956" s="115" t="s">
        <v>1140</v>
      </c>
      <c r="E956" s="115" t="s">
        <v>1141</v>
      </c>
    </row>
    <row r="957" spans="2:5" x14ac:dyDescent="0.25">
      <c r="B957" s="115" t="s">
        <v>1139</v>
      </c>
      <c r="D957" s="115" t="s">
        <v>1140</v>
      </c>
      <c r="E957" s="115" t="s">
        <v>1141</v>
      </c>
    </row>
    <row r="958" spans="2:5" x14ac:dyDescent="0.25">
      <c r="B958" s="115" t="s">
        <v>1139</v>
      </c>
      <c r="D958" s="115" t="s">
        <v>1140</v>
      </c>
      <c r="E958" s="115" t="s">
        <v>1141</v>
      </c>
    </row>
    <row r="959" spans="2:5" x14ac:dyDescent="0.25">
      <c r="B959" s="115" t="s">
        <v>1139</v>
      </c>
      <c r="D959" s="115" t="s">
        <v>1140</v>
      </c>
      <c r="E959" s="115" t="s">
        <v>1141</v>
      </c>
    </row>
    <row r="960" spans="2:5" x14ac:dyDescent="0.25">
      <c r="B960" s="115" t="s">
        <v>1139</v>
      </c>
      <c r="D960" s="115" t="s">
        <v>1140</v>
      </c>
      <c r="E960" s="115" t="s">
        <v>1141</v>
      </c>
    </row>
    <row r="961" spans="1:5" x14ac:dyDescent="0.25">
      <c r="B961" s="115" t="s">
        <v>1139</v>
      </c>
      <c r="D961" s="115" t="s">
        <v>1140</v>
      </c>
      <c r="E961" s="115" t="s">
        <v>1141</v>
      </c>
    </row>
    <row r="962" spans="1:5" x14ac:dyDescent="0.25">
      <c r="B962" s="115" t="s">
        <v>1139</v>
      </c>
      <c r="D962" s="115" t="s">
        <v>1140</v>
      </c>
      <c r="E962" s="115" t="s">
        <v>1141</v>
      </c>
    </row>
    <row r="963" spans="1:5" x14ac:dyDescent="0.25">
      <c r="B963" s="115" t="s">
        <v>1139</v>
      </c>
      <c r="D963" s="115" t="s">
        <v>2399</v>
      </c>
      <c r="E963" s="115" t="s">
        <v>2400</v>
      </c>
    </row>
    <row r="964" spans="1:5" x14ac:dyDescent="0.25">
      <c r="B964" s="115" t="s">
        <v>1620</v>
      </c>
      <c r="D964" s="115" t="s">
        <v>2401</v>
      </c>
      <c r="E964" s="115" t="s">
        <v>2402</v>
      </c>
    </row>
    <row r="965" spans="1:5" x14ac:dyDescent="0.25">
      <c r="B965" s="115" t="s">
        <v>1139</v>
      </c>
      <c r="D965" s="115" t="s">
        <v>1140</v>
      </c>
      <c r="E965" s="115" t="s">
        <v>2403</v>
      </c>
    </row>
    <row r="966" spans="1:5" x14ac:dyDescent="0.2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2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25">
      <c r="B968" s="115" t="s">
        <v>2407</v>
      </c>
      <c r="D968" s="115" t="s">
        <v>1140</v>
      </c>
      <c r="E968" s="115" t="s">
        <v>2408</v>
      </c>
    </row>
    <row r="969" spans="1:5" x14ac:dyDescent="0.25">
      <c r="B969" s="115" t="s">
        <v>1282</v>
      </c>
      <c r="D969" s="115" t="s">
        <v>1140</v>
      </c>
      <c r="E969" s="115" t="s">
        <v>2409</v>
      </c>
    </row>
    <row r="970" spans="1:5" x14ac:dyDescent="0.25">
      <c r="B970" s="115" t="s">
        <v>1272</v>
      </c>
      <c r="D970" s="115" t="s">
        <v>2410</v>
      </c>
      <c r="E970" s="115" t="s">
        <v>2411</v>
      </c>
    </row>
    <row r="971" spans="1:5" x14ac:dyDescent="0.2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25">
      <c r="B972" s="115" t="s">
        <v>2414</v>
      </c>
      <c r="D972" s="115" t="s">
        <v>2415</v>
      </c>
      <c r="E972" s="115" t="s">
        <v>2416</v>
      </c>
    </row>
    <row r="973" spans="1:5" x14ac:dyDescent="0.2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2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25">
      <c r="B975" s="115" t="s">
        <v>2423</v>
      </c>
      <c r="D975" s="115" t="s">
        <v>2424</v>
      </c>
      <c r="E975" s="115" t="s">
        <v>2425</v>
      </c>
    </row>
    <row r="976" spans="1:5" x14ac:dyDescent="0.25">
      <c r="B976" s="115" t="s">
        <v>1139</v>
      </c>
      <c r="D976" s="115" t="s">
        <v>1140</v>
      </c>
      <c r="E976" s="115" t="s">
        <v>2426</v>
      </c>
    </row>
    <row r="977" spans="1:5" x14ac:dyDescent="0.2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2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2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25">
      <c r="B980" s="115" t="s">
        <v>2233</v>
      </c>
      <c r="D980" s="115" t="s">
        <v>1140</v>
      </c>
      <c r="E980" s="115" t="s">
        <v>2430</v>
      </c>
    </row>
    <row r="981" spans="1:5" x14ac:dyDescent="0.25">
      <c r="B981" s="115" t="s">
        <v>2431</v>
      </c>
      <c r="D981" s="115" t="s">
        <v>2432</v>
      </c>
      <c r="E981" s="115" t="s">
        <v>2433</v>
      </c>
    </row>
    <row r="982" spans="1:5" x14ac:dyDescent="0.25">
      <c r="B982" s="115" t="s">
        <v>1449</v>
      </c>
      <c r="D982" s="115" t="s">
        <v>2434</v>
      </c>
      <c r="E982" s="115" t="s">
        <v>2435</v>
      </c>
    </row>
    <row r="983" spans="1:5" x14ac:dyDescent="0.2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2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2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25">
      <c r="B986" s="115" t="s">
        <v>1139</v>
      </c>
      <c r="D986" s="115" t="s">
        <v>1140</v>
      </c>
      <c r="E986" s="115" t="s">
        <v>1141</v>
      </c>
    </row>
    <row r="987" spans="1:5" x14ac:dyDescent="0.25">
      <c r="B987" s="115" t="s">
        <v>1139</v>
      </c>
      <c r="D987" s="115" t="s">
        <v>1140</v>
      </c>
      <c r="E987" s="115" t="s">
        <v>1141</v>
      </c>
    </row>
    <row r="988" spans="1:5" x14ac:dyDescent="0.25">
      <c r="B988" s="115" t="s">
        <v>1139</v>
      </c>
      <c r="D988" s="115" t="s">
        <v>1140</v>
      </c>
      <c r="E988" s="115" t="s">
        <v>1141</v>
      </c>
    </row>
    <row r="989" spans="1:5" x14ac:dyDescent="0.25">
      <c r="B989" s="115" t="s">
        <v>1139</v>
      </c>
      <c r="D989" s="115" t="s">
        <v>1140</v>
      </c>
      <c r="E989" s="115" t="s">
        <v>1141</v>
      </c>
    </row>
    <row r="990" spans="1:5" x14ac:dyDescent="0.25">
      <c r="B990" s="115" t="s">
        <v>1139</v>
      </c>
      <c r="D990" s="115" t="s">
        <v>1140</v>
      </c>
      <c r="E990" s="115" t="s">
        <v>1141</v>
      </c>
    </row>
    <row r="991" spans="1:5" x14ac:dyDescent="0.25">
      <c r="B991" s="115" t="s">
        <v>1139</v>
      </c>
      <c r="D991" s="115" t="s">
        <v>1140</v>
      </c>
      <c r="E991" s="115" t="s">
        <v>1141</v>
      </c>
    </row>
    <row r="992" spans="1:5" x14ac:dyDescent="0.25">
      <c r="B992" s="115" t="s">
        <v>1139</v>
      </c>
      <c r="D992" s="115" t="s">
        <v>1140</v>
      </c>
      <c r="E992" s="115" t="s">
        <v>1141</v>
      </c>
    </row>
    <row r="993" spans="1:5" x14ac:dyDescent="0.25">
      <c r="B993" s="115" t="s">
        <v>1139</v>
      </c>
      <c r="D993" s="115" t="s">
        <v>1140</v>
      </c>
      <c r="E993" s="115" t="s">
        <v>1141</v>
      </c>
    </row>
    <row r="994" spans="1:5" x14ac:dyDescent="0.25">
      <c r="B994" s="115" t="s">
        <v>1139</v>
      </c>
      <c r="D994" s="115" t="s">
        <v>1140</v>
      </c>
      <c r="E994" s="115" t="s">
        <v>1141</v>
      </c>
    </row>
    <row r="995" spans="1:5" x14ac:dyDescent="0.25">
      <c r="B995" s="115" t="s">
        <v>1139</v>
      </c>
      <c r="D995" s="115" t="s">
        <v>1140</v>
      </c>
      <c r="E995" s="115" t="s">
        <v>1141</v>
      </c>
    </row>
    <row r="996" spans="1:5" x14ac:dyDescent="0.25">
      <c r="B996" s="115" t="s">
        <v>1139</v>
      </c>
      <c r="D996" s="115" t="s">
        <v>1140</v>
      </c>
      <c r="E996" s="115" t="s">
        <v>2443</v>
      </c>
    </row>
    <row r="997" spans="1:5" x14ac:dyDescent="0.2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25">
      <c r="B998" s="115" t="s">
        <v>2446</v>
      </c>
      <c r="D998" s="115" t="s">
        <v>1140</v>
      </c>
      <c r="E998" s="115" t="s">
        <v>1141</v>
      </c>
    </row>
    <row r="999" spans="1:5" x14ac:dyDescent="0.2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25">
      <c r="B1000" s="115" t="s">
        <v>1139</v>
      </c>
      <c r="D1000" s="115" t="s">
        <v>2450</v>
      </c>
      <c r="E1000" s="115" t="s">
        <v>2451</v>
      </c>
    </row>
    <row r="1001" spans="1:5" x14ac:dyDescent="0.25">
      <c r="B1001" s="115" t="s">
        <v>1139</v>
      </c>
      <c r="D1001" s="115" t="s">
        <v>2452</v>
      </c>
      <c r="E1001" s="115" t="s">
        <v>1141</v>
      </c>
    </row>
    <row r="1002" spans="1:5" x14ac:dyDescent="0.25">
      <c r="B1002" s="115" t="s">
        <v>2453</v>
      </c>
      <c r="D1002" s="115" t="s">
        <v>2454</v>
      </c>
      <c r="E1002" s="115" t="s">
        <v>2455</v>
      </c>
    </row>
    <row r="1003" spans="1:5" x14ac:dyDescent="0.2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25">
      <c r="B1004" s="115" t="s">
        <v>2459</v>
      </c>
      <c r="D1004" s="115" t="s">
        <v>2460</v>
      </c>
      <c r="E1004" s="115" t="s">
        <v>2461</v>
      </c>
    </row>
    <row r="1005" spans="1:5" x14ac:dyDescent="0.2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2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25">
      <c r="B1007" s="115" t="s">
        <v>2468</v>
      </c>
      <c r="D1007" s="115" t="s">
        <v>2469</v>
      </c>
      <c r="E1007" s="115" t="s">
        <v>2470</v>
      </c>
    </row>
    <row r="1008" spans="1:5" x14ac:dyDescent="0.2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25">
      <c r="B1009" s="115" t="s">
        <v>1139</v>
      </c>
      <c r="D1009" s="115" t="s">
        <v>2474</v>
      </c>
      <c r="E1009" s="115" t="s">
        <v>1141</v>
      </c>
    </row>
    <row r="1010" spans="1:5" x14ac:dyDescent="0.25">
      <c r="B1010" s="115" t="s">
        <v>1139</v>
      </c>
      <c r="D1010" s="115" t="s">
        <v>2475</v>
      </c>
      <c r="E1010" s="115" t="s">
        <v>2476</v>
      </c>
    </row>
    <row r="1011" spans="1:5" x14ac:dyDescent="0.2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25">
      <c r="B1012" s="115" t="s">
        <v>1630</v>
      </c>
      <c r="D1012" s="115" t="s">
        <v>1140</v>
      </c>
      <c r="E1012" s="115" t="s">
        <v>2480</v>
      </c>
    </row>
    <row r="1013" spans="1:5" x14ac:dyDescent="0.25">
      <c r="B1013" s="115" t="s">
        <v>1139</v>
      </c>
      <c r="D1013" s="115" t="s">
        <v>2481</v>
      </c>
      <c r="E1013" s="115" t="s">
        <v>2482</v>
      </c>
    </row>
    <row r="1014" spans="1:5" x14ac:dyDescent="0.25">
      <c r="B1014" s="115" t="s">
        <v>1139</v>
      </c>
      <c r="D1014" s="115" t="s">
        <v>2483</v>
      </c>
      <c r="E1014" s="115" t="s">
        <v>2484</v>
      </c>
    </row>
    <row r="1015" spans="1:5" x14ac:dyDescent="0.25">
      <c r="B1015" s="115" t="s">
        <v>2485</v>
      </c>
      <c r="D1015" s="115" t="s">
        <v>2486</v>
      </c>
      <c r="E1015" s="115" t="s">
        <v>2487</v>
      </c>
    </row>
    <row r="1016" spans="1:5" x14ac:dyDescent="0.25">
      <c r="B1016" s="115" t="s">
        <v>2488</v>
      </c>
      <c r="D1016" s="115" t="s">
        <v>2489</v>
      </c>
      <c r="E1016" s="115" t="s">
        <v>2490</v>
      </c>
    </row>
    <row r="1017" spans="1:5" x14ac:dyDescent="0.2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25">
      <c r="B1018" s="115" t="s">
        <v>2494</v>
      </c>
      <c r="D1018" s="115" t="s">
        <v>2495</v>
      </c>
      <c r="E1018" s="115" t="s">
        <v>2496</v>
      </c>
    </row>
    <row r="1019" spans="1:5" x14ac:dyDescent="0.25">
      <c r="B1019" s="115" t="s">
        <v>2497</v>
      </c>
      <c r="D1019" s="115" t="s">
        <v>2498</v>
      </c>
      <c r="E1019" s="115" t="s">
        <v>2499</v>
      </c>
    </row>
    <row r="1020" spans="1:5" x14ac:dyDescent="0.25">
      <c r="B1020" s="115" t="s">
        <v>1209</v>
      </c>
      <c r="D1020" s="115" t="s">
        <v>2500</v>
      </c>
      <c r="E1020" s="115" t="s">
        <v>2501</v>
      </c>
    </row>
    <row r="1021" spans="1:5" x14ac:dyDescent="0.25">
      <c r="B1021" s="115" t="s">
        <v>1139</v>
      </c>
      <c r="D1021" s="115" t="s">
        <v>1140</v>
      </c>
      <c r="E1021" s="115" t="s">
        <v>2502</v>
      </c>
    </row>
    <row r="1022" spans="1:5" x14ac:dyDescent="0.25">
      <c r="B1022" s="115" t="s">
        <v>2503</v>
      </c>
      <c r="D1022" s="115" t="s">
        <v>2504</v>
      </c>
      <c r="E1022" s="115" t="s">
        <v>2505</v>
      </c>
    </row>
    <row r="1023" spans="1:5" x14ac:dyDescent="0.2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25">
      <c r="B1024" s="115" t="s">
        <v>2506</v>
      </c>
      <c r="D1024" s="115" t="s">
        <v>1140</v>
      </c>
      <c r="E1024" s="115" t="s">
        <v>2507</v>
      </c>
    </row>
    <row r="1025" spans="1:5" x14ac:dyDescent="0.25">
      <c r="B1025" s="115" t="s">
        <v>1373</v>
      </c>
      <c r="D1025" s="115" t="s">
        <v>1140</v>
      </c>
      <c r="E1025" s="115" t="s">
        <v>2508</v>
      </c>
    </row>
    <row r="1026" spans="1:5" x14ac:dyDescent="0.25">
      <c r="B1026" s="115" t="s">
        <v>2509</v>
      </c>
      <c r="D1026" s="115" t="s">
        <v>2510</v>
      </c>
      <c r="E1026" s="115" t="s">
        <v>2511</v>
      </c>
    </row>
    <row r="1027" spans="1:5" x14ac:dyDescent="0.25">
      <c r="B1027" s="115" t="s">
        <v>2512</v>
      </c>
      <c r="D1027" s="115" t="s">
        <v>2513</v>
      </c>
      <c r="E1027" s="115" t="s">
        <v>2514</v>
      </c>
    </row>
    <row r="1028" spans="1:5" x14ac:dyDescent="0.2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25">
      <c r="B1029" s="115" t="s">
        <v>2518</v>
      </c>
      <c r="D1029" s="115" t="s">
        <v>2519</v>
      </c>
      <c r="E1029" s="115" t="s">
        <v>2520</v>
      </c>
    </row>
    <row r="1030" spans="1:5" x14ac:dyDescent="0.25">
      <c r="B1030" s="115" t="s">
        <v>1501</v>
      </c>
      <c r="D1030" s="115" t="s">
        <v>2075</v>
      </c>
      <c r="E1030" s="115" t="s">
        <v>2521</v>
      </c>
    </row>
    <row r="1031" spans="1:5" x14ac:dyDescent="0.2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25">
      <c r="B1032" s="115" t="s">
        <v>1139</v>
      </c>
      <c r="D1032" s="115" t="s">
        <v>2525</v>
      </c>
      <c r="E1032" s="115" t="s">
        <v>1141</v>
      </c>
    </row>
    <row r="1033" spans="1:5" x14ac:dyDescent="0.25">
      <c r="B1033" s="115" t="s">
        <v>1139</v>
      </c>
      <c r="D1033" s="115" t="s">
        <v>2526</v>
      </c>
      <c r="E1033" s="115" t="s">
        <v>2527</v>
      </c>
    </row>
    <row r="1034" spans="1:5" x14ac:dyDescent="0.2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25">
      <c r="B1035" s="115" t="s">
        <v>1139</v>
      </c>
      <c r="D1035" s="115" t="s">
        <v>1848</v>
      </c>
      <c r="E1035" s="115" t="s">
        <v>1141</v>
      </c>
    </row>
    <row r="1036" spans="1:5" x14ac:dyDescent="0.25">
      <c r="B1036" s="115" t="s">
        <v>1139</v>
      </c>
      <c r="D1036" s="115" t="s">
        <v>2531</v>
      </c>
      <c r="E1036" s="115" t="s">
        <v>2532</v>
      </c>
    </row>
    <row r="1037" spans="1:5" x14ac:dyDescent="0.25">
      <c r="B1037" s="115" t="s">
        <v>2533</v>
      </c>
      <c r="D1037" s="115" t="s">
        <v>2534</v>
      </c>
      <c r="E1037" s="115" t="s">
        <v>2535</v>
      </c>
    </row>
    <row r="1038" spans="1:5" x14ac:dyDescent="0.2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2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2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2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2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25">
      <c r="B1043" s="115" t="s">
        <v>1139</v>
      </c>
      <c r="D1043" s="115" t="s">
        <v>2547</v>
      </c>
      <c r="E1043" s="115" t="s">
        <v>2548</v>
      </c>
    </row>
    <row r="1044" spans="1:5" x14ac:dyDescent="0.25">
      <c r="B1044" s="115" t="s">
        <v>1139</v>
      </c>
      <c r="D1044" s="115" t="s">
        <v>1140</v>
      </c>
      <c r="E1044" s="115" t="s">
        <v>2549</v>
      </c>
    </row>
    <row r="1045" spans="1:5" x14ac:dyDescent="0.25">
      <c r="B1045" s="115" t="s">
        <v>1139</v>
      </c>
      <c r="D1045" s="115" t="s">
        <v>2550</v>
      </c>
      <c r="E1045" s="115" t="s">
        <v>2551</v>
      </c>
    </row>
    <row r="1046" spans="1:5" x14ac:dyDescent="0.25">
      <c r="B1046" s="115" t="s">
        <v>2552</v>
      </c>
      <c r="D1046" s="115" t="s">
        <v>2338</v>
      </c>
      <c r="E1046" s="115" t="s">
        <v>1859</v>
      </c>
    </row>
    <row r="1047" spans="1:5" x14ac:dyDescent="0.25">
      <c r="B1047" s="115" t="s">
        <v>1205</v>
      </c>
      <c r="D1047" s="115" t="s">
        <v>1140</v>
      </c>
      <c r="E1047" s="115" t="s">
        <v>2553</v>
      </c>
    </row>
    <row r="1048" spans="1:5" x14ac:dyDescent="0.2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25">
      <c r="B1049" s="115" t="s">
        <v>1139</v>
      </c>
      <c r="D1049" s="115" t="s">
        <v>2556</v>
      </c>
      <c r="E1049" s="115" t="s">
        <v>2557</v>
      </c>
    </row>
    <row r="1050" spans="1:5" x14ac:dyDescent="0.25">
      <c r="B1050" s="115" t="s">
        <v>2558</v>
      </c>
      <c r="D1050" s="115" t="s">
        <v>1140</v>
      </c>
      <c r="E1050" s="115" t="s">
        <v>2559</v>
      </c>
    </row>
    <row r="1051" spans="1:5" x14ac:dyDescent="0.2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2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25">
      <c r="B1053" s="115" t="s">
        <v>2566</v>
      </c>
      <c r="D1053" s="115" t="s">
        <v>1140</v>
      </c>
      <c r="E1053" s="115" t="s">
        <v>2567</v>
      </c>
    </row>
    <row r="1054" spans="1:5" x14ac:dyDescent="0.2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25">
      <c r="B1055" s="115" t="s">
        <v>2571</v>
      </c>
      <c r="D1055" s="115" t="s">
        <v>2572</v>
      </c>
      <c r="E1055" s="115" t="s">
        <v>2573</v>
      </c>
    </row>
    <row r="1056" spans="1:5" x14ac:dyDescent="0.25">
      <c r="B1056" s="115" t="s">
        <v>1139</v>
      </c>
      <c r="D1056" s="115" t="s">
        <v>2574</v>
      </c>
      <c r="E1056" s="115" t="s">
        <v>2575</v>
      </c>
    </row>
    <row r="1057" spans="1:5" x14ac:dyDescent="0.2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25">
      <c r="B1058" s="115" t="s">
        <v>1139</v>
      </c>
      <c r="D1058" s="115" t="s">
        <v>2578</v>
      </c>
      <c r="E1058" s="115" t="s">
        <v>2579</v>
      </c>
    </row>
    <row r="1059" spans="1:5" x14ac:dyDescent="0.25">
      <c r="B1059" s="115" t="s">
        <v>1139</v>
      </c>
      <c r="D1059" s="115" t="s">
        <v>1140</v>
      </c>
      <c r="E1059" s="115" t="s">
        <v>2580</v>
      </c>
    </row>
    <row r="1060" spans="1:5" x14ac:dyDescent="0.25">
      <c r="B1060" s="115" t="s">
        <v>1139</v>
      </c>
      <c r="D1060" s="115" t="s">
        <v>2581</v>
      </c>
      <c r="E1060" s="115" t="s">
        <v>2582</v>
      </c>
    </row>
    <row r="1061" spans="1:5" x14ac:dyDescent="0.25">
      <c r="B1061" s="115" t="s">
        <v>1303</v>
      </c>
      <c r="D1061" s="115" t="s">
        <v>2583</v>
      </c>
      <c r="E1061" s="115" t="s">
        <v>2584</v>
      </c>
    </row>
    <row r="1062" spans="1:5" x14ac:dyDescent="0.25">
      <c r="B1062" s="115" t="s">
        <v>1139</v>
      </c>
      <c r="D1062" s="115" t="s">
        <v>2585</v>
      </c>
      <c r="E1062" s="115" t="s">
        <v>2586</v>
      </c>
    </row>
    <row r="1063" spans="1:5" x14ac:dyDescent="0.25">
      <c r="B1063" s="115" t="s">
        <v>1527</v>
      </c>
      <c r="D1063" s="115" t="s">
        <v>2587</v>
      </c>
      <c r="E1063" s="115" t="s">
        <v>2588</v>
      </c>
    </row>
    <row r="1064" spans="1:5" x14ac:dyDescent="0.25">
      <c r="B1064" s="115" t="s">
        <v>1139</v>
      </c>
      <c r="D1064" s="115" t="s">
        <v>2589</v>
      </c>
      <c r="E1064" s="115" t="s">
        <v>2590</v>
      </c>
    </row>
    <row r="1065" spans="1:5" x14ac:dyDescent="0.25">
      <c r="B1065" s="115" t="s">
        <v>1139</v>
      </c>
      <c r="D1065" s="115" t="s">
        <v>2591</v>
      </c>
      <c r="E1065" s="115" t="s">
        <v>2592</v>
      </c>
    </row>
    <row r="1066" spans="1:5" x14ac:dyDescent="0.2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25">
      <c r="B1067" s="115" t="s">
        <v>1139</v>
      </c>
      <c r="D1067" s="115" t="s">
        <v>2596</v>
      </c>
      <c r="E1067" s="115" t="s">
        <v>1141</v>
      </c>
    </row>
    <row r="1068" spans="1:5" x14ac:dyDescent="0.25">
      <c r="B1068" s="115" t="s">
        <v>1139</v>
      </c>
      <c r="D1068" s="115" t="s">
        <v>2597</v>
      </c>
      <c r="E1068" s="115" t="s">
        <v>2598</v>
      </c>
    </row>
    <row r="1069" spans="1:5" x14ac:dyDescent="0.2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25">
      <c r="B1070" s="115" t="s">
        <v>1157</v>
      </c>
      <c r="D1070" s="115" t="s">
        <v>1140</v>
      </c>
      <c r="E1070" s="115" t="s">
        <v>2601</v>
      </c>
    </row>
    <row r="1071" spans="1:5" x14ac:dyDescent="0.25">
      <c r="B1071" s="115" t="s">
        <v>1139</v>
      </c>
      <c r="D1071" s="115" t="s">
        <v>2602</v>
      </c>
      <c r="E1071" s="115" t="s">
        <v>2603</v>
      </c>
    </row>
    <row r="1072" spans="1:5" x14ac:dyDescent="0.25">
      <c r="B1072" s="115" t="s">
        <v>1139</v>
      </c>
      <c r="D1072" s="115" t="s">
        <v>2604</v>
      </c>
      <c r="E1072" s="115" t="s">
        <v>2605</v>
      </c>
    </row>
    <row r="1073" spans="1:5" x14ac:dyDescent="0.2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25">
      <c r="B1074" s="115" t="s">
        <v>1402</v>
      </c>
      <c r="D1074" s="115" t="s">
        <v>2608</v>
      </c>
      <c r="E1074" s="115" t="s">
        <v>2609</v>
      </c>
    </row>
    <row r="1075" spans="1:5" x14ac:dyDescent="0.2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25">
      <c r="B1076" s="115" t="s">
        <v>2613</v>
      </c>
      <c r="D1076" s="115" t="s">
        <v>2614</v>
      </c>
      <c r="E1076" s="115" t="s">
        <v>2615</v>
      </c>
    </row>
    <row r="1077" spans="1:5" x14ac:dyDescent="0.25">
      <c r="B1077" s="115" t="s">
        <v>1281</v>
      </c>
      <c r="D1077" s="115" t="s">
        <v>2616</v>
      </c>
      <c r="E1077" s="115" t="s">
        <v>2617</v>
      </c>
    </row>
    <row r="1078" spans="1:5" x14ac:dyDescent="0.2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25">
      <c r="B1079" s="115" t="s">
        <v>1139</v>
      </c>
      <c r="D1079" s="115" t="s">
        <v>2621</v>
      </c>
      <c r="E1079" s="115" t="s">
        <v>1141</v>
      </c>
    </row>
    <row r="1080" spans="1:5" x14ac:dyDescent="0.25">
      <c r="B1080" s="115" t="s">
        <v>1139</v>
      </c>
      <c r="D1080" s="115" t="s">
        <v>2622</v>
      </c>
      <c r="E1080" s="115" t="s">
        <v>2623</v>
      </c>
    </row>
    <row r="1081" spans="1:5" x14ac:dyDescent="0.2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25">
      <c r="B1082" s="115" t="s">
        <v>1139</v>
      </c>
      <c r="D1082" s="115" t="s">
        <v>2627</v>
      </c>
      <c r="E1082" s="115" t="s">
        <v>1819</v>
      </c>
    </row>
    <row r="1083" spans="1:5" x14ac:dyDescent="0.25">
      <c r="B1083" s="115" t="s">
        <v>1139</v>
      </c>
      <c r="D1083" s="115" t="s">
        <v>2628</v>
      </c>
      <c r="E1083" s="115" t="s">
        <v>2629</v>
      </c>
    </row>
    <row r="1084" spans="1:5" x14ac:dyDescent="0.25">
      <c r="B1084" s="115" t="s">
        <v>2630</v>
      </c>
      <c r="D1084" s="115" t="s">
        <v>2631</v>
      </c>
      <c r="E1084" s="115" t="s">
        <v>2632</v>
      </c>
    </row>
    <row r="1085" spans="1:5" x14ac:dyDescent="0.2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2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2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2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2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25">
      <c r="B1090" s="115" t="s">
        <v>1139</v>
      </c>
      <c r="D1090" s="115" t="s">
        <v>1140</v>
      </c>
      <c r="E1090" s="115" t="s">
        <v>1141</v>
      </c>
    </row>
    <row r="1091" spans="1:5" x14ac:dyDescent="0.25">
      <c r="B1091" s="115" t="s">
        <v>1139</v>
      </c>
      <c r="D1091" s="115" t="s">
        <v>1140</v>
      </c>
      <c r="E1091" s="115" t="s">
        <v>1141</v>
      </c>
    </row>
    <row r="1092" spans="1:5" x14ac:dyDescent="0.25">
      <c r="B1092" s="115" t="s">
        <v>1139</v>
      </c>
      <c r="D1092" s="115" t="s">
        <v>1140</v>
      </c>
      <c r="E1092" s="115" t="s">
        <v>1141</v>
      </c>
    </row>
    <row r="1093" spans="1:5" x14ac:dyDescent="0.25">
      <c r="B1093" s="115" t="s">
        <v>1139</v>
      </c>
      <c r="D1093" s="115" t="s">
        <v>1140</v>
      </c>
      <c r="E1093" s="115" t="s">
        <v>1141</v>
      </c>
    </row>
    <row r="1094" spans="1:5" x14ac:dyDescent="0.25">
      <c r="B1094" s="115" t="s">
        <v>1139</v>
      </c>
      <c r="D1094" s="115" t="s">
        <v>1140</v>
      </c>
      <c r="E1094" s="115" t="s">
        <v>1141</v>
      </c>
    </row>
    <row r="1095" spans="1:5" x14ac:dyDescent="0.25">
      <c r="B1095" s="115" t="s">
        <v>1139</v>
      </c>
      <c r="D1095" s="115" t="s">
        <v>1140</v>
      </c>
      <c r="E1095" s="115" t="s">
        <v>1141</v>
      </c>
    </row>
    <row r="1096" spans="1:5" x14ac:dyDescent="0.25">
      <c r="B1096" s="115" t="s">
        <v>1139</v>
      </c>
      <c r="D1096" s="115" t="s">
        <v>1140</v>
      </c>
      <c r="E1096" s="115" t="s">
        <v>1141</v>
      </c>
    </row>
    <row r="1097" spans="1:5" x14ac:dyDescent="0.25">
      <c r="B1097" s="115" t="s">
        <v>1139</v>
      </c>
      <c r="D1097" s="115" t="s">
        <v>1140</v>
      </c>
      <c r="E1097" s="115" t="s">
        <v>1141</v>
      </c>
    </row>
    <row r="1098" spans="1:5" x14ac:dyDescent="0.25">
      <c r="B1098" s="115" t="s">
        <v>1139</v>
      </c>
      <c r="D1098" s="115" t="s">
        <v>1140</v>
      </c>
      <c r="E1098" s="115" t="s">
        <v>1141</v>
      </c>
    </row>
    <row r="1099" spans="1:5" x14ac:dyDescent="0.25">
      <c r="B1099" s="115" t="s">
        <v>1139</v>
      </c>
      <c r="D1099" s="115" t="s">
        <v>1140</v>
      </c>
      <c r="E1099" s="115" t="s">
        <v>1141</v>
      </c>
    </row>
    <row r="1100" spans="1:5" x14ac:dyDescent="0.25">
      <c r="B1100" s="115" t="s">
        <v>1139</v>
      </c>
      <c r="D1100" s="115" t="s">
        <v>1140</v>
      </c>
      <c r="E1100" s="115" t="s">
        <v>1141</v>
      </c>
    </row>
    <row r="1101" spans="1:5" x14ac:dyDescent="0.25">
      <c r="B1101" s="115" t="s">
        <v>1139</v>
      </c>
      <c r="D1101" s="115" t="s">
        <v>1140</v>
      </c>
      <c r="E1101" s="115" t="s">
        <v>1141</v>
      </c>
    </row>
    <row r="1102" spans="1:5" x14ac:dyDescent="0.25">
      <c r="B1102" s="115" t="s">
        <v>2644</v>
      </c>
      <c r="D1102" s="115" t="s">
        <v>2645</v>
      </c>
      <c r="E1102" s="115" t="s">
        <v>2646</v>
      </c>
    </row>
    <row r="1103" spans="1:5" x14ac:dyDescent="0.25">
      <c r="B1103" s="115" t="s">
        <v>1139</v>
      </c>
      <c r="D1103" s="115" t="s">
        <v>2647</v>
      </c>
      <c r="E1103" s="115" t="s">
        <v>1141</v>
      </c>
    </row>
    <row r="1104" spans="1:5" x14ac:dyDescent="0.25">
      <c r="B1104" s="115" t="s">
        <v>1139</v>
      </c>
      <c r="D1104" s="115" t="s">
        <v>2648</v>
      </c>
      <c r="E1104" s="115" t="s">
        <v>2649</v>
      </c>
    </row>
    <row r="1105" spans="1:5" x14ac:dyDescent="0.25">
      <c r="B1105" s="115">
        <f>-6    -93</f>
        <v>-99</v>
      </c>
      <c r="D1105" s="115" t="s">
        <v>2650</v>
      </c>
      <c r="E1105" s="115" t="s">
        <v>2651</v>
      </c>
    </row>
    <row r="1106" spans="1:5" x14ac:dyDescent="0.25">
      <c r="B1106" s="115" t="s">
        <v>1343</v>
      </c>
      <c r="D1106" s="115" t="s">
        <v>1140</v>
      </c>
      <c r="E1106" s="115" t="s">
        <v>2652</v>
      </c>
    </row>
    <row r="1107" spans="1:5" x14ac:dyDescent="0.25">
      <c r="B1107" s="115" t="s">
        <v>1139</v>
      </c>
      <c r="D1107" s="115" t="s">
        <v>2653</v>
      </c>
      <c r="E1107" s="115" t="s">
        <v>2654</v>
      </c>
    </row>
    <row r="1108" spans="1:5" x14ac:dyDescent="0.25">
      <c r="B1108" s="115" t="s">
        <v>1139</v>
      </c>
      <c r="D1108" s="115" t="s">
        <v>2655</v>
      </c>
      <c r="E1108" s="115" t="s">
        <v>2656</v>
      </c>
    </row>
    <row r="1109" spans="1:5" x14ac:dyDescent="0.25">
      <c r="B1109" s="115" t="s">
        <v>2657</v>
      </c>
      <c r="D1109" s="115" t="s">
        <v>2658</v>
      </c>
      <c r="E1109" s="115" t="s">
        <v>2659</v>
      </c>
    </row>
    <row r="1110" spans="1:5" x14ac:dyDescent="0.25">
      <c r="B1110" s="115" t="s">
        <v>2660</v>
      </c>
      <c r="D1110" s="115" t="s">
        <v>2661</v>
      </c>
      <c r="E1110" s="115" t="s">
        <v>2662</v>
      </c>
    </row>
    <row r="1111" spans="1:5" x14ac:dyDescent="0.25">
      <c r="B1111" s="115" t="s">
        <v>2663</v>
      </c>
      <c r="D1111" s="115" t="s">
        <v>2664</v>
      </c>
      <c r="E1111" s="115" t="s">
        <v>2665</v>
      </c>
    </row>
    <row r="1112" spans="1:5" x14ac:dyDescent="0.25">
      <c r="B1112" s="115" t="s">
        <v>2666</v>
      </c>
      <c r="D1112" s="115" t="s">
        <v>2667</v>
      </c>
      <c r="E1112" s="115" t="s">
        <v>2668</v>
      </c>
    </row>
    <row r="1113" spans="1:5" x14ac:dyDescent="0.25">
      <c r="B1113" s="115" t="s">
        <v>2669</v>
      </c>
      <c r="D1113" s="115" t="s">
        <v>2670</v>
      </c>
      <c r="E1113" s="115" t="s">
        <v>2671</v>
      </c>
    </row>
    <row r="1114" spans="1:5" x14ac:dyDescent="0.2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25">
      <c r="B1115" s="115" t="s">
        <v>1139</v>
      </c>
      <c r="D1115" s="115" t="s">
        <v>1140</v>
      </c>
      <c r="E1115" s="115" t="s">
        <v>1141</v>
      </c>
    </row>
    <row r="1116" spans="1:5" x14ac:dyDescent="0.25">
      <c r="B1116" s="115" t="s">
        <v>1139</v>
      </c>
      <c r="D1116" s="115" t="s">
        <v>1140</v>
      </c>
      <c r="E1116" s="115" t="s">
        <v>1141</v>
      </c>
    </row>
    <row r="1117" spans="1:5" x14ac:dyDescent="0.25">
      <c r="B1117" s="115" t="s">
        <v>1139</v>
      </c>
      <c r="D1117" s="115" t="s">
        <v>1140</v>
      </c>
      <c r="E1117" s="115" t="s">
        <v>1141</v>
      </c>
    </row>
    <row r="1118" spans="1:5" x14ac:dyDescent="0.25">
      <c r="B1118" s="115" t="s">
        <v>1139</v>
      </c>
      <c r="D1118" s="115" t="s">
        <v>1140</v>
      </c>
      <c r="E1118" s="115" t="s">
        <v>1141</v>
      </c>
    </row>
    <row r="1119" spans="1:5" x14ac:dyDescent="0.25">
      <c r="B1119" s="115" t="s">
        <v>1139</v>
      </c>
      <c r="D1119" s="115" t="s">
        <v>1140</v>
      </c>
      <c r="E1119" s="115" t="s">
        <v>1141</v>
      </c>
    </row>
    <row r="1120" spans="1:5" x14ac:dyDescent="0.25">
      <c r="B1120" s="115" t="s">
        <v>1139</v>
      </c>
      <c r="D1120" s="115" t="s">
        <v>1140</v>
      </c>
      <c r="E1120" s="115" t="s">
        <v>1141</v>
      </c>
    </row>
    <row r="1121" spans="2:5" x14ac:dyDescent="0.25">
      <c r="B1121" s="115" t="s">
        <v>1139</v>
      </c>
      <c r="D1121" s="115" t="s">
        <v>1140</v>
      </c>
      <c r="E1121" s="115" t="s">
        <v>1141</v>
      </c>
    </row>
    <row r="1122" spans="2:5" x14ac:dyDescent="0.25">
      <c r="B1122" s="115" t="s">
        <v>1139</v>
      </c>
      <c r="D1122" s="115" t="s">
        <v>1140</v>
      </c>
      <c r="E1122" s="115" t="s">
        <v>1141</v>
      </c>
    </row>
    <row r="1123" spans="2:5" x14ac:dyDescent="0.25">
      <c r="B1123" s="115" t="s">
        <v>1139</v>
      </c>
      <c r="D1123" s="115" t="s">
        <v>1140</v>
      </c>
      <c r="E1123" s="115" t="s">
        <v>1141</v>
      </c>
    </row>
    <row r="1124" spans="2:5" x14ac:dyDescent="0.25">
      <c r="B1124" s="115" t="s">
        <v>1139</v>
      </c>
      <c r="D1124" s="115" t="s">
        <v>1140</v>
      </c>
      <c r="E1124" s="115" t="s">
        <v>1141</v>
      </c>
    </row>
    <row r="1125" spans="2:5" x14ac:dyDescent="0.25">
      <c r="B1125" s="115" t="s">
        <v>1139</v>
      </c>
      <c r="D1125" s="115" t="s">
        <v>1140</v>
      </c>
      <c r="E1125" s="115" t="s">
        <v>1141</v>
      </c>
    </row>
    <row r="1126" spans="2:5" x14ac:dyDescent="0.25">
      <c r="B1126" s="115" t="s">
        <v>1139</v>
      </c>
      <c r="D1126" s="115" t="s">
        <v>1140</v>
      </c>
      <c r="E1126" s="115" t="s">
        <v>1141</v>
      </c>
    </row>
    <row r="1127" spans="2:5" x14ac:dyDescent="0.25">
      <c r="B1127" s="115" t="s">
        <v>1139</v>
      </c>
      <c r="D1127" s="115" t="s">
        <v>1140</v>
      </c>
      <c r="E1127" s="115" t="s">
        <v>1141</v>
      </c>
    </row>
    <row r="1128" spans="2:5" x14ac:dyDescent="0.25">
      <c r="B1128" s="115" t="s">
        <v>1139</v>
      </c>
      <c r="D1128" s="115" t="s">
        <v>1140</v>
      </c>
      <c r="E1128" s="115" t="s">
        <v>1141</v>
      </c>
    </row>
    <row r="1129" spans="2:5" x14ac:dyDescent="0.25">
      <c r="B1129" s="115" t="s">
        <v>1139</v>
      </c>
      <c r="D1129" s="115" t="s">
        <v>1140</v>
      </c>
      <c r="E1129" s="115" t="s">
        <v>1141</v>
      </c>
    </row>
    <row r="1130" spans="2:5" x14ac:dyDescent="0.25">
      <c r="B1130" s="115" t="s">
        <v>1139</v>
      </c>
      <c r="D1130" s="115" t="s">
        <v>1140</v>
      </c>
      <c r="E1130" s="115" t="s">
        <v>1141</v>
      </c>
    </row>
    <row r="1131" spans="2:5" x14ac:dyDescent="0.25">
      <c r="B1131" s="115" t="s">
        <v>1139</v>
      </c>
      <c r="D1131" s="115" t="s">
        <v>1140</v>
      </c>
      <c r="E1131" s="115" t="s">
        <v>1141</v>
      </c>
    </row>
    <row r="1132" spans="2:5" x14ac:dyDescent="0.25">
      <c r="B1132" s="115" t="s">
        <v>1139</v>
      </c>
      <c r="D1132" s="115" t="s">
        <v>1140</v>
      </c>
      <c r="E1132" s="115" t="s">
        <v>1141</v>
      </c>
    </row>
    <row r="1133" spans="2:5" x14ac:dyDescent="0.25">
      <c r="B1133" s="115" t="s">
        <v>1139</v>
      </c>
      <c r="D1133" s="115" t="s">
        <v>1140</v>
      </c>
      <c r="E1133" s="115" t="s">
        <v>1141</v>
      </c>
    </row>
    <row r="1134" spans="2:5" x14ac:dyDescent="0.25">
      <c r="B1134" s="115" t="s">
        <v>1139</v>
      </c>
      <c r="D1134" s="115" t="s">
        <v>1140</v>
      </c>
      <c r="E1134" s="115" t="s">
        <v>1141</v>
      </c>
    </row>
    <row r="1135" spans="2:5" x14ac:dyDescent="0.25">
      <c r="B1135" s="115" t="s">
        <v>1139</v>
      </c>
      <c r="D1135" s="115" t="s">
        <v>1140</v>
      </c>
      <c r="E1135" s="115" t="s">
        <v>1141</v>
      </c>
    </row>
    <row r="1136" spans="2:5" x14ac:dyDescent="0.25">
      <c r="B1136" s="115" t="s">
        <v>1139</v>
      </c>
      <c r="D1136" s="115" t="s">
        <v>1140</v>
      </c>
      <c r="E1136" s="115" t="s">
        <v>1141</v>
      </c>
    </row>
    <row r="1137" spans="1:5" x14ac:dyDescent="0.25">
      <c r="B1137" s="115" t="s">
        <v>1139</v>
      </c>
      <c r="D1137" s="115" t="s">
        <v>1140</v>
      </c>
      <c r="E1137" s="115" t="s">
        <v>1141</v>
      </c>
    </row>
    <row r="1138" spans="1:5" x14ac:dyDescent="0.25">
      <c r="B1138" s="115" t="s">
        <v>1139</v>
      </c>
      <c r="D1138" s="115" t="s">
        <v>1140</v>
      </c>
      <c r="E1138" s="115" t="s">
        <v>1141</v>
      </c>
    </row>
    <row r="1139" spans="1:5" x14ac:dyDescent="0.2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25">
      <c r="B1140" s="115" t="s">
        <v>1139</v>
      </c>
      <c r="D1140" s="115" t="s">
        <v>2676</v>
      </c>
      <c r="E1140" s="115" t="s">
        <v>1141</v>
      </c>
    </row>
    <row r="1141" spans="1:5" x14ac:dyDescent="0.25">
      <c r="B1141" s="115" t="s">
        <v>1139</v>
      </c>
      <c r="D1141" s="115" t="s">
        <v>2677</v>
      </c>
      <c r="E1141" s="115" t="s">
        <v>2678</v>
      </c>
    </row>
    <row r="1142" spans="1:5" x14ac:dyDescent="0.2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25">
      <c r="B1143" s="115" t="s">
        <v>1139</v>
      </c>
      <c r="D1143" s="115" t="s">
        <v>2682</v>
      </c>
      <c r="E1143" s="115" t="s">
        <v>1859</v>
      </c>
    </row>
    <row r="1144" spans="1:5" x14ac:dyDescent="0.25">
      <c r="B1144" s="115" t="s">
        <v>1139</v>
      </c>
      <c r="D1144" s="115" t="s">
        <v>2683</v>
      </c>
      <c r="E1144" s="115" t="s">
        <v>2684</v>
      </c>
    </row>
    <row r="1145" spans="1:5" x14ac:dyDescent="0.2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25">
      <c r="B1146" s="115" t="s">
        <v>2688</v>
      </c>
      <c r="D1146" s="115" t="s">
        <v>2689</v>
      </c>
      <c r="E1146" s="115" t="s">
        <v>2690</v>
      </c>
    </row>
    <row r="1147" spans="1:5" x14ac:dyDescent="0.2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2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25">
      <c r="B1149" s="115" t="s">
        <v>1522</v>
      </c>
      <c r="D1149" s="115" t="s">
        <v>2697</v>
      </c>
      <c r="E1149" s="115" t="s">
        <v>1759</v>
      </c>
    </row>
    <row r="1150" spans="1:5" x14ac:dyDescent="0.2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2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25">
      <c r="B1152" s="115" t="s">
        <v>2703</v>
      </c>
      <c r="D1152" s="115" t="s">
        <v>2704</v>
      </c>
      <c r="E1152" s="115" t="s">
        <v>2705</v>
      </c>
    </row>
    <row r="1153" spans="1:5" x14ac:dyDescent="0.25">
      <c r="B1153" s="115" t="s">
        <v>1139</v>
      </c>
      <c r="D1153" s="115" t="s">
        <v>1140</v>
      </c>
      <c r="E1153" s="115" t="s">
        <v>2706</v>
      </c>
    </row>
    <row r="1154" spans="1:5" x14ac:dyDescent="0.2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2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2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25">
      <c r="B1157" s="115" t="s">
        <v>2711</v>
      </c>
      <c r="D1157" s="115" t="s">
        <v>1140</v>
      </c>
      <c r="E1157" s="115" t="s">
        <v>2712</v>
      </c>
    </row>
    <row r="1158" spans="1:5" x14ac:dyDescent="0.25">
      <c r="B1158" s="115" t="s">
        <v>2713</v>
      </c>
      <c r="D1158" s="115" t="s">
        <v>2714</v>
      </c>
      <c r="E1158" s="115" t="s">
        <v>2715</v>
      </c>
    </row>
    <row r="1159" spans="1:5" x14ac:dyDescent="0.2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2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25">
      <c r="B1161" s="115" t="s">
        <v>2721</v>
      </c>
      <c r="D1161" s="115" t="s">
        <v>2722</v>
      </c>
      <c r="E1161" s="115" t="s">
        <v>2723</v>
      </c>
    </row>
    <row r="1162" spans="1:5" x14ac:dyDescent="0.25">
      <c r="B1162" s="115" t="s">
        <v>1413</v>
      </c>
      <c r="D1162" s="115" t="s">
        <v>2384</v>
      </c>
      <c r="E1162" s="115" t="s">
        <v>2724</v>
      </c>
    </row>
    <row r="1163" spans="1:5" x14ac:dyDescent="0.2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2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25">
      <c r="B1165" s="115" t="s">
        <v>1139</v>
      </c>
      <c r="D1165" s="115" t="s">
        <v>1140</v>
      </c>
      <c r="E1165" s="115" t="s">
        <v>1141</v>
      </c>
    </row>
    <row r="1166" spans="1:5" x14ac:dyDescent="0.25">
      <c r="B1166" s="115" t="s">
        <v>1139</v>
      </c>
      <c r="D1166" s="115" t="s">
        <v>1140</v>
      </c>
      <c r="E1166" s="115" t="s">
        <v>1141</v>
      </c>
    </row>
    <row r="1167" spans="1:5" x14ac:dyDescent="0.25">
      <c r="B1167" s="115" t="s">
        <v>1139</v>
      </c>
      <c r="D1167" s="115" t="s">
        <v>1140</v>
      </c>
      <c r="E1167" s="115" t="s">
        <v>1141</v>
      </c>
    </row>
    <row r="1168" spans="1:5" x14ac:dyDescent="0.25">
      <c r="B1168" s="115" t="s">
        <v>1139</v>
      </c>
      <c r="D1168" s="115" t="s">
        <v>1140</v>
      </c>
      <c r="E1168" s="115" t="s">
        <v>1141</v>
      </c>
    </row>
    <row r="1169" spans="1:5" x14ac:dyDescent="0.25">
      <c r="B1169" s="115" t="s">
        <v>1139</v>
      </c>
      <c r="D1169" s="115" t="s">
        <v>1140</v>
      </c>
      <c r="E1169" s="115" t="s">
        <v>1141</v>
      </c>
    </row>
    <row r="1170" spans="1:5" x14ac:dyDescent="0.25">
      <c r="B1170" s="115" t="s">
        <v>1139</v>
      </c>
      <c r="D1170" s="115" t="s">
        <v>1140</v>
      </c>
      <c r="E1170" s="115" t="s">
        <v>1141</v>
      </c>
    </row>
    <row r="1171" spans="1:5" x14ac:dyDescent="0.25">
      <c r="B1171" s="115" t="s">
        <v>1139</v>
      </c>
      <c r="D1171" s="115" t="s">
        <v>1140</v>
      </c>
      <c r="E1171" s="115" t="s">
        <v>1141</v>
      </c>
    </row>
    <row r="1172" spans="1:5" x14ac:dyDescent="0.25">
      <c r="B1172" s="115" t="s">
        <v>1139</v>
      </c>
      <c r="D1172" s="115" t="s">
        <v>1140</v>
      </c>
      <c r="E1172" s="115" t="s">
        <v>1141</v>
      </c>
    </row>
    <row r="1173" spans="1:5" x14ac:dyDescent="0.25">
      <c r="B1173" s="115" t="s">
        <v>1139</v>
      </c>
      <c r="D1173" s="115" t="s">
        <v>1140</v>
      </c>
      <c r="E1173" s="115" t="s">
        <v>1141</v>
      </c>
    </row>
    <row r="1174" spans="1:5" x14ac:dyDescent="0.25">
      <c r="B1174" s="115" t="s">
        <v>1139</v>
      </c>
      <c r="D1174" s="115" t="s">
        <v>1140</v>
      </c>
      <c r="E1174" s="115" t="s">
        <v>1141</v>
      </c>
    </row>
    <row r="1175" spans="1:5" x14ac:dyDescent="0.25">
      <c r="B1175" s="115" t="s">
        <v>1139</v>
      </c>
      <c r="D1175" s="115" t="s">
        <v>1140</v>
      </c>
      <c r="E1175" s="115" t="s">
        <v>1141</v>
      </c>
    </row>
    <row r="1176" spans="1:5" x14ac:dyDescent="0.25">
      <c r="B1176" s="115" t="s">
        <v>1139</v>
      </c>
      <c r="D1176" s="115" t="s">
        <v>1140</v>
      </c>
      <c r="E1176" s="115" t="s">
        <v>2728</v>
      </c>
    </row>
    <row r="1177" spans="1:5" x14ac:dyDescent="0.2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2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2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25">
      <c r="B1180" s="115" t="s">
        <v>1139</v>
      </c>
      <c r="D1180" s="115" t="s">
        <v>2736</v>
      </c>
      <c r="E1180" s="115" t="s">
        <v>2737</v>
      </c>
    </row>
    <row r="1181" spans="1:5" x14ac:dyDescent="0.25">
      <c r="B1181" s="115" t="s">
        <v>1139</v>
      </c>
      <c r="D1181" s="115" t="s">
        <v>1605</v>
      </c>
      <c r="E1181" s="115" t="s">
        <v>1141</v>
      </c>
    </row>
    <row r="1182" spans="1:5" x14ac:dyDescent="0.25">
      <c r="B1182" s="115" t="s">
        <v>2166</v>
      </c>
      <c r="D1182" s="115" t="s">
        <v>2738</v>
      </c>
      <c r="E1182" s="115" t="s">
        <v>2739</v>
      </c>
    </row>
    <row r="1183" spans="1:5" x14ac:dyDescent="0.2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25">
      <c r="B1184" s="115" t="s">
        <v>2743</v>
      </c>
      <c r="D1184" s="115" t="s">
        <v>2744</v>
      </c>
      <c r="E1184" s="115" t="s">
        <v>2745</v>
      </c>
    </row>
    <row r="1185" spans="1:5" x14ac:dyDescent="0.25">
      <c r="B1185" s="115" t="s">
        <v>2746</v>
      </c>
      <c r="D1185" s="115" t="s">
        <v>2747</v>
      </c>
      <c r="E1185" s="115" t="s">
        <v>2748</v>
      </c>
    </row>
    <row r="1186" spans="1:5" x14ac:dyDescent="0.25">
      <c r="B1186" s="115">
        <f>-91    -26</f>
        <v>-117</v>
      </c>
      <c r="D1186" s="115" t="s">
        <v>2749</v>
      </c>
      <c r="E1186" s="115" t="s">
        <v>2750</v>
      </c>
    </row>
    <row r="1187" spans="1:5" x14ac:dyDescent="0.2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2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25">
      <c r="B1189" s="115" t="s">
        <v>2757</v>
      </c>
      <c r="D1189" s="115" t="s">
        <v>2758</v>
      </c>
      <c r="E1189" s="115" t="s">
        <v>1141</v>
      </c>
    </row>
    <row r="1190" spans="1:5" x14ac:dyDescent="0.25">
      <c r="B1190" s="115" t="s">
        <v>1139</v>
      </c>
      <c r="D1190" s="115" t="s">
        <v>1140</v>
      </c>
      <c r="E1190" s="115" t="s">
        <v>1141</v>
      </c>
    </row>
    <row r="1191" spans="1:5" x14ac:dyDescent="0.25">
      <c r="B1191" s="115" t="s">
        <v>1139</v>
      </c>
      <c r="D1191" s="115" t="s">
        <v>1140</v>
      </c>
      <c r="E1191" s="115" t="s">
        <v>1141</v>
      </c>
    </row>
    <row r="1192" spans="1:5" x14ac:dyDescent="0.25">
      <c r="B1192" s="115" t="s">
        <v>1139</v>
      </c>
      <c r="D1192" s="115" t="s">
        <v>1140</v>
      </c>
      <c r="E1192" s="115" t="s">
        <v>1141</v>
      </c>
    </row>
    <row r="1193" spans="1:5" x14ac:dyDescent="0.25">
      <c r="B1193" s="115" t="s">
        <v>1139</v>
      </c>
      <c r="D1193" s="115" t="s">
        <v>1140</v>
      </c>
      <c r="E1193" s="115" t="s">
        <v>1141</v>
      </c>
    </row>
    <row r="1194" spans="1:5" x14ac:dyDescent="0.25">
      <c r="B1194" s="115" t="s">
        <v>1139</v>
      </c>
      <c r="D1194" s="115" t="s">
        <v>1140</v>
      </c>
      <c r="E1194" s="115" t="s">
        <v>1141</v>
      </c>
    </row>
    <row r="1195" spans="1:5" x14ac:dyDescent="0.25">
      <c r="B1195" s="115" t="s">
        <v>1139</v>
      </c>
      <c r="D1195" s="115" t="s">
        <v>1140</v>
      </c>
      <c r="E1195" s="115" t="s">
        <v>1141</v>
      </c>
    </row>
    <row r="1196" spans="1:5" x14ac:dyDescent="0.25">
      <c r="B1196" s="115" t="s">
        <v>1139</v>
      </c>
      <c r="D1196" s="115" t="s">
        <v>1140</v>
      </c>
      <c r="E1196" s="115" t="s">
        <v>1141</v>
      </c>
    </row>
    <row r="1197" spans="1:5" x14ac:dyDescent="0.25">
      <c r="B1197" s="115" t="s">
        <v>1139</v>
      </c>
      <c r="D1197" s="115" t="s">
        <v>1140</v>
      </c>
      <c r="E1197" s="115" t="s">
        <v>1141</v>
      </c>
    </row>
    <row r="1198" spans="1:5" x14ac:dyDescent="0.25">
      <c r="B1198" s="115" t="s">
        <v>1139</v>
      </c>
      <c r="D1198" s="115" t="s">
        <v>1140</v>
      </c>
      <c r="E1198" s="115" t="s">
        <v>1141</v>
      </c>
    </row>
    <row r="1199" spans="1:5" x14ac:dyDescent="0.25">
      <c r="B1199" s="115" t="s">
        <v>1139</v>
      </c>
      <c r="D1199" s="115" t="s">
        <v>1140</v>
      </c>
      <c r="E1199" s="115" t="s">
        <v>1141</v>
      </c>
    </row>
    <row r="1200" spans="1:5" x14ac:dyDescent="0.25">
      <c r="B1200" s="115" t="s">
        <v>1139</v>
      </c>
      <c r="D1200" s="115" t="s">
        <v>1140</v>
      </c>
      <c r="E1200" s="115" t="s">
        <v>1141</v>
      </c>
    </row>
    <row r="1201" spans="2:5" x14ac:dyDescent="0.25">
      <c r="B1201" s="115" t="s">
        <v>1139</v>
      </c>
      <c r="D1201" s="115" t="s">
        <v>1140</v>
      </c>
      <c r="E1201" s="115" t="s">
        <v>1141</v>
      </c>
    </row>
    <row r="1202" spans="2:5" x14ac:dyDescent="0.25">
      <c r="B1202" s="115" t="s">
        <v>1139</v>
      </c>
      <c r="D1202" s="115" t="s">
        <v>1140</v>
      </c>
      <c r="E1202" s="115" t="s">
        <v>1141</v>
      </c>
    </row>
    <row r="1203" spans="2:5" x14ac:dyDescent="0.25">
      <c r="B1203" s="115" t="s">
        <v>1139</v>
      </c>
      <c r="D1203" s="115" t="s">
        <v>1140</v>
      </c>
      <c r="E1203" s="115" t="s">
        <v>1141</v>
      </c>
    </row>
    <row r="1204" spans="2:5" x14ac:dyDescent="0.25">
      <c r="B1204" s="115" t="s">
        <v>1139</v>
      </c>
      <c r="D1204" s="115" t="s">
        <v>1140</v>
      </c>
      <c r="E1204" s="115" t="s">
        <v>1141</v>
      </c>
    </row>
    <row r="1205" spans="2:5" x14ac:dyDescent="0.25">
      <c r="B1205" s="115" t="s">
        <v>1139</v>
      </c>
      <c r="D1205" s="115" t="s">
        <v>1140</v>
      </c>
      <c r="E1205" s="115" t="s">
        <v>1141</v>
      </c>
    </row>
    <row r="1206" spans="2:5" x14ac:dyDescent="0.25">
      <c r="B1206" s="115" t="s">
        <v>1139</v>
      </c>
      <c r="D1206" s="115" t="s">
        <v>1140</v>
      </c>
      <c r="E1206" s="115" t="s">
        <v>1141</v>
      </c>
    </row>
    <row r="1207" spans="2:5" x14ac:dyDescent="0.25">
      <c r="B1207" s="115" t="s">
        <v>1139</v>
      </c>
      <c r="D1207" s="115" t="s">
        <v>1140</v>
      </c>
      <c r="E1207" s="115" t="s">
        <v>1141</v>
      </c>
    </row>
    <row r="1208" spans="2:5" x14ac:dyDescent="0.25">
      <c r="B1208" s="115" t="s">
        <v>1139</v>
      </c>
      <c r="D1208" s="115" t="s">
        <v>1140</v>
      </c>
      <c r="E1208" s="115" t="s">
        <v>1141</v>
      </c>
    </row>
    <row r="1209" spans="2:5" x14ac:dyDescent="0.25">
      <c r="B1209" s="115" t="s">
        <v>1139</v>
      </c>
      <c r="D1209" s="115" t="s">
        <v>1140</v>
      </c>
      <c r="E1209" s="115" t="s">
        <v>1141</v>
      </c>
    </row>
    <row r="1210" spans="2:5" x14ac:dyDescent="0.25">
      <c r="B1210" s="115" t="s">
        <v>1139</v>
      </c>
      <c r="D1210" s="115" t="s">
        <v>1140</v>
      </c>
      <c r="E1210" s="115" t="s">
        <v>1141</v>
      </c>
    </row>
    <row r="1211" spans="2:5" x14ac:dyDescent="0.25">
      <c r="B1211" s="115" t="s">
        <v>1139</v>
      </c>
      <c r="D1211" s="115" t="s">
        <v>1140</v>
      </c>
      <c r="E1211" s="115" t="s">
        <v>1141</v>
      </c>
    </row>
    <row r="1212" spans="2:5" x14ac:dyDescent="0.25">
      <c r="B1212" s="115" t="s">
        <v>1139</v>
      </c>
      <c r="D1212" s="115" t="s">
        <v>1140</v>
      </c>
      <c r="E1212" s="115" t="s">
        <v>1141</v>
      </c>
    </row>
    <row r="1213" spans="2:5" x14ac:dyDescent="0.25">
      <c r="B1213" s="115" t="s">
        <v>1139</v>
      </c>
      <c r="D1213" s="115" t="s">
        <v>1140</v>
      </c>
      <c r="E1213" s="115" t="s">
        <v>1141</v>
      </c>
    </row>
    <row r="1214" spans="2:5" x14ac:dyDescent="0.25">
      <c r="B1214" s="115" t="s">
        <v>1139</v>
      </c>
      <c r="D1214" s="115" t="s">
        <v>1140</v>
      </c>
      <c r="E1214" s="115" t="s">
        <v>1141</v>
      </c>
    </row>
    <row r="1215" spans="2:5" x14ac:dyDescent="0.25">
      <c r="B1215" s="115" t="s">
        <v>1139</v>
      </c>
      <c r="D1215" s="115" t="s">
        <v>2759</v>
      </c>
      <c r="E1215" s="115" t="s">
        <v>2760</v>
      </c>
    </row>
    <row r="1216" spans="2:5" x14ac:dyDescent="0.25">
      <c r="B1216" s="115" t="s">
        <v>2761</v>
      </c>
      <c r="D1216" s="115" t="s">
        <v>2762</v>
      </c>
      <c r="E1216" s="115" t="s">
        <v>2763</v>
      </c>
    </row>
    <row r="1217" spans="1:5" x14ac:dyDescent="0.25">
      <c r="B1217" s="115" t="s">
        <v>1139</v>
      </c>
      <c r="D1217" s="115" t="s">
        <v>1140</v>
      </c>
      <c r="E1217" s="115" t="s">
        <v>2764</v>
      </c>
    </row>
    <row r="1218" spans="1:5" x14ac:dyDescent="0.25">
      <c r="B1218" s="115" t="s">
        <v>2765</v>
      </c>
      <c r="D1218" s="115" t="s">
        <v>2766</v>
      </c>
      <c r="E1218" s="115" t="s">
        <v>2767</v>
      </c>
    </row>
    <row r="1219" spans="1:5" x14ac:dyDescent="0.25">
      <c r="B1219" s="115" t="s">
        <v>1297</v>
      </c>
      <c r="D1219" s="115" t="s">
        <v>2768</v>
      </c>
      <c r="E1219" s="115" t="s">
        <v>1141</v>
      </c>
    </row>
    <row r="1220" spans="1:5" x14ac:dyDescent="0.25">
      <c r="B1220" s="115" t="s">
        <v>2769</v>
      </c>
      <c r="D1220" s="115" t="s">
        <v>1140</v>
      </c>
      <c r="E1220" s="115" t="s">
        <v>2770</v>
      </c>
    </row>
    <row r="1221" spans="1:5" x14ac:dyDescent="0.25">
      <c r="B1221" s="115" t="s">
        <v>2771</v>
      </c>
      <c r="D1221" s="115" t="s">
        <v>1140</v>
      </c>
      <c r="E1221" s="115" t="s">
        <v>2772</v>
      </c>
    </row>
    <row r="1222" spans="1:5" x14ac:dyDescent="0.25">
      <c r="B1222" s="115" t="s">
        <v>2773</v>
      </c>
      <c r="D1222" s="115" t="s">
        <v>2774</v>
      </c>
      <c r="E1222" s="115" t="s">
        <v>2775</v>
      </c>
    </row>
    <row r="1223" spans="1:5" x14ac:dyDescent="0.25">
      <c r="B1223" s="115" t="s">
        <v>2776</v>
      </c>
      <c r="D1223" s="115" t="s">
        <v>2777</v>
      </c>
      <c r="E1223" s="115" t="s">
        <v>2778</v>
      </c>
    </row>
    <row r="1224" spans="1:5" x14ac:dyDescent="0.2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25">
      <c r="B1225" s="115" t="s">
        <v>2782</v>
      </c>
      <c r="D1225" s="115" t="s">
        <v>2783</v>
      </c>
      <c r="E1225" s="115" t="s">
        <v>2784</v>
      </c>
    </row>
    <row r="1226" spans="1:5" x14ac:dyDescent="0.2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2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2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25">
      <c r="B1229" s="115" t="s">
        <v>1139</v>
      </c>
      <c r="D1229" s="115" t="s">
        <v>1140</v>
      </c>
      <c r="E1229" s="115" t="s">
        <v>1141</v>
      </c>
    </row>
    <row r="1230" spans="1:5" x14ac:dyDescent="0.25">
      <c r="B1230" s="115" t="s">
        <v>1139</v>
      </c>
      <c r="D1230" s="115" t="s">
        <v>1140</v>
      </c>
      <c r="E1230" s="115" t="s">
        <v>1141</v>
      </c>
    </row>
    <row r="1231" spans="1:5" x14ac:dyDescent="0.25">
      <c r="B1231" s="115" t="s">
        <v>1139</v>
      </c>
      <c r="D1231" s="115" t="s">
        <v>1140</v>
      </c>
      <c r="E1231" s="115" t="s">
        <v>1141</v>
      </c>
    </row>
    <row r="1232" spans="1:5" x14ac:dyDescent="0.25">
      <c r="B1232" s="115" t="s">
        <v>1139</v>
      </c>
      <c r="D1232" s="115" t="s">
        <v>1140</v>
      </c>
      <c r="E1232" s="115" t="s">
        <v>1141</v>
      </c>
    </row>
    <row r="1233" spans="1:5" x14ac:dyDescent="0.25">
      <c r="B1233" s="115" t="s">
        <v>1139</v>
      </c>
      <c r="D1233" s="115" t="s">
        <v>1140</v>
      </c>
      <c r="E1233" s="115" t="s">
        <v>1141</v>
      </c>
    </row>
    <row r="1234" spans="1:5" x14ac:dyDescent="0.25">
      <c r="B1234" s="115" t="s">
        <v>1139</v>
      </c>
      <c r="D1234" s="115" t="s">
        <v>1140</v>
      </c>
      <c r="E1234" s="115" t="s">
        <v>1141</v>
      </c>
    </row>
    <row r="1235" spans="1:5" x14ac:dyDescent="0.25">
      <c r="B1235" s="115" t="s">
        <v>1139</v>
      </c>
      <c r="D1235" s="115" t="s">
        <v>1140</v>
      </c>
      <c r="E1235" s="115" t="s">
        <v>1141</v>
      </c>
    </row>
    <row r="1236" spans="1:5" x14ac:dyDescent="0.25">
      <c r="B1236" s="115" t="s">
        <v>1139</v>
      </c>
      <c r="D1236" s="115" t="s">
        <v>1140</v>
      </c>
      <c r="E1236" s="115" t="s">
        <v>1141</v>
      </c>
    </row>
    <row r="1237" spans="1:5" x14ac:dyDescent="0.25">
      <c r="B1237" s="115" t="s">
        <v>1139</v>
      </c>
      <c r="D1237" s="115" t="s">
        <v>1140</v>
      </c>
      <c r="E1237" s="115" t="s">
        <v>1141</v>
      </c>
    </row>
    <row r="1238" spans="1:5" x14ac:dyDescent="0.25">
      <c r="B1238" s="115" t="s">
        <v>1139</v>
      </c>
      <c r="D1238" s="115" t="s">
        <v>1140</v>
      </c>
      <c r="E1238" s="115" t="s">
        <v>1141</v>
      </c>
    </row>
    <row r="1239" spans="1:5" x14ac:dyDescent="0.25">
      <c r="B1239" s="115" t="s">
        <v>1139</v>
      </c>
      <c r="D1239" s="115" t="s">
        <v>1140</v>
      </c>
      <c r="E1239" s="115" t="s">
        <v>1141</v>
      </c>
    </row>
    <row r="1240" spans="1:5" x14ac:dyDescent="0.25">
      <c r="B1240" s="115" t="s">
        <v>1139</v>
      </c>
      <c r="D1240" s="115" t="s">
        <v>1140</v>
      </c>
      <c r="E1240" s="115" t="s">
        <v>1141</v>
      </c>
    </row>
    <row r="1241" spans="1:5" x14ac:dyDescent="0.25">
      <c r="B1241" s="115" t="s">
        <v>1139</v>
      </c>
      <c r="D1241" s="115" t="s">
        <v>1140</v>
      </c>
      <c r="E1241" s="115" t="s">
        <v>2791</v>
      </c>
    </row>
    <row r="1242" spans="1:5" x14ac:dyDescent="0.2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25">
      <c r="B1243" s="115" t="s">
        <v>2795</v>
      </c>
      <c r="D1243" s="115" t="s">
        <v>1140</v>
      </c>
      <c r="E1243" s="115" t="s">
        <v>1141</v>
      </c>
    </row>
    <row r="1244" spans="1:5" x14ac:dyDescent="0.25">
      <c r="B1244" s="115" t="s">
        <v>2796</v>
      </c>
      <c r="D1244" s="115" t="s">
        <v>2797</v>
      </c>
      <c r="E1244" s="115" t="s">
        <v>2798</v>
      </c>
    </row>
    <row r="1245" spans="1:5" x14ac:dyDescent="0.25">
      <c r="B1245" s="115" t="s">
        <v>1139</v>
      </c>
      <c r="D1245" s="115" t="s">
        <v>2799</v>
      </c>
      <c r="E1245" s="115" t="s">
        <v>2800</v>
      </c>
    </row>
    <row r="1246" spans="1:5" x14ac:dyDescent="0.25">
      <c r="B1246" s="115" t="s">
        <v>1139</v>
      </c>
      <c r="D1246" s="115" t="s">
        <v>2801</v>
      </c>
      <c r="E1246" s="115" t="s">
        <v>1141</v>
      </c>
    </row>
    <row r="1247" spans="1:5" x14ac:dyDescent="0.25">
      <c r="B1247" s="115" t="s">
        <v>2802</v>
      </c>
      <c r="D1247" s="115" t="s">
        <v>2803</v>
      </c>
      <c r="E1247" s="115" t="s">
        <v>1596</v>
      </c>
    </row>
    <row r="1248" spans="1:5" x14ac:dyDescent="0.2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2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25">
      <c r="B1250" s="115" t="s">
        <v>2810</v>
      </c>
      <c r="D1250" s="115" t="s">
        <v>2811</v>
      </c>
      <c r="E1250" s="115" t="s">
        <v>2812</v>
      </c>
    </row>
    <row r="1251" spans="1:5" x14ac:dyDescent="0.2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2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2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25">
      <c r="B1254" s="115" t="s">
        <v>1292</v>
      </c>
      <c r="D1254" s="115" t="s">
        <v>2822</v>
      </c>
      <c r="E1254" s="115" t="s">
        <v>2823</v>
      </c>
    </row>
    <row r="1255" spans="1:5" x14ac:dyDescent="0.25">
      <c r="B1255" s="115" t="s">
        <v>2824</v>
      </c>
      <c r="D1255" s="115" t="s">
        <v>2825</v>
      </c>
      <c r="E1255" s="115" t="s">
        <v>2826</v>
      </c>
    </row>
    <row r="1256" spans="1:5" x14ac:dyDescent="0.25">
      <c r="B1256" s="115" t="s">
        <v>1139</v>
      </c>
      <c r="D1256" s="115" t="s">
        <v>2827</v>
      </c>
      <c r="E1256" s="115" t="s">
        <v>1141</v>
      </c>
    </row>
    <row r="1257" spans="1:5" x14ac:dyDescent="0.25">
      <c r="B1257" s="115" t="s">
        <v>1139</v>
      </c>
      <c r="D1257" s="115" t="s">
        <v>2828</v>
      </c>
      <c r="E1257" s="115" t="s">
        <v>2829</v>
      </c>
    </row>
    <row r="1258" spans="1:5" x14ac:dyDescent="0.2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25">
      <c r="B1259" s="115" t="s">
        <v>2833</v>
      </c>
      <c r="D1259" s="115" t="s">
        <v>1140</v>
      </c>
      <c r="E1259" s="115" t="s">
        <v>2834</v>
      </c>
    </row>
    <row r="1260" spans="1:5" x14ac:dyDescent="0.25">
      <c r="B1260" s="115" t="s">
        <v>1139</v>
      </c>
      <c r="D1260" s="115" t="s">
        <v>2835</v>
      </c>
      <c r="E1260" s="115" t="s">
        <v>2836</v>
      </c>
    </row>
    <row r="1261" spans="1:5" x14ac:dyDescent="0.25">
      <c r="B1261" s="115" t="s">
        <v>1139</v>
      </c>
      <c r="D1261" s="115" t="s">
        <v>2837</v>
      </c>
      <c r="E1261" s="115" t="s">
        <v>2838</v>
      </c>
    </row>
    <row r="1262" spans="1:5" x14ac:dyDescent="0.25">
      <c r="B1262" s="115" t="s">
        <v>2839</v>
      </c>
      <c r="D1262" s="115" t="s">
        <v>2840</v>
      </c>
      <c r="E1262" s="115" t="s">
        <v>2841</v>
      </c>
    </row>
    <row r="1263" spans="1:5" x14ac:dyDescent="0.25">
      <c r="B1263" s="115" t="s">
        <v>2842</v>
      </c>
      <c r="D1263" s="115" t="s">
        <v>2843</v>
      </c>
      <c r="E1263" s="115" t="s">
        <v>2844</v>
      </c>
    </row>
    <row r="1264" spans="1:5" x14ac:dyDescent="0.2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2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25">
      <c r="B1266" s="115" t="s">
        <v>2850</v>
      </c>
      <c r="D1266" s="115" t="s">
        <v>2851</v>
      </c>
      <c r="E1266" s="115" t="s">
        <v>2852</v>
      </c>
    </row>
    <row r="1267" spans="1:5" x14ac:dyDescent="0.2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2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25">
      <c r="B1269" s="115" t="s">
        <v>2857</v>
      </c>
      <c r="D1269" s="115" t="s">
        <v>1533</v>
      </c>
      <c r="E1269" s="115" t="s">
        <v>2858</v>
      </c>
    </row>
    <row r="1270" spans="1:5" x14ac:dyDescent="0.25">
      <c r="B1270" s="115" t="s">
        <v>1139</v>
      </c>
      <c r="D1270" s="115" t="s">
        <v>1140</v>
      </c>
      <c r="E1270" s="115" t="s">
        <v>2859</v>
      </c>
    </row>
    <row r="1271" spans="1:5" x14ac:dyDescent="0.25">
      <c r="B1271" s="115" t="s">
        <v>2860</v>
      </c>
      <c r="D1271" s="115" t="s">
        <v>2861</v>
      </c>
      <c r="E1271" s="115" t="s">
        <v>2862</v>
      </c>
    </row>
    <row r="1272" spans="1:5" x14ac:dyDescent="0.2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25">
      <c r="B1273" s="115" t="s">
        <v>1479</v>
      </c>
      <c r="D1273" s="115" t="s">
        <v>1140</v>
      </c>
      <c r="E1273" s="115" t="s">
        <v>2864</v>
      </c>
    </row>
    <row r="1274" spans="1:5" x14ac:dyDescent="0.25">
      <c r="B1274" s="115" t="s">
        <v>2865</v>
      </c>
      <c r="D1274" s="115" t="s">
        <v>1140</v>
      </c>
      <c r="E1274" s="115" t="s">
        <v>2866</v>
      </c>
    </row>
    <row r="1275" spans="1:5" x14ac:dyDescent="0.25">
      <c r="B1275" s="115" t="s">
        <v>2867</v>
      </c>
      <c r="D1275" s="115" t="s">
        <v>2868</v>
      </c>
      <c r="E1275" s="115" t="s">
        <v>2869</v>
      </c>
    </row>
    <row r="1276" spans="1:5" x14ac:dyDescent="0.2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25">
      <c r="B1277" s="115" t="s">
        <v>2871</v>
      </c>
      <c r="D1277" s="115" t="s">
        <v>2872</v>
      </c>
      <c r="E1277" s="115" t="s">
        <v>2873</v>
      </c>
    </row>
    <row r="1278" spans="1:5" x14ac:dyDescent="0.25">
      <c r="B1278" s="115" t="s">
        <v>2874</v>
      </c>
      <c r="D1278" s="115" t="s">
        <v>2875</v>
      </c>
      <c r="E1278" s="115" t="s">
        <v>2876</v>
      </c>
    </row>
    <row r="1279" spans="1:5" x14ac:dyDescent="0.2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2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2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25">
      <c r="B1282" s="115" t="s">
        <v>1139</v>
      </c>
      <c r="D1282" s="115" t="s">
        <v>1140</v>
      </c>
      <c r="E1282" s="115" t="s">
        <v>1141</v>
      </c>
    </row>
    <row r="1283" spans="1:5" x14ac:dyDescent="0.25">
      <c r="B1283" s="115" t="s">
        <v>1139</v>
      </c>
      <c r="D1283" s="115" t="s">
        <v>1140</v>
      </c>
      <c r="E1283" s="115" t="s">
        <v>1141</v>
      </c>
    </row>
    <row r="1284" spans="1:5" x14ac:dyDescent="0.25">
      <c r="B1284" s="115" t="s">
        <v>1139</v>
      </c>
      <c r="D1284" s="115" t="s">
        <v>1140</v>
      </c>
      <c r="E1284" s="115" t="s">
        <v>1141</v>
      </c>
    </row>
    <row r="1285" spans="1:5" x14ac:dyDescent="0.25">
      <c r="B1285" s="115" t="s">
        <v>1139</v>
      </c>
      <c r="D1285" s="115" t="s">
        <v>1140</v>
      </c>
      <c r="E1285" s="115" t="s">
        <v>1141</v>
      </c>
    </row>
    <row r="1286" spans="1:5" x14ac:dyDescent="0.25">
      <c r="B1286" s="115" t="s">
        <v>1139</v>
      </c>
      <c r="D1286" s="115" t="s">
        <v>1140</v>
      </c>
      <c r="E1286" s="115" t="s">
        <v>1141</v>
      </c>
    </row>
    <row r="1287" spans="1:5" x14ac:dyDescent="0.25">
      <c r="B1287" s="115" t="s">
        <v>1139</v>
      </c>
      <c r="D1287" s="115" t="s">
        <v>1140</v>
      </c>
      <c r="E1287" s="115" t="s">
        <v>1141</v>
      </c>
    </row>
    <row r="1288" spans="1:5" x14ac:dyDescent="0.25">
      <c r="B1288" s="115" t="s">
        <v>1139</v>
      </c>
      <c r="D1288" s="115" t="s">
        <v>1140</v>
      </c>
      <c r="E1288" s="115" t="s">
        <v>1141</v>
      </c>
    </row>
    <row r="1289" spans="1:5" x14ac:dyDescent="0.25">
      <c r="B1289" s="115" t="s">
        <v>1139</v>
      </c>
      <c r="D1289" s="115" t="s">
        <v>1140</v>
      </c>
      <c r="E1289" s="115" t="s">
        <v>1141</v>
      </c>
    </row>
    <row r="1290" spans="1:5" x14ac:dyDescent="0.25">
      <c r="B1290" s="115" t="s">
        <v>1139</v>
      </c>
      <c r="D1290" s="115" t="s">
        <v>1140</v>
      </c>
      <c r="E1290" s="115" t="s">
        <v>1141</v>
      </c>
    </row>
    <row r="1291" spans="1:5" x14ac:dyDescent="0.25">
      <c r="B1291" s="115" t="s">
        <v>1139</v>
      </c>
      <c r="D1291" s="115" t="s">
        <v>1140</v>
      </c>
      <c r="E1291" s="115" t="s">
        <v>1141</v>
      </c>
    </row>
    <row r="1292" spans="1:5" x14ac:dyDescent="0.25">
      <c r="B1292" s="115" t="s">
        <v>1139</v>
      </c>
      <c r="D1292" s="115" t="s">
        <v>1140</v>
      </c>
      <c r="E1292" s="115" t="s">
        <v>1141</v>
      </c>
    </row>
    <row r="1293" spans="1:5" x14ac:dyDescent="0.25">
      <c r="B1293" s="115" t="s">
        <v>1139</v>
      </c>
      <c r="D1293" s="115" t="s">
        <v>1140</v>
      </c>
      <c r="E1293" s="115" t="s">
        <v>1141</v>
      </c>
    </row>
    <row r="1294" spans="1:5" x14ac:dyDescent="0.25">
      <c r="B1294" s="115" t="s">
        <v>1139</v>
      </c>
      <c r="D1294" s="115" t="s">
        <v>1140</v>
      </c>
      <c r="E1294" s="115" t="s">
        <v>1141</v>
      </c>
    </row>
    <row r="1295" spans="1:5" x14ac:dyDescent="0.25">
      <c r="B1295" s="115" t="s">
        <v>1139</v>
      </c>
      <c r="D1295" s="115" t="s">
        <v>1140</v>
      </c>
      <c r="E1295" s="115" t="s">
        <v>1141</v>
      </c>
    </row>
    <row r="1296" spans="1:5" x14ac:dyDescent="0.25">
      <c r="B1296" s="115" t="s">
        <v>1139</v>
      </c>
      <c r="D1296" s="115" t="s">
        <v>1140</v>
      </c>
      <c r="E1296" s="115" t="s">
        <v>1141</v>
      </c>
    </row>
    <row r="1297" spans="2:5" x14ac:dyDescent="0.25">
      <c r="B1297" s="115" t="s">
        <v>1139</v>
      </c>
      <c r="D1297" s="115" t="s">
        <v>1140</v>
      </c>
      <c r="E1297" s="115" t="s">
        <v>1141</v>
      </c>
    </row>
    <row r="1298" spans="2:5" x14ac:dyDescent="0.25">
      <c r="B1298" s="115" t="s">
        <v>1139</v>
      </c>
      <c r="D1298" s="115" t="s">
        <v>1140</v>
      </c>
      <c r="E1298" s="115" t="s">
        <v>1141</v>
      </c>
    </row>
    <row r="1299" spans="2:5" x14ac:dyDescent="0.25">
      <c r="B1299" s="115" t="s">
        <v>1139</v>
      </c>
      <c r="D1299" s="115" t="s">
        <v>1140</v>
      </c>
      <c r="E1299" s="115" t="s">
        <v>1141</v>
      </c>
    </row>
    <row r="1300" spans="2:5" x14ac:dyDescent="0.25">
      <c r="B1300" s="115" t="s">
        <v>1139</v>
      </c>
      <c r="D1300" s="115" t="s">
        <v>1140</v>
      </c>
      <c r="E1300" s="115" t="s">
        <v>1141</v>
      </c>
    </row>
    <row r="1301" spans="2:5" x14ac:dyDescent="0.25">
      <c r="B1301" s="115" t="s">
        <v>1139</v>
      </c>
      <c r="D1301" s="115" t="s">
        <v>1140</v>
      </c>
      <c r="E1301" s="115" t="s">
        <v>1141</v>
      </c>
    </row>
    <row r="1302" spans="2:5" x14ac:dyDescent="0.25">
      <c r="B1302" s="115" t="s">
        <v>1139</v>
      </c>
      <c r="D1302" s="115" t="s">
        <v>1140</v>
      </c>
      <c r="E1302" s="115" t="s">
        <v>1141</v>
      </c>
    </row>
    <row r="1303" spans="2:5" x14ac:dyDescent="0.25">
      <c r="B1303" s="115" t="s">
        <v>1139</v>
      </c>
      <c r="D1303" s="115" t="s">
        <v>1140</v>
      </c>
      <c r="E1303" s="115" t="s">
        <v>1141</v>
      </c>
    </row>
    <row r="1304" spans="2:5" x14ac:dyDescent="0.25">
      <c r="B1304" s="115" t="s">
        <v>1139</v>
      </c>
      <c r="D1304" s="115" t="s">
        <v>1140</v>
      </c>
      <c r="E1304" s="115" t="s">
        <v>1141</v>
      </c>
    </row>
    <row r="1305" spans="2:5" x14ac:dyDescent="0.25">
      <c r="B1305" s="115" t="s">
        <v>1139</v>
      </c>
      <c r="D1305" s="115" t="s">
        <v>1140</v>
      </c>
      <c r="E1305" s="115" t="s">
        <v>1141</v>
      </c>
    </row>
    <row r="1306" spans="2:5" x14ac:dyDescent="0.25">
      <c r="B1306" s="115" t="s">
        <v>1139</v>
      </c>
      <c r="D1306" s="115" t="s">
        <v>1140</v>
      </c>
      <c r="E1306" s="115" t="s">
        <v>1141</v>
      </c>
    </row>
    <row r="1307" spans="2:5" x14ac:dyDescent="0.25">
      <c r="B1307" s="115" t="s">
        <v>1139</v>
      </c>
      <c r="D1307" s="115" t="s">
        <v>1140</v>
      </c>
      <c r="E1307" s="115" t="s">
        <v>1141</v>
      </c>
    </row>
    <row r="1308" spans="2:5" x14ac:dyDescent="0.25">
      <c r="B1308" s="115" t="s">
        <v>1139</v>
      </c>
      <c r="D1308" s="115" t="s">
        <v>1140</v>
      </c>
      <c r="E1308" s="115" t="s">
        <v>1141</v>
      </c>
    </row>
    <row r="1309" spans="2:5" x14ac:dyDescent="0.25">
      <c r="B1309" s="115" t="s">
        <v>1139</v>
      </c>
      <c r="D1309" s="115" t="s">
        <v>1140</v>
      </c>
      <c r="E1309" s="115" t="s">
        <v>1141</v>
      </c>
    </row>
    <row r="1310" spans="2:5" x14ac:dyDescent="0.25">
      <c r="B1310" s="115" t="s">
        <v>1139</v>
      </c>
      <c r="D1310" s="115" t="s">
        <v>1140</v>
      </c>
      <c r="E1310" s="115" t="s">
        <v>1141</v>
      </c>
    </row>
    <row r="1311" spans="2:5" x14ac:dyDescent="0.25">
      <c r="B1311" s="115" t="s">
        <v>1139</v>
      </c>
      <c r="D1311" s="115" t="s">
        <v>1140</v>
      </c>
      <c r="E1311" s="115" t="s">
        <v>1141</v>
      </c>
    </row>
    <row r="1312" spans="2:5" x14ac:dyDescent="0.25">
      <c r="B1312" s="115" t="s">
        <v>1139</v>
      </c>
      <c r="D1312" s="115" t="s">
        <v>1140</v>
      </c>
      <c r="E1312" s="115" t="s">
        <v>1141</v>
      </c>
    </row>
    <row r="1313" spans="2:5" x14ac:dyDescent="0.25">
      <c r="B1313" s="115" t="s">
        <v>1139</v>
      </c>
      <c r="D1313" s="115" t="s">
        <v>1140</v>
      </c>
      <c r="E1313" s="115" t="s">
        <v>1141</v>
      </c>
    </row>
    <row r="1314" spans="2:5" x14ac:dyDescent="0.25">
      <c r="B1314" s="115" t="s">
        <v>1139</v>
      </c>
      <c r="D1314" s="115" t="s">
        <v>1140</v>
      </c>
      <c r="E1314" s="115" t="s">
        <v>1141</v>
      </c>
    </row>
    <row r="1315" spans="2:5" x14ac:dyDescent="0.25">
      <c r="B1315" s="115" t="s">
        <v>1139</v>
      </c>
      <c r="D1315" s="115" t="s">
        <v>1140</v>
      </c>
      <c r="E1315" s="115" t="s">
        <v>1141</v>
      </c>
    </row>
    <row r="1316" spans="2:5" x14ac:dyDescent="0.25">
      <c r="B1316" s="115" t="s">
        <v>1139</v>
      </c>
      <c r="D1316" s="115" t="s">
        <v>1140</v>
      </c>
      <c r="E1316" s="115" t="s">
        <v>1141</v>
      </c>
    </row>
    <row r="1317" spans="2:5" x14ac:dyDescent="0.25">
      <c r="B1317" s="115" t="s">
        <v>1139</v>
      </c>
      <c r="D1317" s="115" t="s">
        <v>1140</v>
      </c>
      <c r="E1317" s="115" t="s">
        <v>1141</v>
      </c>
    </row>
    <row r="1318" spans="2:5" x14ac:dyDescent="0.25">
      <c r="B1318" s="115" t="s">
        <v>1139</v>
      </c>
      <c r="D1318" s="115" t="s">
        <v>1140</v>
      </c>
      <c r="E1318" s="115" t="s">
        <v>1141</v>
      </c>
    </row>
    <row r="1319" spans="2:5" x14ac:dyDescent="0.25">
      <c r="B1319" s="115" t="s">
        <v>1139</v>
      </c>
      <c r="D1319" s="115" t="s">
        <v>1140</v>
      </c>
      <c r="E1319" s="115" t="s">
        <v>1141</v>
      </c>
    </row>
    <row r="1320" spans="2:5" x14ac:dyDescent="0.25">
      <c r="B1320" s="115" t="s">
        <v>1139</v>
      </c>
      <c r="D1320" s="115" t="s">
        <v>1140</v>
      </c>
      <c r="E1320" s="115" t="s">
        <v>1141</v>
      </c>
    </row>
    <row r="1321" spans="2:5" x14ac:dyDescent="0.25">
      <c r="B1321" s="115" t="s">
        <v>1139</v>
      </c>
      <c r="D1321" s="115" t="s">
        <v>1140</v>
      </c>
      <c r="E1321" s="115" t="s">
        <v>1141</v>
      </c>
    </row>
    <row r="1322" spans="2:5" x14ac:dyDescent="0.25">
      <c r="B1322" s="115" t="s">
        <v>1139</v>
      </c>
      <c r="D1322" s="115" t="s">
        <v>1140</v>
      </c>
      <c r="E1322" s="115" t="s">
        <v>1141</v>
      </c>
    </row>
    <row r="1323" spans="2:5" x14ac:dyDescent="0.25">
      <c r="B1323" s="115" t="s">
        <v>1139</v>
      </c>
      <c r="D1323" s="115" t="s">
        <v>1140</v>
      </c>
      <c r="E1323" s="115" t="s">
        <v>1141</v>
      </c>
    </row>
    <row r="1324" spans="2:5" x14ac:dyDescent="0.25">
      <c r="B1324" s="115" t="s">
        <v>1139</v>
      </c>
      <c r="D1324" s="115" t="s">
        <v>1140</v>
      </c>
      <c r="E1324" s="115" t="s">
        <v>1141</v>
      </c>
    </row>
    <row r="1325" spans="2:5" x14ac:dyDescent="0.25">
      <c r="B1325" s="115" t="s">
        <v>1139</v>
      </c>
      <c r="D1325" s="115" t="s">
        <v>1140</v>
      </c>
      <c r="E1325" s="115" t="s">
        <v>1141</v>
      </c>
    </row>
    <row r="1326" spans="2:5" x14ac:dyDescent="0.25">
      <c r="B1326" s="115" t="s">
        <v>1139</v>
      </c>
      <c r="D1326" s="115" t="s">
        <v>1140</v>
      </c>
      <c r="E1326" s="115" t="s">
        <v>1141</v>
      </c>
    </row>
    <row r="1327" spans="2:5" x14ac:dyDescent="0.25">
      <c r="B1327" s="115" t="s">
        <v>1139</v>
      </c>
      <c r="D1327" s="115" t="s">
        <v>1140</v>
      </c>
      <c r="E1327" s="115" t="s">
        <v>1141</v>
      </c>
    </row>
    <row r="1328" spans="2:5" x14ac:dyDescent="0.25">
      <c r="B1328" s="115" t="s">
        <v>1139</v>
      </c>
      <c r="D1328" s="115" t="s">
        <v>1140</v>
      </c>
      <c r="E1328" s="115" t="s">
        <v>1141</v>
      </c>
    </row>
    <row r="1329" spans="1:5" x14ac:dyDescent="0.25">
      <c r="B1329" s="115" t="s">
        <v>1139</v>
      </c>
      <c r="D1329" s="115" t="s">
        <v>1140</v>
      </c>
      <c r="E1329" s="115" t="s">
        <v>1141</v>
      </c>
    </row>
    <row r="1330" spans="1:5" x14ac:dyDescent="0.25">
      <c r="B1330" s="115" t="s">
        <v>1139</v>
      </c>
      <c r="D1330" s="115" t="s">
        <v>1140</v>
      </c>
      <c r="E1330" s="115" t="s">
        <v>1141</v>
      </c>
    </row>
    <row r="1331" spans="1:5" x14ac:dyDescent="0.25">
      <c r="B1331" s="115" t="s">
        <v>1139</v>
      </c>
      <c r="D1331" s="115" t="s">
        <v>1140</v>
      </c>
      <c r="E1331" s="115" t="s">
        <v>1141</v>
      </c>
    </row>
    <row r="1332" spans="1:5" x14ac:dyDescent="0.25">
      <c r="B1332" s="115" t="s">
        <v>1139</v>
      </c>
      <c r="D1332" s="115" t="s">
        <v>1140</v>
      </c>
      <c r="E1332" s="115" t="s">
        <v>1141</v>
      </c>
    </row>
    <row r="1333" spans="1:5" x14ac:dyDescent="0.25">
      <c r="B1333" s="115" t="s">
        <v>1139</v>
      </c>
      <c r="D1333" s="115" t="s">
        <v>1140</v>
      </c>
      <c r="E1333" s="115" t="s">
        <v>1141</v>
      </c>
    </row>
    <row r="1334" spans="1:5" x14ac:dyDescent="0.25">
      <c r="B1334" s="115" t="s">
        <v>1139</v>
      </c>
      <c r="D1334" s="115" t="s">
        <v>1140</v>
      </c>
      <c r="E1334" s="115" t="s">
        <v>1141</v>
      </c>
    </row>
    <row r="1335" spans="1:5" x14ac:dyDescent="0.25">
      <c r="B1335" s="115" t="s">
        <v>1139</v>
      </c>
      <c r="D1335" s="115" t="s">
        <v>1140</v>
      </c>
      <c r="E1335" s="115" t="s">
        <v>1141</v>
      </c>
    </row>
    <row r="1336" spans="1:5" x14ac:dyDescent="0.25">
      <c r="B1336" s="115" t="s">
        <v>1139</v>
      </c>
      <c r="D1336" s="115" t="s">
        <v>1140</v>
      </c>
      <c r="E1336" s="115" t="s">
        <v>1141</v>
      </c>
    </row>
    <row r="1337" spans="1:5" x14ac:dyDescent="0.2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25">
      <c r="B1338" s="115" t="s">
        <v>1139</v>
      </c>
      <c r="D1338" s="115" t="s">
        <v>2889</v>
      </c>
      <c r="E1338" s="115" t="s">
        <v>1141</v>
      </c>
    </row>
    <row r="1339" spans="1:5" x14ac:dyDescent="0.25">
      <c r="B1339" s="115" t="s">
        <v>1139</v>
      </c>
      <c r="D1339" s="115" t="s">
        <v>2890</v>
      </c>
      <c r="E1339" s="115" t="s">
        <v>2891</v>
      </c>
    </row>
    <row r="1340" spans="1:5" x14ac:dyDescent="0.2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25">
      <c r="B1341" s="115" t="s">
        <v>1139</v>
      </c>
      <c r="D1341" s="115" t="s">
        <v>1828</v>
      </c>
      <c r="E1341" s="115" t="s">
        <v>1759</v>
      </c>
    </row>
    <row r="1342" spans="1:5" x14ac:dyDescent="0.25">
      <c r="B1342" s="115" t="s">
        <v>1139</v>
      </c>
      <c r="D1342" s="115" t="s">
        <v>2895</v>
      </c>
      <c r="E1342" s="115" t="s">
        <v>2896</v>
      </c>
    </row>
    <row r="1343" spans="1:5" x14ac:dyDescent="0.25">
      <c r="B1343" s="115" t="s">
        <v>1494</v>
      </c>
      <c r="D1343" s="115" t="s">
        <v>2897</v>
      </c>
      <c r="E1343" s="115" t="s">
        <v>2898</v>
      </c>
    </row>
    <row r="1344" spans="1:5" x14ac:dyDescent="0.2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2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2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2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2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2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25">
      <c r="B1350" s="115" t="s">
        <v>2913</v>
      </c>
      <c r="D1350" s="115" t="s">
        <v>2914</v>
      </c>
      <c r="E1350" s="115" t="s">
        <v>2537</v>
      </c>
    </row>
    <row r="1351" spans="1:5" x14ac:dyDescent="0.2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25">
      <c r="B1352" s="115" t="s">
        <v>1139</v>
      </c>
      <c r="D1352" s="115" t="s">
        <v>2918</v>
      </c>
      <c r="E1352" s="115" t="s">
        <v>1141</v>
      </c>
    </row>
    <row r="1353" spans="1:5" x14ac:dyDescent="0.25">
      <c r="B1353" s="115" t="s">
        <v>1139</v>
      </c>
      <c r="D1353" s="115" t="s">
        <v>2919</v>
      </c>
      <c r="E1353" s="115" t="s">
        <v>2920</v>
      </c>
    </row>
    <row r="1354" spans="1:5" x14ac:dyDescent="0.2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25">
      <c r="B1355" s="115" t="s">
        <v>1139</v>
      </c>
      <c r="D1355" s="115" t="s">
        <v>1818</v>
      </c>
      <c r="E1355" s="115" t="s">
        <v>2690</v>
      </c>
    </row>
    <row r="1356" spans="1:5" x14ac:dyDescent="0.25">
      <c r="B1356" s="115" t="s">
        <v>1139</v>
      </c>
      <c r="D1356" s="115" t="s">
        <v>2924</v>
      </c>
      <c r="E1356" s="115" t="s">
        <v>2925</v>
      </c>
    </row>
    <row r="1357" spans="1:5" x14ac:dyDescent="0.2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25">
      <c r="B1358" s="115" t="s">
        <v>2929</v>
      </c>
      <c r="D1358" s="115" t="s">
        <v>2930</v>
      </c>
      <c r="E1358" s="115" t="s">
        <v>1819</v>
      </c>
    </row>
    <row r="1359" spans="1:5" x14ac:dyDescent="0.2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2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25">
      <c r="B1361" s="115" t="s">
        <v>1383</v>
      </c>
      <c r="D1361" s="115" t="s">
        <v>2936</v>
      </c>
      <c r="E1361" s="115" t="s">
        <v>2260</v>
      </c>
    </row>
    <row r="1362" spans="1:5" x14ac:dyDescent="0.25">
      <c r="B1362" s="115" t="s">
        <v>2937</v>
      </c>
      <c r="D1362" s="115" t="s">
        <v>2938</v>
      </c>
      <c r="E1362" s="115" t="s">
        <v>2939</v>
      </c>
    </row>
    <row r="1363" spans="1:5" x14ac:dyDescent="0.2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25">
      <c r="B1364" s="115" t="s">
        <v>2943</v>
      </c>
      <c r="D1364" s="115" t="s">
        <v>2944</v>
      </c>
      <c r="E1364" s="115" t="s">
        <v>1894</v>
      </c>
    </row>
    <row r="1365" spans="1:5" x14ac:dyDescent="0.2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25">
      <c r="B1366" s="115" t="s">
        <v>1139</v>
      </c>
      <c r="D1366" s="115" t="s">
        <v>1140</v>
      </c>
      <c r="E1366" s="115" t="s">
        <v>1141</v>
      </c>
    </row>
    <row r="1367" spans="1:5" x14ac:dyDescent="0.25">
      <c r="B1367" s="115" t="s">
        <v>1139</v>
      </c>
      <c r="D1367" s="115" t="s">
        <v>1140</v>
      </c>
      <c r="E1367" s="115" t="s">
        <v>1141</v>
      </c>
    </row>
    <row r="1368" spans="1:5" x14ac:dyDescent="0.25">
      <c r="B1368" s="115" t="s">
        <v>1139</v>
      </c>
      <c r="D1368" s="115" t="s">
        <v>1140</v>
      </c>
      <c r="E1368" s="115" t="s">
        <v>1141</v>
      </c>
    </row>
    <row r="1369" spans="1:5" x14ac:dyDescent="0.25">
      <c r="B1369" s="115" t="s">
        <v>1139</v>
      </c>
      <c r="D1369" s="115" t="s">
        <v>1140</v>
      </c>
      <c r="E1369" s="115" t="s">
        <v>1141</v>
      </c>
    </row>
    <row r="1370" spans="1:5" x14ac:dyDescent="0.25">
      <c r="B1370" s="115" t="s">
        <v>1139</v>
      </c>
      <c r="D1370" s="115" t="s">
        <v>1140</v>
      </c>
      <c r="E1370" s="115" t="s">
        <v>1141</v>
      </c>
    </row>
    <row r="1371" spans="1:5" x14ac:dyDescent="0.25">
      <c r="B1371" s="115" t="s">
        <v>1139</v>
      </c>
      <c r="D1371" s="115" t="s">
        <v>1140</v>
      </c>
      <c r="E1371" s="115" t="s">
        <v>1141</v>
      </c>
    </row>
    <row r="1372" spans="1:5" x14ac:dyDescent="0.25">
      <c r="B1372" s="115" t="s">
        <v>1139</v>
      </c>
      <c r="D1372" s="115" t="s">
        <v>1140</v>
      </c>
      <c r="E1372" s="115" t="s">
        <v>1141</v>
      </c>
    </row>
    <row r="1373" spans="1:5" x14ac:dyDescent="0.25">
      <c r="B1373" s="115" t="s">
        <v>1139</v>
      </c>
      <c r="D1373" s="115" t="s">
        <v>1140</v>
      </c>
      <c r="E1373" s="115" t="s">
        <v>1141</v>
      </c>
    </row>
    <row r="1374" spans="1:5" x14ac:dyDescent="0.25">
      <c r="B1374" s="115" t="s">
        <v>1139</v>
      </c>
      <c r="D1374" s="115" t="s">
        <v>1140</v>
      </c>
      <c r="E1374" s="115" t="s">
        <v>1141</v>
      </c>
    </row>
    <row r="1375" spans="1:5" x14ac:dyDescent="0.25">
      <c r="B1375" s="115" t="s">
        <v>1139</v>
      </c>
      <c r="D1375" s="115" t="s">
        <v>1140</v>
      </c>
      <c r="E1375" s="115" t="s">
        <v>1141</v>
      </c>
    </row>
    <row r="1376" spans="1:5" x14ac:dyDescent="0.25">
      <c r="B1376" s="115" t="s">
        <v>1139</v>
      </c>
      <c r="D1376" s="115" t="s">
        <v>1140</v>
      </c>
      <c r="E1376" s="115" t="s">
        <v>1141</v>
      </c>
    </row>
    <row r="1377" spans="1:5" x14ac:dyDescent="0.25">
      <c r="B1377" s="115" t="s">
        <v>1139</v>
      </c>
      <c r="D1377" s="115" t="s">
        <v>1140</v>
      </c>
      <c r="E1377" s="115" t="s">
        <v>1141</v>
      </c>
    </row>
    <row r="1378" spans="1:5" x14ac:dyDescent="0.25">
      <c r="B1378" s="115" t="s">
        <v>1139</v>
      </c>
      <c r="D1378" s="115" t="s">
        <v>1140</v>
      </c>
      <c r="E1378" s="115" t="s">
        <v>1141</v>
      </c>
    </row>
    <row r="1379" spans="1:5" x14ac:dyDescent="0.25">
      <c r="B1379" s="115" t="s">
        <v>1139</v>
      </c>
      <c r="D1379" s="115" t="s">
        <v>2945</v>
      </c>
      <c r="E1379" s="115" t="s">
        <v>2946</v>
      </c>
    </row>
    <row r="1380" spans="1:5" x14ac:dyDescent="0.25">
      <c r="B1380" s="115" t="s">
        <v>2947</v>
      </c>
      <c r="D1380" s="115" t="s">
        <v>2384</v>
      </c>
      <c r="E1380" s="115" t="s">
        <v>2948</v>
      </c>
    </row>
    <row r="1381" spans="1:5" x14ac:dyDescent="0.25">
      <c r="B1381" s="115" t="s">
        <v>1139</v>
      </c>
      <c r="D1381" s="115" t="s">
        <v>2949</v>
      </c>
      <c r="E1381" s="115" t="s">
        <v>2950</v>
      </c>
    </row>
    <row r="1382" spans="1:5" x14ac:dyDescent="0.2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25">
      <c r="B1383" s="115" t="s">
        <v>1139</v>
      </c>
      <c r="D1383" s="115" t="s">
        <v>2954</v>
      </c>
      <c r="E1383" s="115" t="s">
        <v>2955</v>
      </c>
    </row>
    <row r="1384" spans="1:5" x14ac:dyDescent="0.25">
      <c r="B1384" s="115" t="s">
        <v>1139</v>
      </c>
      <c r="D1384" s="115" t="s">
        <v>1140</v>
      </c>
      <c r="E1384" s="115" t="s">
        <v>2956</v>
      </c>
    </row>
    <row r="1385" spans="1:5" x14ac:dyDescent="0.25">
      <c r="B1385" s="115" t="s">
        <v>1139</v>
      </c>
      <c r="D1385" s="115" t="s">
        <v>2957</v>
      </c>
      <c r="E1385" s="115" t="s">
        <v>2958</v>
      </c>
    </row>
    <row r="1386" spans="1:5" x14ac:dyDescent="0.2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25">
      <c r="B1387" s="115" t="s">
        <v>1139</v>
      </c>
      <c r="D1387" s="115" t="s">
        <v>2961</v>
      </c>
      <c r="E1387" s="115" t="s">
        <v>2962</v>
      </c>
    </row>
    <row r="1388" spans="1:5" x14ac:dyDescent="0.2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25">
      <c r="B1389" s="115" t="s">
        <v>1139</v>
      </c>
      <c r="D1389" s="115" t="s">
        <v>2965</v>
      </c>
      <c r="E1389" s="115" t="s">
        <v>2966</v>
      </c>
    </row>
    <row r="1390" spans="1:5" x14ac:dyDescent="0.25">
      <c r="B1390" s="115" t="s">
        <v>1139</v>
      </c>
      <c r="D1390" s="115" t="s">
        <v>2967</v>
      </c>
      <c r="E1390" s="115" t="s">
        <v>2968</v>
      </c>
    </row>
    <row r="1391" spans="1:5" x14ac:dyDescent="0.2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25">
      <c r="B1392" s="115" t="s">
        <v>2972</v>
      </c>
      <c r="D1392" s="115" t="s">
        <v>2973</v>
      </c>
      <c r="E1392" s="115" t="s">
        <v>2974</v>
      </c>
    </row>
    <row r="1393" spans="1:5" x14ac:dyDescent="0.25">
      <c r="B1393" s="115" t="s">
        <v>1139</v>
      </c>
      <c r="D1393" s="115" t="s">
        <v>2975</v>
      </c>
      <c r="E1393" s="115" t="s">
        <v>2976</v>
      </c>
    </row>
    <row r="1394" spans="1:5" x14ac:dyDescent="0.25">
      <c r="B1394" s="115" t="s">
        <v>1139</v>
      </c>
      <c r="D1394" s="115" t="s">
        <v>2977</v>
      </c>
      <c r="E1394" s="115" t="s">
        <v>2978</v>
      </c>
    </row>
    <row r="1395" spans="1:5" x14ac:dyDescent="0.25">
      <c r="B1395" s="115" t="s">
        <v>1139</v>
      </c>
      <c r="D1395" s="115" t="s">
        <v>1140</v>
      </c>
      <c r="E1395" s="115" t="s">
        <v>2979</v>
      </c>
    </row>
    <row r="1396" spans="1:5" x14ac:dyDescent="0.25">
      <c r="B1396" s="115" t="s">
        <v>1139</v>
      </c>
      <c r="D1396" s="115" t="s">
        <v>2980</v>
      </c>
      <c r="E1396" s="115" t="s">
        <v>2981</v>
      </c>
    </row>
    <row r="1397" spans="1:5" x14ac:dyDescent="0.25">
      <c r="B1397" s="115" t="s">
        <v>2982</v>
      </c>
      <c r="D1397" s="115" t="s">
        <v>2983</v>
      </c>
      <c r="E1397" s="115" t="s">
        <v>1759</v>
      </c>
    </row>
    <row r="1398" spans="1:5" x14ac:dyDescent="0.25">
      <c r="B1398" s="115" t="s">
        <v>2984</v>
      </c>
      <c r="D1398" s="115" t="s">
        <v>1140</v>
      </c>
      <c r="E1398" s="115" t="s">
        <v>2985</v>
      </c>
    </row>
    <row r="1399" spans="1:5" x14ac:dyDescent="0.2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25">
      <c r="B1400" s="115" t="s">
        <v>1139</v>
      </c>
      <c r="D1400" s="115" t="s">
        <v>2989</v>
      </c>
      <c r="E1400" s="115" t="s">
        <v>2990</v>
      </c>
    </row>
    <row r="1401" spans="1:5" x14ac:dyDescent="0.25">
      <c r="B1401" s="115" t="s">
        <v>2991</v>
      </c>
      <c r="D1401" s="115" t="s">
        <v>1140</v>
      </c>
      <c r="E1401" s="115" t="s">
        <v>2992</v>
      </c>
    </row>
    <row r="1402" spans="1:5" x14ac:dyDescent="0.2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2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25">
      <c r="B1404" s="115" t="s">
        <v>2999</v>
      </c>
      <c r="D1404" s="115" t="s">
        <v>1140</v>
      </c>
      <c r="E1404" s="115" t="s">
        <v>3000</v>
      </c>
    </row>
    <row r="1405" spans="1:5" x14ac:dyDescent="0.2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25">
      <c r="B1406" s="115" t="s">
        <v>3003</v>
      </c>
      <c r="D1406" s="115" t="s">
        <v>3004</v>
      </c>
      <c r="E1406" s="115" t="s">
        <v>3005</v>
      </c>
    </row>
    <row r="1407" spans="1:5" x14ac:dyDescent="0.2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2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25">
      <c r="B1409" s="115" t="s">
        <v>1139</v>
      </c>
      <c r="D1409" s="115" t="s">
        <v>3010</v>
      </c>
      <c r="E1409" s="115" t="s">
        <v>1141</v>
      </c>
    </row>
    <row r="1410" spans="1:5" x14ac:dyDescent="0.25">
      <c r="B1410" s="115" t="s">
        <v>1139</v>
      </c>
      <c r="D1410" s="115" t="s">
        <v>3011</v>
      </c>
      <c r="E1410" s="115" t="s">
        <v>3012</v>
      </c>
    </row>
    <row r="1411" spans="1:5" x14ac:dyDescent="0.25">
      <c r="B1411" s="115" t="s">
        <v>3013</v>
      </c>
      <c r="D1411" s="115" t="s">
        <v>2058</v>
      </c>
      <c r="E1411" s="115" t="s">
        <v>1639</v>
      </c>
    </row>
    <row r="1412" spans="1:5" x14ac:dyDescent="0.25">
      <c r="B1412" s="115" t="s">
        <v>1139</v>
      </c>
      <c r="D1412" s="115" t="s">
        <v>3014</v>
      </c>
      <c r="E1412" s="115" t="s">
        <v>1859</v>
      </c>
    </row>
    <row r="1413" spans="1:5" x14ac:dyDescent="0.25">
      <c r="B1413" s="115" t="s">
        <v>1139</v>
      </c>
      <c r="D1413" s="115" t="s">
        <v>3015</v>
      </c>
      <c r="E1413" s="115" t="s">
        <v>3016</v>
      </c>
    </row>
    <row r="1414" spans="1:5" x14ac:dyDescent="0.25">
      <c r="B1414" s="115" t="s">
        <v>2241</v>
      </c>
      <c r="D1414" s="115" t="s">
        <v>3017</v>
      </c>
      <c r="E1414" s="115" t="s">
        <v>3018</v>
      </c>
    </row>
    <row r="1415" spans="1:5" x14ac:dyDescent="0.25">
      <c r="B1415" s="115" t="s">
        <v>3019</v>
      </c>
      <c r="D1415" s="115" t="s">
        <v>3020</v>
      </c>
      <c r="E1415" s="115" t="s">
        <v>1759</v>
      </c>
    </row>
    <row r="1416" spans="1:5" x14ac:dyDescent="0.2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2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25">
      <c r="B1418" s="115" t="s">
        <v>1404</v>
      </c>
      <c r="D1418" s="115" t="s">
        <v>3027</v>
      </c>
      <c r="E1418" s="115" t="s">
        <v>1859</v>
      </c>
    </row>
    <row r="1419" spans="1:5" x14ac:dyDescent="0.25">
      <c r="B1419" s="115">
        <f>-1   -160</f>
        <v>-161</v>
      </c>
      <c r="D1419" s="115" t="s">
        <v>3028</v>
      </c>
      <c r="E1419" s="115" t="s">
        <v>3029</v>
      </c>
    </row>
    <row r="1420" spans="1:5" x14ac:dyDescent="0.25">
      <c r="B1420" s="115" t="s">
        <v>1554</v>
      </c>
      <c r="D1420" s="115" t="s">
        <v>3030</v>
      </c>
      <c r="E1420" s="115" t="s">
        <v>3031</v>
      </c>
    </row>
    <row r="1421" spans="1:5" x14ac:dyDescent="0.25">
      <c r="B1421" s="115" t="s">
        <v>1526</v>
      </c>
      <c r="D1421" s="115" t="s">
        <v>3032</v>
      </c>
      <c r="E1421" s="115" t="s">
        <v>1141</v>
      </c>
    </row>
    <row r="1422" spans="1:5" x14ac:dyDescent="0.2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25">
      <c r="B1423" s="115" t="s">
        <v>1139</v>
      </c>
      <c r="D1423" s="115" t="s">
        <v>1140</v>
      </c>
      <c r="E1423" s="115" t="s">
        <v>1141</v>
      </c>
    </row>
    <row r="1424" spans="1:5" x14ac:dyDescent="0.25">
      <c r="B1424" s="115" t="s">
        <v>1139</v>
      </c>
      <c r="D1424" s="115" t="s">
        <v>1140</v>
      </c>
      <c r="E1424" s="115" t="s">
        <v>1141</v>
      </c>
    </row>
    <row r="1425" spans="2:5" x14ac:dyDescent="0.25">
      <c r="B1425" s="115" t="s">
        <v>1139</v>
      </c>
      <c r="D1425" s="115" t="s">
        <v>1140</v>
      </c>
      <c r="E1425" s="115" t="s">
        <v>1141</v>
      </c>
    </row>
    <row r="1426" spans="2:5" x14ac:dyDescent="0.25">
      <c r="B1426" s="115" t="s">
        <v>1139</v>
      </c>
      <c r="D1426" s="115" t="s">
        <v>1140</v>
      </c>
      <c r="E1426" s="115" t="s">
        <v>1141</v>
      </c>
    </row>
    <row r="1427" spans="2:5" x14ac:dyDescent="0.25">
      <c r="B1427" s="115" t="s">
        <v>1139</v>
      </c>
      <c r="D1427" s="115" t="s">
        <v>1140</v>
      </c>
      <c r="E1427" s="115" t="s">
        <v>1141</v>
      </c>
    </row>
    <row r="1428" spans="2:5" x14ac:dyDescent="0.25">
      <c r="B1428" s="115" t="s">
        <v>1139</v>
      </c>
      <c r="D1428" s="115" t="s">
        <v>1140</v>
      </c>
      <c r="E1428" s="115" t="s">
        <v>1141</v>
      </c>
    </row>
    <row r="1429" spans="2:5" x14ac:dyDescent="0.25">
      <c r="B1429" s="115" t="s">
        <v>1139</v>
      </c>
      <c r="D1429" s="115" t="s">
        <v>1140</v>
      </c>
      <c r="E1429" s="115" t="s">
        <v>1141</v>
      </c>
    </row>
    <row r="1430" spans="2:5" x14ac:dyDescent="0.25">
      <c r="B1430" s="115" t="s">
        <v>1139</v>
      </c>
      <c r="D1430" s="115" t="s">
        <v>1140</v>
      </c>
      <c r="E1430" s="115" t="s">
        <v>1141</v>
      </c>
    </row>
    <row r="1431" spans="2:5" x14ac:dyDescent="0.25">
      <c r="B1431" s="115" t="s">
        <v>1139</v>
      </c>
      <c r="D1431" s="115" t="s">
        <v>1140</v>
      </c>
      <c r="E1431" s="115" t="s">
        <v>1141</v>
      </c>
    </row>
    <row r="1432" spans="2:5" x14ac:dyDescent="0.25">
      <c r="B1432" s="115" t="s">
        <v>1139</v>
      </c>
      <c r="D1432" s="115" t="s">
        <v>1140</v>
      </c>
      <c r="E1432" s="115" t="s">
        <v>1141</v>
      </c>
    </row>
    <row r="1433" spans="2:5" x14ac:dyDescent="0.25">
      <c r="B1433" s="115" t="s">
        <v>1139</v>
      </c>
      <c r="D1433" s="115" t="s">
        <v>1140</v>
      </c>
      <c r="E1433" s="115" t="s">
        <v>1141</v>
      </c>
    </row>
    <row r="1434" spans="2:5" x14ac:dyDescent="0.25">
      <c r="B1434" s="115" t="s">
        <v>1139</v>
      </c>
      <c r="D1434" s="115" t="s">
        <v>1140</v>
      </c>
      <c r="E1434" s="115" t="s">
        <v>1141</v>
      </c>
    </row>
    <row r="1435" spans="2:5" x14ac:dyDescent="0.25">
      <c r="B1435" s="115" t="s">
        <v>1139</v>
      </c>
      <c r="D1435" s="115" t="s">
        <v>1140</v>
      </c>
      <c r="E1435" s="115" t="s">
        <v>1141</v>
      </c>
    </row>
    <row r="1436" spans="2:5" x14ac:dyDescent="0.25">
      <c r="B1436" s="115" t="s">
        <v>1139</v>
      </c>
      <c r="D1436" s="115" t="s">
        <v>1140</v>
      </c>
      <c r="E1436" s="115" t="s">
        <v>1141</v>
      </c>
    </row>
    <row r="1437" spans="2:5" x14ac:dyDescent="0.25">
      <c r="B1437" s="115" t="s">
        <v>1139</v>
      </c>
      <c r="D1437" s="115" t="s">
        <v>1140</v>
      </c>
      <c r="E1437" s="115" t="s">
        <v>1141</v>
      </c>
    </row>
    <row r="1438" spans="2:5" x14ac:dyDescent="0.25">
      <c r="B1438" s="115" t="s">
        <v>1139</v>
      </c>
      <c r="D1438" s="115" t="s">
        <v>1140</v>
      </c>
      <c r="E1438" s="115" t="s">
        <v>1141</v>
      </c>
    </row>
    <row r="1439" spans="2:5" x14ac:dyDescent="0.25">
      <c r="B1439" s="115" t="s">
        <v>1139</v>
      </c>
      <c r="D1439" s="115" t="s">
        <v>1140</v>
      </c>
      <c r="E1439" s="115" t="s">
        <v>1141</v>
      </c>
    </row>
    <row r="1440" spans="2:5" x14ac:dyDescent="0.25">
      <c r="B1440" s="115" t="s">
        <v>1139</v>
      </c>
      <c r="D1440" s="115" t="s">
        <v>1140</v>
      </c>
      <c r="E1440" s="115" t="s">
        <v>1141</v>
      </c>
    </row>
    <row r="1441" spans="2:5" x14ac:dyDescent="0.25">
      <c r="B1441" s="115" t="s">
        <v>1139</v>
      </c>
      <c r="D1441" s="115" t="s">
        <v>1140</v>
      </c>
      <c r="E1441" s="115" t="s">
        <v>1141</v>
      </c>
    </row>
    <row r="1442" spans="2:5" x14ac:dyDescent="0.25">
      <c r="B1442" s="115" t="s">
        <v>1139</v>
      </c>
      <c r="D1442" s="115" t="s">
        <v>1140</v>
      </c>
      <c r="E1442" s="115" t="s">
        <v>1141</v>
      </c>
    </row>
    <row r="1443" spans="2:5" x14ac:dyDescent="0.25">
      <c r="B1443" s="115" t="s">
        <v>1139</v>
      </c>
      <c r="D1443" s="115" t="s">
        <v>1140</v>
      </c>
      <c r="E1443" s="115" t="s">
        <v>1141</v>
      </c>
    </row>
    <row r="1444" spans="2:5" x14ac:dyDescent="0.25">
      <c r="B1444" s="115" t="s">
        <v>1139</v>
      </c>
      <c r="D1444" s="115" t="s">
        <v>1140</v>
      </c>
      <c r="E1444" s="115" t="s">
        <v>1141</v>
      </c>
    </row>
    <row r="1445" spans="2:5" x14ac:dyDescent="0.25">
      <c r="B1445" s="115" t="s">
        <v>1139</v>
      </c>
      <c r="D1445" s="115" t="s">
        <v>1140</v>
      </c>
      <c r="E1445" s="115" t="s">
        <v>1141</v>
      </c>
    </row>
    <row r="1446" spans="2:5" x14ac:dyDescent="0.25">
      <c r="B1446" s="115" t="s">
        <v>1139</v>
      </c>
      <c r="D1446" s="115" t="s">
        <v>1140</v>
      </c>
      <c r="E1446" s="115" t="s">
        <v>1141</v>
      </c>
    </row>
    <row r="1447" spans="2:5" x14ac:dyDescent="0.25">
      <c r="B1447" s="115" t="s">
        <v>1139</v>
      </c>
      <c r="D1447" s="115" t="s">
        <v>1140</v>
      </c>
      <c r="E1447" s="115" t="s">
        <v>1141</v>
      </c>
    </row>
    <row r="1448" spans="2:5" x14ac:dyDescent="0.25">
      <c r="B1448" s="115" t="s">
        <v>1139</v>
      </c>
      <c r="D1448" s="115" t="s">
        <v>1140</v>
      </c>
      <c r="E1448" s="115" t="s">
        <v>1141</v>
      </c>
    </row>
    <row r="1449" spans="2:5" x14ac:dyDescent="0.25">
      <c r="B1449" s="115" t="s">
        <v>1139</v>
      </c>
      <c r="D1449" s="115" t="s">
        <v>1140</v>
      </c>
      <c r="E1449" s="115" t="s">
        <v>1141</v>
      </c>
    </row>
    <row r="1450" spans="2:5" x14ac:dyDescent="0.25">
      <c r="B1450" s="115" t="s">
        <v>1139</v>
      </c>
      <c r="D1450" s="115" t="s">
        <v>1140</v>
      </c>
      <c r="E1450" s="115" t="s">
        <v>1141</v>
      </c>
    </row>
    <row r="1451" spans="2:5" x14ac:dyDescent="0.25">
      <c r="B1451" s="115" t="s">
        <v>1139</v>
      </c>
      <c r="D1451" s="115" t="s">
        <v>1140</v>
      </c>
      <c r="E1451" s="115" t="s">
        <v>1141</v>
      </c>
    </row>
    <row r="1452" spans="2:5" x14ac:dyDescent="0.25">
      <c r="B1452" s="115" t="s">
        <v>1139</v>
      </c>
      <c r="D1452" s="115" t="s">
        <v>1140</v>
      </c>
      <c r="E1452" s="115" t="s">
        <v>1141</v>
      </c>
    </row>
    <row r="1453" spans="2:5" x14ac:dyDescent="0.25">
      <c r="B1453" s="115" t="s">
        <v>1139</v>
      </c>
      <c r="D1453" s="115" t="s">
        <v>1140</v>
      </c>
      <c r="E1453" s="115" t="s">
        <v>1141</v>
      </c>
    </row>
    <row r="1454" spans="2:5" x14ac:dyDescent="0.25">
      <c r="B1454" s="115" t="s">
        <v>1139</v>
      </c>
      <c r="D1454" s="115" t="s">
        <v>1140</v>
      </c>
      <c r="E1454" s="115" t="s">
        <v>1141</v>
      </c>
    </row>
    <row r="1455" spans="2:5" x14ac:dyDescent="0.25">
      <c r="B1455" s="115" t="s">
        <v>1139</v>
      </c>
      <c r="D1455" s="115" t="s">
        <v>1140</v>
      </c>
      <c r="E1455" s="115" t="s">
        <v>1141</v>
      </c>
    </row>
    <row r="1456" spans="2:5" x14ac:dyDescent="0.25">
      <c r="B1456" s="115" t="s">
        <v>1139</v>
      </c>
      <c r="D1456" s="115" t="s">
        <v>1140</v>
      </c>
      <c r="E1456" s="115" t="s">
        <v>1141</v>
      </c>
    </row>
    <row r="1457" spans="2:5" x14ac:dyDescent="0.25">
      <c r="B1457" s="115" t="s">
        <v>1139</v>
      </c>
      <c r="D1457" s="115" t="s">
        <v>1140</v>
      </c>
      <c r="E1457" s="115" t="s">
        <v>1141</v>
      </c>
    </row>
    <row r="1458" spans="2:5" x14ac:dyDescent="0.25">
      <c r="B1458" s="115" t="s">
        <v>1139</v>
      </c>
      <c r="D1458" s="115" t="s">
        <v>1140</v>
      </c>
      <c r="E1458" s="115" t="s">
        <v>1141</v>
      </c>
    </row>
    <row r="1459" spans="2:5" x14ac:dyDescent="0.25">
      <c r="B1459" s="115" t="s">
        <v>1139</v>
      </c>
      <c r="D1459" s="115" t="s">
        <v>1140</v>
      </c>
      <c r="E1459" s="115" t="s">
        <v>1141</v>
      </c>
    </row>
    <row r="1460" spans="2:5" x14ac:dyDescent="0.25">
      <c r="B1460" s="115" t="s">
        <v>1139</v>
      </c>
      <c r="D1460" s="115" t="s">
        <v>1140</v>
      </c>
      <c r="E1460" s="115" t="s">
        <v>1141</v>
      </c>
    </row>
    <row r="1461" spans="2:5" x14ac:dyDescent="0.25">
      <c r="B1461" s="115" t="s">
        <v>1139</v>
      </c>
      <c r="D1461" s="115" t="s">
        <v>1140</v>
      </c>
      <c r="E1461" s="115" t="s">
        <v>1141</v>
      </c>
    </row>
    <row r="1462" spans="2:5" x14ac:dyDescent="0.25">
      <c r="B1462" s="115" t="s">
        <v>1139</v>
      </c>
      <c r="D1462" s="115" t="s">
        <v>1140</v>
      </c>
      <c r="E1462" s="115" t="s">
        <v>1141</v>
      </c>
    </row>
    <row r="1463" spans="2:5" x14ac:dyDescent="0.25">
      <c r="B1463" s="115" t="s">
        <v>1139</v>
      </c>
      <c r="D1463" s="115" t="s">
        <v>1140</v>
      </c>
      <c r="E1463" s="115" t="s">
        <v>1141</v>
      </c>
    </row>
    <row r="1464" spans="2:5" x14ac:dyDescent="0.25">
      <c r="B1464" s="115" t="s">
        <v>1139</v>
      </c>
      <c r="D1464" s="115" t="s">
        <v>1140</v>
      </c>
      <c r="E1464" s="115" t="s">
        <v>1141</v>
      </c>
    </row>
    <row r="1465" spans="2:5" x14ac:dyDescent="0.25">
      <c r="B1465" s="115" t="s">
        <v>1139</v>
      </c>
      <c r="D1465" s="115" t="s">
        <v>1140</v>
      </c>
      <c r="E1465" s="115" t="s">
        <v>1141</v>
      </c>
    </row>
    <row r="1466" spans="2:5" x14ac:dyDescent="0.25">
      <c r="B1466" s="115" t="s">
        <v>1139</v>
      </c>
      <c r="D1466" s="115" t="s">
        <v>1140</v>
      </c>
      <c r="E1466" s="115" t="s">
        <v>3035</v>
      </c>
    </row>
    <row r="1467" spans="2:5" x14ac:dyDescent="0.25">
      <c r="B1467" s="115" t="s">
        <v>1139</v>
      </c>
      <c r="D1467" s="115" t="s">
        <v>3036</v>
      </c>
      <c r="E1467" s="115" t="s">
        <v>3037</v>
      </c>
    </row>
    <row r="1468" spans="2:5" x14ac:dyDescent="0.25">
      <c r="B1468" s="115" t="s">
        <v>1139</v>
      </c>
      <c r="D1468" s="115" t="s">
        <v>1140</v>
      </c>
      <c r="E1468" s="115" t="s">
        <v>3038</v>
      </c>
    </row>
    <row r="1469" spans="2:5" x14ac:dyDescent="0.25">
      <c r="B1469" s="115" t="s">
        <v>1139</v>
      </c>
      <c r="D1469" s="115" t="s">
        <v>3039</v>
      </c>
      <c r="E1469" s="115" t="s">
        <v>3040</v>
      </c>
    </row>
    <row r="1470" spans="2:5" x14ac:dyDescent="0.25">
      <c r="B1470" s="115" t="s">
        <v>3041</v>
      </c>
      <c r="D1470" s="115" t="s">
        <v>2035</v>
      </c>
      <c r="E1470" s="115" t="s">
        <v>2537</v>
      </c>
    </row>
    <row r="1471" spans="2:5" x14ac:dyDescent="0.25">
      <c r="B1471" s="115" t="s">
        <v>3042</v>
      </c>
      <c r="D1471" s="115" t="s">
        <v>1140</v>
      </c>
      <c r="E1471" s="115" t="s">
        <v>3043</v>
      </c>
    </row>
    <row r="1472" spans="2:5" x14ac:dyDescent="0.25">
      <c r="B1472" s="115" t="s">
        <v>1152</v>
      </c>
      <c r="D1472" s="115" t="s">
        <v>3044</v>
      </c>
      <c r="E1472" s="115" t="s">
        <v>3045</v>
      </c>
    </row>
    <row r="1473" spans="1:5" x14ac:dyDescent="0.2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2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2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25">
      <c r="B1476" s="115" t="s">
        <v>3053</v>
      </c>
      <c r="D1476" s="115" t="s">
        <v>3054</v>
      </c>
      <c r="E1476" s="115" t="s">
        <v>3055</v>
      </c>
    </row>
    <row r="1477" spans="1:5" x14ac:dyDescent="0.2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25">
      <c r="B1478" s="115" t="s">
        <v>3058</v>
      </c>
      <c r="D1478" s="115" t="s">
        <v>3059</v>
      </c>
      <c r="E1478" s="115" t="s">
        <v>3060</v>
      </c>
    </row>
    <row r="1479" spans="1:5" x14ac:dyDescent="0.25">
      <c r="B1479" s="115" t="s">
        <v>3061</v>
      </c>
      <c r="D1479" s="115" t="s">
        <v>3062</v>
      </c>
      <c r="E1479" s="115" t="s">
        <v>3063</v>
      </c>
    </row>
    <row r="1480" spans="1:5" x14ac:dyDescent="0.25">
      <c r="B1480" s="115" t="s">
        <v>3064</v>
      </c>
      <c r="D1480" s="115" t="s">
        <v>1140</v>
      </c>
      <c r="E1480" s="115" t="s">
        <v>3065</v>
      </c>
    </row>
    <row r="1481" spans="1:5" x14ac:dyDescent="0.2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25">
      <c r="B1482" s="115" t="s">
        <v>3069</v>
      </c>
      <c r="D1482" s="115" t="s">
        <v>3070</v>
      </c>
      <c r="E1482" s="115" t="s">
        <v>3071</v>
      </c>
    </row>
    <row r="1483" spans="1:5" x14ac:dyDescent="0.25">
      <c r="B1483" s="115" t="s">
        <v>1139</v>
      </c>
      <c r="D1483" s="115" t="s">
        <v>1140</v>
      </c>
      <c r="E1483" s="115" t="s">
        <v>3072</v>
      </c>
    </row>
    <row r="1484" spans="1:5" x14ac:dyDescent="0.25">
      <c r="B1484" s="115" t="s">
        <v>1416</v>
      </c>
      <c r="D1484" s="115" t="s">
        <v>3073</v>
      </c>
      <c r="E1484" s="115" t="s">
        <v>3074</v>
      </c>
    </row>
    <row r="1485" spans="1:5" x14ac:dyDescent="0.2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2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25">
      <c r="B1487" s="115" t="s">
        <v>3077</v>
      </c>
      <c r="D1487" s="115" t="s">
        <v>1140</v>
      </c>
      <c r="E1487" s="115" t="s">
        <v>3078</v>
      </c>
    </row>
    <row r="1488" spans="1:5" x14ac:dyDescent="0.25">
      <c r="B1488" s="115" t="s">
        <v>3079</v>
      </c>
      <c r="D1488" s="115" t="s">
        <v>3080</v>
      </c>
      <c r="E1488" s="115" t="s">
        <v>3081</v>
      </c>
    </row>
    <row r="1489" spans="1:5" x14ac:dyDescent="0.2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25">
      <c r="B1490" s="115" t="s">
        <v>3084</v>
      </c>
      <c r="D1490" s="115" t="s">
        <v>3085</v>
      </c>
      <c r="E1490" s="115" t="s">
        <v>3086</v>
      </c>
    </row>
    <row r="1491" spans="1:5" x14ac:dyDescent="0.25">
      <c r="B1491" s="115" t="s">
        <v>3087</v>
      </c>
      <c r="D1491" s="115" t="s">
        <v>3088</v>
      </c>
      <c r="E1491" s="115" t="s">
        <v>3089</v>
      </c>
    </row>
    <row r="1492" spans="1:5" x14ac:dyDescent="0.25">
      <c r="B1492" s="115" t="s">
        <v>3090</v>
      </c>
      <c r="D1492" s="115" t="s">
        <v>3091</v>
      </c>
      <c r="E1492" s="115" t="s">
        <v>3092</v>
      </c>
    </row>
    <row r="1493" spans="1:5" x14ac:dyDescent="0.25">
      <c r="B1493" s="115">
        <f>-42    -28</f>
        <v>-70</v>
      </c>
      <c r="D1493" s="115" t="s">
        <v>3093</v>
      </c>
      <c r="E1493" s="115" t="s">
        <v>3094</v>
      </c>
    </row>
    <row r="1494" spans="1:5" x14ac:dyDescent="0.2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25">
      <c r="B1495" s="115" t="s">
        <v>3098</v>
      </c>
      <c r="D1495" s="115" t="s">
        <v>3099</v>
      </c>
      <c r="E1495" s="115" t="s">
        <v>3100</v>
      </c>
    </row>
    <row r="1496" spans="1:5" x14ac:dyDescent="0.2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25">
      <c r="B1497" s="115" t="s">
        <v>3103</v>
      </c>
      <c r="D1497" s="115" t="s">
        <v>3104</v>
      </c>
      <c r="E1497" s="115" t="s">
        <v>3105</v>
      </c>
    </row>
    <row r="1498" spans="1:5" x14ac:dyDescent="0.25">
      <c r="B1498" s="115" t="s">
        <v>1139</v>
      </c>
      <c r="D1498" s="115" t="s">
        <v>1140</v>
      </c>
      <c r="E1498" s="115" t="s">
        <v>3106</v>
      </c>
    </row>
    <row r="1499" spans="1:5" x14ac:dyDescent="0.25">
      <c r="B1499" s="115" t="s">
        <v>3107</v>
      </c>
      <c r="D1499" s="115" t="s">
        <v>3108</v>
      </c>
      <c r="E1499" s="115" t="s">
        <v>3109</v>
      </c>
    </row>
    <row r="1500" spans="1:5" x14ac:dyDescent="0.25">
      <c r="B1500" s="115" t="s">
        <v>1366</v>
      </c>
      <c r="D1500" s="115" t="s">
        <v>1636</v>
      </c>
      <c r="E1500" s="115" t="s">
        <v>1141</v>
      </c>
    </row>
    <row r="1501" spans="1:5" x14ac:dyDescent="0.25">
      <c r="B1501" s="115" t="s">
        <v>1174</v>
      </c>
      <c r="D1501" s="115" t="s">
        <v>1140</v>
      </c>
      <c r="E1501" s="115" t="s">
        <v>3110</v>
      </c>
    </row>
    <row r="1502" spans="1:5" x14ac:dyDescent="0.25">
      <c r="B1502" s="115" t="s">
        <v>1481</v>
      </c>
      <c r="D1502" s="115" t="s">
        <v>1140</v>
      </c>
      <c r="E1502" s="115" t="s">
        <v>3111</v>
      </c>
    </row>
    <row r="1503" spans="1:5" x14ac:dyDescent="0.25">
      <c r="B1503" s="115" t="s">
        <v>3112</v>
      </c>
      <c r="D1503" s="115" t="s">
        <v>3113</v>
      </c>
      <c r="E1503" s="115" t="s">
        <v>3114</v>
      </c>
    </row>
    <row r="1504" spans="1:5" x14ac:dyDescent="0.25">
      <c r="B1504" s="115" t="s">
        <v>1616</v>
      </c>
      <c r="D1504" s="115" t="s">
        <v>2183</v>
      </c>
      <c r="E1504" s="115" t="s">
        <v>3115</v>
      </c>
    </row>
    <row r="1505" spans="1:5" x14ac:dyDescent="0.2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25">
      <c r="B1506" s="115" t="s">
        <v>3119</v>
      </c>
      <c r="D1506" s="115" t="s">
        <v>3120</v>
      </c>
      <c r="E1506" s="115" t="s">
        <v>3121</v>
      </c>
    </row>
    <row r="1507" spans="1:5" x14ac:dyDescent="0.25">
      <c r="B1507" s="115" t="s">
        <v>1483</v>
      </c>
      <c r="D1507" s="115" t="s">
        <v>3122</v>
      </c>
      <c r="E1507" s="115" t="s">
        <v>3123</v>
      </c>
    </row>
    <row r="1508" spans="1:5" x14ac:dyDescent="0.25">
      <c r="B1508" s="115" t="s">
        <v>3124</v>
      </c>
      <c r="D1508" s="115" t="s">
        <v>3125</v>
      </c>
      <c r="E1508" s="115" t="s">
        <v>3126</v>
      </c>
    </row>
    <row r="1509" spans="1:5" x14ac:dyDescent="0.25">
      <c r="B1509" s="115" t="s">
        <v>3127</v>
      </c>
      <c r="D1509" s="115" t="s">
        <v>1682</v>
      </c>
      <c r="E1509" s="115" t="s">
        <v>3128</v>
      </c>
    </row>
    <row r="1510" spans="1:5" x14ac:dyDescent="0.25">
      <c r="B1510" s="115" t="s">
        <v>3129</v>
      </c>
      <c r="D1510" s="115" t="s">
        <v>3130</v>
      </c>
      <c r="E1510" s="115" t="s">
        <v>3131</v>
      </c>
    </row>
    <row r="1511" spans="1:5" x14ac:dyDescent="0.2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25">
      <c r="B1512" s="115" t="s">
        <v>1139</v>
      </c>
      <c r="D1512" s="115" t="s">
        <v>3135</v>
      </c>
      <c r="E1512" s="115" t="s">
        <v>3136</v>
      </c>
    </row>
    <row r="1513" spans="1:5" x14ac:dyDescent="0.25">
      <c r="B1513" s="115" t="s">
        <v>1139</v>
      </c>
      <c r="D1513" s="115" t="s">
        <v>1140</v>
      </c>
      <c r="E1513" s="115" t="s">
        <v>3137</v>
      </c>
    </row>
    <row r="1514" spans="1:5" x14ac:dyDescent="0.25">
      <c r="B1514" s="115" t="s">
        <v>1139</v>
      </c>
      <c r="D1514" s="115" t="s">
        <v>3138</v>
      </c>
      <c r="E1514" s="115" t="s">
        <v>3139</v>
      </c>
    </row>
    <row r="1515" spans="1:5" x14ac:dyDescent="0.25">
      <c r="B1515" s="115" t="s">
        <v>3140</v>
      </c>
      <c r="D1515" s="115" t="s">
        <v>2682</v>
      </c>
      <c r="E1515" s="115" t="s">
        <v>2690</v>
      </c>
    </row>
    <row r="1516" spans="1:5" x14ac:dyDescent="0.25">
      <c r="B1516" s="115" t="s">
        <v>1376</v>
      </c>
      <c r="D1516" s="115" t="s">
        <v>1140</v>
      </c>
      <c r="E1516" s="115" t="s">
        <v>3141</v>
      </c>
    </row>
    <row r="1517" spans="1:5" x14ac:dyDescent="0.2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25">
      <c r="B1518" s="115" t="s">
        <v>1139</v>
      </c>
      <c r="D1518" s="115" t="s">
        <v>3144</v>
      </c>
      <c r="E1518" s="115" t="s">
        <v>3145</v>
      </c>
    </row>
    <row r="1519" spans="1:5" x14ac:dyDescent="0.25">
      <c r="B1519" s="115" t="s">
        <v>3146</v>
      </c>
      <c r="D1519" s="115" t="s">
        <v>1140</v>
      </c>
      <c r="E1519" s="115" t="s">
        <v>3147</v>
      </c>
    </row>
    <row r="1520" spans="1:5" x14ac:dyDescent="0.2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2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25">
      <c r="B1522" s="115" t="s">
        <v>3154</v>
      </c>
      <c r="D1522" s="115" t="s">
        <v>1140</v>
      </c>
      <c r="E1522" s="115" t="s">
        <v>3155</v>
      </c>
    </row>
    <row r="1523" spans="1:5" x14ac:dyDescent="0.2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25">
      <c r="B1524" s="115" t="s">
        <v>3159</v>
      </c>
      <c r="D1524" s="115" t="s">
        <v>3160</v>
      </c>
      <c r="E1524" s="115" t="s">
        <v>3161</v>
      </c>
    </row>
    <row r="1525" spans="1:5" x14ac:dyDescent="0.25">
      <c r="B1525" s="115" t="s">
        <v>3162</v>
      </c>
      <c r="D1525" s="115" t="s">
        <v>1140</v>
      </c>
      <c r="E1525" s="115" t="s">
        <v>3163</v>
      </c>
    </row>
    <row r="1526" spans="1:5" x14ac:dyDescent="0.2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25">
      <c r="B1527" s="115" t="s">
        <v>3167</v>
      </c>
      <c r="D1527" s="115" t="s">
        <v>3168</v>
      </c>
      <c r="E1527" s="115" t="s">
        <v>3169</v>
      </c>
    </row>
    <row r="1528" spans="1:5" x14ac:dyDescent="0.25">
      <c r="B1528" s="115" t="s">
        <v>3170</v>
      </c>
      <c r="D1528" s="115" t="s">
        <v>1140</v>
      </c>
      <c r="E1528" s="115" t="s">
        <v>1141</v>
      </c>
    </row>
    <row r="1529" spans="1:5" x14ac:dyDescent="0.2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25">
      <c r="B1530" s="115" t="s">
        <v>1139</v>
      </c>
      <c r="D1530" s="115" t="s">
        <v>1673</v>
      </c>
      <c r="E1530" s="115" t="s">
        <v>3174</v>
      </c>
    </row>
    <row r="1531" spans="1:5" x14ac:dyDescent="0.25">
      <c r="B1531" s="115" t="s">
        <v>1139</v>
      </c>
      <c r="D1531" s="115" t="s">
        <v>3175</v>
      </c>
      <c r="E1531" s="115" t="s">
        <v>1141</v>
      </c>
    </row>
    <row r="1532" spans="1:5" x14ac:dyDescent="0.25">
      <c r="B1532" s="115" t="s">
        <v>1202</v>
      </c>
      <c r="D1532" s="115" t="s">
        <v>3176</v>
      </c>
      <c r="E1532" s="115" t="s">
        <v>3177</v>
      </c>
    </row>
    <row r="1533" spans="1:5" x14ac:dyDescent="0.2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25">
      <c r="B1534" s="115" t="s">
        <v>3181</v>
      </c>
      <c r="D1534" s="115" t="s">
        <v>3182</v>
      </c>
      <c r="E1534" s="115" t="s">
        <v>3183</v>
      </c>
    </row>
    <row r="1535" spans="1:5" x14ac:dyDescent="0.2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2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2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25">
      <c r="B1538" s="115" t="s">
        <v>1205</v>
      </c>
      <c r="D1538" s="115" t="s">
        <v>3193</v>
      </c>
      <c r="E1538" s="115" t="s">
        <v>3194</v>
      </c>
    </row>
    <row r="1539" spans="1:5" x14ac:dyDescent="0.25">
      <c r="B1539" s="115" t="s">
        <v>1296</v>
      </c>
      <c r="D1539" s="115" t="s">
        <v>3195</v>
      </c>
      <c r="E1539" s="115" t="s">
        <v>3196</v>
      </c>
    </row>
    <row r="1540" spans="1:5" x14ac:dyDescent="0.25">
      <c r="B1540" s="115" t="s">
        <v>3197</v>
      </c>
      <c r="D1540" s="115" t="s">
        <v>3198</v>
      </c>
      <c r="E1540" s="115" t="s">
        <v>3199</v>
      </c>
    </row>
    <row r="1541" spans="1:5" x14ac:dyDescent="0.2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2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25">
      <c r="B1543" s="115" t="s">
        <v>1139</v>
      </c>
      <c r="D1543" s="115" t="s">
        <v>1140</v>
      </c>
      <c r="E1543" s="115" t="s">
        <v>1141</v>
      </c>
    </row>
    <row r="1544" spans="1:5" x14ac:dyDescent="0.25">
      <c r="B1544" s="115" t="s">
        <v>1139</v>
      </c>
      <c r="D1544" s="115" t="s">
        <v>1140</v>
      </c>
      <c r="E1544" s="115" t="s">
        <v>1141</v>
      </c>
    </row>
    <row r="1545" spans="1:5" x14ac:dyDescent="0.25">
      <c r="B1545" s="115" t="s">
        <v>1139</v>
      </c>
      <c r="D1545" s="115" t="s">
        <v>1140</v>
      </c>
      <c r="E1545" s="115" t="s">
        <v>1141</v>
      </c>
    </row>
    <row r="1546" spans="1:5" x14ac:dyDescent="0.25">
      <c r="B1546" s="115" t="s">
        <v>1139</v>
      </c>
      <c r="D1546" s="115" t="s">
        <v>1140</v>
      </c>
      <c r="E1546" s="115" t="s">
        <v>1141</v>
      </c>
    </row>
    <row r="1547" spans="1:5" x14ac:dyDescent="0.25">
      <c r="B1547" s="115" t="s">
        <v>1139</v>
      </c>
      <c r="D1547" s="115" t="s">
        <v>1140</v>
      </c>
      <c r="E1547" s="115" t="s">
        <v>1141</v>
      </c>
    </row>
    <row r="1548" spans="1:5" x14ac:dyDescent="0.25">
      <c r="B1548" s="115" t="s">
        <v>1139</v>
      </c>
      <c r="D1548" s="115" t="s">
        <v>1140</v>
      </c>
      <c r="E1548" s="115" t="s">
        <v>1141</v>
      </c>
    </row>
    <row r="1549" spans="1:5" x14ac:dyDescent="0.25">
      <c r="B1549" s="115" t="s">
        <v>1139</v>
      </c>
      <c r="D1549" s="115" t="s">
        <v>1140</v>
      </c>
      <c r="E1549" s="115" t="s">
        <v>1141</v>
      </c>
    </row>
    <row r="1550" spans="1:5" x14ac:dyDescent="0.25">
      <c r="B1550" s="115" t="s">
        <v>1139</v>
      </c>
      <c r="D1550" s="115" t="s">
        <v>1140</v>
      </c>
      <c r="E1550" s="115" t="s">
        <v>1141</v>
      </c>
    </row>
    <row r="1551" spans="1:5" x14ac:dyDescent="0.25">
      <c r="B1551" s="115" t="s">
        <v>1139</v>
      </c>
      <c r="D1551" s="115" t="s">
        <v>1140</v>
      </c>
      <c r="E1551" s="115" t="s">
        <v>1141</v>
      </c>
    </row>
    <row r="1552" spans="1:5" x14ac:dyDescent="0.25">
      <c r="B1552" s="115" t="s">
        <v>1139</v>
      </c>
      <c r="D1552" s="115" t="s">
        <v>1140</v>
      </c>
      <c r="E1552" s="115" t="s">
        <v>1141</v>
      </c>
    </row>
    <row r="1553" spans="1:5" x14ac:dyDescent="0.25">
      <c r="B1553" s="115" t="s">
        <v>1139</v>
      </c>
      <c r="D1553" s="115" t="s">
        <v>1140</v>
      </c>
      <c r="E1553" s="115" t="s">
        <v>1141</v>
      </c>
    </row>
    <row r="1554" spans="1:5" x14ac:dyDescent="0.25">
      <c r="B1554" s="115" t="s">
        <v>1139</v>
      </c>
      <c r="D1554" s="115" t="s">
        <v>1140</v>
      </c>
      <c r="E1554" s="115" t="s">
        <v>1141</v>
      </c>
    </row>
    <row r="1555" spans="1:5" x14ac:dyDescent="0.25">
      <c r="B1555" s="115" t="s">
        <v>1139</v>
      </c>
      <c r="D1555" s="115" t="s">
        <v>1140</v>
      </c>
      <c r="E1555" s="115" t="s">
        <v>1141</v>
      </c>
    </row>
    <row r="1556" spans="1:5" x14ac:dyDescent="0.25">
      <c r="B1556" s="115" t="s">
        <v>1139</v>
      </c>
      <c r="D1556" s="115" t="s">
        <v>1140</v>
      </c>
      <c r="E1556" s="115" t="s">
        <v>1141</v>
      </c>
    </row>
    <row r="1557" spans="1:5" x14ac:dyDescent="0.25">
      <c r="B1557" s="115" t="s">
        <v>1139</v>
      </c>
      <c r="D1557" s="115" t="s">
        <v>3203</v>
      </c>
      <c r="E1557" s="115" t="s">
        <v>3204</v>
      </c>
    </row>
    <row r="1558" spans="1:5" x14ac:dyDescent="0.25">
      <c r="B1558" s="115" t="s">
        <v>3205</v>
      </c>
      <c r="D1558" s="115" t="s">
        <v>3206</v>
      </c>
      <c r="E1558" s="115" t="s">
        <v>3207</v>
      </c>
    </row>
    <row r="1559" spans="1:5" x14ac:dyDescent="0.25">
      <c r="B1559" s="115" t="s">
        <v>1139</v>
      </c>
      <c r="D1559" s="115" t="s">
        <v>1140</v>
      </c>
      <c r="E1559" s="115" t="s">
        <v>3208</v>
      </c>
    </row>
    <row r="1560" spans="1:5" x14ac:dyDescent="0.2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2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2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25">
      <c r="B1563" s="115" t="s">
        <v>1597</v>
      </c>
      <c r="D1563" s="115" t="s">
        <v>1140</v>
      </c>
      <c r="E1563" s="115" t="s">
        <v>3214</v>
      </c>
    </row>
    <row r="1564" spans="1:5" x14ac:dyDescent="0.25">
      <c r="B1564" s="115" t="s">
        <v>3215</v>
      </c>
      <c r="D1564" s="115" t="s">
        <v>3216</v>
      </c>
      <c r="E1564" s="115" t="s">
        <v>3217</v>
      </c>
    </row>
    <row r="1565" spans="1:5" x14ac:dyDescent="0.25">
      <c r="B1565" s="115" t="s">
        <v>1528</v>
      </c>
      <c r="D1565" s="115" t="s">
        <v>3218</v>
      </c>
      <c r="E1565" s="115" t="s">
        <v>3219</v>
      </c>
    </row>
    <row r="1566" spans="1:5" x14ac:dyDescent="0.25">
      <c r="B1566" s="115" t="s">
        <v>3220</v>
      </c>
      <c r="D1566" s="115" t="s">
        <v>3221</v>
      </c>
      <c r="E1566" s="115" t="s">
        <v>3222</v>
      </c>
    </row>
    <row r="1567" spans="1:5" x14ac:dyDescent="0.2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25">
      <c r="B1568" s="115" t="s">
        <v>1179</v>
      </c>
      <c r="D1568" s="115" t="s">
        <v>3226</v>
      </c>
      <c r="E1568" s="115" t="s">
        <v>3227</v>
      </c>
    </row>
    <row r="1569" spans="1:5" x14ac:dyDescent="0.2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2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25">
      <c r="B1571" s="115" t="s">
        <v>1200</v>
      </c>
      <c r="D1571" s="115" t="s">
        <v>3232</v>
      </c>
      <c r="E1571" s="115" t="s">
        <v>3233</v>
      </c>
    </row>
    <row r="1572" spans="1:5" x14ac:dyDescent="0.2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25">
      <c r="B1573" s="115" t="s">
        <v>1139</v>
      </c>
      <c r="D1573" s="115" t="s">
        <v>1140</v>
      </c>
      <c r="E1573" s="115" t="s">
        <v>1141</v>
      </c>
    </row>
    <row r="1574" spans="1:5" x14ac:dyDescent="0.25">
      <c r="B1574" s="115" t="s">
        <v>1139</v>
      </c>
      <c r="D1574" s="115" t="s">
        <v>1140</v>
      </c>
      <c r="E1574" s="115" t="s">
        <v>1141</v>
      </c>
    </row>
    <row r="1575" spans="1:5" x14ac:dyDescent="0.25">
      <c r="B1575" s="115" t="s">
        <v>1139</v>
      </c>
      <c r="D1575" s="115" t="s">
        <v>1140</v>
      </c>
      <c r="E1575" s="115" t="s">
        <v>1141</v>
      </c>
    </row>
    <row r="1576" spans="1:5" x14ac:dyDescent="0.25">
      <c r="B1576" s="115" t="s">
        <v>1139</v>
      </c>
      <c r="D1576" s="115" t="s">
        <v>1140</v>
      </c>
      <c r="E1576" s="115" t="s">
        <v>1141</v>
      </c>
    </row>
    <row r="1577" spans="1:5" x14ac:dyDescent="0.25">
      <c r="B1577" s="115" t="s">
        <v>1139</v>
      </c>
      <c r="D1577" s="115" t="s">
        <v>1140</v>
      </c>
      <c r="E1577" s="115" t="s">
        <v>1141</v>
      </c>
    </row>
    <row r="1578" spans="1:5" x14ac:dyDescent="0.25">
      <c r="B1578" s="115" t="s">
        <v>1139</v>
      </c>
      <c r="D1578" s="115" t="s">
        <v>1140</v>
      </c>
      <c r="E1578" s="115" t="s">
        <v>1141</v>
      </c>
    </row>
    <row r="1579" spans="1:5" x14ac:dyDescent="0.25">
      <c r="B1579" s="115" t="s">
        <v>1139</v>
      </c>
      <c r="D1579" s="115" t="s">
        <v>1140</v>
      </c>
      <c r="E1579" s="115" t="s">
        <v>1141</v>
      </c>
    </row>
    <row r="1580" spans="1:5" x14ac:dyDescent="0.25">
      <c r="B1580" s="115" t="s">
        <v>1139</v>
      </c>
      <c r="D1580" s="115" t="s">
        <v>1140</v>
      </c>
      <c r="E1580" s="115" t="s">
        <v>1141</v>
      </c>
    </row>
    <row r="1581" spans="1:5" x14ac:dyDescent="0.25">
      <c r="B1581" s="115" t="s">
        <v>1139</v>
      </c>
      <c r="D1581" s="115" t="s">
        <v>1140</v>
      </c>
      <c r="E1581" s="115" t="s">
        <v>1141</v>
      </c>
    </row>
    <row r="1582" spans="1:5" x14ac:dyDescent="0.25">
      <c r="B1582" s="115" t="s">
        <v>1139</v>
      </c>
      <c r="D1582" s="115" t="s">
        <v>1140</v>
      </c>
      <c r="E1582" s="115" t="s">
        <v>1141</v>
      </c>
    </row>
    <row r="1583" spans="1:5" x14ac:dyDescent="0.25">
      <c r="B1583" s="115" t="s">
        <v>1139</v>
      </c>
      <c r="D1583" s="115" t="s">
        <v>1140</v>
      </c>
      <c r="E1583" s="115" t="s">
        <v>1141</v>
      </c>
    </row>
    <row r="1584" spans="1:5" x14ac:dyDescent="0.25">
      <c r="B1584" s="115" t="s">
        <v>1139</v>
      </c>
      <c r="D1584" s="115" t="s">
        <v>1140</v>
      </c>
      <c r="E1584" s="115" t="s">
        <v>1141</v>
      </c>
    </row>
    <row r="1585" spans="2:5" x14ac:dyDescent="0.25">
      <c r="B1585" s="115" t="s">
        <v>1139</v>
      </c>
      <c r="D1585" s="115" t="s">
        <v>1140</v>
      </c>
      <c r="E1585" s="115" t="s">
        <v>1141</v>
      </c>
    </row>
    <row r="1586" spans="2:5" x14ac:dyDescent="0.25">
      <c r="B1586" s="115" t="s">
        <v>1139</v>
      </c>
      <c r="D1586" s="115" t="s">
        <v>1140</v>
      </c>
      <c r="E1586" s="115" t="s">
        <v>1141</v>
      </c>
    </row>
    <row r="1587" spans="2:5" x14ac:dyDescent="0.25">
      <c r="B1587" s="115" t="s">
        <v>1139</v>
      </c>
      <c r="D1587" s="115" t="s">
        <v>1140</v>
      </c>
      <c r="E1587" s="115" t="s">
        <v>1141</v>
      </c>
    </row>
    <row r="1588" spans="2:5" x14ac:dyDescent="0.25">
      <c r="B1588" s="115" t="s">
        <v>1139</v>
      </c>
      <c r="D1588" s="115" t="s">
        <v>1140</v>
      </c>
      <c r="E1588" s="115" t="s">
        <v>1141</v>
      </c>
    </row>
    <row r="1589" spans="2:5" x14ac:dyDescent="0.25">
      <c r="B1589" s="115" t="s">
        <v>1139</v>
      </c>
      <c r="D1589" s="115" t="s">
        <v>1140</v>
      </c>
      <c r="E1589" s="115" t="s">
        <v>1141</v>
      </c>
    </row>
    <row r="1590" spans="2:5" x14ac:dyDescent="0.25">
      <c r="B1590" s="115" t="s">
        <v>1139</v>
      </c>
      <c r="D1590" s="115" t="s">
        <v>1140</v>
      </c>
      <c r="E1590" s="115" t="s">
        <v>1141</v>
      </c>
    </row>
    <row r="1591" spans="2:5" x14ac:dyDescent="0.25">
      <c r="B1591" s="115" t="s">
        <v>1139</v>
      </c>
      <c r="D1591" s="115" t="s">
        <v>1140</v>
      </c>
      <c r="E1591" s="115" t="s">
        <v>1141</v>
      </c>
    </row>
    <row r="1592" spans="2:5" x14ac:dyDescent="0.25">
      <c r="B1592" s="115" t="s">
        <v>1139</v>
      </c>
      <c r="D1592" s="115" t="s">
        <v>1140</v>
      </c>
      <c r="E1592" s="115" t="s">
        <v>1141</v>
      </c>
    </row>
    <row r="1593" spans="2:5" x14ac:dyDescent="0.25">
      <c r="B1593" s="115" t="s">
        <v>1139</v>
      </c>
      <c r="D1593" s="115" t="s">
        <v>1140</v>
      </c>
      <c r="E1593" s="115" t="s">
        <v>1141</v>
      </c>
    </row>
    <row r="1594" spans="2:5" x14ac:dyDescent="0.25">
      <c r="B1594" s="115" t="s">
        <v>1139</v>
      </c>
      <c r="D1594" s="115" t="s">
        <v>1140</v>
      </c>
      <c r="E1594" s="115" t="s">
        <v>1141</v>
      </c>
    </row>
    <row r="1595" spans="2:5" x14ac:dyDescent="0.25">
      <c r="B1595" s="115" t="s">
        <v>1139</v>
      </c>
      <c r="D1595" s="115" t="s">
        <v>1140</v>
      </c>
      <c r="E1595" s="115" t="s">
        <v>1141</v>
      </c>
    </row>
    <row r="1596" spans="2:5" x14ac:dyDescent="0.25">
      <c r="B1596" s="115" t="s">
        <v>1139</v>
      </c>
      <c r="D1596" s="115" t="s">
        <v>1140</v>
      </c>
      <c r="E1596" s="115" t="s">
        <v>1141</v>
      </c>
    </row>
    <row r="1597" spans="2:5" x14ac:dyDescent="0.25">
      <c r="B1597" s="115" t="s">
        <v>1139</v>
      </c>
      <c r="D1597" s="115" t="s">
        <v>1140</v>
      </c>
      <c r="E1597" s="115" t="s">
        <v>1141</v>
      </c>
    </row>
    <row r="1598" spans="2:5" x14ac:dyDescent="0.25">
      <c r="B1598" s="115" t="s">
        <v>1139</v>
      </c>
      <c r="D1598" s="115" t="s">
        <v>1140</v>
      </c>
      <c r="E1598" s="115" t="s">
        <v>1141</v>
      </c>
    </row>
    <row r="1599" spans="2:5" x14ac:dyDescent="0.25">
      <c r="B1599" s="115" t="s">
        <v>1139</v>
      </c>
      <c r="D1599" s="115" t="s">
        <v>1140</v>
      </c>
      <c r="E1599" s="115" t="s">
        <v>1141</v>
      </c>
    </row>
    <row r="1600" spans="2:5" x14ac:dyDescent="0.25">
      <c r="B1600" s="115" t="s">
        <v>1139</v>
      </c>
      <c r="D1600" s="115" t="s">
        <v>1140</v>
      </c>
      <c r="E1600" s="115" t="s">
        <v>1141</v>
      </c>
    </row>
    <row r="1601" spans="1:5" x14ac:dyDescent="0.25">
      <c r="B1601" s="115" t="s">
        <v>1139</v>
      </c>
      <c r="D1601" s="115" t="s">
        <v>1140</v>
      </c>
      <c r="E1601" s="115" t="s">
        <v>1141</v>
      </c>
    </row>
    <row r="1602" spans="1:5" x14ac:dyDescent="0.25">
      <c r="B1602" s="115" t="s">
        <v>1139</v>
      </c>
      <c r="D1602" s="115" t="s">
        <v>1140</v>
      </c>
      <c r="E1602" s="115" t="s">
        <v>1141</v>
      </c>
    </row>
    <row r="1603" spans="1:5" x14ac:dyDescent="0.25">
      <c r="B1603" s="115" t="s">
        <v>1139</v>
      </c>
      <c r="D1603" s="115" t="s">
        <v>1140</v>
      </c>
      <c r="E1603" s="115" t="s">
        <v>1141</v>
      </c>
    </row>
    <row r="1604" spans="1:5" x14ac:dyDescent="0.25">
      <c r="B1604" s="115" t="s">
        <v>1139</v>
      </c>
      <c r="D1604" s="115" t="s">
        <v>3237</v>
      </c>
      <c r="E1604" s="115" t="s">
        <v>3238</v>
      </c>
    </row>
    <row r="1605" spans="1:5" x14ac:dyDescent="0.25">
      <c r="B1605" s="115" t="s">
        <v>1254</v>
      </c>
      <c r="D1605" s="115" t="s">
        <v>3239</v>
      </c>
      <c r="E1605" s="115" t="s">
        <v>3240</v>
      </c>
    </row>
    <row r="1606" spans="1:5" x14ac:dyDescent="0.25">
      <c r="B1606" s="115" t="s">
        <v>1139</v>
      </c>
      <c r="D1606" s="115" t="s">
        <v>3241</v>
      </c>
      <c r="E1606" s="115" t="s">
        <v>3242</v>
      </c>
    </row>
    <row r="1607" spans="1:5" x14ac:dyDescent="0.2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25">
      <c r="B1608" s="115" t="s">
        <v>1139</v>
      </c>
      <c r="D1608" s="115" t="s">
        <v>3245</v>
      </c>
      <c r="E1608" s="115" t="s">
        <v>3246</v>
      </c>
    </row>
    <row r="1609" spans="1:5" x14ac:dyDescent="0.25">
      <c r="B1609" s="115" t="s">
        <v>1139</v>
      </c>
      <c r="D1609" s="115" t="s">
        <v>1140</v>
      </c>
      <c r="E1609" s="115" t="s">
        <v>3247</v>
      </c>
    </row>
    <row r="1610" spans="1:5" x14ac:dyDescent="0.25">
      <c r="B1610" s="115" t="s">
        <v>1139</v>
      </c>
      <c r="D1610" s="115" t="s">
        <v>3248</v>
      </c>
      <c r="E1610" s="115" t="s">
        <v>3249</v>
      </c>
    </row>
    <row r="1611" spans="1:5" x14ac:dyDescent="0.25">
      <c r="B1611" s="115" t="s">
        <v>1333</v>
      </c>
      <c r="D1611" s="115" t="s">
        <v>3250</v>
      </c>
      <c r="E1611" s="115" t="s">
        <v>3251</v>
      </c>
    </row>
    <row r="1612" spans="1:5" x14ac:dyDescent="0.25">
      <c r="B1612" s="115" t="s">
        <v>1139</v>
      </c>
      <c r="D1612" s="115" t="s">
        <v>3252</v>
      </c>
      <c r="E1612" s="115" t="s">
        <v>3253</v>
      </c>
    </row>
    <row r="1613" spans="1:5" x14ac:dyDescent="0.2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25">
      <c r="B1614" s="115" t="s">
        <v>1139</v>
      </c>
      <c r="D1614" s="115" t="s">
        <v>3256</v>
      </c>
      <c r="E1614" s="115" t="s">
        <v>3257</v>
      </c>
    </row>
    <row r="1615" spans="1:5" x14ac:dyDescent="0.25">
      <c r="B1615" s="115" t="s">
        <v>1139</v>
      </c>
      <c r="D1615" s="115" t="s">
        <v>3258</v>
      </c>
      <c r="E1615" s="115" t="s">
        <v>3259</v>
      </c>
    </row>
    <row r="1616" spans="1:5" x14ac:dyDescent="0.25">
      <c r="B1616" s="115">
        <f>-91    -79</f>
        <v>-170</v>
      </c>
      <c r="D1616" s="115" t="s">
        <v>3260</v>
      </c>
      <c r="E1616" s="115" t="s">
        <v>3261</v>
      </c>
    </row>
    <row r="1617" spans="2:5" x14ac:dyDescent="0.25">
      <c r="B1617" s="115" t="s">
        <v>3262</v>
      </c>
      <c r="D1617" s="115" t="s">
        <v>1307</v>
      </c>
      <c r="E1617" s="115" t="s">
        <v>3263</v>
      </c>
    </row>
    <row r="1618" spans="2:5" x14ac:dyDescent="0.25">
      <c r="B1618" s="115" t="s">
        <v>1139</v>
      </c>
      <c r="D1618" s="115" t="s">
        <v>3264</v>
      </c>
      <c r="E1618" s="115" t="s">
        <v>3265</v>
      </c>
    </row>
    <row r="1619" spans="2:5" x14ac:dyDescent="0.25">
      <c r="B1619" s="115" t="s">
        <v>1139</v>
      </c>
      <c r="D1619" s="115" t="s">
        <v>3266</v>
      </c>
      <c r="E1619" s="115" t="s">
        <v>3267</v>
      </c>
    </row>
    <row r="1620" spans="2:5" x14ac:dyDescent="0.25">
      <c r="B1620" s="115" t="s">
        <v>1139</v>
      </c>
      <c r="D1620" s="115" t="s">
        <v>1140</v>
      </c>
      <c r="E1620" s="115" t="s">
        <v>1141</v>
      </c>
    </row>
    <row r="1621" spans="2:5" x14ac:dyDescent="0.25">
      <c r="B1621" s="115" t="s">
        <v>1139</v>
      </c>
      <c r="D1621" s="115" t="s">
        <v>1140</v>
      </c>
      <c r="E1621" s="115" t="s">
        <v>1141</v>
      </c>
    </row>
    <row r="1622" spans="2:5" x14ac:dyDescent="0.25">
      <c r="B1622" s="115" t="s">
        <v>1139</v>
      </c>
      <c r="D1622" s="115" t="s">
        <v>1140</v>
      </c>
      <c r="E1622" s="115" t="s">
        <v>1141</v>
      </c>
    </row>
    <row r="1623" spans="2:5" x14ac:dyDescent="0.25">
      <c r="B1623" s="115" t="s">
        <v>1139</v>
      </c>
      <c r="D1623" s="115" t="s">
        <v>1140</v>
      </c>
      <c r="E1623" s="115" t="s">
        <v>1141</v>
      </c>
    </row>
    <row r="1624" spans="2:5" x14ac:dyDescent="0.25">
      <c r="B1624" s="115" t="s">
        <v>1139</v>
      </c>
      <c r="D1624" s="115" t="s">
        <v>1140</v>
      </c>
      <c r="E1624" s="115" t="s">
        <v>1141</v>
      </c>
    </row>
    <row r="1625" spans="2:5" x14ac:dyDescent="0.25">
      <c r="B1625" s="115" t="s">
        <v>1139</v>
      </c>
      <c r="D1625" s="115" t="s">
        <v>1140</v>
      </c>
      <c r="E1625" s="115" t="s">
        <v>1141</v>
      </c>
    </row>
    <row r="1626" spans="2:5" x14ac:dyDescent="0.25">
      <c r="B1626" s="115" t="s">
        <v>1139</v>
      </c>
      <c r="D1626" s="115" t="s">
        <v>1140</v>
      </c>
      <c r="E1626" s="115" t="s">
        <v>1141</v>
      </c>
    </row>
    <row r="1627" spans="2:5" x14ac:dyDescent="0.25">
      <c r="B1627" s="115" t="s">
        <v>1139</v>
      </c>
      <c r="D1627" s="115" t="s">
        <v>1140</v>
      </c>
      <c r="E1627" s="115" t="s">
        <v>1141</v>
      </c>
    </row>
    <row r="1628" spans="2:5" x14ac:dyDescent="0.25">
      <c r="B1628" s="115" t="s">
        <v>1139</v>
      </c>
      <c r="D1628" s="115" t="s">
        <v>1140</v>
      </c>
      <c r="E1628" s="115" t="s">
        <v>1141</v>
      </c>
    </row>
    <row r="1629" spans="2:5" x14ac:dyDescent="0.25">
      <c r="B1629" s="115" t="s">
        <v>1139</v>
      </c>
      <c r="D1629" s="115" t="s">
        <v>1140</v>
      </c>
      <c r="E1629" s="115" t="s">
        <v>1141</v>
      </c>
    </row>
    <row r="1630" spans="2:5" x14ac:dyDescent="0.25">
      <c r="B1630" s="115" t="s">
        <v>1139</v>
      </c>
      <c r="D1630" s="115" t="s">
        <v>1140</v>
      </c>
      <c r="E1630" s="115" t="s">
        <v>1141</v>
      </c>
    </row>
    <row r="1631" spans="2:5" x14ac:dyDescent="0.25">
      <c r="B1631" s="115" t="s">
        <v>1139</v>
      </c>
      <c r="D1631" s="115" t="s">
        <v>1140</v>
      </c>
      <c r="E1631" s="115" t="s">
        <v>1141</v>
      </c>
    </row>
    <row r="1632" spans="2:5" x14ac:dyDescent="0.25">
      <c r="B1632" s="115" t="s">
        <v>1139</v>
      </c>
      <c r="D1632" s="115" t="s">
        <v>1140</v>
      </c>
      <c r="E1632" s="115" t="s">
        <v>1141</v>
      </c>
    </row>
    <row r="1633" spans="1:5" x14ac:dyDescent="0.25">
      <c r="B1633" s="115" t="s">
        <v>1139</v>
      </c>
      <c r="D1633" s="115" t="s">
        <v>1140</v>
      </c>
      <c r="E1633" s="115" t="s">
        <v>1141</v>
      </c>
    </row>
    <row r="1634" spans="1:5" x14ac:dyDescent="0.25">
      <c r="B1634" s="115" t="s">
        <v>1139</v>
      </c>
      <c r="D1634" s="115" t="s">
        <v>1140</v>
      </c>
      <c r="E1634" s="115" t="s">
        <v>1141</v>
      </c>
    </row>
    <row r="1635" spans="1:5" x14ac:dyDescent="0.25">
      <c r="B1635" s="115" t="s">
        <v>1139</v>
      </c>
      <c r="D1635" s="115" t="s">
        <v>1140</v>
      </c>
      <c r="E1635" s="115" t="s">
        <v>1141</v>
      </c>
    </row>
    <row r="1636" spans="1:5" x14ac:dyDescent="0.2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25">
      <c r="B1637" s="115" t="s">
        <v>1139</v>
      </c>
      <c r="D1637" s="115" t="s">
        <v>3271</v>
      </c>
      <c r="E1637" s="115" t="s">
        <v>1141</v>
      </c>
    </row>
    <row r="1638" spans="1:5" x14ac:dyDescent="0.25">
      <c r="B1638" s="115" t="s">
        <v>1139</v>
      </c>
      <c r="D1638" s="115" t="s">
        <v>3272</v>
      </c>
      <c r="E1638" s="115" t="s">
        <v>3273</v>
      </c>
    </row>
    <row r="1639" spans="1:5" x14ac:dyDescent="0.25">
      <c r="B1639" s="115" t="s">
        <v>3274</v>
      </c>
      <c r="D1639" s="115" t="s">
        <v>3275</v>
      </c>
      <c r="E1639" s="115" t="s">
        <v>3276</v>
      </c>
    </row>
    <row r="1640" spans="1:5" x14ac:dyDescent="0.25">
      <c r="B1640" s="115" t="s">
        <v>1139</v>
      </c>
      <c r="D1640" s="115" t="s">
        <v>2777</v>
      </c>
      <c r="E1640" s="115" t="s">
        <v>1759</v>
      </c>
    </row>
    <row r="1641" spans="1:5" x14ac:dyDescent="0.25">
      <c r="B1641" s="115" t="s">
        <v>1139</v>
      </c>
      <c r="D1641" s="115" t="s">
        <v>3277</v>
      </c>
      <c r="E1641" s="115" t="s">
        <v>1245</v>
      </c>
    </row>
    <row r="1642" spans="1:5" x14ac:dyDescent="0.25">
      <c r="B1642" s="115" t="s">
        <v>1619</v>
      </c>
      <c r="D1642" s="115" t="s">
        <v>3278</v>
      </c>
      <c r="E1642" s="115" t="s">
        <v>3279</v>
      </c>
    </row>
    <row r="1643" spans="1:5" x14ac:dyDescent="0.2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25">
      <c r="B1644" s="115" t="s">
        <v>3282</v>
      </c>
      <c r="D1644" s="115" t="s">
        <v>3283</v>
      </c>
      <c r="E1644" s="115" t="s">
        <v>3284</v>
      </c>
    </row>
    <row r="1645" spans="1:5" x14ac:dyDescent="0.25">
      <c r="B1645" s="115" t="s">
        <v>3285</v>
      </c>
      <c r="D1645" s="115" t="s">
        <v>3286</v>
      </c>
      <c r="E1645" s="115" t="s">
        <v>3287</v>
      </c>
    </row>
    <row r="1646" spans="1:5" x14ac:dyDescent="0.2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2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25">
      <c r="B1648" s="115" t="s">
        <v>3293</v>
      </c>
      <c r="D1648" s="115" t="s">
        <v>3294</v>
      </c>
      <c r="E1648" s="115" t="s">
        <v>3295</v>
      </c>
    </row>
    <row r="1649" spans="1:5" x14ac:dyDescent="0.25">
      <c r="B1649" s="115" t="s">
        <v>3296</v>
      </c>
      <c r="D1649" s="115" t="s">
        <v>3297</v>
      </c>
      <c r="E1649" s="115" t="s">
        <v>1894</v>
      </c>
    </row>
    <row r="1650" spans="1:5" x14ac:dyDescent="0.25">
      <c r="B1650" s="115">
        <f>-44   -170</f>
        <v>-214</v>
      </c>
      <c r="D1650" s="115" t="s">
        <v>3298</v>
      </c>
      <c r="E1650" s="115" t="s">
        <v>3299</v>
      </c>
    </row>
    <row r="1651" spans="1:5" x14ac:dyDescent="0.2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25">
      <c r="B1652" s="115" t="s">
        <v>1139</v>
      </c>
      <c r="D1652" s="115" t="s">
        <v>1140</v>
      </c>
      <c r="E1652" s="115" t="s">
        <v>1141</v>
      </c>
    </row>
    <row r="1653" spans="1:5" x14ac:dyDescent="0.25">
      <c r="B1653" s="115" t="s">
        <v>1139</v>
      </c>
      <c r="D1653" s="115" t="s">
        <v>1140</v>
      </c>
      <c r="E1653" s="115" t="s">
        <v>1141</v>
      </c>
    </row>
    <row r="1654" spans="1:5" x14ac:dyDescent="0.25">
      <c r="B1654" s="115" t="s">
        <v>1139</v>
      </c>
      <c r="D1654" s="115" t="s">
        <v>1140</v>
      </c>
      <c r="E1654" s="115" t="s">
        <v>1141</v>
      </c>
    </row>
    <row r="1655" spans="1:5" x14ac:dyDescent="0.25">
      <c r="B1655" s="115" t="s">
        <v>1139</v>
      </c>
      <c r="D1655" s="115" t="s">
        <v>1140</v>
      </c>
      <c r="E1655" s="115" t="s">
        <v>1141</v>
      </c>
    </row>
    <row r="1656" spans="1:5" x14ac:dyDescent="0.25">
      <c r="B1656" s="115" t="s">
        <v>1139</v>
      </c>
      <c r="D1656" s="115" t="s">
        <v>1140</v>
      </c>
      <c r="E1656" s="115" t="s">
        <v>1141</v>
      </c>
    </row>
    <row r="1657" spans="1:5" x14ac:dyDescent="0.25">
      <c r="B1657" s="115" t="s">
        <v>1139</v>
      </c>
      <c r="D1657" s="115" t="s">
        <v>1140</v>
      </c>
      <c r="E1657" s="115" t="s">
        <v>1141</v>
      </c>
    </row>
    <row r="1658" spans="1:5" x14ac:dyDescent="0.25">
      <c r="B1658" s="115" t="s">
        <v>1139</v>
      </c>
      <c r="D1658" s="115" t="s">
        <v>1140</v>
      </c>
      <c r="E1658" s="115" t="s">
        <v>1141</v>
      </c>
    </row>
    <row r="1659" spans="1:5" x14ac:dyDescent="0.25">
      <c r="B1659" s="115" t="s">
        <v>1139</v>
      </c>
      <c r="D1659" s="115" t="s">
        <v>1140</v>
      </c>
      <c r="E1659" s="115" t="s">
        <v>1141</v>
      </c>
    </row>
    <row r="1660" spans="1:5" x14ac:dyDescent="0.25">
      <c r="B1660" s="115" t="s">
        <v>1139</v>
      </c>
      <c r="D1660" s="115" t="s">
        <v>1140</v>
      </c>
      <c r="E1660" s="115" t="s">
        <v>1141</v>
      </c>
    </row>
    <row r="1661" spans="1:5" x14ac:dyDescent="0.25">
      <c r="B1661" s="115" t="s">
        <v>1139</v>
      </c>
      <c r="D1661" s="115" t="s">
        <v>1140</v>
      </c>
      <c r="E1661" s="115" t="s">
        <v>1141</v>
      </c>
    </row>
    <row r="1662" spans="1:5" x14ac:dyDescent="0.25">
      <c r="B1662" s="115" t="s">
        <v>1139</v>
      </c>
      <c r="D1662" s="115" t="s">
        <v>1140</v>
      </c>
      <c r="E1662" s="115" t="s">
        <v>1141</v>
      </c>
    </row>
    <row r="1663" spans="1:5" x14ac:dyDescent="0.25">
      <c r="B1663" s="115" t="s">
        <v>1139</v>
      </c>
      <c r="D1663" s="115" t="s">
        <v>1140</v>
      </c>
      <c r="E1663" s="115" t="s">
        <v>1141</v>
      </c>
    </row>
    <row r="1664" spans="1:5" x14ac:dyDescent="0.25">
      <c r="B1664" s="115" t="s">
        <v>1139</v>
      </c>
      <c r="D1664" s="115" t="s">
        <v>1140</v>
      </c>
      <c r="E1664" s="115" t="s">
        <v>1141</v>
      </c>
    </row>
    <row r="1665" spans="2:5" x14ac:dyDescent="0.25">
      <c r="B1665" s="115" t="s">
        <v>1139</v>
      </c>
      <c r="D1665" s="115" t="s">
        <v>1140</v>
      </c>
      <c r="E1665" s="115" t="s">
        <v>1141</v>
      </c>
    </row>
    <row r="1666" spans="2:5" x14ac:dyDescent="0.25">
      <c r="B1666" s="115" t="s">
        <v>1139</v>
      </c>
      <c r="D1666" s="115" t="s">
        <v>1140</v>
      </c>
      <c r="E1666" s="115" t="s">
        <v>1141</v>
      </c>
    </row>
    <row r="1667" spans="2:5" x14ac:dyDescent="0.25">
      <c r="B1667" s="115" t="s">
        <v>1139</v>
      </c>
      <c r="D1667" s="115" t="s">
        <v>1140</v>
      </c>
      <c r="E1667" s="115" t="s">
        <v>1141</v>
      </c>
    </row>
    <row r="1668" spans="2:5" x14ac:dyDescent="0.25">
      <c r="B1668" s="115" t="s">
        <v>3303</v>
      </c>
      <c r="D1668" s="115" t="s">
        <v>3304</v>
      </c>
      <c r="E1668" s="115" t="s">
        <v>3305</v>
      </c>
    </row>
    <row r="1669" spans="2:5" x14ac:dyDescent="0.25">
      <c r="B1669" s="115" t="s">
        <v>1139</v>
      </c>
      <c r="D1669" s="115" t="s">
        <v>3306</v>
      </c>
      <c r="E1669" s="115" t="s">
        <v>1141</v>
      </c>
    </row>
    <row r="1670" spans="2:5" x14ac:dyDescent="0.25">
      <c r="B1670" s="115" t="s">
        <v>1139</v>
      </c>
      <c r="D1670" s="115" t="s">
        <v>3307</v>
      </c>
      <c r="E1670" s="115" t="s">
        <v>3308</v>
      </c>
    </row>
    <row r="1671" spans="2:5" x14ac:dyDescent="0.25">
      <c r="B1671" s="115" t="s">
        <v>3309</v>
      </c>
      <c r="D1671" s="115" t="s">
        <v>3310</v>
      </c>
      <c r="E1671" s="115" t="s">
        <v>3311</v>
      </c>
    </row>
    <row r="1672" spans="2:5" x14ac:dyDescent="0.25">
      <c r="B1672" s="115" t="s">
        <v>2512</v>
      </c>
      <c r="D1672" s="115" t="s">
        <v>1140</v>
      </c>
      <c r="E1672" s="115" t="s">
        <v>3312</v>
      </c>
    </row>
    <row r="1673" spans="2:5" x14ac:dyDescent="0.25">
      <c r="B1673" s="115" t="s">
        <v>1139</v>
      </c>
      <c r="D1673" s="115" t="s">
        <v>3313</v>
      </c>
      <c r="E1673" s="115" t="s">
        <v>3314</v>
      </c>
    </row>
    <row r="1674" spans="2:5" x14ac:dyDescent="0.2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25">
      <c r="B1675" s="115" t="s">
        <v>3316</v>
      </c>
      <c r="D1675" s="115" t="s">
        <v>3317</v>
      </c>
      <c r="E1675" s="115" t="s">
        <v>3318</v>
      </c>
    </row>
    <row r="1676" spans="2:5" x14ac:dyDescent="0.25">
      <c r="B1676" s="115" t="s">
        <v>3319</v>
      </c>
      <c r="D1676" s="115" t="s">
        <v>3320</v>
      </c>
      <c r="E1676" s="115" t="s">
        <v>3321</v>
      </c>
    </row>
    <row r="1677" spans="2:5" x14ac:dyDescent="0.25">
      <c r="B1677" s="115" t="s">
        <v>3322</v>
      </c>
      <c r="D1677" s="115" t="s">
        <v>3323</v>
      </c>
      <c r="E1677" s="115" t="s">
        <v>3324</v>
      </c>
    </row>
    <row r="1678" spans="2:5" x14ac:dyDescent="0.25">
      <c r="B1678" s="115" t="s">
        <v>3325</v>
      </c>
      <c r="D1678" s="115" t="s">
        <v>3326</v>
      </c>
      <c r="E1678" s="115" t="s">
        <v>3327</v>
      </c>
    </row>
    <row r="1679" spans="2:5" x14ac:dyDescent="0.25">
      <c r="B1679" s="115" t="s">
        <v>1308</v>
      </c>
      <c r="D1679" s="115" t="s">
        <v>3328</v>
      </c>
      <c r="E1679" s="115" t="s">
        <v>3329</v>
      </c>
    </row>
    <row r="1680" spans="2:5" x14ac:dyDescent="0.25">
      <c r="B1680" s="115" t="s">
        <v>3330</v>
      </c>
      <c r="D1680" s="115" t="s">
        <v>3331</v>
      </c>
      <c r="E1680" s="115" t="s">
        <v>3332</v>
      </c>
    </row>
    <row r="1681" spans="1:5" x14ac:dyDescent="0.25">
      <c r="B1681" s="115" t="s">
        <v>1139</v>
      </c>
      <c r="D1681" s="115" t="s">
        <v>3333</v>
      </c>
      <c r="E1681" s="115" t="s">
        <v>3334</v>
      </c>
    </row>
    <row r="1682" spans="1:5" x14ac:dyDescent="0.25">
      <c r="B1682" s="115" t="s">
        <v>2552</v>
      </c>
      <c r="D1682" s="115" t="s">
        <v>3335</v>
      </c>
      <c r="E1682" s="115" t="s">
        <v>3336</v>
      </c>
    </row>
    <row r="1683" spans="1:5" x14ac:dyDescent="0.2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25">
      <c r="B1684" s="115" t="s">
        <v>3340</v>
      </c>
      <c r="D1684" s="115" t="s">
        <v>1140</v>
      </c>
      <c r="E1684" s="115" t="s">
        <v>1141</v>
      </c>
    </row>
    <row r="1685" spans="1:5" x14ac:dyDescent="0.25">
      <c r="B1685" s="115" t="s">
        <v>1139</v>
      </c>
      <c r="D1685" s="115" t="s">
        <v>1140</v>
      </c>
      <c r="E1685" s="115" t="s">
        <v>1141</v>
      </c>
    </row>
    <row r="1686" spans="1:5" x14ac:dyDescent="0.25">
      <c r="B1686" s="115" t="s">
        <v>1139</v>
      </c>
      <c r="D1686" s="115" t="s">
        <v>1140</v>
      </c>
      <c r="E1686" s="115" t="s">
        <v>1141</v>
      </c>
    </row>
    <row r="1687" spans="1:5" x14ac:dyDescent="0.25">
      <c r="B1687" s="115" t="s">
        <v>1139</v>
      </c>
      <c r="D1687" s="115" t="s">
        <v>1140</v>
      </c>
      <c r="E1687" s="115" t="s">
        <v>1141</v>
      </c>
    </row>
    <row r="1688" spans="1:5" x14ac:dyDescent="0.25">
      <c r="B1688" s="115" t="s">
        <v>1139</v>
      </c>
      <c r="D1688" s="115" t="s">
        <v>1140</v>
      </c>
      <c r="E1688" s="115" t="s">
        <v>1141</v>
      </c>
    </row>
    <row r="1689" spans="1:5" x14ac:dyDescent="0.25">
      <c r="B1689" s="115" t="s">
        <v>1139</v>
      </c>
      <c r="D1689" s="115" t="s">
        <v>1140</v>
      </c>
      <c r="E1689" s="115" t="s">
        <v>1141</v>
      </c>
    </row>
    <row r="1690" spans="1:5" x14ac:dyDescent="0.25">
      <c r="B1690" s="115" t="s">
        <v>1139</v>
      </c>
      <c r="D1690" s="115" t="s">
        <v>1140</v>
      </c>
      <c r="E1690" s="115" t="s">
        <v>1141</v>
      </c>
    </row>
    <row r="1691" spans="1:5" x14ac:dyDescent="0.25">
      <c r="B1691" s="115" t="s">
        <v>1139</v>
      </c>
      <c r="D1691" s="115" t="s">
        <v>1140</v>
      </c>
      <c r="E1691" s="115" t="s">
        <v>1141</v>
      </c>
    </row>
    <row r="1692" spans="1:5" x14ac:dyDescent="0.25">
      <c r="B1692" s="115" t="s">
        <v>1139</v>
      </c>
      <c r="D1692" s="115" t="s">
        <v>1140</v>
      </c>
      <c r="E1692" s="115" t="s">
        <v>1141</v>
      </c>
    </row>
    <row r="1693" spans="1:5" x14ac:dyDescent="0.25">
      <c r="B1693" s="115" t="s">
        <v>1139</v>
      </c>
      <c r="D1693" s="115" t="s">
        <v>1140</v>
      </c>
      <c r="E1693" s="115" t="s">
        <v>1141</v>
      </c>
    </row>
    <row r="1694" spans="1:5" x14ac:dyDescent="0.25">
      <c r="B1694" s="115" t="s">
        <v>1139</v>
      </c>
      <c r="D1694" s="115" t="s">
        <v>1140</v>
      </c>
      <c r="E1694" s="115" t="s">
        <v>1141</v>
      </c>
    </row>
    <row r="1695" spans="1:5" x14ac:dyDescent="0.25">
      <c r="B1695" s="115" t="s">
        <v>1139</v>
      </c>
      <c r="D1695" s="115" t="s">
        <v>1140</v>
      </c>
      <c r="E1695" s="115" t="s">
        <v>1141</v>
      </c>
    </row>
    <row r="1696" spans="1:5" x14ac:dyDescent="0.25">
      <c r="B1696" s="115" t="s">
        <v>1139</v>
      </c>
      <c r="D1696" s="115" t="s">
        <v>1140</v>
      </c>
      <c r="E1696" s="115" t="s">
        <v>1141</v>
      </c>
    </row>
    <row r="1697" spans="2:5" x14ac:dyDescent="0.25">
      <c r="B1697" s="115" t="s">
        <v>1139</v>
      </c>
      <c r="D1697" s="115" t="s">
        <v>1140</v>
      </c>
      <c r="E1697" s="115" t="s">
        <v>1141</v>
      </c>
    </row>
    <row r="1698" spans="2:5" x14ac:dyDescent="0.25">
      <c r="B1698" s="115" t="s">
        <v>1139</v>
      </c>
      <c r="D1698" s="115" t="s">
        <v>1140</v>
      </c>
      <c r="E1698" s="115" t="s">
        <v>1141</v>
      </c>
    </row>
    <row r="1699" spans="2:5" x14ac:dyDescent="0.25">
      <c r="B1699" s="115" t="s">
        <v>1139</v>
      </c>
      <c r="D1699" s="115" t="s">
        <v>1140</v>
      </c>
      <c r="E1699" s="115" t="s">
        <v>1141</v>
      </c>
    </row>
    <row r="1700" spans="2:5" x14ac:dyDescent="0.25">
      <c r="B1700" s="115" t="s">
        <v>1139</v>
      </c>
      <c r="D1700" s="115" t="s">
        <v>1140</v>
      </c>
      <c r="E1700" s="115" t="s">
        <v>1141</v>
      </c>
    </row>
    <row r="1701" spans="2:5" x14ac:dyDescent="0.25">
      <c r="B1701" s="115" t="s">
        <v>1139</v>
      </c>
      <c r="D1701" s="115" t="s">
        <v>1140</v>
      </c>
      <c r="E1701" s="115" t="s">
        <v>1141</v>
      </c>
    </row>
    <row r="1702" spans="2:5" x14ac:dyDescent="0.25">
      <c r="B1702" s="115" t="s">
        <v>1139</v>
      </c>
      <c r="D1702" s="115" t="s">
        <v>1140</v>
      </c>
      <c r="E1702" s="115" t="s">
        <v>1141</v>
      </c>
    </row>
    <row r="1703" spans="2:5" x14ac:dyDescent="0.25">
      <c r="B1703" s="115" t="s">
        <v>1139</v>
      </c>
      <c r="D1703" s="115" t="s">
        <v>1140</v>
      </c>
      <c r="E1703" s="115" t="s">
        <v>1141</v>
      </c>
    </row>
    <row r="1704" spans="2:5" x14ac:dyDescent="0.25">
      <c r="B1704" s="115" t="s">
        <v>1139</v>
      </c>
      <c r="D1704" s="115" t="s">
        <v>1140</v>
      </c>
      <c r="E1704" s="115" t="s">
        <v>1141</v>
      </c>
    </row>
    <row r="1705" spans="2:5" x14ac:dyDescent="0.25">
      <c r="B1705" s="115" t="s">
        <v>1139</v>
      </c>
      <c r="D1705" s="115" t="s">
        <v>1140</v>
      </c>
      <c r="E1705" s="115" t="s">
        <v>1141</v>
      </c>
    </row>
    <row r="1706" spans="2:5" x14ac:dyDescent="0.25">
      <c r="B1706" s="115" t="s">
        <v>1139</v>
      </c>
      <c r="D1706" s="115" t="s">
        <v>1140</v>
      </c>
      <c r="E1706" s="115" t="s">
        <v>1141</v>
      </c>
    </row>
    <row r="1707" spans="2:5" x14ac:dyDescent="0.25">
      <c r="B1707" s="115" t="s">
        <v>1139</v>
      </c>
      <c r="D1707" s="115" t="s">
        <v>1140</v>
      </c>
      <c r="E1707" s="115" t="s">
        <v>1141</v>
      </c>
    </row>
    <row r="1708" spans="2:5" x14ac:dyDescent="0.25">
      <c r="B1708" s="115" t="s">
        <v>1139</v>
      </c>
      <c r="D1708" s="115" t="s">
        <v>1140</v>
      </c>
      <c r="E1708" s="115" t="s">
        <v>1141</v>
      </c>
    </row>
    <row r="1709" spans="2:5" x14ac:dyDescent="0.25">
      <c r="B1709" s="115" t="s">
        <v>1139</v>
      </c>
      <c r="D1709" s="115" t="s">
        <v>1140</v>
      </c>
      <c r="E1709" s="115" t="s">
        <v>1141</v>
      </c>
    </row>
    <row r="1710" spans="2:5" x14ac:dyDescent="0.25">
      <c r="B1710" s="115" t="s">
        <v>1139</v>
      </c>
      <c r="D1710" s="115" t="s">
        <v>1140</v>
      </c>
      <c r="E1710" s="115" t="s">
        <v>1141</v>
      </c>
    </row>
    <row r="1711" spans="2:5" x14ac:dyDescent="0.25">
      <c r="B1711" s="115" t="s">
        <v>1139</v>
      </c>
      <c r="D1711" s="115" t="s">
        <v>1140</v>
      </c>
      <c r="E1711" s="115" t="s">
        <v>1141</v>
      </c>
    </row>
    <row r="1712" spans="2:5" x14ac:dyDescent="0.25">
      <c r="B1712" s="115" t="s">
        <v>1139</v>
      </c>
      <c r="D1712" s="115" t="s">
        <v>1140</v>
      </c>
      <c r="E1712" s="115" t="s">
        <v>1141</v>
      </c>
    </row>
    <row r="1713" spans="2:5" x14ac:dyDescent="0.25">
      <c r="B1713" s="115" t="s">
        <v>1139</v>
      </c>
      <c r="D1713" s="115" t="s">
        <v>1140</v>
      </c>
      <c r="E1713" s="115" t="s">
        <v>1141</v>
      </c>
    </row>
    <row r="1714" spans="2:5" x14ac:dyDescent="0.25">
      <c r="B1714" s="115" t="s">
        <v>1139</v>
      </c>
      <c r="D1714" s="115" t="s">
        <v>1140</v>
      </c>
      <c r="E1714" s="115" t="s">
        <v>1141</v>
      </c>
    </row>
    <row r="1715" spans="2:5" x14ac:dyDescent="0.25">
      <c r="B1715" s="115" t="s">
        <v>1139</v>
      </c>
      <c r="D1715" s="115" t="s">
        <v>1140</v>
      </c>
      <c r="E1715" s="115" t="s">
        <v>1141</v>
      </c>
    </row>
    <row r="1716" spans="2:5" x14ac:dyDescent="0.25">
      <c r="B1716" s="115" t="s">
        <v>1139</v>
      </c>
      <c r="D1716" s="115" t="s">
        <v>1140</v>
      </c>
      <c r="E1716" s="115" t="s">
        <v>1141</v>
      </c>
    </row>
    <row r="1717" spans="2:5" x14ac:dyDescent="0.25">
      <c r="B1717" s="115" t="s">
        <v>1139</v>
      </c>
      <c r="D1717" s="115" t="s">
        <v>1140</v>
      </c>
      <c r="E1717" s="115" t="s">
        <v>1141</v>
      </c>
    </row>
    <row r="1718" spans="2:5" x14ac:dyDescent="0.25">
      <c r="B1718" s="115" t="s">
        <v>1139</v>
      </c>
      <c r="D1718" s="115" t="s">
        <v>1140</v>
      </c>
      <c r="E1718" s="115" t="s">
        <v>1141</v>
      </c>
    </row>
    <row r="1719" spans="2:5" x14ac:dyDescent="0.25">
      <c r="B1719" s="115" t="s">
        <v>1139</v>
      </c>
      <c r="D1719" s="115" t="s">
        <v>1140</v>
      </c>
      <c r="E1719" s="115" t="s">
        <v>1141</v>
      </c>
    </row>
    <row r="1720" spans="2:5" x14ac:dyDescent="0.25">
      <c r="B1720" s="115" t="s">
        <v>1139</v>
      </c>
      <c r="D1720" s="115" t="s">
        <v>1140</v>
      </c>
      <c r="E1720" s="115" t="s">
        <v>1141</v>
      </c>
    </row>
    <row r="1721" spans="2:5" x14ac:dyDescent="0.25">
      <c r="B1721" s="115" t="s">
        <v>1139</v>
      </c>
      <c r="D1721" s="115" t="s">
        <v>1140</v>
      </c>
      <c r="E1721" s="115" t="s">
        <v>1141</v>
      </c>
    </row>
    <row r="1722" spans="2:5" x14ac:dyDescent="0.25">
      <c r="B1722" s="115" t="s">
        <v>1139</v>
      </c>
      <c r="D1722" s="115" t="s">
        <v>1140</v>
      </c>
      <c r="E1722" s="115" t="s">
        <v>1141</v>
      </c>
    </row>
    <row r="1723" spans="2:5" x14ac:dyDescent="0.25">
      <c r="B1723" s="115" t="s">
        <v>1139</v>
      </c>
      <c r="D1723" s="115" t="s">
        <v>1140</v>
      </c>
      <c r="E1723" s="115" t="s">
        <v>1141</v>
      </c>
    </row>
    <row r="1724" spans="2:5" x14ac:dyDescent="0.25">
      <c r="B1724" s="115" t="s">
        <v>1139</v>
      </c>
      <c r="D1724" s="115" t="s">
        <v>1140</v>
      </c>
      <c r="E1724" s="115" t="s">
        <v>1141</v>
      </c>
    </row>
    <row r="1725" spans="2:5" x14ac:dyDescent="0.25">
      <c r="B1725" s="115" t="s">
        <v>1139</v>
      </c>
      <c r="D1725" s="115" t="s">
        <v>1140</v>
      </c>
      <c r="E1725" s="115" t="s">
        <v>1141</v>
      </c>
    </row>
    <row r="1726" spans="2:5" x14ac:dyDescent="0.25">
      <c r="B1726" s="115" t="s">
        <v>1139</v>
      </c>
      <c r="D1726" s="115" t="s">
        <v>1140</v>
      </c>
      <c r="E1726" s="115" t="s">
        <v>1141</v>
      </c>
    </row>
    <row r="1727" spans="2:5" x14ac:dyDescent="0.25">
      <c r="B1727" s="115" t="s">
        <v>1139</v>
      </c>
      <c r="D1727" s="115" t="s">
        <v>1140</v>
      </c>
      <c r="E1727" s="115" t="s">
        <v>1141</v>
      </c>
    </row>
    <row r="1728" spans="2:5" x14ac:dyDescent="0.25">
      <c r="B1728" s="115" t="s">
        <v>1139</v>
      </c>
      <c r="D1728" s="115" t="s">
        <v>1140</v>
      </c>
      <c r="E1728" s="115" t="s">
        <v>1141</v>
      </c>
    </row>
    <row r="1729" spans="2:5" x14ac:dyDescent="0.25">
      <c r="B1729" s="115" t="s">
        <v>1139</v>
      </c>
      <c r="D1729" s="115" t="s">
        <v>1140</v>
      </c>
      <c r="E1729" s="115" t="s">
        <v>1141</v>
      </c>
    </row>
    <row r="1730" spans="2:5" x14ac:dyDescent="0.25">
      <c r="B1730" s="115" t="s">
        <v>1139</v>
      </c>
      <c r="D1730" s="115" t="s">
        <v>1140</v>
      </c>
      <c r="E1730" s="115" t="s">
        <v>1141</v>
      </c>
    </row>
    <row r="1731" spans="2:5" x14ac:dyDescent="0.25">
      <c r="B1731" s="115" t="s">
        <v>1139</v>
      </c>
      <c r="D1731" s="115" t="s">
        <v>1140</v>
      </c>
      <c r="E1731" s="115" t="s">
        <v>1141</v>
      </c>
    </row>
    <row r="1732" spans="2:5" x14ac:dyDescent="0.25">
      <c r="B1732" s="115" t="s">
        <v>1139</v>
      </c>
      <c r="D1732" s="115" t="s">
        <v>1140</v>
      </c>
      <c r="E1732" s="115" t="s">
        <v>1141</v>
      </c>
    </row>
    <row r="1733" spans="2:5" x14ac:dyDescent="0.25">
      <c r="B1733" s="115" t="s">
        <v>1139</v>
      </c>
      <c r="D1733" s="115" t="s">
        <v>1140</v>
      </c>
      <c r="E1733" s="115" t="s">
        <v>1141</v>
      </c>
    </row>
    <row r="1734" spans="2:5" x14ac:dyDescent="0.25">
      <c r="B1734" s="115" t="s">
        <v>1139</v>
      </c>
      <c r="D1734" s="115" t="s">
        <v>1140</v>
      </c>
      <c r="E1734" s="115" t="s">
        <v>1141</v>
      </c>
    </row>
    <row r="1735" spans="2:5" x14ac:dyDescent="0.25">
      <c r="B1735" s="115" t="s">
        <v>1139</v>
      </c>
      <c r="D1735" s="115" t="s">
        <v>1140</v>
      </c>
      <c r="E1735" s="115" t="s">
        <v>1141</v>
      </c>
    </row>
    <row r="1736" spans="2:5" x14ac:dyDescent="0.25">
      <c r="B1736" s="115" t="s">
        <v>1139</v>
      </c>
      <c r="D1736" s="115" t="s">
        <v>1140</v>
      </c>
      <c r="E1736" s="115" t="s">
        <v>1141</v>
      </c>
    </row>
    <row r="1737" spans="2:5" x14ac:dyDescent="0.25">
      <c r="B1737" s="115" t="s">
        <v>1139</v>
      </c>
      <c r="D1737" s="115" t="s">
        <v>1140</v>
      </c>
      <c r="E1737" s="115" t="s">
        <v>1141</v>
      </c>
    </row>
    <row r="1738" spans="2:5" x14ac:dyDescent="0.25">
      <c r="B1738" s="115" t="s">
        <v>1139</v>
      </c>
      <c r="D1738" s="115" t="s">
        <v>1140</v>
      </c>
      <c r="E1738" s="115" t="s">
        <v>1141</v>
      </c>
    </row>
    <row r="1739" spans="2:5" x14ac:dyDescent="0.25">
      <c r="B1739" s="115" t="s">
        <v>1139</v>
      </c>
      <c r="D1739" s="115" t="s">
        <v>1140</v>
      </c>
      <c r="E1739" s="115" t="s">
        <v>1141</v>
      </c>
    </row>
    <row r="1740" spans="2:5" x14ac:dyDescent="0.25">
      <c r="B1740" s="115" t="s">
        <v>1139</v>
      </c>
      <c r="D1740" s="115" t="s">
        <v>1140</v>
      </c>
      <c r="E1740" s="115" t="s">
        <v>1141</v>
      </c>
    </row>
    <row r="1741" spans="2:5" x14ac:dyDescent="0.25">
      <c r="B1741" s="115" t="s">
        <v>1139</v>
      </c>
      <c r="D1741" s="115" t="s">
        <v>1140</v>
      </c>
      <c r="E1741" s="115" t="s">
        <v>1141</v>
      </c>
    </row>
    <row r="1742" spans="2:5" x14ac:dyDescent="0.25">
      <c r="B1742" s="115" t="s">
        <v>1139</v>
      </c>
      <c r="D1742" s="115" t="s">
        <v>1140</v>
      </c>
      <c r="E1742" s="115" t="s">
        <v>1141</v>
      </c>
    </row>
    <row r="1743" spans="2:5" x14ac:dyDescent="0.25">
      <c r="B1743" s="115" t="s">
        <v>1139</v>
      </c>
      <c r="D1743" s="115" t="s">
        <v>1140</v>
      </c>
      <c r="E1743" s="115" t="s">
        <v>1141</v>
      </c>
    </row>
    <row r="1744" spans="2:5" x14ac:dyDescent="0.25">
      <c r="B1744" s="115" t="s">
        <v>1139</v>
      </c>
      <c r="D1744" s="115" t="s">
        <v>1140</v>
      </c>
      <c r="E1744" s="115" t="s">
        <v>1141</v>
      </c>
    </row>
    <row r="1745" spans="2:5" x14ac:dyDescent="0.25">
      <c r="B1745" s="115" t="s">
        <v>1139</v>
      </c>
      <c r="D1745" s="115" t="s">
        <v>1140</v>
      </c>
      <c r="E1745" s="115" t="s">
        <v>1141</v>
      </c>
    </row>
    <row r="1746" spans="2:5" x14ac:dyDescent="0.25">
      <c r="B1746" s="115" t="s">
        <v>1139</v>
      </c>
      <c r="D1746" s="115" t="s">
        <v>1140</v>
      </c>
      <c r="E1746" s="115" t="s">
        <v>1141</v>
      </c>
    </row>
    <row r="1747" spans="2:5" x14ac:dyDescent="0.25">
      <c r="B1747" s="115" t="s">
        <v>1139</v>
      </c>
      <c r="D1747" s="115" t="s">
        <v>1140</v>
      </c>
      <c r="E1747" s="115" t="s">
        <v>1141</v>
      </c>
    </row>
    <row r="1748" spans="2:5" x14ac:dyDescent="0.25">
      <c r="B1748" s="115" t="s">
        <v>1139</v>
      </c>
      <c r="D1748" s="115" t="s">
        <v>1140</v>
      </c>
      <c r="E1748" s="115" t="s">
        <v>1141</v>
      </c>
    </row>
    <row r="1749" spans="2:5" x14ac:dyDescent="0.25">
      <c r="B1749" s="115" t="s">
        <v>1139</v>
      </c>
      <c r="D1749" s="115" t="s">
        <v>1140</v>
      </c>
      <c r="E1749" s="115" t="s">
        <v>1141</v>
      </c>
    </row>
    <row r="1750" spans="2:5" x14ac:dyDescent="0.25">
      <c r="B1750" s="115" t="s">
        <v>1139</v>
      </c>
      <c r="D1750" s="115" t="s">
        <v>1140</v>
      </c>
      <c r="E1750" s="115" t="s">
        <v>1141</v>
      </c>
    </row>
    <row r="1751" spans="2:5" x14ac:dyDescent="0.25">
      <c r="B1751" s="115" t="s">
        <v>1139</v>
      </c>
      <c r="D1751" s="115" t="s">
        <v>1140</v>
      </c>
      <c r="E1751" s="115" t="s">
        <v>1141</v>
      </c>
    </row>
    <row r="1752" spans="2:5" x14ac:dyDescent="0.25">
      <c r="B1752" s="115" t="s">
        <v>1139</v>
      </c>
      <c r="D1752" s="115" t="s">
        <v>1140</v>
      </c>
      <c r="E1752" s="115" t="s">
        <v>1141</v>
      </c>
    </row>
    <row r="1753" spans="2:5" x14ac:dyDescent="0.25">
      <c r="B1753" s="115" t="s">
        <v>1139</v>
      </c>
      <c r="D1753" s="115" t="s">
        <v>1140</v>
      </c>
      <c r="E1753" s="115" t="s">
        <v>1141</v>
      </c>
    </row>
    <row r="1754" spans="2:5" x14ac:dyDescent="0.25">
      <c r="B1754" s="115" t="s">
        <v>1139</v>
      </c>
      <c r="D1754" s="115" t="s">
        <v>1140</v>
      </c>
      <c r="E1754" s="115" t="s">
        <v>1141</v>
      </c>
    </row>
    <row r="1755" spans="2:5" x14ac:dyDescent="0.25">
      <c r="B1755" s="115" t="s">
        <v>1139</v>
      </c>
      <c r="D1755" s="115" t="s">
        <v>1140</v>
      </c>
      <c r="E1755" s="115" t="s">
        <v>1141</v>
      </c>
    </row>
    <row r="1756" spans="2:5" x14ac:dyDescent="0.25">
      <c r="B1756" s="115" t="s">
        <v>1139</v>
      </c>
      <c r="D1756" s="115" t="s">
        <v>1140</v>
      </c>
      <c r="E1756" s="115" t="s">
        <v>1141</v>
      </c>
    </row>
    <row r="1757" spans="2:5" x14ac:dyDescent="0.25">
      <c r="B1757" s="115" t="s">
        <v>1139</v>
      </c>
      <c r="D1757" s="115" t="s">
        <v>1140</v>
      </c>
      <c r="E1757" s="115" t="s">
        <v>1141</v>
      </c>
    </row>
    <row r="1758" spans="2:5" x14ac:dyDescent="0.25">
      <c r="B1758" s="115" t="s">
        <v>1139</v>
      </c>
      <c r="D1758" s="115" t="s">
        <v>1140</v>
      </c>
      <c r="E1758" s="115" t="s">
        <v>1141</v>
      </c>
    </row>
    <row r="1759" spans="2:5" x14ac:dyDescent="0.25">
      <c r="B1759" s="115" t="s">
        <v>1139</v>
      </c>
      <c r="D1759" s="115" t="s">
        <v>1140</v>
      </c>
      <c r="E1759" s="115" t="s">
        <v>1141</v>
      </c>
    </row>
    <row r="1760" spans="2:5" x14ac:dyDescent="0.25">
      <c r="B1760" s="115" t="s">
        <v>1139</v>
      </c>
      <c r="D1760" s="115" t="s">
        <v>1140</v>
      </c>
      <c r="E1760" s="115" t="s">
        <v>1141</v>
      </c>
    </row>
    <row r="1761" spans="2:5" x14ac:dyDescent="0.25">
      <c r="B1761" s="115" t="s">
        <v>1139</v>
      </c>
      <c r="D1761" s="115" t="s">
        <v>1140</v>
      </c>
      <c r="E1761" s="115" t="s">
        <v>1141</v>
      </c>
    </row>
    <row r="1762" spans="2:5" x14ac:dyDescent="0.25">
      <c r="B1762" s="115" t="s">
        <v>1139</v>
      </c>
      <c r="D1762" s="115" t="s">
        <v>1140</v>
      </c>
      <c r="E1762" s="115" t="s">
        <v>1141</v>
      </c>
    </row>
    <row r="1763" spans="2:5" x14ac:dyDescent="0.25">
      <c r="B1763" s="115" t="s">
        <v>1139</v>
      </c>
      <c r="D1763" s="115" t="s">
        <v>1140</v>
      </c>
      <c r="E1763" s="115" t="s">
        <v>1141</v>
      </c>
    </row>
    <row r="1764" spans="2:5" x14ac:dyDescent="0.25">
      <c r="B1764" s="115" t="s">
        <v>1139</v>
      </c>
      <c r="D1764" s="115" t="s">
        <v>1140</v>
      </c>
      <c r="E1764" s="115" t="s">
        <v>1141</v>
      </c>
    </row>
    <row r="1765" spans="2:5" x14ac:dyDescent="0.25">
      <c r="B1765" s="115" t="s">
        <v>1139</v>
      </c>
      <c r="D1765" s="115" t="s">
        <v>1140</v>
      </c>
      <c r="E1765" s="115" t="s">
        <v>1141</v>
      </c>
    </row>
    <row r="1766" spans="2:5" x14ac:dyDescent="0.25">
      <c r="B1766" s="115" t="s">
        <v>1139</v>
      </c>
      <c r="D1766" s="115" t="s">
        <v>1140</v>
      </c>
      <c r="E1766" s="115" t="s">
        <v>1141</v>
      </c>
    </row>
    <row r="1767" spans="2:5" x14ac:dyDescent="0.25">
      <c r="B1767" s="115" t="s">
        <v>1139</v>
      </c>
      <c r="D1767" s="115" t="s">
        <v>1140</v>
      </c>
      <c r="E1767" s="115" t="s">
        <v>1141</v>
      </c>
    </row>
    <row r="1768" spans="2:5" x14ac:dyDescent="0.25">
      <c r="B1768" s="115" t="s">
        <v>1139</v>
      </c>
      <c r="D1768" s="115" t="s">
        <v>1140</v>
      </c>
      <c r="E1768" s="115" t="s">
        <v>1141</v>
      </c>
    </row>
    <row r="1769" spans="2:5" x14ac:dyDescent="0.25">
      <c r="B1769" s="115" t="s">
        <v>1139</v>
      </c>
      <c r="D1769" s="115" t="s">
        <v>1140</v>
      </c>
      <c r="E1769" s="115" t="s">
        <v>1141</v>
      </c>
    </row>
    <row r="1770" spans="2:5" x14ac:dyDescent="0.25">
      <c r="B1770" s="115" t="s">
        <v>1139</v>
      </c>
      <c r="D1770" s="115" t="s">
        <v>1140</v>
      </c>
      <c r="E1770" s="115" t="s">
        <v>1141</v>
      </c>
    </row>
    <row r="1771" spans="2:5" x14ac:dyDescent="0.25">
      <c r="B1771" s="115" t="s">
        <v>1139</v>
      </c>
      <c r="D1771" s="115" t="s">
        <v>1140</v>
      </c>
      <c r="E1771" s="115" t="s">
        <v>1141</v>
      </c>
    </row>
    <row r="1772" spans="2:5" x14ac:dyDescent="0.25">
      <c r="B1772" s="115" t="s">
        <v>1139</v>
      </c>
      <c r="D1772" s="115" t="s">
        <v>1140</v>
      </c>
      <c r="E1772" s="115" t="s">
        <v>1141</v>
      </c>
    </row>
    <row r="1773" spans="2:5" x14ac:dyDescent="0.25">
      <c r="B1773" s="115" t="s">
        <v>1139</v>
      </c>
      <c r="D1773" s="115" t="s">
        <v>1140</v>
      </c>
      <c r="E1773" s="115" t="s">
        <v>1141</v>
      </c>
    </row>
    <row r="1774" spans="2:5" x14ac:dyDescent="0.25">
      <c r="B1774" s="115" t="s">
        <v>1139</v>
      </c>
      <c r="D1774" s="115" t="s">
        <v>1140</v>
      </c>
      <c r="E1774" s="115" t="s">
        <v>1141</v>
      </c>
    </row>
    <row r="1775" spans="2:5" x14ac:dyDescent="0.25">
      <c r="B1775" s="115" t="s">
        <v>1139</v>
      </c>
      <c r="D1775" s="115" t="s">
        <v>1140</v>
      </c>
      <c r="E1775" s="115" t="s">
        <v>1141</v>
      </c>
    </row>
    <row r="1776" spans="2:5" x14ac:dyDescent="0.25">
      <c r="B1776" s="115" t="s">
        <v>1139</v>
      </c>
      <c r="D1776" s="115" t="s">
        <v>1140</v>
      </c>
      <c r="E1776" s="115" t="s">
        <v>1141</v>
      </c>
    </row>
    <row r="1777" spans="2:5" x14ac:dyDescent="0.25">
      <c r="B1777" s="115" t="s">
        <v>1139</v>
      </c>
      <c r="D1777" s="115" t="s">
        <v>1140</v>
      </c>
      <c r="E1777" s="115" t="s">
        <v>1141</v>
      </c>
    </row>
    <row r="1778" spans="2:5" x14ac:dyDescent="0.25">
      <c r="B1778" s="115" t="s">
        <v>1139</v>
      </c>
      <c r="D1778" s="115" t="s">
        <v>1140</v>
      </c>
      <c r="E1778" s="115" t="s">
        <v>1141</v>
      </c>
    </row>
    <row r="1779" spans="2:5" x14ac:dyDescent="0.25">
      <c r="B1779" s="115" t="s">
        <v>1139</v>
      </c>
      <c r="D1779" s="115" t="s">
        <v>1140</v>
      </c>
      <c r="E1779" s="115" t="s">
        <v>1141</v>
      </c>
    </row>
    <row r="1780" spans="2:5" x14ac:dyDescent="0.25">
      <c r="B1780" s="115" t="s">
        <v>1139</v>
      </c>
      <c r="D1780" s="115" t="s">
        <v>1140</v>
      </c>
      <c r="E1780" s="115" t="s">
        <v>1141</v>
      </c>
    </row>
    <row r="1781" spans="2:5" x14ac:dyDescent="0.25">
      <c r="B1781" s="115" t="s">
        <v>1139</v>
      </c>
      <c r="D1781" s="115" t="s">
        <v>1140</v>
      </c>
      <c r="E1781" s="115" t="s">
        <v>1141</v>
      </c>
    </row>
    <row r="1782" spans="2:5" x14ac:dyDescent="0.25">
      <c r="B1782" s="115" t="s">
        <v>1139</v>
      </c>
      <c r="D1782" s="115" t="s">
        <v>1140</v>
      </c>
      <c r="E1782" s="115" t="s">
        <v>1141</v>
      </c>
    </row>
    <row r="1783" spans="2:5" x14ac:dyDescent="0.25">
      <c r="B1783" s="115" t="s">
        <v>1139</v>
      </c>
      <c r="D1783" s="115" t="s">
        <v>1140</v>
      </c>
      <c r="E1783" s="115" t="s">
        <v>1141</v>
      </c>
    </row>
    <row r="1784" spans="2:5" x14ac:dyDescent="0.25">
      <c r="B1784" s="115" t="s">
        <v>1139</v>
      </c>
      <c r="D1784" s="115" t="s">
        <v>1140</v>
      </c>
      <c r="E1784" s="115" t="s">
        <v>1141</v>
      </c>
    </row>
    <row r="1785" spans="2:5" x14ac:dyDescent="0.25">
      <c r="B1785" s="115" t="s">
        <v>1139</v>
      </c>
      <c r="D1785" s="115" t="s">
        <v>1140</v>
      </c>
      <c r="E1785" s="115" t="s">
        <v>1141</v>
      </c>
    </row>
    <row r="1786" spans="2:5" x14ac:dyDescent="0.25">
      <c r="B1786" s="115" t="s">
        <v>1139</v>
      </c>
      <c r="D1786" s="115" t="s">
        <v>1140</v>
      </c>
      <c r="E1786" s="115" t="s">
        <v>1141</v>
      </c>
    </row>
    <row r="1787" spans="2:5" x14ac:dyDescent="0.25">
      <c r="B1787" s="115" t="s">
        <v>1139</v>
      </c>
      <c r="D1787" s="115" t="s">
        <v>1140</v>
      </c>
      <c r="E1787" s="115" t="s">
        <v>1141</v>
      </c>
    </row>
    <row r="1788" spans="2:5" x14ac:dyDescent="0.25">
      <c r="B1788" s="115" t="s">
        <v>1139</v>
      </c>
      <c r="D1788" s="115" t="s">
        <v>1140</v>
      </c>
      <c r="E1788" s="115" t="s">
        <v>1141</v>
      </c>
    </row>
    <row r="1789" spans="2:5" x14ac:dyDescent="0.25">
      <c r="B1789" s="115" t="s">
        <v>1139</v>
      </c>
      <c r="D1789" s="115" t="s">
        <v>1140</v>
      </c>
      <c r="E1789" s="115" t="s">
        <v>1141</v>
      </c>
    </row>
    <row r="1790" spans="2:5" x14ac:dyDescent="0.25">
      <c r="B1790" s="115" t="s">
        <v>1139</v>
      </c>
      <c r="D1790" s="115" t="s">
        <v>1140</v>
      </c>
      <c r="E1790" s="115" t="s">
        <v>1141</v>
      </c>
    </row>
    <row r="1791" spans="2:5" x14ac:dyDescent="0.25">
      <c r="B1791" s="115" t="s">
        <v>1139</v>
      </c>
      <c r="D1791" s="115" t="s">
        <v>1140</v>
      </c>
      <c r="E1791" s="115" t="s">
        <v>1141</v>
      </c>
    </row>
    <row r="1792" spans="2:5" x14ac:dyDescent="0.25">
      <c r="B1792" s="115" t="s">
        <v>1139</v>
      </c>
      <c r="D1792" s="115" t="s">
        <v>1140</v>
      </c>
      <c r="E1792" s="115" t="s">
        <v>1141</v>
      </c>
    </row>
    <row r="1793" spans="1:5" x14ac:dyDescent="0.25">
      <c r="B1793" s="115" t="s">
        <v>1139</v>
      </c>
      <c r="D1793" s="115" t="s">
        <v>1140</v>
      </c>
      <c r="E1793" s="115" t="s">
        <v>1141</v>
      </c>
    </row>
    <row r="1794" spans="1:5" x14ac:dyDescent="0.25">
      <c r="B1794" s="115" t="s">
        <v>1139</v>
      </c>
      <c r="D1794" s="115" t="s">
        <v>1140</v>
      </c>
      <c r="E1794" s="115" t="s">
        <v>1141</v>
      </c>
    </row>
    <row r="1795" spans="1:5" x14ac:dyDescent="0.25">
      <c r="B1795" s="115" t="s">
        <v>1139</v>
      </c>
      <c r="D1795" s="115" t="s">
        <v>1140</v>
      </c>
      <c r="E1795" s="115" t="s">
        <v>1141</v>
      </c>
    </row>
    <row r="1796" spans="1:5" x14ac:dyDescent="0.25">
      <c r="B1796" s="115" t="s">
        <v>1139</v>
      </c>
      <c r="D1796" s="115" t="s">
        <v>1140</v>
      </c>
      <c r="E1796" s="115" t="s">
        <v>1141</v>
      </c>
    </row>
    <row r="1797" spans="1:5" x14ac:dyDescent="0.25">
      <c r="B1797" s="115" t="s">
        <v>1139</v>
      </c>
      <c r="D1797" s="115" t="s">
        <v>1140</v>
      </c>
      <c r="E1797" s="115" t="s">
        <v>1141</v>
      </c>
    </row>
    <row r="1798" spans="1:5" x14ac:dyDescent="0.25">
      <c r="B1798" s="115" t="s">
        <v>1139</v>
      </c>
      <c r="D1798" s="115" t="s">
        <v>1140</v>
      </c>
      <c r="E1798" s="115" t="s">
        <v>1141</v>
      </c>
    </row>
    <row r="1799" spans="1:5" x14ac:dyDescent="0.25">
      <c r="B1799" s="115" t="s">
        <v>1139</v>
      </c>
      <c r="D1799" s="115" t="s">
        <v>1140</v>
      </c>
      <c r="E1799" s="115" t="s">
        <v>1141</v>
      </c>
    </row>
    <row r="1800" spans="1:5" x14ac:dyDescent="0.25">
      <c r="B1800" s="115" t="s">
        <v>1139</v>
      </c>
      <c r="D1800" s="115" t="s">
        <v>3341</v>
      </c>
      <c r="E1800" s="115" t="s">
        <v>3342</v>
      </c>
    </row>
    <row r="1801" spans="1:5" x14ac:dyDescent="0.25">
      <c r="B1801" s="115" t="s">
        <v>3303</v>
      </c>
      <c r="D1801" s="115" t="s">
        <v>3343</v>
      </c>
      <c r="E1801" s="115" t="s">
        <v>3344</v>
      </c>
    </row>
    <row r="1802" spans="1:5" x14ac:dyDescent="0.25">
      <c r="B1802" s="115" t="s">
        <v>1139</v>
      </c>
      <c r="D1802" s="115" t="s">
        <v>1140</v>
      </c>
      <c r="E1802" s="115" t="s">
        <v>3345</v>
      </c>
    </row>
    <row r="1803" spans="1:5" x14ac:dyDescent="0.2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2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2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25">
      <c r="B1806" s="115" t="s">
        <v>3352</v>
      </c>
      <c r="D1806" s="115" t="s">
        <v>1140</v>
      </c>
      <c r="E1806" s="115" t="s">
        <v>3353</v>
      </c>
    </row>
    <row r="1807" spans="1:5" x14ac:dyDescent="0.25">
      <c r="B1807" s="115" t="s">
        <v>1547</v>
      </c>
      <c r="D1807" s="115" t="s">
        <v>3354</v>
      </c>
      <c r="E1807" s="115" t="s">
        <v>3355</v>
      </c>
    </row>
    <row r="1808" spans="1:5" x14ac:dyDescent="0.25">
      <c r="B1808" s="115" t="s">
        <v>1298</v>
      </c>
      <c r="D1808" s="115" t="s">
        <v>3356</v>
      </c>
      <c r="E1808" s="115" t="s">
        <v>3357</v>
      </c>
    </row>
    <row r="1809" spans="1:5" x14ac:dyDescent="0.25">
      <c r="B1809" s="115" t="s">
        <v>3358</v>
      </c>
      <c r="D1809" s="115" t="s">
        <v>3359</v>
      </c>
      <c r="E1809" s="115" t="s">
        <v>3360</v>
      </c>
    </row>
    <row r="1810" spans="1:5" x14ac:dyDescent="0.2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25">
      <c r="B1811" s="115" t="s">
        <v>1906</v>
      </c>
      <c r="D1811" s="115" t="s">
        <v>3364</v>
      </c>
      <c r="E1811" s="115" t="s">
        <v>3365</v>
      </c>
    </row>
    <row r="1812" spans="1:5" x14ac:dyDescent="0.2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2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2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2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2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25">
      <c r="B1817" s="115" t="s">
        <v>1139</v>
      </c>
      <c r="D1817" s="115" t="s">
        <v>3378</v>
      </c>
      <c r="E1817" s="115" t="s">
        <v>3379</v>
      </c>
    </row>
    <row r="1818" spans="1:5" x14ac:dyDescent="0.25">
      <c r="B1818" s="115" t="s">
        <v>3380</v>
      </c>
      <c r="D1818" s="115" t="s">
        <v>1234</v>
      </c>
      <c r="E1818" s="115" t="s">
        <v>3381</v>
      </c>
    </row>
    <row r="1819" spans="1:5" x14ac:dyDescent="0.25">
      <c r="B1819" s="115" t="s">
        <v>1139</v>
      </c>
      <c r="D1819" s="115" t="s">
        <v>1140</v>
      </c>
      <c r="E1819" s="115" t="s">
        <v>3382</v>
      </c>
    </row>
    <row r="1820" spans="1:5" x14ac:dyDescent="0.2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2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2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25">
      <c r="B1823" s="115" t="s">
        <v>3389</v>
      </c>
      <c r="D1823" s="115" t="s">
        <v>1140</v>
      </c>
      <c r="E1823" s="115" t="s">
        <v>3390</v>
      </c>
    </row>
    <row r="1824" spans="1:5" x14ac:dyDescent="0.25">
      <c r="B1824" s="115" t="s">
        <v>3391</v>
      </c>
      <c r="D1824" s="115" t="s">
        <v>3392</v>
      </c>
      <c r="E1824" s="115" t="s">
        <v>3393</v>
      </c>
    </row>
    <row r="1825" spans="1:5" x14ac:dyDescent="0.25">
      <c r="B1825" s="115" t="s">
        <v>1550</v>
      </c>
      <c r="D1825" s="115" t="s">
        <v>3394</v>
      </c>
      <c r="E1825" s="115" t="s">
        <v>3395</v>
      </c>
    </row>
    <row r="1826" spans="1:5" x14ac:dyDescent="0.2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2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25">
      <c r="B1828" s="115" t="s">
        <v>1364</v>
      </c>
      <c r="D1828" s="115" t="s">
        <v>3402</v>
      </c>
      <c r="E1828" s="115" t="s">
        <v>3403</v>
      </c>
    </row>
    <row r="1829" spans="1:5" x14ac:dyDescent="0.2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2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2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25">
      <c r="B1832" s="115" t="s">
        <v>1428</v>
      </c>
      <c r="D1832" s="115" t="s">
        <v>3412</v>
      </c>
      <c r="E1832" s="115" t="s">
        <v>3413</v>
      </c>
    </row>
    <row r="1833" spans="1:5" x14ac:dyDescent="0.2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25">
      <c r="B1834" s="115" t="s">
        <v>1139</v>
      </c>
      <c r="D1834" s="115" t="s">
        <v>3416</v>
      </c>
      <c r="E1834" s="115" t="s">
        <v>1702</v>
      </c>
    </row>
    <row r="1835" spans="1:5" x14ac:dyDescent="0.25">
      <c r="B1835" s="115" t="s">
        <v>1139</v>
      </c>
      <c r="D1835" s="115" t="s">
        <v>1140</v>
      </c>
      <c r="E1835" s="115" t="s">
        <v>1141</v>
      </c>
    </row>
    <row r="1836" spans="1:5" x14ac:dyDescent="0.25">
      <c r="B1836" s="115" t="s">
        <v>1139</v>
      </c>
      <c r="D1836" s="115" t="s">
        <v>1140</v>
      </c>
      <c r="E1836" s="115" t="s">
        <v>1141</v>
      </c>
    </row>
    <row r="1837" spans="1:5" x14ac:dyDescent="0.25">
      <c r="B1837" s="115" t="s">
        <v>1139</v>
      </c>
      <c r="D1837" s="115" t="s">
        <v>1140</v>
      </c>
      <c r="E1837" s="115" t="s">
        <v>1141</v>
      </c>
    </row>
    <row r="1838" spans="1:5" x14ac:dyDescent="0.25">
      <c r="B1838" s="115" t="s">
        <v>1139</v>
      </c>
      <c r="D1838" s="115" t="s">
        <v>1140</v>
      </c>
      <c r="E1838" s="115" t="s">
        <v>1141</v>
      </c>
    </row>
    <row r="1839" spans="1:5" x14ac:dyDescent="0.25">
      <c r="B1839" s="115" t="s">
        <v>1139</v>
      </c>
      <c r="D1839" s="115" t="s">
        <v>1140</v>
      </c>
      <c r="E1839" s="115" t="s">
        <v>1141</v>
      </c>
    </row>
    <row r="1840" spans="1:5" x14ac:dyDescent="0.25">
      <c r="B1840" s="115" t="s">
        <v>1139</v>
      </c>
      <c r="D1840" s="115" t="s">
        <v>1140</v>
      </c>
      <c r="E1840" s="115" t="s">
        <v>1141</v>
      </c>
    </row>
    <row r="1841" spans="1:5" x14ac:dyDescent="0.25">
      <c r="B1841" s="115" t="s">
        <v>1139</v>
      </c>
      <c r="D1841" s="115" t="s">
        <v>1140</v>
      </c>
      <c r="E1841" s="115" t="s">
        <v>1141</v>
      </c>
    </row>
    <row r="1842" spans="1:5" x14ac:dyDescent="0.25">
      <c r="B1842" s="115" t="s">
        <v>1139</v>
      </c>
      <c r="D1842" s="115" t="s">
        <v>1140</v>
      </c>
      <c r="E1842" s="115" t="s">
        <v>1141</v>
      </c>
    </row>
    <row r="1843" spans="1:5" x14ac:dyDescent="0.25">
      <c r="B1843" s="115" t="s">
        <v>1139</v>
      </c>
      <c r="D1843" s="115" t="s">
        <v>1140</v>
      </c>
      <c r="E1843" s="115" t="s">
        <v>1141</v>
      </c>
    </row>
    <row r="1844" spans="1:5" x14ac:dyDescent="0.25">
      <c r="B1844" s="115" t="s">
        <v>1139</v>
      </c>
      <c r="D1844" s="115" t="s">
        <v>1140</v>
      </c>
      <c r="E1844" s="115" t="s">
        <v>1141</v>
      </c>
    </row>
    <row r="1845" spans="1:5" x14ac:dyDescent="0.25">
      <c r="B1845" s="115" t="s">
        <v>1139</v>
      </c>
      <c r="D1845" s="115" t="s">
        <v>1140</v>
      </c>
      <c r="E1845" s="115" t="s">
        <v>1141</v>
      </c>
    </row>
    <row r="1846" spans="1:5" x14ac:dyDescent="0.25">
      <c r="B1846" s="115" t="s">
        <v>1139</v>
      </c>
      <c r="D1846" s="115" t="s">
        <v>1140</v>
      </c>
      <c r="E1846" s="115" t="s">
        <v>1141</v>
      </c>
    </row>
    <row r="1847" spans="1:5" x14ac:dyDescent="0.25">
      <c r="B1847" s="115" t="s">
        <v>1139</v>
      </c>
      <c r="D1847" s="115" t="s">
        <v>1140</v>
      </c>
      <c r="E1847" s="115" t="s">
        <v>1141</v>
      </c>
    </row>
    <row r="1848" spans="1:5" x14ac:dyDescent="0.25">
      <c r="B1848" s="115" t="s">
        <v>1139</v>
      </c>
      <c r="D1848" s="115" t="s">
        <v>1140</v>
      </c>
      <c r="E1848" s="115" t="s">
        <v>1141</v>
      </c>
    </row>
    <row r="1849" spans="1:5" x14ac:dyDescent="0.25">
      <c r="B1849" s="115" t="s">
        <v>1139</v>
      </c>
      <c r="D1849" s="115" t="s">
        <v>1140</v>
      </c>
      <c r="E1849" s="115" t="s">
        <v>1141</v>
      </c>
    </row>
    <row r="1850" spans="1:5" x14ac:dyDescent="0.25">
      <c r="B1850" s="115" t="s">
        <v>1139</v>
      </c>
      <c r="D1850" s="115" t="s">
        <v>1140</v>
      </c>
      <c r="E1850" s="115" t="s">
        <v>1141</v>
      </c>
    </row>
    <row r="1851" spans="1:5" x14ac:dyDescent="0.25">
      <c r="B1851" s="115" t="s">
        <v>1139</v>
      </c>
      <c r="D1851" s="115" t="s">
        <v>1140</v>
      </c>
      <c r="E1851" s="115" t="s">
        <v>3417</v>
      </c>
    </row>
    <row r="1852" spans="1:5" x14ac:dyDescent="0.2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25">
      <c r="B1853" s="115" t="s">
        <v>3421</v>
      </c>
      <c r="D1853" s="115" t="s">
        <v>1140</v>
      </c>
      <c r="E1853" s="115" t="s">
        <v>1141</v>
      </c>
    </row>
    <row r="1854" spans="1:5" x14ac:dyDescent="0.2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25">
      <c r="B1855" s="115" t="s">
        <v>1139</v>
      </c>
      <c r="D1855" s="115" t="s">
        <v>3425</v>
      </c>
      <c r="E1855" s="115" t="s">
        <v>3426</v>
      </c>
    </row>
    <row r="1856" spans="1:5" x14ac:dyDescent="0.25">
      <c r="B1856" s="115" t="s">
        <v>1139</v>
      </c>
      <c r="D1856" s="115" t="s">
        <v>3427</v>
      </c>
      <c r="E1856" s="115" t="s">
        <v>1141</v>
      </c>
    </row>
    <row r="1857" spans="1:5" x14ac:dyDescent="0.2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2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25">
      <c r="B1859" s="115" t="s">
        <v>3434</v>
      </c>
      <c r="D1859" s="115" t="s">
        <v>3435</v>
      </c>
      <c r="E1859" s="115" t="s">
        <v>3436</v>
      </c>
    </row>
    <row r="1860" spans="1:5" x14ac:dyDescent="0.2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2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25">
      <c r="B1862" s="115" t="s">
        <v>3443</v>
      </c>
      <c r="D1862" s="115" t="s">
        <v>3444</v>
      </c>
      <c r="E1862" s="115" t="s">
        <v>3445</v>
      </c>
    </row>
    <row r="1863" spans="1:5" x14ac:dyDescent="0.2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2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25">
      <c r="B1865" s="115" t="s">
        <v>2128</v>
      </c>
      <c r="D1865" s="115" t="s">
        <v>3452</v>
      </c>
      <c r="E1865" s="115" t="s">
        <v>3453</v>
      </c>
    </row>
    <row r="1866" spans="1:5" x14ac:dyDescent="0.2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25">
      <c r="B1867" s="115" t="s">
        <v>3457</v>
      </c>
      <c r="D1867" s="115" t="s">
        <v>3458</v>
      </c>
      <c r="E1867" s="115" t="s">
        <v>3459</v>
      </c>
    </row>
    <row r="1868" spans="1:5" x14ac:dyDescent="0.25">
      <c r="B1868" s="115" t="s">
        <v>1654</v>
      </c>
      <c r="D1868" s="115" t="s">
        <v>1140</v>
      </c>
      <c r="E1868" s="115" t="s">
        <v>3460</v>
      </c>
    </row>
    <row r="1869" spans="1:5" x14ac:dyDescent="0.2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25">
      <c r="B1870" s="115" t="s">
        <v>1139</v>
      </c>
      <c r="D1870" s="115" t="s">
        <v>3464</v>
      </c>
      <c r="E1870" s="115" t="s">
        <v>1141</v>
      </c>
    </row>
    <row r="1871" spans="1:5" x14ac:dyDescent="0.25">
      <c r="B1871" s="115" t="s">
        <v>1139</v>
      </c>
      <c r="D1871" s="115" t="s">
        <v>3465</v>
      </c>
      <c r="E1871" s="115" t="s">
        <v>3466</v>
      </c>
    </row>
    <row r="1872" spans="1:5" x14ac:dyDescent="0.25">
      <c r="B1872" s="115">
        <f>-69    -80</f>
        <v>-149</v>
      </c>
      <c r="D1872" s="115" t="s">
        <v>1143</v>
      </c>
      <c r="E1872" s="115" t="s">
        <v>3467</v>
      </c>
    </row>
    <row r="1873" spans="1:5" x14ac:dyDescent="0.25">
      <c r="B1873" s="115" t="s">
        <v>3468</v>
      </c>
      <c r="D1873" s="115" t="s">
        <v>1140</v>
      </c>
      <c r="E1873" s="115" t="s">
        <v>3469</v>
      </c>
    </row>
    <row r="1874" spans="1:5" x14ac:dyDescent="0.25">
      <c r="B1874" s="115" t="s">
        <v>1139</v>
      </c>
      <c r="D1874" s="115" t="s">
        <v>3470</v>
      </c>
      <c r="E1874" s="115" t="s">
        <v>3471</v>
      </c>
    </row>
    <row r="1875" spans="1:5" x14ac:dyDescent="0.25">
      <c r="B1875" s="115" t="s">
        <v>1139</v>
      </c>
      <c r="D1875" s="115" t="s">
        <v>3472</v>
      </c>
      <c r="E1875" s="115" t="s">
        <v>3473</v>
      </c>
    </row>
    <row r="1876" spans="1:5" x14ac:dyDescent="0.25">
      <c r="B1876" s="115" t="s">
        <v>3474</v>
      </c>
      <c r="D1876" s="115" t="s">
        <v>3475</v>
      </c>
      <c r="E1876" s="115" t="s">
        <v>3476</v>
      </c>
    </row>
    <row r="1877" spans="1:5" x14ac:dyDescent="0.25">
      <c r="B1877" s="115" t="s">
        <v>1311</v>
      </c>
      <c r="D1877" s="115" t="s">
        <v>3477</v>
      </c>
      <c r="E1877" s="115" t="s">
        <v>3478</v>
      </c>
    </row>
    <row r="1878" spans="1:5" x14ac:dyDescent="0.2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25">
      <c r="B1879" s="115" t="s">
        <v>3482</v>
      </c>
      <c r="D1879" s="115" t="s">
        <v>3483</v>
      </c>
      <c r="E1879" s="115" t="s">
        <v>3484</v>
      </c>
    </row>
    <row r="1880" spans="1:5" x14ac:dyDescent="0.25">
      <c r="B1880" s="115" t="s">
        <v>2290</v>
      </c>
      <c r="D1880" s="115" t="s">
        <v>3485</v>
      </c>
      <c r="E1880" s="115" t="s">
        <v>3486</v>
      </c>
    </row>
    <row r="1881" spans="1:5" x14ac:dyDescent="0.25">
      <c r="B1881" s="115">
        <f>-91   -306</f>
        <v>-397</v>
      </c>
      <c r="D1881" s="115" t="s">
        <v>3487</v>
      </c>
      <c r="E1881" s="115" t="s">
        <v>3488</v>
      </c>
    </row>
    <row r="1882" spans="1:5" x14ac:dyDescent="0.25">
      <c r="B1882" s="115" t="s">
        <v>1139</v>
      </c>
      <c r="D1882" s="115" t="s">
        <v>3489</v>
      </c>
      <c r="E1882" s="115" t="s">
        <v>3490</v>
      </c>
    </row>
    <row r="1883" spans="1:5" x14ac:dyDescent="0.25">
      <c r="B1883" s="115" t="s">
        <v>3491</v>
      </c>
      <c r="D1883" s="115" t="s">
        <v>3492</v>
      </c>
      <c r="E1883" s="115" t="s">
        <v>3493</v>
      </c>
    </row>
    <row r="1884" spans="1:5" x14ac:dyDescent="0.25">
      <c r="B1884" s="115" t="s">
        <v>3494</v>
      </c>
      <c r="D1884" s="115" t="s">
        <v>3495</v>
      </c>
      <c r="E1884" s="115" t="s">
        <v>3496</v>
      </c>
    </row>
    <row r="1885" spans="1:5" x14ac:dyDescent="0.25">
      <c r="B1885" s="115" t="s">
        <v>3497</v>
      </c>
      <c r="D1885" s="115" t="s">
        <v>3498</v>
      </c>
      <c r="E1885" s="115" t="s">
        <v>1141</v>
      </c>
    </row>
    <row r="1886" spans="1:5" x14ac:dyDescent="0.25">
      <c r="B1886" s="115" t="s">
        <v>3499</v>
      </c>
      <c r="D1886" s="115" t="s">
        <v>3500</v>
      </c>
      <c r="E1886" s="115" t="s">
        <v>1141</v>
      </c>
    </row>
    <row r="1887" spans="1:5" x14ac:dyDescent="0.25">
      <c r="B1887" s="115" t="s">
        <v>1139</v>
      </c>
      <c r="D1887" s="115" t="s">
        <v>1140</v>
      </c>
      <c r="E1887" s="115" t="s">
        <v>1141</v>
      </c>
    </row>
    <row r="1888" spans="1:5" x14ac:dyDescent="0.25">
      <c r="B1888" s="115" t="s">
        <v>1139</v>
      </c>
      <c r="D1888" s="115" t="s">
        <v>1140</v>
      </c>
      <c r="E1888" s="115" t="s">
        <v>1141</v>
      </c>
    </row>
    <row r="1889" spans="2:5" x14ac:dyDescent="0.25">
      <c r="B1889" s="115" t="s">
        <v>1139</v>
      </c>
      <c r="D1889" s="115" t="s">
        <v>1140</v>
      </c>
      <c r="E1889" s="115" t="s">
        <v>1141</v>
      </c>
    </row>
    <row r="1890" spans="2:5" x14ac:dyDescent="0.25">
      <c r="B1890" s="115" t="s">
        <v>1139</v>
      </c>
      <c r="D1890" s="115" t="s">
        <v>1140</v>
      </c>
      <c r="E1890" s="115" t="s">
        <v>1141</v>
      </c>
    </row>
    <row r="1891" spans="2:5" x14ac:dyDescent="0.25">
      <c r="B1891" s="115" t="s">
        <v>1139</v>
      </c>
      <c r="D1891" s="115" t="s">
        <v>1140</v>
      </c>
      <c r="E1891" s="115" t="s">
        <v>1141</v>
      </c>
    </row>
    <row r="1892" spans="2:5" x14ac:dyDescent="0.25">
      <c r="B1892" s="115" t="s">
        <v>1139</v>
      </c>
      <c r="D1892" s="115" t="s">
        <v>1140</v>
      </c>
      <c r="E1892" s="115" t="s">
        <v>1141</v>
      </c>
    </row>
    <row r="1893" spans="2:5" x14ac:dyDescent="0.25">
      <c r="B1893" s="115" t="s">
        <v>1139</v>
      </c>
      <c r="D1893" s="115" t="s">
        <v>1140</v>
      </c>
      <c r="E1893" s="115" t="s">
        <v>1141</v>
      </c>
    </row>
    <row r="1894" spans="2:5" x14ac:dyDescent="0.25">
      <c r="B1894" s="115" t="s">
        <v>1139</v>
      </c>
      <c r="D1894" s="115" t="s">
        <v>1140</v>
      </c>
      <c r="E1894" s="115" t="s">
        <v>1141</v>
      </c>
    </row>
    <row r="1895" spans="2:5" x14ac:dyDescent="0.25">
      <c r="B1895" s="115" t="s">
        <v>1139</v>
      </c>
      <c r="D1895" s="115" t="s">
        <v>1140</v>
      </c>
      <c r="E1895" s="115" t="s">
        <v>1141</v>
      </c>
    </row>
    <row r="1896" spans="2:5" x14ac:dyDescent="0.25">
      <c r="B1896" s="115" t="s">
        <v>1139</v>
      </c>
      <c r="D1896" s="115" t="s">
        <v>1140</v>
      </c>
      <c r="E1896" s="115" t="s">
        <v>1141</v>
      </c>
    </row>
    <row r="1897" spans="2:5" x14ac:dyDescent="0.25">
      <c r="B1897" s="115" t="s">
        <v>1139</v>
      </c>
      <c r="D1897" s="115" t="s">
        <v>1140</v>
      </c>
      <c r="E1897" s="115" t="s">
        <v>1141</v>
      </c>
    </row>
    <row r="1898" spans="2:5" x14ac:dyDescent="0.25">
      <c r="B1898" s="115" t="s">
        <v>1139</v>
      </c>
      <c r="D1898" s="115" t="s">
        <v>1140</v>
      </c>
      <c r="E1898" s="115" t="s">
        <v>1141</v>
      </c>
    </row>
    <row r="1899" spans="2:5" x14ac:dyDescent="0.25">
      <c r="B1899" s="115" t="s">
        <v>1139</v>
      </c>
      <c r="D1899" s="115" t="s">
        <v>1140</v>
      </c>
      <c r="E1899" s="115" t="s">
        <v>1141</v>
      </c>
    </row>
    <row r="1900" spans="2:5" x14ac:dyDescent="0.25">
      <c r="B1900" s="115" t="s">
        <v>1139</v>
      </c>
      <c r="D1900" s="115" t="s">
        <v>1140</v>
      </c>
      <c r="E1900" s="115" t="s">
        <v>1141</v>
      </c>
    </row>
    <row r="1901" spans="2:5" x14ac:dyDescent="0.25">
      <c r="B1901" s="115" t="s">
        <v>1139</v>
      </c>
      <c r="D1901" s="115" t="s">
        <v>1140</v>
      </c>
      <c r="E1901" s="115" t="s">
        <v>1141</v>
      </c>
    </row>
    <row r="1902" spans="2:5" x14ac:dyDescent="0.25">
      <c r="B1902" s="115" t="s">
        <v>1139</v>
      </c>
      <c r="D1902" s="115" t="s">
        <v>1140</v>
      </c>
      <c r="E1902" s="115" t="s">
        <v>1141</v>
      </c>
    </row>
    <row r="1903" spans="2:5" x14ac:dyDescent="0.25">
      <c r="B1903" s="115" t="s">
        <v>1139</v>
      </c>
      <c r="D1903" s="115" t="s">
        <v>1140</v>
      </c>
      <c r="E1903" s="115" t="s">
        <v>1141</v>
      </c>
    </row>
    <row r="1904" spans="2:5" x14ac:dyDescent="0.25">
      <c r="B1904" s="115" t="s">
        <v>1139</v>
      </c>
      <c r="D1904" s="115" t="s">
        <v>1140</v>
      </c>
      <c r="E1904" s="115" t="s">
        <v>1141</v>
      </c>
    </row>
    <row r="1905" spans="2:5" x14ac:dyDescent="0.25">
      <c r="B1905" s="115" t="s">
        <v>1139</v>
      </c>
      <c r="D1905" s="115" t="s">
        <v>1140</v>
      </c>
      <c r="E1905" s="115" t="s">
        <v>1141</v>
      </c>
    </row>
    <row r="1906" spans="2:5" x14ac:dyDescent="0.25">
      <c r="B1906" s="115" t="s">
        <v>1139</v>
      </c>
      <c r="D1906" s="115" t="s">
        <v>1140</v>
      </c>
      <c r="E1906" s="115" t="s">
        <v>1141</v>
      </c>
    </row>
    <row r="1907" spans="2:5" x14ac:dyDescent="0.25">
      <c r="B1907" s="115" t="s">
        <v>1139</v>
      </c>
      <c r="D1907" s="115" t="s">
        <v>1140</v>
      </c>
      <c r="E1907" s="115" t="s">
        <v>1141</v>
      </c>
    </row>
    <row r="1908" spans="2:5" x14ac:dyDescent="0.25">
      <c r="B1908" s="115" t="s">
        <v>1139</v>
      </c>
      <c r="D1908" s="115" t="s">
        <v>1140</v>
      </c>
      <c r="E1908" s="115" t="s">
        <v>1141</v>
      </c>
    </row>
    <row r="1909" spans="2:5" x14ac:dyDescent="0.25">
      <c r="B1909" s="115" t="s">
        <v>1139</v>
      </c>
      <c r="D1909" s="115" t="s">
        <v>1140</v>
      </c>
      <c r="E1909" s="115" t="s">
        <v>1141</v>
      </c>
    </row>
    <row r="1910" spans="2:5" x14ac:dyDescent="0.25">
      <c r="B1910" s="115" t="s">
        <v>1139</v>
      </c>
      <c r="D1910" s="115" t="s">
        <v>1140</v>
      </c>
      <c r="E1910" s="115" t="s">
        <v>1141</v>
      </c>
    </row>
    <row r="1911" spans="2:5" x14ac:dyDescent="0.25">
      <c r="B1911" s="115" t="s">
        <v>1139</v>
      </c>
      <c r="D1911" s="115" t="s">
        <v>1140</v>
      </c>
      <c r="E1911" s="115" t="s">
        <v>1141</v>
      </c>
    </row>
    <row r="1912" spans="2:5" x14ac:dyDescent="0.25">
      <c r="B1912" s="115" t="s">
        <v>1139</v>
      </c>
      <c r="D1912" s="115" t="s">
        <v>1140</v>
      </c>
      <c r="E1912" s="115" t="s">
        <v>1141</v>
      </c>
    </row>
    <row r="1913" spans="2:5" x14ac:dyDescent="0.25">
      <c r="B1913" s="115" t="s">
        <v>1139</v>
      </c>
      <c r="D1913" s="115" t="s">
        <v>1140</v>
      </c>
      <c r="E1913" s="115" t="s">
        <v>1141</v>
      </c>
    </row>
    <row r="1914" spans="2:5" x14ac:dyDescent="0.25">
      <c r="B1914" s="115" t="s">
        <v>1139</v>
      </c>
      <c r="D1914" s="115" t="s">
        <v>1140</v>
      </c>
      <c r="E1914" s="115" t="s">
        <v>1141</v>
      </c>
    </row>
    <row r="1915" spans="2:5" x14ac:dyDescent="0.25">
      <c r="B1915" s="115" t="s">
        <v>1139</v>
      </c>
      <c r="D1915" s="115" t="s">
        <v>1140</v>
      </c>
      <c r="E1915" s="115" t="s">
        <v>1141</v>
      </c>
    </row>
    <row r="1916" spans="2:5" x14ac:dyDescent="0.25">
      <c r="B1916" s="115" t="s">
        <v>1139</v>
      </c>
      <c r="D1916" s="115" t="s">
        <v>1140</v>
      </c>
      <c r="E1916" s="115" t="s">
        <v>1141</v>
      </c>
    </row>
    <row r="1917" spans="2:5" x14ac:dyDescent="0.25">
      <c r="B1917" s="115" t="s">
        <v>1139</v>
      </c>
      <c r="D1917" s="115" t="s">
        <v>1140</v>
      </c>
      <c r="E1917" s="115" t="s">
        <v>1141</v>
      </c>
    </row>
    <row r="1918" spans="2:5" x14ac:dyDescent="0.25">
      <c r="B1918" s="115" t="s">
        <v>1139</v>
      </c>
      <c r="D1918" s="115" t="s">
        <v>1140</v>
      </c>
      <c r="E1918" s="115" t="s">
        <v>1141</v>
      </c>
    </row>
    <row r="1919" spans="2:5" x14ac:dyDescent="0.25">
      <c r="B1919" s="115" t="s">
        <v>1139</v>
      </c>
      <c r="D1919" s="115" t="s">
        <v>1140</v>
      </c>
      <c r="E1919" s="115" t="s">
        <v>1141</v>
      </c>
    </row>
    <row r="1920" spans="2:5" x14ac:dyDescent="0.25">
      <c r="B1920" s="115" t="s">
        <v>1139</v>
      </c>
      <c r="D1920" s="115" t="s">
        <v>1140</v>
      </c>
      <c r="E1920" s="115" t="s">
        <v>1141</v>
      </c>
    </row>
    <row r="1921" spans="2:5" x14ac:dyDescent="0.25">
      <c r="B1921" s="115" t="s">
        <v>1139</v>
      </c>
      <c r="D1921" s="115" t="s">
        <v>1140</v>
      </c>
      <c r="E1921" s="115" t="s">
        <v>1141</v>
      </c>
    </row>
    <row r="1922" spans="2:5" x14ac:dyDescent="0.25">
      <c r="B1922" s="115" t="s">
        <v>1139</v>
      </c>
      <c r="D1922" s="115" t="s">
        <v>1140</v>
      </c>
      <c r="E1922" s="115" t="s">
        <v>1141</v>
      </c>
    </row>
    <row r="1923" spans="2:5" x14ac:dyDescent="0.25">
      <c r="B1923" s="115" t="s">
        <v>1139</v>
      </c>
      <c r="D1923" s="115" t="s">
        <v>1140</v>
      </c>
      <c r="E1923" s="115" t="s">
        <v>1141</v>
      </c>
    </row>
    <row r="1924" spans="2:5" x14ac:dyDescent="0.25">
      <c r="B1924" s="115" t="s">
        <v>1139</v>
      </c>
      <c r="D1924" s="115" t="s">
        <v>1140</v>
      </c>
      <c r="E1924" s="115" t="s">
        <v>1141</v>
      </c>
    </row>
    <row r="1925" spans="2:5" x14ac:dyDescent="0.25">
      <c r="B1925" s="115" t="s">
        <v>1139</v>
      </c>
      <c r="D1925" s="115" t="s">
        <v>1140</v>
      </c>
      <c r="E1925" s="115" t="s">
        <v>1141</v>
      </c>
    </row>
    <row r="1926" spans="2:5" x14ac:dyDescent="0.25">
      <c r="B1926" s="115" t="s">
        <v>1139</v>
      </c>
      <c r="D1926" s="115" t="s">
        <v>1140</v>
      </c>
      <c r="E1926" s="115" t="s">
        <v>1141</v>
      </c>
    </row>
    <row r="1927" spans="2:5" x14ac:dyDescent="0.25">
      <c r="B1927" s="115" t="s">
        <v>1139</v>
      </c>
      <c r="D1927" s="115" t="s">
        <v>1140</v>
      </c>
      <c r="E1927" s="115" t="s">
        <v>1141</v>
      </c>
    </row>
    <row r="1928" spans="2:5" x14ac:dyDescent="0.25">
      <c r="B1928" s="115" t="s">
        <v>1139</v>
      </c>
      <c r="D1928" s="115" t="s">
        <v>1140</v>
      </c>
      <c r="E1928" s="115" t="s">
        <v>1141</v>
      </c>
    </row>
    <row r="1929" spans="2:5" x14ac:dyDescent="0.25">
      <c r="B1929" s="115" t="s">
        <v>1139</v>
      </c>
      <c r="D1929" s="115" t="s">
        <v>1140</v>
      </c>
      <c r="E1929" s="115" t="s">
        <v>1141</v>
      </c>
    </row>
    <row r="1930" spans="2:5" x14ac:dyDescent="0.25">
      <c r="B1930" s="115" t="s">
        <v>1139</v>
      </c>
      <c r="D1930" s="115" t="s">
        <v>1140</v>
      </c>
      <c r="E1930" s="115" t="s">
        <v>1141</v>
      </c>
    </row>
    <row r="1931" spans="2:5" x14ac:dyDescent="0.25">
      <c r="B1931" s="115" t="s">
        <v>1139</v>
      </c>
      <c r="D1931" s="115" t="s">
        <v>1140</v>
      </c>
      <c r="E1931" s="115" t="s">
        <v>1141</v>
      </c>
    </row>
    <row r="1932" spans="2:5" x14ac:dyDescent="0.25">
      <c r="B1932" s="115" t="s">
        <v>1139</v>
      </c>
      <c r="D1932" s="115" t="s">
        <v>1140</v>
      </c>
      <c r="E1932" s="115" t="s">
        <v>1141</v>
      </c>
    </row>
    <row r="1933" spans="2:5" x14ac:dyDescent="0.25">
      <c r="B1933" s="115" t="s">
        <v>1139</v>
      </c>
      <c r="D1933" s="115" t="s">
        <v>1140</v>
      </c>
      <c r="E1933" s="115" t="s">
        <v>1141</v>
      </c>
    </row>
    <row r="1934" spans="2:5" x14ac:dyDescent="0.25">
      <c r="B1934" s="115" t="s">
        <v>1139</v>
      </c>
      <c r="D1934" s="115" t="s">
        <v>1140</v>
      </c>
      <c r="E1934" s="115" t="s">
        <v>1141</v>
      </c>
    </row>
    <row r="1935" spans="2:5" x14ac:dyDescent="0.25">
      <c r="B1935" s="115" t="s">
        <v>1139</v>
      </c>
      <c r="D1935" s="115" t="s">
        <v>1140</v>
      </c>
      <c r="E1935" s="115" t="s">
        <v>1141</v>
      </c>
    </row>
    <row r="1936" spans="2:5" x14ac:dyDescent="0.25">
      <c r="B1936" s="115" t="s">
        <v>1139</v>
      </c>
      <c r="D1936" s="115" t="s">
        <v>1140</v>
      </c>
      <c r="E1936" s="115" t="s">
        <v>1141</v>
      </c>
    </row>
    <row r="1937" spans="2:5" x14ac:dyDescent="0.25">
      <c r="B1937" s="115" t="s">
        <v>1139</v>
      </c>
      <c r="D1937" s="115" t="s">
        <v>1140</v>
      </c>
      <c r="E1937" s="115" t="s">
        <v>1141</v>
      </c>
    </row>
    <row r="1938" spans="2:5" x14ac:dyDescent="0.25">
      <c r="B1938" s="115" t="s">
        <v>1139</v>
      </c>
      <c r="D1938" s="115" t="s">
        <v>1140</v>
      </c>
      <c r="E1938" s="115" t="s">
        <v>1141</v>
      </c>
    </row>
    <row r="1939" spans="2:5" x14ac:dyDescent="0.25">
      <c r="B1939" s="115" t="s">
        <v>1139</v>
      </c>
      <c r="D1939" s="115" t="s">
        <v>1140</v>
      </c>
      <c r="E1939" s="115" t="s">
        <v>1141</v>
      </c>
    </row>
    <row r="1940" spans="2:5" x14ac:dyDescent="0.25">
      <c r="B1940" s="115" t="s">
        <v>1139</v>
      </c>
      <c r="D1940" s="115" t="s">
        <v>1140</v>
      </c>
      <c r="E1940" s="115" t="s">
        <v>1141</v>
      </c>
    </row>
    <row r="1941" spans="2:5" x14ac:dyDescent="0.25">
      <c r="B1941" s="115" t="s">
        <v>1139</v>
      </c>
      <c r="D1941" s="115" t="s">
        <v>1140</v>
      </c>
      <c r="E1941" s="115" t="s">
        <v>1141</v>
      </c>
    </row>
    <row r="1942" spans="2:5" x14ac:dyDescent="0.25">
      <c r="B1942" s="115" t="s">
        <v>1139</v>
      </c>
      <c r="D1942" s="115" t="s">
        <v>1140</v>
      </c>
      <c r="E1942" s="115" t="s">
        <v>1141</v>
      </c>
    </row>
    <row r="1943" spans="2:5" x14ac:dyDescent="0.25">
      <c r="B1943" s="115" t="s">
        <v>1139</v>
      </c>
      <c r="D1943" s="115" t="s">
        <v>1140</v>
      </c>
      <c r="E1943" s="115" t="s">
        <v>1141</v>
      </c>
    </row>
    <row r="1944" spans="2:5" x14ac:dyDescent="0.25">
      <c r="B1944" s="115" t="s">
        <v>1139</v>
      </c>
      <c r="D1944" s="115" t="s">
        <v>1140</v>
      </c>
      <c r="E1944" s="115" t="s">
        <v>1141</v>
      </c>
    </row>
    <row r="1945" spans="2:5" x14ac:dyDescent="0.25">
      <c r="B1945" s="115" t="s">
        <v>1139</v>
      </c>
      <c r="D1945" s="115" t="s">
        <v>1140</v>
      </c>
      <c r="E1945" s="115" t="s">
        <v>1141</v>
      </c>
    </row>
    <row r="1946" spans="2:5" x14ac:dyDescent="0.25">
      <c r="B1946" s="115" t="s">
        <v>1139</v>
      </c>
      <c r="D1946" s="115" t="s">
        <v>1140</v>
      </c>
      <c r="E1946" s="115" t="s">
        <v>1141</v>
      </c>
    </row>
    <row r="1947" spans="2:5" x14ac:dyDescent="0.25">
      <c r="B1947" s="115" t="s">
        <v>1139</v>
      </c>
      <c r="D1947" s="115" t="s">
        <v>1140</v>
      </c>
      <c r="E1947" s="115" t="s">
        <v>1141</v>
      </c>
    </row>
    <row r="1948" spans="2:5" x14ac:dyDescent="0.25">
      <c r="B1948" s="115" t="s">
        <v>1139</v>
      </c>
      <c r="D1948" s="115" t="s">
        <v>1140</v>
      </c>
      <c r="E1948" s="115" t="s">
        <v>1141</v>
      </c>
    </row>
    <row r="1949" spans="2:5" x14ac:dyDescent="0.25">
      <c r="B1949" s="115" t="s">
        <v>1139</v>
      </c>
      <c r="D1949" s="115" t="s">
        <v>1140</v>
      </c>
      <c r="E1949" s="115" t="s">
        <v>1141</v>
      </c>
    </row>
    <row r="1950" spans="2:5" x14ac:dyDescent="0.25">
      <c r="B1950" s="115" t="s">
        <v>1139</v>
      </c>
      <c r="D1950" s="115" t="s">
        <v>1140</v>
      </c>
      <c r="E1950" s="115" t="s">
        <v>1141</v>
      </c>
    </row>
    <row r="1951" spans="2:5" x14ac:dyDescent="0.25">
      <c r="B1951" s="115" t="s">
        <v>1139</v>
      </c>
      <c r="D1951" s="115" t="s">
        <v>1140</v>
      </c>
      <c r="E1951" s="115" t="s">
        <v>1141</v>
      </c>
    </row>
    <row r="1952" spans="2:5" x14ac:dyDescent="0.25">
      <c r="B1952" s="115" t="s">
        <v>1139</v>
      </c>
      <c r="D1952" s="115" t="s">
        <v>1140</v>
      </c>
      <c r="E1952" s="115" t="s">
        <v>1141</v>
      </c>
    </row>
    <row r="1953" spans="2:5" x14ac:dyDescent="0.25">
      <c r="B1953" s="115" t="s">
        <v>1139</v>
      </c>
      <c r="D1953" s="115" t="s">
        <v>1140</v>
      </c>
      <c r="E1953" s="115" t="s">
        <v>1141</v>
      </c>
    </row>
    <row r="1954" spans="2:5" x14ac:dyDescent="0.25">
      <c r="B1954" s="115" t="s">
        <v>1139</v>
      </c>
      <c r="D1954" s="115" t="s">
        <v>1140</v>
      </c>
      <c r="E1954" s="115" t="s">
        <v>1141</v>
      </c>
    </row>
    <row r="1955" spans="2:5" x14ac:dyDescent="0.25">
      <c r="B1955" s="115" t="s">
        <v>1139</v>
      </c>
      <c r="D1955" s="115" t="s">
        <v>1140</v>
      </c>
      <c r="E1955" s="115" t="s">
        <v>1141</v>
      </c>
    </row>
    <row r="1956" spans="2:5" x14ac:dyDescent="0.25">
      <c r="B1956" s="115" t="s">
        <v>1139</v>
      </c>
      <c r="D1956" s="115" t="s">
        <v>1140</v>
      </c>
      <c r="E1956" s="115" t="s">
        <v>1141</v>
      </c>
    </row>
    <row r="1957" spans="2:5" x14ac:dyDescent="0.25">
      <c r="B1957" s="115" t="s">
        <v>1139</v>
      </c>
      <c r="D1957" s="115" t="s">
        <v>1140</v>
      </c>
      <c r="E1957" s="115" t="s">
        <v>1141</v>
      </c>
    </row>
    <row r="1958" spans="2:5" x14ac:dyDescent="0.25">
      <c r="B1958" s="115" t="s">
        <v>1139</v>
      </c>
      <c r="D1958" s="115" t="s">
        <v>1140</v>
      </c>
      <c r="E1958" s="115" t="s">
        <v>1141</v>
      </c>
    </row>
    <row r="1959" spans="2:5" x14ac:dyDescent="0.25">
      <c r="B1959" s="115" t="s">
        <v>1139</v>
      </c>
      <c r="D1959" s="115" t="s">
        <v>1140</v>
      </c>
      <c r="E1959" s="115" t="s">
        <v>1141</v>
      </c>
    </row>
    <row r="1960" spans="2:5" x14ac:dyDescent="0.25">
      <c r="B1960" s="115" t="s">
        <v>1139</v>
      </c>
      <c r="D1960" s="115" t="s">
        <v>1140</v>
      </c>
      <c r="E1960" s="115" t="s">
        <v>1141</v>
      </c>
    </row>
    <row r="1961" spans="2:5" x14ac:dyDescent="0.25">
      <c r="B1961" s="115" t="s">
        <v>1139</v>
      </c>
      <c r="D1961" s="115" t="s">
        <v>1140</v>
      </c>
      <c r="E1961" s="115" t="s">
        <v>1141</v>
      </c>
    </row>
    <row r="1962" spans="2:5" x14ac:dyDescent="0.25">
      <c r="B1962" s="115" t="s">
        <v>1139</v>
      </c>
      <c r="D1962" s="115" t="s">
        <v>1140</v>
      </c>
      <c r="E1962" s="115" t="s">
        <v>1141</v>
      </c>
    </row>
    <row r="1963" spans="2:5" x14ac:dyDescent="0.25">
      <c r="B1963" s="115" t="s">
        <v>1139</v>
      </c>
      <c r="D1963" s="115" t="s">
        <v>1140</v>
      </c>
      <c r="E1963" s="115" t="s">
        <v>1141</v>
      </c>
    </row>
    <row r="1964" spans="2:5" x14ac:dyDescent="0.25">
      <c r="B1964" s="115" t="s">
        <v>1139</v>
      </c>
      <c r="D1964" s="115" t="s">
        <v>1140</v>
      </c>
      <c r="E1964" s="115" t="s">
        <v>1141</v>
      </c>
    </row>
    <row r="1965" spans="2:5" x14ac:dyDescent="0.25">
      <c r="B1965" s="115" t="s">
        <v>1139</v>
      </c>
      <c r="D1965" s="115" t="s">
        <v>1140</v>
      </c>
      <c r="E1965" s="115" t="s">
        <v>1141</v>
      </c>
    </row>
    <row r="1966" spans="2:5" x14ac:dyDescent="0.25">
      <c r="B1966" s="115" t="s">
        <v>1139</v>
      </c>
      <c r="D1966" s="115" t="s">
        <v>1140</v>
      </c>
      <c r="E1966" s="115" t="s">
        <v>1141</v>
      </c>
    </row>
    <row r="1967" spans="2:5" x14ac:dyDescent="0.25">
      <c r="B1967" s="115" t="s">
        <v>1139</v>
      </c>
      <c r="D1967" s="115" t="s">
        <v>1140</v>
      </c>
      <c r="E1967" s="115" t="s">
        <v>1141</v>
      </c>
    </row>
    <row r="1968" spans="2:5" x14ac:dyDescent="0.25">
      <c r="B1968" s="115" t="s">
        <v>1139</v>
      </c>
      <c r="D1968" s="115" t="s">
        <v>1140</v>
      </c>
      <c r="E1968" s="115" t="s">
        <v>1141</v>
      </c>
    </row>
    <row r="1969" spans="1:5" x14ac:dyDescent="0.25">
      <c r="B1969" s="115" t="s">
        <v>1139</v>
      </c>
      <c r="D1969" s="115" t="s">
        <v>1140</v>
      </c>
      <c r="E1969" s="115" t="s">
        <v>1141</v>
      </c>
    </row>
    <row r="1970" spans="1:5" x14ac:dyDescent="0.25">
      <c r="B1970" s="115" t="s">
        <v>1139</v>
      </c>
      <c r="D1970" s="115" t="s">
        <v>1140</v>
      </c>
      <c r="E1970" s="115" t="s">
        <v>1141</v>
      </c>
    </row>
    <row r="1971" spans="1:5" x14ac:dyDescent="0.25">
      <c r="B1971" s="115" t="s">
        <v>1139</v>
      </c>
      <c r="D1971" s="115" t="s">
        <v>1140</v>
      </c>
      <c r="E1971" s="115" t="s">
        <v>1141</v>
      </c>
    </row>
    <row r="1972" spans="1:5" x14ac:dyDescent="0.25">
      <c r="B1972" s="115" t="s">
        <v>1139</v>
      </c>
      <c r="D1972" s="115" t="s">
        <v>1140</v>
      </c>
      <c r="E1972" s="115" t="s">
        <v>1141</v>
      </c>
    </row>
    <row r="1973" spans="1:5" x14ac:dyDescent="0.25">
      <c r="B1973" s="115" t="s">
        <v>1139</v>
      </c>
      <c r="D1973" s="115" t="s">
        <v>1140</v>
      </c>
      <c r="E1973" s="115" t="s">
        <v>1141</v>
      </c>
    </row>
    <row r="1974" spans="1:5" x14ac:dyDescent="0.25">
      <c r="B1974" s="115" t="s">
        <v>1139</v>
      </c>
      <c r="D1974" s="115" t="s">
        <v>1140</v>
      </c>
      <c r="E1974" s="115" t="s">
        <v>1141</v>
      </c>
    </row>
    <row r="1975" spans="1:5" x14ac:dyDescent="0.2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25">
      <c r="B1976" s="115" t="s">
        <v>1139</v>
      </c>
      <c r="D1976" s="115" t="s">
        <v>3504</v>
      </c>
      <c r="E1976" s="115" t="s">
        <v>1141</v>
      </c>
    </row>
    <row r="1977" spans="1:5" x14ac:dyDescent="0.25">
      <c r="B1977" s="115" t="s">
        <v>1139</v>
      </c>
      <c r="D1977" s="115" t="s">
        <v>3505</v>
      </c>
      <c r="E1977" s="115" t="s">
        <v>3506</v>
      </c>
    </row>
    <row r="1978" spans="1:5" x14ac:dyDescent="0.2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25">
      <c r="B1979" s="115" t="s">
        <v>1139</v>
      </c>
      <c r="D1979" s="115" t="s">
        <v>3510</v>
      </c>
      <c r="E1979" s="115" t="s">
        <v>2260</v>
      </c>
    </row>
    <row r="1980" spans="1:5" x14ac:dyDescent="0.25">
      <c r="B1980" s="115" t="s">
        <v>1139</v>
      </c>
      <c r="D1980" s="115" t="s">
        <v>3511</v>
      </c>
      <c r="E1980" s="115" t="s">
        <v>3512</v>
      </c>
    </row>
    <row r="1981" spans="1:5" x14ac:dyDescent="0.25">
      <c r="B1981" s="115" t="s">
        <v>3513</v>
      </c>
      <c r="D1981" s="115" t="s">
        <v>3514</v>
      </c>
      <c r="E1981" s="115" t="s">
        <v>3515</v>
      </c>
    </row>
    <row r="1982" spans="1:5" x14ac:dyDescent="0.2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2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2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25">
      <c r="B1985" s="115" t="s">
        <v>1424</v>
      </c>
      <c r="D1985" s="115" t="s">
        <v>3524</v>
      </c>
      <c r="E1985" s="115" t="s">
        <v>1819</v>
      </c>
    </row>
    <row r="1986" spans="1:5" x14ac:dyDescent="0.25">
      <c r="B1986" s="115" t="s">
        <v>3525</v>
      </c>
      <c r="D1986" s="115" t="s">
        <v>3526</v>
      </c>
      <c r="E1986" s="115" t="s">
        <v>3527</v>
      </c>
    </row>
    <row r="1987" spans="1:5" x14ac:dyDescent="0.2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25">
      <c r="B1988" s="115" t="s">
        <v>1516</v>
      </c>
      <c r="D1988" s="115" t="s">
        <v>3531</v>
      </c>
      <c r="E1988" s="115" t="s">
        <v>1859</v>
      </c>
    </row>
    <row r="1989" spans="1:5" x14ac:dyDescent="0.2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2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25">
      <c r="B1991" s="115" t="s">
        <v>1351</v>
      </c>
      <c r="D1991" s="115" t="s">
        <v>3538</v>
      </c>
      <c r="E1991" s="115" t="s">
        <v>1141</v>
      </c>
    </row>
    <row r="1992" spans="1:5" x14ac:dyDescent="0.2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2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25">
      <c r="B1994" s="115" t="s">
        <v>1139</v>
      </c>
      <c r="D1994" s="115" t="s">
        <v>3544</v>
      </c>
      <c r="E1994" s="115" t="s">
        <v>1141</v>
      </c>
    </row>
    <row r="1995" spans="1:5" x14ac:dyDescent="0.25">
      <c r="B1995" s="115" t="s">
        <v>1139</v>
      </c>
      <c r="D1995" s="115" t="s">
        <v>3545</v>
      </c>
      <c r="E1995" s="115" t="s">
        <v>3546</v>
      </c>
    </row>
    <row r="1996" spans="1:5" x14ac:dyDescent="0.2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25">
      <c r="B1997" s="115" t="s">
        <v>1139</v>
      </c>
      <c r="D1997" s="115" t="s">
        <v>1860</v>
      </c>
      <c r="E1997" s="115" t="s">
        <v>1141</v>
      </c>
    </row>
    <row r="1998" spans="1:5" x14ac:dyDescent="0.25">
      <c r="B1998" s="115" t="s">
        <v>1139</v>
      </c>
      <c r="D1998" s="115" t="s">
        <v>3550</v>
      </c>
      <c r="E1998" s="115" t="s">
        <v>3551</v>
      </c>
    </row>
    <row r="1999" spans="1:5" x14ac:dyDescent="0.25">
      <c r="B1999" s="115" t="s">
        <v>3552</v>
      </c>
      <c r="D1999" s="115" t="s">
        <v>3553</v>
      </c>
      <c r="E1999" s="115" t="s">
        <v>3554</v>
      </c>
    </row>
    <row r="2000" spans="1:5" x14ac:dyDescent="0.25">
      <c r="B2000" s="115" t="s">
        <v>3555</v>
      </c>
      <c r="D2000" s="115" t="s">
        <v>3556</v>
      </c>
      <c r="E2000" s="115" t="s">
        <v>2260</v>
      </c>
    </row>
    <row r="2001" spans="1:5" x14ac:dyDescent="0.25">
      <c r="B2001" s="115" t="s">
        <v>3557</v>
      </c>
      <c r="D2001" s="115" t="s">
        <v>3558</v>
      </c>
      <c r="E2001" s="115" t="s">
        <v>3559</v>
      </c>
    </row>
    <row r="2002" spans="1:5" x14ac:dyDescent="0.2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2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25">
      <c r="B2004" s="115" t="s">
        <v>3564</v>
      </c>
      <c r="D2004" s="115" t="s">
        <v>3565</v>
      </c>
      <c r="E2004" s="115" t="s">
        <v>3566</v>
      </c>
    </row>
    <row r="2005" spans="1:5" x14ac:dyDescent="0.25">
      <c r="B2005" s="115" t="s">
        <v>1394</v>
      </c>
      <c r="D2005" s="115" t="s">
        <v>3567</v>
      </c>
      <c r="E2005" s="115" t="s">
        <v>3568</v>
      </c>
    </row>
    <row r="2006" spans="1:5" x14ac:dyDescent="0.25">
      <c r="B2006" s="115" t="s">
        <v>2361</v>
      </c>
      <c r="D2006" s="115" t="s">
        <v>3569</v>
      </c>
      <c r="E2006" s="115" t="s">
        <v>2690</v>
      </c>
    </row>
    <row r="2007" spans="1:5" x14ac:dyDescent="0.25">
      <c r="B2007" s="115" t="s">
        <v>3570</v>
      </c>
      <c r="D2007" s="115" t="s">
        <v>3571</v>
      </c>
      <c r="E2007" s="115" t="s">
        <v>3572</v>
      </c>
    </row>
    <row r="2008" spans="1:5" x14ac:dyDescent="0.2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2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25">
      <c r="B2010" s="115" t="s">
        <v>3578</v>
      </c>
      <c r="D2010" s="115" t="s">
        <v>3579</v>
      </c>
      <c r="E2010" s="115" t="s">
        <v>1141</v>
      </c>
    </row>
    <row r="2011" spans="1:5" x14ac:dyDescent="0.2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25">
      <c r="B2012" s="115" t="s">
        <v>1139</v>
      </c>
      <c r="D2012" s="115" t="s">
        <v>3583</v>
      </c>
      <c r="E2012" s="115" t="s">
        <v>1141</v>
      </c>
    </row>
    <row r="2013" spans="1:5" x14ac:dyDescent="0.25">
      <c r="B2013" s="115" t="s">
        <v>1139</v>
      </c>
      <c r="D2013" s="115" t="s">
        <v>3584</v>
      </c>
      <c r="E2013" s="115" t="s">
        <v>3585</v>
      </c>
    </row>
    <row r="2014" spans="1:5" x14ac:dyDescent="0.25">
      <c r="B2014" s="115" t="s">
        <v>3586</v>
      </c>
      <c r="D2014" s="115" t="s">
        <v>1425</v>
      </c>
      <c r="E2014" s="115" t="s">
        <v>3587</v>
      </c>
    </row>
    <row r="2015" spans="1:5" x14ac:dyDescent="0.25">
      <c r="B2015" s="115" t="s">
        <v>1575</v>
      </c>
      <c r="D2015" s="115" t="s">
        <v>1140</v>
      </c>
      <c r="E2015" s="115" t="s">
        <v>3588</v>
      </c>
    </row>
    <row r="2016" spans="1:5" x14ac:dyDescent="0.25">
      <c r="B2016" s="115" t="s">
        <v>1139</v>
      </c>
      <c r="D2016" s="115" t="s">
        <v>3589</v>
      </c>
      <c r="E2016" s="115" t="s">
        <v>3590</v>
      </c>
    </row>
    <row r="2017" spans="1:5" x14ac:dyDescent="0.2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2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25">
      <c r="B2019" s="115" t="s">
        <v>1551</v>
      </c>
      <c r="D2019" s="115" t="s">
        <v>3595</v>
      </c>
      <c r="E2019" s="115" t="s">
        <v>3596</v>
      </c>
    </row>
    <row r="2020" spans="1:5" x14ac:dyDescent="0.2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2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25">
      <c r="B2022" s="115" t="s">
        <v>3603</v>
      </c>
      <c r="D2022" s="115" t="s">
        <v>3604</v>
      </c>
      <c r="E2022" s="115" t="s">
        <v>3605</v>
      </c>
    </row>
    <row r="2023" spans="1:5" x14ac:dyDescent="0.25">
      <c r="B2023" s="115" t="s">
        <v>3606</v>
      </c>
      <c r="D2023" s="115" t="s">
        <v>3607</v>
      </c>
      <c r="E2023" s="115" t="s">
        <v>3608</v>
      </c>
    </row>
    <row r="2024" spans="1:5" x14ac:dyDescent="0.25">
      <c r="B2024" s="115" t="s">
        <v>1139</v>
      </c>
      <c r="D2024" s="115" t="s">
        <v>3609</v>
      </c>
      <c r="E2024" s="115" t="s">
        <v>3610</v>
      </c>
    </row>
    <row r="2025" spans="1:5" x14ac:dyDescent="0.25">
      <c r="B2025" s="115" t="s">
        <v>3611</v>
      </c>
      <c r="D2025" s="115" t="s">
        <v>3612</v>
      </c>
      <c r="E2025" s="115" t="s">
        <v>2573</v>
      </c>
    </row>
    <row r="2026" spans="1:5" x14ac:dyDescent="0.2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25">
      <c r="B2027" s="115" t="s">
        <v>1400</v>
      </c>
      <c r="D2027" s="115" t="s">
        <v>1437</v>
      </c>
      <c r="E2027" s="115" t="s">
        <v>1141</v>
      </c>
    </row>
    <row r="2028" spans="1:5" x14ac:dyDescent="0.25">
      <c r="B2028" s="115" t="s">
        <v>3615</v>
      </c>
      <c r="D2028" s="115" t="s">
        <v>3616</v>
      </c>
      <c r="E2028" s="115" t="s">
        <v>1141</v>
      </c>
    </row>
    <row r="2029" spans="1:5" x14ac:dyDescent="0.2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25">
      <c r="B2030" s="115" t="s">
        <v>1481</v>
      </c>
      <c r="D2030" s="115" t="s">
        <v>2384</v>
      </c>
      <c r="E2030" s="115" t="s">
        <v>3620</v>
      </c>
    </row>
    <row r="2031" spans="1:5" x14ac:dyDescent="0.25">
      <c r="B2031" s="115" t="s">
        <v>1139</v>
      </c>
      <c r="D2031" s="115" t="s">
        <v>3621</v>
      </c>
      <c r="E2031" s="115" t="s">
        <v>3622</v>
      </c>
    </row>
    <row r="2032" spans="1:5" x14ac:dyDescent="0.25">
      <c r="B2032" s="115" t="s">
        <v>3623</v>
      </c>
      <c r="D2032" s="115" t="s">
        <v>3624</v>
      </c>
      <c r="E2032" s="115" t="s">
        <v>3625</v>
      </c>
    </row>
    <row r="2033" spans="1:5" x14ac:dyDescent="0.25">
      <c r="B2033" s="115" t="s">
        <v>1139</v>
      </c>
      <c r="D2033" s="115" t="s">
        <v>1422</v>
      </c>
      <c r="E2033" s="115" t="s">
        <v>3626</v>
      </c>
    </row>
    <row r="2034" spans="1:5" x14ac:dyDescent="0.25">
      <c r="B2034" s="115" t="s">
        <v>1139</v>
      </c>
      <c r="D2034" s="115" t="s">
        <v>1140</v>
      </c>
      <c r="E2034" s="115" t="s">
        <v>3627</v>
      </c>
    </row>
    <row r="2035" spans="1:5" x14ac:dyDescent="0.25">
      <c r="B2035" s="115" t="s">
        <v>1139</v>
      </c>
      <c r="D2035" s="115" t="s">
        <v>3628</v>
      </c>
      <c r="E2035" s="115" t="s">
        <v>3629</v>
      </c>
    </row>
    <row r="2036" spans="1:5" x14ac:dyDescent="0.2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25">
      <c r="B2037" s="115" t="s">
        <v>1139</v>
      </c>
      <c r="D2037" s="115" t="s">
        <v>3631</v>
      </c>
      <c r="E2037" s="115" t="s">
        <v>3632</v>
      </c>
    </row>
    <row r="2038" spans="1:5" x14ac:dyDescent="0.2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25">
      <c r="B2039" s="115" t="s">
        <v>1139</v>
      </c>
      <c r="D2039" s="115" t="s">
        <v>3636</v>
      </c>
      <c r="E2039" s="115" t="s">
        <v>3637</v>
      </c>
    </row>
    <row r="2040" spans="1:5" x14ac:dyDescent="0.25">
      <c r="B2040" s="115" t="s">
        <v>1139</v>
      </c>
      <c r="D2040" s="115" t="s">
        <v>3638</v>
      </c>
      <c r="E2040" s="115" t="s">
        <v>3639</v>
      </c>
    </row>
    <row r="2041" spans="1:5" x14ac:dyDescent="0.2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25">
      <c r="B2042" s="115" t="s">
        <v>1388</v>
      </c>
      <c r="D2042" s="115" t="s">
        <v>3643</v>
      </c>
      <c r="E2042" s="115" t="s">
        <v>3644</v>
      </c>
    </row>
    <row r="2043" spans="1:5" x14ac:dyDescent="0.25">
      <c r="B2043" s="115" t="s">
        <v>1139</v>
      </c>
      <c r="D2043" s="115" t="s">
        <v>3645</v>
      </c>
      <c r="E2043" s="115" t="s">
        <v>3646</v>
      </c>
    </row>
    <row r="2044" spans="1:5" x14ac:dyDescent="0.25">
      <c r="B2044" s="115" t="s">
        <v>1139</v>
      </c>
      <c r="D2044" s="115" t="s">
        <v>3647</v>
      </c>
      <c r="E2044" s="115" t="s">
        <v>3648</v>
      </c>
    </row>
    <row r="2045" spans="1:5" x14ac:dyDescent="0.25">
      <c r="B2045" s="115" t="s">
        <v>3649</v>
      </c>
      <c r="D2045" s="115" t="s">
        <v>3650</v>
      </c>
      <c r="E2045" s="115" t="s">
        <v>2537</v>
      </c>
    </row>
    <row r="2046" spans="1:5" x14ac:dyDescent="0.25">
      <c r="B2046" s="115" t="s">
        <v>1139</v>
      </c>
      <c r="D2046" s="115" t="s">
        <v>3651</v>
      </c>
      <c r="E2046" s="115" t="s">
        <v>3652</v>
      </c>
    </row>
    <row r="2047" spans="1:5" x14ac:dyDescent="0.25">
      <c r="B2047" s="115" t="s">
        <v>1139</v>
      </c>
      <c r="D2047" s="115" t="s">
        <v>3653</v>
      </c>
      <c r="E2047" s="115" t="s">
        <v>3654</v>
      </c>
    </row>
    <row r="2048" spans="1:5" x14ac:dyDescent="0.25">
      <c r="B2048" s="115" t="s">
        <v>1139</v>
      </c>
      <c r="D2048" s="115" t="s">
        <v>3655</v>
      </c>
      <c r="E2048" s="115" t="s">
        <v>3656</v>
      </c>
    </row>
    <row r="2049" spans="1:5" x14ac:dyDescent="0.25">
      <c r="B2049" s="115" t="s">
        <v>1139</v>
      </c>
      <c r="D2049" s="115" t="s">
        <v>1140</v>
      </c>
      <c r="E2049" s="115" t="s">
        <v>3657</v>
      </c>
    </row>
    <row r="2050" spans="1:5" x14ac:dyDescent="0.25">
      <c r="B2050" s="115" t="s">
        <v>1139</v>
      </c>
      <c r="D2050" s="115" t="s">
        <v>3658</v>
      </c>
      <c r="E2050" s="115" t="s">
        <v>3659</v>
      </c>
    </row>
    <row r="2051" spans="1:5" x14ac:dyDescent="0.25">
      <c r="B2051" s="115" t="s">
        <v>1378</v>
      </c>
      <c r="D2051" s="115" t="s">
        <v>1140</v>
      </c>
      <c r="E2051" s="115" t="s">
        <v>2690</v>
      </c>
    </row>
    <row r="2052" spans="1:5" x14ac:dyDescent="0.25">
      <c r="B2052" s="115" t="s">
        <v>1660</v>
      </c>
      <c r="D2052" s="115" t="s">
        <v>1140</v>
      </c>
      <c r="E2052" s="115" t="s">
        <v>3660</v>
      </c>
    </row>
    <row r="2053" spans="1:5" x14ac:dyDescent="0.2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25">
      <c r="B2054" s="115" t="s">
        <v>1139</v>
      </c>
      <c r="D2054" s="115" t="s">
        <v>3663</v>
      </c>
      <c r="E2054" s="115" t="s">
        <v>3664</v>
      </c>
    </row>
    <row r="2055" spans="1:5" x14ac:dyDescent="0.25">
      <c r="B2055" s="115" t="s">
        <v>3665</v>
      </c>
      <c r="D2055" s="115" t="s">
        <v>1140</v>
      </c>
      <c r="E2055" s="115" t="s">
        <v>3666</v>
      </c>
    </row>
    <row r="2056" spans="1:5" x14ac:dyDescent="0.2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2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2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2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25">
      <c r="B2060" s="115" t="s">
        <v>3678</v>
      </c>
      <c r="D2060" s="115" t="s">
        <v>3679</v>
      </c>
      <c r="E2060" s="115" t="s">
        <v>3680</v>
      </c>
    </row>
    <row r="2061" spans="1:5" x14ac:dyDescent="0.25">
      <c r="B2061" s="115" t="s">
        <v>3681</v>
      </c>
      <c r="D2061" s="115" t="s">
        <v>1140</v>
      </c>
      <c r="E2061" s="115" t="s">
        <v>3682</v>
      </c>
    </row>
    <row r="2062" spans="1:5" x14ac:dyDescent="0.2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25">
      <c r="B2063" s="115" t="s">
        <v>3686</v>
      </c>
      <c r="D2063" s="115" t="s">
        <v>3687</v>
      </c>
      <c r="E2063" s="115" t="s">
        <v>3688</v>
      </c>
    </row>
    <row r="2064" spans="1:5" x14ac:dyDescent="0.25">
      <c r="B2064" s="115" t="s">
        <v>1139</v>
      </c>
      <c r="D2064" s="115" t="s">
        <v>1140</v>
      </c>
      <c r="E2064" s="115" t="s">
        <v>3689</v>
      </c>
    </row>
    <row r="2065" spans="1:5" x14ac:dyDescent="0.2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2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25">
      <c r="B2067" s="115" t="s">
        <v>1139</v>
      </c>
      <c r="D2067" s="115" t="s">
        <v>3694</v>
      </c>
      <c r="E2067" s="115" t="s">
        <v>1141</v>
      </c>
    </row>
    <row r="2068" spans="1:5" x14ac:dyDescent="0.25">
      <c r="B2068" s="115" t="s">
        <v>1139</v>
      </c>
      <c r="D2068" s="115" t="s">
        <v>3695</v>
      </c>
      <c r="E2068" s="115" t="s">
        <v>3696</v>
      </c>
    </row>
    <row r="2069" spans="1:5" x14ac:dyDescent="0.2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25">
      <c r="B2070" s="115" t="s">
        <v>1139</v>
      </c>
      <c r="D2070" s="115" t="s">
        <v>3699</v>
      </c>
      <c r="E2070" s="115" t="s">
        <v>1141</v>
      </c>
    </row>
    <row r="2071" spans="1:5" x14ac:dyDescent="0.25">
      <c r="B2071" s="115" t="s">
        <v>1139</v>
      </c>
      <c r="D2071" s="115" t="s">
        <v>3700</v>
      </c>
      <c r="E2071" s="115" t="s">
        <v>3701</v>
      </c>
    </row>
    <row r="2072" spans="1:5" x14ac:dyDescent="0.2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25">
      <c r="B2073" s="115" t="s">
        <v>3705</v>
      </c>
      <c r="D2073" s="115" t="s">
        <v>3706</v>
      </c>
      <c r="E2073" s="115" t="s">
        <v>1819</v>
      </c>
    </row>
    <row r="2074" spans="1:5" x14ac:dyDescent="0.2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2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2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2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2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25">
      <c r="B2079" s="115" t="s">
        <v>3720</v>
      </c>
      <c r="D2079" s="115" t="s">
        <v>3721</v>
      </c>
      <c r="E2079" s="115" t="s">
        <v>2537</v>
      </c>
    </row>
    <row r="2080" spans="1:5" x14ac:dyDescent="0.2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2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25">
      <c r="B2082" s="115" t="s">
        <v>3728</v>
      </c>
      <c r="D2082" s="115" t="s">
        <v>3729</v>
      </c>
      <c r="E2082" s="115" t="s">
        <v>1141</v>
      </c>
    </row>
    <row r="2083" spans="1:5" x14ac:dyDescent="0.2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2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25">
      <c r="B2085" s="115" t="s">
        <v>3735</v>
      </c>
      <c r="D2085" s="115" t="s">
        <v>3736</v>
      </c>
      <c r="E2085" s="115" t="s">
        <v>3737</v>
      </c>
    </row>
    <row r="2086" spans="1:5" x14ac:dyDescent="0.25">
      <c r="B2086" s="115" t="s">
        <v>1139</v>
      </c>
      <c r="D2086" s="115" t="s">
        <v>1140</v>
      </c>
      <c r="E2086" s="115" t="s">
        <v>3738</v>
      </c>
    </row>
    <row r="2087" spans="1:5" x14ac:dyDescent="0.25">
      <c r="B2087" s="115" t="s">
        <v>3739</v>
      </c>
      <c r="D2087" s="115" t="s">
        <v>3740</v>
      </c>
      <c r="E2087" s="115" t="s">
        <v>3741</v>
      </c>
    </row>
    <row r="2088" spans="1:5" x14ac:dyDescent="0.25">
      <c r="B2088" s="115" t="s">
        <v>1601</v>
      </c>
      <c r="D2088" s="115" t="s">
        <v>3742</v>
      </c>
      <c r="E2088" s="115" t="s">
        <v>1141</v>
      </c>
    </row>
    <row r="2089" spans="1:5" x14ac:dyDescent="0.25">
      <c r="B2089" s="115" t="s">
        <v>1629</v>
      </c>
      <c r="D2089" s="115" t="s">
        <v>1140</v>
      </c>
      <c r="E2089" s="115" t="s">
        <v>3743</v>
      </c>
    </row>
    <row r="2090" spans="1:5" x14ac:dyDescent="0.25">
      <c r="B2090" s="115" t="s">
        <v>3744</v>
      </c>
      <c r="D2090" s="115" t="s">
        <v>1140</v>
      </c>
      <c r="E2090" s="115" t="s">
        <v>3745</v>
      </c>
    </row>
    <row r="2091" spans="1:5" x14ac:dyDescent="0.25">
      <c r="B2091" s="115" t="s">
        <v>3746</v>
      </c>
      <c r="D2091" s="115" t="s">
        <v>3747</v>
      </c>
      <c r="E2091" s="115" t="s">
        <v>3748</v>
      </c>
    </row>
    <row r="2092" spans="1:5" x14ac:dyDescent="0.25">
      <c r="B2092" s="115" t="s">
        <v>1630</v>
      </c>
      <c r="D2092" s="115" t="s">
        <v>3749</v>
      </c>
      <c r="E2092" s="115" t="s">
        <v>3750</v>
      </c>
    </row>
    <row r="2093" spans="1:5" x14ac:dyDescent="0.2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2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2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2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2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2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25">
      <c r="B2099" s="115" t="s">
        <v>1195</v>
      </c>
      <c r="D2099" s="115" t="s">
        <v>3766</v>
      </c>
      <c r="E2099" s="115" t="s">
        <v>3767</v>
      </c>
    </row>
    <row r="2100" spans="1:5" x14ac:dyDescent="0.2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25">
      <c r="B2101" s="115" t="s">
        <v>1139</v>
      </c>
      <c r="D2101" s="115" t="s">
        <v>3770</v>
      </c>
      <c r="E2101" s="115" t="s">
        <v>3771</v>
      </c>
    </row>
    <row r="2102" spans="1:5" x14ac:dyDescent="0.25">
      <c r="B2102" s="115" t="s">
        <v>1139</v>
      </c>
      <c r="D2102" s="115" t="s">
        <v>3772</v>
      </c>
      <c r="E2102" s="115" t="s">
        <v>3773</v>
      </c>
    </row>
    <row r="2103" spans="1:5" x14ac:dyDescent="0.2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25">
      <c r="B2104" s="115" t="s">
        <v>1139</v>
      </c>
      <c r="D2104" s="115" t="s">
        <v>1140</v>
      </c>
      <c r="E2104" s="115" t="s">
        <v>1141</v>
      </c>
    </row>
    <row r="2105" spans="1:5" x14ac:dyDescent="0.25">
      <c r="B2105" s="115" t="s">
        <v>1139</v>
      </c>
      <c r="D2105" s="115" t="s">
        <v>1140</v>
      </c>
      <c r="E2105" s="115" t="s">
        <v>1141</v>
      </c>
    </row>
    <row r="2106" spans="1:5" x14ac:dyDescent="0.25">
      <c r="B2106" s="115" t="s">
        <v>1139</v>
      </c>
      <c r="D2106" s="115" t="s">
        <v>1140</v>
      </c>
      <c r="E2106" s="115" t="s">
        <v>1141</v>
      </c>
    </row>
    <row r="2107" spans="1:5" x14ac:dyDescent="0.25">
      <c r="B2107" s="115" t="s">
        <v>1139</v>
      </c>
      <c r="D2107" s="115" t="s">
        <v>1140</v>
      </c>
      <c r="E2107" s="115" t="s">
        <v>1141</v>
      </c>
    </row>
    <row r="2108" spans="1:5" x14ac:dyDescent="0.25">
      <c r="B2108" s="115" t="s">
        <v>1139</v>
      </c>
      <c r="D2108" s="115" t="s">
        <v>1140</v>
      </c>
      <c r="E2108" s="115" t="s">
        <v>1141</v>
      </c>
    </row>
    <row r="2109" spans="1:5" x14ac:dyDescent="0.25">
      <c r="B2109" s="115" t="s">
        <v>1139</v>
      </c>
      <c r="D2109" s="115" t="s">
        <v>1140</v>
      </c>
      <c r="E2109" s="115" t="s">
        <v>1141</v>
      </c>
    </row>
    <row r="2110" spans="1:5" x14ac:dyDescent="0.25">
      <c r="B2110" s="115" t="s">
        <v>1139</v>
      </c>
      <c r="D2110" s="115" t="s">
        <v>1140</v>
      </c>
      <c r="E2110" s="115" t="s">
        <v>1141</v>
      </c>
    </row>
    <row r="2111" spans="1:5" x14ac:dyDescent="0.25">
      <c r="B2111" s="115" t="s">
        <v>1139</v>
      </c>
      <c r="D2111" s="115" t="s">
        <v>1140</v>
      </c>
      <c r="E2111" s="115" t="s">
        <v>1141</v>
      </c>
    </row>
    <row r="2112" spans="1:5" x14ac:dyDescent="0.25">
      <c r="B2112" s="115" t="s">
        <v>1139</v>
      </c>
      <c r="D2112" s="115" t="s">
        <v>1140</v>
      </c>
      <c r="E2112" s="115" t="s">
        <v>1141</v>
      </c>
    </row>
    <row r="2113" spans="2:5" x14ac:dyDescent="0.25">
      <c r="B2113" s="115" t="s">
        <v>1139</v>
      </c>
      <c r="D2113" s="115" t="s">
        <v>1140</v>
      </c>
      <c r="E2113" s="115" t="s">
        <v>1141</v>
      </c>
    </row>
    <row r="2114" spans="2:5" x14ac:dyDescent="0.25">
      <c r="B2114" s="115" t="s">
        <v>1139</v>
      </c>
      <c r="D2114" s="115" t="s">
        <v>1140</v>
      </c>
      <c r="E2114" s="115" t="s">
        <v>1141</v>
      </c>
    </row>
    <row r="2115" spans="2:5" x14ac:dyDescent="0.25">
      <c r="B2115" s="115" t="s">
        <v>1139</v>
      </c>
      <c r="D2115" s="115" t="s">
        <v>1140</v>
      </c>
      <c r="E2115" s="115" t="s">
        <v>1141</v>
      </c>
    </row>
    <row r="2116" spans="2:5" x14ac:dyDescent="0.25">
      <c r="B2116" s="115" t="s">
        <v>1139</v>
      </c>
      <c r="D2116" s="115" t="s">
        <v>1140</v>
      </c>
      <c r="E2116" s="115" t="s">
        <v>1141</v>
      </c>
    </row>
    <row r="2117" spans="2:5" x14ac:dyDescent="0.25">
      <c r="B2117" s="115" t="s">
        <v>1139</v>
      </c>
      <c r="D2117" s="115" t="s">
        <v>1140</v>
      </c>
      <c r="E2117" s="115" t="s">
        <v>1141</v>
      </c>
    </row>
    <row r="2118" spans="2:5" x14ac:dyDescent="0.25">
      <c r="B2118" s="115" t="s">
        <v>1139</v>
      </c>
      <c r="D2118" s="115" t="s">
        <v>1140</v>
      </c>
      <c r="E2118" s="115" t="s">
        <v>1141</v>
      </c>
    </row>
    <row r="2119" spans="2:5" x14ac:dyDescent="0.25">
      <c r="B2119" s="115" t="s">
        <v>1139</v>
      </c>
      <c r="D2119" s="115" t="s">
        <v>1140</v>
      </c>
      <c r="E2119" s="115" t="s">
        <v>1141</v>
      </c>
    </row>
    <row r="2120" spans="2:5" x14ac:dyDescent="0.25">
      <c r="B2120" s="115" t="s">
        <v>1139</v>
      </c>
      <c r="D2120" s="115" t="s">
        <v>1140</v>
      </c>
      <c r="E2120" s="115" t="s">
        <v>1141</v>
      </c>
    </row>
    <row r="2121" spans="2:5" x14ac:dyDescent="0.25">
      <c r="B2121" s="115" t="s">
        <v>1139</v>
      </c>
      <c r="D2121" s="115" t="s">
        <v>1140</v>
      </c>
      <c r="E2121" s="115" t="s">
        <v>1141</v>
      </c>
    </row>
    <row r="2122" spans="2:5" x14ac:dyDescent="0.25">
      <c r="B2122" s="115" t="s">
        <v>1139</v>
      </c>
      <c r="D2122" s="115" t="s">
        <v>1140</v>
      </c>
      <c r="E2122" s="115" t="s">
        <v>1141</v>
      </c>
    </row>
    <row r="2123" spans="2:5" x14ac:dyDescent="0.25">
      <c r="B2123" s="115" t="s">
        <v>1139</v>
      </c>
      <c r="D2123" s="115" t="s">
        <v>1140</v>
      </c>
      <c r="E2123" s="115" t="s">
        <v>1141</v>
      </c>
    </row>
    <row r="2124" spans="2:5" x14ac:dyDescent="0.25">
      <c r="B2124" s="115" t="s">
        <v>1139</v>
      </c>
      <c r="D2124" s="115" t="s">
        <v>1140</v>
      </c>
      <c r="E2124" s="115" t="s">
        <v>1141</v>
      </c>
    </row>
    <row r="2125" spans="2:5" x14ac:dyDescent="0.25">
      <c r="B2125" s="115" t="s">
        <v>1139</v>
      </c>
      <c r="D2125" s="115" t="s">
        <v>1140</v>
      </c>
      <c r="E2125" s="115" t="s">
        <v>1141</v>
      </c>
    </row>
    <row r="2126" spans="2:5" x14ac:dyDescent="0.25">
      <c r="B2126" s="115" t="s">
        <v>1139</v>
      </c>
      <c r="D2126" s="115" t="s">
        <v>1140</v>
      </c>
      <c r="E2126" s="115" t="s">
        <v>1141</v>
      </c>
    </row>
    <row r="2127" spans="2:5" x14ac:dyDescent="0.25">
      <c r="B2127" s="115" t="s">
        <v>1139</v>
      </c>
      <c r="D2127" s="115" t="s">
        <v>1140</v>
      </c>
      <c r="E2127" s="115" t="s">
        <v>1141</v>
      </c>
    </row>
    <row r="2128" spans="2:5" x14ac:dyDescent="0.25">
      <c r="B2128" s="115" t="s">
        <v>1139</v>
      </c>
      <c r="D2128" s="115" t="s">
        <v>1140</v>
      </c>
      <c r="E2128" s="115" t="s">
        <v>1141</v>
      </c>
    </row>
    <row r="2129" spans="2:5" x14ac:dyDescent="0.25">
      <c r="B2129" s="115" t="s">
        <v>1139</v>
      </c>
      <c r="D2129" s="115" t="s">
        <v>1140</v>
      </c>
      <c r="E2129" s="115" t="s">
        <v>1141</v>
      </c>
    </row>
    <row r="2130" spans="2:5" x14ac:dyDescent="0.25">
      <c r="B2130" s="115" t="s">
        <v>1139</v>
      </c>
      <c r="D2130" s="115" t="s">
        <v>1140</v>
      </c>
      <c r="E2130" s="115" t="s">
        <v>1141</v>
      </c>
    </row>
    <row r="2131" spans="2:5" x14ac:dyDescent="0.25">
      <c r="B2131" s="115" t="s">
        <v>1139</v>
      </c>
      <c r="D2131" s="115" t="s">
        <v>1140</v>
      </c>
      <c r="E2131" s="115" t="s">
        <v>1141</v>
      </c>
    </row>
    <row r="2132" spans="2:5" x14ac:dyDescent="0.25">
      <c r="B2132" s="115" t="s">
        <v>1139</v>
      </c>
      <c r="D2132" s="115" t="s">
        <v>1140</v>
      </c>
      <c r="E2132" s="115" t="s">
        <v>1141</v>
      </c>
    </row>
    <row r="2133" spans="2:5" x14ac:dyDescent="0.25">
      <c r="B2133" s="115" t="s">
        <v>1139</v>
      </c>
      <c r="D2133" s="115" t="s">
        <v>1140</v>
      </c>
      <c r="E2133" s="115" t="s">
        <v>1141</v>
      </c>
    </row>
    <row r="2134" spans="2:5" x14ac:dyDescent="0.25">
      <c r="B2134" s="115" t="s">
        <v>1139</v>
      </c>
      <c r="D2134" s="115" t="s">
        <v>1140</v>
      </c>
      <c r="E2134" s="115" t="s">
        <v>1141</v>
      </c>
    </row>
    <row r="2135" spans="2:5" x14ac:dyDescent="0.25">
      <c r="B2135" s="115" t="s">
        <v>1139</v>
      </c>
      <c r="D2135" s="115" t="s">
        <v>1140</v>
      </c>
      <c r="E2135" s="115" t="s">
        <v>1141</v>
      </c>
    </row>
    <row r="2136" spans="2:5" x14ac:dyDescent="0.25">
      <c r="B2136" s="115" t="s">
        <v>1139</v>
      </c>
      <c r="D2136" s="115" t="s">
        <v>1140</v>
      </c>
      <c r="E2136" s="115" t="s">
        <v>1141</v>
      </c>
    </row>
    <row r="2137" spans="2:5" x14ac:dyDescent="0.25">
      <c r="B2137" s="115" t="s">
        <v>1139</v>
      </c>
      <c r="D2137" s="115" t="s">
        <v>1140</v>
      </c>
      <c r="E2137" s="115" t="s">
        <v>1141</v>
      </c>
    </row>
    <row r="2138" spans="2:5" x14ac:dyDescent="0.25">
      <c r="B2138" s="115" t="s">
        <v>1139</v>
      </c>
      <c r="D2138" s="115" t="s">
        <v>1140</v>
      </c>
      <c r="E2138" s="115" t="s">
        <v>1141</v>
      </c>
    </row>
    <row r="2139" spans="2:5" x14ac:dyDescent="0.25">
      <c r="B2139" s="115" t="s">
        <v>1139</v>
      </c>
      <c r="D2139" s="115" t="s">
        <v>1140</v>
      </c>
      <c r="E2139" s="115" t="s">
        <v>1141</v>
      </c>
    </row>
    <row r="2140" spans="2:5" x14ac:dyDescent="0.25">
      <c r="B2140" s="115" t="s">
        <v>1139</v>
      </c>
      <c r="D2140" s="115" t="s">
        <v>1140</v>
      </c>
      <c r="E2140" s="115" t="s">
        <v>1141</v>
      </c>
    </row>
    <row r="2141" spans="2:5" x14ac:dyDescent="0.25">
      <c r="B2141" s="115" t="s">
        <v>1139</v>
      </c>
      <c r="D2141" s="115" t="s">
        <v>1140</v>
      </c>
      <c r="E2141" s="115" t="s">
        <v>1141</v>
      </c>
    </row>
    <row r="2142" spans="2:5" x14ac:dyDescent="0.25">
      <c r="B2142" s="115" t="s">
        <v>1139</v>
      </c>
      <c r="D2142" s="115" t="s">
        <v>1140</v>
      </c>
      <c r="E2142" s="115" t="s">
        <v>1141</v>
      </c>
    </row>
    <row r="2143" spans="2:5" x14ac:dyDescent="0.25">
      <c r="B2143" s="115" t="s">
        <v>1139</v>
      </c>
      <c r="D2143" s="115" t="s">
        <v>1140</v>
      </c>
      <c r="E2143" s="115" t="s">
        <v>1141</v>
      </c>
    </row>
    <row r="2144" spans="2:5" x14ac:dyDescent="0.25">
      <c r="B2144" s="115" t="s">
        <v>1139</v>
      </c>
      <c r="D2144" s="115" t="s">
        <v>1140</v>
      </c>
      <c r="E2144" s="115" t="s">
        <v>1141</v>
      </c>
    </row>
    <row r="2145" spans="2:5" x14ac:dyDescent="0.25">
      <c r="B2145" s="115" t="s">
        <v>1139</v>
      </c>
      <c r="D2145" s="115" t="s">
        <v>1140</v>
      </c>
      <c r="E2145" s="115" t="s">
        <v>1141</v>
      </c>
    </row>
    <row r="2146" spans="2:5" x14ac:dyDescent="0.25">
      <c r="B2146" s="115" t="s">
        <v>1139</v>
      </c>
      <c r="D2146" s="115" t="s">
        <v>1140</v>
      </c>
      <c r="E2146" s="115" t="s">
        <v>1141</v>
      </c>
    </row>
    <row r="2147" spans="2:5" x14ac:dyDescent="0.25">
      <c r="B2147" s="115" t="s">
        <v>1139</v>
      </c>
      <c r="D2147" s="115" t="s">
        <v>1140</v>
      </c>
      <c r="E2147" s="115" t="s">
        <v>1141</v>
      </c>
    </row>
    <row r="2148" spans="2:5" x14ac:dyDescent="0.25">
      <c r="B2148" s="115" t="s">
        <v>1139</v>
      </c>
      <c r="D2148" s="115" t="s">
        <v>1140</v>
      </c>
      <c r="E2148" s="115" t="s">
        <v>1141</v>
      </c>
    </row>
    <row r="2149" spans="2:5" x14ac:dyDescent="0.25">
      <c r="B2149" s="115" t="s">
        <v>1139</v>
      </c>
      <c r="D2149" s="115" t="s">
        <v>1140</v>
      </c>
      <c r="E2149" s="115" t="s">
        <v>1141</v>
      </c>
    </row>
    <row r="2150" spans="2:5" x14ac:dyDescent="0.25">
      <c r="B2150" s="115" t="s">
        <v>1139</v>
      </c>
      <c r="D2150" s="115" t="s">
        <v>1140</v>
      </c>
      <c r="E2150" s="115" t="s">
        <v>1141</v>
      </c>
    </row>
    <row r="2151" spans="2:5" x14ac:dyDescent="0.25">
      <c r="B2151" s="115" t="s">
        <v>1139</v>
      </c>
      <c r="D2151" s="115" t="s">
        <v>1140</v>
      </c>
      <c r="E2151" s="115" t="s">
        <v>1141</v>
      </c>
    </row>
    <row r="2152" spans="2:5" x14ac:dyDescent="0.25">
      <c r="B2152" s="115" t="s">
        <v>1139</v>
      </c>
      <c r="D2152" s="115" t="s">
        <v>1140</v>
      </c>
      <c r="E2152" s="115" t="s">
        <v>1141</v>
      </c>
    </row>
    <row r="2153" spans="2:5" x14ac:dyDescent="0.25">
      <c r="B2153" s="115" t="s">
        <v>1139</v>
      </c>
      <c r="D2153" s="115" t="s">
        <v>1140</v>
      </c>
      <c r="E2153" s="115" t="s">
        <v>1141</v>
      </c>
    </row>
    <row r="2154" spans="2:5" x14ac:dyDescent="0.25">
      <c r="B2154" s="115" t="s">
        <v>1139</v>
      </c>
      <c r="D2154" s="115" t="s">
        <v>1140</v>
      </c>
      <c r="E2154" s="115" t="s">
        <v>1141</v>
      </c>
    </row>
    <row r="2155" spans="2:5" x14ac:dyDescent="0.25">
      <c r="B2155" s="115" t="s">
        <v>1139</v>
      </c>
      <c r="D2155" s="115" t="s">
        <v>1140</v>
      </c>
      <c r="E2155" s="115" t="s">
        <v>1141</v>
      </c>
    </row>
    <row r="2156" spans="2:5" x14ac:dyDescent="0.25">
      <c r="B2156" s="115" t="s">
        <v>1139</v>
      </c>
      <c r="D2156" s="115" t="s">
        <v>1140</v>
      </c>
      <c r="E2156" s="115" t="s">
        <v>1141</v>
      </c>
    </row>
    <row r="2157" spans="2:5" x14ac:dyDescent="0.25">
      <c r="B2157" s="115" t="s">
        <v>1139</v>
      </c>
      <c r="D2157" s="115" t="s">
        <v>1140</v>
      </c>
      <c r="E2157" s="115" t="s">
        <v>1141</v>
      </c>
    </row>
    <row r="2158" spans="2:5" x14ac:dyDescent="0.25">
      <c r="B2158" s="115" t="s">
        <v>1139</v>
      </c>
      <c r="D2158" s="115" t="s">
        <v>1140</v>
      </c>
      <c r="E2158" s="115" t="s">
        <v>1141</v>
      </c>
    </row>
    <row r="2159" spans="2:5" x14ac:dyDescent="0.25">
      <c r="B2159" s="115" t="s">
        <v>1139</v>
      </c>
      <c r="D2159" s="115" t="s">
        <v>3775</v>
      </c>
      <c r="E2159" s="115" t="s">
        <v>3776</v>
      </c>
    </row>
    <row r="2160" spans="2:5" x14ac:dyDescent="0.25">
      <c r="B2160" s="115" t="s">
        <v>1526</v>
      </c>
      <c r="D2160" s="115" t="s">
        <v>1268</v>
      </c>
      <c r="E2160" s="115" t="s">
        <v>3777</v>
      </c>
    </row>
    <row r="2161" spans="1:5" x14ac:dyDescent="0.25">
      <c r="B2161" s="115" t="s">
        <v>1139</v>
      </c>
      <c r="D2161" s="115" t="s">
        <v>1140</v>
      </c>
      <c r="E2161" s="115" t="s">
        <v>3778</v>
      </c>
    </row>
    <row r="2162" spans="1:5" x14ac:dyDescent="0.25">
      <c r="B2162" s="115" t="s">
        <v>1589</v>
      </c>
      <c r="D2162" s="115" t="s">
        <v>3779</v>
      </c>
      <c r="E2162" s="115" t="s">
        <v>3780</v>
      </c>
    </row>
    <row r="2163" spans="1:5" x14ac:dyDescent="0.25">
      <c r="B2163" s="115" t="s">
        <v>1343</v>
      </c>
      <c r="D2163" s="115" t="s">
        <v>3781</v>
      </c>
      <c r="E2163" s="115" t="s">
        <v>1141</v>
      </c>
    </row>
    <row r="2164" spans="1:5" x14ac:dyDescent="0.25">
      <c r="B2164" s="115" t="s">
        <v>1630</v>
      </c>
      <c r="D2164" s="115" t="s">
        <v>1140</v>
      </c>
      <c r="E2164" s="115" t="s">
        <v>3782</v>
      </c>
    </row>
    <row r="2165" spans="1:5" x14ac:dyDescent="0.25">
      <c r="B2165" s="115" t="s">
        <v>3783</v>
      </c>
      <c r="D2165" s="115" t="s">
        <v>1140</v>
      </c>
      <c r="E2165" s="115" t="s">
        <v>3784</v>
      </c>
    </row>
    <row r="2166" spans="1:5" x14ac:dyDescent="0.25">
      <c r="B2166" s="115" t="s">
        <v>3785</v>
      </c>
      <c r="D2166" s="115" t="s">
        <v>3786</v>
      </c>
      <c r="E2166" s="115" t="s">
        <v>3787</v>
      </c>
    </row>
    <row r="2167" spans="1:5" x14ac:dyDescent="0.2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2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2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2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25">
      <c r="B2171" s="115" t="s">
        <v>3798</v>
      </c>
      <c r="D2171" s="115" t="s">
        <v>3799</v>
      </c>
      <c r="E2171" s="115" t="s">
        <v>3800</v>
      </c>
    </row>
    <row r="2172" spans="1:5" x14ac:dyDescent="0.2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2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25">
      <c r="B2174" s="115" t="s">
        <v>1646</v>
      </c>
      <c r="D2174" s="115" t="s">
        <v>3805</v>
      </c>
      <c r="E2174" s="115" t="s">
        <v>3806</v>
      </c>
    </row>
    <row r="2175" spans="1:5" x14ac:dyDescent="0.2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25">
      <c r="B2176" s="115" t="s">
        <v>1139</v>
      </c>
      <c r="D2176" s="115" t="s">
        <v>3810</v>
      </c>
      <c r="E2176" s="115" t="s">
        <v>3811</v>
      </c>
    </row>
    <row r="2177" spans="1:5" x14ac:dyDescent="0.25">
      <c r="B2177" s="115" t="s">
        <v>1139</v>
      </c>
      <c r="D2177" s="115" t="s">
        <v>3812</v>
      </c>
      <c r="E2177" s="115" t="s">
        <v>3813</v>
      </c>
    </row>
    <row r="2178" spans="1:5" x14ac:dyDescent="0.2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25">
      <c r="B2179" s="115" t="s">
        <v>1139</v>
      </c>
      <c r="D2179" s="115" t="s">
        <v>1140</v>
      </c>
      <c r="E2179" s="115" t="s">
        <v>1141</v>
      </c>
    </row>
    <row r="2180" spans="1:5" x14ac:dyDescent="0.25">
      <c r="B2180" s="115" t="s">
        <v>1139</v>
      </c>
      <c r="D2180" s="115" t="s">
        <v>1140</v>
      </c>
      <c r="E2180" s="115" t="s">
        <v>1141</v>
      </c>
    </row>
    <row r="2181" spans="1:5" x14ac:dyDescent="0.25">
      <c r="B2181" s="115" t="s">
        <v>1139</v>
      </c>
      <c r="D2181" s="115" t="s">
        <v>1140</v>
      </c>
      <c r="E2181" s="115" t="s">
        <v>1141</v>
      </c>
    </row>
    <row r="2182" spans="1:5" x14ac:dyDescent="0.25">
      <c r="B2182" s="115" t="s">
        <v>1139</v>
      </c>
      <c r="D2182" s="115" t="s">
        <v>1140</v>
      </c>
      <c r="E2182" s="115" t="s">
        <v>1141</v>
      </c>
    </row>
    <row r="2183" spans="1:5" x14ac:dyDescent="0.25">
      <c r="B2183" s="115" t="s">
        <v>1139</v>
      </c>
      <c r="D2183" s="115" t="s">
        <v>1140</v>
      </c>
      <c r="E2183" s="115" t="s">
        <v>1141</v>
      </c>
    </row>
    <row r="2184" spans="1:5" x14ac:dyDescent="0.25">
      <c r="B2184" s="115" t="s">
        <v>1139</v>
      </c>
      <c r="D2184" s="115" t="s">
        <v>1140</v>
      </c>
      <c r="E2184" s="115" t="s">
        <v>1141</v>
      </c>
    </row>
    <row r="2185" spans="1:5" x14ac:dyDescent="0.25">
      <c r="B2185" s="115" t="s">
        <v>1139</v>
      </c>
      <c r="D2185" s="115" t="s">
        <v>1140</v>
      </c>
      <c r="E2185" s="115" t="s">
        <v>1141</v>
      </c>
    </row>
    <row r="2186" spans="1:5" x14ac:dyDescent="0.25">
      <c r="B2186" s="115" t="s">
        <v>1139</v>
      </c>
      <c r="D2186" s="115" t="s">
        <v>1140</v>
      </c>
      <c r="E2186" s="115" t="s">
        <v>1141</v>
      </c>
    </row>
    <row r="2187" spans="1:5" x14ac:dyDescent="0.25">
      <c r="B2187" s="115" t="s">
        <v>1139</v>
      </c>
      <c r="D2187" s="115" t="s">
        <v>1140</v>
      </c>
      <c r="E2187" s="115" t="s">
        <v>1141</v>
      </c>
    </row>
    <row r="2188" spans="1:5" x14ac:dyDescent="0.25">
      <c r="B2188" s="115" t="s">
        <v>1139</v>
      </c>
      <c r="D2188" s="115" t="s">
        <v>1140</v>
      </c>
      <c r="E2188" s="115" t="s">
        <v>1141</v>
      </c>
    </row>
    <row r="2189" spans="1:5" x14ac:dyDescent="0.25">
      <c r="B2189" s="115" t="s">
        <v>1139</v>
      </c>
      <c r="D2189" s="115" t="s">
        <v>1140</v>
      </c>
      <c r="E2189" s="115" t="s">
        <v>1141</v>
      </c>
    </row>
    <row r="2190" spans="1:5" x14ac:dyDescent="0.25">
      <c r="B2190" s="115" t="s">
        <v>1139</v>
      </c>
      <c r="D2190" s="115" t="s">
        <v>1140</v>
      </c>
      <c r="E2190" s="115" t="s">
        <v>1141</v>
      </c>
    </row>
    <row r="2191" spans="1:5" x14ac:dyDescent="0.25">
      <c r="B2191" s="115" t="s">
        <v>1139</v>
      </c>
      <c r="D2191" s="115" t="s">
        <v>1140</v>
      </c>
      <c r="E2191" s="115" t="s">
        <v>1141</v>
      </c>
    </row>
    <row r="2192" spans="1:5" x14ac:dyDescent="0.25">
      <c r="B2192" s="115" t="s">
        <v>1139</v>
      </c>
      <c r="D2192" s="115" t="s">
        <v>1140</v>
      </c>
      <c r="E2192" s="115" t="s">
        <v>1141</v>
      </c>
    </row>
    <row r="2193" spans="1:5" x14ac:dyDescent="0.25">
      <c r="B2193" s="115" t="s">
        <v>1139</v>
      </c>
      <c r="D2193" s="115" t="s">
        <v>1140</v>
      </c>
      <c r="E2193" s="115" t="s">
        <v>1141</v>
      </c>
    </row>
    <row r="2194" spans="1:5" x14ac:dyDescent="0.25">
      <c r="B2194" s="115" t="s">
        <v>1139</v>
      </c>
      <c r="D2194" s="115" t="s">
        <v>1140</v>
      </c>
      <c r="E2194" s="115" t="s">
        <v>1141</v>
      </c>
    </row>
    <row r="2195" spans="1:5" x14ac:dyDescent="0.25">
      <c r="B2195" s="115" t="s">
        <v>1139</v>
      </c>
      <c r="D2195" s="115" t="s">
        <v>1140</v>
      </c>
      <c r="E2195" s="115" t="s">
        <v>1141</v>
      </c>
    </row>
    <row r="2196" spans="1:5" x14ac:dyDescent="0.25">
      <c r="B2196" s="115" t="s">
        <v>1139</v>
      </c>
      <c r="D2196" s="115" t="s">
        <v>1140</v>
      </c>
      <c r="E2196" s="115" t="s">
        <v>1141</v>
      </c>
    </row>
    <row r="2197" spans="1:5" x14ac:dyDescent="0.25">
      <c r="B2197" s="115" t="s">
        <v>1139</v>
      </c>
      <c r="D2197" s="115" t="s">
        <v>1140</v>
      </c>
      <c r="E2197" s="115" t="s">
        <v>3815</v>
      </c>
    </row>
    <row r="2198" spans="1:5" x14ac:dyDescent="0.25">
      <c r="B2198" s="115" t="s">
        <v>1139</v>
      </c>
      <c r="D2198" s="115" t="s">
        <v>3816</v>
      </c>
      <c r="E2198" s="115" t="s">
        <v>3817</v>
      </c>
    </row>
    <row r="2199" spans="1:5" x14ac:dyDescent="0.25">
      <c r="B2199" s="115" t="s">
        <v>1139</v>
      </c>
      <c r="D2199" s="115" t="s">
        <v>1140</v>
      </c>
      <c r="E2199" s="115" t="s">
        <v>3818</v>
      </c>
    </row>
    <row r="2200" spans="1:5" x14ac:dyDescent="0.25">
      <c r="B2200" s="115" t="s">
        <v>1139</v>
      </c>
      <c r="D2200" s="115" t="s">
        <v>3819</v>
      </c>
      <c r="E2200" s="115" t="s">
        <v>3820</v>
      </c>
    </row>
    <row r="2201" spans="1:5" x14ac:dyDescent="0.25">
      <c r="B2201" s="115" t="s">
        <v>3821</v>
      </c>
      <c r="D2201" s="115" t="s">
        <v>3822</v>
      </c>
      <c r="E2201" s="115" t="s">
        <v>2690</v>
      </c>
    </row>
    <row r="2202" spans="1:5" x14ac:dyDescent="0.25">
      <c r="B2202" s="115" t="s">
        <v>2497</v>
      </c>
      <c r="D2202" s="115" t="s">
        <v>1140</v>
      </c>
      <c r="E2202" s="115" t="s">
        <v>3823</v>
      </c>
    </row>
    <row r="2203" spans="1:5" x14ac:dyDescent="0.2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25">
      <c r="B2204" s="115" t="s">
        <v>1139</v>
      </c>
      <c r="D2204" s="115" t="s">
        <v>3826</v>
      </c>
      <c r="E2204" s="115" t="s">
        <v>3827</v>
      </c>
    </row>
    <row r="2205" spans="1:5" x14ac:dyDescent="0.25">
      <c r="B2205" s="115" t="s">
        <v>3828</v>
      </c>
      <c r="D2205" s="115" t="s">
        <v>1140</v>
      </c>
      <c r="E2205" s="115" t="s">
        <v>3829</v>
      </c>
    </row>
    <row r="2206" spans="1:5" x14ac:dyDescent="0.2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25">
      <c r="B2207" s="115" t="s">
        <v>3833</v>
      </c>
      <c r="D2207" s="115" t="s">
        <v>3834</v>
      </c>
      <c r="E2207" s="115" t="s">
        <v>3835</v>
      </c>
    </row>
    <row r="2208" spans="1:5" x14ac:dyDescent="0.25">
      <c r="B2208" s="115">
        <f>-16   -240</f>
        <v>-256</v>
      </c>
      <c r="D2208" s="115" t="s">
        <v>1140</v>
      </c>
      <c r="E2208" s="115" t="s">
        <v>3836</v>
      </c>
    </row>
    <row r="2209" spans="1:5" x14ac:dyDescent="0.2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2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2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2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25">
      <c r="B2213" s="115" t="s">
        <v>3847</v>
      </c>
      <c r="D2213" s="115" t="s">
        <v>1243</v>
      </c>
      <c r="E2213" s="115" t="s">
        <v>3848</v>
      </c>
    </row>
    <row r="2214" spans="1:5" x14ac:dyDescent="0.25">
      <c r="B2214" s="115" t="s">
        <v>1139</v>
      </c>
      <c r="D2214" s="115" t="s">
        <v>1140</v>
      </c>
      <c r="E2214" s="115" t="s">
        <v>3849</v>
      </c>
    </row>
    <row r="2215" spans="1:5" x14ac:dyDescent="0.2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2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25">
      <c r="B2217" s="115" t="s">
        <v>1139</v>
      </c>
      <c r="D2217" s="115" t="s">
        <v>1140</v>
      </c>
      <c r="E2217" s="115" t="s">
        <v>1141</v>
      </c>
    </row>
    <row r="2218" spans="1:5" x14ac:dyDescent="0.25">
      <c r="B2218" s="115" t="s">
        <v>1139</v>
      </c>
      <c r="D2218" s="115" t="s">
        <v>1140</v>
      </c>
      <c r="E2218" s="115" t="s">
        <v>1141</v>
      </c>
    </row>
    <row r="2219" spans="1:5" x14ac:dyDescent="0.25">
      <c r="B2219" s="115" t="s">
        <v>1139</v>
      </c>
      <c r="D2219" s="115" t="s">
        <v>1140</v>
      </c>
      <c r="E2219" s="115" t="s">
        <v>1141</v>
      </c>
    </row>
    <row r="2220" spans="1:5" x14ac:dyDescent="0.25">
      <c r="B2220" s="115" t="s">
        <v>1139</v>
      </c>
      <c r="D2220" s="115" t="s">
        <v>1140</v>
      </c>
      <c r="E2220" s="115" t="s">
        <v>1141</v>
      </c>
    </row>
    <row r="2221" spans="1:5" x14ac:dyDescent="0.25">
      <c r="B2221" s="115" t="s">
        <v>1139</v>
      </c>
      <c r="D2221" s="115" t="s">
        <v>1140</v>
      </c>
      <c r="E2221" s="115" t="s">
        <v>1141</v>
      </c>
    </row>
    <row r="2222" spans="1:5" x14ac:dyDescent="0.25">
      <c r="B2222" s="115" t="s">
        <v>1139</v>
      </c>
      <c r="D2222" s="115" t="s">
        <v>1140</v>
      </c>
      <c r="E2222" s="115" t="s">
        <v>1141</v>
      </c>
    </row>
    <row r="2223" spans="1:5" x14ac:dyDescent="0.25">
      <c r="B2223" s="115" t="s">
        <v>1139</v>
      </c>
      <c r="D2223" s="115" t="s">
        <v>1140</v>
      </c>
      <c r="E2223" s="115" t="s">
        <v>1141</v>
      </c>
    </row>
    <row r="2224" spans="1:5" x14ac:dyDescent="0.25">
      <c r="B2224" s="115" t="s">
        <v>1139</v>
      </c>
      <c r="D2224" s="115" t="s">
        <v>1140</v>
      </c>
      <c r="E2224" s="115" t="s">
        <v>1141</v>
      </c>
    </row>
    <row r="2225" spans="2:5" x14ac:dyDescent="0.25">
      <c r="B2225" s="115" t="s">
        <v>1139</v>
      </c>
      <c r="D2225" s="115" t="s">
        <v>1140</v>
      </c>
      <c r="E2225" s="115" t="s">
        <v>1141</v>
      </c>
    </row>
    <row r="2226" spans="2:5" x14ac:dyDescent="0.25">
      <c r="B2226" s="115" t="s">
        <v>1139</v>
      </c>
      <c r="D2226" s="115" t="s">
        <v>1140</v>
      </c>
      <c r="E2226" s="115" t="s">
        <v>1141</v>
      </c>
    </row>
    <row r="2227" spans="2:5" x14ac:dyDescent="0.25">
      <c r="B2227" s="115" t="s">
        <v>1139</v>
      </c>
      <c r="D2227" s="115" t="s">
        <v>1140</v>
      </c>
      <c r="E2227" s="115" t="s">
        <v>1141</v>
      </c>
    </row>
    <row r="2228" spans="2:5" x14ac:dyDescent="0.25">
      <c r="B2228" s="115" t="s">
        <v>1139</v>
      </c>
      <c r="D2228" s="115" t="s">
        <v>1140</v>
      </c>
      <c r="E2228" s="115" t="s">
        <v>1141</v>
      </c>
    </row>
    <row r="2229" spans="2:5" x14ac:dyDescent="0.25">
      <c r="B2229" s="115" t="s">
        <v>1139</v>
      </c>
      <c r="D2229" s="115" t="s">
        <v>1140</v>
      </c>
      <c r="E2229" s="115" t="s">
        <v>1141</v>
      </c>
    </row>
    <row r="2230" spans="2:5" x14ac:dyDescent="0.25">
      <c r="B2230" s="115" t="s">
        <v>1139</v>
      </c>
      <c r="D2230" s="115" t="s">
        <v>1140</v>
      </c>
      <c r="E2230" s="115" t="s">
        <v>1141</v>
      </c>
    </row>
    <row r="2231" spans="2:5" x14ac:dyDescent="0.25">
      <c r="B2231" s="115" t="s">
        <v>1139</v>
      </c>
      <c r="D2231" s="115" t="s">
        <v>1140</v>
      </c>
      <c r="E2231" s="115" t="s">
        <v>1141</v>
      </c>
    </row>
    <row r="2232" spans="2:5" x14ac:dyDescent="0.25">
      <c r="B2232" s="115" t="s">
        <v>1139</v>
      </c>
      <c r="D2232" s="115" t="s">
        <v>1140</v>
      </c>
      <c r="E2232" s="115" t="s">
        <v>1141</v>
      </c>
    </row>
    <row r="2233" spans="2:5" x14ac:dyDescent="0.25">
      <c r="B2233" s="115" t="s">
        <v>1139</v>
      </c>
      <c r="D2233" s="115" t="s">
        <v>1140</v>
      </c>
      <c r="E2233" s="115" t="s">
        <v>1141</v>
      </c>
    </row>
    <row r="2234" spans="2:5" x14ac:dyDescent="0.25">
      <c r="B2234" s="115" t="s">
        <v>1139</v>
      </c>
      <c r="D2234" s="115" t="s">
        <v>1140</v>
      </c>
      <c r="E2234" s="115" t="s">
        <v>1141</v>
      </c>
    </row>
    <row r="2235" spans="2:5" x14ac:dyDescent="0.25">
      <c r="B2235" s="115" t="s">
        <v>1139</v>
      </c>
      <c r="D2235" s="115" t="s">
        <v>1140</v>
      </c>
      <c r="E2235" s="115" t="s">
        <v>1141</v>
      </c>
    </row>
    <row r="2236" spans="2:5" x14ac:dyDescent="0.25">
      <c r="B2236" s="115" t="s">
        <v>1139</v>
      </c>
      <c r="D2236" s="115" t="s">
        <v>1140</v>
      </c>
      <c r="E2236" s="115" t="s">
        <v>1141</v>
      </c>
    </row>
    <row r="2237" spans="2:5" x14ac:dyDescent="0.25">
      <c r="B2237" s="115" t="s">
        <v>1139</v>
      </c>
      <c r="D2237" s="115" t="s">
        <v>1140</v>
      </c>
      <c r="E2237" s="115" t="s">
        <v>1141</v>
      </c>
    </row>
    <row r="2238" spans="2:5" x14ac:dyDescent="0.25">
      <c r="B2238" s="115" t="s">
        <v>1139</v>
      </c>
      <c r="D2238" s="115" t="s">
        <v>1140</v>
      </c>
      <c r="E2238" s="115" t="s">
        <v>1141</v>
      </c>
    </row>
    <row r="2239" spans="2:5" x14ac:dyDescent="0.25">
      <c r="B2239" s="115" t="s">
        <v>1139</v>
      </c>
      <c r="D2239" s="115" t="s">
        <v>1140</v>
      </c>
      <c r="E2239" s="115" t="s">
        <v>1141</v>
      </c>
    </row>
    <row r="2240" spans="2:5" x14ac:dyDescent="0.25">
      <c r="B2240" s="115" t="s">
        <v>1139</v>
      </c>
      <c r="D2240" s="115" t="s">
        <v>1140</v>
      </c>
      <c r="E2240" s="115" t="s">
        <v>1141</v>
      </c>
    </row>
    <row r="2241" spans="2:5" x14ac:dyDescent="0.25">
      <c r="B2241" s="115" t="s">
        <v>1139</v>
      </c>
      <c r="D2241" s="115" t="s">
        <v>1140</v>
      </c>
      <c r="E2241" s="115" t="s">
        <v>1141</v>
      </c>
    </row>
    <row r="2242" spans="2:5" x14ac:dyDescent="0.25">
      <c r="B2242" s="115" t="s">
        <v>1139</v>
      </c>
      <c r="D2242" s="115" t="s">
        <v>1140</v>
      </c>
      <c r="E2242" s="115" t="s">
        <v>1141</v>
      </c>
    </row>
    <row r="2243" spans="2:5" x14ac:dyDescent="0.25">
      <c r="B2243" s="115" t="s">
        <v>1139</v>
      </c>
      <c r="D2243" s="115" t="s">
        <v>1140</v>
      </c>
      <c r="E2243" s="115" t="s">
        <v>1141</v>
      </c>
    </row>
    <row r="2244" spans="2:5" x14ac:dyDescent="0.25">
      <c r="B2244" s="115" t="s">
        <v>1139</v>
      </c>
      <c r="D2244" s="115" t="s">
        <v>1140</v>
      </c>
      <c r="E2244" s="115" t="s">
        <v>1141</v>
      </c>
    </row>
    <row r="2245" spans="2:5" x14ac:dyDescent="0.25">
      <c r="B2245" s="115" t="s">
        <v>1139</v>
      </c>
      <c r="D2245" s="115" t="s">
        <v>1140</v>
      </c>
      <c r="E2245" s="115" t="s">
        <v>1141</v>
      </c>
    </row>
    <row r="2246" spans="2:5" x14ac:dyDescent="0.25">
      <c r="B2246" s="115" t="s">
        <v>1139</v>
      </c>
      <c r="D2246" s="115" t="s">
        <v>1140</v>
      </c>
      <c r="E2246" s="115" t="s">
        <v>1141</v>
      </c>
    </row>
    <row r="2247" spans="2:5" x14ac:dyDescent="0.25">
      <c r="B2247" s="115" t="s">
        <v>1139</v>
      </c>
      <c r="D2247" s="115" t="s">
        <v>1140</v>
      </c>
      <c r="E2247" s="115" t="s">
        <v>1141</v>
      </c>
    </row>
    <row r="2248" spans="2:5" x14ac:dyDescent="0.25">
      <c r="B2248" s="115" t="s">
        <v>1139</v>
      </c>
      <c r="D2248" s="115" t="s">
        <v>1140</v>
      </c>
      <c r="E2248" s="115" t="s">
        <v>1141</v>
      </c>
    </row>
    <row r="2249" spans="2:5" x14ac:dyDescent="0.25">
      <c r="B2249" s="115" t="s">
        <v>1139</v>
      </c>
      <c r="D2249" s="115" t="s">
        <v>1140</v>
      </c>
      <c r="E2249" s="115" t="s">
        <v>1141</v>
      </c>
    </row>
    <row r="2250" spans="2:5" x14ac:dyDescent="0.25">
      <c r="B2250" s="115" t="s">
        <v>1139</v>
      </c>
      <c r="D2250" s="115" t="s">
        <v>1140</v>
      </c>
      <c r="E2250" s="115" t="s">
        <v>1141</v>
      </c>
    </row>
    <row r="2251" spans="2:5" x14ac:dyDescent="0.25">
      <c r="B2251" s="115" t="s">
        <v>1139</v>
      </c>
      <c r="D2251" s="115" t="s">
        <v>1140</v>
      </c>
      <c r="E2251" s="115" t="s">
        <v>1141</v>
      </c>
    </row>
    <row r="2252" spans="2:5" x14ac:dyDescent="0.25">
      <c r="B2252" s="115" t="s">
        <v>1139</v>
      </c>
      <c r="D2252" s="115" t="s">
        <v>1140</v>
      </c>
      <c r="E2252" s="115" t="s">
        <v>1141</v>
      </c>
    </row>
    <row r="2253" spans="2:5" x14ac:dyDescent="0.25">
      <c r="B2253" s="115" t="s">
        <v>1139</v>
      </c>
      <c r="D2253" s="115" t="s">
        <v>1140</v>
      </c>
      <c r="E2253" s="115" t="s">
        <v>1141</v>
      </c>
    </row>
    <row r="2254" spans="2:5" x14ac:dyDescent="0.25">
      <c r="B2254" s="115" t="s">
        <v>1139</v>
      </c>
      <c r="D2254" s="115" t="s">
        <v>1140</v>
      </c>
      <c r="E2254" s="115" t="s">
        <v>1141</v>
      </c>
    </row>
    <row r="2255" spans="2:5" x14ac:dyDescent="0.25">
      <c r="B2255" s="115" t="s">
        <v>1139</v>
      </c>
      <c r="D2255" s="115" t="s">
        <v>3855</v>
      </c>
      <c r="E2255" s="115" t="s">
        <v>3856</v>
      </c>
    </row>
    <row r="2256" spans="2:5" x14ac:dyDescent="0.25">
      <c r="B2256" s="115" t="s">
        <v>1656</v>
      </c>
      <c r="D2256" s="115" t="s">
        <v>3857</v>
      </c>
      <c r="E2256" s="115" t="s">
        <v>3858</v>
      </c>
    </row>
    <row r="2257" spans="1:5" x14ac:dyDescent="0.25">
      <c r="B2257" s="115" t="s">
        <v>1139</v>
      </c>
      <c r="D2257" s="115" t="s">
        <v>1140</v>
      </c>
      <c r="E2257" s="115" t="s">
        <v>3859</v>
      </c>
    </row>
    <row r="2258" spans="1:5" x14ac:dyDescent="0.25">
      <c r="B2258" s="115" t="s">
        <v>3860</v>
      </c>
      <c r="D2258" s="115" t="s">
        <v>3861</v>
      </c>
      <c r="E2258" s="115" t="s">
        <v>3862</v>
      </c>
    </row>
    <row r="2259" spans="1:5" x14ac:dyDescent="0.2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25">
      <c r="B2260" s="115" t="s">
        <v>1504</v>
      </c>
      <c r="D2260" s="115" t="s">
        <v>1140</v>
      </c>
      <c r="E2260" s="115" t="s">
        <v>3864</v>
      </c>
    </row>
    <row r="2261" spans="1:5" x14ac:dyDescent="0.25">
      <c r="B2261" s="115" t="s">
        <v>3865</v>
      </c>
      <c r="D2261" s="115" t="s">
        <v>1140</v>
      </c>
      <c r="E2261" s="115" t="s">
        <v>3866</v>
      </c>
    </row>
    <row r="2262" spans="1:5" x14ac:dyDescent="0.25">
      <c r="B2262" s="115" t="s">
        <v>1557</v>
      </c>
      <c r="D2262" s="115" t="s">
        <v>3867</v>
      </c>
      <c r="E2262" s="115" t="s">
        <v>3868</v>
      </c>
    </row>
    <row r="2263" spans="1:5" x14ac:dyDescent="0.2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25">
      <c r="B2264" s="115" t="s">
        <v>3870</v>
      </c>
      <c r="D2264" s="115" t="s">
        <v>3871</v>
      </c>
      <c r="E2264" s="115" t="s">
        <v>3872</v>
      </c>
    </row>
    <row r="2265" spans="1:5" x14ac:dyDescent="0.2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2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25">
      <c r="B2267" s="115" t="s">
        <v>3878</v>
      </c>
      <c r="D2267" s="115" t="s">
        <v>3879</v>
      </c>
      <c r="E2267" s="115" t="s">
        <v>3880</v>
      </c>
    </row>
    <row r="2268" spans="1:5" x14ac:dyDescent="0.25">
      <c r="B2268" s="115">
        <f>-70   -348</f>
        <v>-418</v>
      </c>
      <c r="D2268" s="115" t="s">
        <v>3881</v>
      </c>
      <c r="E2268" s="115" t="s">
        <v>3882</v>
      </c>
    </row>
    <row r="2269" spans="1:5" x14ac:dyDescent="0.2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25">
      <c r="B2270" s="115" t="s">
        <v>1321</v>
      </c>
      <c r="D2270" s="115" t="s">
        <v>3885</v>
      </c>
      <c r="E2270" s="115" t="s">
        <v>3886</v>
      </c>
    </row>
    <row r="2271" spans="1:5" x14ac:dyDescent="0.2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25">
      <c r="B2272" s="115" t="s">
        <v>1139</v>
      </c>
      <c r="D2272" s="115" t="s">
        <v>3014</v>
      </c>
      <c r="E2272" s="115" t="s">
        <v>3890</v>
      </c>
    </row>
    <row r="2273" spans="1:5" x14ac:dyDescent="0.25">
      <c r="B2273" s="115" t="s">
        <v>1139</v>
      </c>
      <c r="D2273" s="115" t="s">
        <v>3891</v>
      </c>
      <c r="E2273" s="115" t="s">
        <v>3892</v>
      </c>
    </row>
    <row r="2274" spans="1:5" x14ac:dyDescent="0.2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25">
      <c r="B2275" s="115" t="s">
        <v>1139</v>
      </c>
      <c r="D2275" s="115" t="s">
        <v>1140</v>
      </c>
      <c r="E2275" s="115" t="s">
        <v>1141</v>
      </c>
    </row>
    <row r="2276" spans="1:5" x14ac:dyDescent="0.25">
      <c r="B2276" s="115" t="s">
        <v>1139</v>
      </c>
      <c r="D2276" s="115" t="s">
        <v>1140</v>
      </c>
      <c r="E2276" s="115" t="s">
        <v>1141</v>
      </c>
    </row>
    <row r="2277" spans="1:5" x14ac:dyDescent="0.25">
      <c r="B2277" s="115" t="s">
        <v>1139</v>
      </c>
      <c r="D2277" s="115" t="s">
        <v>1140</v>
      </c>
      <c r="E2277" s="115" t="s">
        <v>1141</v>
      </c>
    </row>
    <row r="2278" spans="1:5" x14ac:dyDescent="0.25">
      <c r="B2278" s="115" t="s">
        <v>1139</v>
      </c>
      <c r="D2278" s="115" t="s">
        <v>1140</v>
      </c>
      <c r="E2278" s="115" t="s">
        <v>1141</v>
      </c>
    </row>
    <row r="2279" spans="1:5" x14ac:dyDescent="0.25">
      <c r="B2279" s="115" t="s">
        <v>1139</v>
      </c>
      <c r="D2279" s="115" t="s">
        <v>1140</v>
      </c>
      <c r="E2279" s="115" t="s">
        <v>1141</v>
      </c>
    </row>
    <row r="2280" spans="1:5" x14ac:dyDescent="0.25">
      <c r="B2280" s="115" t="s">
        <v>1139</v>
      </c>
      <c r="D2280" s="115" t="s">
        <v>1140</v>
      </c>
      <c r="E2280" s="115" t="s">
        <v>1141</v>
      </c>
    </row>
    <row r="2281" spans="1:5" x14ac:dyDescent="0.25">
      <c r="B2281" s="115" t="s">
        <v>1139</v>
      </c>
      <c r="D2281" s="115" t="s">
        <v>1140</v>
      </c>
      <c r="E2281" s="115" t="s">
        <v>1141</v>
      </c>
    </row>
    <row r="2282" spans="1:5" x14ac:dyDescent="0.25">
      <c r="B2282" s="115" t="s">
        <v>1139</v>
      </c>
      <c r="D2282" s="115" t="s">
        <v>1140</v>
      </c>
      <c r="E2282" s="115" t="s">
        <v>1141</v>
      </c>
    </row>
    <row r="2283" spans="1:5" x14ac:dyDescent="0.25">
      <c r="B2283" s="115" t="s">
        <v>1139</v>
      </c>
      <c r="D2283" s="115" t="s">
        <v>1140</v>
      </c>
      <c r="E2283" s="115" t="s">
        <v>1141</v>
      </c>
    </row>
    <row r="2284" spans="1:5" x14ac:dyDescent="0.25">
      <c r="B2284" s="115" t="s">
        <v>1139</v>
      </c>
      <c r="D2284" s="115" t="s">
        <v>1140</v>
      </c>
      <c r="E2284" s="115" t="s">
        <v>1141</v>
      </c>
    </row>
    <row r="2285" spans="1:5" x14ac:dyDescent="0.25">
      <c r="B2285" s="115" t="s">
        <v>1139</v>
      </c>
      <c r="D2285" s="115" t="s">
        <v>1140</v>
      </c>
      <c r="E2285" s="115" t="s">
        <v>1141</v>
      </c>
    </row>
    <row r="2286" spans="1:5" x14ac:dyDescent="0.25">
      <c r="B2286" s="115" t="s">
        <v>1139</v>
      </c>
      <c r="D2286" s="115" t="s">
        <v>1140</v>
      </c>
      <c r="E2286" s="115" t="s">
        <v>1141</v>
      </c>
    </row>
    <row r="2287" spans="1:5" x14ac:dyDescent="0.25">
      <c r="B2287" s="115" t="s">
        <v>1139</v>
      </c>
      <c r="D2287" s="115" t="s">
        <v>1140</v>
      </c>
      <c r="E2287" s="115" t="s">
        <v>1141</v>
      </c>
    </row>
    <row r="2288" spans="1:5" x14ac:dyDescent="0.25">
      <c r="B2288" s="115" t="s">
        <v>1139</v>
      </c>
      <c r="D2288" s="115" t="s">
        <v>1140</v>
      </c>
      <c r="E2288" s="115" t="s">
        <v>1141</v>
      </c>
    </row>
    <row r="2289" spans="2:5" x14ac:dyDescent="0.25">
      <c r="B2289" s="115" t="s">
        <v>1139</v>
      </c>
      <c r="D2289" s="115" t="s">
        <v>1140</v>
      </c>
      <c r="E2289" s="115" t="s">
        <v>1141</v>
      </c>
    </row>
    <row r="2290" spans="2:5" x14ac:dyDescent="0.25">
      <c r="B2290" s="115" t="s">
        <v>1139</v>
      </c>
      <c r="D2290" s="115" t="s">
        <v>1140</v>
      </c>
      <c r="E2290" s="115" t="s">
        <v>1141</v>
      </c>
    </row>
    <row r="2291" spans="2:5" x14ac:dyDescent="0.25">
      <c r="B2291" s="115" t="s">
        <v>1139</v>
      </c>
      <c r="D2291" s="115" t="s">
        <v>1140</v>
      </c>
      <c r="E2291" s="115" t="s">
        <v>1141</v>
      </c>
    </row>
    <row r="2292" spans="2:5" x14ac:dyDescent="0.25">
      <c r="B2292" s="115" t="s">
        <v>1139</v>
      </c>
      <c r="D2292" s="115" t="s">
        <v>1140</v>
      </c>
      <c r="E2292" s="115" t="s">
        <v>1141</v>
      </c>
    </row>
    <row r="2293" spans="2:5" x14ac:dyDescent="0.25">
      <c r="B2293" s="115" t="s">
        <v>1139</v>
      </c>
      <c r="D2293" s="115" t="s">
        <v>1140</v>
      </c>
      <c r="E2293" s="115" t="s">
        <v>1141</v>
      </c>
    </row>
    <row r="2294" spans="2:5" x14ac:dyDescent="0.25">
      <c r="B2294" s="115" t="s">
        <v>1139</v>
      </c>
      <c r="D2294" s="115" t="s">
        <v>1140</v>
      </c>
      <c r="E2294" s="115" t="s">
        <v>1141</v>
      </c>
    </row>
    <row r="2295" spans="2:5" x14ac:dyDescent="0.25">
      <c r="B2295" s="115" t="s">
        <v>1139</v>
      </c>
      <c r="D2295" s="115" t="s">
        <v>1140</v>
      </c>
      <c r="E2295" s="115" t="s">
        <v>1141</v>
      </c>
    </row>
    <row r="2296" spans="2:5" x14ac:dyDescent="0.25">
      <c r="B2296" s="115" t="s">
        <v>1139</v>
      </c>
      <c r="D2296" s="115" t="s">
        <v>1140</v>
      </c>
      <c r="E2296" s="115" t="s">
        <v>1141</v>
      </c>
    </row>
    <row r="2297" spans="2:5" x14ac:dyDescent="0.25">
      <c r="B2297" s="115" t="s">
        <v>1139</v>
      </c>
      <c r="D2297" s="115" t="s">
        <v>1140</v>
      </c>
      <c r="E2297" s="115" t="s">
        <v>1141</v>
      </c>
    </row>
    <row r="2298" spans="2:5" x14ac:dyDescent="0.25">
      <c r="B2298" s="115" t="s">
        <v>1139</v>
      </c>
      <c r="D2298" s="115" t="s">
        <v>1140</v>
      </c>
      <c r="E2298" s="115" t="s">
        <v>1141</v>
      </c>
    </row>
    <row r="2299" spans="2:5" x14ac:dyDescent="0.25">
      <c r="B2299" s="115" t="s">
        <v>1139</v>
      </c>
      <c r="D2299" s="115" t="s">
        <v>1140</v>
      </c>
      <c r="E2299" s="115" t="s">
        <v>1141</v>
      </c>
    </row>
    <row r="2300" spans="2:5" x14ac:dyDescent="0.25">
      <c r="B2300" s="115" t="s">
        <v>1139</v>
      </c>
      <c r="D2300" s="115" t="s">
        <v>1140</v>
      </c>
      <c r="E2300" s="115" t="s">
        <v>1141</v>
      </c>
    </row>
    <row r="2301" spans="2:5" x14ac:dyDescent="0.25">
      <c r="B2301" s="115" t="s">
        <v>1139</v>
      </c>
      <c r="D2301" s="115" t="s">
        <v>1140</v>
      </c>
      <c r="E2301" s="115" t="s">
        <v>1141</v>
      </c>
    </row>
    <row r="2302" spans="2:5" x14ac:dyDescent="0.25">
      <c r="B2302" s="115" t="s">
        <v>1139</v>
      </c>
      <c r="D2302" s="115" t="s">
        <v>1140</v>
      </c>
      <c r="E2302" s="115" t="s">
        <v>1141</v>
      </c>
    </row>
    <row r="2303" spans="2:5" x14ac:dyDescent="0.25">
      <c r="B2303" s="115" t="s">
        <v>1139</v>
      </c>
      <c r="D2303" s="115" t="s">
        <v>1140</v>
      </c>
      <c r="E2303" s="115" t="s">
        <v>1141</v>
      </c>
    </row>
    <row r="2304" spans="2:5" x14ac:dyDescent="0.25">
      <c r="B2304" s="115" t="s">
        <v>1139</v>
      </c>
      <c r="D2304" s="115" t="s">
        <v>1140</v>
      </c>
      <c r="E2304" s="115" t="s">
        <v>1141</v>
      </c>
    </row>
    <row r="2305" spans="2:5" x14ac:dyDescent="0.25">
      <c r="B2305" s="115" t="s">
        <v>1139</v>
      </c>
      <c r="D2305" s="115" t="s">
        <v>1140</v>
      </c>
      <c r="E2305" s="115" t="s">
        <v>1141</v>
      </c>
    </row>
    <row r="2306" spans="2:5" x14ac:dyDescent="0.25">
      <c r="B2306" s="115" t="s">
        <v>1139</v>
      </c>
      <c r="D2306" s="115" t="s">
        <v>1140</v>
      </c>
      <c r="E2306" s="115" t="s">
        <v>1141</v>
      </c>
    </row>
    <row r="2307" spans="2:5" x14ac:dyDescent="0.25">
      <c r="B2307" s="115" t="s">
        <v>1139</v>
      </c>
      <c r="D2307" s="115" t="s">
        <v>1140</v>
      </c>
      <c r="E2307" s="115" t="s">
        <v>1141</v>
      </c>
    </row>
    <row r="2308" spans="2:5" x14ac:dyDescent="0.25">
      <c r="B2308" s="115" t="s">
        <v>1139</v>
      </c>
      <c r="D2308" s="115" t="s">
        <v>1140</v>
      </c>
      <c r="E2308" s="115" t="s">
        <v>1141</v>
      </c>
    </row>
    <row r="2309" spans="2:5" x14ac:dyDescent="0.25">
      <c r="B2309" s="115" t="s">
        <v>1139</v>
      </c>
      <c r="D2309" s="115" t="s">
        <v>1140</v>
      </c>
      <c r="E2309" s="115" t="s">
        <v>1141</v>
      </c>
    </row>
    <row r="2310" spans="2:5" x14ac:dyDescent="0.25">
      <c r="B2310" s="115" t="s">
        <v>1139</v>
      </c>
      <c r="D2310" s="115" t="s">
        <v>1140</v>
      </c>
      <c r="E2310" s="115" t="s">
        <v>1141</v>
      </c>
    </row>
    <row r="2311" spans="2:5" x14ac:dyDescent="0.25">
      <c r="B2311" s="115" t="s">
        <v>1139</v>
      </c>
      <c r="D2311" s="115" t="s">
        <v>1140</v>
      </c>
      <c r="E2311" s="115" t="s">
        <v>1141</v>
      </c>
    </row>
    <row r="2312" spans="2:5" x14ac:dyDescent="0.25">
      <c r="B2312" s="115" t="s">
        <v>1139</v>
      </c>
      <c r="D2312" s="115" t="s">
        <v>1140</v>
      </c>
      <c r="E2312" s="115" t="s">
        <v>1141</v>
      </c>
    </row>
    <row r="2313" spans="2:5" x14ac:dyDescent="0.25">
      <c r="B2313" s="115" t="s">
        <v>1139</v>
      </c>
      <c r="D2313" s="115" t="s">
        <v>1140</v>
      </c>
      <c r="E2313" s="115" t="s">
        <v>1141</v>
      </c>
    </row>
    <row r="2314" spans="2:5" x14ac:dyDescent="0.25">
      <c r="B2314" s="115" t="s">
        <v>1139</v>
      </c>
      <c r="D2314" s="115" t="s">
        <v>1140</v>
      </c>
      <c r="E2314" s="115" t="s">
        <v>1141</v>
      </c>
    </row>
    <row r="2315" spans="2:5" x14ac:dyDescent="0.25">
      <c r="B2315" s="115" t="s">
        <v>1139</v>
      </c>
      <c r="D2315" s="115" t="s">
        <v>1140</v>
      </c>
      <c r="E2315" s="115" t="s">
        <v>1141</v>
      </c>
    </row>
    <row r="2316" spans="2:5" x14ac:dyDescent="0.25">
      <c r="B2316" s="115" t="s">
        <v>1139</v>
      </c>
      <c r="D2316" s="115" t="s">
        <v>1140</v>
      </c>
      <c r="E2316" s="115" t="s">
        <v>1141</v>
      </c>
    </row>
    <row r="2317" spans="2:5" x14ac:dyDescent="0.25">
      <c r="B2317" s="115" t="s">
        <v>1139</v>
      </c>
      <c r="D2317" s="115" t="s">
        <v>1140</v>
      </c>
      <c r="E2317" s="115" t="s">
        <v>1141</v>
      </c>
    </row>
    <row r="2318" spans="2:5" x14ac:dyDescent="0.25">
      <c r="B2318" s="115" t="s">
        <v>1139</v>
      </c>
      <c r="D2318" s="115" t="s">
        <v>1140</v>
      </c>
      <c r="E2318" s="115" t="s">
        <v>1141</v>
      </c>
    </row>
    <row r="2319" spans="2:5" x14ac:dyDescent="0.25">
      <c r="B2319" s="115" t="s">
        <v>1139</v>
      </c>
      <c r="D2319" s="115" t="s">
        <v>1140</v>
      </c>
      <c r="E2319" s="115" t="s">
        <v>1141</v>
      </c>
    </row>
    <row r="2320" spans="2:5" x14ac:dyDescent="0.25">
      <c r="B2320" s="115" t="s">
        <v>1139</v>
      </c>
      <c r="D2320" s="115" t="s">
        <v>1140</v>
      </c>
      <c r="E2320" s="115" t="s">
        <v>1141</v>
      </c>
    </row>
    <row r="2321" spans="2:5" x14ac:dyDescent="0.25">
      <c r="B2321" s="115" t="s">
        <v>1139</v>
      </c>
      <c r="D2321" s="115" t="s">
        <v>1140</v>
      </c>
      <c r="E2321" s="115" t="s">
        <v>1141</v>
      </c>
    </row>
    <row r="2322" spans="2:5" x14ac:dyDescent="0.25">
      <c r="B2322" s="115" t="s">
        <v>1139</v>
      </c>
      <c r="D2322" s="115" t="s">
        <v>1140</v>
      </c>
      <c r="E2322" s="115" t="s">
        <v>1141</v>
      </c>
    </row>
    <row r="2323" spans="2:5" x14ac:dyDescent="0.25">
      <c r="B2323" s="115" t="s">
        <v>1139</v>
      </c>
      <c r="D2323" s="115" t="s">
        <v>1140</v>
      </c>
      <c r="E2323" s="115" t="s">
        <v>1141</v>
      </c>
    </row>
    <row r="2324" spans="2:5" x14ac:dyDescent="0.25">
      <c r="B2324" s="115" t="s">
        <v>1139</v>
      </c>
      <c r="D2324" s="115" t="s">
        <v>1140</v>
      </c>
      <c r="E2324" s="115" t="s">
        <v>1141</v>
      </c>
    </row>
    <row r="2325" spans="2:5" x14ac:dyDescent="0.25">
      <c r="B2325" s="115" t="s">
        <v>1139</v>
      </c>
      <c r="D2325" s="115" t="s">
        <v>1140</v>
      </c>
      <c r="E2325" s="115" t="s">
        <v>1141</v>
      </c>
    </row>
    <row r="2326" spans="2:5" x14ac:dyDescent="0.25">
      <c r="B2326" s="115" t="s">
        <v>1139</v>
      </c>
      <c r="D2326" s="115" t="s">
        <v>1140</v>
      </c>
      <c r="E2326" s="115" t="s">
        <v>1141</v>
      </c>
    </row>
    <row r="2327" spans="2:5" x14ac:dyDescent="0.25">
      <c r="B2327" s="115" t="s">
        <v>1139</v>
      </c>
      <c r="D2327" s="115" t="s">
        <v>1140</v>
      </c>
      <c r="E2327" s="115" t="s">
        <v>1141</v>
      </c>
    </row>
    <row r="2328" spans="2:5" x14ac:dyDescent="0.25">
      <c r="B2328" s="115" t="s">
        <v>1139</v>
      </c>
      <c r="D2328" s="115" t="s">
        <v>1140</v>
      </c>
      <c r="E2328" s="115" t="s">
        <v>1141</v>
      </c>
    </row>
    <row r="2329" spans="2:5" x14ac:dyDescent="0.25">
      <c r="B2329" s="115" t="s">
        <v>1139</v>
      </c>
      <c r="D2329" s="115" t="s">
        <v>1140</v>
      </c>
      <c r="E2329" s="115" t="s">
        <v>1141</v>
      </c>
    </row>
    <row r="2330" spans="2:5" x14ac:dyDescent="0.25">
      <c r="B2330" s="115" t="s">
        <v>1139</v>
      </c>
      <c r="D2330" s="115" t="s">
        <v>1140</v>
      </c>
      <c r="E2330" s="115" t="s">
        <v>1141</v>
      </c>
    </row>
    <row r="2331" spans="2:5" x14ac:dyDescent="0.25">
      <c r="B2331" s="115" t="s">
        <v>1139</v>
      </c>
      <c r="D2331" s="115" t="s">
        <v>1140</v>
      </c>
      <c r="E2331" s="115" t="s">
        <v>1141</v>
      </c>
    </row>
    <row r="2332" spans="2:5" x14ac:dyDescent="0.25">
      <c r="B2332" s="115" t="s">
        <v>1139</v>
      </c>
      <c r="D2332" s="115" t="s">
        <v>1140</v>
      </c>
      <c r="E2332" s="115" t="s">
        <v>1141</v>
      </c>
    </row>
    <row r="2333" spans="2:5" x14ac:dyDescent="0.25">
      <c r="B2333" s="115" t="s">
        <v>1139</v>
      </c>
      <c r="D2333" s="115" t="s">
        <v>1140</v>
      </c>
      <c r="E2333" s="115" t="s">
        <v>1141</v>
      </c>
    </row>
    <row r="2334" spans="2:5" x14ac:dyDescent="0.25">
      <c r="B2334" s="115" t="s">
        <v>1139</v>
      </c>
      <c r="D2334" s="115" t="s">
        <v>1140</v>
      </c>
      <c r="E2334" s="115" t="s">
        <v>1141</v>
      </c>
    </row>
    <row r="2335" spans="2:5" x14ac:dyDescent="0.25">
      <c r="B2335" s="115" t="s">
        <v>1139</v>
      </c>
      <c r="D2335" s="115" t="s">
        <v>1140</v>
      </c>
      <c r="E2335" s="115" t="s">
        <v>1141</v>
      </c>
    </row>
    <row r="2336" spans="2:5" x14ac:dyDescent="0.25">
      <c r="B2336" s="115" t="s">
        <v>1139</v>
      </c>
      <c r="D2336" s="115" t="s">
        <v>1140</v>
      </c>
      <c r="E2336" s="115" t="s">
        <v>1141</v>
      </c>
    </row>
    <row r="2337" spans="2:5" x14ac:dyDescent="0.25">
      <c r="B2337" s="115" t="s">
        <v>1139</v>
      </c>
      <c r="D2337" s="115" t="s">
        <v>1140</v>
      </c>
      <c r="E2337" s="115" t="s">
        <v>1141</v>
      </c>
    </row>
    <row r="2338" spans="2:5" x14ac:dyDescent="0.25">
      <c r="B2338" s="115" t="s">
        <v>1139</v>
      </c>
      <c r="D2338" s="115" t="s">
        <v>1140</v>
      </c>
      <c r="E2338" s="115" t="s">
        <v>1141</v>
      </c>
    </row>
    <row r="2339" spans="2:5" x14ac:dyDescent="0.25">
      <c r="B2339" s="115" t="s">
        <v>1139</v>
      </c>
      <c r="D2339" s="115" t="s">
        <v>1140</v>
      </c>
      <c r="E2339" s="115" t="s">
        <v>1141</v>
      </c>
    </row>
    <row r="2340" spans="2:5" x14ac:dyDescent="0.25">
      <c r="B2340" s="115" t="s">
        <v>1139</v>
      </c>
      <c r="D2340" s="115" t="s">
        <v>1140</v>
      </c>
      <c r="E2340" s="115" t="s">
        <v>1141</v>
      </c>
    </row>
    <row r="2341" spans="2:5" x14ac:dyDescent="0.25">
      <c r="B2341" s="115" t="s">
        <v>1139</v>
      </c>
      <c r="D2341" s="115" t="s">
        <v>1140</v>
      </c>
      <c r="E2341" s="115" t="s">
        <v>1141</v>
      </c>
    </row>
    <row r="2342" spans="2:5" x14ac:dyDescent="0.25">
      <c r="B2342" s="115" t="s">
        <v>1139</v>
      </c>
      <c r="D2342" s="115" t="s">
        <v>1140</v>
      </c>
      <c r="E2342" s="115" t="s">
        <v>1141</v>
      </c>
    </row>
    <row r="2343" spans="2:5" x14ac:dyDescent="0.25">
      <c r="B2343" s="115" t="s">
        <v>1139</v>
      </c>
      <c r="D2343" s="115" t="s">
        <v>1140</v>
      </c>
      <c r="E2343" s="115" t="s">
        <v>1141</v>
      </c>
    </row>
    <row r="2344" spans="2:5" x14ac:dyDescent="0.25">
      <c r="B2344" s="115" t="s">
        <v>1139</v>
      </c>
      <c r="D2344" s="115" t="s">
        <v>1140</v>
      </c>
      <c r="E2344" s="115" t="s">
        <v>1141</v>
      </c>
    </row>
    <row r="2345" spans="2:5" x14ac:dyDescent="0.25">
      <c r="B2345" s="115" t="s">
        <v>1139</v>
      </c>
      <c r="D2345" s="115" t="s">
        <v>1140</v>
      </c>
      <c r="E2345" s="115" t="s">
        <v>1141</v>
      </c>
    </row>
    <row r="2346" spans="2:5" x14ac:dyDescent="0.25">
      <c r="B2346" s="115" t="s">
        <v>1139</v>
      </c>
      <c r="D2346" s="115" t="s">
        <v>1140</v>
      </c>
      <c r="E2346" s="115" t="s">
        <v>1141</v>
      </c>
    </row>
    <row r="2347" spans="2:5" x14ac:dyDescent="0.25">
      <c r="B2347" s="115" t="s">
        <v>1139</v>
      </c>
      <c r="D2347" s="115" t="s">
        <v>1140</v>
      </c>
      <c r="E2347" s="115" t="s">
        <v>1141</v>
      </c>
    </row>
    <row r="2348" spans="2:5" x14ac:dyDescent="0.25">
      <c r="B2348" s="115" t="s">
        <v>1139</v>
      </c>
      <c r="D2348" s="115" t="s">
        <v>1140</v>
      </c>
      <c r="E2348" s="115" t="s">
        <v>1141</v>
      </c>
    </row>
    <row r="2349" spans="2:5" x14ac:dyDescent="0.25">
      <c r="B2349" s="115" t="s">
        <v>1139</v>
      </c>
      <c r="D2349" s="115" t="s">
        <v>1140</v>
      </c>
      <c r="E2349" s="115" t="s">
        <v>1141</v>
      </c>
    </row>
    <row r="2350" spans="2:5" x14ac:dyDescent="0.25">
      <c r="B2350" s="115" t="s">
        <v>1139</v>
      </c>
      <c r="D2350" s="115" t="s">
        <v>1140</v>
      </c>
      <c r="E2350" s="115" t="s">
        <v>1141</v>
      </c>
    </row>
    <row r="2351" spans="2:5" x14ac:dyDescent="0.25">
      <c r="B2351" s="115" t="s">
        <v>1139</v>
      </c>
      <c r="D2351" s="115" t="s">
        <v>1140</v>
      </c>
      <c r="E2351" s="115" t="s">
        <v>1141</v>
      </c>
    </row>
    <row r="2352" spans="2:5" x14ac:dyDescent="0.25">
      <c r="B2352" s="115" t="s">
        <v>1139</v>
      </c>
      <c r="D2352" s="115" t="s">
        <v>1140</v>
      </c>
      <c r="E2352" s="115" t="s">
        <v>1141</v>
      </c>
    </row>
    <row r="2353" spans="1:5" x14ac:dyDescent="0.25">
      <c r="B2353" s="115" t="s">
        <v>1139</v>
      </c>
      <c r="D2353" s="115" t="s">
        <v>1140</v>
      </c>
      <c r="E2353" s="115" t="s">
        <v>1141</v>
      </c>
    </row>
    <row r="2354" spans="1:5" x14ac:dyDescent="0.25">
      <c r="B2354" s="115" t="s">
        <v>3896</v>
      </c>
      <c r="D2354" s="115" t="s">
        <v>3897</v>
      </c>
      <c r="E2354" s="115" t="s">
        <v>3898</v>
      </c>
    </row>
    <row r="2355" spans="1:5" x14ac:dyDescent="0.25">
      <c r="B2355" s="115" t="s">
        <v>1139</v>
      </c>
      <c r="D2355" s="115" t="s">
        <v>3899</v>
      </c>
      <c r="E2355" s="115" t="s">
        <v>1141</v>
      </c>
    </row>
    <row r="2356" spans="1:5" x14ac:dyDescent="0.25">
      <c r="B2356" s="115" t="s">
        <v>1139</v>
      </c>
      <c r="D2356" s="115" t="s">
        <v>3900</v>
      </c>
      <c r="E2356" s="115" t="s">
        <v>3901</v>
      </c>
    </row>
    <row r="2357" spans="1:5" x14ac:dyDescent="0.2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25">
      <c r="B2358" s="115" t="s">
        <v>1139</v>
      </c>
      <c r="D2358" s="115" t="s">
        <v>2338</v>
      </c>
      <c r="E2358" s="115" t="s">
        <v>2537</v>
      </c>
    </row>
    <row r="2359" spans="1:5" x14ac:dyDescent="0.25">
      <c r="B2359" s="115" t="s">
        <v>1139</v>
      </c>
      <c r="D2359" s="115" t="s">
        <v>3904</v>
      </c>
      <c r="E2359" s="115" t="s">
        <v>3905</v>
      </c>
    </row>
    <row r="2360" spans="1:5" x14ac:dyDescent="0.25">
      <c r="B2360" s="115" t="s">
        <v>1371</v>
      </c>
      <c r="D2360" s="115" t="s">
        <v>3906</v>
      </c>
      <c r="E2360" s="115" t="s">
        <v>3907</v>
      </c>
    </row>
    <row r="2361" spans="1:5" x14ac:dyDescent="0.2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2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25">
      <c r="B2363" s="115" t="s">
        <v>3913</v>
      </c>
      <c r="D2363" s="115" t="s">
        <v>3914</v>
      </c>
      <c r="E2363" s="115" t="s">
        <v>3915</v>
      </c>
    </row>
    <row r="2364" spans="1:5" x14ac:dyDescent="0.2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2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25">
      <c r="B2366" s="115" t="s">
        <v>3920</v>
      </c>
      <c r="D2366" s="115" t="s">
        <v>3921</v>
      </c>
      <c r="E2366" s="115" t="s">
        <v>3922</v>
      </c>
    </row>
    <row r="2367" spans="1:5" x14ac:dyDescent="0.25">
      <c r="B2367" s="115" t="s">
        <v>3923</v>
      </c>
      <c r="D2367" s="115" t="s">
        <v>3924</v>
      </c>
      <c r="E2367" s="115" t="s">
        <v>2260</v>
      </c>
    </row>
    <row r="2368" spans="1:5" x14ac:dyDescent="0.2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25">
      <c r="B2369" s="115" t="s">
        <v>3928</v>
      </c>
      <c r="D2369" s="115" t="s">
        <v>3929</v>
      </c>
      <c r="E2369" s="115" t="s">
        <v>3930</v>
      </c>
    </row>
    <row r="2370" spans="1:5" x14ac:dyDescent="0.2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2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2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2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2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25">
      <c r="B2375" s="115" t="s">
        <v>1139</v>
      </c>
      <c r="D2375" s="115" t="s">
        <v>3941</v>
      </c>
      <c r="E2375" s="115" t="s">
        <v>1141</v>
      </c>
    </row>
    <row r="2376" spans="1:5" x14ac:dyDescent="0.25">
      <c r="B2376" s="115" t="s">
        <v>1139</v>
      </c>
      <c r="D2376" s="115" t="s">
        <v>3942</v>
      </c>
      <c r="E2376" s="115" t="s">
        <v>3943</v>
      </c>
    </row>
    <row r="2377" spans="1:5" x14ac:dyDescent="0.2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25">
      <c r="B2378" s="115" t="s">
        <v>1139</v>
      </c>
      <c r="D2378" s="115" t="s">
        <v>3947</v>
      </c>
      <c r="E2378" s="115" t="s">
        <v>1702</v>
      </c>
    </row>
    <row r="2379" spans="1:5" x14ac:dyDescent="0.25">
      <c r="B2379" s="115" t="s">
        <v>1139</v>
      </c>
      <c r="D2379" s="115" t="s">
        <v>3948</v>
      </c>
      <c r="E2379" s="115" t="s">
        <v>3949</v>
      </c>
    </row>
    <row r="2380" spans="1:5" x14ac:dyDescent="0.25">
      <c r="B2380" s="115" t="s">
        <v>3950</v>
      </c>
      <c r="D2380" s="115" t="s">
        <v>3951</v>
      </c>
      <c r="E2380" s="115" t="s">
        <v>3952</v>
      </c>
    </row>
    <row r="2381" spans="1:5" x14ac:dyDescent="0.25">
      <c r="B2381" s="115" t="s">
        <v>3953</v>
      </c>
      <c r="D2381" s="115" t="s">
        <v>3954</v>
      </c>
      <c r="E2381" s="115" t="s">
        <v>2690</v>
      </c>
    </row>
    <row r="2382" spans="1:5" x14ac:dyDescent="0.2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2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2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25">
      <c r="B2385" s="115" t="s">
        <v>3961</v>
      </c>
      <c r="D2385" s="115" t="s">
        <v>3962</v>
      </c>
      <c r="E2385" s="115" t="s">
        <v>3963</v>
      </c>
    </row>
    <row r="2386" spans="1:5" x14ac:dyDescent="0.2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25">
      <c r="B2387" s="115" t="s">
        <v>1545</v>
      </c>
      <c r="D2387" s="115" t="s">
        <v>3966</v>
      </c>
      <c r="E2387" s="115" t="s">
        <v>2082</v>
      </c>
    </row>
    <row r="2388" spans="1:5" x14ac:dyDescent="0.25">
      <c r="B2388" s="115" t="s">
        <v>3967</v>
      </c>
      <c r="D2388" s="115" t="s">
        <v>3968</v>
      </c>
      <c r="E2388" s="115" t="s">
        <v>3969</v>
      </c>
    </row>
    <row r="2389" spans="1:5" x14ac:dyDescent="0.2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2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25">
      <c r="B2391" s="115" t="s">
        <v>3974</v>
      </c>
      <c r="D2391" s="115" t="s">
        <v>3975</v>
      </c>
      <c r="E2391" s="115" t="s">
        <v>1141</v>
      </c>
    </row>
    <row r="2392" spans="1:5" x14ac:dyDescent="0.2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2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2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25">
      <c r="B2395" s="115" t="s">
        <v>1139</v>
      </c>
      <c r="D2395" s="115" t="s">
        <v>3982</v>
      </c>
      <c r="E2395" s="115" t="s">
        <v>1141</v>
      </c>
    </row>
    <row r="2396" spans="1:5" x14ac:dyDescent="0.25">
      <c r="B2396" s="115" t="s">
        <v>1139</v>
      </c>
      <c r="D2396" s="115" t="s">
        <v>3983</v>
      </c>
      <c r="E2396" s="115" t="s">
        <v>3984</v>
      </c>
    </row>
    <row r="2397" spans="1:5" x14ac:dyDescent="0.2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25">
      <c r="B2398" s="115" t="s">
        <v>1653</v>
      </c>
      <c r="D2398" s="115" t="s">
        <v>1140</v>
      </c>
      <c r="E2398" s="115" t="s">
        <v>3988</v>
      </c>
    </row>
    <row r="2399" spans="1:5" x14ac:dyDescent="0.25">
      <c r="B2399" s="115" t="s">
        <v>1139</v>
      </c>
      <c r="D2399" s="115" t="s">
        <v>3989</v>
      </c>
      <c r="E2399" s="115" t="s">
        <v>3990</v>
      </c>
    </row>
    <row r="2400" spans="1:5" x14ac:dyDescent="0.25">
      <c r="B2400" s="115" t="s">
        <v>1139</v>
      </c>
      <c r="D2400" s="115" t="s">
        <v>3991</v>
      </c>
      <c r="E2400" s="115" t="s">
        <v>3992</v>
      </c>
    </row>
    <row r="2401" spans="1:5" x14ac:dyDescent="0.25">
      <c r="B2401" s="115" t="s">
        <v>3993</v>
      </c>
      <c r="D2401" s="115" t="s">
        <v>3994</v>
      </c>
      <c r="E2401" s="115" t="s">
        <v>3995</v>
      </c>
    </row>
    <row r="2402" spans="1:5" x14ac:dyDescent="0.25">
      <c r="B2402" s="115" t="s">
        <v>3996</v>
      </c>
      <c r="D2402" s="115" t="s">
        <v>3997</v>
      </c>
      <c r="E2402" s="115" t="s">
        <v>3998</v>
      </c>
    </row>
    <row r="2403" spans="1:5" x14ac:dyDescent="0.2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25">
      <c r="B2404" s="115" t="s">
        <v>1644</v>
      </c>
      <c r="D2404" s="115" t="s">
        <v>4002</v>
      </c>
      <c r="E2404" s="115" t="s">
        <v>4003</v>
      </c>
    </row>
    <row r="2405" spans="1:5" x14ac:dyDescent="0.25">
      <c r="B2405" s="115" t="s">
        <v>4004</v>
      </c>
      <c r="D2405" s="115" t="s">
        <v>4005</v>
      </c>
      <c r="E2405" s="115" t="s">
        <v>4006</v>
      </c>
    </row>
    <row r="2406" spans="1:5" x14ac:dyDescent="0.2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25">
      <c r="B2407" s="115" t="s">
        <v>1139</v>
      </c>
      <c r="D2407" s="115" t="s">
        <v>4010</v>
      </c>
      <c r="E2407" s="115" t="s">
        <v>4011</v>
      </c>
    </row>
    <row r="2408" spans="1:5" x14ac:dyDescent="0.25">
      <c r="B2408" s="115" t="s">
        <v>4012</v>
      </c>
      <c r="D2408" s="115" t="s">
        <v>4013</v>
      </c>
      <c r="E2408" s="115" t="s">
        <v>4014</v>
      </c>
    </row>
    <row r="2409" spans="1:5" x14ac:dyDescent="0.2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25">
      <c r="B2410" s="115" t="s">
        <v>4018</v>
      </c>
      <c r="D2410" s="115" t="s">
        <v>1312</v>
      </c>
      <c r="E2410" s="115" t="s">
        <v>1141</v>
      </c>
    </row>
    <row r="2411" spans="1:5" x14ac:dyDescent="0.25">
      <c r="B2411" s="115" t="s">
        <v>4019</v>
      </c>
      <c r="D2411" s="115" t="s">
        <v>4020</v>
      </c>
      <c r="E2411" s="115" t="s">
        <v>1759</v>
      </c>
    </row>
    <row r="2412" spans="1:5" x14ac:dyDescent="0.2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25">
      <c r="B2413" s="115" t="s">
        <v>4024</v>
      </c>
      <c r="D2413" s="115" t="s">
        <v>4025</v>
      </c>
      <c r="E2413" s="115" t="s">
        <v>4026</v>
      </c>
    </row>
    <row r="2414" spans="1:5" x14ac:dyDescent="0.25">
      <c r="B2414" s="115" t="s">
        <v>4027</v>
      </c>
      <c r="D2414" s="115" t="s">
        <v>4028</v>
      </c>
      <c r="E2414" s="115" t="s">
        <v>4029</v>
      </c>
    </row>
    <row r="2415" spans="1:5" x14ac:dyDescent="0.25">
      <c r="B2415" s="115" t="s">
        <v>4030</v>
      </c>
      <c r="D2415" s="115" t="s">
        <v>4031</v>
      </c>
      <c r="E2415" s="115" t="s">
        <v>4032</v>
      </c>
    </row>
    <row r="2416" spans="1:5" x14ac:dyDescent="0.25">
      <c r="B2416" s="115" t="s">
        <v>1139</v>
      </c>
      <c r="D2416" s="115" t="s">
        <v>4033</v>
      </c>
      <c r="E2416" s="115" t="s">
        <v>4034</v>
      </c>
    </row>
    <row r="2417" spans="1:5" x14ac:dyDescent="0.2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25">
      <c r="B2418" s="115" t="s">
        <v>1139</v>
      </c>
      <c r="D2418" s="115" t="s">
        <v>4038</v>
      </c>
      <c r="E2418" s="115" t="s">
        <v>4039</v>
      </c>
    </row>
    <row r="2419" spans="1:5" x14ac:dyDescent="0.25">
      <c r="B2419" s="115" t="s">
        <v>1139</v>
      </c>
      <c r="D2419" s="115" t="s">
        <v>1140</v>
      </c>
      <c r="E2419" s="115" t="s">
        <v>4040</v>
      </c>
    </row>
    <row r="2420" spans="1:5" x14ac:dyDescent="0.25">
      <c r="B2420" s="115" t="s">
        <v>1139</v>
      </c>
      <c r="D2420" s="115" t="s">
        <v>4041</v>
      </c>
      <c r="E2420" s="115" t="s">
        <v>4042</v>
      </c>
    </row>
    <row r="2421" spans="1:5" x14ac:dyDescent="0.2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25">
      <c r="B2422" s="115" t="s">
        <v>1139</v>
      </c>
      <c r="D2422" s="115" t="s">
        <v>4045</v>
      </c>
      <c r="E2422" s="115" t="s">
        <v>4046</v>
      </c>
    </row>
    <row r="2423" spans="1:5" x14ac:dyDescent="0.2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25">
      <c r="B2424" s="115" t="s">
        <v>1139</v>
      </c>
      <c r="D2424" s="115" t="s">
        <v>4049</v>
      </c>
      <c r="E2424" s="115" t="s">
        <v>4050</v>
      </c>
    </row>
    <row r="2425" spans="1:5" x14ac:dyDescent="0.25">
      <c r="B2425" s="115" t="s">
        <v>1139</v>
      </c>
      <c r="D2425" s="115" t="s">
        <v>4051</v>
      </c>
      <c r="E2425" s="115" t="s">
        <v>4052</v>
      </c>
    </row>
    <row r="2426" spans="1:5" x14ac:dyDescent="0.2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25">
      <c r="B2427" s="115" t="s">
        <v>4056</v>
      </c>
      <c r="D2427" s="115" t="s">
        <v>4057</v>
      </c>
      <c r="E2427" s="115" t="s">
        <v>4058</v>
      </c>
    </row>
    <row r="2428" spans="1:5" x14ac:dyDescent="0.25">
      <c r="B2428" s="115" t="s">
        <v>1139</v>
      </c>
      <c r="D2428" s="115" t="s">
        <v>4059</v>
      </c>
      <c r="E2428" s="115" t="s">
        <v>4060</v>
      </c>
    </row>
    <row r="2429" spans="1:5" x14ac:dyDescent="0.25">
      <c r="B2429" s="115" t="s">
        <v>1139</v>
      </c>
      <c r="D2429" s="115" t="s">
        <v>4061</v>
      </c>
      <c r="E2429" s="115" t="s">
        <v>4062</v>
      </c>
    </row>
    <row r="2430" spans="1:5" x14ac:dyDescent="0.25">
      <c r="B2430" s="115" t="s">
        <v>4063</v>
      </c>
      <c r="D2430" s="115" t="s">
        <v>4064</v>
      </c>
      <c r="E2430" s="115" t="s">
        <v>2082</v>
      </c>
    </row>
    <row r="2431" spans="1:5" x14ac:dyDescent="0.25">
      <c r="B2431" s="115" t="s">
        <v>1139</v>
      </c>
      <c r="D2431" s="115" t="s">
        <v>4065</v>
      </c>
      <c r="E2431" s="115" t="s">
        <v>4066</v>
      </c>
    </row>
    <row r="2432" spans="1:5" x14ac:dyDescent="0.25">
      <c r="B2432" s="115" t="s">
        <v>1139</v>
      </c>
      <c r="D2432" s="115" t="s">
        <v>4067</v>
      </c>
      <c r="E2432" s="115" t="s">
        <v>4068</v>
      </c>
    </row>
    <row r="2433" spans="1:5" x14ac:dyDescent="0.25">
      <c r="B2433" s="115" t="s">
        <v>1139</v>
      </c>
      <c r="D2433" s="115" t="s">
        <v>4069</v>
      </c>
      <c r="E2433" s="115" t="s">
        <v>4070</v>
      </c>
    </row>
    <row r="2434" spans="1:5" x14ac:dyDescent="0.25">
      <c r="B2434" s="115" t="s">
        <v>1139</v>
      </c>
      <c r="D2434" s="115" t="s">
        <v>4071</v>
      </c>
      <c r="E2434" s="115" t="s">
        <v>4072</v>
      </c>
    </row>
    <row r="2435" spans="1:5" x14ac:dyDescent="0.25">
      <c r="B2435" s="115" t="s">
        <v>1139</v>
      </c>
      <c r="D2435" s="115" t="s">
        <v>4073</v>
      </c>
      <c r="E2435" s="115" t="s">
        <v>4074</v>
      </c>
    </row>
    <row r="2436" spans="1:5" x14ac:dyDescent="0.25">
      <c r="B2436" s="115" t="s">
        <v>1139</v>
      </c>
      <c r="D2436" s="115" t="s">
        <v>1140</v>
      </c>
      <c r="E2436" s="115" t="s">
        <v>4075</v>
      </c>
    </row>
    <row r="2437" spans="1:5" x14ac:dyDescent="0.25">
      <c r="B2437" s="115" t="s">
        <v>1139</v>
      </c>
      <c r="D2437" s="115" t="s">
        <v>4076</v>
      </c>
      <c r="E2437" s="115" t="s">
        <v>4077</v>
      </c>
    </row>
    <row r="2438" spans="1:5" x14ac:dyDescent="0.25">
      <c r="B2438" s="115" t="s">
        <v>4078</v>
      </c>
      <c r="D2438" s="115" t="s">
        <v>4079</v>
      </c>
      <c r="E2438" s="115" t="s">
        <v>1702</v>
      </c>
    </row>
    <row r="2439" spans="1:5" x14ac:dyDescent="0.25">
      <c r="B2439" s="115" t="s">
        <v>3197</v>
      </c>
      <c r="D2439" s="115" t="s">
        <v>1140</v>
      </c>
      <c r="E2439" s="115" t="s">
        <v>4080</v>
      </c>
    </row>
    <row r="2440" spans="1:5" x14ac:dyDescent="0.2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25">
      <c r="B2441" s="115" t="s">
        <v>1139</v>
      </c>
      <c r="D2441" s="115" t="s">
        <v>4083</v>
      </c>
      <c r="E2441" s="115" t="s">
        <v>4084</v>
      </c>
    </row>
    <row r="2442" spans="1:5" x14ac:dyDescent="0.25">
      <c r="B2442" s="115">
        <f>-45   -799</f>
        <v>-844</v>
      </c>
      <c r="D2442" s="115" t="s">
        <v>1140</v>
      </c>
      <c r="E2442" s="115" t="s">
        <v>4085</v>
      </c>
    </row>
    <row r="2443" spans="1:5" x14ac:dyDescent="0.2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2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2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2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25">
      <c r="B2447" s="115" t="s">
        <v>4097</v>
      </c>
      <c r="D2447" s="115" t="s">
        <v>4098</v>
      </c>
      <c r="E2447" s="115" t="s">
        <v>4099</v>
      </c>
    </row>
    <row r="2448" spans="1:5" x14ac:dyDescent="0.25">
      <c r="B2448" s="115" t="s">
        <v>4100</v>
      </c>
      <c r="D2448" s="115" t="s">
        <v>1140</v>
      </c>
      <c r="E2448" s="115" t="s">
        <v>4101</v>
      </c>
    </row>
    <row r="2449" spans="1:5" x14ac:dyDescent="0.25">
      <c r="B2449" s="115" t="s">
        <v>4102</v>
      </c>
      <c r="D2449" s="115" t="s">
        <v>1991</v>
      </c>
      <c r="E2449" s="115" t="s">
        <v>4103</v>
      </c>
    </row>
    <row r="2450" spans="1:5" x14ac:dyDescent="0.25">
      <c r="B2450" s="115" t="s">
        <v>4104</v>
      </c>
      <c r="D2450" s="115" t="s">
        <v>4105</v>
      </c>
      <c r="E2450" s="115" t="s">
        <v>4106</v>
      </c>
    </row>
    <row r="2451" spans="1:5" x14ac:dyDescent="0.25">
      <c r="B2451" s="115" t="s">
        <v>1139</v>
      </c>
      <c r="D2451" s="115" t="s">
        <v>1140</v>
      </c>
      <c r="E2451" s="115" t="s">
        <v>4107</v>
      </c>
    </row>
    <row r="2452" spans="1:5" x14ac:dyDescent="0.2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2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25">
      <c r="B2454" s="115" t="s">
        <v>4113</v>
      </c>
      <c r="D2454" s="115" t="s">
        <v>1140</v>
      </c>
      <c r="E2454" s="115" t="s">
        <v>4114</v>
      </c>
    </row>
    <row r="2455" spans="1:5" x14ac:dyDescent="0.2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25">
      <c r="B2456" s="115" t="s">
        <v>1139</v>
      </c>
      <c r="D2456" s="115" t="s">
        <v>4118</v>
      </c>
      <c r="E2456" s="115" t="s">
        <v>1141</v>
      </c>
    </row>
    <row r="2457" spans="1:5" x14ac:dyDescent="0.25">
      <c r="B2457" s="115" t="s">
        <v>1139</v>
      </c>
      <c r="D2457" s="115" t="s">
        <v>4119</v>
      </c>
      <c r="E2457" s="115" t="s">
        <v>4120</v>
      </c>
    </row>
    <row r="2458" spans="1:5" x14ac:dyDescent="0.25">
      <c r="B2458" s="115" t="s">
        <v>4121</v>
      </c>
      <c r="D2458" s="115" t="s">
        <v>4122</v>
      </c>
      <c r="E2458" s="115" t="s">
        <v>4123</v>
      </c>
    </row>
    <row r="2459" spans="1:5" x14ac:dyDescent="0.25">
      <c r="B2459" s="115" t="s">
        <v>1139</v>
      </c>
      <c r="D2459" s="115" t="s">
        <v>4124</v>
      </c>
      <c r="E2459" s="115" t="s">
        <v>1759</v>
      </c>
    </row>
    <row r="2460" spans="1:5" x14ac:dyDescent="0.25">
      <c r="B2460" s="115" t="s">
        <v>1139</v>
      </c>
      <c r="D2460" s="115" t="s">
        <v>4125</v>
      </c>
      <c r="E2460" s="115" t="s">
        <v>4126</v>
      </c>
    </row>
    <row r="2461" spans="1:5" x14ac:dyDescent="0.2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2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2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2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2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2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2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25">
      <c r="B2468" s="115" t="s">
        <v>4146</v>
      </c>
      <c r="D2468" s="115" t="s">
        <v>4147</v>
      </c>
      <c r="E2468" s="115" t="s">
        <v>1819</v>
      </c>
    </row>
    <row r="2469" spans="1:5" x14ac:dyDescent="0.25">
      <c r="B2469" s="115" t="s">
        <v>4148</v>
      </c>
      <c r="D2469" s="115" t="s">
        <v>4149</v>
      </c>
      <c r="E2469" s="115" t="s">
        <v>4150</v>
      </c>
    </row>
    <row r="2470" spans="1:5" x14ac:dyDescent="0.2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25">
      <c r="B2471" s="115" t="s">
        <v>4154</v>
      </c>
      <c r="D2471" s="115" t="s">
        <v>4155</v>
      </c>
      <c r="E2471" s="115" t="s">
        <v>1141</v>
      </c>
    </row>
    <row r="2472" spans="1:5" x14ac:dyDescent="0.2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2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2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2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25">
      <c r="B2476" s="115" t="s">
        <v>4165</v>
      </c>
      <c r="D2476" s="115" t="s">
        <v>4166</v>
      </c>
      <c r="E2476" s="115" t="s">
        <v>4167</v>
      </c>
    </row>
    <row r="2477" spans="1:5" x14ac:dyDescent="0.25">
      <c r="B2477" s="115" t="s">
        <v>1139</v>
      </c>
      <c r="D2477" s="115" t="s">
        <v>1140</v>
      </c>
      <c r="E2477" s="115" t="s">
        <v>4168</v>
      </c>
    </row>
    <row r="2478" spans="1:5" x14ac:dyDescent="0.25">
      <c r="B2478" s="115" t="s">
        <v>4169</v>
      </c>
      <c r="D2478" s="115" t="s">
        <v>4170</v>
      </c>
      <c r="E2478" s="115" t="s">
        <v>4171</v>
      </c>
    </row>
    <row r="2479" spans="1:5" x14ac:dyDescent="0.2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2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25">
      <c r="B2481" s="115" t="s">
        <v>4175</v>
      </c>
      <c r="D2481" s="115" t="s">
        <v>1140</v>
      </c>
      <c r="E2481" s="115" t="s">
        <v>4176</v>
      </c>
    </row>
    <row r="2482" spans="1:5" x14ac:dyDescent="0.25">
      <c r="B2482" s="115" t="s">
        <v>4177</v>
      </c>
      <c r="D2482" s="115" t="s">
        <v>4178</v>
      </c>
      <c r="E2482" s="115" t="s">
        <v>4179</v>
      </c>
    </row>
    <row r="2483" spans="1:5" x14ac:dyDescent="0.2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25">
      <c r="B2484" s="115" t="s">
        <v>4182</v>
      </c>
      <c r="D2484" s="115" t="s">
        <v>4183</v>
      </c>
      <c r="E2484" s="115" t="s">
        <v>4184</v>
      </c>
    </row>
    <row r="2485" spans="1:5" x14ac:dyDescent="0.25">
      <c r="B2485" s="115" t="s">
        <v>4185</v>
      </c>
      <c r="D2485" s="115" t="s">
        <v>4186</v>
      </c>
      <c r="E2485" s="115" t="s">
        <v>4187</v>
      </c>
    </row>
    <row r="2486" spans="1:5" x14ac:dyDescent="0.25">
      <c r="B2486" s="115" t="s">
        <v>1257</v>
      </c>
      <c r="D2486" s="115" t="s">
        <v>4188</v>
      </c>
      <c r="E2486" s="115" t="s">
        <v>4189</v>
      </c>
    </row>
    <row r="2487" spans="1:5" x14ac:dyDescent="0.2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2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2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25">
      <c r="B2490" s="115" t="s">
        <v>1365</v>
      </c>
      <c r="D2490" s="115" t="s">
        <v>4199</v>
      </c>
      <c r="E2490" s="115" t="s">
        <v>4200</v>
      </c>
    </row>
    <row r="2491" spans="1:5" x14ac:dyDescent="0.25">
      <c r="B2491" s="115" t="s">
        <v>1163</v>
      </c>
      <c r="D2491" s="115" t="s">
        <v>4201</v>
      </c>
      <c r="E2491" s="115" t="s">
        <v>4202</v>
      </c>
    </row>
    <row r="2492" spans="1:5" x14ac:dyDescent="0.25">
      <c r="B2492" s="115" t="s">
        <v>1139</v>
      </c>
      <c r="D2492" s="115" t="s">
        <v>4203</v>
      </c>
      <c r="E2492" s="115" t="s">
        <v>4204</v>
      </c>
    </row>
    <row r="2493" spans="1:5" x14ac:dyDescent="0.25">
      <c r="B2493" s="115" t="s">
        <v>1139</v>
      </c>
      <c r="D2493" s="115" t="s">
        <v>4205</v>
      </c>
      <c r="E2493" s="115" t="s">
        <v>4206</v>
      </c>
    </row>
    <row r="2494" spans="1:5" x14ac:dyDescent="0.2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2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2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25">
      <c r="B2497" s="115" t="s">
        <v>1139</v>
      </c>
      <c r="D2497" s="115" t="s">
        <v>4214</v>
      </c>
      <c r="E2497" s="115" t="s">
        <v>1141</v>
      </c>
    </row>
    <row r="2498" spans="1:5" x14ac:dyDescent="0.25">
      <c r="B2498" s="115" t="s">
        <v>1139</v>
      </c>
      <c r="D2498" s="115" t="s">
        <v>4215</v>
      </c>
      <c r="E2498" s="115" t="s">
        <v>4216</v>
      </c>
    </row>
    <row r="2499" spans="1:5" x14ac:dyDescent="0.2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25">
      <c r="B2500" s="115" t="s">
        <v>4219</v>
      </c>
      <c r="D2500" s="115" t="s">
        <v>1140</v>
      </c>
      <c r="E2500" s="115" t="s">
        <v>4220</v>
      </c>
    </row>
    <row r="2501" spans="1:5" x14ac:dyDescent="0.25">
      <c r="B2501" s="115" t="s">
        <v>1139</v>
      </c>
      <c r="D2501" s="115" t="s">
        <v>4221</v>
      </c>
      <c r="E2501" s="115" t="s">
        <v>4222</v>
      </c>
    </row>
    <row r="2502" spans="1:5" x14ac:dyDescent="0.25">
      <c r="B2502" s="115" t="s">
        <v>1139</v>
      </c>
      <c r="D2502" s="115" t="s">
        <v>4223</v>
      </c>
      <c r="E2502" s="115" t="s">
        <v>4224</v>
      </c>
    </row>
    <row r="2503" spans="1:5" x14ac:dyDescent="0.25">
      <c r="B2503" s="115" t="s">
        <v>4225</v>
      </c>
      <c r="D2503" s="115" t="s">
        <v>4226</v>
      </c>
      <c r="E2503" s="115" t="s">
        <v>4227</v>
      </c>
    </row>
    <row r="2504" spans="1:5" x14ac:dyDescent="0.25">
      <c r="B2504" s="115" t="s">
        <v>1392</v>
      </c>
      <c r="D2504" s="115" t="s">
        <v>4228</v>
      </c>
      <c r="E2504" s="115" t="s">
        <v>4229</v>
      </c>
    </row>
    <row r="2505" spans="1:5" x14ac:dyDescent="0.2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2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25">
      <c r="B2507" s="115" t="s">
        <v>4236</v>
      </c>
      <c r="D2507" s="115" t="s">
        <v>4237</v>
      </c>
      <c r="E2507" s="115" t="s">
        <v>4238</v>
      </c>
    </row>
    <row r="2508" spans="1:5" x14ac:dyDescent="0.2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25">
      <c r="B2509" s="115" t="s">
        <v>1139</v>
      </c>
      <c r="D2509" s="115" t="s">
        <v>4241</v>
      </c>
      <c r="E2509" s="115" t="s">
        <v>4242</v>
      </c>
    </row>
    <row r="2510" spans="1:5" x14ac:dyDescent="0.25">
      <c r="B2510" s="115" t="s">
        <v>4243</v>
      </c>
      <c r="D2510" s="115" t="s">
        <v>4244</v>
      </c>
      <c r="E2510" s="115" t="s">
        <v>4245</v>
      </c>
    </row>
    <row r="2511" spans="1:5" x14ac:dyDescent="0.2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25">
      <c r="B2512" s="115" t="s">
        <v>4249</v>
      </c>
      <c r="D2512" s="115" t="s">
        <v>4250</v>
      </c>
      <c r="E2512" s="115" t="s">
        <v>1141</v>
      </c>
    </row>
    <row r="2513" spans="1:5" x14ac:dyDescent="0.25">
      <c r="B2513" s="115" t="s">
        <v>4251</v>
      </c>
      <c r="D2513" s="115" t="s">
        <v>4252</v>
      </c>
      <c r="E2513" s="115" t="s">
        <v>1859</v>
      </c>
    </row>
    <row r="2514" spans="1:5" x14ac:dyDescent="0.25">
      <c r="B2514" s="115" t="s">
        <v>4253</v>
      </c>
      <c r="D2514" s="115" t="s">
        <v>4254</v>
      </c>
      <c r="E2514" s="115" t="s">
        <v>4255</v>
      </c>
    </row>
    <row r="2515" spans="1:5" x14ac:dyDescent="0.25">
      <c r="B2515" s="115" t="s">
        <v>4256</v>
      </c>
      <c r="D2515" s="115" t="s">
        <v>1672</v>
      </c>
      <c r="E2515" s="115" t="s">
        <v>4257</v>
      </c>
    </row>
    <row r="2516" spans="1:5" x14ac:dyDescent="0.25">
      <c r="B2516" s="115" t="s">
        <v>4258</v>
      </c>
      <c r="D2516" s="115" t="s">
        <v>4259</v>
      </c>
      <c r="E2516" s="115" t="s">
        <v>4260</v>
      </c>
    </row>
    <row r="2517" spans="1:5" x14ac:dyDescent="0.2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25">
      <c r="B2518" s="115" t="s">
        <v>4264</v>
      </c>
      <c r="D2518" s="115" t="s">
        <v>1140</v>
      </c>
      <c r="E2518" s="115" t="s">
        <v>1141</v>
      </c>
    </row>
    <row r="2519" spans="1:5" x14ac:dyDescent="0.25">
      <c r="B2519" s="115" t="s">
        <v>4265</v>
      </c>
      <c r="D2519" s="115" t="s">
        <v>4266</v>
      </c>
      <c r="E2519" s="115" t="s">
        <v>4267</v>
      </c>
    </row>
    <row r="2520" spans="1:5" x14ac:dyDescent="0.25">
      <c r="B2520" s="115" t="s">
        <v>1139</v>
      </c>
      <c r="D2520" s="115" t="s">
        <v>4268</v>
      </c>
      <c r="E2520" s="115" t="s">
        <v>4269</v>
      </c>
    </row>
    <row r="2521" spans="1:5" x14ac:dyDescent="0.25">
      <c r="B2521" s="115" t="s">
        <v>1139</v>
      </c>
      <c r="D2521" s="115" t="s">
        <v>1537</v>
      </c>
      <c r="E2521" s="115" t="s">
        <v>1141</v>
      </c>
    </row>
    <row r="2522" spans="1:5" x14ac:dyDescent="0.2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2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2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2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25">
      <c r="B2526" s="115" t="s">
        <v>4282</v>
      </c>
      <c r="D2526" s="115" t="s">
        <v>4283</v>
      </c>
      <c r="E2526" s="115" t="s">
        <v>4284</v>
      </c>
    </row>
    <row r="2527" spans="1:5" x14ac:dyDescent="0.2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2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25">
      <c r="B2529" s="115" t="s">
        <v>1476</v>
      </c>
      <c r="D2529" s="115" t="s">
        <v>4290</v>
      </c>
      <c r="E2529" s="115" t="s">
        <v>4291</v>
      </c>
    </row>
    <row r="2530" spans="1:5" x14ac:dyDescent="0.25">
      <c r="B2530" s="115" t="s">
        <v>4292</v>
      </c>
      <c r="D2530" s="115" t="s">
        <v>4293</v>
      </c>
      <c r="E2530" s="115" t="s">
        <v>4294</v>
      </c>
    </row>
    <row r="2531" spans="1:5" x14ac:dyDescent="0.2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2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2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2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25">
      <c r="B2535" s="115" t="s">
        <v>4306</v>
      </c>
      <c r="D2535" s="115" t="s">
        <v>4307</v>
      </c>
      <c r="E2535" s="115" t="s">
        <v>4308</v>
      </c>
    </row>
    <row r="2536" spans="1:5" x14ac:dyDescent="0.2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2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25">
      <c r="B2538" s="115" t="s">
        <v>1139</v>
      </c>
      <c r="D2538" s="115" t="s">
        <v>1140</v>
      </c>
      <c r="E2538" s="115" t="s">
        <v>1141</v>
      </c>
    </row>
    <row r="2539" spans="1:5" x14ac:dyDescent="0.25">
      <c r="B2539" s="115" t="s">
        <v>1139</v>
      </c>
      <c r="D2539" s="115" t="s">
        <v>1140</v>
      </c>
      <c r="E2539" s="115" t="s">
        <v>1141</v>
      </c>
    </row>
    <row r="2540" spans="1:5" x14ac:dyDescent="0.25">
      <c r="B2540" s="115" t="s">
        <v>1139</v>
      </c>
      <c r="D2540" s="115" t="s">
        <v>1140</v>
      </c>
      <c r="E2540" s="115" t="s">
        <v>1141</v>
      </c>
    </row>
    <row r="2541" spans="1:5" x14ac:dyDescent="0.25">
      <c r="B2541" s="115" t="s">
        <v>1139</v>
      </c>
      <c r="D2541" s="115" t="s">
        <v>1140</v>
      </c>
      <c r="E2541" s="115" t="s">
        <v>1141</v>
      </c>
    </row>
    <row r="2542" spans="1:5" x14ac:dyDescent="0.25">
      <c r="B2542" s="115" t="s">
        <v>1139</v>
      </c>
      <c r="D2542" s="115" t="s">
        <v>1140</v>
      </c>
      <c r="E2542" s="115" t="s">
        <v>1141</v>
      </c>
    </row>
    <row r="2543" spans="1:5" x14ac:dyDescent="0.25">
      <c r="B2543" s="115" t="s">
        <v>1139</v>
      </c>
      <c r="D2543" s="115" t="s">
        <v>1140</v>
      </c>
      <c r="E2543" s="115" t="s">
        <v>1141</v>
      </c>
    </row>
    <row r="2544" spans="1:5" x14ac:dyDescent="0.25">
      <c r="B2544" s="115" t="s">
        <v>1139</v>
      </c>
      <c r="D2544" s="115" t="s">
        <v>1140</v>
      </c>
      <c r="E2544" s="115" t="s">
        <v>1141</v>
      </c>
    </row>
    <row r="2545" spans="2:5" x14ac:dyDescent="0.25">
      <c r="B2545" s="115" t="s">
        <v>1139</v>
      </c>
      <c r="D2545" s="115" t="s">
        <v>1140</v>
      </c>
      <c r="E2545" s="115" t="s">
        <v>1141</v>
      </c>
    </row>
    <row r="2546" spans="2:5" x14ac:dyDescent="0.25">
      <c r="B2546" s="115" t="s">
        <v>1139</v>
      </c>
      <c r="D2546" s="115" t="s">
        <v>1140</v>
      </c>
      <c r="E2546" s="115" t="s">
        <v>1141</v>
      </c>
    </row>
    <row r="2547" spans="2:5" x14ac:dyDescent="0.25">
      <c r="B2547" s="115" t="s">
        <v>1139</v>
      </c>
      <c r="D2547" s="115" t="s">
        <v>1140</v>
      </c>
      <c r="E2547" s="115" t="s">
        <v>1141</v>
      </c>
    </row>
    <row r="2548" spans="2:5" x14ac:dyDescent="0.25">
      <c r="B2548" s="115" t="s">
        <v>1139</v>
      </c>
      <c r="D2548" s="115" t="s">
        <v>1140</v>
      </c>
      <c r="E2548" s="115" t="s">
        <v>1141</v>
      </c>
    </row>
    <row r="2549" spans="2:5" x14ac:dyDescent="0.25">
      <c r="B2549" s="115" t="s">
        <v>1139</v>
      </c>
      <c r="D2549" s="115" t="s">
        <v>1140</v>
      </c>
      <c r="E2549" s="115" t="s">
        <v>1141</v>
      </c>
    </row>
    <row r="2550" spans="2:5" x14ac:dyDescent="0.25">
      <c r="B2550" s="115" t="s">
        <v>1139</v>
      </c>
      <c r="D2550" s="115" t="s">
        <v>1140</v>
      </c>
      <c r="E2550" s="115" t="s">
        <v>1141</v>
      </c>
    </row>
    <row r="2551" spans="2:5" x14ac:dyDescent="0.25">
      <c r="B2551" s="115" t="s">
        <v>1139</v>
      </c>
      <c r="D2551" s="115" t="s">
        <v>1140</v>
      </c>
      <c r="E2551" s="115" t="s">
        <v>1141</v>
      </c>
    </row>
    <row r="2552" spans="2:5" x14ac:dyDescent="0.25">
      <c r="B2552" s="115" t="s">
        <v>1139</v>
      </c>
      <c r="D2552" s="115" t="s">
        <v>1140</v>
      </c>
      <c r="E2552" s="115" t="s">
        <v>1141</v>
      </c>
    </row>
    <row r="2553" spans="2:5" x14ac:dyDescent="0.25">
      <c r="B2553" s="115" t="s">
        <v>1139</v>
      </c>
      <c r="D2553" s="115" t="s">
        <v>1140</v>
      </c>
      <c r="E2553" s="115" t="s">
        <v>1141</v>
      </c>
    </row>
    <row r="2554" spans="2:5" x14ac:dyDescent="0.25">
      <c r="B2554" s="115" t="s">
        <v>1139</v>
      </c>
      <c r="D2554" s="115" t="s">
        <v>1140</v>
      </c>
      <c r="E2554" s="115" t="s">
        <v>1141</v>
      </c>
    </row>
    <row r="2555" spans="2:5" x14ac:dyDescent="0.25">
      <c r="B2555" s="115" t="s">
        <v>1139</v>
      </c>
      <c r="D2555" s="115" t="s">
        <v>1140</v>
      </c>
      <c r="E2555" s="115" t="s">
        <v>1141</v>
      </c>
    </row>
    <row r="2556" spans="2:5" x14ac:dyDescent="0.25">
      <c r="B2556" s="115" t="s">
        <v>1139</v>
      </c>
      <c r="D2556" s="115" t="s">
        <v>1140</v>
      </c>
      <c r="E2556" s="115" t="s">
        <v>1141</v>
      </c>
    </row>
    <row r="2557" spans="2:5" x14ac:dyDescent="0.25">
      <c r="B2557" s="115" t="s">
        <v>1139</v>
      </c>
      <c r="D2557" s="115" t="s">
        <v>1140</v>
      </c>
      <c r="E2557" s="115" t="s">
        <v>1141</v>
      </c>
    </row>
    <row r="2558" spans="2:5" x14ac:dyDescent="0.25">
      <c r="B2558" s="115" t="s">
        <v>1139</v>
      </c>
      <c r="D2558" s="115" t="s">
        <v>1140</v>
      </c>
      <c r="E2558" s="115" t="s">
        <v>1141</v>
      </c>
    </row>
    <row r="2559" spans="2:5" x14ac:dyDescent="0.25">
      <c r="B2559" s="115" t="s">
        <v>1139</v>
      </c>
      <c r="D2559" s="115" t="s">
        <v>1140</v>
      </c>
      <c r="E2559" s="115" t="s">
        <v>1141</v>
      </c>
    </row>
    <row r="2560" spans="2:5" x14ac:dyDescent="0.25">
      <c r="B2560" s="115" t="s">
        <v>1139</v>
      </c>
      <c r="D2560" s="115" t="s">
        <v>1140</v>
      </c>
      <c r="E2560" s="115" t="s">
        <v>1141</v>
      </c>
    </row>
    <row r="2561" spans="2:5" x14ac:dyDescent="0.25">
      <c r="B2561" s="115" t="s">
        <v>1139</v>
      </c>
      <c r="D2561" s="115" t="s">
        <v>1140</v>
      </c>
      <c r="E2561" s="115" t="s">
        <v>1141</v>
      </c>
    </row>
    <row r="2562" spans="2:5" x14ac:dyDescent="0.25">
      <c r="B2562" s="115" t="s">
        <v>1139</v>
      </c>
      <c r="D2562" s="115" t="s">
        <v>1140</v>
      </c>
      <c r="E2562" s="115" t="s">
        <v>1141</v>
      </c>
    </row>
    <row r="2563" spans="2:5" x14ac:dyDescent="0.25">
      <c r="B2563" s="115" t="s">
        <v>1139</v>
      </c>
      <c r="D2563" s="115" t="s">
        <v>1140</v>
      </c>
      <c r="E2563" s="115" t="s">
        <v>1141</v>
      </c>
    </row>
    <row r="2564" spans="2:5" x14ac:dyDescent="0.25">
      <c r="B2564" s="115" t="s">
        <v>1139</v>
      </c>
      <c r="D2564" s="115" t="s">
        <v>1140</v>
      </c>
      <c r="E2564" s="115" t="s">
        <v>1141</v>
      </c>
    </row>
    <row r="2565" spans="2:5" x14ac:dyDescent="0.25">
      <c r="B2565" s="115" t="s">
        <v>1139</v>
      </c>
      <c r="D2565" s="115" t="s">
        <v>1140</v>
      </c>
      <c r="E2565" s="115" t="s">
        <v>1141</v>
      </c>
    </row>
    <row r="2566" spans="2:5" x14ac:dyDescent="0.25">
      <c r="B2566" s="115" t="s">
        <v>1139</v>
      </c>
      <c r="D2566" s="115" t="s">
        <v>1140</v>
      </c>
      <c r="E2566" s="115" t="s">
        <v>1141</v>
      </c>
    </row>
    <row r="2567" spans="2:5" x14ac:dyDescent="0.25">
      <c r="B2567" s="115" t="s">
        <v>1139</v>
      </c>
      <c r="D2567" s="115" t="s">
        <v>1140</v>
      </c>
      <c r="E2567" s="115" t="s">
        <v>1141</v>
      </c>
    </row>
    <row r="2568" spans="2:5" x14ac:dyDescent="0.25">
      <c r="B2568" s="115" t="s">
        <v>1139</v>
      </c>
      <c r="D2568" s="115" t="s">
        <v>1140</v>
      </c>
      <c r="E2568" s="115" t="s">
        <v>1141</v>
      </c>
    </row>
    <row r="2569" spans="2:5" x14ac:dyDescent="0.25">
      <c r="B2569" s="115" t="s">
        <v>1139</v>
      </c>
      <c r="D2569" s="115" t="s">
        <v>1140</v>
      </c>
      <c r="E2569" s="115" t="s">
        <v>1141</v>
      </c>
    </row>
    <row r="2570" spans="2:5" x14ac:dyDescent="0.25">
      <c r="B2570" s="115" t="s">
        <v>1139</v>
      </c>
      <c r="D2570" s="115" t="s">
        <v>1140</v>
      </c>
      <c r="E2570" s="115" t="s">
        <v>1141</v>
      </c>
    </row>
    <row r="2571" spans="2:5" x14ac:dyDescent="0.25">
      <c r="B2571" s="115" t="s">
        <v>1139</v>
      </c>
      <c r="D2571" s="115" t="s">
        <v>1140</v>
      </c>
      <c r="E2571" s="115" t="s">
        <v>1141</v>
      </c>
    </row>
    <row r="2572" spans="2:5" x14ac:dyDescent="0.25">
      <c r="B2572" s="115" t="s">
        <v>1139</v>
      </c>
      <c r="D2572" s="115" t="s">
        <v>1140</v>
      </c>
      <c r="E2572" s="115" t="s">
        <v>1141</v>
      </c>
    </row>
    <row r="2573" spans="2:5" x14ac:dyDescent="0.25">
      <c r="B2573" s="115" t="s">
        <v>1139</v>
      </c>
      <c r="D2573" s="115" t="s">
        <v>1140</v>
      </c>
      <c r="E2573" s="115" t="s">
        <v>1141</v>
      </c>
    </row>
    <row r="2574" spans="2:5" x14ac:dyDescent="0.25">
      <c r="B2574" s="115" t="s">
        <v>1139</v>
      </c>
      <c r="D2574" s="115" t="s">
        <v>1140</v>
      </c>
      <c r="E2574" s="115" t="s">
        <v>1141</v>
      </c>
    </row>
    <row r="2575" spans="2:5" x14ac:dyDescent="0.25">
      <c r="B2575" s="115" t="s">
        <v>1139</v>
      </c>
      <c r="D2575" s="115" t="s">
        <v>1140</v>
      </c>
      <c r="E2575" s="115" t="s">
        <v>1141</v>
      </c>
    </row>
    <row r="2576" spans="2:5" x14ac:dyDescent="0.25">
      <c r="B2576" s="115" t="s">
        <v>1139</v>
      </c>
      <c r="D2576" s="115" t="s">
        <v>1140</v>
      </c>
      <c r="E2576" s="115" t="s">
        <v>1141</v>
      </c>
    </row>
    <row r="2577" spans="2:5" x14ac:dyDescent="0.25">
      <c r="B2577" s="115" t="s">
        <v>1139</v>
      </c>
      <c r="D2577" s="115" t="s">
        <v>1140</v>
      </c>
      <c r="E2577" s="115" t="s">
        <v>1141</v>
      </c>
    </row>
    <row r="2578" spans="2:5" x14ac:dyDescent="0.25">
      <c r="B2578" s="115" t="s">
        <v>1139</v>
      </c>
      <c r="D2578" s="115" t="s">
        <v>1140</v>
      </c>
      <c r="E2578" s="115" t="s">
        <v>1141</v>
      </c>
    </row>
    <row r="2579" spans="2:5" x14ac:dyDescent="0.25">
      <c r="B2579" s="115" t="s">
        <v>1139</v>
      </c>
      <c r="D2579" s="115" t="s">
        <v>1140</v>
      </c>
      <c r="E2579" s="115" t="s">
        <v>1141</v>
      </c>
    </row>
    <row r="2580" spans="2:5" x14ac:dyDescent="0.25">
      <c r="B2580" s="115" t="s">
        <v>1139</v>
      </c>
      <c r="D2580" s="115" t="s">
        <v>1140</v>
      </c>
      <c r="E2580" s="115" t="s">
        <v>1141</v>
      </c>
    </row>
    <row r="2581" spans="2:5" x14ac:dyDescent="0.25">
      <c r="B2581" s="115" t="s">
        <v>1139</v>
      </c>
      <c r="D2581" s="115" t="s">
        <v>1140</v>
      </c>
      <c r="E2581" s="115" t="s">
        <v>1141</v>
      </c>
    </row>
    <row r="2582" spans="2:5" x14ac:dyDescent="0.25">
      <c r="B2582" s="115" t="s">
        <v>1139</v>
      </c>
      <c r="D2582" s="115" t="s">
        <v>1140</v>
      </c>
      <c r="E2582" s="115" t="s">
        <v>1141</v>
      </c>
    </row>
    <row r="2583" spans="2:5" x14ac:dyDescent="0.25">
      <c r="B2583" s="115" t="s">
        <v>1139</v>
      </c>
      <c r="D2583" s="115" t="s">
        <v>1140</v>
      </c>
      <c r="E2583" s="115" t="s">
        <v>1141</v>
      </c>
    </row>
    <row r="2584" spans="2:5" x14ac:dyDescent="0.25">
      <c r="B2584" s="115" t="s">
        <v>1139</v>
      </c>
      <c r="D2584" s="115" t="s">
        <v>1140</v>
      </c>
      <c r="E2584" s="115" t="s">
        <v>1141</v>
      </c>
    </row>
    <row r="2585" spans="2:5" x14ac:dyDescent="0.25">
      <c r="B2585" s="115" t="s">
        <v>1139</v>
      </c>
      <c r="D2585" s="115" t="s">
        <v>1140</v>
      </c>
      <c r="E2585" s="115" t="s">
        <v>1141</v>
      </c>
    </row>
    <row r="2586" spans="2:5" x14ac:dyDescent="0.25">
      <c r="B2586" s="115" t="s">
        <v>1139</v>
      </c>
      <c r="D2586" s="115" t="s">
        <v>1140</v>
      </c>
      <c r="E2586" s="115" t="s">
        <v>1141</v>
      </c>
    </row>
    <row r="2587" spans="2:5" x14ac:dyDescent="0.25">
      <c r="B2587" s="115" t="s">
        <v>1139</v>
      </c>
      <c r="D2587" s="115" t="s">
        <v>1140</v>
      </c>
      <c r="E2587" s="115" t="s">
        <v>1141</v>
      </c>
    </row>
    <row r="2588" spans="2:5" x14ac:dyDescent="0.25">
      <c r="B2588" s="115" t="s">
        <v>1139</v>
      </c>
      <c r="D2588" s="115" t="s">
        <v>1140</v>
      </c>
      <c r="E2588" s="115" t="s">
        <v>1141</v>
      </c>
    </row>
    <row r="2589" spans="2:5" x14ac:dyDescent="0.25">
      <c r="B2589" s="115" t="s">
        <v>1139</v>
      </c>
      <c r="D2589" s="115" t="s">
        <v>1140</v>
      </c>
      <c r="E2589" s="115" t="s">
        <v>1141</v>
      </c>
    </row>
    <row r="2590" spans="2:5" x14ac:dyDescent="0.25">
      <c r="B2590" s="115" t="s">
        <v>1139</v>
      </c>
      <c r="D2590" s="115" t="s">
        <v>1140</v>
      </c>
      <c r="E2590" s="115" t="s">
        <v>1141</v>
      </c>
    </row>
    <row r="2591" spans="2:5" x14ac:dyDescent="0.25">
      <c r="B2591" s="115" t="s">
        <v>1139</v>
      </c>
      <c r="D2591" s="115" t="s">
        <v>1140</v>
      </c>
      <c r="E2591" s="115" t="s">
        <v>1141</v>
      </c>
    </row>
    <row r="2592" spans="2:5" x14ac:dyDescent="0.25">
      <c r="B2592" s="115" t="s">
        <v>1139</v>
      </c>
      <c r="D2592" s="115" t="s">
        <v>1140</v>
      </c>
      <c r="E2592" s="115" t="s">
        <v>1141</v>
      </c>
    </row>
    <row r="2593" spans="2:5" x14ac:dyDescent="0.25">
      <c r="B2593" s="115" t="s">
        <v>1139</v>
      </c>
      <c r="D2593" s="115" t="s">
        <v>1140</v>
      </c>
      <c r="E2593" s="115" t="s">
        <v>1141</v>
      </c>
    </row>
    <row r="2594" spans="2:5" x14ac:dyDescent="0.25">
      <c r="B2594" s="115" t="s">
        <v>1139</v>
      </c>
      <c r="D2594" s="115" t="s">
        <v>1140</v>
      </c>
      <c r="E2594" s="115" t="s">
        <v>1141</v>
      </c>
    </row>
    <row r="2595" spans="2:5" x14ac:dyDescent="0.25">
      <c r="B2595" s="115" t="s">
        <v>1139</v>
      </c>
      <c r="D2595" s="115" t="s">
        <v>1140</v>
      </c>
      <c r="E2595" s="115" t="s">
        <v>1141</v>
      </c>
    </row>
    <row r="2596" spans="2:5" x14ac:dyDescent="0.25">
      <c r="B2596" s="115" t="s">
        <v>1139</v>
      </c>
      <c r="D2596" s="115" t="s">
        <v>1140</v>
      </c>
      <c r="E2596" s="115" t="s">
        <v>1141</v>
      </c>
    </row>
    <row r="2597" spans="2:5" x14ac:dyDescent="0.25">
      <c r="B2597" s="115" t="s">
        <v>1139</v>
      </c>
      <c r="D2597" s="115" t="s">
        <v>1140</v>
      </c>
      <c r="E2597" s="115" t="s">
        <v>1141</v>
      </c>
    </row>
    <row r="2598" spans="2:5" x14ac:dyDescent="0.25">
      <c r="B2598" s="115" t="s">
        <v>1139</v>
      </c>
      <c r="D2598" s="115" t="s">
        <v>1140</v>
      </c>
      <c r="E2598" s="115" t="s">
        <v>1141</v>
      </c>
    </row>
    <row r="2599" spans="2:5" x14ac:dyDescent="0.25">
      <c r="B2599" s="115" t="s">
        <v>1139</v>
      </c>
      <c r="D2599" s="115" t="s">
        <v>1140</v>
      </c>
      <c r="E2599" s="115" t="s">
        <v>1141</v>
      </c>
    </row>
    <row r="2600" spans="2:5" x14ac:dyDescent="0.25">
      <c r="B2600" s="115" t="s">
        <v>1139</v>
      </c>
      <c r="D2600" s="115" t="s">
        <v>1140</v>
      </c>
      <c r="E2600" s="115" t="s">
        <v>1141</v>
      </c>
    </row>
    <row r="2601" spans="2:5" x14ac:dyDescent="0.25">
      <c r="B2601" s="115" t="s">
        <v>1139</v>
      </c>
      <c r="D2601" s="115" t="s">
        <v>1140</v>
      </c>
      <c r="E2601" s="115" t="s">
        <v>1141</v>
      </c>
    </row>
    <row r="2602" spans="2:5" x14ac:dyDescent="0.25">
      <c r="B2602" s="115" t="s">
        <v>1139</v>
      </c>
      <c r="D2602" s="115" t="s">
        <v>1140</v>
      </c>
      <c r="E2602" s="115" t="s">
        <v>1141</v>
      </c>
    </row>
    <row r="2603" spans="2:5" x14ac:dyDescent="0.25">
      <c r="B2603" s="115" t="s">
        <v>1139</v>
      </c>
      <c r="D2603" s="115" t="s">
        <v>1140</v>
      </c>
      <c r="E2603" s="115" t="s">
        <v>1141</v>
      </c>
    </row>
    <row r="2604" spans="2:5" x14ac:dyDescent="0.25">
      <c r="B2604" s="115" t="s">
        <v>1139</v>
      </c>
      <c r="D2604" s="115" t="s">
        <v>1140</v>
      </c>
      <c r="E2604" s="115" t="s">
        <v>1141</v>
      </c>
    </row>
    <row r="2605" spans="2:5" x14ac:dyDescent="0.25">
      <c r="B2605" s="115" t="s">
        <v>1139</v>
      </c>
      <c r="D2605" s="115" t="s">
        <v>1140</v>
      </c>
      <c r="E2605" s="115" t="s">
        <v>1141</v>
      </c>
    </row>
    <row r="2606" spans="2:5" x14ac:dyDescent="0.25">
      <c r="B2606" s="115" t="s">
        <v>1139</v>
      </c>
      <c r="D2606" s="115" t="s">
        <v>1140</v>
      </c>
      <c r="E2606" s="115" t="s">
        <v>1141</v>
      </c>
    </row>
    <row r="2607" spans="2:5" x14ac:dyDescent="0.25">
      <c r="B2607" s="115" t="s">
        <v>1139</v>
      </c>
      <c r="D2607" s="115" t="s">
        <v>1140</v>
      </c>
      <c r="E2607" s="115" t="s">
        <v>1141</v>
      </c>
    </row>
    <row r="2608" spans="2:5" x14ac:dyDescent="0.25">
      <c r="B2608" s="115" t="s">
        <v>1139</v>
      </c>
      <c r="D2608" s="115" t="s">
        <v>1140</v>
      </c>
      <c r="E2608" s="115" t="s">
        <v>1141</v>
      </c>
    </row>
    <row r="2609" spans="2:5" x14ac:dyDescent="0.25">
      <c r="B2609" s="115" t="s">
        <v>1139</v>
      </c>
      <c r="D2609" s="115" t="s">
        <v>1140</v>
      </c>
      <c r="E2609" s="115" t="s">
        <v>1141</v>
      </c>
    </row>
    <row r="2610" spans="2:5" x14ac:dyDescent="0.25">
      <c r="B2610" s="115" t="s">
        <v>1139</v>
      </c>
      <c r="D2610" s="115" t="s">
        <v>1140</v>
      </c>
      <c r="E2610" s="115" t="s">
        <v>1141</v>
      </c>
    </row>
    <row r="2611" spans="2:5" x14ac:dyDescent="0.25">
      <c r="B2611" s="115" t="s">
        <v>1139</v>
      </c>
      <c r="D2611" s="115" t="s">
        <v>1140</v>
      </c>
      <c r="E2611" s="115" t="s">
        <v>1141</v>
      </c>
    </row>
    <row r="2612" spans="2:5" x14ac:dyDescent="0.25">
      <c r="B2612" s="115" t="s">
        <v>1139</v>
      </c>
      <c r="D2612" s="115" t="s">
        <v>1140</v>
      </c>
      <c r="E2612" s="115" t="s">
        <v>1141</v>
      </c>
    </row>
    <row r="2613" spans="2:5" x14ac:dyDescent="0.25">
      <c r="B2613" s="115" t="s">
        <v>1139</v>
      </c>
      <c r="D2613" s="115" t="s">
        <v>1140</v>
      </c>
      <c r="E2613" s="115" t="s">
        <v>1141</v>
      </c>
    </row>
    <row r="2614" spans="2:5" x14ac:dyDescent="0.25">
      <c r="B2614" s="115" t="s">
        <v>1139</v>
      </c>
      <c r="D2614" s="115" t="s">
        <v>1140</v>
      </c>
      <c r="E2614" s="115" t="s">
        <v>1141</v>
      </c>
    </row>
    <row r="2615" spans="2:5" x14ac:dyDescent="0.25">
      <c r="B2615" s="115" t="s">
        <v>1139</v>
      </c>
      <c r="D2615" s="115" t="s">
        <v>1140</v>
      </c>
      <c r="E2615" s="115" t="s">
        <v>1141</v>
      </c>
    </row>
    <row r="2616" spans="2:5" x14ac:dyDescent="0.25">
      <c r="B2616" s="115" t="s">
        <v>1139</v>
      </c>
      <c r="D2616" s="115" t="s">
        <v>1140</v>
      </c>
      <c r="E2616" s="115" t="s">
        <v>1141</v>
      </c>
    </row>
    <row r="2617" spans="2:5" x14ac:dyDescent="0.25">
      <c r="B2617" s="115" t="s">
        <v>1139</v>
      </c>
      <c r="D2617" s="115" t="s">
        <v>1140</v>
      </c>
      <c r="E2617" s="115" t="s">
        <v>1141</v>
      </c>
    </row>
    <row r="2618" spans="2:5" x14ac:dyDescent="0.25">
      <c r="B2618" s="115" t="s">
        <v>1139</v>
      </c>
      <c r="D2618" s="115" t="s">
        <v>1140</v>
      </c>
      <c r="E2618" s="115" t="s">
        <v>1141</v>
      </c>
    </row>
    <row r="2619" spans="2:5" x14ac:dyDescent="0.25">
      <c r="B2619" s="115" t="s">
        <v>1139</v>
      </c>
      <c r="D2619" s="115" t="s">
        <v>1140</v>
      </c>
      <c r="E2619" s="115" t="s">
        <v>1141</v>
      </c>
    </row>
    <row r="2620" spans="2:5" x14ac:dyDescent="0.25">
      <c r="B2620" s="115" t="s">
        <v>1139</v>
      </c>
      <c r="D2620" s="115" t="s">
        <v>1140</v>
      </c>
      <c r="E2620" s="115" t="s">
        <v>1141</v>
      </c>
    </row>
    <row r="2621" spans="2:5" x14ac:dyDescent="0.25">
      <c r="B2621" s="115" t="s">
        <v>1139</v>
      </c>
      <c r="D2621" s="115" t="s">
        <v>1140</v>
      </c>
      <c r="E2621" s="115" t="s">
        <v>1141</v>
      </c>
    </row>
    <row r="2622" spans="2:5" x14ac:dyDescent="0.25">
      <c r="B2622" s="115" t="s">
        <v>1139</v>
      </c>
      <c r="D2622" s="115" t="s">
        <v>1140</v>
      </c>
      <c r="E2622" s="115" t="s">
        <v>1141</v>
      </c>
    </row>
    <row r="2623" spans="2:5" x14ac:dyDescent="0.25">
      <c r="B2623" s="115" t="s">
        <v>1139</v>
      </c>
      <c r="D2623" s="115" t="s">
        <v>1140</v>
      </c>
      <c r="E2623" s="115" t="s">
        <v>1141</v>
      </c>
    </row>
    <row r="2624" spans="2:5" x14ac:dyDescent="0.25">
      <c r="B2624" s="115" t="s">
        <v>1139</v>
      </c>
      <c r="D2624" s="115" t="s">
        <v>1140</v>
      </c>
      <c r="E2624" s="115" t="s">
        <v>1141</v>
      </c>
    </row>
    <row r="2625" spans="2:5" x14ac:dyDescent="0.25">
      <c r="B2625" s="115" t="s">
        <v>1139</v>
      </c>
      <c r="D2625" s="115" t="s">
        <v>1140</v>
      </c>
      <c r="E2625" s="115" t="s">
        <v>1141</v>
      </c>
    </row>
    <row r="2626" spans="2:5" x14ac:dyDescent="0.25">
      <c r="B2626" s="115" t="s">
        <v>1139</v>
      </c>
      <c r="D2626" s="115" t="s">
        <v>1140</v>
      </c>
      <c r="E2626" s="115" t="s">
        <v>1141</v>
      </c>
    </row>
    <row r="2627" spans="2:5" x14ac:dyDescent="0.25">
      <c r="B2627" s="115" t="s">
        <v>1139</v>
      </c>
      <c r="D2627" s="115" t="s">
        <v>1140</v>
      </c>
      <c r="E2627" s="115" t="s">
        <v>1141</v>
      </c>
    </row>
    <row r="2628" spans="2:5" x14ac:dyDescent="0.25">
      <c r="B2628" s="115" t="s">
        <v>1139</v>
      </c>
      <c r="D2628" s="115" t="s">
        <v>1140</v>
      </c>
      <c r="E2628" s="115" t="s">
        <v>1141</v>
      </c>
    </row>
    <row r="2629" spans="2:5" x14ac:dyDescent="0.25">
      <c r="B2629" s="115" t="s">
        <v>1139</v>
      </c>
      <c r="D2629" s="115" t="s">
        <v>1140</v>
      </c>
      <c r="E2629" s="115" t="s">
        <v>1141</v>
      </c>
    </row>
    <row r="2630" spans="2:5" x14ac:dyDescent="0.25">
      <c r="B2630" s="115" t="s">
        <v>1139</v>
      </c>
      <c r="D2630" s="115" t="s">
        <v>1140</v>
      </c>
      <c r="E2630" s="115" t="s">
        <v>1141</v>
      </c>
    </row>
    <row r="2631" spans="2:5" x14ac:dyDescent="0.25">
      <c r="B2631" s="115" t="s">
        <v>1139</v>
      </c>
      <c r="D2631" s="115" t="s">
        <v>1140</v>
      </c>
      <c r="E2631" s="115" t="s">
        <v>1141</v>
      </c>
    </row>
    <row r="2632" spans="2:5" x14ac:dyDescent="0.25">
      <c r="B2632" s="115" t="s">
        <v>1139</v>
      </c>
      <c r="D2632" s="115" t="s">
        <v>1140</v>
      </c>
      <c r="E2632" s="115" t="s">
        <v>1141</v>
      </c>
    </row>
    <row r="2633" spans="2:5" x14ac:dyDescent="0.25">
      <c r="B2633" s="115" t="s">
        <v>1139</v>
      </c>
      <c r="D2633" s="115" t="s">
        <v>1140</v>
      </c>
      <c r="E2633" s="115" t="s">
        <v>1141</v>
      </c>
    </row>
    <row r="2634" spans="2:5" x14ac:dyDescent="0.25">
      <c r="B2634" s="115" t="s">
        <v>1139</v>
      </c>
      <c r="D2634" s="115" t="s">
        <v>1140</v>
      </c>
      <c r="E2634" s="115" t="s">
        <v>1141</v>
      </c>
    </row>
    <row r="2635" spans="2:5" x14ac:dyDescent="0.25">
      <c r="B2635" s="115" t="s">
        <v>1139</v>
      </c>
      <c r="D2635" s="115" t="s">
        <v>1140</v>
      </c>
      <c r="E2635" s="115" t="s">
        <v>1141</v>
      </c>
    </row>
    <row r="2636" spans="2:5" x14ac:dyDescent="0.25">
      <c r="B2636" s="115" t="s">
        <v>1139</v>
      </c>
      <c r="D2636" s="115" t="s">
        <v>1140</v>
      </c>
      <c r="E2636" s="115" t="s">
        <v>1141</v>
      </c>
    </row>
    <row r="2637" spans="2:5" x14ac:dyDescent="0.25">
      <c r="B2637" s="115" t="s">
        <v>1139</v>
      </c>
      <c r="D2637" s="115" t="s">
        <v>1140</v>
      </c>
      <c r="E2637" s="115" t="s">
        <v>1141</v>
      </c>
    </row>
    <row r="2638" spans="2:5" x14ac:dyDescent="0.25">
      <c r="B2638" s="115" t="s">
        <v>1139</v>
      </c>
      <c r="D2638" s="115" t="s">
        <v>1140</v>
      </c>
      <c r="E2638" s="115" t="s">
        <v>1141</v>
      </c>
    </row>
    <row r="2639" spans="2:5" x14ac:dyDescent="0.25">
      <c r="B2639" s="115" t="s">
        <v>1139</v>
      </c>
      <c r="D2639" s="115" t="s">
        <v>1140</v>
      </c>
      <c r="E2639" s="115" t="s">
        <v>1141</v>
      </c>
    </row>
    <row r="2640" spans="2:5" x14ac:dyDescent="0.25">
      <c r="B2640" s="115" t="s">
        <v>1139</v>
      </c>
      <c r="D2640" s="115" t="s">
        <v>1140</v>
      </c>
      <c r="E2640" s="115" t="s">
        <v>1141</v>
      </c>
    </row>
    <row r="2641" spans="2:5" x14ac:dyDescent="0.25">
      <c r="B2641" s="115" t="s">
        <v>1139</v>
      </c>
      <c r="D2641" s="115" t="s">
        <v>1140</v>
      </c>
      <c r="E2641" s="115" t="s">
        <v>1141</v>
      </c>
    </row>
    <row r="2642" spans="2:5" x14ac:dyDescent="0.25">
      <c r="B2642" s="115" t="s">
        <v>1139</v>
      </c>
      <c r="D2642" s="115" t="s">
        <v>1140</v>
      </c>
      <c r="E2642" s="115" t="s">
        <v>1141</v>
      </c>
    </row>
    <row r="2643" spans="2:5" x14ac:dyDescent="0.25">
      <c r="B2643" s="115" t="s">
        <v>1139</v>
      </c>
      <c r="D2643" s="115" t="s">
        <v>1140</v>
      </c>
      <c r="E2643" s="115" t="s">
        <v>1141</v>
      </c>
    </row>
    <row r="2644" spans="2:5" x14ac:dyDescent="0.25">
      <c r="B2644" s="115" t="s">
        <v>1139</v>
      </c>
      <c r="D2644" s="115" t="s">
        <v>1140</v>
      </c>
      <c r="E2644" s="115" t="s">
        <v>1141</v>
      </c>
    </row>
    <row r="2645" spans="2:5" x14ac:dyDescent="0.25">
      <c r="B2645" s="115" t="s">
        <v>1139</v>
      </c>
      <c r="D2645" s="115" t="s">
        <v>1140</v>
      </c>
      <c r="E2645" s="115" t="s">
        <v>1141</v>
      </c>
    </row>
    <row r="2646" spans="2:5" x14ac:dyDescent="0.25">
      <c r="B2646" s="115" t="s">
        <v>1139</v>
      </c>
      <c r="D2646" s="115" t="s">
        <v>1140</v>
      </c>
      <c r="E2646" s="115" t="s">
        <v>1141</v>
      </c>
    </row>
    <row r="2647" spans="2:5" x14ac:dyDescent="0.25">
      <c r="B2647" s="115" t="s">
        <v>1139</v>
      </c>
      <c r="D2647" s="115" t="s">
        <v>1140</v>
      </c>
      <c r="E2647" s="115" t="s">
        <v>1141</v>
      </c>
    </row>
    <row r="2648" spans="2:5" x14ac:dyDescent="0.25">
      <c r="B2648" s="115" t="s">
        <v>1139</v>
      </c>
      <c r="D2648" s="115" t="s">
        <v>1140</v>
      </c>
      <c r="E2648" s="115" t="s">
        <v>1141</v>
      </c>
    </row>
    <row r="2649" spans="2:5" x14ac:dyDescent="0.25">
      <c r="B2649" s="115" t="s">
        <v>1139</v>
      </c>
      <c r="D2649" s="115" t="s">
        <v>1140</v>
      </c>
      <c r="E2649" s="115" t="s">
        <v>1141</v>
      </c>
    </row>
    <row r="2650" spans="2:5" x14ac:dyDescent="0.25">
      <c r="B2650" s="115" t="s">
        <v>1139</v>
      </c>
      <c r="D2650" s="115" t="s">
        <v>1140</v>
      </c>
      <c r="E2650" s="115" t="s">
        <v>1141</v>
      </c>
    </row>
    <row r="2651" spans="2:5" x14ac:dyDescent="0.25">
      <c r="B2651" s="115" t="s">
        <v>1139</v>
      </c>
      <c r="D2651" s="115" t="s">
        <v>1140</v>
      </c>
      <c r="E2651" s="115" t="s">
        <v>1141</v>
      </c>
    </row>
    <row r="2652" spans="2:5" x14ac:dyDescent="0.25">
      <c r="B2652" s="115" t="s">
        <v>1139</v>
      </c>
      <c r="D2652" s="115" t="s">
        <v>1140</v>
      </c>
      <c r="E2652" s="115" t="s">
        <v>1141</v>
      </c>
    </row>
    <row r="2653" spans="2:5" x14ac:dyDescent="0.25">
      <c r="B2653" s="115" t="s">
        <v>1139</v>
      </c>
      <c r="D2653" s="115" t="s">
        <v>1140</v>
      </c>
      <c r="E2653" s="115" t="s">
        <v>1141</v>
      </c>
    </row>
    <row r="2654" spans="2:5" x14ac:dyDescent="0.25">
      <c r="B2654" s="115" t="s">
        <v>1139</v>
      </c>
      <c r="D2654" s="115" t="s">
        <v>1140</v>
      </c>
      <c r="E2654" s="115" t="s">
        <v>1141</v>
      </c>
    </row>
    <row r="2655" spans="2:5" x14ac:dyDescent="0.25">
      <c r="B2655" s="115" t="s">
        <v>1139</v>
      </c>
      <c r="D2655" s="115" t="s">
        <v>1140</v>
      </c>
      <c r="E2655" s="115" t="s">
        <v>1141</v>
      </c>
    </row>
    <row r="2656" spans="2:5" x14ac:dyDescent="0.25">
      <c r="B2656" s="115" t="s">
        <v>1139</v>
      </c>
      <c r="D2656" s="115" t="s">
        <v>1140</v>
      </c>
      <c r="E2656" s="115" t="s">
        <v>1141</v>
      </c>
    </row>
    <row r="2657" spans="2:5" x14ac:dyDescent="0.25">
      <c r="B2657" s="115" t="s">
        <v>1139</v>
      </c>
      <c r="D2657" s="115" t="s">
        <v>1140</v>
      </c>
      <c r="E2657" s="115" t="s">
        <v>1141</v>
      </c>
    </row>
    <row r="2658" spans="2:5" x14ac:dyDescent="0.25">
      <c r="B2658" s="115" t="s">
        <v>1139</v>
      </c>
      <c r="D2658" s="115" t="s">
        <v>1140</v>
      </c>
      <c r="E2658" s="115" t="s">
        <v>1141</v>
      </c>
    </row>
    <row r="2659" spans="2:5" x14ac:dyDescent="0.25">
      <c r="B2659" s="115" t="s">
        <v>1139</v>
      </c>
      <c r="D2659" s="115" t="s">
        <v>1140</v>
      </c>
      <c r="E2659" s="115" t="s">
        <v>1141</v>
      </c>
    </row>
    <row r="2660" spans="2:5" x14ac:dyDescent="0.25">
      <c r="B2660" s="115" t="s">
        <v>1139</v>
      </c>
      <c r="D2660" s="115" t="s">
        <v>1140</v>
      </c>
      <c r="E2660" s="115" t="s">
        <v>1141</v>
      </c>
    </row>
    <row r="2661" spans="2:5" x14ac:dyDescent="0.25">
      <c r="B2661" s="115" t="s">
        <v>1139</v>
      </c>
      <c r="D2661" s="115" t="s">
        <v>1140</v>
      </c>
      <c r="E2661" s="115" t="s">
        <v>1141</v>
      </c>
    </row>
    <row r="2662" spans="2:5" x14ac:dyDescent="0.25">
      <c r="B2662" s="115" t="s">
        <v>1139</v>
      </c>
      <c r="D2662" s="115" t="s">
        <v>1140</v>
      </c>
      <c r="E2662" s="115" t="s">
        <v>1141</v>
      </c>
    </row>
    <row r="2663" spans="2:5" x14ac:dyDescent="0.25">
      <c r="B2663" s="115" t="s">
        <v>1139</v>
      </c>
      <c r="D2663" s="115" t="s">
        <v>1140</v>
      </c>
      <c r="E2663" s="115" t="s">
        <v>1141</v>
      </c>
    </row>
    <row r="2664" spans="2:5" x14ac:dyDescent="0.25">
      <c r="B2664" s="115" t="s">
        <v>1139</v>
      </c>
      <c r="D2664" s="115" t="s">
        <v>1140</v>
      </c>
      <c r="E2664" s="115" t="s">
        <v>1141</v>
      </c>
    </row>
    <row r="2665" spans="2:5" x14ac:dyDescent="0.25">
      <c r="B2665" s="115" t="s">
        <v>1139</v>
      </c>
      <c r="D2665" s="115" t="s">
        <v>1140</v>
      </c>
      <c r="E2665" s="115" t="s">
        <v>1141</v>
      </c>
    </row>
    <row r="2666" spans="2:5" x14ac:dyDescent="0.25">
      <c r="B2666" s="115" t="s">
        <v>1139</v>
      </c>
      <c r="D2666" s="115" t="s">
        <v>1140</v>
      </c>
      <c r="E2666" s="115" t="s">
        <v>1141</v>
      </c>
    </row>
    <row r="2667" spans="2:5" x14ac:dyDescent="0.25">
      <c r="B2667" s="115" t="s">
        <v>1139</v>
      </c>
      <c r="D2667" s="115" t="s">
        <v>1140</v>
      </c>
      <c r="E2667" s="115" t="s">
        <v>1141</v>
      </c>
    </row>
    <row r="2668" spans="2:5" x14ac:dyDescent="0.25">
      <c r="B2668" s="115" t="s">
        <v>1139</v>
      </c>
      <c r="D2668" s="115" t="s">
        <v>1140</v>
      </c>
      <c r="E2668" s="115" t="s">
        <v>1141</v>
      </c>
    </row>
    <row r="2669" spans="2:5" x14ac:dyDescent="0.25">
      <c r="B2669" s="115" t="s">
        <v>1139</v>
      </c>
      <c r="D2669" s="115" t="s">
        <v>1140</v>
      </c>
      <c r="E2669" s="115" t="s">
        <v>1141</v>
      </c>
    </row>
    <row r="2670" spans="2:5" x14ac:dyDescent="0.25">
      <c r="B2670" s="115" t="s">
        <v>1139</v>
      </c>
      <c r="D2670" s="115" t="s">
        <v>1140</v>
      </c>
      <c r="E2670" s="115" t="s">
        <v>1141</v>
      </c>
    </row>
    <row r="2671" spans="2:5" x14ac:dyDescent="0.25">
      <c r="B2671" s="115" t="s">
        <v>1139</v>
      </c>
      <c r="D2671" s="115" t="s">
        <v>1140</v>
      </c>
      <c r="E2671" s="115" t="s">
        <v>1141</v>
      </c>
    </row>
    <row r="2672" spans="2:5" x14ac:dyDescent="0.25">
      <c r="B2672" s="115" t="s">
        <v>1139</v>
      </c>
      <c r="D2672" s="115" t="s">
        <v>1140</v>
      </c>
      <c r="E2672" s="115" t="s">
        <v>1141</v>
      </c>
    </row>
    <row r="2673" spans="2:5" x14ac:dyDescent="0.25">
      <c r="B2673" s="115" t="s">
        <v>1139</v>
      </c>
      <c r="D2673" s="115" t="s">
        <v>1140</v>
      </c>
      <c r="E2673" s="115" t="s">
        <v>1141</v>
      </c>
    </row>
    <row r="2674" spans="2:5" x14ac:dyDescent="0.25">
      <c r="B2674" s="115" t="s">
        <v>1139</v>
      </c>
      <c r="D2674" s="115" t="s">
        <v>1140</v>
      </c>
      <c r="E2674" s="115" t="s">
        <v>1141</v>
      </c>
    </row>
    <row r="2675" spans="2:5" x14ac:dyDescent="0.25">
      <c r="B2675" s="115" t="s">
        <v>1139</v>
      </c>
      <c r="D2675" s="115" t="s">
        <v>1140</v>
      </c>
      <c r="E2675" s="115" t="s">
        <v>1141</v>
      </c>
    </row>
    <row r="2676" spans="2:5" x14ac:dyDescent="0.25">
      <c r="B2676" s="115" t="s">
        <v>1139</v>
      </c>
      <c r="D2676" s="115" t="s">
        <v>1140</v>
      </c>
      <c r="E2676" s="115" t="s">
        <v>1141</v>
      </c>
    </row>
    <row r="2677" spans="2:5" x14ac:dyDescent="0.25">
      <c r="B2677" s="115" t="s">
        <v>1139</v>
      </c>
      <c r="D2677" s="115" t="s">
        <v>1140</v>
      </c>
      <c r="E2677" s="115" t="s">
        <v>1141</v>
      </c>
    </row>
    <row r="2678" spans="2:5" x14ac:dyDescent="0.25">
      <c r="B2678" s="115" t="s">
        <v>1139</v>
      </c>
      <c r="D2678" s="115" t="s">
        <v>1140</v>
      </c>
      <c r="E2678" s="115" t="s">
        <v>1141</v>
      </c>
    </row>
    <row r="2679" spans="2:5" x14ac:dyDescent="0.25">
      <c r="B2679" s="115" t="s">
        <v>1139</v>
      </c>
      <c r="D2679" s="115" t="s">
        <v>1140</v>
      </c>
      <c r="E2679" s="115" t="s">
        <v>1141</v>
      </c>
    </row>
    <row r="2680" spans="2:5" x14ac:dyDescent="0.25">
      <c r="B2680" s="115" t="s">
        <v>1139</v>
      </c>
      <c r="D2680" s="115" t="s">
        <v>1140</v>
      </c>
      <c r="E2680" s="115" t="s">
        <v>1141</v>
      </c>
    </row>
    <row r="2681" spans="2:5" x14ac:dyDescent="0.25">
      <c r="B2681" s="115" t="s">
        <v>1139</v>
      </c>
      <c r="D2681" s="115" t="s">
        <v>1140</v>
      </c>
      <c r="E2681" s="115" t="s">
        <v>1141</v>
      </c>
    </row>
    <row r="2682" spans="2:5" x14ac:dyDescent="0.25">
      <c r="B2682" s="115" t="s">
        <v>1139</v>
      </c>
      <c r="D2682" s="115" t="s">
        <v>1140</v>
      </c>
      <c r="E2682" s="115" t="s">
        <v>1141</v>
      </c>
    </row>
    <row r="2683" spans="2:5" x14ac:dyDescent="0.25">
      <c r="B2683" s="115" t="s">
        <v>1139</v>
      </c>
      <c r="D2683" s="115" t="s">
        <v>1140</v>
      </c>
      <c r="E2683" s="115" t="s">
        <v>1141</v>
      </c>
    </row>
    <row r="2684" spans="2:5" x14ac:dyDescent="0.25">
      <c r="B2684" s="115" t="s">
        <v>1139</v>
      </c>
      <c r="D2684" s="115" t="s">
        <v>1140</v>
      </c>
      <c r="E2684" s="115" t="s">
        <v>1141</v>
      </c>
    </row>
    <row r="2685" spans="2:5" x14ac:dyDescent="0.25">
      <c r="B2685" s="115" t="s">
        <v>1139</v>
      </c>
      <c r="D2685" s="115" t="s">
        <v>1140</v>
      </c>
      <c r="E2685" s="115" t="s">
        <v>1141</v>
      </c>
    </row>
    <row r="2686" spans="2:5" x14ac:dyDescent="0.25">
      <c r="B2686" s="115" t="s">
        <v>4313</v>
      </c>
      <c r="D2686" s="115" t="s">
        <v>4314</v>
      </c>
      <c r="E2686" s="115" t="s">
        <v>4315</v>
      </c>
    </row>
    <row r="2687" spans="2:5" x14ac:dyDescent="0.25">
      <c r="B2687" s="115" t="s">
        <v>1139</v>
      </c>
      <c r="D2687" s="115" t="s">
        <v>4316</v>
      </c>
      <c r="E2687" s="115" t="s">
        <v>1141</v>
      </c>
    </row>
    <row r="2688" spans="2:5" x14ac:dyDescent="0.25">
      <c r="B2688" s="115" t="s">
        <v>1139</v>
      </c>
      <c r="D2688" s="115" t="s">
        <v>4317</v>
      </c>
      <c r="E2688" s="115" t="s">
        <v>4318</v>
      </c>
    </row>
    <row r="2689" spans="1:5" x14ac:dyDescent="0.25">
      <c r="B2689" s="115" t="s">
        <v>4319</v>
      </c>
      <c r="D2689" s="115" t="s">
        <v>3014</v>
      </c>
      <c r="E2689" s="115" t="s">
        <v>4320</v>
      </c>
    </row>
    <row r="2690" spans="1:5" x14ac:dyDescent="0.25">
      <c r="B2690" s="115" t="s">
        <v>1139</v>
      </c>
      <c r="D2690" s="115" t="s">
        <v>4321</v>
      </c>
      <c r="E2690" s="115" t="s">
        <v>2690</v>
      </c>
    </row>
    <row r="2691" spans="1:5" x14ac:dyDescent="0.25">
      <c r="B2691" s="115" t="s">
        <v>1139</v>
      </c>
      <c r="D2691" s="115" t="s">
        <v>4322</v>
      </c>
      <c r="E2691" s="115" t="s">
        <v>4323</v>
      </c>
    </row>
    <row r="2692" spans="1:5" x14ac:dyDescent="0.25">
      <c r="B2692" s="115" t="s">
        <v>1541</v>
      </c>
      <c r="D2692" s="115" t="s">
        <v>4324</v>
      </c>
      <c r="E2692" s="115" t="s">
        <v>4325</v>
      </c>
    </row>
    <row r="2693" spans="1:5" x14ac:dyDescent="0.2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2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25">
      <c r="B2695" s="115" t="s">
        <v>4331</v>
      </c>
      <c r="D2695" s="115" t="s">
        <v>4332</v>
      </c>
      <c r="E2695" s="115" t="s">
        <v>4333</v>
      </c>
    </row>
    <row r="2696" spans="1:5" x14ac:dyDescent="0.2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2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2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25">
      <c r="B2699" s="115" t="s">
        <v>4340</v>
      </c>
      <c r="D2699" s="115" t="s">
        <v>4341</v>
      </c>
      <c r="E2699" s="115" t="s">
        <v>1859</v>
      </c>
    </row>
    <row r="2700" spans="1:5" x14ac:dyDescent="0.25">
      <c r="B2700" s="115" t="s">
        <v>4342</v>
      </c>
      <c r="D2700" s="115" t="s">
        <v>4343</v>
      </c>
      <c r="E2700" s="115" t="s">
        <v>4344</v>
      </c>
    </row>
    <row r="2701" spans="1:5" x14ac:dyDescent="0.2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2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2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2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2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2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25">
      <c r="B2707" s="115" t="s">
        <v>1139</v>
      </c>
      <c r="D2707" s="115" t="s">
        <v>1140</v>
      </c>
      <c r="E2707" s="115" t="s">
        <v>4358</v>
      </c>
    </row>
    <row r="2708" spans="1:5" x14ac:dyDescent="0.25">
      <c r="B2708" s="115" t="s">
        <v>1139</v>
      </c>
      <c r="D2708" s="115" t="s">
        <v>4359</v>
      </c>
      <c r="E2708" s="115" t="s">
        <v>4360</v>
      </c>
    </row>
    <row r="2709" spans="1:5" x14ac:dyDescent="0.25">
      <c r="B2709" s="115" t="s">
        <v>1139</v>
      </c>
      <c r="D2709" s="115" t="s">
        <v>1140</v>
      </c>
      <c r="E2709" s="115" t="s">
        <v>4361</v>
      </c>
    </row>
    <row r="2710" spans="1:5" x14ac:dyDescent="0.25">
      <c r="B2710" s="115" t="s">
        <v>1139</v>
      </c>
      <c r="D2710" s="115" t="s">
        <v>4362</v>
      </c>
      <c r="E2710" s="115" t="s">
        <v>4363</v>
      </c>
    </row>
    <row r="2711" spans="1:5" x14ac:dyDescent="0.25">
      <c r="B2711" s="115" t="s">
        <v>4364</v>
      </c>
      <c r="D2711" s="115" t="s">
        <v>4365</v>
      </c>
      <c r="E2711" s="115" t="s">
        <v>1894</v>
      </c>
    </row>
    <row r="2712" spans="1:5" x14ac:dyDescent="0.25">
      <c r="B2712" s="115" t="s">
        <v>1435</v>
      </c>
      <c r="D2712" s="115" t="s">
        <v>1140</v>
      </c>
      <c r="E2712" s="115" t="s">
        <v>4366</v>
      </c>
    </row>
    <row r="2713" spans="1:5" x14ac:dyDescent="0.2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25">
      <c r="B2714" s="115" t="s">
        <v>1139</v>
      </c>
      <c r="D2714" s="115" t="s">
        <v>4369</v>
      </c>
      <c r="E2714" s="115" t="s">
        <v>4370</v>
      </c>
    </row>
    <row r="2715" spans="1:5" x14ac:dyDescent="0.2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25">
      <c r="B2716" s="115" t="s">
        <v>4373</v>
      </c>
      <c r="D2716" s="115" t="s">
        <v>4374</v>
      </c>
      <c r="E2716" s="115" t="s">
        <v>4375</v>
      </c>
    </row>
    <row r="2717" spans="1:5" x14ac:dyDescent="0.25">
      <c r="B2717" s="115" t="s">
        <v>4376</v>
      </c>
      <c r="D2717" s="115" t="s">
        <v>4377</v>
      </c>
      <c r="E2717" s="115" t="s">
        <v>4378</v>
      </c>
    </row>
    <row r="2718" spans="1:5" x14ac:dyDescent="0.2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25">
      <c r="B2719" s="115" t="s">
        <v>4381</v>
      </c>
      <c r="D2719" s="115" t="s">
        <v>4382</v>
      </c>
      <c r="E2719" s="115" t="s">
        <v>4383</v>
      </c>
    </row>
    <row r="2720" spans="1:5" x14ac:dyDescent="0.25">
      <c r="B2720" s="115" t="s">
        <v>4384</v>
      </c>
      <c r="D2720" s="115" t="s">
        <v>4385</v>
      </c>
      <c r="E2720" s="115" t="s">
        <v>4386</v>
      </c>
    </row>
    <row r="2721" spans="1:5" x14ac:dyDescent="0.2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25">
      <c r="B2722" s="115" t="s">
        <v>4389</v>
      </c>
      <c r="D2722" s="115" t="s">
        <v>3621</v>
      </c>
      <c r="E2722" s="115" t="s">
        <v>4390</v>
      </c>
    </row>
    <row r="2723" spans="1:5" x14ac:dyDescent="0.25">
      <c r="B2723" s="115" t="s">
        <v>1310</v>
      </c>
      <c r="D2723" s="115" t="s">
        <v>4391</v>
      </c>
      <c r="E2723" s="115" t="s">
        <v>4392</v>
      </c>
    </row>
    <row r="2724" spans="1:5" x14ac:dyDescent="0.25">
      <c r="B2724" s="115" t="s">
        <v>1139</v>
      </c>
      <c r="D2724" s="115" t="s">
        <v>1140</v>
      </c>
      <c r="E2724" s="115" t="s">
        <v>4393</v>
      </c>
    </row>
    <row r="2725" spans="1:5" x14ac:dyDescent="0.25">
      <c r="B2725" s="115" t="s">
        <v>1385</v>
      </c>
      <c r="D2725" s="115" t="s">
        <v>1140</v>
      </c>
      <c r="E2725" s="115" t="s">
        <v>4394</v>
      </c>
    </row>
    <row r="2726" spans="1:5" x14ac:dyDescent="0.2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25">
      <c r="B2727" s="115" t="s">
        <v>4398</v>
      </c>
      <c r="D2727" s="115" t="s">
        <v>1140</v>
      </c>
      <c r="E2727" s="115" t="s">
        <v>4399</v>
      </c>
    </row>
    <row r="2728" spans="1:5" x14ac:dyDescent="0.2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2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25">
      <c r="B2730" s="115" t="s">
        <v>1207</v>
      </c>
      <c r="D2730" s="115" t="s">
        <v>4404</v>
      </c>
      <c r="E2730" s="115" t="s">
        <v>4405</v>
      </c>
    </row>
    <row r="2731" spans="1:5" x14ac:dyDescent="0.25">
      <c r="B2731" s="115" t="s">
        <v>1139</v>
      </c>
      <c r="D2731" s="115" t="s">
        <v>2513</v>
      </c>
      <c r="E2731" s="115" t="s">
        <v>4406</v>
      </c>
    </row>
    <row r="2732" spans="1:5" x14ac:dyDescent="0.2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25">
      <c r="B2733" s="115" t="s">
        <v>1139</v>
      </c>
      <c r="D2733" s="115" t="s">
        <v>4410</v>
      </c>
      <c r="E2733" s="115" t="s">
        <v>4411</v>
      </c>
    </row>
    <row r="2734" spans="1:5" x14ac:dyDescent="0.25">
      <c r="B2734" s="115" t="s">
        <v>1139</v>
      </c>
      <c r="D2734" s="115" t="s">
        <v>1140</v>
      </c>
      <c r="E2734" s="115" t="s">
        <v>4412</v>
      </c>
    </row>
    <row r="2735" spans="1:5" x14ac:dyDescent="0.25">
      <c r="B2735" s="115" t="s">
        <v>1139</v>
      </c>
      <c r="D2735" s="115" t="s">
        <v>4413</v>
      </c>
      <c r="E2735" s="115" t="s">
        <v>4414</v>
      </c>
    </row>
    <row r="2736" spans="1:5" x14ac:dyDescent="0.25">
      <c r="B2736" s="115" t="s">
        <v>1230</v>
      </c>
      <c r="D2736" s="115" t="s">
        <v>4415</v>
      </c>
      <c r="E2736" s="115" t="s">
        <v>4416</v>
      </c>
    </row>
    <row r="2737" spans="1:5" x14ac:dyDescent="0.25">
      <c r="B2737" s="115" t="s">
        <v>1139</v>
      </c>
      <c r="D2737" s="115" t="s">
        <v>4417</v>
      </c>
      <c r="E2737" s="115" t="s">
        <v>4418</v>
      </c>
    </row>
    <row r="2738" spans="1:5" x14ac:dyDescent="0.2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25">
      <c r="B2739" s="115" t="s">
        <v>1139</v>
      </c>
      <c r="D2739" s="115" t="s">
        <v>4421</v>
      </c>
      <c r="E2739" s="115" t="s">
        <v>4422</v>
      </c>
    </row>
    <row r="2740" spans="1:5" x14ac:dyDescent="0.25">
      <c r="B2740" s="115" t="s">
        <v>1139</v>
      </c>
      <c r="D2740" s="115" t="s">
        <v>4423</v>
      </c>
      <c r="E2740" s="115" t="s">
        <v>4424</v>
      </c>
    </row>
    <row r="2741" spans="1:5" x14ac:dyDescent="0.2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25">
      <c r="B2742" s="115" t="s">
        <v>4428</v>
      </c>
      <c r="D2742" s="115" t="s">
        <v>1436</v>
      </c>
      <c r="E2742" s="115" t="s">
        <v>4429</v>
      </c>
    </row>
    <row r="2743" spans="1:5" x14ac:dyDescent="0.25">
      <c r="B2743" s="115" t="s">
        <v>1139</v>
      </c>
      <c r="D2743" s="115" t="s">
        <v>4430</v>
      </c>
      <c r="E2743" s="115" t="s">
        <v>4431</v>
      </c>
    </row>
    <row r="2744" spans="1:5" x14ac:dyDescent="0.25">
      <c r="B2744" s="115" t="s">
        <v>1139</v>
      </c>
      <c r="D2744" s="115" t="s">
        <v>4432</v>
      </c>
      <c r="E2744" s="115" t="s">
        <v>4433</v>
      </c>
    </row>
    <row r="2745" spans="1:5" x14ac:dyDescent="0.25">
      <c r="B2745" s="115" t="s">
        <v>4434</v>
      </c>
      <c r="D2745" s="115" t="s">
        <v>4435</v>
      </c>
      <c r="E2745" s="115" t="s">
        <v>1141</v>
      </c>
    </row>
    <row r="2746" spans="1:5" x14ac:dyDescent="0.25">
      <c r="B2746" s="115" t="s">
        <v>1139</v>
      </c>
      <c r="D2746" s="115" t="s">
        <v>4436</v>
      </c>
      <c r="E2746" s="115" t="s">
        <v>4437</v>
      </c>
    </row>
    <row r="2747" spans="1:5" x14ac:dyDescent="0.25">
      <c r="B2747" s="115" t="s">
        <v>1139</v>
      </c>
      <c r="D2747" s="115" t="s">
        <v>4438</v>
      </c>
      <c r="E2747" s="115" t="s">
        <v>4439</v>
      </c>
    </row>
    <row r="2748" spans="1:5" x14ac:dyDescent="0.25">
      <c r="B2748" s="115" t="s">
        <v>1139</v>
      </c>
      <c r="D2748" s="115" t="s">
        <v>4440</v>
      </c>
      <c r="E2748" s="115" t="s">
        <v>4441</v>
      </c>
    </row>
    <row r="2749" spans="1:5" x14ac:dyDescent="0.25">
      <c r="B2749" s="115" t="s">
        <v>1139</v>
      </c>
      <c r="D2749" s="115" t="s">
        <v>4442</v>
      </c>
      <c r="E2749" s="115" t="s">
        <v>4443</v>
      </c>
    </row>
    <row r="2750" spans="1:5" x14ac:dyDescent="0.2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2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25">
      <c r="B2752" s="115" t="s">
        <v>1139</v>
      </c>
      <c r="D2752" s="115" t="s">
        <v>4449</v>
      </c>
      <c r="E2752" s="115" t="s">
        <v>1141</v>
      </c>
    </row>
    <row r="2753" spans="1:5" x14ac:dyDescent="0.25">
      <c r="B2753" s="115" t="s">
        <v>1139</v>
      </c>
      <c r="D2753" s="115" t="s">
        <v>4450</v>
      </c>
      <c r="E2753" s="115" t="s">
        <v>4451</v>
      </c>
    </row>
    <row r="2754" spans="1:5" x14ac:dyDescent="0.25">
      <c r="B2754" s="115" t="s">
        <v>4452</v>
      </c>
      <c r="D2754" s="115" t="s">
        <v>1319</v>
      </c>
      <c r="E2754" s="115" t="s">
        <v>4453</v>
      </c>
    </row>
    <row r="2755" spans="1:5" x14ac:dyDescent="0.25">
      <c r="B2755" s="115" t="s">
        <v>1151</v>
      </c>
      <c r="D2755" s="115" t="s">
        <v>1140</v>
      </c>
      <c r="E2755" s="115" t="s">
        <v>4454</v>
      </c>
    </row>
    <row r="2756" spans="1:5" x14ac:dyDescent="0.25">
      <c r="B2756" s="115" t="s">
        <v>1139</v>
      </c>
      <c r="D2756" s="115" t="s">
        <v>4455</v>
      </c>
      <c r="E2756" s="115" t="s">
        <v>4456</v>
      </c>
    </row>
    <row r="2757" spans="1:5" x14ac:dyDescent="0.25">
      <c r="B2757" s="115" t="s">
        <v>1139</v>
      </c>
      <c r="D2757" s="115" t="s">
        <v>4457</v>
      </c>
      <c r="E2757" s="115" t="s">
        <v>4458</v>
      </c>
    </row>
    <row r="2758" spans="1:5" x14ac:dyDescent="0.2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25">
      <c r="B2759" s="115" t="s">
        <v>4462</v>
      </c>
      <c r="D2759" s="115" t="s">
        <v>4463</v>
      </c>
      <c r="E2759" s="115" t="s">
        <v>4464</v>
      </c>
    </row>
    <row r="2760" spans="1:5" x14ac:dyDescent="0.25">
      <c r="B2760" s="115" t="s">
        <v>4465</v>
      </c>
      <c r="D2760" s="115" t="s">
        <v>4466</v>
      </c>
      <c r="E2760" s="115" t="s">
        <v>4467</v>
      </c>
    </row>
    <row r="2761" spans="1:5" x14ac:dyDescent="0.25">
      <c r="B2761" s="115" t="s">
        <v>4468</v>
      </c>
      <c r="D2761" s="115" t="s">
        <v>4469</v>
      </c>
      <c r="E2761" s="115" t="s">
        <v>4470</v>
      </c>
    </row>
    <row r="2762" spans="1:5" x14ac:dyDescent="0.25">
      <c r="B2762" s="115" t="s">
        <v>1650</v>
      </c>
      <c r="D2762" s="115" t="s">
        <v>4471</v>
      </c>
      <c r="E2762" s="115" t="s">
        <v>4472</v>
      </c>
    </row>
    <row r="2763" spans="1:5" x14ac:dyDescent="0.2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2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25">
      <c r="B2765" s="115" t="s">
        <v>1306</v>
      </c>
      <c r="D2765" s="115" t="s">
        <v>4478</v>
      </c>
      <c r="E2765" s="115" t="s">
        <v>4479</v>
      </c>
    </row>
    <row r="2766" spans="1:5" x14ac:dyDescent="0.25">
      <c r="B2766" s="115" t="s">
        <v>4480</v>
      </c>
      <c r="D2766" s="115" t="s">
        <v>4481</v>
      </c>
      <c r="E2766" s="115" t="s">
        <v>4482</v>
      </c>
    </row>
    <row r="2767" spans="1:5" x14ac:dyDescent="0.25">
      <c r="B2767" s="115" t="s">
        <v>2765</v>
      </c>
      <c r="D2767" s="115" t="s">
        <v>4483</v>
      </c>
      <c r="E2767" s="115" t="s">
        <v>1141</v>
      </c>
    </row>
    <row r="2768" spans="1:5" x14ac:dyDescent="0.25">
      <c r="B2768" s="115" t="s">
        <v>1240</v>
      </c>
      <c r="D2768" s="115" t="s">
        <v>4484</v>
      </c>
      <c r="E2768" s="115" t="s">
        <v>1702</v>
      </c>
    </row>
    <row r="2769" spans="1:5" x14ac:dyDescent="0.25">
      <c r="B2769" s="115" t="s">
        <v>4485</v>
      </c>
      <c r="D2769" s="115" t="s">
        <v>4486</v>
      </c>
      <c r="E2769" s="115" t="s">
        <v>4487</v>
      </c>
    </row>
    <row r="2770" spans="1:5" x14ac:dyDescent="0.25">
      <c r="B2770" s="115" t="s">
        <v>4488</v>
      </c>
      <c r="D2770" s="115" t="s">
        <v>4489</v>
      </c>
      <c r="E2770" s="115" t="s">
        <v>4490</v>
      </c>
    </row>
    <row r="2771" spans="1:5" x14ac:dyDescent="0.25">
      <c r="B2771" s="115" t="s">
        <v>4491</v>
      </c>
      <c r="D2771" s="115" t="s">
        <v>4492</v>
      </c>
      <c r="E2771" s="115" t="s">
        <v>4493</v>
      </c>
    </row>
    <row r="2772" spans="1:5" x14ac:dyDescent="0.25">
      <c r="B2772" s="115" t="s">
        <v>1139</v>
      </c>
      <c r="D2772" s="115" t="s">
        <v>1140</v>
      </c>
      <c r="E2772" s="115" t="s">
        <v>4494</v>
      </c>
    </row>
    <row r="2773" spans="1:5" x14ac:dyDescent="0.25">
      <c r="B2773" s="115" t="s">
        <v>4495</v>
      </c>
      <c r="D2773" s="115" t="s">
        <v>4496</v>
      </c>
      <c r="E2773" s="115" t="s">
        <v>4497</v>
      </c>
    </row>
    <row r="2774" spans="1:5" x14ac:dyDescent="0.25">
      <c r="B2774" s="115" t="s">
        <v>1139</v>
      </c>
      <c r="D2774" s="115" t="s">
        <v>4498</v>
      </c>
      <c r="E2774" s="115" t="s">
        <v>1141</v>
      </c>
    </row>
    <row r="2775" spans="1:5" x14ac:dyDescent="0.25">
      <c r="B2775" s="115" t="s">
        <v>1139</v>
      </c>
      <c r="D2775" s="115" t="s">
        <v>4499</v>
      </c>
      <c r="E2775" s="115" t="s">
        <v>4500</v>
      </c>
    </row>
    <row r="2776" spans="1:5" x14ac:dyDescent="0.25">
      <c r="B2776" s="115" t="s">
        <v>4501</v>
      </c>
      <c r="D2776" s="115" t="s">
        <v>1848</v>
      </c>
      <c r="E2776" s="115" t="s">
        <v>1582</v>
      </c>
    </row>
    <row r="2777" spans="1:5" x14ac:dyDescent="0.25">
      <c r="B2777" s="115" t="s">
        <v>1139</v>
      </c>
      <c r="D2777" s="115" t="s">
        <v>3122</v>
      </c>
      <c r="E2777" s="115" t="s">
        <v>1759</v>
      </c>
    </row>
    <row r="2778" spans="1:5" x14ac:dyDescent="0.25">
      <c r="B2778" s="115" t="s">
        <v>1139</v>
      </c>
      <c r="D2778" s="115" t="s">
        <v>4502</v>
      </c>
      <c r="E2778" s="115" t="s">
        <v>4503</v>
      </c>
    </row>
    <row r="2779" spans="1:5" x14ac:dyDescent="0.25">
      <c r="B2779" s="115" t="s">
        <v>4504</v>
      </c>
      <c r="D2779" s="115" t="s">
        <v>4505</v>
      </c>
      <c r="E2779" s="115" t="s">
        <v>4506</v>
      </c>
    </row>
    <row r="2780" spans="1:5" x14ac:dyDescent="0.2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2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2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2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2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25">
      <c r="B2785" s="115" t="s">
        <v>4143</v>
      </c>
      <c r="D2785" s="115" t="s">
        <v>4519</v>
      </c>
      <c r="E2785" s="115" t="s">
        <v>4520</v>
      </c>
    </row>
    <row r="2786" spans="1:5" x14ac:dyDescent="0.25">
      <c r="B2786" s="115" t="s">
        <v>4521</v>
      </c>
      <c r="D2786" s="115" t="s">
        <v>4522</v>
      </c>
      <c r="E2786" s="115" t="s">
        <v>1141</v>
      </c>
    </row>
    <row r="2787" spans="1:5" x14ac:dyDescent="0.25">
      <c r="B2787" s="115" t="s">
        <v>4523</v>
      </c>
      <c r="D2787" s="115" t="s">
        <v>4524</v>
      </c>
      <c r="E2787" s="115" t="s">
        <v>4525</v>
      </c>
    </row>
    <row r="2788" spans="1:5" x14ac:dyDescent="0.2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2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2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2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2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2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25">
      <c r="B2794" s="115" t="s">
        <v>1139</v>
      </c>
      <c r="D2794" s="115" t="s">
        <v>1140</v>
      </c>
      <c r="E2794" s="115" t="s">
        <v>4540</v>
      </c>
    </row>
    <row r="2795" spans="1:5" x14ac:dyDescent="0.2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25">
      <c r="B2796" s="115" t="s">
        <v>1139</v>
      </c>
      <c r="D2796" s="115" t="s">
        <v>4544</v>
      </c>
      <c r="E2796" s="115" t="s">
        <v>1141</v>
      </c>
    </row>
    <row r="2797" spans="1:5" x14ac:dyDescent="0.25">
      <c r="B2797" s="115" t="s">
        <v>1139</v>
      </c>
      <c r="D2797" s="115" t="s">
        <v>4545</v>
      </c>
      <c r="E2797" s="115" t="s">
        <v>4546</v>
      </c>
    </row>
    <row r="2798" spans="1:5" x14ac:dyDescent="0.2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25">
      <c r="B2799" s="115" t="s">
        <v>1139</v>
      </c>
      <c r="D2799" s="115" t="s">
        <v>4550</v>
      </c>
      <c r="E2799" s="115" t="s">
        <v>1894</v>
      </c>
    </row>
    <row r="2800" spans="1:5" x14ac:dyDescent="0.25">
      <c r="B2800" s="115" t="s">
        <v>1139</v>
      </c>
      <c r="D2800" s="115" t="s">
        <v>4551</v>
      </c>
      <c r="E2800" s="115" t="s">
        <v>4552</v>
      </c>
    </row>
    <row r="2801" spans="1:5" x14ac:dyDescent="0.25">
      <c r="B2801" s="115" t="s">
        <v>4553</v>
      </c>
      <c r="D2801" s="115" t="s">
        <v>4554</v>
      </c>
      <c r="E2801" s="115" t="s">
        <v>4555</v>
      </c>
    </row>
    <row r="2802" spans="1:5" x14ac:dyDescent="0.25">
      <c r="B2802" s="115" t="s">
        <v>4556</v>
      </c>
      <c r="D2802" s="115" t="s">
        <v>4557</v>
      </c>
      <c r="E2802" s="115" t="s">
        <v>2690</v>
      </c>
    </row>
    <row r="2803" spans="1:5" x14ac:dyDescent="0.2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2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2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2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2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25">
      <c r="B2808" s="115" t="s">
        <v>1341</v>
      </c>
      <c r="D2808" s="115" t="s">
        <v>4570</v>
      </c>
      <c r="E2808" s="115" t="s">
        <v>2537</v>
      </c>
    </row>
    <row r="2809" spans="1:5" x14ac:dyDescent="0.2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2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25">
      <c r="B2811" s="115" t="s">
        <v>4577</v>
      </c>
      <c r="D2811" s="115" t="s">
        <v>1615</v>
      </c>
      <c r="E2811" s="115" t="s">
        <v>1141</v>
      </c>
    </row>
    <row r="2812" spans="1:5" x14ac:dyDescent="0.25">
      <c r="B2812" s="115" t="s">
        <v>4578</v>
      </c>
      <c r="D2812" s="115" t="s">
        <v>4579</v>
      </c>
      <c r="E2812" s="115" t="s">
        <v>1141</v>
      </c>
    </row>
    <row r="2813" spans="1:5" x14ac:dyDescent="0.2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25">
      <c r="B2814" s="115" t="s">
        <v>4583</v>
      </c>
      <c r="D2814" s="115" t="s">
        <v>4584</v>
      </c>
      <c r="E2814" s="115" t="s">
        <v>2537</v>
      </c>
    </row>
    <row r="2815" spans="1:5" x14ac:dyDescent="0.2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25">
      <c r="B2816" s="115" t="s">
        <v>1139</v>
      </c>
      <c r="D2816" s="115" t="s">
        <v>1140</v>
      </c>
      <c r="E2816" s="115" t="s">
        <v>4588</v>
      </c>
    </row>
    <row r="2817" spans="1:5" x14ac:dyDescent="0.2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25">
      <c r="B2818" s="115" t="s">
        <v>1139</v>
      </c>
      <c r="D2818" s="115" t="s">
        <v>1140</v>
      </c>
      <c r="E2818" s="115" t="s">
        <v>1141</v>
      </c>
    </row>
    <row r="2819" spans="1:5" x14ac:dyDescent="0.25">
      <c r="B2819" s="115" t="s">
        <v>1139</v>
      </c>
      <c r="D2819" s="115" t="s">
        <v>1140</v>
      </c>
      <c r="E2819" s="115" t="s">
        <v>1141</v>
      </c>
    </row>
    <row r="2820" spans="1:5" x14ac:dyDescent="0.25">
      <c r="B2820" s="115" t="s">
        <v>1139</v>
      </c>
      <c r="D2820" s="115" t="s">
        <v>1140</v>
      </c>
      <c r="E2820" s="115" t="s">
        <v>1141</v>
      </c>
    </row>
    <row r="2821" spans="1:5" x14ac:dyDescent="0.25">
      <c r="B2821" s="115" t="s">
        <v>1139</v>
      </c>
      <c r="D2821" s="115" t="s">
        <v>1140</v>
      </c>
      <c r="E2821" s="115" t="s">
        <v>1141</v>
      </c>
    </row>
    <row r="2822" spans="1:5" x14ac:dyDescent="0.25">
      <c r="B2822" s="115" t="s">
        <v>1139</v>
      </c>
      <c r="D2822" s="115" t="s">
        <v>1140</v>
      </c>
      <c r="E2822" s="115" t="s">
        <v>1141</v>
      </c>
    </row>
    <row r="2823" spans="1:5" x14ac:dyDescent="0.25">
      <c r="B2823" s="115" t="s">
        <v>1139</v>
      </c>
      <c r="D2823" s="115" t="s">
        <v>1140</v>
      </c>
      <c r="E2823" s="115" t="s">
        <v>1141</v>
      </c>
    </row>
    <row r="2824" spans="1:5" x14ac:dyDescent="0.25">
      <c r="B2824" s="115" t="s">
        <v>1139</v>
      </c>
      <c r="D2824" s="115" t="s">
        <v>1140</v>
      </c>
      <c r="E2824" s="115" t="s">
        <v>1141</v>
      </c>
    </row>
    <row r="2825" spans="1:5" x14ac:dyDescent="0.25">
      <c r="B2825" s="115" t="s">
        <v>1139</v>
      </c>
      <c r="D2825" s="115" t="s">
        <v>1140</v>
      </c>
      <c r="E2825" s="115" t="s">
        <v>1141</v>
      </c>
    </row>
    <row r="2826" spans="1:5" x14ac:dyDescent="0.25">
      <c r="B2826" s="115" t="s">
        <v>1139</v>
      </c>
      <c r="D2826" s="115" t="s">
        <v>1140</v>
      </c>
      <c r="E2826" s="115" t="s">
        <v>1141</v>
      </c>
    </row>
    <row r="2827" spans="1:5" x14ac:dyDescent="0.25">
      <c r="B2827" s="115" t="s">
        <v>1139</v>
      </c>
      <c r="D2827" s="115" t="s">
        <v>1140</v>
      </c>
      <c r="E2827" s="115" t="s">
        <v>1141</v>
      </c>
    </row>
    <row r="2828" spans="1:5" x14ac:dyDescent="0.25">
      <c r="B2828" s="115" t="s">
        <v>1139</v>
      </c>
      <c r="D2828" s="115" t="s">
        <v>1140</v>
      </c>
      <c r="E2828" s="115" t="s">
        <v>1141</v>
      </c>
    </row>
    <row r="2829" spans="1:5" x14ac:dyDescent="0.25">
      <c r="B2829" s="115" t="s">
        <v>1139</v>
      </c>
      <c r="D2829" s="115" t="s">
        <v>1140</v>
      </c>
      <c r="E2829" s="115" t="s">
        <v>1141</v>
      </c>
    </row>
    <row r="2830" spans="1:5" x14ac:dyDescent="0.25">
      <c r="B2830" s="115" t="s">
        <v>1139</v>
      </c>
      <c r="D2830" s="115" t="s">
        <v>1140</v>
      </c>
      <c r="E2830" s="115" t="s">
        <v>1141</v>
      </c>
    </row>
    <row r="2831" spans="1:5" x14ac:dyDescent="0.25">
      <c r="B2831" s="115" t="s">
        <v>1139</v>
      </c>
      <c r="D2831" s="115" t="s">
        <v>1140</v>
      </c>
      <c r="E2831" s="115" t="s">
        <v>1141</v>
      </c>
    </row>
    <row r="2832" spans="1:5" x14ac:dyDescent="0.25">
      <c r="B2832" s="115" t="s">
        <v>1139</v>
      </c>
      <c r="D2832" s="115" t="s">
        <v>1140</v>
      </c>
      <c r="E2832" s="115" t="s">
        <v>1141</v>
      </c>
    </row>
    <row r="2833" spans="2:5" x14ac:dyDescent="0.25">
      <c r="B2833" s="115" t="s">
        <v>1139</v>
      </c>
      <c r="D2833" s="115" t="s">
        <v>1140</v>
      </c>
      <c r="E2833" s="115" t="s">
        <v>1141</v>
      </c>
    </row>
    <row r="2834" spans="2:5" x14ac:dyDescent="0.25">
      <c r="B2834" s="115" t="s">
        <v>1139</v>
      </c>
      <c r="D2834" s="115" t="s">
        <v>1140</v>
      </c>
      <c r="E2834" s="115" t="s">
        <v>1141</v>
      </c>
    </row>
    <row r="2835" spans="2:5" x14ac:dyDescent="0.25">
      <c r="B2835" s="115" t="s">
        <v>1139</v>
      </c>
      <c r="D2835" s="115" t="s">
        <v>1140</v>
      </c>
      <c r="E2835" s="115" t="s">
        <v>1141</v>
      </c>
    </row>
    <row r="2836" spans="2:5" x14ac:dyDescent="0.25">
      <c r="B2836" s="115" t="s">
        <v>1139</v>
      </c>
      <c r="D2836" s="115" t="s">
        <v>1140</v>
      </c>
      <c r="E2836" s="115" t="s">
        <v>1141</v>
      </c>
    </row>
    <row r="2837" spans="2:5" x14ac:dyDescent="0.25">
      <c r="B2837" s="115" t="s">
        <v>1139</v>
      </c>
      <c r="D2837" s="115" t="s">
        <v>1140</v>
      </c>
      <c r="E2837" s="115" t="s">
        <v>1141</v>
      </c>
    </row>
    <row r="2838" spans="2:5" x14ac:dyDescent="0.25">
      <c r="B2838" s="115" t="s">
        <v>1139</v>
      </c>
      <c r="D2838" s="115" t="s">
        <v>1140</v>
      </c>
      <c r="E2838" s="115" t="s">
        <v>1141</v>
      </c>
    </row>
    <row r="2839" spans="2:5" x14ac:dyDescent="0.25">
      <c r="B2839" s="115" t="s">
        <v>1139</v>
      </c>
      <c r="D2839" s="115" t="s">
        <v>1140</v>
      </c>
      <c r="E2839" s="115" t="s">
        <v>1141</v>
      </c>
    </row>
    <row r="2840" spans="2:5" x14ac:dyDescent="0.25">
      <c r="B2840" s="115" t="s">
        <v>1139</v>
      </c>
      <c r="D2840" s="115" t="s">
        <v>1140</v>
      </c>
      <c r="E2840" s="115" t="s">
        <v>1141</v>
      </c>
    </row>
    <row r="2841" spans="2:5" x14ac:dyDescent="0.25">
      <c r="B2841" s="115" t="s">
        <v>1139</v>
      </c>
      <c r="D2841" s="115" t="s">
        <v>1140</v>
      </c>
      <c r="E2841" s="115" t="s">
        <v>1141</v>
      </c>
    </row>
    <row r="2842" spans="2:5" x14ac:dyDescent="0.25">
      <c r="B2842" s="115" t="s">
        <v>1139</v>
      </c>
      <c r="D2842" s="115" t="s">
        <v>1140</v>
      </c>
      <c r="E2842" s="115" t="s">
        <v>1141</v>
      </c>
    </row>
    <row r="2843" spans="2:5" x14ac:dyDescent="0.25">
      <c r="B2843" s="115" t="s">
        <v>1139</v>
      </c>
      <c r="D2843" s="115" t="s">
        <v>1140</v>
      </c>
      <c r="E2843" s="115" t="s">
        <v>1141</v>
      </c>
    </row>
    <row r="2844" spans="2:5" x14ac:dyDescent="0.25">
      <c r="B2844" s="115" t="s">
        <v>1139</v>
      </c>
      <c r="D2844" s="115" t="s">
        <v>1140</v>
      </c>
      <c r="E2844" s="115" t="s">
        <v>1141</v>
      </c>
    </row>
    <row r="2845" spans="2:5" x14ac:dyDescent="0.25">
      <c r="B2845" s="115" t="s">
        <v>1139</v>
      </c>
      <c r="D2845" s="115" t="s">
        <v>1140</v>
      </c>
      <c r="E2845" s="115" t="s">
        <v>1141</v>
      </c>
    </row>
    <row r="2846" spans="2:5" x14ac:dyDescent="0.25">
      <c r="B2846" s="115" t="s">
        <v>1139</v>
      </c>
      <c r="D2846" s="115" t="s">
        <v>1140</v>
      </c>
      <c r="E2846" s="115" t="s">
        <v>1141</v>
      </c>
    </row>
    <row r="2847" spans="2:5" x14ac:dyDescent="0.25">
      <c r="B2847" s="115" t="s">
        <v>1139</v>
      </c>
      <c r="D2847" s="115" t="s">
        <v>1140</v>
      </c>
      <c r="E2847" s="115" t="s">
        <v>1141</v>
      </c>
    </row>
    <row r="2848" spans="2:5" x14ac:dyDescent="0.25">
      <c r="B2848" s="115" t="s">
        <v>1139</v>
      </c>
      <c r="D2848" s="115" t="s">
        <v>1140</v>
      </c>
      <c r="E2848" s="115" t="s">
        <v>1141</v>
      </c>
    </row>
    <row r="2849" spans="2:5" x14ac:dyDescent="0.25">
      <c r="B2849" s="115" t="s">
        <v>1139</v>
      </c>
      <c r="D2849" s="115" t="s">
        <v>1140</v>
      </c>
      <c r="E2849" s="115" t="s">
        <v>1141</v>
      </c>
    </row>
    <row r="2850" spans="2:5" x14ac:dyDescent="0.25">
      <c r="B2850" s="115" t="s">
        <v>1139</v>
      </c>
      <c r="D2850" s="115" t="s">
        <v>1140</v>
      </c>
      <c r="E2850" s="115" t="s">
        <v>1141</v>
      </c>
    </row>
    <row r="2851" spans="2:5" x14ac:dyDescent="0.25">
      <c r="B2851" s="115" t="s">
        <v>1139</v>
      </c>
      <c r="D2851" s="115" t="s">
        <v>1140</v>
      </c>
      <c r="E2851" s="115" t="s">
        <v>1141</v>
      </c>
    </row>
    <row r="2852" spans="2:5" x14ac:dyDescent="0.25">
      <c r="B2852" s="115" t="s">
        <v>1139</v>
      </c>
      <c r="D2852" s="115" t="s">
        <v>1140</v>
      </c>
      <c r="E2852" s="115" t="s">
        <v>1141</v>
      </c>
    </row>
    <row r="2853" spans="2:5" x14ac:dyDescent="0.25">
      <c r="B2853" s="115" t="s">
        <v>1139</v>
      </c>
      <c r="D2853" s="115" t="s">
        <v>1140</v>
      </c>
      <c r="E2853" s="115" t="s">
        <v>1141</v>
      </c>
    </row>
    <row r="2854" spans="2:5" x14ac:dyDescent="0.25">
      <c r="B2854" s="115" t="s">
        <v>1139</v>
      </c>
      <c r="D2854" s="115" t="s">
        <v>1140</v>
      </c>
      <c r="E2854" s="115" t="s">
        <v>1141</v>
      </c>
    </row>
    <row r="2855" spans="2:5" x14ac:dyDescent="0.25">
      <c r="B2855" s="115" t="s">
        <v>1139</v>
      </c>
      <c r="D2855" s="115" t="s">
        <v>1140</v>
      </c>
      <c r="E2855" s="115" t="s">
        <v>1141</v>
      </c>
    </row>
    <row r="2856" spans="2:5" x14ac:dyDescent="0.25">
      <c r="B2856" s="115" t="s">
        <v>1139</v>
      </c>
      <c r="D2856" s="115" t="s">
        <v>1140</v>
      </c>
      <c r="E2856" s="115" t="s">
        <v>1141</v>
      </c>
    </row>
    <row r="2857" spans="2:5" x14ac:dyDescent="0.25">
      <c r="B2857" s="115" t="s">
        <v>1139</v>
      </c>
      <c r="D2857" s="115" t="s">
        <v>1140</v>
      </c>
      <c r="E2857" s="115" t="s">
        <v>1141</v>
      </c>
    </row>
    <row r="2858" spans="2:5" x14ac:dyDescent="0.25">
      <c r="B2858" s="115" t="s">
        <v>1139</v>
      </c>
      <c r="D2858" s="115" t="s">
        <v>1140</v>
      </c>
      <c r="E2858" s="115" t="s">
        <v>1141</v>
      </c>
    </row>
    <row r="2859" spans="2:5" x14ac:dyDescent="0.25">
      <c r="B2859" s="115" t="s">
        <v>1139</v>
      </c>
      <c r="D2859" s="115" t="s">
        <v>1140</v>
      </c>
      <c r="E2859" s="115" t="s">
        <v>1141</v>
      </c>
    </row>
    <row r="2860" spans="2:5" x14ac:dyDescent="0.25">
      <c r="B2860" s="115" t="s">
        <v>1139</v>
      </c>
      <c r="D2860" s="115" t="s">
        <v>1140</v>
      </c>
      <c r="E2860" s="115" t="s">
        <v>1141</v>
      </c>
    </row>
    <row r="2861" spans="2:5" x14ac:dyDescent="0.25">
      <c r="B2861" s="115" t="s">
        <v>1139</v>
      </c>
      <c r="D2861" s="115" t="s">
        <v>1140</v>
      </c>
      <c r="E2861" s="115" t="s">
        <v>4589</v>
      </c>
    </row>
    <row r="2862" spans="2:5" x14ac:dyDescent="0.25">
      <c r="B2862" s="115" t="s">
        <v>1139</v>
      </c>
      <c r="D2862" s="115" t="s">
        <v>4590</v>
      </c>
      <c r="E2862" s="115" t="s">
        <v>4591</v>
      </c>
    </row>
    <row r="2863" spans="2:5" x14ac:dyDescent="0.25">
      <c r="B2863" s="115" t="s">
        <v>1139</v>
      </c>
      <c r="D2863" s="115" t="s">
        <v>1140</v>
      </c>
      <c r="E2863" s="115" t="s">
        <v>4592</v>
      </c>
    </row>
    <row r="2864" spans="2:5" x14ac:dyDescent="0.25">
      <c r="B2864" s="115" t="s">
        <v>1139</v>
      </c>
      <c r="D2864" s="115" t="s">
        <v>4593</v>
      </c>
      <c r="E2864" s="115" t="s">
        <v>4594</v>
      </c>
    </row>
    <row r="2865" spans="1:5" x14ac:dyDescent="0.25">
      <c r="B2865" s="115" t="s">
        <v>1299</v>
      </c>
      <c r="D2865" s="115" t="s">
        <v>2893</v>
      </c>
      <c r="E2865" s="115" t="s">
        <v>1819</v>
      </c>
    </row>
    <row r="2866" spans="1:5" x14ac:dyDescent="0.25">
      <c r="B2866" s="115" t="s">
        <v>1438</v>
      </c>
      <c r="D2866" s="115" t="s">
        <v>1140</v>
      </c>
      <c r="E2866" s="115" t="s">
        <v>4595</v>
      </c>
    </row>
    <row r="2867" spans="1:5" x14ac:dyDescent="0.25">
      <c r="B2867" s="115" t="s">
        <v>1213</v>
      </c>
      <c r="D2867" s="115" t="s">
        <v>1324</v>
      </c>
      <c r="E2867" s="115" t="s">
        <v>4596</v>
      </c>
    </row>
    <row r="2868" spans="1:5" x14ac:dyDescent="0.25">
      <c r="B2868" s="115" t="s">
        <v>1139</v>
      </c>
      <c r="D2868" s="115" t="s">
        <v>4597</v>
      </c>
      <c r="E2868" s="115" t="s">
        <v>4598</v>
      </c>
    </row>
    <row r="2869" spans="1:5" x14ac:dyDescent="0.25">
      <c r="B2869" s="115" t="s">
        <v>4599</v>
      </c>
      <c r="D2869" s="115" t="s">
        <v>1140</v>
      </c>
      <c r="E2869" s="115" t="s">
        <v>4600</v>
      </c>
    </row>
    <row r="2870" spans="1:5" x14ac:dyDescent="0.25">
      <c r="B2870" s="115" t="s">
        <v>4601</v>
      </c>
      <c r="D2870" s="115" t="s">
        <v>4602</v>
      </c>
      <c r="E2870" s="115" t="s">
        <v>4603</v>
      </c>
    </row>
    <row r="2871" spans="1:5" x14ac:dyDescent="0.25">
      <c r="B2871" s="115">
        <f>-63   -545</f>
        <v>-608</v>
      </c>
      <c r="D2871" s="115" t="s">
        <v>4604</v>
      </c>
      <c r="E2871" s="115" t="s">
        <v>4605</v>
      </c>
    </row>
    <row r="2872" spans="1:5" x14ac:dyDescent="0.25">
      <c r="B2872" s="115" t="s">
        <v>4606</v>
      </c>
      <c r="D2872" s="115" t="s">
        <v>1140</v>
      </c>
      <c r="E2872" s="115" t="s">
        <v>4607</v>
      </c>
    </row>
    <row r="2873" spans="1:5" x14ac:dyDescent="0.2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25">
      <c r="B2874" s="115" t="s">
        <v>4611</v>
      </c>
      <c r="D2874" s="115" t="s">
        <v>4612</v>
      </c>
      <c r="E2874" s="115" t="s">
        <v>4613</v>
      </c>
    </row>
    <row r="2875" spans="1:5" x14ac:dyDescent="0.25">
      <c r="B2875" s="115" t="s">
        <v>4614</v>
      </c>
      <c r="D2875" s="115" t="s">
        <v>1140</v>
      </c>
      <c r="E2875" s="115" t="s">
        <v>4615</v>
      </c>
    </row>
    <row r="2876" spans="1:5" x14ac:dyDescent="0.25">
      <c r="B2876" s="115" t="s">
        <v>4616</v>
      </c>
      <c r="D2876" s="115" t="s">
        <v>2384</v>
      </c>
      <c r="E2876" s="115" t="s">
        <v>4617</v>
      </c>
    </row>
    <row r="2877" spans="1:5" x14ac:dyDescent="0.25">
      <c r="B2877" s="115" t="s">
        <v>4618</v>
      </c>
      <c r="D2877" s="115" t="s">
        <v>4619</v>
      </c>
      <c r="E2877" s="115" t="s">
        <v>4620</v>
      </c>
    </row>
    <row r="2878" spans="1:5" x14ac:dyDescent="0.25">
      <c r="B2878" s="115" t="s">
        <v>1139</v>
      </c>
      <c r="D2878" s="115" t="s">
        <v>1140</v>
      </c>
      <c r="E2878" s="115" t="s">
        <v>4621</v>
      </c>
    </row>
    <row r="2879" spans="1:5" x14ac:dyDescent="0.2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25">
      <c r="B2880" s="115">
        <f>-14   -218</f>
        <v>-232</v>
      </c>
      <c r="D2880" s="115" t="s">
        <v>4623</v>
      </c>
      <c r="E2880" s="115" t="s">
        <v>4624</v>
      </c>
    </row>
    <row r="2881" spans="1:5" x14ac:dyDescent="0.25">
      <c r="B2881" s="115" t="s">
        <v>4625</v>
      </c>
      <c r="D2881" s="115" t="s">
        <v>1140</v>
      </c>
      <c r="E2881" s="115" t="s">
        <v>4626</v>
      </c>
    </row>
    <row r="2882" spans="1:5" x14ac:dyDescent="0.2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25">
      <c r="B2883" s="115" t="s">
        <v>1139</v>
      </c>
      <c r="D2883" s="115" t="s">
        <v>4629</v>
      </c>
      <c r="E2883" s="115" t="s">
        <v>4630</v>
      </c>
    </row>
    <row r="2884" spans="1:5" x14ac:dyDescent="0.25">
      <c r="B2884" s="115" t="s">
        <v>1139</v>
      </c>
      <c r="D2884" s="115" t="s">
        <v>1140</v>
      </c>
      <c r="E2884" s="115" t="s">
        <v>1141</v>
      </c>
    </row>
    <row r="2885" spans="1:5" x14ac:dyDescent="0.25">
      <c r="B2885" s="115" t="s">
        <v>1139</v>
      </c>
      <c r="D2885" s="115" t="s">
        <v>1140</v>
      </c>
      <c r="E2885" s="115" t="s">
        <v>1141</v>
      </c>
    </row>
    <row r="2886" spans="1:5" x14ac:dyDescent="0.25">
      <c r="B2886" s="115" t="s">
        <v>1139</v>
      </c>
      <c r="D2886" s="115" t="s">
        <v>1140</v>
      </c>
      <c r="E2886" s="115" t="s">
        <v>1141</v>
      </c>
    </row>
    <row r="2887" spans="1:5" x14ac:dyDescent="0.25">
      <c r="B2887" s="115" t="s">
        <v>1139</v>
      </c>
      <c r="D2887" s="115" t="s">
        <v>1140</v>
      </c>
      <c r="E2887" s="115" t="s">
        <v>1141</v>
      </c>
    </row>
    <row r="2888" spans="1:5" x14ac:dyDescent="0.25">
      <c r="B2888" s="115" t="s">
        <v>1139</v>
      </c>
      <c r="D2888" s="115" t="s">
        <v>1140</v>
      </c>
      <c r="E2888" s="115" t="s">
        <v>1141</v>
      </c>
    </row>
    <row r="2889" spans="1:5" x14ac:dyDescent="0.25">
      <c r="B2889" s="115" t="s">
        <v>1139</v>
      </c>
      <c r="D2889" s="115" t="s">
        <v>1140</v>
      </c>
      <c r="E2889" s="115" t="s">
        <v>1141</v>
      </c>
    </row>
    <row r="2890" spans="1:5" x14ac:dyDescent="0.25">
      <c r="B2890" s="115" t="s">
        <v>1139</v>
      </c>
      <c r="D2890" s="115" t="s">
        <v>1140</v>
      </c>
      <c r="E2890" s="115" t="s">
        <v>1141</v>
      </c>
    </row>
    <row r="2891" spans="1:5" x14ac:dyDescent="0.25">
      <c r="B2891" s="115" t="s">
        <v>1139</v>
      </c>
      <c r="D2891" s="115" t="s">
        <v>1140</v>
      </c>
      <c r="E2891" s="115" t="s">
        <v>1141</v>
      </c>
    </row>
    <row r="2892" spans="1:5" x14ac:dyDescent="0.25">
      <c r="B2892" s="115" t="s">
        <v>1139</v>
      </c>
      <c r="D2892" s="115" t="s">
        <v>1140</v>
      </c>
      <c r="E2892" s="115" t="s">
        <v>1141</v>
      </c>
    </row>
    <row r="2893" spans="1:5" x14ac:dyDescent="0.25">
      <c r="B2893" s="115" t="s">
        <v>1139</v>
      </c>
      <c r="D2893" s="115" t="s">
        <v>1140</v>
      </c>
      <c r="E2893" s="115" t="s">
        <v>1141</v>
      </c>
    </row>
    <row r="2894" spans="1:5" x14ac:dyDescent="0.25">
      <c r="B2894" s="115" t="s">
        <v>1139</v>
      </c>
      <c r="D2894" s="115" t="s">
        <v>1140</v>
      </c>
      <c r="E2894" s="115" t="s">
        <v>1141</v>
      </c>
    </row>
    <row r="2895" spans="1:5" x14ac:dyDescent="0.25">
      <c r="B2895" s="115" t="s">
        <v>1139</v>
      </c>
      <c r="D2895" s="115" t="s">
        <v>1140</v>
      </c>
      <c r="E2895" s="115" t="s">
        <v>1141</v>
      </c>
    </row>
    <row r="2896" spans="1:5" x14ac:dyDescent="0.25">
      <c r="B2896" s="115" t="s">
        <v>1139</v>
      </c>
      <c r="D2896" s="115" t="s">
        <v>1140</v>
      </c>
      <c r="E2896" s="115" t="s">
        <v>1141</v>
      </c>
    </row>
    <row r="2897" spans="1:5" x14ac:dyDescent="0.25">
      <c r="B2897" s="115" t="s">
        <v>1139</v>
      </c>
      <c r="D2897" s="115" t="s">
        <v>1140</v>
      </c>
      <c r="E2897" s="115" t="s">
        <v>1141</v>
      </c>
    </row>
    <row r="2898" spans="1:5" x14ac:dyDescent="0.25">
      <c r="B2898" s="115" t="s">
        <v>1139</v>
      </c>
      <c r="D2898" s="115" t="s">
        <v>1140</v>
      </c>
      <c r="E2898" s="115" t="s">
        <v>1141</v>
      </c>
    </row>
    <row r="2899" spans="1:5" x14ac:dyDescent="0.25">
      <c r="B2899" s="115" t="s">
        <v>1139</v>
      </c>
      <c r="D2899" s="115" t="s">
        <v>1140</v>
      </c>
      <c r="E2899" s="115" t="s">
        <v>1141</v>
      </c>
    </row>
    <row r="2900" spans="1:5" x14ac:dyDescent="0.25">
      <c r="B2900" s="115" t="s">
        <v>1139</v>
      </c>
      <c r="D2900" s="115" t="s">
        <v>1140</v>
      </c>
      <c r="E2900" s="115" t="s">
        <v>1141</v>
      </c>
    </row>
    <row r="2901" spans="1:5" x14ac:dyDescent="0.25">
      <c r="B2901" s="115" t="s">
        <v>1139</v>
      </c>
      <c r="D2901" s="115" t="s">
        <v>1140</v>
      </c>
      <c r="E2901" s="115" t="s">
        <v>1141</v>
      </c>
    </row>
    <row r="2902" spans="1:5" x14ac:dyDescent="0.25">
      <c r="B2902" s="115" t="s">
        <v>1139</v>
      </c>
      <c r="D2902" s="115" t="s">
        <v>1140</v>
      </c>
      <c r="E2902" s="115" t="s">
        <v>1141</v>
      </c>
    </row>
    <row r="2903" spans="1:5" x14ac:dyDescent="0.25">
      <c r="B2903" s="115" t="s">
        <v>1139</v>
      </c>
      <c r="D2903" s="115" t="s">
        <v>1140</v>
      </c>
      <c r="E2903" s="115" t="s">
        <v>1141</v>
      </c>
    </row>
    <row r="2904" spans="1:5" x14ac:dyDescent="0.25">
      <c r="B2904" s="115" t="s">
        <v>1139</v>
      </c>
      <c r="D2904" s="115" t="s">
        <v>1140</v>
      </c>
      <c r="E2904" s="115" t="s">
        <v>1141</v>
      </c>
    </row>
    <row r="2905" spans="1:5" x14ac:dyDescent="0.25">
      <c r="B2905" s="115" t="s">
        <v>1139</v>
      </c>
      <c r="D2905" s="115" t="s">
        <v>1140</v>
      </c>
      <c r="E2905" s="115" t="s">
        <v>1141</v>
      </c>
    </row>
    <row r="2906" spans="1:5" x14ac:dyDescent="0.25">
      <c r="B2906" s="115" t="s">
        <v>1139</v>
      </c>
      <c r="D2906" s="115" t="s">
        <v>4631</v>
      </c>
      <c r="E2906" s="115" t="s">
        <v>4632</v>
      </c>
    </row>
    <row r="2907" spans="1:5" x14ac:dyDescent="0.25">
      <c r="B2907" s="115" t="s">
        <v>4633</v>
      </c>
      <c r="D2907" s="115" t="s">
        <v>4634</v>
      </c>
      <c r="E2907" s="115" t="s">
        <v>4635</v>
      </c>
    </row>
    <row r="2908" spans="1:5" x14ac:dyDescent="0.25">
      <c r="B2908" s="115" t="s">
        <v>1139</v>
      </c>
      <c r="D2908" s="115" t="s">
        <v>1140</v>
      </c>
      <c r="E2908" s="115" t="s">
        <v>4636</v>
      </c>
    </row>
    <row r="2909" spans="1:5" x14ac:dyDescent="0.25">
      <c r="B2909" s="115" t="s">
        <v>1598</v>
      </c>
      <c r="D2909" s="115" t="s">
        <v>4637</v>
      </c>
      <c r="E2909" s="115" t="s">
        <v>2321</v>
      </c>
    </row>
    <row r="2910" spans="1:5" x14ac:dyDescent="0.2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25">
      <c r="B2911" s="115" t="s">
        <v>1201</v>
      </c>
      <c r="D2911" s="115" t="s">
        <v>1140</v>
      </c>
      <c r="E2911" s="115" t="s">
        <v>4640</v>
      </c>
    </row>
    <row r="2912" spans="1:5" x14ac:dyDescent="0.25">
      <c r="B2912" s="115" t="s">
        <v>4641</v>
      </c>
      <c r="D2912" s="115" t="s">
        <v>1140</v>
      </c>
      <c r="E2912" s="115" t="s">
        <v>4642</v>
      </c>
    </row>
    <row r="2913" spans="1:5" x14ac:dyDescent="0.25">
      <c r="B2913" s="115" t="s">
        <v>4643</v>
      </c>
      <c r="D2913" s="115" t="s">
        <v>4644</v>
      </c>
      <c r="E2913" s="115" t="s">
        <v>4645</v>
      </c>
    </row>
    <row r="2914" spans="1:5" x14ac:dyDescent="0.25">
      <c r="B2914" s="115" t="s">
        <v>1316</v>
      </c>
      <c r="D2914" s="115" t="s">
        <v>4646</v>
      </c>
      <c r="E2914" s="115" t="s">
        <v>4647</v>
      </c>
    </row>
    <row r="2915" spans="1:5" x14ac:dyDescent="0.2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2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25">
      <c r="B2917" s="115" t="s">
        <v>1459</v>
      </c>
      <c r="D2917" s="115" t="s">
        <v>4654</v>
      </c>
      <c r="E2917" s="115" t="s">
        <v>4655</v>
      </c>
    </row>
    <row r="2918" spans="1:5" x14ac:dyDescent="0.2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2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25">
      <c r="B2920" s="115" t="s">
        <v>4662</v>
      </c>
      <c r="D2920" s="115" t="s">
        <v>4663</v>
      </c>
      <c r="E2920" s="115" t="s">
        <v>4664</v>
      </c>
    </row>
    <row r="2921" spans="1:5" x14ac:dyDescent="0.25">
      <c r="B2921" s="115" t="s">
        <v>1451</v>
      </c>
      <c r="D2921" s="115" t="s">
        <v>4665</v>
      </c>
      <c r="E2921" s="115" t="s">
        <v>4666</v>
      </c>
    </row>
    <row r="2922" spans="1:5" x14ac:dyDescent="0.2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25">
      <c r="B2923" s="115" t="s">
        <v>1139</v>
      </c>
      <c r="D2923" s="115" t="s">
        <v>4670</v>
      </c>
      <c r="E2923" s="115" t="s">
        <v>4671</v>
      </c>
    </row>
    <row r="2924" spans="1:5" x14ac:dyDescent="0.25">
      <c r="B2924" s="115" t="s">
        <v>1139</v>
      </c>
      <c r="D2924" s="115" t="s">
        <v>4672</v>
      </c>
      <c r="E2924" s="115" t="s">
        <v>4673</v>
      </c>
    </row>
    <row r="2925" spans="1:5" x14ac:dyDescent="0.2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25">
      <c r="B2926" s="115" t="s">
        <v>4677</v>
      </c>
      <c r="D2926" s="115" t="s">
        <v>4678</v>
      </c>
      <c r="E2926" s="115" t="s">
        <v>4679</v>
      </c>
    </row>
    <row r="2927" spans="1:5" x14ac:dyDescent="0.2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25">
      <c r="B2928" s="115" t="s">
        <v>4682</v>
      </c>
      <c r="D2928" s="115" t="s">
        <v>4683</v>
      </c>
      <c r="E2928" s="115" t="s">
        <v>4684</v>
      </c>
    </row>
    <row r="2929" spans="1:5" x14ac:dyDescent="0.25">
      <c r="B2929" s="115" t="s">
        <v>4685</v>
      </c>
      <c r="D2929" s="115" t="s">
        <v>4686</v>
      </c>
      <c r="E2929" s="115" t="s">
        <v>4687</v>
      </c>
    </row>
    <row r="2930" spans="1:5" x14ac:dyDescent="0.25">
      <c r="B2930" s="115" t="s">
        <v>1139</v>
      </c>
      <c r="D2930" s="115" t="s">
        <v>4688</v>
      </c>
      <c r="E2930" s="115" t="s">
        <v>1141</v>
      </c>
    </row>
    <row r="2931" spans="1:5" x14ac:dyDescent="0.25">
      <c r="B2931" s="115" t="s">
        <v>1139</v>
      </c>
      <c r="D2931" s="115" t="s">
        <v>4689</v>
      </c>
      <c r="E2931" s="115" t="s">
        <v>4690</v>
      </c>
    </row>
    <row r="2932" spans="1:5" x14ac:dyDescent="0.2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25">
      <c r="B2933" s="115" t="s">
        <v>1317</v>
      </c>
      <c r="D2933" s="115" t="s">
        <v>1140</v>
      </c>
      <c r="E2933" s="115" t="s">
        <v>4694</v>
      </c>
    </row>
    <row r="2934" spans="1:5" x14ac:dyDescent="0.25">
      <c r="B2934" s="115" t="s">
        <v>1139</v>
      </c>
      <c r="D2934" s="115" t="s">
        <v>4695</v>
      </c>
      <c r="E2934" s="115" t="s">
        <v>4696</v>
      </c>
    </row>
    <row r="2935" spans="1:5" x14ac:dyDescent="0.25">
      <c r="B2935" s="115" t="s">
        <v>1139</v>
      </c>
      <c r="D2935" s="115" t="s">
        <v>4697</v>
      </c>
      <c r="E2935" s="115" t="s">
        <v>4698</v>
      </c>
    </row>
    <row r="2936" spans="1:5" x14ac:dyDescent="0.25">
      <c r="B2936" s="115" t="s">
        <v>4699</v>
      </c>
      <c r="D2936" s="115" t="s">
        <v>4700</v>
      </c>
      <c r="E2936" s="115" t="s">
        <v>4701</v>
      </c>
    </row>
    <row r="2937" spans="1:5" x14ac:dyDescent="0.2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2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25">
      <c r="B2939" s="115" t="s">
        <v>4707</v>
      </c>
      <c r="D2939" s="115" t="s">
        <v>4708</v>
      </c>
      <c r="E2939" s="115" t="s">
        <v>4709</v>
      </c>
    </row>
    <row r="2940" spans="1:5" x14ac:dyDescent="0.2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2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25">
      <c r="B2942" s="115" t="s">
        <v>1139</v>
      </c>
      <c r="D2942" s="115" t="s">
        <v>4716</v>
      </c>
      <c r="E2942" s="115" t="s">
        <v>4717</v>
      </c>
    </row>
    <row r="2943" spans="1:5" x14ac:dyDescent="0.2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25">
      <c r="B2944" s="115" t="s">
        <v>4720</v>
      </c>
      <c r="D2944" s="115" t="s">
        <v>4721</v>
      </c>
      <c r="E2944" s="115" t="s">
        <v>4722</v>
      </c>
    </row>
    <row r="2945" spans="1:5" x14ac:dyDescent="0.25">
      <c r="B2945" s="115" t="s">
        <v>4723</v>
      </c>
      <c r="D2945" s="115" t="s">
        <v>4724</v>
      </c>
      <c r="E2945" s="115" t="s">
        <v>1141</v>
      </c>
    </row>
    <row r="2946" spans="1:5" x14ac:dyDescent="0.2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2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25">
      <c r="B2948" s="115" t="s">
        <v>4730</v>
      </c>
      <c r="D2948" s="115" t="s">
        <v>4731</v>
      </c>
      <c r="E2948" s="115" t="s">
        <v>4732</v>
      </c>
    </row>
    <row r="2949" spans="1:5" x14ac:dyDescent="0.2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25">
      <c r="B2950" s="115" t="s">
        <v>1139</v>
      </c>
      <c r="D2950" s="115" t="s">
        <v>1140</v>
      </c>
      <c r="E2950" s="115" t="s">
        <v>4736</v>
      </c>
    </row>
    <row r="2951" spans="1:5" x14ac:dyDescent="0.2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25">
      <c r="B2952" s="115" t="s">
        <v>1139</v>
      </c>
      <c r="D2952" s="115" t="s">
        <v>1140</v>
      </c>
      <c r="E2952" s="115" t="s">
        <v>1141</v>
      </c>
    </row>
    <row r="2953" spans="1:5" x14ac:dyDescent="0.25">
      <c r="B2953" s="115" t="s">
        <v>1139</v>
      </c>
      <c r="D2953" s="115" t="s">
        <v>1140</v>
      </c>
      <c r="E2953" s="115" t="s">
        <v>1141</v>
      </c>
    </row>
    <row r="2954" spans="1:5" x14ac:dyDescent="0.25">
      <c r="B2954" s="115" t="s">
        <v>1139</v>
      </c>
      <c r="D2954" s="115" t="s">
        <v>1140</v>
      </c>
      <c r="E2954" s="115" t="s">
        <v>1141</v>
      </c>
    </row>
    <row r="2955" spans="1:5" x14ac:dyDescent="0.25">
      <c r="B2955" s="115" t="s">
        <v>1139</v>
      </c>
      <c r="D2955" s="115" t="s">
        <v>1140</v>
      </c>
      <c r="E2955" s="115" t="s">
        <v>1141</v>
      </c>
    </row>
    <row r="2956" spans="1:5" x14ac:dyDescent="0.25">
      <c r="B2956" s="115" t="s">
        <v>1139</v>
      </c>
      <c r="D2956" s="115" t="s">
        <v>1140</v>
      </c>
      <c r="E2956" s="115" t="s">
        <v>1141</v>
      </c>
    </row>
    <row r="2957" spans="1:5" x14ac:dyDescent="0.25">
      <c r="B2957" s="115" t="s">
        <v>1139</v>
      </c>
      <c r="D2957" s="115" t="s">
        <v>1140</v>
      </c>
      <c r="E2957" s="115" t="s">
        <v>1141</v>
      </c>
    </row>
    <row r="2958" spans="1:5" x14ac:dyDescent="0.25">
      <c r="B2958" s="115" t="s">
        <v>1139</v>
      </c>
      <c r="D2958" s="115" t="s">
        <v>1140</v>
      </c>
      <c r="E2958" s="115" t="s">
        <v>1141</v>
      </c>
    </row>
    <row r="2959" spans="1:5" x14ac:dyDescent="0.25">
      <c r="B2959" s="115" t="s">
        <v>1139</v>
      </c>
      <c r="D2959" s="115" t="s">
        <v>1140</v>
      </c>
      <c r="E2959" s="115" t="s">
        <v>1141</v>
      </c>
    </row>
    <row r="2960" spans="1:5" x14ac:dyDescent="0.25">
      <c r="B2960" s="115" t="s">
        <v>1139</v>
      </c>
      <c r="D2960" s="115" t="s">
        <v>1140</v>
      </c>
      <c r="E2960" s="115" t="s">
        <v>1141</v>
      </c>
    </row>
    <row r="2961" spans="2:5" x14ac:dyDescent="0.25">
      <c r="B2961" s="115" t="s">
        <v>1139</v>
      </c>
      <c r="D2961" s="160" t="s">
        <v>1140</v>
      </c>
      <c r="E2961" s="115" t="s">
        <v>1141</v>
      </c>
    </row>
    <row r="2962" spans="2:5" x14ac:dyDescent="0.25">
      <c r="B2962" s="115" t="s">
        <v>1139</v>
      </c>
      <c r="D2962" s="115" t="s">
        <v>1140</v>
      </c>
      <c r="E2962" s="115" t="s">
        <v>1141</v>
      </c>
    </row>
    <row r="2963" spans="2:5" x14ac:dyDescent="0.25">
      <c r="B2963" s="115" t="s">
        <v>1139</v>
      </c>
      <c r="D2963" s="115" t="s">
        <v>1140</v>
      </c>
      <c r="E2963" s="115" t="s">
        <v>1141</v>
      </c>
    </row>
    <row r="2964" spans="2:5" x14ac:dyDescent="0.25">
      <c r="B2964" s="115" t="s">
        <v>1139</v>
      </c>
      <c r="D2964" s="115" t="s">
        <v>1140</v>
      </c>
      <c r="E2964" s="115" t="s">
        <v>1141</v>
      </c>
    </row>
    <row r="2965" spans="2:5" x14ac:dyDescent="0.25">
      <c r="B2965" s="115" t="s">
        <v>1139</v>
      </c>
      <c r="D2965" s="115" t="s">
        <v>1140</v>
      </c>
      <c r="E2965" s="115" t="s">
        <v>1141</v>
      </c>
    </row>
    <row r="2966" spans="2:5" x14ac:dyDescent="0.25">
      <c r="B2966" s="115" t="s">
        <v>1139</v>
      </c>
      <c r="D2966" s="115" t="s">
        <v>1140</v>
      </c>
      <c r="E2966" s="115" t="s">
        <v>1141</v>
      </c>
    </row>
    <row r="2967" spans="2:5" x14ac:dyDescent="0.25">
      <c r="B2967" s="115" t="s">
        <v>1139</v>
      </c>
      <c r="D2967" s="115" t="s">
        <v>1140</v>
      </c>
      <c r="E2967" s="115" t="s">
        <v>1141</v>
      </c>
    </row>
    <row r="2968" spans="2:5" x14ac:dyDescent="0.25">
      <c r="B2968" s="115" t="s">
        <v>1139</v>
      </c>
      <c r="D2968" s="115" t="s">
        <v>1140</v>
      </c>
      <c r="E2968" s="115" t="s">
        <v>1141</v>
      </c>
    </row>
    <row r="2969" spans="2:5" x14ac:dyDescent="0.25">
      <c r="B2969" s="115" t="s">
        <v>1139</v>
      </c>
      <c r="D2969" s="115" t="s">
        <v>1140</v>
      </c>
      <c r="E2969" s="115" t="s">
        <v>1141</v>
      </c>
    </row>
    <row r="2970" spans="2:5" x14ac:dyDescent="0.25">
      <c r="B2970" s="115" t="s">
        <v>1139</v>
      </c>
      <c r="D2970" s="115" t="s">
        <v>1140</v>
      </c>
      <c r="E2970" s="115" t="s">
        <v>1141</v>
      </c>
    </row>
    <row r="2971" spans="2:5" x14ac:dyDescent="0.25">
      <c r="B2971" s="115" t="s">
        <v>1139</v>
      </c>
      <c r="D2971" s="115" t="s">
        <v>1140</v>
      </c>
      <c r="E2971" s="115" t="s">
        <v>1141</v>
      </c>
    </row>
    <row r="2972" spans="2:5" x14ac:dyDescent="0.25">
      <c r="B2972" s="115" t="s">
        <v>1139</v>
      </c>
      <c r="D2972" s="115" t="s">
        <v>1140</v>
      </c>
      <c r="E2972" s="115" t="s">
        <v>1141</v>
      </c>
    </row>
    <row r="2973" spans="2:5" x14ac:dyDescent="0.25">
      <c r="B2973" s="115" t="s">
        <v>1139</v>
      </c>
      <c r="D2973" s="115" t="s">
        <v>1140</v>
      </c>
      <c r="E2973" s="115" t="s">
        <v>1141</v>
      </c>
    </row>
    <row r="2974" spans="2:5" x14ac:dyDescent="0.25">
      <c r="B2974" s="115" t="s">
        <v>1139</v>
      </c>
      <c r="D2974" s="115" t="s">
        <v>1140</v>
      </c>
      <c r="E2974" s="115" t="s">
        <v>1141</v>
      </c>
    </row>
    <row r="2975" spans="2:5" x14ac:dyDescent="0.25">
      <c r="B2975" s="115" t="s">
        <v>1139</v>
      </c>
      <c r="D2975" s="115" t="s">
        <v>1140</v>
      </c>
      <c r="E2975" s="115" t="s">
        <v>1141</v>
      </c>
    </row>
    <row r="2976" spans="2:5" x14ac:dyDescent="0.25">
      <c r="B2976" s="115" t="s">
        <v>1139</v>
      </c>
      <c r="D2976" s="115" t="s">
        <v>1140</v>
      </c>
      <c r="E2976" s="115" t="s">
        <v>1141</v>
      </c>
    </row>
    <row r="2977" spans="2:5" x14ac:dyDescent="0.25">
      <c r="B2977" s="115" t="s">
        <v>1139</v>
      </c>
      <c r="D2977" s="115" t="s">
        <v>1140</v>
      </c>
      <c r="E2977" s="115" t="s">
        <v>1141</v>
      </c>
    </row>
    <row r="2978" spans="2:5" x14ac:dyDescent="0.25">
      <c r="B2978" s="115" t="s">
        <v>1139</v>
      </c>
      <c r="D2978" s="115" t="s">
        <v>1140</v>
      </c>
      <c r="E2978" s="115" t="s">
        <v>1141</v>
      </c>
    </row>
    <row r="2979" spans="2:5" x14ac:dyDescent="0.25">
      <c r="B2979" s="115" t="s">
        <v>1139</v>
      </c>
      <c r="D2979" s="115" t="s">
        <v>1140</v>
      </c>
      <c r="E2979" s="115" t="s">
        <v>1141</v>
      </c>
    </row>
    <row r="2980" spans="2:5" x14ac:dyDescent="0.25">
      <c r="B2980" s="115" t="s">
        <v>1139</v>
      </c>
      <c r="D2980" s="115" t="s">
        <v>1140</v>
      </c>
      <c r="E2980" s="115" t="s">
        <v>1141</v>
      </c>
    </row>
    <row r="2981" spans="2:5" x14ac:dyDescent="0.25">
      <c r="B2981" s="115" t="s">
        <v>1139</v>
      </c>
      <c r="D2981" s="115" t="s">
        <v>1140</v>
      </c>
      <c r="E2981" s="115" t="s">
        <v>1141</v>
      </c>
    </row>
    <row r="2982" spans="2:5" x14ac:dyDescent="0.25">
      <c r="B2982" s="115" t="s">
        <v>1139</v>
      </c>
      <c r="D2982" s="115" t="s">
        <v>1140</v>
      </c>
      <c r="E2982" s="115" t="s">
        <v>1141</v>
      </c>
    </row>
    <row r="2983" spans="2:5" x14ac:dyDescent="0.25">
      <c r="B2983" s="115" t="s">
        <v>1139</v>
      </c>
      <c r="D2983" s="115" t="s">
        <v>1140</v>
      </c>
      <c r="E2983" s="115" t="s">
        <v>1141</v>
      </c>
    </row>
    <row r="2984" spans="2:5" x14ac:dyDescent="0.25">
      <c r="B2984" s="115" t="s">
        <v>1139</v>
      </c>
      <c r="D2984" s="115" t="s">
        <v>1140</v>
      </c>
      <c r="E2984" s="115" t="s">
        <v>1141</v>
      </c>
    </row>
    <row r="2985" spans="2:5" x14ac:dyDescent="0.25">
      <c r="B2985" s="115" t="s">
        <v>1139</v>
      </c>
      <c r="D2985" s="115" t="s">
        <v>1140</v>
      </c>
      <c r="E2985" s="115" t="s">
        <v>1141</v>
      </c>
    </row>
    <row r="2986" spans="2:5" x14ac:dyDescent="0.25">
      <c r="B2986" s="115" t="s">
        <v>1139</v>
      </c>
      <c r="D2986" s="115" t="s">
        <v>1140</v>
      </c>
      <c r="E2986" s="115" t="s">
        <v>1141</v>
      </c>
    </row>
    <row r="2987" spans="2:5" x14ac:dyDescent="0.25">
      <c r="B2987" s="115" t="s">
        <v>1139</v>
      </c>
      <c r="D2987" s="115" t="s">
        <v>1140</v>
      </c>
      <c r="E2987" s="115" t="s">
        <v>1141</v>
      </c>
    </row>
    <row r="2988" spans="2:5" x14ac:dyDescent="0.25">
      <c r="B2988" s="115" t="s">
        <v>1139</v>
      </c>
      <c r="D2988" s="115" t="s">
        <v>1140</v>
      </c>
      <c r="E2988" s="115" t="s">
        <v>1141</v>
      </c>
    </row>
    <row r="2989" spans="2:5" x14ac:dyDescent="0.25">
      <c r="B2989" s="115" t="s">
        <v>1139</v>
      </c>
      <c r="D2989" s="115" t="s">
        <v>1140</v>
      </c>
      <c r="E2989" s="115" t="s">
        <v>1141</v>
      </c>
    </row>
    <row r="2990" spans="2:5" x14ac:dyDescent="0.25">
      <c r="B2990" s="115" t="s">
        <v>1139</v>
      </c>
      <c r="D2990" s="115" t="s">
        <v>1140</v>
      </c>
      <c r="E2990" s="115" t="s">
        <v>1141</v>
      </c>
    </row>
    <row r="2991" spans="2:5" x14ac:dyDescent="0.25">
      <c r="B2991" s="115" t="s">
        <v>1139</v>
      </c>
      <c r="D2991" s="115" t="s">
        <v>1140</v>
      </c>
      <c r="E2991" s="115" t="s">
        <v>1141</v>
      </c>
    </row>
    <row r="2992" spans="2:5" x14ac:dyDescent="0.25">
      <c r="B2992" s="115" t="s">
        <v>1139</v>
      </c>
      <c r="D2992" s="115" t="s">
        <v>1140</v>
      </c>
      <c r="E2992" s="115" t="s">
        <v>1141</v>
      </c>
    </row>
    <row r="2993" spans="2:5" x14ac:dyDescent="0.25">
      <c r="B2993" s="115" t="s">
        <v>1139</v>
      </c>
      <c r="D2993" s="115" t="s">
        <v>1140</v>
      </c>
      <c r="E2993" s="115" t="s">
        <v>1141</v>
      </c>
    </row>
    <row r="2994" spans="2:5" x14ac:dyDescent="0.25">
      <c r="B2994" s="115" t="s">
        <v>1139</v>
      </c>
      <c r="D2994" s="115" t="s">
        <v>1140</v>
      </c>
      <c r="E2994" s="115" t="s">
        <v>1141</v>
      </c>
    </row>
    <row r="2995" spans="2:5" x14ac:dyDescent="0.25">
      <c r="B2995" s="115" t="s">
        <v>1139</v>
      </c>
      <c r="D2995" s="115" t="s">
        <v>1140</v>
      </c>
      <c r="E2995" s="115" t="s">
        <v>1141</v>
      </c>
    </row>
    <row r="2996" spans="2:5" x14ac:dyDescent="0.25">
      <c r="B2996" s="115" t="s">
        <v>1139</v>
      </c>
      <c r="D2996" s="115" t="s">
        <v>1140</v>
      </c>
      <c r="E2996" s="115" t="s">
        <v>1141</v>
      </c>
    </row>
    <row r="2997" spans="2:5" x14ac:dyDescent="0.25">
      <c r="B2997" s="115" t="s">
        <v>1139</v>
      </c>
      <c r="D2997" s="115" t="s">
        <v>1140</v>
      </c>
      <c r="E2997" s="115" t="s">
        <v>1141</v>
      </c>
    </row>
    <row r="2998" spans="2:5" x14ac:dyDescent="0.25">
      <c r="B2998" s="115" t="s">
        <v>1139</v>
      </c>
      <c r="D2998" s="115" t="s">
        <v>1140</v>
      </c>
      <c r="E2998" s="115" t="s">
        <v>1141</v>
      </c>
    </row>
    <row r="2999" spans="2:5" x14ac:dyDescent="0.25">
      <c r="B2999" s="115" t="s">
        <v>1139</v>
      </c>
      <c r="D2999" s="115" t="s">
        <v>1140</v>
      </c>
      <c r="E2999" s="115" t="s">
        <v>1141</v>
      </c>
    </row>
    <row r="3000" spans="2:5" x14ac:dyDescent="0.25">
      <c r="B3000" s="115" t="s">
        <v>1139</v>
      </c>
      <c r="D3000" s="115" t="s">
        <v>1140</v>
      </c>
      <c r="E3000" s="115" t="s">
        <v>1141</v>
      </c>
    </row>
    <row r="3001" spans="2:5" x14ac:dyDescent="0.25">
      <c r="B3001" s="115" t="s">
        <v>1139</v>
      </c>
      <c r="D3001" s="115" t="s">
        <v>1140</v>
      </c>
      <c r="E3001" s="115" t="s">
        <v>1141</v>
      </c>
    </row>
    <row r="3002" spans="2:5" x14ac:dyDescent="0.25">
      <c r="B3002" s="115" t="s">
        <v>1139</v>
      </c>
      <c r="D3002" s="115" t="s">
        <v>1140</v>
      </c>
      <c r="E3002" s="115" t="s">
        <v>1141</v>
      </c>
    </row>
    <row r="3003" spans="2:5" x14ac:dyDescent="0.25">
      <c r="B3003" s="115" t="s">
        <v>1139</v>
      </c>
      <c r="D3003" s="115" t="s">
        <v>1140</v>
      </c>
      <c r="E3003" s="115" t="s">
        <v>1141</v>
      </c>
    </row>
    <row r="3004" spans="2:5" x14ac:dyDescent="0.25">
      <c r="B3004" s="115" t="s">
        <v>1139</v>
      </c>
      <c r="D3004" s="115" t="s">
        <v>1140</v>
      </c>
      <c r="E3004" s="115" t="s">
        <v>1141</v>
      </c>
    </row>
    <row r="3005" spans="2:5" x14ac:dyDescent="0.25">
      <c r="B3005" s="115" t="s">
        <v>1139</v>
      </c>
      <c r="D3005" s="115" t="s">
        <v>1140</v>
      </c>
      <c r="E3005" s="115" t="s">
        <v>1141</v>
      </c>
    </row>
    <row r="3006" spans="2:5" x14ac:dyDescent="0.25">
      <c r="B3006" s="115" t="s">
        <v>1139</v>
      </c>
      <c r="D3006" s="115" t="s">
        <v>1140</v>
      </c>
      <c r="E3006" s="115" t="s">
        <v>1141</v>
      </c>
    </row>
    <row r="3007" spans="2:5" x14ac:dyDescent="0.25">
      <c r="B3007" s="115" t="s">
        <v>1139</v>
      </c>
      <c r="D3007" s="115" t="s">
        <v>1140</v>
      </c>
      <c r="E3007" s="115" t="s">
        <v>1141</v>
      </c>
    </row>
    <row r="3008" spans="2:5" x14ac:dyDescent="0.25">
      <c r="B3008" s="115" t="s">
        <v>1139</v>
      </c>
      <c r="D3008" s="115" t="s">
        <v>1140</v>
      </c>
      <c r="E3008" s="115" t="s">
        <v>1141</v>
      </c>
    </row>
    <row r="3009" spans="2:5" x14ac:dyDescent="0.25">
      <c r="B3009" s="115" t="s">
        <v>1139</v>
      </c>
      <c r="D3009" s="115" t="s">
        <v>1140</v>
      </c>
      <c r="E3009" s="115" t="s">
        <v>1141</v>
      </c>
    </row>
    <row r="3010" spans="2:5" x14ac:dyDescent="0.25">
      <c r="B3010" s="115" t="s">
        <v>1139</v>
      </c>
      <c r="D3010" s="115" t="s">
        <v>1140</v>
      </c>
      <c r="E3010" s="115" t="s">
        <v>1141</v>
      </c>
    </row>
    <row r="3011" spans="2:5" x14ac:dyDescent="0.25">
      <c r="B3011" s="115" t="s">
        <v>1139</v>
      </c>
      <c r="D3011" s="115" t="s">
        <v>1140</v>
      </c>
      <c r="E3011" s="115" t="s">
        <v>1141</v>
      </c>
    </row>
    <row r="3012" spans="2:5" x14ac:dyDescent="0.25">
      <c r="B3012" s="115" t="s">
        <v>1139</v>
      </c>
      <c r="D3012" s="115" t="s">
        <v>1140</v>
      </c>
      <c r="E3012" s="115" t="s">
        <v>1141</v>
      </c>
    </row>
    <row r="3013" spans="2:5" x14ac:dyDescent="0.25">
      <c r="B3013" s="115" t="s">
        <v>1139</v>
      </c>
      <c r="D3013" s="115" t="s">
        <v>1140</v>
      </c>
      <c r="E3013" s="115" t="s">
        <v>1141</v>
      </c>
    </row>
    <row r="3014" spans="2:5" x14ac:dyDescent="0.25">
      <c r="B3014" s="115" t="s">
        <v>1139</v>
      </c>
      <c r="D3014" s="115" t="s">
        <v>1140</v>
      </c>
      <c r="E3014" s="115" t="s">
        <v>1141</v>
      </c>
    </row>
    <row r="3015" spans="2:5" x14ac:dyDescent="0.25">
      <c r="B3015" s="115" t="s">
        <v>1139</v>
      </c>
      <c r="D3015" s="115" t="s">
        <v>1140</v>
      </c>
      <c r="E3015" s="115" t="s">
        <v>1141</v>
      </c>
    </row>
    <row r="3016" spans="2:5" x14ac:dyDescent="0.25">
      <c r="B3016" s="115" t="s">
        <v>1139</v>
      </c>
      <c r="D3016" s="115" t="s">
        <v>1140</v>
      </c>
      <c r="E3016" s="115" t="s">
        <v>1141</v>
      </c>
    </row>
    <row r="3017" spans="2:5" x14ac:dyDescent="0.25">
      <c r="B3017" s="115" t="s">
        <v>1139</v>
      </c>
      <c r="D3017" s="115" t="s">
        <v>1140</v>
      </c>
      <c r="E3017" s="115" t="s">
        <v>1141</v>
      </c>
    </row>
    <row r="3018" spans="2:5" x14ac:dyDescent="0.25">
      <c r="B3018" s="115" t="s">
        <v>1139</v>
      </c>
      <c r="D3018" s="115" t="s">
        <v>1140</v>
      </c>
      <c r="E3018" s="115" t="s">
        <v>1141</v>
      </c>
    </row>
    <row r="3019" spans="2:5" x14ac:dyDescent="0.25">
      <c r="B3019" s="115" t="s">
        <v>1139</v>
      </c>
      <c r="D3019" s="115" t="s">
        <v>1140</v>
      </c>
      <c r="E3019" s="115" t="s">
        <v>1141</v>
      </c>
    </row>
    <row r="3020" spans="2:5" x14ac:dyDescent="0.25">
      <c r="B3020" s="115" t="s">
        <v>1139</v>
      </c>
      <c r="D3020" s="115" t="s">
        <v>1140</v>
      </c>
      <c r="E3020" s="115" t="s">
        <v>1141</v>
      </c>
    </row>
    <row r="3021" spans="2:5" x14ac:dyDescent="0.25">
      <c r="B3021" s="115" t="s">
        <v>1139</v>
      </c>
      <c r="D3021" s="115" t="s">
        <v>1140</v>
      </c>
      <c r="E3021" s="115" t="s">
        <v>1141</v>
      </c>
    </row>
    <row r="3022" spans="2:5" x14ac:dyDescent="0.25">
      <c r="B3022" s="115" t="s">
        <v>1139</v>
      </c>
      <c r="D3022" s="115" t="s">
        <v>1140</v>
      </c>
      <c r="E3022" s="115" t="s">
        <v>1141</v>
      </c>
    </row>
    <row r="3023" spans="2:5" x14ac:dyDescent="0.25">
      <c r="B3023" s="115" t="s">
        <v>1139</v>
      </c>
      <c r="D3023" s="115" t="s">
        <v>1140</v>
      </c>
      <c r="E3023" s="115" t="s">
        <v>1141</v>
      </c>
    </row>
    <row r="3024" spans="2:5" x14ac:dyDescent="0.25">
      <c r="B3024" s="115" t="s">
        <v>1139</v>
      </c>
      <c r="D3024" s="115" t="s">
        <v>1140</v>
      </c>
      <c r="E3024" s="115" t="s">
        <v>1141</v>
      </c>
    </row>
    <row r="3025" spans="2:5" x14ac:dyDescent="0.25">
      <c r="B3025" s="115" t="s">
        <v>1139</v>
      </c>
      <c r="D3025" s="115" t="s">
        <v>1140</v>
      </c>
      <c r="E3025" s="115" t="s">
        <v>1141</v>
      </c>
    </row>
    <row r="3026" spans="2:5" x14ac:dyDescent="0.25">
      <c r="B3026" s="115" t="s">
        <v>1139</v>
      </c>
      <c r="D3026" s="115" t="s">
        <v>1140</v>
      </c>
      <c r="E3026" s="115" t="s">
        <v>1141</v>
      </c>
    </row>
    <row r="3027" spans="2:5" x14ac:dyDescent="0.25">
      <c r="B3027" s="115" t="s">
        <v>1139</v>
      </c>
      <c r="D3027" s="115" t="s">
        <v>1140</v>
      </c>
      <c r="E3027" s="115" t="s">
        <v>1141</v>
      </c>
    </row>
    <row r="3028" spans="2:5" x14ac:dyDescent="0.25">
      <c r="B3028" s="115" t="s">
        <v>1139</v>
      </c>
      <c r="D3028" s="115" t="s">
        <v>1140</v>
      </c>
      <c r="E3028" s="115" t="s">
        <v>1141</v>
      </c>
    </row>
    <row r="3029" spans="2:5" x14ac:dyDescent="0.25">
      <c r="B3029" s="115" t="s">
        <v>1139</v>
      </c>
      <c r="D3029" s="115" t="s">
        <v>1140</v>
      </c>
      <c r="E3029" s="115" t="s">
        <v>1141</v>
      </c>
    </row>
    <row r="3030" spans="2:5" x14ac:dyDescent="0.25">
      <c r="B3030" s="115" t="s">
        <v>1139</v>
      </c>
      <c r="D3030" s="115" t="s">
        <v>1140</v>
      </c>
      <c r="E3030" s="115" t="s">
        <v>1141</v>
      </c>
    </row>
    <row r="3031" spans="2:5" x14ac:dyDescent="0.25">
      <c r="B3031" s="115" t="s">
        <v>1139</v>
      </c>
      <c r="D3031" s="115" t="s">
        <v>1140</v>
      </c>
      <c r="E3031" s="115" t="s">
        <v>1141</v>
      </c>
    </row>
    <row r="3032" spans="2:5" x14ac:dyDescent="0.25">
      <c r="B3032" s="115" t="s">
        <v>1139</v>
      </c>
      <c r="D3032" s="115" t="s">
        <v>1140</v>
      </c>
      <c r="E3032" s="115" t="s">
        <v>1141</v>
      </c>
    </row>
    <row r="3033" spans="2:5" x14ac:dyDescent="0.25">
      <c r="B3033" s="115" t="s">
        <v>1139</v>
      </c>
      <c r="D3033" s="115" t="s">
        <v>1140</v>
      </c>
      <c r="E3033" s="115" t="s">
        <v>1141</v>
      </c>
    </row>
    <row r="3034" spans="2:5" x14ac:dyDescent="0.25">
      <c r="B3034" s="115" t="s">
        <v>1139</v>
      </c>
      <c r="D3034" s="115" t="s">
        <v>1140</v>
      </c>
      <c r="E3034" s="115" t="s">
        <v>1141</v>
      </c>
    </row>
    <row r="3035" spans="2:5" x14ac:dyDescent="0.25">
      <c r="B3035" s="115" t="s">
        <v>1139</v>
      </c>
      <c r="D3035" s="115" t="s">
        <v>1140</v>
      </c>
      <c r="E3035" s="115" t="s">
        <v>1141</v>
      </c>
    </row>
    <row r="3036" spans="2:5" x14ac:dyDescent="0.25">
      <c r="B3036" s="115" t="s">
        <v>1139</v>
      </c>
      <c r="D3036" s="115" t="s">
        <v>1140</v>
      </c>
      <c r="E3036" s="115" t="s">
        <v>1141</v>
      </c>
    </row>
    <row r="3037" spans="2:5" x14ac:dyDescent="0.25">
      <c r="B3037" s="115" t="s">
        <v>1139</v>
      </c>
      <c r="D3037" s="115" t="s">
        <v>1140</v>
      </c>
      <c r="E3037" s="115" t="s">
        <v>1141</v>
      </c>
    </row>
    <row r="3038" spans="2:5" x14ac:dyDescent="0.25">
      <c r="B3038" s="115" t="s">
        <v>1139</v>
      </c>
      <c r="D3038" s="115" t="s">
        <v>1140</v>
      </c>
      <c r="E3038" s="115" t="s">
        <v>1141</v>
      </c>
    </row>
    <row r="3039" spans="2:5" x14ac:dyDescent="0.25">
      <c r="B3039" s="115" t="s">
        <v>1139</v>
      </c>
      <c r="D3039" s="115" t="s">
        <v>1140</v>
      </c>
      <c r="E3039" s="115" t="s">
        <v>1141</v>
      </c>
    </row>
    <row r="3040" spans="2:5" x14ac:dyDescent="0.25">
      <c r="B3040" s="115" t="s">
        <v>1139</v>
      </c>
      <c r="D3040" s="115" t="s">
        <v>1140</v>
      </c>
      <c r="E3040" s="115" t="s">
        <v>1141</v>
      </c>
    </row>
    <row r="3041" spans="2:5" x14ac:dyDescent="0.25">
      <c r="B3041" s="115" t="s">
        <v>1139</v>
      </c>
      <c r="D3041" s="115" t="s">
        <v>1140</v>
      </c>
      <c r="E3041" s="115" t="s">
        <v>1141</v>
      </c>
    </row>
    <row r="3042" spans="2:5" x14ac:dyDescent="0.25">
      <c r="B3042" s="115" t="s">
        <v>1139</v>
      </c>
      <c r="D3042" s="115" t="s">
        <v>1140</v>
      </c>
      <c r="E3042" s="115" t="s">
        <v>1141</v>
      </c>
    </row>
    <row r="3043" spans="2:5" x14ac:dyDescent="0.25">
      <c r="B3043" s="115" t="s">
        <v>1139</v>
      </c>
      <c r="D3043" s="115" t="s">
        <v>1140</v>
      </c>
      <c r="E3043" s="115" t="s">
        <v>1141</v>
      </c>
    </row>
    <row r="3044" spans="2:5" x14ac:dyDescent="0.25">
      <c r="B3044" s="115" t="s">
        <v>1139</v>
      </c>
      <c r="D3044" s="115" t="s">
        <v>1140</v>
      </c>
      <c r="E3044" s="115" t="s">
        <v>1141</v>
      </c>
    </row>
    <row r="3045" spans="2:5" x14ac:dyDescent="0.25">
      <c r="B3045" s="115" t="s">
        <v>1139</v>
      </c>
      <c r="D3045" s="115" t="s">
        <v>1140</v>
      </c>
      <c r="E3045" s="115" t="s">
        <v>1141</v>
      </c>
    </row>
    <row r="3046" spans="2:5" x14ac:dyDescent="0.25">
      <c r="B3046" s="115" t="s">
        <v>1139</v>
      </c>
      <c r="D3046" s="115" t="s">
        <v>1140</v>
      </c>
      <c r="E3046" s="115" t="s">
        <v>1141</v>
      </c>
    </row>
    <row r="3047" spans="2:5" x14ac:dyDescent="0.25">
      <c r="B3047" s="115" t="s">
        <v>1139</v>
      </c>
      <c r="D3047" s="115" t="s">
        <v>1140</v>
      </c>
      <c r="E3047" s="115" t="s">
        <v>1141</v>
      </c>
    </row>
    <row r="3048" spans="2:5" x14ac:dyDescent="0.25">
      <c r="B3048" s="115" t="s">
        <v>1139</v>
      </c>
      <c r="D3048" s="115" t="s">
        <v>1140</v>
      </c>
      <c r="E3048" s="115" t="s">
        <v>1141</v>
      </c>
    </row>
    <row r="3049" spans="2:5" x14ac:dyDescent="0.25">
      <c r="B3049" s="115" t="s">
        <v>1139</v>
      </c>
      <c r="D3049" s="115" t="s">
        <v>1140</v>
      </c>
      <c r="E3049" s="115" t="s">
        <v>1141</v>
      </c>
    </row>
    <row r="3050" spans="2:5" x14ac:dyDescent="0.25">
      <c r="B3050" s="115" t="s">
        <v>1139</v>
      </c>
      <c r="D3050" s="115" t="s">
        <v>1140</v>
      </c>
      <c r="E3050" s="115" t="s">
        <v>1141</v>
      </c>
    </row>
    <row r="3051" spans="2:5" x14ac:dyDescent="0.25">
      <c r="B3051" s="115" t="s">
        <v>1139</v>
      </c>
      <c r="D3051" s="115" t="s">
        <v>1140</v>
      </c>
      <c r="E3051" s="115" t="s">
        <v>1141</v>
      </c>
    </row>
    <row r="3052" spans="2:5" x14ac:dyDescent="0.25">
      <c r="B3052" s="115" t="s">
        <v>1139</v>
      </c>
      <c r="D3052" s="115" t="s">
        <v>1140</v>
      </c>
      <c r="E3052" s="115" t="s">
        <v>1141</v>
      </c>
    </row>
    <row r="3053" spans="2:5" x14ac:dyDescent="0.25">
      <c r="B3053" s="115" t="s">
        <v>1139</v>
      </c>
      <c r="D3053" s="115" t="s">
        <v>1140</v>
      </c>
      <c r="E3053" s="115" t="s">
        <v>1141</v>
      </c>
    </row>
    <row r="3054" spans="2:5" x14ac:dyDescent="0.25">
      <c r="B3054" s="115" t="s">
        <v>1139</v>
      </c>
      <c r="D3054" s="115" t="s">
        <v>1140</v>
      </c>
      <c r="E3054" s="115" t="s">
        <v>1141</v>
      </c>
    </row>
    <row r="3055" spans="2:5" x14ac:dyDescent="0.25">
      <c r="B3055" s="115" t="s">
        <v>1139</v>
      </c>
      <c r="D3055" s="115" t="s">
        <v>1140</v>
      </c>
      <c r="E3055" s="115" t="s">
        <v>1141</v>
      </c>
    </row>
    <row r="3056" spans="2:5" x14ac:dyDescent="0.25">
      <c r="B3056" s="115" t="s">
        <v>1139</v>
      </c>
      <c r="D3056" s="115" t="s">
        <v>1140</v>
      </c>
      <c r="E3056" s="115" t="s">
        <v>1141</v>
      </c>
    </row>
    <row r="3057" spans="1:5" x14ac:dyDescent="0.25">
      <c r="B3057" s="115" t="s">
        <v>1139</v>
      </c>
      <c r="D3057" s="115" t="s">
        <v>1140</v>
      </c>
      <c r="E3057" s="115" t="s">
        <v>1141</v>
      </c>
    </row>
    <row r="3058" spans="1:5" x14ac:dyDescent="0.25">
      <c r="B3058" s="115" t="s">
        <v>1139</v>
      </c>
      <c r="D3058" s="115" t="s">
        <v>1140</v>
      </c>
      <c r="E3058" s="115" t="s">
        <v>1141</v>
      </c>
    </row>
    <row r="3059" spans="1:5" x14ac:dyDescent="0.25">
      <c r="B3059" s="115" t="s">
        <v>1139</v>
      </c>
      <c r="D3059" s="115" t="s">
        <v>1140</v>
      </c>
      <c r="E3059" s="115" t="s">
        <v>1141</v>
      </c>
    </row>
    <row r="3060" spans="1:5" x14ac:dyDescent="0.25">
      <c r="B3060" s="115" t="s">
        <v>1139</v>
      </c>
      <c r="D3060" s="115" t="s">
        <v>1140</v>
      </c>
      <c r="E3060" s="115" t="s">
        <v>1141</v>
      </c>
    </row>
    <row r="3061" spans="1:5" x14ac:dyDescent="0.25">
      <c r="B3061" s="115" t="s">
        <v>1139</v>
      </c>
      <c r="D3061" s="115" t="s">
        <v>1140</v>
      </c>
      <c r="E3061" s="115" t="s">
        <v>1141</v>
      </c>
    </row>
    <row r="3062" spans="1:5" x14ac:dyDescent="0.25">
      <c r="B3062" s="115" t="s">
        <v>1139</v>
      </c>
      <c r="D3062" s="115" t="s">
        <v>1140</v>
      </c>
      <c r="E3062" s="115" t="s">
        <v>1141</v>
      </c>
    </row>
    <row r="3063" spans="1:5" x14ac:dyDescent="0.25">
      <c r="B3063" s="115" t="s">
        <v>1139</v>
      </c>
      <c r="D3063" s="115" t="s">
        <v>1140</v>
      </c>
      <c r="E3063" s="115" t="s">
        <v>1141</v>
      </c>
    </row>
    <row r="3064" spans="1:5" x14ac:dyDescent="0.25">
      <c r="B3064" s="115" t="s">
        <v>1139</v>
      </c>
      <c r="D3064" s="115" t="s">
        <v>1140</v>
      </c>
      <c r="E3064" s="115" t="s">
        <v>1141</v>
      </c>
    </row>
    <row r="3065" spans="1:5" x14ac:dyDescent="0.25">
      <c r="B3065" s="115" t="s">
        <v>1139</v>
      </c>
      <c r="D3065" s="115" t="s">
        <v>1140</v>
      </c>
      <c r="E3065" s="115" t="s">
        <v>1141</v>
      </c>
    </row>
    <row r="3066" spans="1:5" x14ac:dyDescent="0.25">
      <c r="B3066" s="115" t="s">
        <v>1139</v>
      </c>
      <c r="D3066" s="115" t="s">
        <v>1140</v>
      </c>
      <c r="E3066" s="115" t="s">
        <v>4740</v>
      </c>
    </row>
    <row r="3067" spans="1:5" x14ac:dyDescent="0.2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25">
      <c r="B3068" s="115">
        <f>-69    -66</f>
        <v>-135</v>
      </c>
      <c r="D3068" s="115" t="s">
        <v>1140</v>
      </c>
      <c r="E3068" s="115" t="s">
        <v>1141</v>
      </c>
    </row>
    <row r="3069" spans="1:5" x14ac:dyDescent="0.25">
      <c r="B3069" s="115" t="s">
        <v>4744</v>
      </c>
      <c r="D3069" s="115" t="s">
        <v>4745</v>
      </c>
      <c r="E3069" s="115" t="s">
        <v>4746</v>
      </c>
    </row>
    <row r="3070" spans="1:5" x14ac:dyDescent="0.25">
      <c r="B3070" s="115" t="s">
        <v>1139</v>
      </c>
      <c r="D3070" s="115" t="s">
        <v>4747</v>
      </c>
      <c r="E3070" s="115" t="s">
        <v>4748</v>
      </c>
    </row>
    <row r="3071" spans="1:5" x14ac:dyDescent="0.25">
      <c r="B3071" s="115" t="s">
        <v>1139</v>
      </c>
      <c r="D3071" s="115" t="s">
        <v>4749</v>
      </c>
      <c r="E3071" s="115" t="s">
        <v>1141</v>
      </c>
    </row>
    <row r="3072" spans="1:5" x14ac:dyDescent="0.25">
      <c r="B3072" s="115" t="s">
        <v>4750</v>
      </c>
      <c r="D3072" s="115" t="s">
        <v>4751</v>
      </c>
      <c r="E3072" s="115" t="s">
        <v>4752</v>
      </c>
    </row>
    <row r="3073" spans="1:5" x14ac:dyDescent="0.2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25">
      <c r="B3074" s="115" t="s">
        <v>4756</v>
      </c>
      <c r="D3074" s="115" t="s">
        <v>4757</v>
      </c>
      <c r="E3074" s="115" t="s">
        <v>4758</v>
      </c>
    </row>
    <row r="3075" spans="1:5" x14ac:dyDescent="0.2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2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25">
      <c r="B3077" s="115" t="s">
        <v>4765</v>
      </c>
      <c r="D3077" s="115" t="s">
        <v>4766</v>
      </c>
      <c r="E3077" s="115" t="s">
        <v>4767</v>
      </c>
    </row>
    <row r="3078" spans="1:5" x14ac:dyDescent="0.25">
      <c r="B3078" s="115" t="s">
        <v>4768</v>
      </c>
      <c r="D3078" s="115" t="s">
        <v>4769</v>
      </c>
      <c r="E3078" s="115" t="s">
        <v>4770</v>
      </c>
    </row>
    <row r="3079" spans="1:5" x14ac:dyDescent="0.25">
      <c r="B3079" s="115" t="s">
        <v>1606</v>
      </c>
      <c r="D3079" s="115" t="s">
        <v>4771</v>
      </c>
      <c r="E3079" s="115" t="s">
        <v>4772</v>
      </c>
    </row>
    <row r="3080" spans="1:5" x14ac:dyDescent="0.25">
      <c r="B3080" s="115" t="s">
        <v>4773</v>
      </c>
      <c r="D3080" s="115" t="s">
        <v>4774</v>
      </c>
      <c r="E3080" s="115" t="s">
        <v>4775</v>
      </c>
    </row>
    <row r="3081" spans="1:5" x14ac:dyDescent="0.25">
      <c r="B3081" s="115" t="s">
        <v>4776</v>
      </c>
      <c r="D3081" s="115" t="s">
        <v>4777</v>
      </c>
      <c r="E3081" s="115" t="s">
        <v>4778</v>
      </c>
    </row>
    <row r="3082" spans="1:5" x14ac:dyDescent="0.2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25">
      <c r="B3083" s="115" t="s">
        <v>1679</v>
      </c>
      <c r="D3083" s="115" t="s">
        <v>1140</v>
      </c>
      <c r="E3083" s="115" t="s">
        <v>4782</v>
      </c>
    </row>
    <row r="3084" spans="1:5" x14ac:dyDescent="0.25">
      <c r="B3084" s="115" t="s">
        <v>4783</v>
      </c>
      <c r="D3084" s="115" t="s">
        <v>4784</v>
      </c>
      <c r="E3084" s="115" t="s">
        <v>4785</v>
      </c>
    </row>
    <row r="3085" spans="1:5" x14ac:dyDescent="0.2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25">
      <c r="B3086" s="115" t="s">
        <v>4789</v>
      </c>
      <c r="D3086" s="115" t="s">
        <v>4790</v>
      </c>
      <c r="E3086" s="115" t="s">
        <v>4791</v>
      </c>
    </row>
    <row r="3087" spans="1:5" x14ac:dyDescent="0.2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25">
      <c r="B3088" s="115" t="s">
        <v>1139</v>
      </c>
      <c r="D3088" s="115" t="s">
        <v>4795</v>
      </c>
      <c r="E3088" s="115" t="s">
        <v>4796</v>
      </c>
    </row>
    <row r="3089" spans="1:5" x14ac:dyDescent="0.25">
      <c r="B3089" s="115" t="s">
        <v>1139</v>
      </c>
      <c r="D3089" s="115" t="s">
        <v>4797</v>
      </c>
      <c r="E3089" s="115" t="s">
        <v>2082</v>
      </c>
    </row>
    <row r="3090" spans="1:5" x14ac:dyDescent="0.2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25">
      <c r="B3091" s="115" t="s">
        <v>1139</v>
      </c>
      <c r="D3091" s="115" t="s">
        <v>4801</v>
      </c>
      <c r="E3091" s="115" t="s">
        <v>1141</v>
      </c>
    </row>
    <row r="3092" spans="1:5" x14ac:dyDescent="0.25">
      <c r="B3092" s="115" t="s">
        <v>1139</v>
      </c>
      <c r="D3092" s="115" t="s">
        <v>4802</v>
      </c>
      <c r="E3092" s="115" t="s">
        <v>4803</v>
      </c>
    </row>
    <row r="3093" spans="1:5" x14ac:dyDescent="0.2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2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25">
      <c r="B3095" s="115" t="s">
        <v>1139</v>
      </c>
      <c r="D3095" s="115" t="s">
        <v>4807</v>
      </c>
      <c r="E3095" s="115" t="s">
        <v>4808</v>
      </c>
    </row>
    <row r="3096" spans="1:5" x14ac:dyDescent="0.2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2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2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2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2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25">
      <c r="B3101" s="115" t="s">
        <v>4428</v>
      </c>
      <c r="D3101" s="115" t="s">
        <v>4823</v>
      </c>
      <c r="E3101" s="115" t="s">
        <v>4824</v>
      </c>
    </row>
    <row r="3102" spans="1:5" x14ac:dyDescent="0.2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25">
      <c r="B3103" s="115" t="s">
        <v>1139</v>
      </c>
      <c r="D3103" s="115" t="s">
        <v>4828</v>
      </c>
      <c r="E3103" s="115" t="s">
        <v>4829</v>
      </c>
    </row>
    <row r="3104" spans="1:5" x14ac:dyDescent="0.25">
      <c r="B3104" s="115" t="s">
        <v>1481</v>
      </c>
      <c r="D3104" s="115" t="s">
        <v>4830</v>
      </c>
      <c r="E3104" s="115" t="s">
        <v>4831</v>
      </c>
    </row>
    <row r="3105" spans="1:5" x14ac:dyDescent="0.2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25">
      <c r="B3106" s="115" t="s">
        <v>4835</v>
      </c>
      <c r="D3106" s="115" t="s">
        <v>4836</v>
      </c>
      <c r="E3106" s="115" t="s">
        <v>1141</v>
      </c>
    </row>
    <row r="3107" spans="1:5" x14ac:dyDescent="0.25">
      <c r="B3107" s="115" t="s">
        <v>3746</v>
      </c>
      <c r="D3107" s="115" t="s">
        <v>4837</v>
      </c>
      <c r="E3107" s="115" t="s">
        <v>1141</v>
      </c>
    </row>
    <row r="3108" spans="1:5" x14ac:dyDescent="0.25">
      <c r="B3108" s="115" t="s">
        <v>4838</v>
      </c>
      <c r="D3108" s="115" t="s">
        <v>4839</v>
      </c>
      <c r="E3108" s="115" t="s">
        <v>4840</v>
      </c>
    </row>
    <row r="3109" spans="1:5" x14ac:dyDescent="0.25">
      <c r="B3109" s="115" t="s">
        <v>4841</v>
      </c>
      <c r="D3109" s="115" t="s">
        <v>4842</v>
      </c>
      <c r="E3109" s="115" t="s">
        <v>4843</v>
      </c>
    </row>
    <row r="3110" spans="1:5" x14ac:dyDescent="0.2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25">
      <c r="B3111" s="115" t="s">
        <v>1139</v>
      </c>
      <c r="D3111" s="115" t="s">
        <v>1140</v>
      </c>
      <c r="E3111" s="115" t="s">
        <v>4847</v>
      </c>
    </row>
    <row r="3112" spans="1:5" x14ac:dyDescent="0.2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25">
      <c r="B3113" s="115" t="s">
        <v>1139</v>
      </c>
      <c r="D3113" s="115" t="s">
        <v>4851</v>
      </c>
      <c r="E3113" s="115" t="s">
        <v>1141</v>
      </c>
    </row>
    <row r="3114" spans="1:5" x14ac:dyDescent="0.25">
      <c r="B3114" s="115" t="s">
        <v>1139</v>
      </c>
      <c r="D3114" s="115" t="s">
        <v>1140</v>
      </c>
      <c r="E3114" s="115" t="s">
        <v>1141</v>
      </c>
    </row>
    <row r="3115" spans="1:5" x14ac:dyDescent="0.25">
      <c r="B3115" s="115" t="s">
        <v>1139</v>
      </c>
      <c r="D3115" s="115" t="s">
        <v>1140</v>
      </c>
      <c r="E3115" s="115" t="s">
        <v>1141</v>
      </c>
    </row>
    <row r="3116" spans="1:5" x14ac:dyDescent="0.25">
      <c r="B3116" s="115" t="s">
        <v>1139</v>
      </c>
      <c r="D3116" s="115" t="s">
        <v>1140</v>
      </c>
      <c r="E3116" s="115" t="s">
        <v>1141</v>
      </c>
    </row>
    <row r="3117" spans="1:5" x14ac:dyDescent="0.25">
      <c r="B3117" s="115" t="s">
        <v>1139</v>
      </c>
      <c r="D3117" s="115" t="s">
        <v>1140</v>
      </c>
      <c r="E3117" s="115" t="s">
        <v>1141</v>
      </c>
    </row>
    <row r="3118" spans="1:5" x14ac:dyDescent="0.25">
      <c r="B3118" s="115" t="s">
        <v>1139</v>
      </c>
      <c r="D3118" s="115" t="s">
        <v>1140</v>
      </c>
      <c r="E3118" s="115" t="s">
        <v>1141</v>
      </c>
    </row>
    <row r="3119" spans="1:5" x14ac:dyDescent="0.25">
      <c r="B3119" s="115" t="s">
        <v>1139</v>
      </c>
      <c r="D3119" s="115" t="s">
        <v>1140</v>
      </c>
      <c r="E3119" s="115" t="s">
        <v>1141</v>
      </c>
    </row>
    <row r="3120" spans="1:5" x14ac:dyDescent="0.25">
      <c r="B3120" s="115" t="s">
        <v>1139</v>
      </c>
      <c r="D3120" s="115" t="s">
        <v>1140</v>
      </c>
      <c r="E3120" s="115" t="s">
        <v>1141</v>
      </c>
    </row>
    <row r="3121" spans="2:5" x14ac:dyDescent="0.25">
      <c r="B3121" s="115" t="s">
        <v>1139</v>
      </c>
      <c r="D3121" s="115" t="s">
        <v>1140</v>
      </c>
      <c r="E3121" s="115" t="s">
        <v>1141</v>
      </c>
    </row>
    <row r="3122" spans="2:5" x14ac:dyDescent="0.25">
      <c r="B3122" s="115" t="s">
        <v>1139</v>
      </c>
      <c r="D3122" s="115" t="s">
        <v>1140</v>
      </c>
      <c r="E3122" s="115" t="s">
        <v>1141</v>
      </c>
    </row>
    <row r="3123" spans="2:5" x14ac:dyDescent="0.25">
      <c r="B3123" s="115" t="s">
        <v>1139</v>
      </c>
      <c r="D3123" s="115" t="s">
        <v>1140</v>
      </c>
      <c r="E3123" s="115" t="s">
        <v>1141</v>
      </c>
    </row>
    <row r="3124" spans="2:5" x14ac:dyDescent="0.25">
      <c r="B3124" s="115" t="s">
        <v>1139</v>
      </c>
      <c r="D3124" s="115" t="s">
        <v>1140</v>
      </c>
      <c r="E3124" s="115" t="s">
        <v>1141</v>
      </c>
    </row>
    <row r="3125" spans="2:5" x14ac:dyDescent="0.25">
      <c r="B3125" s="115" t="s">
        <v>1139</v>
      </c>
      <c r="D3125" s="115" t="s">
        <v>1140</v>
      </c>
      <c r="E3125" s="115" t="s">
        <v>1141</v>
      </c>
    </row>
    <row r="3126" spans="2:5" x14ac:dyDescent="0.25">
      <c r="B3126" s="115" t="s">
        <v>1139</v>
      </c>
      <c r="D3126" s="115" t="s">
        <v>1140</v>
      </c>
      <c r="E3126" s="115" t="s">
        <v>1141</v>
      </c>
    </row>
    <row r="3127" spans="2:5" x14ac:dyDescent="0.25">
      <c r="B3127" s="115" t="s">
        <v>1139</v>
      </c>
      <c r="D3127" s="115" t="s">
        <v>1140</v>
      </c>
      <c r="E3127" s="115" t="s">
        <v>1141</v>
      </c>
    </row>
    <row r="3128" spans="2:5" x14ac:dyDescent="0.25">
      <c r="B3128" s="115" t="s">
        <v>1139</v>
      </c>
      <c r="D3128" s="115" t="s">
        <v>1140</v>
      </c>
      <c r="E3128" s="115" t="s">
        <v>1141</v>
      </c>
    </row>
    <row r="3129" spans="2:5" x14ac:dyDescent="0.25">
      <c r="B3129" s="115" t="s">
        <v>1139</v>
      </c>
      <c r="D3129" s="115" t="s">
        <v>1140</v>
      </c>
      <c r="E3129" s="115" t="s">
        <v>1141</v>
      </c>
    </row>
    <row r="3130" spans="2:5" x14ac:dyDescent="0.25">
      <c r="B3130" s="115" t="s">
        <v>1139</v>
      </c>
      <c r="D3130" s="115" t="s">
        <v>1140</v>
      </c>
      <c r="E3130" s="115" t="s">
        <v>1141</v>
      </c>
    </row>
    <row r="3131" spans="2:5" x14ac:dyDescent="0.25">
      <c r="B3131" s="115" t="s">
        <v>1139</v>
      </c>
      <c r="D3131" s="115" t="s">
        <v>1140</v>
      </c>
      <c r="E3131" s="115" t="s">
        <v>1141</v>
      </c>
    </row>
    <row r="3132" spans="2:5" x14ac:dyDescent="0.25">
      <c r="B3132" s="115" t="s">
        <v>1139</v>
      </c>
      <c r="D3132" s="115" t="s">
        <v>1140</v>
      </c>
      <c r="E3132" s="115" t="s">
        <v>1141</v>
      </c>
    </row>
    <row r="3133" spans="2:5" x14ac:dyDescent="0.25">
      <c r="B3133" s="115" t="s">
        <v>1139</v>
      </c>
      <c r="D3133" s="115" t="s">
        <v>1140</v>
      </c>
      <c r="E3133" s="115" t="s">
        <v>1141</v>
      </c>
    </row>
    <row r="3134" spans="2:5" x14ac:dyDescent="0.25">
      <c r="B3134" s="115" t="s">
        <v>1139</v>
      </c>
      <c r="D3134" s="115" t="s">
        <v>1140</v>
      </c>
      <c r="E3134" s="115" t="s">
        <v>1141</v>
      </c>
    </row>
    <row r="3135" spans="2:5" x14ac:dyDescent="0.25">
      <c r="B3135" s="115" t="s">
        <v>1139</v>
      </c>
      <c r="D3135" s="115" t="s">
        <v>1140</v>
      </c>
      <c r="E3135" s="115" t="s">
        <v>1141</v>
      </c>
    </row>
    <row r="3136" spans="2:5" x14ac:dyDescent="0.25">
      <c r="B3136" s="115" t="s">
        <v>1139</v>
      </c>
      <c r="D3136" s="115" t="s">
        <v>1140</v>
      </c>
      <c r="E3136" s="115" t="s">
        <v>1141</v>
      </c>
    </row>
    <row r="3137" spans="2:5" x14ac:dyDescent="0.25">
      <c r="B3137" s="115" t="s">
        <v>1139</v>
      </c>
      <c r="D3137" s="115" t="s">
        <v>1140</v>
      </c>
      <c r="E3137" s="115" t="s">
        <v>1141</v>
      </c>
    </row>
    <row r="3138" spans="2:5" x14ac:dyDescent="0.25">
      <c r="B3138" s="115" t="s">
        <v>1139</v>
      </c>
      <c r="D3138" s="115" t="s">
        <v>1140</v>
      </c>
      <c r="E3138" s="115" t="s">
        <v>1141</v>
      </c>
    </row>
    <row r="3139" spans="2:5" x14ac:dyDescent="0.25">
      <c r="B3139" s="115" t="s">
        <v>1139</v>
      </c>
      <c r="D3139" s="115" t="s">
        <v>1140</v>
      </c>
      <c r="E3139" s="115" t="s">
        <v>1141</v>
      </c>
    </row>
    <row r="3140" spans="2:5" x14ac:dyDescent="0.25">
      <c r="B3140" s="115" t="s">
        <v>1139</v>
      </c>
      <c r="D3140" s="115" t="s">
        <v>1140</v>
      </c>
      <c r="E3140" s="115" t="s">
        <v>1141</v>
      </c>
    </row>
    <row r="3141" spans="2:5" x14ac:dyDescent="0.25">
      <c r="B3141" s="115" t="s">
        <v>1139</v>
      </c>
      <c r="D3141" s="115" t="s">
        <v>1140</v>
      </c>
      <c r="E3141" s="115" t="s">
        <v>1141</v>
      </c>
    </row>
    <row r="3142" spans="2:5" x14ac:dyDescent="0.25">
      <c r="B3142" s="115" t="s">
        <v>1139</v>
      </c>
      <c r="D3142" s="115" t="s">
        <v>1140</v>
      </c>
      <c r="E3142" s="115" t="s">
        <v>1141</v>
      </c>
    </row>
    <row r="3143" spans="2:5" x14ac:dyDescent="0.25">
      <c r="B3143" s="115" t="s">
        <v>1139</v>
      </c>
      <c r="D3143" s="115" t="s">
        <v>1140</v>
      </c>
      <c r="E3143" s="115" t="s">
        <v>1141</v>
      </c>
    </row>
    <row r="3144" spans="2:5" x14ac:dyDescent="0.25">
      <c r="B3144" s="115" t="s">
        <v>1139</v>
      </c>
      <c r="D3144" s="115" t="s">
        <v>1140</v>
      </c>
      <c r="E3144" s="115" t="s">
        <v>1141</v>
      </c>
    </row>
    <row r="3145" spans="2:5" x14ac:dyDescent="0.25">
      <c r="B3145" s="115" t="s">
        <v>1139</v>
      </c>
      <c r="D3145" s="115" t="s">
        <v>1140</v>
      </c>
      <c r="E3145" s="115" t="s">
        <v>1141</v>
      </c>
    </row>
    <row r="3146" spans="2:5" x14ac:dyDescent="0.25">
      <c r="B3146" s="115" t="s">
        <v>1139</v>
      </c>
      <c r="D3146" s="115" t="s">
        <v>1140</v>
      </c>
      <c r="E3146" s="115" t="s">
        <v>1141</v>
      </c>
    </row>
    <row r="3147" spans="2:5" x14ac:dyDescent="0.25">
      <c r="B3147" s="115" t="s">
        <v>1139</v>
      </c>
      <c r="D3147" s="115" t="s">
        <v>1140</v>
      </c>
      <c r="E3147" s="115" t="s">
        <v>1141</v>
      </c>
    </row>
    <row r="3148" spans="2:5" x14ac:dyDescent="0.25">
      <c r="B3148" s="115" t="s">
        <v>1139</v>
      </c>
      <c r="D3148" s="115" t="s">
        <v>1140</v>
      </c>
      <c r="E3148" s="115" t="s">
        <v>1141</v>
      </c>
    </row>
    <row r="3149" spans="2:5" x14ac:dyDescent="0.25">
      <c r="B3149" s="115" t="s">
        <v>1139</v>
      </c>
      <c r="D3149" s="115" t="s">
        <v>1140</v>
      </c>
      <c r="E3149" s="115" t="s">
        <v>1141</v>
      </c>
    </row>
    <row r="3150" spans="2:5" x14ac:dyDescent="0.25">
      <c r="B3150" s="115" t="s">
        <v>1139</v>
      </c>
      <c r="D3150" s="115" t="s">
        <v>1140</v>
      </c>
      <c r="E3150" s="115" t="s">
        <v>1141</v>
      </c>
    </row>
    <row r="3151" spans="2:5" x14ac:dyDescent="0.25">
      <c r="B3151" s="115" t="s">
        <v>1139</v>
      </c>
      <c r="D3151" s="115" t="s">
        <v>1140</v>
      </c>
      <c r="E3151" s="115" t="s">
        <v>1141</v>
      </c>
    </row>
    <row r="3152" spans="2:5" x14ac:dyDescent="0.25">
      <c r="B3152" s="115" t="s">
        <v>1139</v>
      </c>
      <c r="D3152" s="115" t="s">
        <v>1140</v>
      </c>
      <c r="E3152" s="115" t="s">
        <v>1141</v>
      </c>
    </row>
    <row r="3153" spans="2:5" x14ac:dyDescent="0.25">
      <c r="B3153" s="115" t="s">
        <v>1139</v>
      </c>
      <c r="D3153" s="115" t="s">
        <v>1140</v>
      </c>
      <c r="E3153" s="115" t="s">
        <v>1141</v>
      </c>
    </row>
    <row r="3154" spans="2:5" x14ac:dyDescent="0.25">
      <c r="B3154" s="115" t="s">
        <v>1139</v>
      </c>
      <c r="D3154" s="115" t="s">
        <v>1140</v>
      </c>
      <c r="E3154" s="115" t="s">
        <v>1141</v>
      </c>
    </row>
    <row r="3155" spans="2:5" x14ac:dyDescent="0.25">
      <c r="B3155" s="115" t="s">
        <v>1139</v>
      </c>
      <c r="D3155" s="115" t="s">
        <v>1140</v>
      </c>
      <c r="E3155" s="115" t="s">
        <v>1141</v>
      </c>
    </row>
    <row r="3156" spans="2:5" x14ac:dyDescent="0.25">
      <c r="B3156" s="115" t="s">
        <v>1139</v>
      </c>
      <c r="D3156" s="115" t="s">
        <v>1140</v>
      </c>
      <c r="E3156" s="115" t="s">
        <v>1141</v>
      </c>
    </row>
    <row r="3157" spans="2:5" x14ac:dyDescent="0.25">
      <c r="B3157" s="115" t="s">
        <v>1139</v>
      </c>
      <c r="D3157" s="115" t="s">
        <v>1140</v>
      </c>
      <c r="E3157" s="115" t="s">
        <v>1141</v>
      </c>
    </row>
    <row r="3158" spans="2:5" x14ac:dyDescent="0.25">
      <c r="B3158" s="115" t="s">
        <v>1139</v>
      </c>
      <c r="D3158" s="115" t="s">
        <v>1140</v>
      </c>
      <c r="E3158" s="115" t="s">
        <v>1141</v>
      </c>
    </row>
    <row r="3159" spans="2:5" x14ac:dyDescent="0.25">
      <c r="B3159" s="115" t="s">
        <v>1139</v>
      </c>
      <c r="D3159" s="115" t="s">
        <v>1140</v>
      </c>
      <c r="E3159" s="115" t="s">
        <v>1141</v>
      </c>
    </row>
    <row r="3160" spans="2:5" x14ac:dyDescent="0.25">
      <c r="B3160" s="115" t="s">
        <v>1139</v>
      </c>
      <c r="D3160" s="115" t="s">
        <v>1140</v>
      </c>
      <c r="E3160" s="115" t="s">
        <v>1141</v>
      </c>
    </row>
    <row r="3161" spans="2:5" x14ac:dyDescent="0.25">
      <c r="B3161" s="115" t="s">
        <v>1139</v>
      </c>
      <c r="D3161" s="115" t="s">
        <v>1140</v>
      </c>
      <c r="E3161" s="115" t="s">
        <v>1141</v>
      </c>
    </row>
    <row r="3162" spans="2:5" x14ac:dyDescent="0.25">
      <c r="B3162" s="115" t="s">
        <v>1139</v>
      </c>
      <c r="D3162" s="115" t="s">
        <v>1140</v>
      </c>
      <c r="E3162" s="115" t="s">
        <v>1141</v>
      </c>
    </row>
    <row r="3163" spans="2:5" x14ac:dyDescent="0.25">
      <c r="B3163" s="115" t="s">
        <v>1139</v>
      </c>
      <c r="D3163" s="115" t="s">
        <v>1140</v>
      </c>
      <c r="E3163" s="115" t="s">
        <v>1141</v>
      </c>
    </row>
    <row r="3164" spans="2:5" x14ac:dyDescent="0.25">
      <c r="B3164" s="115" t="s">
        <v>1139</v>
      </c>
      <c r="D3164" s="115" t="s">
        <v>1140</v>
      </c>
      <c r="E3164" s="115" t="s">
        <v>1141</v>
      </c>
    </row>
    <row r="3165" spans="2:5" x14ac:dyDescent="0.25">
      <c r="B3165" s="115" t="s">
        <v>1139</v>
      </c>
      <c r="D3165" s="115" t="s">
        <v>1140</v>
      </c>
      <c r="E3165" s="115" t="s">
        <v>1141</v>
      </c>
    </row>
    <row r="3166" spans="2:5" x14ac:dyDescent="0.25">
      <c r="B3166" s="115" t="s">
        <v>1139</v>
      </c>
      <c r="D3166" s="115" t="s">
        <v>1140</v>
      </c>
      <c r="E3166" s="115" t="s">
        <v>1141</v>
      </c>
    </row>
    <row r="3167" spans="2:5" x14ac:dyDescent="0.25">
      <c r="B3167" s="115" t="s">
        <v>1139</v>
      </c>
      <c r="D3167" s="115" t="s">
        <v>1140</v>
      </c>
      <c r="E3167" s="115" t="s">
        <v>1141</v>
      </c>
    </row>
    <row r="3168" spans="2:5" x14ac:dyDescent="0.25">
      <c r="B3168" s="115" t="s">
        <v>1139</v>
      </c>
      <c r="D3168" s="115" t="s">
        <v>1140</v>
      </c>
      <c r="E3168" s="115" t="s">
        <v>1141</v>
      </c>
    </row>
    <row r="3169" spans="2:5" x14ac:dyDescent="0.25">
      <c r="B3169" s="115" t="s">
        <v>1139</v>
      </c>
      <c r="D3169" s="115" t="s">
        <v>1140</v>
      </c>
      <c r="E3169" s="115" t="s">
        <v>1141</v>
      </c>
    </row>
    <row r="3170" spans="2:5" x14ac:dyDescent="0.25">
      <c r="B3170" s="115" t="s">
        <v>1139</v>
      </c>
      <c r="D3170" s="115" t="s">
        <v>1140</v>
      </c>
      <c r="E3170" s="115" t="s">
        <v>1141</v>
      </c>
    </row>
    <row r="3171" spans="2:5" x14ac:dyDescent="0.25">
      <c r="B3171" s="115" t="s">
        <v>1139</v>
      </c>
      <c r="D3171" s="115" t="s">
        <v>1140</v>
      </c>
      <c r="E3171" s="115" t="s">
        <v>1141</v>
      </c>
    </row>
    <row r="3172" spans="2:5" x14ac:dyDescent="0.25">
      <c r="B3172" s="115" t="s">
        <v>1139</v>
      </c>
      <c r="D3172" s="115" t="s">
        <v>1140</v>
      </c>
      <c r="E3172" s="115" t="s">
        <v>1141</v>
      </c>
    </row>
    <row r="3173" spans="2:5" x14ac:dyDescent="0.25">
      <c r="B3173" s="115" t="s">
        <v>1139</v>
      </c>
      <c r="D3173" s="115" t="s">
        <v>1140</v>
      </c>
      <c r="E3173" s="115" t="s">
        <v>1141</v>
      </c>
    </row>
    <row r="3174" spans="2:5" x14ac:dyDescent="0.25">
      <c r="B3174" s="115" t="s">
        <v>1139</v>
      </c>
      <c r="D3174" s="115" t="s">
        <v>1140</v>
      </c>
      <c r="E3174" s="115" t="s">
        <v>1141</v>
      </c>
    </row>
    <row r="3175" spans="2:5" x14ac:dyDescent="0.25">
      <c r="B3175" s="115" t="s">
        <v>1139</v>
      </c>
      <c r="D3175" s="115" t="s">
        <v>1140</v>
      </c>
      <c r="E3175" s="115" t="s">
        <v>1141</v>
      </c>
    </row>
    <row r="3176" spans="2:5" x14ac:dyDescent="0.25">
      <c r="B3176" s="115" t="s">
        <v>1139</v>
      </c>
      <c r="D3176" s="115" t="s">
        <v>1140</v>
      </c>
      <c r="E3176" s="115" t="s">
        <v>1141</v>
      </c>
    </row>
    <row r="3177" spans="2:5" x14ac:dyDescent="0.25">
      <c r="B3177" s="115" t="s">
        <v>1139</v>
      </c>
      <c r="D3177" s="115" t="s">
        <v>1140</v>
      </c>
      <c r="E3177" s="115" t="s">
        <v>1141</v>
      </c>
    </row>
    <row r="3178" spans="2:5" x14ac:dyDescent="0.25">
      <c r="B3178" s="115" t="s">
        <v>1139</v>
      </c>
      <c r="D3178" s="115" t="s">
        <v>1140</v>
      </c>
      <c r="E3178" s="115" t="s">
        <v>1141</v>
      </c>
    </row>
    <row r="3179" spans="2:5" x14ac:dyDescent="0.25">
      <c r="B3179" s="115" t="s">
        <v>1139</v>
      </c>
      <c r="D3179" s="115" t="s">
        <v>1140</v>
      </c>
      <c r="E3179" s="115" t="s">
        <v>1141</v>
      </c>
    </row>
    <row r="3180" spans="2:5" x14ac:dyDescent="0.25">
      <c r="B3180" s="115" t="s">
        <v>1139</v>
      </c>
      <c r="D3180" s="115" t="s">
        <v>1140</v>
      </c>
      <c r="E3180" s="115" t="s">
        <v>1141</v>
      </c>
    </row>
    <row r="3181" spans="2:5" x14ac:dyDescent="0.25">
      <c r="B3181" s="115" t="s">
        <v>1139</v>
      </c>
      <c r="D3181" s="115" t="s">
        <v>1140</v>
      </c>
      <c r="E3181" s="115" t="s">
        <v>1141</v>
      </c>
    </row>
    <row r="3182" spans="2:5" x14ac:dyDescent="0.25">
      <c r="B3182" s="115" t="s">
        <v>1139</v>
      </c>
      <c r="D3182" s="115" t="s">
        <v>1140</v>
      </c>
      <c r="E3182" s="115" t="s">
        <v>1141</v>
      </c>
    </row>
    <row r="3183" spans="2:5" x14ac:dyDescent="0.25">
      <c r="B3183" s="115" t="s">
        <v>1139</v>
      </c>
      <c r="D3183" s="115" t="s">
        <v>1140</v>
      </c>
      <c r="E3183" s="115" t="s">
        <v>1141</v>
      </c>
    </row>
    <row r="3184" spans="2:5" x14ac:dyDescent="0.25">
      <c r="B3184" s="115" t="s">
        <v>1139</v>
      </c>
      <c r="D3184" s="115" t="s">
        <v>1140</v>
      </c>
      <c r="E3184" s="115" t="s">
        <v>1141</v>
      </c>
    </row>
    <row r="3185" spans="2:5" x14ac:dyDescent="0.25">
      <c r="B3185" s="115" t="s">
        <v>1139</v>
      </c>
      <c r="D3185" s="115" t="s">
        <v>1140</v>
      </c>
      <c r="E3185" s="115" t="s">
        <v>1141</v>
      </c>
    </row>
    <row r="3186" spans="2:5" x14ac:dyDescent="0.25">
      <c r="B3186" s="115" t="s">
        <v>1139</v>
      </c>
      <c r="D3186" s="115" t="s">
        <v>1140</v>
      </c>
      <c r="E3186" s="115" t="s">
        <v>1141</v>
      </c>
    </row>
    <row r="3187" spans="2:5" x14ac:dyDescent="0.25">
      <c r="B3187" s="115" t="s">
        <v>1139</v>
      </c>
      <c r="D3187" s="115" t="s">
        <v>1140</v>
      </c>
      <c r="E3187" s="115" t="s">
        <v>1141</v>
      </c>
    </row>
    <row r="3188" spans="2:5" x14ac:dyDescent="0.25">
      <c r="B3188" s="115" t="s">
        <v>1139</v>
      </c>
      <c r="D3188" s="115" t="s">
        <v>1140</v>
      </c>
      <c r="E3188" s="115" t="s">
        <v>1141</v>
      </c>
    </row>
    <row r="3189" spans="2:5" x14ac:dyDescent="0.25">
      <c r="B3189" s="115" t="s">
        <v>1139</v>
      </c>
      <c r="D3189" s="115" t="s">
        <v>1140</v>
      </c>
      <c r="E3189" s="115" t="s">
        <v>1141</v>
      </c>
    </row>
    <row r="3190" spans="2:5" x14ac:dyDescent="0.25">
      <c r="B3190" s="115" t="s">
        <v>1139</v>
      </c>
      <c r="D3190" s="115" t="s">
        <v>1140</v>
      </c>
      <c r="E3190" s="115" t="s">
        <v>1141</v>
      </c>
    </row>
    <row r="3191" spans="2:5" x14ac:dyDescent="0.25">
      <c r="B3191" s="115" t="s">
        <v>1139</v>
      </c>
      <c r="D3191" s="115" t="s">
        <v>1140</v>
      </c>
      <c r="E3191" s="115" t="s">
        <v>1141</v>
      </c>
    </row>
    <row r="3192" spans="2:5" x14ac:dyDescent="0.25">
      <c r="B3192" s="115" t="s">
        <v>1139</v>
      </c>
      <c r="D3192" s="115" t="s">
        <v>1140</v>
      </c>
      <c r="E3192" s="115" t="s">
        <v>1141</v>
      </c>
    </row>
    <row r="3193" spans="2:5" x14ac:dyDescent="0.25">
      <c r="B3193" s="115" t="s">
        <v>1139</v>
      </c>
      <c r="D3193" s="115" t="s">
        <v>1140</v>
      </c>
      <c r="E3193" s="115" t="s">
        <v>1141</v>
      </c>
    </row>
    <row r="3194" spans="2:5" x14ac:dyDescent="0.25">
      <c r="B3194" s="115" t="s">
        <v>1139</v>
      </c>
      <c r="D3194" s="115" t="s">
        <v>1140</v>
      </c>
      <c r="E3194" s="115" t="s">
        <v>1141</v>
      </c>
    </row>
    <row r="3195" spans="2:5" x14ac:dyDescent="0.25">
      <c r="B3195" s="115" t="s">
        <v>1139</v>
      </c>
      <c r="D3195" s="115" t="s">
        <v>1140</v>
      </c>
      <c r="E3195" s="115" t="s">
        <v>1141</v>
      </c>
    </row>
    <row r="3196" spans="2:5" x14ac:dyDescent="0.25">
      <c r="B3196" s="115" t="s">
        <v>1139</v>
      </c>
      <c r="D3196" s="115" t="s">
        <v>1140</v>
      </c>
      <c r="E3196" s="115" t="s">
        <v>1141</v>
      </c>
    </row>
    <row r="3197" spans="2:5" x14ac:dyDescent="0.25">
      <c r="B3197" s="115" t="s">
        <v>1139</v>
      </c>
      <c r="D3197" s="115" t="s">
        <v>1140</v>
      </c>
      <c r="E3197" s="115" t="s">
        <v>1141</v>
      </c>
    </row>
    <row r="3198" spans="2:5" x14ac:dyDescent="0.25">
      <c r="B3198" s="115" t="s">
        <v>1139</v>
      </c>
      <c r="D3198" s="115" t="s">
        <v>1140</v>
      </c>
      <c r="E3198" s="115" t="s">
        <v>1141</v>
      </c>
    </row>
    <row r="3199" spans="2:5" x14ac:dyDescent="0.25">
      <c r="B3199" s="115" t="s">
        <v>1139</v>
      </c>
      <c r="D3199" s="115" t="s">
        <v>1140</v>
      </c>
      <c r="E3199" s="115" t="s">
        <v>1141</v>
      </c>
    </row>
    <row r="3200" spans="2:5" x14ac:dyDescent="0.25">
      <c r="B3200" s="115" t="s">
        <v>1139</v>
      </c>
      <c r="D3200" s="115" t="s">
        <v>1140</v>
      </c>
      <c r="E3200" s="115" t="s">
        <v>1141</v>
      </c>
    </row>
    <row r="3201" spans="2:5" x14ac:dyDescent="0.25">
      <c r="B3201" s="115" t="s">
        <v>1139</v>
      </c>
      <c r="D3201" s="115" t="s">
        <v>1140</v>
      </c>
      <c r="E3201" s="115" t="s">
        <v>1141</v>
      </c>
    </row>
    <row r="3202" spans="2:5" x14ac:dyDescent="0.25">
      <c r="B3202" s="115" t="s">
        <v>1139</v>
      </c>
      <c r="D3202" s="115" t="s">
        <v>1140</v>
      </c>
      <c r="E3202" s="115" t="s">
        <v>1141</v>
      </c>
    </row>
    <row r="3203" spans="2:5" x14ac:dyDescent="0.25">
      <c r="B3203" s="115" t="s">
        <v>1139</v>
      </c>
      <c r="D3203" s="115" t="s">
        <v>1140</v>
      </c>
      <c r="E3203" s="115" t="s">
        <v>1141</v>
      </c>
    </row>
    <row r="3204" spans="2:5" x14ac:dyDescent="0.25">
      <c r="B3204" s="115" t="s">
        <v>1139</v>
      </c>
      <c r="D3204" s="115" t="s">
        <v>1140</v>
      </c>
      <c r="E3204" s="115" t="s">
        <v>1141</v>
      </c>
    </row>
    <row r="3205" spans="2:5" x14ac:dyDescent="0.25">
      <c r="B3205" s="115" t="s">
        <v>1139</v>
      </c>
      <c r="D3205" s="115" t="s">
        <v>1140</v>
      </c>
      <c r="E3205" s="115" t="s">
        <v>1141</v>
      </c>
    </row>
    <row r="3206" spans="2:5" x14ac:dyDescent="0.25">
      <c r="B3206" s="115" t="s">
        <v>1139</v>
      </c>
      <c r="D3206" s="115" t="s">
        <v>1140</v>
      </c>
      <c r="E3206" s="115" t="s">
        <v>1141</v>
      </c>
    </row>
    <row r="3207" spans="2:5" x14ac:dyDescent="0.25">
      <c r="B3207" s="115" t="s">
        <v>1139</v>
      </c>
      <c r="D3207" s="115" t="s">
        <v>1140</v>
      </c>
      <c r="E3207" s="115" t="s">
        <v>1141</v>
      </c>
    </row>
    <row r="3208" spans="2:5" x14ac:dyDescent="0.25">
      <c r="B3208" s="115" t="s">
        <v>1139</v>
      </c>
      <c r="D3208" s="115" t="s">
        <v>1140</v>
      </c>
      <c r="E3208" s="115" t="s">
        <v>1141</v>
      </c>
    </row>
    <row r="3209" spans="2:5" x14ac:dyDescent="0.25">
      <c r="B3209" s="115" t="s">
        <v>1139</v>
      </c>
      <c r="D3209" s="115" t="s">
        <v>1140</v>
      </c>
      <c r="E3209" s="115" t="s">
        <v>1141</v>
      </c>
    </row>
    <row r="3210" spans="2:5" x14ac:dyDescent="0.25">
      <c r="B3210" s="115" t="s">
        <v>1139</v>
      </c>
      <c r="D3210" s="115" t="s">
        <v>1140</v>
      </c>
      <c r="E3210" s="115" t="s">
        <v>1141</v>
      </c>
    </row>
    <row r="3211" spans="2:5" x14ac:dyDescent="0.25">
      <c r="B3211" s="115" t="s">
        <v>1139</v>
      </c>
      <c r="D3211" s="115" t="s">
        <v>1140</v>
      </c>
      <c r="E3211" s="115" t="s">
        <v>1141</v>
      </c>
    </row>
    <row r="3212" spans="2:5" x14ac:dyDescent="0.25">
      <c r="B3212" s="115" t="s">
        <v>1139</v>
      </c>
      <c r="D3212" s="115" t="s">
        <v>1140</v>
      </c>
      <c r="E3212" s="115" t="s">
        <v>1141</v>
      </c>
    </row>
    <row r="3213" spans="2:5" x14ac:dyDescent="0.25">
      <c r="B3213" s="115" t="s">
        <v>1139</v>
      </c>
      <c r="D3213" s="115" t="s">
        <v>1140</v>
      </c>
      <c r="E3213" s="115" t="s">
        <v>1141</v>
      </c>
    </row>
    <row r="3214" spans="2:5" x14ac:dyDescent="0.25">
      <c r="B3214" s="115" t="s">
        <v>1139</v>
      </c>
      <c r="D3214" s="115" t="s">
        <v>1140</v>
      </c>
      <c r="E3214" s="115" t="s">
        <v>1141</v>
      </c>
    </row>
    <row r="3215" spans="2:5" x14ac:dyDescent="0.25">
      <c r="B3215" s="115" t="s">
        <v>1139</v>
      </c>
      <c r="D3215" s="115" t="s">
        <v>1140</v>
      </c>
      <c r="E3215" s="115" t="s">
        <v>1141</v>
      </c>
    </row>
    <row r="3216" spans="2:5" x14ac:dyDescent="0.25">
      <c r="B3216" s="115" t="s">
        <v>1139</v>
      </c>
      <c r="D3216" s="115" t="s">
        <v>1140</v>
      </c>
      <c r="E3216" s="115" t="s">
        <v>1141</v>
      </c>
    </row>
    <row r="3217" spans="2:5" x14ac:dyDescent="0.25">
      <c r="B3217" s="115" t="s">
        <v>1139</v>
      </c>
      <c r="D3217" s="115" t="s">
        <v>1140</v>
      </c>
      <c r="E3217" s="115" t="s">
        <v>1141</v>
      </c>
    </row>
    <row r="3218" spans="2:5" x14ac:dyDescent="0.25">
      <c r="B3218" s="115" t="s">
        <v>1139</v>
      </c>
      <c r="D3218" s="115" t="s">
        <v>1140</v>
      </c>
      <c r="E3218" s="115" t="s">
        <v>1141</v>
      </c>
    </row>
    <row r="3219" spans="2:5" x14ac:dyDescent="0.25">
      <c r="B3219" s="115" t="s">
        <v>1139</v>
      </c>
      <c r="D3219" s="115" t="s">
        <v>1140</v>
      </c>
      <c r="E3219" s="115" t="s">
        <v>1141</v>
      </c>
    </row>
    <row r="3220" spans="2:5" x14ac:dyDescent="0.25">
      <c r="B3220" s="115" t="s">
        <v>1139</v>
      </c>
      <c r="D3220" s="115" t="s">
        <v>1140</v>
      </c>
      <c r="E3220" s="115" t="s">
        <v>1141</v>
      </c>
    </row>
    <row r="3221" spans="2:5" x14ac:dyDescent="0.25">
      <c r="B3221" s="115" t="s">
        <v>1139</v>
      </c>
      <c r="D3221" s="115" t="s">
        <v>1140</v>
      </c>
      <c r="E3221" s="115" t="s">
        <v>1141</v>
      </c>
    </row>
    <row r="3222" spans="2:5" x14ac:dyDescent="0.25">
      <c r="B3222" s="115" t="s">
        <v>1139</v>
      </c>
      <c r="D3222" s="115" t="s">
        <v>1140</v>
      </c>
      <c r="E3222" s="115" t="s">
        <v>1141</v>
      </c>
    </row>
    <row r="3223" spans="2:5" x14ac:dyDescent="0.25">
      <c r="B3223" s="115" t="s">
        <v>1139</v>
      </c>
      <c r="D3223" s="115" t="s">
        <v>1140</v>
      </c>
      <c r="E3223" s="115" t="s">
        <v>1141</v>
      </c>
    </row>
    <row r="3224" spans="2:5" x14ac:dyDescent="0.25">
      <c r="B3224" s="115" t="s">
        <v>1139</v>
      </c>
      <c r="D3224" s="115" t="s">
        <v>1140</v>
      </c>
      <c r="E3224" s="115" t="s">
        <v>1141</v>
      </c>
    </row>
    <row r="3225" spans="2:5" x14ac:dyDescent="0.25">
      <c r="B3225" s="115" t="s">
        <v>1139</v>
      </c>
      <c r="D3225" s="115" t="s">
        <v>1140</v>
      </c>
      <c r="E3225" s="115" t="s">
        <v>1141</v>
      </c>
    </row>
    <row r="3226" spans="2:5" x14ac:dyDescent="0.25">
      <c r="B3226" s="115" t="s">
        <v>1139</v>
      </c>
      <c r="D3226" s="115" t="s">
        <v>1140</v>
      </c>
      <c r="E3226" s="115" t="s">
        <v>1141</v>
      </c>
    </row>
    <row r="3227" spans="2:5" x14ac:dyDescent="0.25">
      <c r="B3227" s="115" t="s">
        <v>1139</v>
      </c>
      <c r="D3227" s="115" t="s">
        <v>1140</v>
      </c>
      <c r="E3227" s="115" t="s">
        <v>1141</v>
      </c>
    </row>
    <row r="3228" spans="2:5" x14ac:dyDescent="0.25">
      <c r="B3228" s="115" t="s">
        <v>1139</v>
      </c>
      <c r="D3228" s="115" t="s">
        <v>1140</v>
      </c>
      <c r="E3228" s="115" t="s">
        <v>1141</v>
      </c>
    </row>
    <row r="3229" spans="2:5" x14ac:dyDescent="0.25">
      <c r="B3229" s="115" t="s">
        <v>1139</v>
      </c>
      <c r="D3229" s="115" t="s">
        <v>1140</v>
      </c>
      <c r="E3229" s="115" t="s">
        <v>1141</v>
      </c>
    </row>
    <row r="3230" spans="2:5" x14ac:dyDescent="0.25">
      <c r="B3230" s="115" t="s">
        <v>1139</v>
      </c>
      <c r="D3230" s="115" t="s">
        <v>1140</v>
      </c>
      <c r="E3230" s="115" t="s">
        <v>1141</v>
      </c>
    </row>
    <row r="3231" spans="2:5" x14ac:dyDescent="0.25">
      <c r="B3231" s="115" t="s">
        <v>1139</v>
      </c>
      <c r="D3231" s="115" t="s">
        <v>1140</v>
      </c>
      <c r="E3231" s="115" t="s">
        <v>1141</v>
      </c>
    </row>
    <row r="3232" spans="2:5" x14ac:dyDescent="0.25">
      <c r="B3232" s="115" t="s">
        <v>1139</v>
      </c>
      <c r="D3232" s="115" t="s">
        <v>1140</v>
      </c>
      <c r="E3232" s="115" t="s">
        <v>1141</v>
      </c>
    </row>
    <row r="3233" spans="2:5" x14ac:dyDescent="0.25">
      <c r="B3233" s="115" t="s">
        <v>1139</v>
      </c>
      <c r="D3233" s="115" t="s">
        <v>1140</v>
      </c>
      <c r="E3233" s="115" t="s">
        <v>1141</v>
      </c>
    </row>
    <row r="3234" spans="2:5" x14ac:dyDescent="0.25">
      <c r="B3234" s="115" t="s">
        <v>1139</v>
      </c>
      <c r="D3234" s="115" t="s">
        <v>1140</v>
      </c>
      <c r="E3234" s="115" t="s">
        <v>1141</v>
      </c>
    </row>
    <row r="3235" spans="2:5" x14ac:dyDescent="0.25">
      <c r="B3235" s="115" t="s">
        <v>1139</v>
      </c>
      <c r="D3235" s="115" t="s">
        <v>1140</v>
      </c>
      <c r="E3235" s="115" t="s">
        <v>1141</v>
      </c>
    </row>
    <row r="3236" spans="2:5" x14ac:dyDescent="0.25">
      <c r="B3236" s="115" t="s">
        <v>1139</v>
      </c>
      <c r="D3236" s="115" t="s">
        <v>1140</v>
      </c>
      <c r="E3236" s="115" t="s">
        <v>1141</v>
      </c>
    </row>
    <row r="3237" spans="2:5" x14ac:dyDescent="0.25">
      <c r="B3237" s="115" t="s">
        <v>1139</v>
      </c>
      <c r="D3237" s="115" t="s">
        <v>1140</v>
      </c>
      <c r="E3237" s="115" t="s">
        <v>1141</v>
      </c>
    </row>
    <row r="3238" spans="2:5" x14ac:dyDescent="0.25">
      <c r="B3238" s="115" t="s">
        <v>1139</v>
      </c>
      <c r="D3238" s="115" t="s">
        <v>1140</v>
      </c>
      <c r="E3238" s="115" t="s">
        <v>1141</v>
      </c>
    </row>
    <row r="3239" spans="2:5" x14ac:dyDescent="0.25">
      <c r="B3239" s="115" t="s">
        <v>1139</v>
      </c>
      <c r="D3239" s="115" t="s">
        <v>1140</v>
      </c>
      <c r="E3239" s="115" t="s">
        <v>1141</v>
      </c>
    </row>
    <row r="3240" spans="2:5" x14ac:dyDescent="0.25">
      <c r="B3240" s="115" t="s">
        <v>1139</v>
      </c>
      <c r="D3240" s="115" t="s">
        <v>1140</v>
      </c>
      <c r="E3240" s="115" t="s">
        <v>1141</v>
      </c>
    </row>
    <row r="3241" spans="2:5" x14ac:dyDescent="0.25">
      <c r="B3241" s="115" t="s">
        <v>1139</v>
      </c>
      <c r="D3241" s="115" t="s">
        <v>1140</v>
      </c>
      <c r="E3241" s="115" t="s">
        <v>1141</v>
      </c>
    </row>
    <row r="3242" spans="2:5" x14ac:dyDescent="0.25">
      <c r="B3242" s="115" t="s">
        <v>1139</v>
      </c>
      <c r="D3242" s="115" t="s">
        <v>1140</v>
      </c>
      <c r="E3242" s="115" t="s">
        <v>1141</v>
      </c>
    </row>
    <row r="3243" spans="2:5" x14ac:dyDescent="0.25">
      <c r="B3243" s="115" t="s">
        <v>1139</v>
      </c>
      <c r="D3243" s="115" t="s">
        <v>1140</v>
      </c>
      <c r="E3243" s="115" t="s">
        <v>1141</v>
      </c>
    </row>
    <row r="3244" spans="2:5" x14ac:dyDescent="0.25">
      <c r="B3244" s="115" t="s">
        <v>1139</v>
      </c>
      <c r="D3244" s="115" t="s">
        <v>1140</v>
      </c>
      <c r="E3244" s="115" t="s">
        <v>1141</v>
      </c>
    </row>
    <row r="3245" spans="2:5" x14ac:dyDescent="0.25">
      <c r="B3245" s="115" t="s">
        <v>1139</v>
      </c>
      <c r="D3245" s="115" t="s">
        <v>1140</v>
      </c>
      <c r="E3245" s="115" t="s">
        <v>1141</v>
      </c>
    </row>
    <row r="3246" spans="2:5" x14ac:dyDescent="0.25">
      <c r="B3246" s="115" t="s">
        <v>1139</v>
      </c>
      <c r="D3246" s="115" t="s">
        <v>1140</v>
      </c>
      <c r="E3246" s="115" t="s">
        <v>1141</v>
      </c>
    </row>
    <row r="3247" spans="2:5" x14ac:dyDescent="0.25">
      <c r="B3247" s="115" t="s">
        <v>1139</v>
      </c>
      <c r="D3247" s="115" t="s">
        <v>1140</v>
      </c>
      <c r="E3247" s="115" t="s">
        <v>1141</v>
      </c>
    </row>
    <row r="3248" spans="2:5" x14ac:dyDescent="0.25">
      <c r="B3248" s="115" t="s">
        <v>1139</v>
      </c>
      <c r="D3248" s="115" t="s">
        <v>1140</v>
      </c>
      <c r="E3248" s="115" t="s">
        <v>1141</v>
      </c>
    </row>
    <row r="3249" spans="2:5" x14ac:dyDescent="0.25">
      <c r="B3249" s="115" t="s">
        <v>1139</v>
      </c>
      <c r="D3249" s="115" t="s">
        <v>1140</v>
      </c>
      <c r="E3249" s="115" t="s">
        <v>1141</v>
      </c>
    </row>
    <row r="3250" spans="2:5" x14ac:dyDescent="0.25">
      <c r="B3250" s="115" t="s">
        <v>1139</v>
      </c>
      <c r="D3250" s="115" t="s">
        <v>1140</v>
      </c>
      <c r="E3250" s="115" t="s">
        <v>1141</v>
      </c>
    </row>
    <row r="3251" spans="2:5" x14ac:dyDescent="0.25">
      <c r="B3251" s="115" t="s">
        <v>1139</v>
      </c>
      <c r="D3251" s="115" t="s">
        <v>1140</v>
      </c>
      <c r="E3251" s="115" t="s">
        <v>1141</v>
      </c>
    </row>
    <row r="3252" spans="2:5" x14ac:dyDescent="0.25">
      <c r="B3252" s="115" t="s">
        <v>1139</v>
      </c>
      <c r="D3252" s="115" t="s">
        <v>1140</v>
      </c>
      <c r="E3252" s="115" t="s">
        <v>1141</v>
      </c>
    </row>
    <row r="3253" spans="2:5" x14ac:dyDescent="0.25">
      <c r="B3253" s="115" t="s">
        <v>1139</v>
      </c>
      <c r="D3253" s="115" t="s">
        <v>1140</v>
      </c>
      <c r="E3253" s="115" t="s">
        <v>1141</v>
      </c>
    </row>
    <row r="3254" spans="2:5" x14ac:dyDescent="0.25">
      <c r="B3254" s="115" t="s">
        <v>1139</v>
      </c>
      <c r="D3254" s="115" t="s">
        <v>1140</v>
      </c>
      <c r="E3254" s="115" t="s">
        <v>1141</v>
      </c>
    </row>
    <row r="3255" spans="2:5" x14ac:dyDescent="0.25">
      <c r="B3255" s="115" t="s">
        <v>1139</v>
      </c>
      <c r="D3255" s="115" t="s">
        <v>1140</v>
      </c>
      <c r="E3255" s="115" t="s">
        <v>1141</v>
      </c>
    </row>
    <row r="3256" spans="2:5" x14ac:dyDescent="0.25">
      <c r="B3256" s="115" t="s">
        <v>1139</v>
      </c>
      <c r="D3256" s="115" t="s">
        <v>1140</v>
      </c>
      <c r="E3256" s="115" t="s">
        <v>1141</v>
      </c>
    </row>
    <row r="3257" spans="2:5" x14ac:dyDescent="0.25">
      <c r="B3257" s="115" t="s">
        <v>1139</v>
      </c>
      <c r="D3257" s="115" t="s">
        <v>1140</v>
      </c>
      <c r="E3257" s="115" t="s">
        <v>1141</v>
      </c>
    </row>
    <row r="3258" spans="2:5" x14ac:dyDescent="0.25">
      <c r="B3258" s="115" t="s">
        <v>1139</v>
      </c>
      <c r="D3258" s="115" t="s">
        <v>1140</v>
      </c>
      <c r="E3258" s="115" t="s">
        <v>1141</v>
      </c>
    </row>
    <row r="3259" spans="2:5" x14ac:dyDescent="0.25">
      <c r="B3259" s="115" t="s">
        <v>1139</v>
      </c>
      <c r="D3259" s="115" t="s">
        <v>1140</v>
      </c>
      <c r="E3259" s="115" t="s">
        <v>1141</v>
      </c>
    </row>
    <row r="3260" spans="2:5" x14ac:dyDescent="0.25">
      <c r="B3260" s="115" t="s">
        <v>1139</v>
      </c>
      <c r="D3260" s="115" t="s">
        <v>1140</v>
      </c>
      <c r="E3260" s="115" t="s">
        <v>1141</v>
      </c>
    </row>
    <row r="3261" spans="2:5" x14ac:dyDescent="0.25">
      <c r="B3261" s="115" t="s">
        <v>1139</v>
      </c>
      <c r="D3261" s="115" t="s">
        <v>1140</v>
      </c>
      <c r="E3261" s="115" t="s">
        <v>1141</v>
      </c>
    </row>
    <row r="3262" spans="2:5" x14ac:dyDescent="0.25">
      <c r="B3262" s="115" t="s">
        <v>1139</v>
      </c>
      <c r="D3262" s="115" t="s">
        <v>1140</v>
      </c>
      <c r="E3262" s="115" t="s">
        <v>1141</v>
      </c>
    </row>
    <row r="3263" spans="2:5" x14ac:dyDescent="0.25">
      <c r="B3263" s="115" t="s">
        <v>1139</v>
      </c>
      <c r="D3263" s="115" t="s">
        <v>1140</v>
      </c>
      <c r="E3263" s="115" t="s">
        <v>1141</v>
      </c>
    </row>
    <row r="3264" spans="2:5" x14ac:dyDescent="0.25">
      <c r="B3264" s="115" t="s">
        <v>1139</v>
      </c>
      <c r="D3264" s="115" t="s">
        <v>1140</v>
      </c>
      <c r="E3264" s="115" t="s">
        <v>1141</v>
      </c>
    </row>
    <row r="3265" spans="2:5" x14ac:dyDescent="0.25">
      <c r="B3265" s="115" t="s">
        <v>1139</v>
      </c>
      <c r="D3265" s="115" t="s">
        <v>1140</v>
      </c>
      <c r="E3265" s="115" t="s">
        <v>1141</v>
      </c>
    </row>
    <row r="3266" spans="2:5" x14ac:dyDescent="0.25">
      <c r="B3266" s="115" t="s">
        <v>1139</v>
      </c>
      <c r="D3266" s="115" t="s">
        <v>1140</v>
      </c>
      <c r="E3266" s="115" t="s">
        <v>1141</v>
      </c>
    </row>
    <row r="3267" spans="2:5" x14ac:dyDescent="0.25">
      <c r="B3267" s="115" t="s">
        <v>1139</v>
      </c>
      <c r="D3267" s="115" t="s">
        <v>1140</v>
      </c>
      <c r="E3267" s="115" t="s">
        <v>1141</v>
      </c>
    </row>
    <row r="3268" spans="2:5" x14ac:dyDescent="0.25">
      <c r="B3268" s="115" t="s">
        <v>1139</v>
      </c>
      <c r="D3268" s="115" t="s">
        <v>1140</v>
      </c>
      <c r="E3268" s="115" t="s">
        <v>1141</v>
      </c>
    </row>
    <row r="3269" spans="2:5" x14ac:dyDescent="0.25">
      <c r="B3269" s="115" t="s">
        <v>1139</v>
      </c>
      <c r="D3269" s="115" t="s">
        <v>1140</v>
      </c>
      <c r="E3269" s="115" t="s">
        <v>1141</v>
      </c>
    </row>
    <row r="3270" spans="2:5" x14ac:dyDescent="0.25">
      <c r="B3270" s="115" t="s">
        <v>1139</v>
      </c>
      <c r="D3270" s="115" t="s">
        <v>1140</v>
      </c>
      <c r="E3270" s="115" t="s">
        <v>1141</v>
      </c>
    </row>
    <row r="3271" spans="2:5" x14ac:dyDescent="0.25">
      <c r="B3271" s="115" t="s">
        <v>1139</v>
      </c>
      <c r="D3271" s="115" t="s">
        <v>1140</v>
      </c>
      <c r="E3271" s="115" t="s">
        <v>1141</v>
      </c>
    </row>
    <row r="3272" spans="2:5" x14ac:dyDescent="0.25">
      <c r="B3272" s="115" t="s">
        <v>1139</v>
      </c>
      <c r="D3272" s="115" t="s">
        <v>1140</v>
      </c>
      <c r="E3272" s="115" t="s">
        <v>1141</v>
      </c>
    </row>
    <row r="3273" spans="2:5" x14ac:dyDescent="0.25">
      <c r="B3273" s="115" t="s">
        <v>1139</v>
      </c>
      <c r="D3273" s="115" t="s">
        <v>1140</v>
      </c>
      <c r="E3273" s="115" t="s">
        <v>1141</v>
      </c>
    </row>
    <row r="3274" spans="2:5" x14ac:dyDescent="0.25">
      <c r="B3274" s="115" t="s">
        <v>1139</v>
      </c>
      <c r="D3274" s="115" t="s">
        <v>1140</v>
      </c>
      <c r="E3274" s="115" t="s">
        <v>1141</v>
      </c>
    </row>
    <row r="3275" spans="2:5" x14ac:dyDescent="0.25">
      <c r="B3275" s="115" t="s">
        <v>1139</v>
      </c>
      <c r="D3275" s="115" t="s">
        <v>1140</v>
      </c>
      <c r="E3275" s="115" t="s">
        <v>1141</v>
      </c>
    </row>
    <row r="3276" spans="2:5" x14ac:dyDescent="0.25">
      <c r="B3276" s="115" t="s">
        <v>1139</v>
      </c>
      <c r="D3276" s="115" t="s">
        <v>1140</v>
      </c>
      <c r="E3276" s="115" t="s">
        <v>1141</v>
      </c>
    </row>
    <row r="3277" spans="2:5" x14ac:dyDescent="0.25">
      <c r="B3277" s="115" t="s">
        <v>1139</v>
      </c>
      <c r="D3277" s="115" t="s">
        <v>1140</v>
      </c>
      <c r="E3277" s="115" t="s">
        <v>1141</v>
      </c>
    </row>
    <row r="3278" spans="2:5" x14ac:dyDescent="0.25">
      <c r="B3278" s="115" t="s">
        <v>1139</v>
      </c>
      <c r="D3278" s="115" t="s">
        <v>1140</v>
      </c>
      <c r="E3278" s="115" t="s">
        <v>1141</v>
      </c>
    </row>
    <row r="3279" spans="2:5" x14ac:dyDescent="0.25">
      <c r="B3279" s="115" t="s">
        <v>1139</v>
      </c>
      <c r="D3279" s="115" t="s">
        <v>1140</v>
      </c>
      <c r="E3279" s="115" t="s">
        <v>1141</v>
      </c>
    </row>
    <row r="3280" spans="2:5" x14ac:dyDescent="0.25">
      <c r="B3280" s="115" t="s">
        <v>1139</v>
      </c>
      <c r="D3280" s="115" t="s">
        <v>1140</v>
      </c>
      <c r="E3280" s="115" t="s">
        <v>1141</v>
      </c>
    </row>
    <row r="3281" spans="2:5" x14ac:dyDescent="0.25">
      <c r="B3281" s="115" t="s">
        <v>1139</v>
      </c>
      <c r="D3281" s="115" t="s">
        <v>1140</v>
      </c>
      <c r="E3281" s="115" t="s">
        <v>1141</v>
      </c>
    </row>
    <row r="3282" spans="2:5" x14ac:dyDescent="0.25">
      <c r="B3282" s="115" t="s">
        <v>1139</v>
      </c>
      <c r="D3282" s="115" t="s">
        <v>1140</v>
      </c>
      <c r="E3282" s="115" t="s">
        <v>1141</v>
      </c>
    </row>
    <row r="3283" spans="2:5" x14ac:dyDescent="0.25">
      <c r="B3283" s="115" t="s">
        <v>1139</v>
      </c>
      <c r="D3283" s="115" t="s">
        <v>1140</v>
      </c>
      <c r="E3283" s="115" t="s">
        <v>1141</v>
      </c>
    </row>
    <row r="3284" spans="2:5" x14ac:dyDescent="0.25">
      <c r="B3284" s="115" t="s">
        <v>1139</v>
      </c>
      <c r="D3284" s="115" t="s">
        <v>1140</v>
      </c>
      <c r="E3284" s="115" t="s">
        <v>1141</v>
      </c>
    </row>
    <row r="3285" spans="2:5" x14ac:dyDescent="0.25">
      <c r="B3285" s="115" t="s">
        <v>1139</v>
      </c>
      <c r="D3285" s="115" t="s">
        <v>1140</v>
      </c>
      <c r="E3285" s="115" t="s">
        <v>1141</v>
      </c>
    </row>
    <row r="3286" spans="2:5" x14ac:dyDescent="0.25">
      <c r="B3286" s="115" t="s">
        <v>1139</v>
      </c>
      <c r="D3286" s="115" t="s">
        <v>1140</v>
      </c>
      <c r="E3286" s="115" t="s">
        <v>1141</v>
      </c>
    </row>
    <row r="3287" spans="2:5" x14ac:dyDescent="0.25">
      <c r="B3287" s="115" t="s">
        <v>1139</v>
      </c>
      <c r="D3287" s="115" t="s">
        <v>1140</v>
      </c>
      <c r="E3287" s="115" t="s">
        <v>1141</v>
      </c>
    </row>
    <row r="3288" spans="2:5" x14ac:dyDescent="0.25">
      <c r="B3288" s="115" t="s">
        <v>1139</v>
      </c>
      <c r="D3288" s="115" t="s">
        <v>1140</v>
      </c>
      <c r="E3288" s="115" t="s">
        <v>1141</v>
      </c>
    </row>
    <row r="3289" spans="2:5" x14ac:dyDescent="0.25">
      <c r="B3289" s="115" t="s">
        <v>1139</v>
      </c>
      <c r="D3289" s="115" t="s">
        <v>1140</v>
      </c>
      <c r="E3289" s="115" t="s">
        <v>1141</v>
      </c>
    </row>
    <row r="3290" spans="2:5" x14ac:dyDescent="0.25">
      <c r="B3290" s="115" t="s">
        <v>1139</v>
      </c>
      <c r="D3290" s="115" t="s">
        <v>1140</v>
      </c>
      <c r="E3290" s="115" t="s">
        <v>1141</v>
      </c>
    </row>
    <row r="3291" spans="2:5" x14ac:dyDescent="0.25">
      <c r="B3291" s="115" t="s">
        <v>1139</v>
      </c>
      <c r="D3291" s="115" t="s">
        <v>1140</v>
      </c>
      <c r="E3291" s="115" t="s">
        <v>1141</v>
      </c>
    </row>
    <row r="3292" spans="2:5" x14ac:dyDescent="0.25">
      <c r="B3292" s="115" t="s">
        <v>1139</v>
      </c>
      <c r="D3292" s="115" t="s">
        <v>1140</v>
      </c>
      <c r="E3292" s="115" t="s">
        <v>1141</v>
      </c>
    </row>
    <row r="3293" spans="2:5" x14ac:dyDescent="0.25">
      <c r="B3293" s="115" t="s">
        <v>1139</v>
      </c>
      <c r="D3293" s="115" t="s">
        <v>1140</v>
      </c>
      <c r="E3293" s="115" t="s">
        <v>1141</v>
      </c>
    </row>
    <row r="3294" spans="2:5" x14ac:dyDescent="0.25">
      <c r="B3294" s="115" t="s">
        <v>1139</v>
      </c>
      <c r="D3294" s="115" t="s">
        <v>1140</v>
      </c>
      <c r="E3294" s="115" t="s">
        <v>1141</v>
      </c>
    </row>
    <row r="3295" spans="2:5" x14ac:dyDescent="0.25">
      <c r="B3295" s="115" t="s">
        <v>1139</v>
      </c>
      <c r="D3295" s="115" t="s">
        <v>1140</v>
      </c>
      <c r="E3295" s="115" t="s">
        <v>1141</v>
      </c>
    </row>
    <row r="3296" spans="2:5" x14ac:dyDescent="0.25">
      <c r="B3296" s="115" t="s">
        <v>1139</v>
      </c>
      <c r="D3296" s="115" t="s">
        <v>1140</v>
      </c>
      <c r="E3296" s="115" t="s">
        <v>1141</v>
      </c>
    </row>
    <row r="3297" spans="2:5" x14ac:dyDescent="0.25">
      <c r="B3297" s="115" t="s">
        <v>1139</v>
      </c>
      <c r="D3297" s="115" t="s">
        <v>1140</v>
      </c>
      <c r="E3297" s="115" t="s">
        <v>1141</v>
      </c>
    </row>
    <row r="3298" spans="2:5" x14ac:dyDescent="0.25">
      <c r="B3298" s="115" t="s">
        <v>1139</v>
      </c>
      <c r="D3298" s="115" t="s">
        <v>1140</v>
      </c>
      <c r="E3298" s="115" t="s">
        <v>1141</v>
      </c>
    </row>
    <row r="3299" spans="2:5" x14ac:dyDescent="0.25">
      <c r="B3299" s="115" t="s">
        <v>1139</v>
      </c>
      <c r="D3299" s="115" t="s">
        <v>1140</v>
      </c>
      <c r="E3299" s="115" t="s">
        <v>1141</v>
      </c>
    </row>
    <row r="3300" spans="2:5" x14ac:dyDescent="0.25">
      <c r="B3300" s="115" t="s">
        <v>1139</v>
      </c>
      <c r="D3300" s="115" t="s">
        <v>1140</v>
      </c>
      <c r="E3300" s="115" t="s">
        <v>1141</v>
      </c>
    </row>
    <row r="3301" spans="2:5" x14ac:dyDescent="0.25">
      <c r="B3301" s="115" t="s">
        <v>1139</v>
      </c>
      <c r="D3301" s="115" t="s">
        <v>1140</v>
      </c>
      <c r="E3301" s="115" t="s">
        <v>1141</v>
      </c>
    </row>
    <row r="3302" spans="2:5" x14ac:dyDescent="0.25">
      <c r="B3302" s="115" t="s">
        <v>1139</v>
      </c>
      <c r="D3302" s="115" t="s">
        <v>1140</v>
      </c>
      <c r="E3302" s="115" t="s">
        <v>1141</v>
      </c>
    </row>
    <row r="3303" spans="2:5" x14ac:dyDescent="0.25">
      <c r="B3303" s="115" t="s">
        <v>1139</v>
      </c>
      <c r="D3303" s="115" t="s">
        <v>1140</v>
      </c>
      <c r="E3303" s="115" t="s">
        <v>1141</v>
      </c>
    </row>
    <row r="3304" spans="2:5" x14ac:dyDescent="0.25">
      <c r="B3304" s="115" t="s">
        <v>1139</v>
      </c>
      <c r="D3304" s="115" t="s">
        <v>1140</v>
      </c>
      <c r="E3304" s="115" t="s">
        <v>1141</v>
      </c>
    </row>
    <row r="3305" spans="2:5" x14ac:dyDescent="0.25">
      <c r="B3305" s="115" t="s">
        <v>1139</v>
      </c>
      <c r="D3305" s="115" t="s">
        <v>1140</v>
      </c>
      <c r="E3305" s="115" t="s">
        <v>1141</v>
      </c>
    </row>
    <row r="3306" spans="2:5" x14ac:dyDescent="0.25">
      <c r="B3306" s="115" t="s">
        <v>1139</v>
      </c>
      <c r="D3306" s="115" t="s">
        <v>1140</v>
      </c>
      <c r="E3306" s="115" t="s">
        <v>1141</v>
      </c>
    </row>
    <row r="3307" spans="2:5" x14ac:dyDescent="0.25">
      <c r="B3307" s="115" t="s">
        <v>1139</v>
      </c>
      <c r="D3307" s="115" t="s">
        <v>1140</v>
      </c>
      <c r="E3307" s="115" t="s">
        <v>1141</v>
      </c>
    </row>
    <row r="3308" spans="2:5" x14ac:dyDescent="0.25">
      <c r="B3308" s="115" t="s">
        <v>1139</v>
      </c>
      <c r="D3308" s="115" t="s">
        <v>1140</v>
      </c>
      <c r="E3308" s="115" t="s">
        <v>1141</v>
      </c>
    </row>
    <row r="3309" spans="2:5" x14ac:dyDescent="0.25">
      <c r="B3309" s="115" t="s">
        <v>1139</v>
      </c>
      <c r="D3309" s="115" t="s">
        <v>1140</v>
      </c>
      <c r="E3309" s="115" t="s">
        <v>1141</v>
      </c>
    </row>
    <row r="3310" spans="2:5" x14ac:dyDescent="0.25">
      <c r="B3310" s="115" t="s">
        <v>1139</v>
      </c>
      <c r="D3310" s="115" t="s">
        <v>1140</v>
      </c>
      <c r="E3310" s="115" t="s">
        <v>1141</v>
      </c>
    </row>
    <row r="3311" spans="2:5" x14ac:dyDescent="0.25">
      <c r="B3311" s="115" t="s">
        <v>1139</v>
      </c>
      <c r="D3311" s="115" t="s">
        <v>1140</v>
      </c>
      <c r="E3311" s="115" t="s">
        <v>1141</v>
      </c>
    </row>
    <row r="3312" spans="2:5" x14ac:dyDescent="0.25">
      <c r="B3312" s="115" t="s">
        <v>1139</v>
      </c>
      <c r="D3312" s="115" t="s">
        <v>1140</v>
      </c>
      <c r="E3312" s="115" t="s">
        <v>1141</v>
      </c>
    </row>
    <row r="3313" spans="2:5" x14ac:dyDescent="0.25">
      <c r="B3313" s="115" t="s">
        <v>1139</v>
      </c>
      <c r="D3313" s="115" t="s">
        <v>1140</v>
      </c>
      <c r="E3313" s="115" t="s">
        <v>1141</v>
      </c>
    </row>
    <row r="3314" spans="2:5" x14ac:dyDescent="0.25">
      <c r="B3314" s="115" t="s">
        <v>1139</v>
      </c>
      <c r="D3314" s="115" t="s">
        <v>1140</v>
      </c>
      <c r="E3314" s="115" t="s">
        <v>1141</v>
      </c>
    </row>
    <row r="3315" spans="2:5" x14ac:dyDescent="0.25">
      <c r="B3315" s="115" t="s">
        <v>1139</v>
      </c>
      <c r="D3315" s="115" t="s">
        <v>1140</v>
      </c>
      <c r="E3315" s="115" t="s">
        <v>1141</v>
      </c>
    </row>
    <row r="3316" spans="2:5" x14ac:dyDescent="0.25">
      <c r="B3316" s="115" t="s">
        <v>1139</v>
      </c>
      <c r="D3316" s="115" t="s">
        <v>1140</v>
      </c>
      <c r="E3316" s="115" t="s">
        <v>1141</v>
      </c>
    </row>
    <row r="3317" spans="2:5" x14ac:dyDescent="0.25">
      <c r="B3317" s="115" t="s">
        <v>1139</v>
      </c>
      <c r="D3317" s="115" t="s">
        <v>1140</v>
      </c>
      <c r="E3317" s="115" t="s">
        <v>1141</v>
      </c>
    </row>
    <row r="3318" spans="2:5" x14ac:dyDescent="0.25">
      <c r="B3318" s="115" t="s">
        <v>1139</v>
      </c>
      <c r="D3318" s="115" t="s">
        <v>1140</v>
      </c>
      <c r="E3318" s="115" t="s">
        <v>1141</v>
      </c>
    </row>
    <row r="3319" spans="2:5" x14ac:dyDescent="0.25">
      <c r="B3319" s="115" t="s">
        <v>1139</v>
      </c>
      <c r="D3319" s="115" t="s">
        <v>1140</v>
      </c>
      <c r="E3319" s="115" t="s">
        <v>1141</v>
      </c>
    </row>
    <row r="3320" spans="2:5" x14ac:dyDescent="0.25">
      <c r="B3320" s="115" t="s">
        <v>1139</v>
      </c>
      <c r="D3320" s="115" t="s">
        <v>1140</v>
      </c>
      <c r="E3320" s="115" t="s">
        <v>1141</v>
      </c>
    </row>
    <row r="3321" spans="2:5" x14ac:dyDescent="0.25">
      <c r="B3321" s="115" t="s">
        <v>1139</v>
      </c>
      <c r="D3321" s="115" t="s">
        <v>1140</v>
      </c>
      <c r="E3321" s="115" t="s">
        <v>1141</v>
      </c>
    </row>
    <row r="3322" spans="2:5" x14ac:dyDescent="0.25">
      <c r="B3322" s="115" t="s">
        <v>1139</v>
      </c>
      <c r="D3322" s="115" t="s">
        <v>1140</v>
      </c>
      <c r="E3322" s="115" t="s">
        <v>1141</v>
      </c>
    </row>
    <row r="3323" spans="2:5" x14ac:dyDescent="0.25">
      <c r="B3323" s="115" t="s">
        <v>1139</v>
      </c>
      <c r="D3323" s="115" t="s">
        <v>1140</v>
      </c>
      <c r="E3323" s="115" t="s">
        <v>1141</v>
      </c>
    </row>
    <row r="3324" spans="2:5" x14ac:dyDescent="0.25">
      <c r="B3324" s="115" t="s">
        <v>1139</v>
      </c>
      <c r="D3324" s="115" t="s">
        <v>1140</v>
      </c>
      <c r="E3324" s="115" t="s">
        <v>1141</v>
      </c>
    </row>
    <row r="3325" spans="2:5" x14ac:dyDescent="0.25">
      <c r="B3325" s="115" t="s">
        <v>1139</v>
      </c>
      <c r="D3325" s="115" t="s">
        <v>1140</v>
      </c>
      <c r="E3325" s="115" t="s">
        <v>1141</v>
      </c>
    </row>
    <row r="3326" spans="2:5" x14ac:dyDescent="0.25">
      <c r="B3326" s="115" t="s">
        <v>1139</v>
      </c>
      <c r="D3326" s="115" t="s">
        <v>1140</v>
      </c>
      <c r="E3326" s="115" t="s">
        <v>1141</v>
      </c>
    </row>
    <row r="3327" spans="2:5" x14ac:dyDescent="0.25">
      <c r="B3327" s="115" t="s">
        <v>1139</v>
      </c>
      <c r="D3327" s="115" t="s">
        <v>1140</v>
      </c>
      <c r="E3327" s="115" t="s">
        <v>1141</v>
      </c>
    </row>
    <row r="3328" spans="2:5" x14ac:dyDescent="0.25">
      <c r="B3328" s="115" t="s">
        <v>1139</v>
      </c>
      <c r="D3328" s="115" t="s">
        <v>1140</v>
      </c>
      <c r="E3328" s="115" t="s">
        <v>1141</v>
      </c>
    </row>
    <row r="3329" spans="2:5" x14ac:dyDescent="0.25">
      <c r="B3329" s="115" t="s">
        <v>1139</v>
      </c>
      <c r="D3329" s="115" t="s">
        <v>1140</v>
      </c>
      <c r="E3329" s="115" t="s">
        <v>1141</v>
      </c>
    </row>
    <row r="3330" spans="2:5" x14ac:dyDescent="0.25">
      <c r="B3330" s="115" t="s">
        <v>1139</v>
      </c>
      <c r="D3330" s="115" t="s">
        <v>1140</v>
      </c>
      <c r="E3330" s="115" t="s">
        <v>1141</v>
      </c>
    </row>
    <row r="3331" spans="2:5" x14ac:dyDescent="0.25">
      <c r="B3331" s="115" t="s">
        <v>1139</v>
      </c>
      <c r="D3331" s="115" t="s">
        <v>1140</v>
      </c>
      <c r="E3331" s="115" t="s">
        <v>1141</v>
      </c>
    </row>
    <row r="3332" spans="2:5" x14ac:dyDescent="0.25">
      <c r="B3332" s="115" t="s">
        <v>1139</v>
      </c>
      <c r="D3332" s="115" t="s">
        <v>1140</v>
      </c>
      <c r="E3332" s="115" t="s">
        <v>1141</v>
      </c>
    </row>
    <row r="3333" spans="2:5" x14ac:dyDescent="0.25">
      <c r="B3333" s="115" t="s">
        <v>1139</v>
      </c>
      <c r="D3333" s="115" t="s">
        <v>1140</v>
      </c>
      <c r="E3333" s="115" t="s">
        <v>1141</v>
      </c>
    </row>
    <row r="3334" spans="2:5" x14ac:dyDescent="0.25">
      <c r="B3334" s="115" t="s">
        <v>1139</v>
      </c>
      <c r="D3334" s="115" t="s">
        <v>1140</v>
      </c>
      <c r="E3334" s="115" t="s">
        <v>1141</v>
      </c>
    </row>
    <row r="3335" spans="2:5" x14ac:dyDescent="0.25">
      <c r="B3335" s="115" t="s">
        <v>1139</v>
      </c>
      <c r="D3335" s="115" t="s">
        <v>1140</v>
      </c>
      <c r="E3335" s="115" t="s">
        <v>1141</v>
      </c>
    </row>
    <row r="3336" spans="2:5" x14ac:dyDescent="0.25">
      <c r="B3336" s="115" t="s">
        <v>1139</v>
      </c>
      <c r="D3336" s="115" t="s">
        <v>1140</v>
      </c>
      <c r="E3336" s="115" t="s">
        <v>1141</v>
      </c>
    </row>
    <row r="3337" spans="2:5" x14ac:dyDescent="0.25">
      <c r="B3337" s="115" t="s">
        <v>1139</v>
      </c>
      <c r="D3337" s="115" t="s">
        <v>1140</v>
      </c>
      <c r="E3337" s="115" t="s">
        <v>1141</v>
      </c>
    </row>
    <row r="3338" spans="2:5" x14ac:dyDescent="0.25">
      <c r="B3338" s="115" t="s">
        <v>1139</v>
      </c>
      <c r="D3338" s="115" t="s">
        <v>1140</v>
      </c>
      <c r="E3338" s="115" t="s">
        <v>1141</v>
      </c>
    </row>
    <row r="3339" spans="2:5" x14ac:dyDescent="0.25">
      <c r="B3339" s="115" t="s">
        <v>1139</v>
      </c>
      <c r="D3339" s="115" t="s">
        <v>1140</v>
      </c>
      <c r="E3339" s="115" t="s">
        <v>1141</v>
      </c>
    </row>
    <row r="3340" spans="2:5" x14ac:dyDescent="0.25">
      <c r="B3340" s="115" t="s">
        <v>1139</v>
      </c>
      <c r="D3340" s="115" t="s">
        <v>1140</v>
      </c>
      <c r="E3340" s="115" t="s">
        <v>1141</v>
      </c>
    </row>
    <row r="3341" spans="2:5" x14ac:dyDescent="0.25">
      <c r="B3341" s="115" t="s">
        <v>1139</v>
      </c>
      <c r="D3341" s="115" t="s">
        <v>1140</v>
      </c>
      <c r="E3341" s="115" t="s">
        <v>1141</v>
      </c>
    </row>
    <row r="3342" spans="2:5" x14ac:dyDescent="0.25">
      <c r="B3342" s="115" t="s">
        <v>1139</v>
      </c>
      <c r="D3342" s="115" t="s">
        <v>1140</v>
      </c>
      <c r="E3342" s="115" t="s">
        <v>1141</v>
      </c>
    </row>
    <row r="3343" spans="2:5" x14ac:dyDescent="0.25">
      <c r="B3343" s="115" t="s">
        <v>1139</v>
      </c>
      <c r="D3343" s="115" t="s">
        <v>1140</v>
      </c>
      <c r="E3343" s="115" t="s">
        <v>1141</v>
      </c>
    </row>
    <row r="3344" spans="2:5" x14ac:dyDescent="0.25">
      <c r="B3344" s="115" t="s">
        <v>1139</v>
      </c>
      <c r="D3344" s="115" t="s">
        <v>1140</v>
      </c>
      <c r="E3344" s="115" t="s">
        <v>1141</v>
      </c>
    </row>
    <row r="3345" spans="2:5" x14ac:dyDescent="0.25">
      <c r="B3345" s="115" t="s">
        <v>1139</v>
      </c>
      <c r="D3345" s="115" t="s">
        <v>1140</v>
      </c>
      <c r="E3345" s="115" t="s">
        <v>1141</v>
      </c>
    </row>
    <row r="3346" spans="2:5" x14ac:dyDescent="0.25">
      <c r="B3346" s="115" t="s">
        <v>1139</v>
      </c>
      <c r="D3346" s="115" t="s">
        <v>1140</v>
      </c>
      <c r="E3346" s="115" t="s">
        <v>1141</v>
      </c>
    </row>
    <row r="3347" spans="2:5" x14ac:dyDescent="0.25">
      <c r="B3347" s="115" t="s">
        <v>1139</v>
      </c>
      <c r="D3347" s="115" t="s">
        <v>1140</v>
      </c>
      <c r="E3347" s="115" t="s">
        <v>1141</v>
      </c>
    </row>
    <row r="3348" spans="2:5" x14ac:dyDescent="0.25">
      <c r="B3348" s="115" t="s">
        <v>1139</v>
      </c>
      <c r="D3348" s="115" t="s">
        <v>1140</v>
      </c>
      <c r="E3348" s="115" t="s">
        <v>1141</v>
      </c>
    </row>
    <row r="3349" spans="2:5" x14ac:dyDescent="0.25">
      <c r="B3349" s="115" t="s">
        <v>1139</v>
      </c>
      <c r="D3349" s="115" t="s">
        <v>1140</v>
      </c>
      <c r="E3349" s="115" t="s">
        <v>1141</v>
      </c>
    </row>
    <row r="3350" spans="2:5" x14ac:dyDescent="0.25">
      <c r="B3350" s="115" t="s">
        <v>1139</v>
      </c>
      <c r="D3350" s="115" t="s">
        <v>1140</v>
      </c>
      <c r="E3350" s="115" t="s">
        <v>1141</v>
      </c>
    </row>
    <row r="3351" spans="2:5" x14ac:dyDescent="0.25">
      <c r="B3351" s="115" t="s">
        <v>1139</v>
      </c>
      <c r="D3351" s="115" t="s">
        <v>1140</v>
      </c>
      <c r="E3351" s="115" t="s">
        <v>1141</v>
      </c>
    </row>
    <row r="3352" spans="2:5" x14ac:dyDescent="0.25">
      <c r="B3352" s="115" t="s">
        <v>1139</v>
      </c>
      <c r="D3352" s="115" t="s">
        <v>1140</v>
      </c>
      <c r="E3352" s="115" t="s">
        <v>1141</v>
      </c>
    </row>
    <row r="3353" spans="2:5" x14ac:dyDescent="0.25">
      <c r="B3353" s="115" t="s">
        <v>1139</v>
      </c>
      <c r="D3353" s="115" t="s">
        <v>1140</v>
      </c>
      <c r="E3353" s="115" t="s">
        <v>1141</v>
      </c>
    </row>
    <row r="3354" spans="2:5" x14ac:dyDescent="0.25">
      <c r="B3354" s="115" t="s">
        <v>1139</v>
      </c>
      <c r="D3354" s="115" t="s">
        <v>1140</v>
      </c>
      <c r="E3354" s="115" t="s">
        <v>1141</v>
      </c>
    </row>
    <row r="3355" spans="2:5" x14ac:dyDescent="0.25">
      <c r="B3355" s="115" t="s">
        <v>1139</v>
      </c>
      <c r="D3355" s="115" t="s">
        <v>1140</v>
      </c>
      <c r="E3355" s="115" t="s">
        <v>1141</v>
      </c>
    </row>
    <row r="3356" spans="2:5" x14ac:dyDescent="0.25">
      <c r="B3356" s="115" t="s">
        <v>1139</v>
      </c>
      <c r="D3356" s="115" t="s">
        <v>1140</v>
      </c>
      <c r="E3356" s="115" t="s">
        <v>1141</v>
      </c>
    </row>
    <row r="3357" spans="2:5" x14ac:dyDescent="0.25">
      <c r="B3357" s="115" t="s">
        <v>1139</v>
      </c>
      <c r="D3357" s="115" t="s">
        <v>1140</v>
      </c>
      <c r="E3357" s="115" t="s">
        <v>1141</v>
      </c>
    </row>
    <row r="3358" spans="2:5" x14ac:dyDescent="0.25">
      <c r="B3358" s="115" t="s">
        <v>1139</v>
      </c>
      <c r="D3358" s="115" t="s">
        <v>1140</v>
      </c>
      <c r="E3358" s="115" t="s">
        <v>1141</v>
      </c>
    </row>
    <row r="3359" spans="2:5" x14ac:dyDescent="0.25">
      <c r="B3359" s="115" t="s">
        <v>1139</v>
      </c>
      <c r="D3359" s="115" t="s">
        <v>1140</v>
      </c>
      <c r="E3359" s="115" t="s">
        <v>1141</v>
      </c>
    </row>
    <row r="3360" spans="2:5" x14ac:dyDescent="0.25">
      <c r="B3360" s="115" t="s">
        <v>1139</v>
      </c>
      <c r="D3360" s="115" t="s">
        <v>1140</v>
      </c>
      <c r="E3360" s="115" t="s">
        <v>1141</v>
      </c>
    </row>
    <row r="3361" spans="2:5" x14ac:dyDescent="0.25">
      <c r="B3361" s="115" t="s">
        <v>1139</v>
      </c>
      <c r="D3361" s="115" t="s">
        <v>1140</v>
      </c>
      <c r="E3361" s="115" t="s">
        <v>1141</v>
      </c>
    </row>
    <row r="3362" spans="2:5" x14ac:dyDescent="0.25">
      <c r="B3362" s="115" t="s">
        <v>1139</v>
      </c>
      <c r="D3362" s="115" t="s">
        <v>1140</v>
      </c>
      <c r="E3362" s="115" t="s">
        <v>1141</v>
      </c>
    </row>
    <row r="3363" spans="2:5" x14ac:dyDescent="0.25">
      <c r="B3363" s="115" t="s">
        <v>1139</v>
      </c>
      <c r="D3363" s="115" t="s">
        <v>1140</v>
      </c>
      <c r="E3363" s="115" t="s">
        <v>1141</v>
      </c>
    </row>
    <row r="3364" spans="2:5" x14ac:dyDescent="0.25">
      <c r="B3364" s="115" t="s">
        <v>1139</v>
      </c>
      <c r="D3364" s="115" t="s">
        <v>1140</v>
      </c>
      <c r="E3364" s="115" t="s">
        <v>1141</v>
      </c>
    </row>
    <row r="3365" spans="2:5" x14ac:dyDescent="0.25">
      <c r="B3365" s="115" t="s">
        <v>1139</v>
      </c>
      <c r="D3365" s="115" t="s">
        <v>1140</v>
      </c>
      <c r="E3365" s="115" t="s">
        <v>1141</v>
      </c>
    </row>
    <row r="3366" spans="2:5" x14ac:dyDescent="0.25">
      <c r="B3366" s="115" t="s">
        <v>1139</v>
      </c>
      <c r="D3366" s="115" t="s">
        <v>1140</v>
      </c>
      <c r="E3366" s="115" t="s">
        <v>1141</v>
      </c>
    </row>
    <row r="3367" spans="2:5" x14ac:dyDescent="0.25">
      <c r="B3367" s="115" t="s">
        <v>1139</v>
      </c>
      <c r="D3367" s="115" t="s">
        <v>1140</v>
      </c>
      <c r="E3367" s="115" t="s">
        <v>1141</v>
      </c>
    </row>
    <row r="3368" spans="2:5" x14ac:dyDescent="0.25">
      <c r="B3368" s="115" t="s">
        <v>1139</v>
      </c>
      <c r="D3368" s="115" t="s">
        <v>1140</v>
      </c>
      <c r="E3368" s="115" t="s">
        <v>1141</v>
      </c>
    </row>
    <row r="3369" spans="2:5" x14ac:dyDescent="0.25">
      <c r="B3369" s="115" t="s">
        <v>1139</v>
      </c>
      <c r="D3369" s="115" t="s">
        <v>1140</v>
      </c>
      <c r="E3369" s="115" t="s">
        <v>1141</v>
      </c>
    </row>
    <row r="3370" spans="2:5" x14ac:dyDescent="0.25">
      <c r="B3370" s="115" t="s">
        <v>1139</v>
      </c>
      <c r="D3370" s="115" t="s">
        <v>1140</v>
      </c>
      <c r="E3370" s="115" t="s">
        <v>1141</v>
      </c>
    </row>
    <row r="3371" spans="2:5" x14ac:dyDescent="0.25">
      <c r="B3371" s="115" t="s">
        <v>1139</v>
      </c>
      <c r="D3371" s="115" t="s">
        <v>1140</v>
      </c>
      <c r="E3371" s="115" t="s">
        <v>1141</v>
      </c>
    </row>
    <row r="3372" spans="2:5" x14ac:dyDescent="0.25">
      <c r="B3372" s="115" t="s">
        <v>1139</v>
      </c>
      <c r="D3372" s="115" t="s">
        <v>1140</v>
      </c>
      <c r="E3372" s="115" t="s">
        <v>1141</v>
      </c>
    </row>
    <row r="3373" spans="2:5" x14ac:dyDescent="0.25">
      <c r="B3373" s="115" t="s">
        <v>1139</v>
      </c>
      <c r="D3373" s="115" t="s">
        <v>1140</v>
      </c>
      <c r="E3373" s="115" t="s">
        <v>1141</v>
      </c>
    </row>
    <row r="3374" spans="2:5" x14ac:dyDescent="0.25">
      <c r="B3374" s="115" t="s">
        <v>1139</v>
      </c>
      <c r="D3374" s="115" t="s">
        <v>1140</v>
      </c>
      <c r="E3374" s="115" t="s">
        <v>1141</v>
      </c>
    </row>
    <row r="3375" spans="2:5" x14ac:dyDescent="0.25">
      <c r="B3375" s="115" t="s">
        <v>1139</v>
      </c>
      <c r="D3375" s="115" t="s">
        <v>1140</v>
      </c>
      <c r="E3375" s="115" t="s">
        <v>1141</v>
      </c>
    </row>
    <row r="3376" spans="2:5" x14ac:dyDescent="0.25">
      <c r="B3376" s="115" t="s">
        <v>1139</v>
      </c>
      <c r="D3376" s="115" t="s">
        <v>1140</v>
      </c>
      <c r="E3376" s="115" t="s">
        <v>1141</v>
      </c>
    </row>
    <row r="3377" spans="2:5" x14ac:dyDescent="0.25">
      <c r="B3377" s="115" t="s">
        <v>1139</v>
      </c>
      <c r="D3377" s="115" t="s">
        <v>1140</v>
      </c>
      <c r="E3377" s="115" t="s">
        <v>1141</v>
      </c>
    </row>
    <row r="3378" spans="2:5" x14ac:dyDescent="0.25">
      <c r="B3378" s="115" t="s">
        <v>1139</v>
      </c>
      <c r="D3378" s="115" t="s">
        <v>1140</v>
      </c>
      <c r="E3378" s="115" t="s">
        <v>1141</v>
      </c>
    </row>
    <row r="3379" spans="2:5" x14ac:dyDescent="0.25">
      <c r="B3379" s="115" t="s">
        <v>1139</v>
      </c>
      <c r="D3379" s="115" t="s">
        <v>1140</v>
      </c>
      <c r="E3379" s="115" t="s">
        <v>1141</v>
      </c>
    </row>
    <row r="3380" spans="2:5" x14ac:dyDescent="0.25">
      <c r="B3380" s="115" t="s">
        <v>1139</v>
      </c>
      <c r="D3380" s="115" t="s">
        <v>1140</v>
      </c>
      <c r="E3380" s="115" t="s">
        <v>1141</v>
      </c>
    </row>
    <row r="3381" spans="2:5" x14ac:dyDescent="0.25">
      <c r="B3381" s="115" t="s">
        <v>1139</v>
      </c>
      <c r="D3381" s="115" t="s">
        <v>1140</v>
      </c>
      <c r="E3381" s="115" t="s">
        <v>1141</v>
      </c>
    </row>
    <row r="3382" spans="2:5" x14ac:dyDescent="0.25">
      <c r="B3382" s="115" t="s">
        <v>1139</v>
      </c>
      <c r="D3382" s="115" t="s">
        <v>1140</v>
      </c>
      <c r="E3382" s="115" t="s">
        <v>1141</v>
      </c>
    </row>
    <row r="3383" spans="2:5" x14ac:dyDescent="0.25">
      <c r="B3383" s="115" t="s">
        <v>1139</v>
      </c>
      <c r="D3383" s="115" t="s">
        <v>1140</v>
      </c>
      <c r="E3383" s="115" t="s">
        <v>1141</v>
      </c>
    </row>
    <row r="3384" spans="2:5" x14ac:dyDescent="0.25">
      <c r="B3384" s="115" t="s">
        <v>1139</v>
      </c>
      <c r="D3384" s="115" t="s">
        <v>1140</v>
      </c>
      <c r="E3384" s="115" t="s">
        <v>1141</v>
      </c>
    </row>
    <row r="3385" spans="2:5" x14ac:dyDescent="0.25">
      <c r="B3385" s="115" t="s">
        <v>1139</v>
      </c>
      <c r="D3385" s="115" t="s">
        <v>1140</v>
      </c>
      <c r="E3385" s="115" t="s">
        <v>1141</v>
      </c>
    </row>
    <row r="3386" spans="2:5" x14ac:dyDescent="0.25">
      <c r="B3386" s="115" t="s">
        <v>1139</v>
      </c>
      <c r="D3386" s="115" t="s">
        <v>1140</v>
      </c>
      <c r="E3386" s="115" t="s">
        <v>1141</v>
      </c>
    </row>
    <row r="3387" spans="2:5" x14ac:dyDescent="0.25">
      <c r="B3387" s="115" t="s">
        <v>1139</v>
      </c>
      <c r="D3387" s="115" t="s">
        <v>1140</v>
      </c>
      <c r="E3387" s="115" t="s">
        <v>1141</v>
      </c>
    </row>
    <row r="3388" spans="2:5" x14ac:dyDescent="0.25">
      <c r="B3388" s="115" t="s">
        <v>1139</v>
      </c>
      <c r="D3388" s="115" t="s">
        <v>1140</v>
      </c>
      <c r="E3388" s="115" t="s">
        <v>1141</v>
      </c>
    </row>
    <row r="3389" spans="2:5" x14ac:dyDescent="0.25">
      <c r="B3389" s="115" t="s">
        <v>1139</v>
      </c>
      <c r="D3389" s="115" t="s">
        <v>1140</v>
      </c>
      <c r="E3389" s="115" t="s">
        <v>1141</v>
      </c>
    </row>
    <row r="3390" spans="2:5" x14ac:dyDescent="0.25">
      <c r="B3390" s="115" t="s">
        <v>1139</v>
      </c>
      <c r="D3390" s="115" t="s">
        <v>1140</v>
      </c>
      <c r="E3390" s="115" t="s">
        <v>1141</v>
      </c>
    </row>
    <row r="3391" spans="2:5" x14ac:dyDescent="0.25">
      <c r="B3391" s="115" t="s">
        <v>1139</v>
      </c>
      <c r="D3391" s="115" t="s">
        <v>1140</v>
      </c>
      <c r="E3391" s="115" t="s">
        <v>1141</v>
      </c>
    </row>
    <row r="3392" spans="2:5" x14ac:dyDescent="0.25">
      <c r="B3392" s="115" t="s">
        <v>1139</v>
      </c>
      <c r="D3392" s="115" t="s">
        <v>1140</v>
      </c>
      <c r="E3392" s="115" t="s">
        <v>1141</v>
      </c>
    </row>
    <row r="3393" spans="2:5" x14ac:dyDescent="0.25">
      <c r="B3393" s="115" t="s">
        <v>1139</v>
      </c>
      <c r="D3393" s="115" t="s">
        <v>1140</v>
      </c>
      <c r="E3393" s="115" t="s">
        <v>1141</v>
      </c>
    </row>
    <row r="3394" spans="2:5" x14ac:dyDescent="0.25">
      <c r="B3394" s="115" t="s">
        <v>1139</v>
      </c>
      <c r="D3394" s="115" t="s">
        <v>1140</v>
      </c>
      <c r="E3394" s="115" t="s">
        <v>1141</v>
      </c>
    </row>
    <row r="3395" spans="2:5" x14ac:dyDescent="0.25">
      <c r="B3395" s="115" t="s">
        <v>1139</v>
      </c>
      <c r="D3395" s="115" t="s">
        <v>1140</v>
      </c>
      <c r="E3395" s="115" t="s">
        <v>1141</v>
      </c>
    </row>
    <row r="3396" spans="2:5" x14ac:dyDescent="0.25">
      <c r="B3396" s="115" t="s">
        <v>1139</v>
      </c>
      <c r="D3396" s="115" t="s">
        <v>1140</v>
      </c>
      <c r="E3396" s="115" t="s">
        <v>1141</v>
      </c>
    </row>
    <row r="3397" spans="2:5" x14ac:dyDescent="0.25">
      <c r="B3397" s="115" t="s">
        <v>1139</v>
      </c>
      <c r="D3397" s="115" t="s">
        <v>1140</v>
      </c>
      <c r="E3397" s="115" t="s">
        <v>1141</v>
      </c>
    </row>
    <row r="3398" spans="2:5" x14ac:dyDescent="0.25">
      <c r="B3398" s="115" t="s">
        <v>1139</v>
      </c>
      <c r="D3398" s="115" t="s">
        <v>1140</v>
      </c>
      <c r="E3398" s="115" t="s">
        <v>1141</v>
      </c>
    </row>
    <row r="3399" spans="2:5" x14ac:dyDescent="0.25">
      <c r="B3399" s="115" t="s">
        <v>1139</v>
      </c>
      <c r="D3399" s="115" t="s">
        <v>1140</v>
      </c>
      <c r="E3399" s="115" t="s">
        <v>1141</v>
      </c>
    </row>
    <row r="3400" spans="2:5" x14ac:dyDescent="0.25">
      <c r="B3400" s="115" t="s">
        <v>1139</v>
      </c>
      <c r="D3400" s="115" t="s">
        <v>1140</v>
      </c>
      <c r="E3400" s="115" t="s">
        <v>1141</v>
      </c>
    </row>
    <row r="3401" spans="2:5" x14ac:dyDescent="0.25">
      <c r="B3401" s="115" t="s">
        <v>1139</v>
      </c>
      <c r="D3401" s="115" t="s">
        <v>1140</v>
      </c>
      <c r="E3401" s="115" t="s">
        <v>1141</v>
      </c>
    </row>
    <row r="3402" spans="2:5" x14ac:dyDescent="0.25">
      <c r="B3402" s="115" t="s">
        <v>1139</v>
      </c>
      <c r="D3402" s="115" t="s">
        <v>1140</v>
      </c>
      <c r="E3402" s="115" t="s">
        <v>1141</v>
      </c>
    </row>
    <row r="3403" spans="2:5" x14ac:dyDescent="0.25">
      <c r="B3403" s="115" t="s">
        <v>1139</v>
      </c>
      <c r="D3403" s="115" t="s">
        <v>1140</v>
      </c>
      <c r="E3403" s="115" t="s">
        <v>1141</v>
      </c>
    </row>
    <row r="3404" spans="2:5" x14ac:dyDescent="0.25">
      <c r="B3404" s="115" t="s">
        <v>1139</v>
      </c>
      <c r="D3404" s="115" t="s">
        <v>1140</v>
      </c>
      <c r="E3404" s="115" t="s">
        <v>1141</v>
      </c>
    </row>
    <row r="3405" spans="2:5" x14ac:dyDescent="0.25">
      <c r="B3405" s="115" t="s">
        <v>1139</v>
      </c>
      <c r="D3405" s="115" t="s">
        <v>1140</v>
      </c>
      <c r="E3405" s="115" t="s">
        <v>1141</v>
      </c>
    </row>
    <row r="3406" spans="2:5" x14ac:dyDescent="0.25">
      <c r="B3406" s="115" t="s">
        <v>1139</v>
      </c>
      <c r="D3406" s="115" t="s">
        <v>1140</v>
      </c>
      <c r="E3406" s="115" t="s">
        <v>1141</v>
      </c>
    </row>
    <row r="3407" spans="2:5" x14ac:dyDescent="0.25">
      <c r="B3407" s="115" t="s">
        <v>1139</v>
      </c>
      <c r="D3407" s="115" t="s">
        <v>1140</v>
      </c>
      <c r="E3407" s="115" t="s">
        <v>1141</v>
      </c>
    </row>
    <row r="3408" spans="2:5" x14ac:dyDescent="0.25">
      <c r="B3408" s="115" t="s">
        <v>1139</v>
      </c>
      <c r="D3408" s="115" t="s">
        <v>1140</v>
      </c>
      <c r="E3408" s="115" t="s">
        <v>1141</v>
      </c>
    </row>
    <row r="3409" spans="2:5" x14ac:dyDescent="0.25">
      <c r="B3409" s="115" t="s">
        <v>1139</v>
      </c>
      <c r="D3409" s="115" t="s">
        <v>1140</v>
      </c>
      <c r="E3409" s="115" t="s">
        <v>1141</v>
      </c>
    </row>
    <row r="3410" spans="2:5" x14ac:dyDescent="0.25">
      <c r="B3410" s="115" t="s">
        <v>1139</v>
      </c>
      <c r="D3410" s="115" t="s">
        <v>1140</v>
      </c>
      <c r="E3410" s="115" t="s">
        <v>1141</v>
      </c>
    </row>
    <row r="3411" spans="2:5" x14ac:dyDescent="0.25">
      <c r="B3411" s="115" t="s">
        <v>1139</v>
      </c>
      <c r="D3411" s="115" t="s">
        <v>1140</v>
      </c>
      <c r="E3411" s="115" t="s">
        <v>1141</v>
      </c>
    </row>
    <row r="3412" spans="2:5" x14ac:dyDescent="0.25">
      <c r="B3412" s="115" t="s">
        <v>1139</v>
      </c>
      <c r="D3412" s="115" t="s">
        <v>1140</v>
      </c>
      <c r="E3412" s="115" t="s">
        <v>1141</v>
      </c>
    </row>
    <row r="3413" spans="2:5" x14ac:dyDescent="0.25">
      <c r="B3413" s="115" t="s">
        <v>1139</v>
      </c>
      <c r="D3413" s="115" t="s">
        <v>1140</v>
      </c>
      <c r="E3413" s="115" t="s">
        <v>1141</v>
      </c>
    </row>
    <row r="3414" spans="2:5" x14ac:dyDescent="0.25">
      <c r="B3414" s="115" t="s">
        <v>1139</v>
      </c>
      <c r="D3414" s="115" t="s">
        <v>1140</v>
      </c>
      <c r="E3414" s="115" t="s">
        <v>1141</v>
      </c>
    </row>
    <row r="3415" spans="2:5" x14ac:dyDescent="0.25">
      <c r="B3415" s="115" t="s">
        <v>1139</v>
      </c>
      <c r="D3415" s="115" t="s">
        <v>1140</v>
      </c>
      <c r="E3415" s="115" t="s">
        <v>1141</v>
      </c>
    </row>
    <row r="3416" spans="2:5" x14ac:dyDescent="0.25">
      <c r="B3416" s="115" t="s">
        <v>1139</v>
      </c>
      <c r="D3416" s="115" t="s">
        <v>1140</v>
      </c>
      <c r="E3416" s="115" t="s">
        <v>1141</v>
      </c>
    </row>
    <row r="3417" spans="2:5" x14ac:dyDescent="0.25">
      <c r="B3417" s="115" t="s">
        <v>1139</v>
      </c>
      <c r="D3417" s="115" t="s">
        <v>1140</v>
      </c>
      <c r="E3417" s="115" t="s">
        <v>1141</v>
      </c>
    </row>
    <row r="3418" spans="2:5" x14ac:dyDescent="0.25">
      <c r="B3418" s="115" t="s">
        <v>1139</v>
      </c>
      <c r="D3418" s="115" t="s">
        <v>1140</v>
      </c>
      <c r="E3418" s="115" t="s">
        <v>1141</v>
      </c>
    </row>
    <row r="3419" spans="2:5" x14ac:dyDescent="0.25">
      <c r="B3419" s="115" t="s">
        <v>1139</v>
      </c>
      <c r="D3419" s="115" t="s">
        <v>1140</v>
      </c>
      <c r="E3419" s="115" t="s">
        <v>1141</v>
      </c>
    </row>
    <row r="3420" spans="2:5" x14ac:dyDescent="0.25">
      <c r="B3420" s="115" t="s">
        <v>1139</v>
      </c>
      <c r="D3420" s="115" t="s">
        <v>1140</v>
      </c>
      <c r="E3420" s="115" t="s">
        <v>1141</v>
      </c>
    </row>
    <row r="3421" spans="2:5" x14ac:dyDescent="0.25">
      <c r="B3421" s="115" t="s">
        <v>1139</v>
      </c>
      <c r="D3421" s="115" t="s">
        <v>1140</v>
      </c>
      <c r="E3421" s="115" t="s">
        <v>1141</v>
      </c>
    </row>
    <row r="3422" spans="2:5" x14ac:dyDescent="0.25">
      <c r="B3422" s="115" t="s">
        <v>1139</v>
      </c>
      <c r="D3422" s="115" t="s">
        <v>1140</v>
      </c>
      <c r="E3422" s="115" t="s">
        <v>1141</v>
      </c>
    </row>
    <row r="3423" spans="2:5" x14ac:dyDescent="0.25">
      <c r="B3423" s="115" t="s">
        <v>1139</v>
      </c>
      <c r="D3423" s="115" t="s">
        <v>1140</v>
      </c>
      <c r="E3423" s="115" t="s">
        <v>1141</v>
      </c>
    </row>
    <row r="3424" spans="2:5" x14ac:dyDescent="0.25">
      <c r="B3424" s="115" t="s">
        <v>1139</v>
      </c>
      <c r="D3424" s="115" t="s">
        <v>1140</v>
      </c>
      <c r="E3424" s="115" t="s">
        <v>1141</v>
      </c>
    </row>
    <row r="3425" spans="2:5" x14ac:dyDescent="0.25">
      <c r="B3425" s="115" t="s">
        <v>1139</v>
      </c>
      <c r="D3425" s="115" t="s">
        <v>1140</v>
      </c>
      <c r="E3425" s="115" t="s">
        <v>1141</v>
      </c>
    </row>
    <row r="3426" spans="2:5" x14ac:dyDescent="0.25">
      <c r="B3426" s="115" t="s">
        <v>1139</v>
      </c>
      <c r="D3426" s="115" t="s">
        <v>1140</v>
      </c>
      <c r="E3426" s="115" t="s">
        <v>1141</v>
      </c>
    </row>
    <row r="3427" spans="2:5" x14ac:dyDescent="0.25">
      <c r="B3427" s="115" t="s">
        <v>1139</v>
      </c>
      <c r="D3427" s="115" t="s">
        <v>1140</v>
      </c>
      <c r="E3427" s="115" t="s">
        <v>1141</v>
      </c>
    </row>
    <row r="3428" spans="2:5" x14ac:dyDescent="0.25">
      <c r="B3428" s="115" t="s">
        <v>1139</v>
      </c>
      <c r="D3428" s="115" t="s">
        <v>1140</v>
      </c>
      <c r="E3428" s="115" t="s">
        <v>1141</v>
      </c>
    </row>
    <row r="3429" spans="2:5" x14ac:dyDescent="0.25">
      <c r="B3429" s="115" t="s">
        <v>1139</v>
      </c>
      <c r="D3429" s="115" t="s">
        <v>1140</v>
      </c>
      <c r="E3429" s="115" t="s">
        <v>1141</v>
      </c>
    </row>
    <row r="3430" spans="2:5" x14ac:dyDescent="0.25">
      <c r="B3430" s="115" t="s">
        <v>1139</v>
      </c>
      <c r="D3430" s="115" t="s">
        <v>1140</v>
      </c>
      <c r="E3430" s="115" t="s">
        <v>1141</v>
      </c>
    </row>
    <row r="3431" spans="2:5" x14ac:dyDescent="0.25">
      <c r="B3431" s="115" t="s">
        <v>1139</v>
      </c>
      <c r="D3431" s="115" t="s">
        <v>1140</v>
      </c>
      <c r="E3431" s="115" t="s">
        <v>1141</v>
      </c>
    </row>
    <row r="3432" spans="2:5" x14ac:dyDescent="0.25">
      <c r="B3432" s="115" t="s">
        <v>1139</v>
      </c>
      <c r="D3432" s="115" t="s">
        <v>1140</v>
      </c>
      <c r="E3432" s="115" t="s">
        <v>1141</v>
      </c>
    </row>
    <row r="3433" spans="2:5" x14ac:dyDescent="0.25">
      <c r="B3433" s="115" t="s">
        <v>1139</v>
      </c>
      <c r="D3433" s="115" t="s">
        <v>1140</v>
      </c>
      <c r="E3433" s="115" t="s">
        <v>1141</v>
      </c>
    </row>
    <row r="3434" spans="2:5" x14ac:dyDescent="0.25">
      <c r="B3434" s="115" t="s">
        <v>1139</v>
      </c>
      <c r="D3434" s="115" t="s">
        <v>1140</v>
      </c>
      <c r="E3434" s="115" t="s">
        <v>1141</v>
      </c>
    </row>
    <row r="3435" spans="2:5" x14ac:dyDescent="0.25">
      <c r="B3435" s="115" t="s">
        <v>1139</v>
      </c>
      <c r="D3435" s="115" t="s">
        <v>1140</v>
      </c>
      <c r="E3435" s="115" t="s">
        <v>1141</v>
      </c>
    </row>
    <row r="3436" spans="2:5" x14ac:dyDescent="0.25">
      <c r="B3436" s="115" t="s">
        <v>1139</v>
      </c>
      <c r="D3436" s="115" t="s">
        <v>1140</v>
      </c>
      <c r="E3436" s="115" t="s">
        <v>1141</v>
      </c>
    </row>
    <row r="3437" spans="2:5" x14ac:dyDescent="0.25">
      <c r="B3437" s="115" t="s">
        <v>1139</v>
      </c>
      <c r="D3437" s="115" t="s">
        <v>1140</v>
      </c>
      <c r="E3437" s="115" t="s">
        <v>1141</v>
      </c>
    </row>
    <row r="3438" spans="2:5" x14ac:dyDescent="0.25">
      <c r="B3438" s="115" t="s">
        <v>1139</v>
      </c>
      <c r="D3438" s="115" t="s">
        <v>1140</v>
      </c>
      <c r="E3438" s="115" t="s">
        <v>1141</v>
      </c>
    </row>
    <row r="3439" spans="2:5" x14ac:dyDescent="0.25">
      <c r="B3439" s="115" t="s">
        <v>1139</v>
      </c>
      <c r="D3439" s="115" t="s">
        <v>1140</v>
      </c>
      <c r="E3439" s="115" t="s">
        <v>1141</v>
      </c>
    </row>
    <row r="3440" spans="2:5" x14ac:dyDescent="0.25">
      <c r="B3440" s="115" t="s">
        <v>1139</v>
      </c>
      <c r="D3440" s="115" t="s">
        <v>1140</v>
      </c>
      <c r="E3440" s="115" t="s">
        <v>1141</v>
      </c>
    </row>
    <row r="3441" spans="2:5" x14ac:dyDescent="0.25">
      <c r="B3441" s="115" t="s">
        <v>1139</v>
      </c>
      <c r="D3441" s="115" t="s">
        <v>1140</v>
      </c>
      <c r="E3441" s="115" t="s">
        <v>1141</v>
      </c>
    </row>
    <row r="3442" spans="2:5" x14ac:dyDescent="0.25">
      <c r="B3442" s="115" t="s">
        <v>1139</v>
      </c>
      <c r="D3442" s="115" t="s">
        <v>1140</v>
      </c>
      <c r="E3442" s="115" t="s">
        <v>1141</v>
      </c>
    </row>
    <row r="3443" spans="2:5" x14ac:dyDescent="0.25">
      <c r="B3443" s="115" t="s">
        <v>1139</v>
      </c>
      <c r="D3443" s="115" t="s">
        <v>1140</v>
      </c>
      <c r="E3443" s="115" t="s">
        <v>1141</v>
      </c>
    </row>
    <row r="3444" spans="2:5" x14ac:dyDescent="0.25">
      <c r="B3444" s="115" t="s">
        <v>1139</v>
      </c>
      <c r="D3444" s="115" t="s">
        <v>1140</v>
      </c>
      <c r="E3444" s="115" t="s">
        <v>1141</v>
      </c>
    </row>
    <row r="3445" spans="2:5" x14ac:dyDescent="0.25">
      <c r="B3445" s="115" t="s">
        <v>1139</v>
      </c>
      <c r="D3445" s="115" t="s">
        <v>1140</v>
      </c>
      <c r="E3445" s="115" t="s">
        <v>1141</v>
      </c>
    </row>
    <row r="3446" spans="2:5" x14ac:dyDescent="0.25">
      <c r="B3446" s="115" t="s">
        <v>1139</v>
      </c>
      <c r="D3446" s="115" t="s">
        <v>1140</v>
      </c>
      <c r="E3446" s="115" t="s">
        <v>1141</v>
      </c>
    </row>
    <row r="3447" spans="2:5" x14ac:dyDescent="0.25">
      <c r="B3447" s="115" t="s">
        <v>1139</v>
      </c>
      <c r="D3447" s="115" t="s">
        <v>1140</v>
      </c>
      <c r="E3447" s="115" t="s">
        <v>1141</v>
      </c>
    </row>
    <row r="3448" spans="2:5" x14ac:dyDescent="0.25">
      <c r="B3448" s="115" t="s">
        <v>1139</v>
      </c>
      <c r="D3448" s="115" t="s">
        <v>1140</v>
      </c>
      <c r="E3448" s="115" t="s">
        <v>1141</v>
      </c>
    </row>
    <row r="3449" spans="2:5" x14ac:dyDescent="0.25">
      <c r="B3449" s="115" t="s">
        <v>1139</v>
      </c>
      <c r="D3449" s="115" t="s">
        <v>1140</v>
      </c>
      <c r="E3449" s="115" t="s">
        <v>1141</v>
      </c>
    </row>
    <row r="3450" spans="2:5" x14ac:dyDescent="0.25">
      <c r="B3450" s="115" t="s">
        <v>1139</v>
      </c>
      <c r="D3450" s="115" t="s">
        <v>1140</v>
      </c>
      <c r="E3450" s="115" t="s">
        <v>1141</v>
      </c>
    </row>
    <row r="3451" spans="2:5" x14ac:dyDescent="0.25">
      <c r="B3451" s="115" t="s">
        <v>1139</v>
      </c>
      <c r="D3451" s="115" t="s">
        <v>1140</v>
      </c>
      <c r="E3451" s="115" t="s">
        <v>1141</v>
      </c>
    </row>
    <row r="3452" spans="2:5" x14ac:dyDescent="0.25">
      <c r="B3452" s="115" t="s">
        <v>1139</v>
      </c>
      <c r="D3452" s="115" t="s">
        <v>1140</v>
      </c>
      <c r="E3452" s="115" t="s">
        <v>1141</v>
      </c>
    </row>
    <row r="3453" spans="2:5" x14ac:dyDescent="0.25">
      <c r="B3453" s="115" t="s">
        <v>1139</v>
      </c>
      <c r="D3453" s="115" t="s">
        <v>1140</v>
      </c>
      <c r="E3453" s="115" t="s">
        <v>1141</v>
      </c>
    </row>
    <row r="3454" spans="2:5" x14ac:dyDescent="0.25">
      <c r="B3454" s="115" t="s">
        <v>1139</v>
      </c>
      <c r="D3454" s="115" t="s">
        <v>1140</v>
      </c>
      <c r="E3454" s="115" t="s">
        <v>1141</v>
      </c>
    </row>
    <row r="3455" spans="2:5" x14ac:dyDescent="0.25">
      <c r="B3455" s="115" t="s">
        <v>1139</v>
      </c>
      <c r="D3455" s="115" t="s">
        <v>1140</v>
      </c>
      <c r="E3455" s="115" t="s">
        <v>1141</v>
      </c>
    </row>
    <row r="3456" spans="2:5" x14ac:dyDescent="0.25">
      <c r="B3456" s="115" t="s">
        <v>1139</v>
      </c>
      <c r="D3456" s="115" t="s">
        <v>1140</v>
      </c>
      <c r="E3456" s="115" t="s">
        <v>1141</v>
      </c>
    </row>
    <row r="3457" spans="2:5" x14ac:dyDescent="0.25">
      <c r="B3457" s="115" t="s">
        <v>1139</v>
      </c>
      <c r="D3457" s="115" t="s">
        <v>1140</v>
      </c>
      <c r="E3457" s="115" t="s">
        <v>1141</v>
      </c>
    </row>
    <row r="3458" spans="2:5" x14ac:dyDescent="0.25">
      <c r="B3458" s="115" t="s">
        <v>1139</v>
      </c>
      <c r="D3458" s="115" t="s">
        <v>1140</v>
      </c>
      <c r="E3458" s="115" t="s">
        <v>1141</v>
      </c>
    </row>
    <row r="3459" spans="2:5" x14ac:dyDescent="0.25">
      <c r="B3459" s="115" t="s">
        <v>1139</v>
      </c>
      <c r="D3459" s="115" t="s">
        <v>1140</v>
      </c>
      <c r="E3459" s="115" t="s">
        <v>1141</v>
      </c>
    </row>
    <row r="3460" spans="2:5" x14ac:dyDescent="0.25">
      <c r="B3460" s="115" t="s">
        <v>1139</v>
      </c>
      <c r="D3460" s="115" t="s">
        <v>1140</v>
      </c>
      <c r="E3460" s="115" t="s">
        <v>1141</v>
      </c>
    </row>
    <row r="3461" spans="2:5" x14ac:dyDescent="0.25">
      <c r="B3461" s="115" t="s">
        <v>1139</v>
      </c>
      <c r="D3461" s="115" t="s">
        <v>1140</v>
      </c>
      <c r="E3461" s="115" t="s">
        <v>1141</v>
      </c>
    </row>
    <row r="3462" spans="2:5" x14ac:dyDescent="0.25">
      <c r="B3462" s="115" t="s">
        <v>1139</v>
      </c>
      <c r="D3462" s="115" t="s">
        <v>1140</v>
      </c>
      <c r="E3462" s="115" t="s">
        <v>1141</v>
      </c>
    </row>
    <row r="3463" spans="2:5" x14ac:dyDescent="0.25">
      <c r="B3463" s="115" t="s">
        <v>1139</v>
      </c>
      <c r="D3463" s="115" t="s">
        <v>1140</v>
      </c>
      <c r="E3463" s="115" t="s">
        <v>1141</v>
      </c>
    </row>
    <row r="3464" spans="2:5" x14ac:dyDescent="0.25">
      <c r="B3464" s="115" t="s">
        <v>1139</v>
      </c>
      <c r="D3464" s="115" t="s">
        <v>1140</v>
      </c>
      <c r="E3464" s="115" t="s">
        <v>1141</v>
      </c>
    </row>
    <row r="3465" spans="2:5" x14ac:dyDescent="0.25">
      <c r="B3465" s="115" t="s">
        <v>1139</v>
      </c>
      <c r="D3465" s="115" t="s">
        <v>1140</v>
      </c>
      <c r="E3465" s="115" t="s">
        <v>1141</v>
      </c>
    </row>
    <row r="3466" spans="2:5" x14ac:dyDescent="0.25">
      <c r="B3466" s="115" t="s">
        <v>1139</v>
      </c>
      <c r="D3466" s="115" t="s">
        <v>1140</v>
      </c>
      <c r="E3466" s="115" t="s">
        <v>1141</v>
      </c>
    </row>
    <row r="3467" spans="2:5" x14ac:dyDescent="0.25">
      <c r="B3467" s="115" t="s">
        <v>1139</v>
      </c>
      <c r="D3467" s="115" t="s">
        <v>1140</v>
      </c>
      <c r="E3467" s="115" t="s">
        <v>1141</v>
      </c>
    </row>
    <row r="3468" spans="2:5" x14ac:dyDescent="0.25">
      <c r="B3468" s="115" t="s">
        <v>1139</v>
      </c>
      <c r="D3468" s="115" t="s">
        <v>1140</v>
      </c>
      <c r="E3468" s="115" t="s">
        <v>1141</v>
      </c>
    </row>
    <row r="3469" spans="2:5" x14ac:dyDescent="0.25">
      <c r="B3469" s="115" t="s">
        <v>1139</v>
      </c>
      <c r="D3469" s="115" t="s">
        <v>1140</v>
      </c>
      <c r="E3469" s="115" t="s">
        <v>1141</v>
      </c>
    </row>
    <row r="3470" spans="2:5" x14ac:dyDescent="0.25">
      <c r="B3470" s="115" t="s">
        <v>1139</v>
      </c>
      <c r="D3470" s="115" t="s">
        <v>1140</v>
      </c>
      <c r="E3470" s="115" t="s">
        <v>1141</v>
      </c>
    </row>
    <row r="3471" spans="2:5" x14ac:dyDescent="0.25">
      <c r="B3471" s="115" t="s">
        <v>1139</v>
      </c>
      <c r="D3471" s="115" t="s">
        <v>1140</v>
      </c>
      <c r="E3471" s="115" t="s">
        <v>1141</v>
      </c>
    </row>
    <row r="3472" spans="2:5" x14ac:dyDescent="0.25">
      <c r="B3472" s="115" t="s">
        <v>1139</v>
      </c>
      <c r="D3472" s="115" t="s">
        <v>1140</v>
      </c>
      <c r="E3472" s="115" t="s">
        <v>1141</v>
      </c>
    </row>
    <row r="3473" spans="1:5" x14ac:dyDescent="0.25">
      <c r="B3473" s="115" t="s">
        <v>1139</v>
      </c>
      <c r="D3473" s="115" t="s">
        <v>1140</v>
      </c>
      <c r="E3473" s="115" t="s">
        <v>1141</v>
      </c>
    </row>
    <row r="3474" spans="1:5" x14ac:dyDescent="0.25">
      <c r="B3474" s="115" t="s">
        <v>1139</v>
      </c>
      <c r="D3474" s="115" t="s">
        <v>1140</v>
      </c>
      <c r="E3474" s="115" t="s">
        <v>1141</v>
      </c>
    </row>
    <row r="3475" spans="1:5" x14ac:dyDescent="0.25">
      <c r="B3475" s="115" t="s">
        <v>1139</v>
      </c>
      <c r="D3475" s="115" t="s">
        <v>1140</v>
      </c>
      <c r="E3475" s="115" t="s">
        <v>1141</v>
      </c>
    </row>
    <row r="3476" spans="1:5" x14ac:dyDescent="0.25">
      <c r="B3476" s="115" t="s">
        <v>1139</v>
      </c>
      <c r="D3476" s="115" t="s">
        <v>2172</v>
      </c>
      <c r="E3476" s="115" t="s">
        <v>4852</v>
      </c>
    </row>
    <row r="3477" spans="1:5" x14ac:dyDescent="0.25">
      <c r="B3477" s="115" t="s">
        <v>2241</v>
      </c>
      <c r="D3477" s="115" t="s">
        <v>1533</v>
      </c>
      <c r="E3477" s="115" t="s">
        <v>4853</v>
      </c>
    </row>
    <row r="3478" spans="1:5" x14ac:dyDescent="0.25">
      <c r="B3478" s="115" t="s">
        <v>1139</v>
      </c>
      <c r="D3478" s="115" t="s">
        <v>1140</v>
      </c>
      <c r="E3478" s="115" t="s">
        <v>4854</v>
      </c>
    </row>
    <row r="3479" spans="1:5" x14ac:dyDescent="0.25">
      <c r="B3479" s="115" t="s">
        <v>4855</v>
      </c>
      <c r="D3479" s="115" t="s">
        <v>4856</v>
      </c>
      <c r="E3479" s="115" t="s">
        <v>4857</v>
      </c>
    </row>
    <row r="3480" spans="1:5" x14ac:dyDescent="0.25">
      <c r="B3480" s="115" t="s">
        <v>1634</v>
      </c>
      <c r="D3480" s="115" t="s">
        <v>4858</v>
      </c>
      <c r="E3480" s="115" t="s">
        <v>1141</v>
      </c>
    </row>
    <row r="3481" spans="1:5" x14ac:dyDescent="0.25">
      <c r="B3481" s="115" t="s">
        <v>1465</v>
      </c>
      <c r="D3481" s="115" t="s">
        <v>1140</v>
      </c>
      <c r="E3481" s="115" t="s">
        <v>4859</v>
      </c>
    </row>
    <row r="3482" spans="1:5" x14ac:dyDescent="0.25">
      <c r="B3482" s="115" t="s">
        <v>4860</v>
      </c>
      <c r="D3482" s="115" t="s">
        <v>1140</v>
      </c>
      <c r="E3482" s="115" t="s">
        <v>4861</v>
      </c>
    </row>
    <row r="3483" spans="1:5" x14ac:dyDescent="0.25">
      <c r="B3483" s="115" t="s">
        <v>4862</v>
      </c>
      <c r="D3483" s="115" t="s">
        <v>4863</v>
      </c>
      <c r="E3483" s="115" t="s">
        <v>4864</v>
      </c>
    </row>
    <row r="3484" spans="1:5" x14ac:dyDescent="0.25">
      <c r="B3484" s="115" t="s">
        <v>1441</v>
      </c>
      <c r="D3484" s="115" t="s">
        <v>1830</v>
      </c>
      <c r="E3484" s="115" t="s">
        <v>4865</v>
      </c>
    </row>
    <row r="3485" spans="1:5" x14ac:dyDescent="0.25">
      <c r="B3485" s="115" t="s">
        <v>4866</v>
      </c>
      <c r="D3485" s="115" t="s">
        <v>4867</v>
      </c>
      <c r="E3485" s="115" t="s">
        <v>4868</v>
      </c>
    </row>
    <row r="3486" spans="1:5" x14ac:dyDescent="0.2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25">
      <c r="B3487" s="115" t="s">
        <v>1217</v>
      </c>
      <c r="D3487" s="115" t="s">
        <v>4124</v>
      </c>
      <c r="E3487" s="115" t="s">
        <v>4872</v>
      </c>
    </row>
    <row r="3488" spans="1:5" x14ac:dyDescent="0.2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2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25">
      <c r="B3490" s="115" t="s">
        <v>1253</v>
      </c>
      <c r="D3490" s="115" t="s">
        <v>1893</v>
      </c>
      <c r="E3490" s="115" t="s">
        <v>4879</v>
      </c>
    </row>
    <row r="3491" spans="1:5" x14ac:dyDescent="0.2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2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25">
      <c r="B3493" s="115" t="s">
        <v>1139</v>
      </c>
      <c r="D3493" s="115" t="s">
        <v>4885</v>
      </c>
      <c r="E3493" s="115" t="s">
        <v>4886</v>
      </c>
    </row>
    <row r="3494" spans="1:5" x14ac:dyDescent="0.25">
      <c r="B3494" s="115" t="s">
        <v>1139</v>
      </c>
      <c r="D3494" s="115" t="s">
        <v>4887</v>
      </c>
      <c r="E3494" s="115" t="s">
        <v>4888</v>
      </c>
    </row>
    <row r="3495" spans="1:5" x14ac:dyDescent="0.25">
      <c r="B3495" s="115">
        <f>-55    -43</f>
        <v>-98</v>
      </c>
      <c r="D3495" s="115" t="s">
        <v>3876</v>
      </c>
      <c r="E3495" s="115" t="s">
        <v>4889</v>
      </c>
    </row>
    <row r="3496" spans="1:5" x14ac:dyDescent="0.25">
      <c r="B3496" s="115" t="s">
        <v>4890</v>
      </c>
      <c r="D3496" s="115" t="s">
        <v>3770</v>
      </c>
      <c r="E3496" s="115" t="s">
        <v>4891</v>
      </c>
    </row>
    <row r="3497" spans="1:5" x14ac:dyDescent="0.2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25">
      <c r="B3498" s="115" t="s">
        <v>1535</v>
      </c>
      <c r="D3498" s="115" t="s">
        <v>4894</v>
      </c>
      <c r="E3498" s="115" t="s">
        <v>4895</v>
      </c>
    </row>
    <row r="3499" spans="1:5" x14ac:dyDescent="0.25">
      <c r="B3499" s="115" t="s">
        <v>1523</v>
      </c>
      <c r="D3499" s="115" t="s">
        <v>4896</v>
      </c>
      <c r="E3499" s="115" t="s">
        <v>4897</v>
      </c>
    </row>
    <row r="3500" spans="1:5" x14ac:dyDescent="0.25">
      <c r="B3500" s="115" t="s">
        <v>1139</v>
      </c>
      <c r="D3500" s="115" t="s">
        <v>1140</v>
      </c>
      <c r="E3500" s="115" t="s">
        <v>1141</v>
      </c>
    </row>
    <row r="3501" spans="1:5" x14ac:dyDescent="0.25">
      <c r="B3501" s="115" t="s">
        <v>1139</v>
      </c>
      <c r="D3501" s="115" t="s">
        <v>1140</v>
      </c>
      <c r="E3501" s="115" t="s">
        <v>1141</v>
      </c>
    </row>
    <row r="3502" spans="1:5" x14ac:dyDescent="0.25">
      <c r="B3502" s="115" t="s">
        <v>1139</v>
      </c>
      <c r="D3502" s="115" t="s">
        <v>1140</v>
      </c>
      <c r="E3502" s="115" t="s">
        <v>1141</v>
      </c>
    </row>
    <row r="3503" spans="1:5" x14ac:dyDescent="0.25">
      <c r="B3503" s="115" t="s">
        <v>1139</v>
      </c>
      <c r="D3503" s="115" t="s">
        <v>1140</v>
      </c>
      <c r="E3503" s="115" t="s">
        <v>1141</v>
      </c>
    </row>
    <row r="3504" spans="1:5" x14ac:dyDescent="0.25">
      <c r="B3504" s="115" t="s">
        <v>1139</v>
      </c>
      <c r="D3504" s="115" t="s">
        <v>1140</v>
      </c>
      <c r="E3504" s="115" t="s">
        <v>1141</v>
      </c>
    </row>
    <row r="3505" spans="2:5" x14ac:dyDescent="0.25">
      <c r="B3505" s="115" t="s">
        <v>1139</v>
      </c>
      <c r="D3505" s="115" t="s">
        <v>1140</v>
      </c>
      <c r="E3505" s="115" t="s">
        <v>1141</v>
      </c>
    </row>
    <row r="3506" spans="2:5" x14ac:dyDescent="0.25">
      <c r="B3506" s="115" t="s">
        <v>1139</v>
      </c>
      <c r="D3506" s="115" t="s">
        <v>1140</v>
      </c>
      <c r="E3506" s="115" t="s">
        <v>1141</v>
      </c>
    </row>
    <row r="3507" spans="2:5" x14ac:dyDescent="0.25">
      <c r="B3507" s="115" t="s">
        <v>1139</v>
      </c>
      <c r="D3507" s="115" t="s">
        <v>1140</v>
      </c>
      <c r="E3507" s="115" t="s">
        <v>1141</v>
      </c>
    </row>
    <row r="3508" spans="2:5" x14ac:dyDescent="0.25">
      <c r="B3508" s="115" t="s">
        <v>1139</v>
      </c>
      <c r="D3508" s="115" t="s">
        <v>1140</v>
      </c>
      <c r="E3508" s="115" t="s">
        <v>1141</v>
      </c>
    </row>
    <row r="3509" spans="2:5" x14ac:dyDescent="0.25">
      <c r="B3509" s="115" t="s">
        <v>1139</v>
      </c>
      <c r="D3509" s="115" t="s">
        <v>1140</v>
      </c>
      <c r="E3509" s="115" t="s">
        <v>1141</v>
      </c>
    </row>
    <row r="3510" spans="2:5" x14ac:dyDescent="0.25">
      <c r="B3510" s="115" t="s">
        <v>1139</v>
      </c>
      <c r="D3510" s="115" t="s">
        <v>1140</v>
      </c>
      <c r="E3510" s="115" t="s">
        <v>1141</v>
      </c>
    </row>
    <row r="3511" spans="2:5" x14ac:dyDescent="0.25">
      <c r="B3511" s="115" t="s">
        <v>1139</v>
      </c>
      <c r="D3511" s="115" t="s">
        <v>1140</v>
      </c>
      <c r="E3511" s="115" t="s">
        <v>1141</v>
      </c>
    </row>
    <row r="3512" spans="2:5" x14ac:dyDescent="0.25">
      <c r="B3512" s="115" t="s">
        <v>1139</v>
      </c>
      <c r="D3512" s="115" t="s">
        <v>1140</v>
      </c>
      <c r="E3512" s="115" t="s">
        <v>1141</v>
      </c>
    </row>
    <row r="3513" spans="2:5" x14ac:dyDescent="0.25">
      <c r="B3513" s="115" t="s">
        <v>1139</v>
      </c>
      <c r="D3513" s="115" t="s">
        <v>1140</v>
      </c>
      <c r="E3513" s="115" t="s">
        <v>1141</v>
      </c>
    </row>
    <row r="3514" spans="2:5" x14ac:dyDescent="0.25">
      <c r="B3514" s="115" t="s">
        <v>1139</v>
      </c>
      <c r="D3514" s="115" t="s">
        <v>1140</v>
      </c>
      <c r="E3514" s="115" t="s">
        <v>1141</v>
      </c>
    </row>
    <row r="3515" spans="2:5" x14ac:dyDescent="0.25">
      <c r="B3515" s="115" t="s">
        <v>1139</v>
      </c>
      <c r="D3515" s="115" t="s">
        <v>1140</v>
      </c>
      <c r="E3515" s="115" t="s">
        <v>1141</v>
      </c>
    </row>
    <row r="3516" spans="2:5" x14ac:dyDescent="0.25">
      <c r="B3516" s="115" t="s">
        <v>1139</v>
      </c>
      <c r="D3516" s="115" t="s">
        <v>1140</v>
      </c>
      <c r="E3516" s="115" t="s">
        <v>1141</v>
      </c>
    </row>
    <row r="3517" spans="2:5" x14ac:dyDescent="0.25">
      <c r="B3517" s="115" t="s">
        <v>1139</v>
      </c>
      <c r="D3517" s="115" t="s">
        <v>1140</v>
      </c>
      <c r="E3517" s="115" t="s">
        <v>1141</v>
      </c>
    </row>
    <row r="3518" spans="2:5" x14ac:dyDescent="0.25">
      <c r="B3518" s="115" t="s">
        <v>1139</v>
      </c>
      <c r="D3518" s="115" t="s">
        <v>1140</v>
      </c>
      <c r="E3518" s="115" t="s">
        <v>1141</v>
      </c>
    </row>
    <row r="3519" spans="2:5" x14ac:dyDescent="0.25">
      <c r="B3519" s="115" t="s">
        <v>1139</v>
      </c>
      <c r="D3519" s="115" t="s">
        <v>1140</v>
      </c>
      <c r="E3519" s="115" t="s">
        <v>1141</v>
      </c>
    </row>
    <row r="3520" spans="2:5" x14ac:dyDescent="0.25">
      <c r="B3520" s="115" t="s">
        <v>1139</v>
      </c>
      <c r="D3520" s="115" t="s">
        <v>1140</v>
      </c>
      <c r="E3520" s="115" t="s">
        <v>1141</v>
      </c>
    </row>
    <row r="3521" spans="2:5" x14ac:dyDescent="0.25">
      <c r="B3521" s="115" t="s">
        <v>1139</v>
      </c>
      <c r="D3521" s="115" t="s">
        <v>1140</v>
      </c>
      <c r="E3521" s="115" t="s">
        <v>1141</v>
      </c>
    </row>
    <row r="3522" spans="2:5" x14ac:dyDescent="0.25">
      <c r="B3522" s="115" t="s">
        <v>1139</v>
      </c>
      <c r="D3522" s="115" t="s">
        <v>1140</v>
      </c>
      <c r="E3522" s="115" t="s">
        <v>1141</v>
      </c>
    </row>
    <row r="3523" spans="2:5" x14ac:dyDescent="0.25">
      <c r="B3523" s="115" t="s">
        <v>1139</v>
      </c>
      <c r="D3523" s="115" t="s">
        <v>1140</v>
      </c>
      <c r="E3523" s="115" t="s">
        <v>1141</v>
      </c>
    </row>
    <row r="3524" spans="2:5" x14ac:dyDescent="0.25">
      <c r="B3524" s="115" t="s">
        <v>1139</v>
      </c>
      <c r="D3524" s="115" t="s">
        <v>1140</v>
      </c>
      <c r="E3524" s="115" t="s">
        <v>1141</v>
      </c>
    </row>
    <row r="3525" spans="2:5" x14ac:dyDescent="0.25">
      <c r="B3525" s="115" t="s">
        <v>1139</v>
      </c>
      <c r="D3525" s="115" t="s">
        <v>1140</v>
      </c>
      <c r="E3525" s="115" t="s">
        <v>1141</v>
      </c>
    </row>
    <row r="3526" spans="2:5" x14ac:dyDescent="0.25">
      <c r="B3526" s="115" t="s">
        <v>1139</v>
      </c>
      <c r="D3526" s="115" t="s">
        <v>1140</v>
      </c>
      <c r="E3526" s="115" t="s">
        <v>1141</v>
      </c>
    </row>
    <row r="3527" spans="2:5" x14ac:dyDescent="0.25">
      <c r="B3527" s="115" t="s">
        <v>1139</v>
      </c>
      <c r="D3527" s="115" t="s">
        <v>1140</v>
      </c>
      <c r="E3527" s="115" t="s">
        <v>1141</v>
      </c>
    </row>
    <row r="3528" spans="2:5" x14ac:dyDescent="0.25">
      <c r="B3528" s="115" t="s">
        <v>1139</v>
      </c>
      <c r="D3528" s="115" t="s">
        <v>1140</v>
      </c>
      <c r="E3528" s="115" t="s">
        <v>1141</v>
      </c>
    </row>
    <row r="3529" spans="2:5" x14ac:dyDescent="0.25">
      <c r="B3529" s="115" t="s">
        <v>1139</v>
      </c>
      <c r="D3529" s="115" t="s">
        <v>1140</v>
      </c>
      <c r="E3529" s="115" t="s">
        <v>1141</v>
      </c>
    </row>
    <row r="3530" spans="2:5" x14ac:dyDescent="0.25">
      <c r="B3530" s="115" t="s">
        <v>1139</v>
      </c>
      <c r="D3530" s="115" t="s">
        <v>1140</v>
      </c>
      <c r="E3530" s="115" t="s">
        <v>1141</v>
      </c>
    </row>
    <row r="3531" spans="2:5" x14ac:dyDescent="0.25">
      <c r="B3531" s="115" t="s">
        <v>1139</v>
      </c>
      <c r="D3531" s="115" t="s">
        <v>1140</v>
      </c>
      <c r="E3531" s="115" t="s">
        <v>1141</v>
      </c>
    </row>
    <row r="3532" spans="2:5" x14ac:dyDescent="0.25">
      <c r="B3532" s="115" t="s">
        <v>1139</v>
      </c>
      <c r="D3532" s="115" t="s">
        <v>1140</v>
      </c>
      <c r="E3532" s="115" t="s">
        <v>1141</v>
      </c>
    </row>
    <row r="3533" spans="2:5" x14ac:dyDescent="0.25">
      <c r="B3533" s="115" t="s">
        <v>1139</v>
      </c>
      <c r="D3533" s="115" t="s">
        <v>1140</v>
      </c>
      <c r="E3533" s="115" t="s">
        <v>1141</v>
      </c>
    </row>
    <row r="3534" spans="2:5" x14ac:dyDescent="0.25">
      <c r="B3534" s="115" t="s">
        <v>1139</v>
      </c>
      <c r="D3534" s="115" t="s">
        <v>1140</v>
      </c>
      <c r="E3534" s="115" t="s">
        <v>1141</v>
      </c>
    </row>
    <row r="3535" spans="2:5" x14ac:dyDescent="0.25">
      <c r="B3535" s="115" t="s">
        <v>1139</v>
      </c>
      <c r="D3535" s="115" t="s">
        <v>1140</v>
      </c>
      <c r="E3535" s="115" t="s">
        <v>1141</v>
      </c>
    </row>
    <row r="3536" spans="2:5" x14ac:dyDescent="0.25">
      <c r="B3536" s="115" t="s">
        <v>1139</v>
      </c>
      <c r="D3536" s="115" t="s">
        <v>1140</v>
      </c>
      <c r="E3536" s="115" t="s">
        <v>1141</v>
      </c>
    </row>
    <row r="3537" spans="2:5" x14ac:dyDescent="0.25">
      <c r="B3537" s="115" t="s">
        <v>1139</v>
      </c>
      <c r="D3537" s="115" t="s">
        <v>1140</v>
      </c>
      <c r="E3537" s="115" t="s">
        <v>1141</v>
      </c>
    </row>
    <row r="3538" spans="2:5" x14ac:dyDescent="0.25">
      <c r="B3538" s="115" t="s">
        <v>1139</v>
      </c>
      <c r="D3538" s="115" t="s">
        <v>1140</v>
      </c>
      <c r="E3538" s="115" t="s">
        <v>1141</v>
      </c>
    </row>
    <row r="3539" spans="2:5" x14ac:dyDescent="0.25">
      <c r="B3539" s="115" t="s">
        <v>1139</v>
      </c>
      <c r="D3539" s="115" t="s">
        <v>1140</v>
      </c>
      <c r="E3539" s="115" t="s">
        <v>1141</v>
      </c>
    </row>
    <row r="3540" spans="2:5" x14ac:dyDescent="0.25">
      <c r="B3540" s="115" t="s">
        <v>1139</v>
      </c>
      <c r="D3540" s="115" t="s">
        <v>1140</v>
      </c>
      <c r="E3540" s="115" t="s">
        <v>1141</v>
      </c>
    </row>
    <row r="3541" spans="2:5" x14ac:dyDescent="0.25">
      <c r="B3541" s="115" t="s">
        <v>1139</v>
      </c>
      <c r="D3541" s="115" t="s">
        <v>1140</v>
      </c>
      <c r="E3541" s="115" t="s">
        <v>1141</v>
      </c>
    </row>
    <row r="3542" spans="2:5" x14ac:dyDescent="0.25">
      <c r="B3542" s="115" t="s">
        <v>1139</v>
      </c>
      <c r="D3542" s="115" t="s">
        <v>1140</v>
      </c>
      <c r="E3542" s="115" t="s">
        <v>1141</v>
      </c>
    </row>
    <row r="3543" spans="2:5" x14ac:dyDescent="0.25">
      <c r="B3543" s="115" t="s">
        <v>1139</v>
      </c>
      <c r="D3543" s="115" t="s">
        <v>1140</v>
      </c>
      <c r="E3543" s="115" t="s">
        <v>1141</v>
      </c>
    </row>
    <row r="3544" spans="2:5" x14ac:dyDescent="0.25">
      <c r="B3544" s="115" t="s">
        <v>1139</v>
      </c>
      <c r="D3544" s="115" t="s">
        <v>1140</v>
      </c>
      <c r="E3544" s="115" t="s">
        <v>1141</v>
      </c>
    </row>
    <row r="3545" spans="2:5" x14ac:dyDescent="0.25">
      <c r="B3545" s="115" t="s">
        <v>1139</v>
      </c>
      <c r="D3545" s="115" t="s">
        <v>1140</v>
      </c>
      <c r="E3545" s="115" t="s">
        <v>1141</v>
      </c>
    </row>
    <row r="3546" spans="2:5" x14ac:dyDescent="0.25">
      <c r="B3546" s="115" t="s">
        <v>1139</v>
      </c>
      <c r="D3546" s="115" t="s">
        <v>1140</v>
      </c>
      <c r="E3546" s="115" t="s">
        <v>1141</v>
      </c>
    </row>
    <row r="3547" spans="2:5" x14ac:dyDescent="0.25">
      <c r="B3547" s="115" t="s">
        <v>1139</v>
      </c>
      <c r="D3547" s="115" t="s">
        <v>1140</v>
      </c>
      <c r="E3547" s="115" t="s">
        <v>1141</v>
      </c>
    </row>
    <row r="3548" spans="2:5" x14ac:dyDescent="0.25">
      <c r="B3548" s="115" t="s">
        <v>1139</v>
      </c>
      <c r="D3548" s="115" t="s">
        <v>1140</v>
      </c>
      <c r="E3548" s="115" t="s">
        <v>1141</v>
      </c>
    </row>
    <row r="3549" spans="2:5" x14ac:dyDescent="0.25">
      <c r="B3549" s="115" t="s">
        <v>1139</v>
      </c>
      <c r="D3549" s="115" t="s">
        <v>1140</v>
      </c>
      <c r="E3549" s="115" t="s">
        <v>1141</v>
      </c>
    </row>
    <row r="3550" spans="2:5" x14ac:dyDescent="0.25">
      <c r="B3550" s="115" t="s">
        <v>1139</v>
      </c>
      <c r="D3550" s="115" t="s">
        <v>1140</v>
      </c>
      <c r="E3550" s="115" t="s">
        <v>1141</v>
      </c>
    </row>
    <row r="3551" spans="2:5" x14ac:dyDescent="0.25">
      <c r="B3551" s="115" t="s">
        <v>1139</v>
      </c>
      <c r="D3551" s="115" t="s">
        <v>1140</v>
      </c>
      <c r="E3551" s="115" t="s">
        <v>1141</v>
      </c>
    </row>
    <row r="3552" spans="2:5" x14ac:dyDescent="0.25">
      <c r="B3552" s="115" t="s">
        <v>1139</v>
      </c>
      <c r="D3552" s="115" t="s">
        <v>1140</v>
      </c>
      <c r="E3552" s="115" t="s">
        <v>1141</v>
      </c>
    </row>
    <row r="3553" spans="2:5" x14ac:dyDescent="0.25">
      <c r="B3553" s="115" t="s">
        <v>1139</v>
      </c>
      <c r="D3553" s="115" t="s">
        <v>1140</v>
      </c>
      <c r="E3553" s="115" t="s">
        <v>1141</v>
      </c>
    </row>
    <row r="3554" spans="2:5" x14ac:dyDescent="0.25">
      <c r="B3554" s="115" t="s">
        <v>1139</v>
      </c>
      <c r="D3554" s="115" t="s">
        <v>1140</v>
      </c>
      <c r="E3554" s="115" t="s">
        <v>1141</v>
      </c>
    </row>
    <row r="3555" spans="2:5" x14ac:dyDescent="0.25">
      <c r="B3555" s="115" t="s">
        <v>1139</v>
      </c>
      <c r="D3555" s="115" t="s">
        <v>1140</v>
      </c>
      <c r="E3555" s="115" t="s">
        <v>1141</v>
      </c>
    </row>
    <row r="3556" spans="2:5" x14ac:dyDescent="0.25">
      <c r="B3556" s="115" t="s">
        <v>1139</v>
      </c>
      <c r="D3556" s="115" t="s">
        <v>1140</v>
      </c>
      <c r="E3556" s="115" t="s">
        <v>1141</v>
      </c>
    </row>
    <row r="3557" spans="2:5" x14ac:dyDescent="0.25">
      <c r="B3557" s="115" t="s">
        <v>1139</v>
      </c>
      <c r="D3557" s="115" t="s">
        <v>1140</v>
      </c>
      <c r="E3557" s="115" t="s">
        <v>1141</v>
      </c>
    </row>
    <row r="3558" spans="2:5" x14ac:dyDescent="0.25">
      <c r="B3558" s="115" t="s">
        <v>1139</v>
      </c>
      <c r="D3558" s="115" t="s">
        <v>1140</v>
      </c>
      <c r="E3558" s="115" t="s">
        <v>1141</v>
      </c>
    </row>
    <row r="3559" spans="2:5" x14ac:dyDescent="0.25">
      <c r="B3559" s="115" t="s">
        <v>1139</v>
      </c>
      <c r="D3559" s="115" t="s">
        <v>1140</v>
      </c>
      <c r="E3559" s="115" t="s">
        <v>1141</v>
      </c>
    </row>
    <row r="3560" spans="2:5" x14ac:dyDescent="0.25">
      <c r="B3560" s="115" t="s">
        <v>1139</v>
      </c>
      <c r="D3560" s="115" t="s">
        <v>1140</v>
      </c>
      <c r="E3560" s="115" t="s">
        <v>1141</v>
      </c>
    </row>
    <row r="3561" spans="2:5" x14ac:dyDescent="0.25">
      <c r="B3561" s="115" t="s">
        <v>1139</v>
      </c>
      <c r="D3561" s="115" t="s">
        <v>1140</v>
      </c>
      <c r="E3561" s="115" t="s">
        <v>1141</v>
      </c>
    </row>
    <row r="3562" spans="2:5" x14ac:dyDescent="0.25">
      <c r="B3562" s="115" t="s">
        <v>1139</v>
      </c>
      <c r="D3562" s="115" t="s">
        <v>1140</v>
      </c>
      <c r="E3562" s="115" t="s">
        <v>1141</v>
      </c>
    </row>
    <row r="3563" spans="2:5" x14ac:dyDescent="0.25">
      <c r="B3563" s="115" t="s">
        <v>1139</v>
      </c>
      <c r="D3563" s="115" t="s">
        <v>1140</v>
      </c>
      <c r="E3563" s="115" t="s">
        <v>1141</v>
      </c>
    </row>
    <row r="3564" spans="2:5" x14ac:dyDescent="0.25">
      <c r="B3564" s="115" t="s">
        <v>1139</v>
      </c>
      <c r="D3564" s="115" t="s">
        <v>1140</v>
      </c>
      <c r="E3564" s="115" t="s">
        <v>1141</v>
      </c>
    </row>
    <row r="3565" spans="2:5" x14ac:dyDescent="0.25">
      <c r="B3565" s="115" t="s">
        <v>1139</v>
      </c>
      <c r="D3565" s="115" t="s">
        <v>1140</v>
      </c>
      <c r="E3565" s="115" t="s">
        <v>1141</v>
      </c>
    </row>
    <row r="3566" spans="2:5" x14ac:dyDescent="0.25">
      <c r="B3566" s="115" t="s">
        <v>1139</v>
      </c>
      <c r="D3566" s="115" t="s">
        <v>1140</v>
      </c>
      <c r="E3566" s="115" t="s">
        <v>1141</v>
      </c>
    </row>
    <row r="3567" spans="2:5" x14ac:dyDescent="0.25">
      <c r="B3567" s="115" t="s">
        <v>1139</v>
      </c>
      <c r="D3567" s="115" t="s">
        <v>1140</v>
      </c>
      <c r="E3567" s="115" t="s">
        <v>1141</v>
      </c>
    </row>
    <row r="3568" spans="2:5" x14ac:dyDescent="0.25">
      <c r="B3568" s="115" t="s">
        <v>1139</v>
      </c>
      <c r="D3568" s="115" t="s">
        <v>1140</v>
      </c>
      <c r="E3568" s="115" t="s">
        <v>1141</v>
      </c>
    </row>
    <row r="3569" spans="2:5" x14ac:dyDescent="0.25">
      <c r="B3569" s="115" t="s">
        <v>1139</v>
      </c>
      <c r="D3569" s="115" t="s">
        <v>1140</v>
      </c>
      <c r="E3569" s="115" t="s">
        <v>1141</v>
      </c>
    </row>
    <row r="3570" spans="2:5" x14ac:dyDescent="0.25">
      <c r="B3570" s="115" t="s">
        <v>1139</v>
      </c>
      <c r="D3570" s="115" t="s">
        <v>1140</v>
      </c>
      <c r="E3570" s="115" t="s">
        <v>1141</v>
      </c>
    </row>
    <row r="3571" spans="2:5" x14ac:dyDescent="0.25">
      <c r="B3571" s="115" t="s">
        <v>1139</v>
      </c>
      <c r="D3571" s="115" t="s">
        <v>1140</v>
      </c>
      <c r="E3571" s="115" t="s">
        <v>1141</v>
      </c>
    </row>
    <row r="3572" spans="2:5" x14ac:dyDescent="0.25">
      <c r="B3572" s="115" t="s">
        <v>1139</v>
      </c>
      <c r="D3572" s="115" t="s">
        <v>1140</v>
      </c>
      <c r="E3572" s="115" t="s">
        <v>1141</v>
      </c>
    </row>
    <row r="3573" spans="2:5" x14ac:dyDescent="0.25">
      <c r="B3573" s="115" t="s">
        <v>1139</v>
      </c>
      <c r="D3573" s="115" t="s">
        <v>1140</v>
      </c>
      <c r="E3573" s="115" t="s">
        <v>1141</v>
      </c>
    </row>
    <row r="3574" spans="2:5" x14ac:dyDescent="0.25">
      <c r="B3574" s="115" t="s">
        <v>1139</v>
      </c>
      <c r="D3574" s="115" t="s">
        <v>1140</v>
      </c>
      <c r="E3574" s="115" t="s">
        <v>1141</v>
      </c>
    </row>
    <row r="3575" spans="2:5" x14ac:dyDescent="0.25">
      <c r="B3575" s="115" t="s">
        <v>1139</v>
      </c>
      <c r="D3575" s="115" t="s">
        <v>1140</v>
      </c>
      <c r="E3575" s="115" t="s">
        <v>1141</v>
      </c>
    </row>
    <row r="3576" spans="2:5" x14ac:dyDescent="0.25">
      <c r="B3576" s="115" t="s">
        <v>1139</v>
      </c>
      <c r="D3576" s="115" t="s">
        <v>1140</v>
      </c>
      <c r="E3576" s="115" t="s">
        <v>1141</v>
      </c>
    </row>
    <row r="3577" spans="2:5" x14ac:dyDescent="0.25">
      <c r="B3577" s="115" t="s">
        <v>1139</v>
      </c>
      <c r="D3577" s="115" t="s">
        <v>1140</v>
      </c>
      <c r="E3577" s="115" t="s">
        <v>1141</v>
      </c>
    </row>
    <row r="3578" spans="2:5" x14ac:dyDescent="0.25">
      <c r="B3578" s="115" t="s">
        <v>1139</v>
      </c>
      <c r="D3578" s="115" t="s">
        <v>1140</v>
      </c>
      <c r="E3578" s="115" t="s">
        <v>1141</v>
      </c>
    </row>
    <row r="3579" spans="2:5" x14ac:dyDescent="0.25">
      <c r="B3579" s="115" t="s">
        <v>1139</v>
      </c>
      <c r="D3579" s="115" t="s">
        <v>1140</v>
      </c>
      <c r="E3579" s="115" t="s">
        <v>1141</v>
      </c>
    </row>
    <row r="3580" spans="2:5" x14ac:dyDescent="0.25">
      <c r="B3580" s="115" t="s">
        <v>1139</v>
      </c>
      <c r="D3580" s="115" t="s">
        <v>1140</v>
      </c>
      <c r="E3580" s="115" t="s">
        <v>1141</v>
      </c>
    </row>
    <row r="3581" spans="2:5" x14ac:dyDescent="0.25">
      <c r="B3581" s="115" t="s">
        <v>1139</v>
      </c>
      <c r="D3581" s="115" t="s">
        <v>1140</v>
      </c>
      <c r="E3581" s="115" t="s">
        <v>1141</v>
      </c>
    </row>
    <row r="3582" spans="2:5" x14ac:dyDescent="0.25">
      <c r="B3582" s="115" t="s">
        <v>1139</v>
      </c>
      <c r="D3582" s="115" t="s">
        <v>1140</v>
      </c>
      <c r="E3582" s="115" t="s">
        <v>1141</v>
      </c>
    </row>
    <row r="3583" spans="2:5" x14ac:dyDescent="0.25">
      <c r="B3583" s="115" t="s">
        <v>1139</v>
      </c>
      <c r="D3583" s="115" t="s">
        <v>1140</v>
      </c>
      <c r="E3583" s="115" t="s">
        <v>1141</v>
      </c>
    </row>
    <row r="3584" spans="2:5" x14ac:dyDescent="0.25">
      <c r="B3584" s="115" t="s">
        <v>1139</v>
      </c>
      <c r="D3584" s="115" t="s">
        <v>1140</v>
      </c>
      <c r="E3584" s="115" t="s">
        <v>1141</v>
      </c>
    </row>
    <row r="3585" spans="2:5" x14ac:dyDescent="0.25">
      <c r="B3585" s="115" t="s">
        <v>1139</v>
      </c>
      <c r="D3585" s="115" t="s">
        <v>1140</v>
      </c>
      <c r="E3585" s="115" t="s">
        <v>1141</v>
      </c>
    </row>
    <row r="3586" spans="2:5" x14ac:dyDescent="0.25">
      <c r="B3586" s="115" t="s">
        <v>1139</v>
      </c>
      <c r="D3586" s="115" t="s">
        <v>1140</v>
      </c>
      <c r="E3586" s="115" t="s">
        <v>1141</v>
      </c>
    </row>
    <row r="3587" spans="2:5" x14ac:dyDescent="0.25">
      <c r="B3587" s="115" t="s">
        <v>1139</v>
      </c>
      <c r="D3587" s="115" t="s">
        <v>1140</v>
      </c>
      <c r="E3587" s="115" t="s">
        <v>1141</v>
      </c>
    </row>
    <row r="3588" spans="2:5" x14ac:dyDescent="0.25">
      <c r="B3588" s="115" t="s">
        <v>1139</v>
      </c>
      <c r="D3588" s="115" t="s">
        <v>1140</v>
      </c>
      <c r="E3588" s="115" t="s">
        <v>1141</v>
      </c>
    </row>
    <row r="3589" spans="2:5" x14ac:dyDescent="0.25">
      <c r="B3589" s="115" t="s">
        <v>1139</v>
      </c>
      <c r="D3589" s="115" t="s">
        <v>1140</v>
      </c>
      <c r="E3589" s="115" t="s">
        <v>1141</v>
      </c>
    </row>
    <row r="3590" spans="2:5" x14ac:dyDescent="0.25">
      <c r="B3590" s="115" t="s">
        <v>1139</v>
      </c>
      <c r="D3590" s="115" t="s">
        <v>1140</v>
      </c>
      <c r="E3590" s="115" t="s">
        <v>1141</v>
      </c>
    </row>
    <row r="3591" spans="2:5" x14ac:dyDescent="0.25">
      <c r="B3591" s="115" t="s">
        <v>1139</v>
      </c>
      <c r="D3591" s="115" t="s">
        <v>1140</v>
      </c>
      <c r="E3591" s="115" t="s">
        <v>1141</v>
      </c>
    </row>
    <row r="3592" spans="2:5" x14ac:dyDescent="0.25">
      <c r="B3592" s="115" t="s">
        <v>1139</v>
      </c>
      <c r="D3592" s="115" t="s">
        <v>1140</v>
      </c>
      <c r="E3592" s="115" t="s">
        <v>1141</v>
      </c>
    </row>
    <row r="3593" spans="2:5" x14ac:dyDescent="0.25">
      <c r="B3593" s="115" t="s">
        <v>1139</v>
      </c>
      <c r="D3593" s="115" t="s">
        <v>1140</v>
      </c>
      <c r="E3593" s="115" t="s">
        <v>1141</v>
      </c>
    </row>
    <row r="3594" spans="2:5" x14ac:dyDescent="0.25">
      <c r="B3594" s="115" t="s">
        <v>1139</v>
      </c>
      <c r="D3594" s="115" t="s">
        <v>1140</v>
      </c>
      <c r="E3594" s="115" t="s">
        <v>1141</v>
      </c>
    </row>
    <row r="3595" spans="2:5" x14ac:dyDescent="0.25">
      <c r="B3595" s="115" t="s">
        <v>1139</v>
      </c>
      <c r="D3595" s="115" t="s">
        <v>1140</v>
      </c>
      <c r="E3595" s="115" t="s">
        <v>1141</v>
      </c>
    </row>
    <row r="3596" spans="2:5" x14ac:dyDescent="0.25">
      <c r="B3596" s="115" t="s">
        <v>1139</v>
      </c>
      <c r="D3596" s="115" t="s">
        <v>1140</v>
      </c>
      <c r="E3596" s="115" t="s">
        <v>1141</v>
      </c>
    </row>
    <row r="3597" spans="2:5" x14ac:dyDescent="0.25">
      <c r="B3597" s="115" t="s">
        <v>1139</v>
      </c>
      <c r="D3597" s="115" t="s">
        <v>1140</v>
      </c>
      <c r="E3597" s="115" t="s">
        <v>1141</v>
      </c>
    </row>
    <row r="3598" spans="2:5" x14ac:dyDescent="0.25">
      <c r="B3598" s="115" t="s">
        <v>1139</v>
      </c>
      <c r="D3598" s="115" t="s">
        <v>1140</v>
      </c>
      <c r="E3598" s="115" t="s">
        <v>1141</v>
      </c>
    </row>
    <row r="3599" spans="2:5" x14ac:dyDescent="0.25">
      <c r="B3599" s="115" t="s">
        <v>1139</v>
      </c>
      <c r="D3599" s="115" t="s">
        <v>1140</v>
      </c>
      <c r="E3599" s="115" t="s">
        <v>1141</v>
      </c>
    </row>
    <row r="3600" spans="2:5" x14ac:dyDescent="0.25">
      <c r="B3600" s="115" t="s">
        <v>1139</v>
      </c>
      <c r="D3600" s="115" t="s">
        <v>1140</v>
      </c>
      <c r="E3600" s="115" t="s">
        <v>1141</v>
      </c>
    </row>
    <row r="3601" spans="1:5" x14ac:dyDescent="0.25">
      <c r="B3601" s="115" t="s">
        <v>1139</v>
      </c>
      <c r="D3601" s="115" t="s">
        <v>1140</v>
      </c>
      <c r="E3601" s="115" t="s">
        <v>1141</v>
      </c>
    </row>
    <row r="3602" spans="1:5" x14ac:dyDescent="0.25">
      <c r="B3602" s="115" t="s">
        <v>1139</v>
      </c>
      <c r="D3602" s="115" t="s">
        <v>4898</v>
      </c>
      <c r="E3602" s="115" t="s">
        <v>4899</v>
      </c>
    </row>
    <row r="3603" spans="1:5" x14ac:dyDescent="0.25">
      <c r="B3603" s="115" t="s">
        <v>4900</v>
      </c>
      <c r="D3603" s="115" t="s">
        <v>4901</v>
      </c>
      <c r="E3603" s="115" t="s">
        <v>4902</v>
      </c>
    </row>
    <row r="3604" spans="1:5" x14ac:dyDescent="0.25">
      <c r="B3604" s="115" t="s">
        <v>1139</v>
      </c>
      <c r="D3604" s="115" t="s">
        <v>1140</v>
      </c>
      <c r="E3604" s="115" t="s">
        <v>4903</v>
      </c>
    </row>
    <row r="3605" spans="1:5" x14ac:dyDescent="0.2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25">
      <c r="B3606" s="115" t="s">
        <v>1387</v>
      </c>
      <c r="D3606" s="115" t="s">
        <v>4907</v>
      </c>
      <c r="E3606" s="115" t="s">
        <v>1141</v>
      </c>
    </row>
    <row r="3607" spans="1:5" x14ac:dyDescent="0.25">
      <c r="B3607" s="115" t="s">
        <v>4908</v>
      </c>
      <c r="D3607" s="115" t="s">
        <v>1140</v>
      </c>
      <c r="E3607" s="115" t="s">
        <v>4909</v>
      </c>
    </row>
    <row r="3608" spans="1:5" x14ac:dyDescent="0.25">
      <c r="B3608" s="115" t="s">
        <v>4910</v>
      </c>
      <c r="D3608" s="115" t="s">
        <v>1140</v>
      </c>
      <c r="E3608" s="115" t="s">
        <v>4911</v>
      </c>
    </row>
    <row r="3609" spans="1:5" x14ac:dyDescent="0.25">
      <c r="B3609" s="115" t="s">
        <v>1507</v>
      </c>
      <c r="D3609" s="115" t="s">
        <v>4912</v>
      </c>
      <c r="E3609" s="115" t="s">
        <v>4913</v>
      </c>
    </row>
    <row r="3610" spans="1:5" x14ac:dyDescent="0.25">
      <c r="B3610" s="115" t="s">
        <v>1478</v>
      </c>
      <c r="D3610" s="115" t="s">
        <v>4914</v>
      </c>
      <c r="E3610" s="115" t="s">
        <v>4915</v>
      </c>
    </row>
    <row r="3611" spans="1:5" x14ac:dyDescent="0.2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2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25">
      <c r="B3613" s="115" t="s">
        <v>1242</v>
      </c>
      <c r="D3613" s="115" t="s">
        <v>4922</v>
      </c>
      <c r="E3613" s="115" t="s">
        <v>4923</v>
      </c>
    </row>
    <row r="3614" spans="1:5" x14ac:dyDescent="0.2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2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25">
      <c r="B3616" s="115" t="s">
        <v>4929</v>
      </c>
      <c r="D3616" s="115" t="s">
        <v>4930</v>
      </c>
      <c r="E3616" s="115" t="s">
        <v>4931</v>
      </c>
    </row>
    <row r="3617" spans="1:5" x14ac:dyDescent="0.2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2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25">
      <c r="B3619" s="115" t="s">
        <v>1139</v>
      </c>
      <c r="D3619" s="115" t="s">
        <v>3508</v>
      </c>
      <c r="E3619" s="115" t="s">
        <v>4937</v>
      </c>
    </row>
    <row r="3620" spans="1:5" x14ac:dyDescent="0.25">
      <c r="B3620" s="115" t="s">
        <v>1139</v>
      </c>
      <c r="D3620" s="115" t="s">
        <v>4938</v>
      </c>
      <c r="E3620" s="115" t="s">
        <v>4939</v>
      </c>
    </row>
    <row r="3621" spans="1:5" x14ac:dyDescent="0.2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25">
      <c r="B3622" s="115" t="s">
        <v>1145</v>
      </c>
      <c r="D3622" s="115" t="s">
        <v>4943</v>
      </c>
      <c r="E3622" s="115" t="s">
        <v>4944</v>
      </c>
    </row>
    <row r="3623" spans="1:5" x14ac:dyDescent="0.25">
      <c r="B3623" s="115" t="s">
        <v>4945</v>
      </c>
      <c r="D3623" s="115" t="s">
        <v>4946</v>
      </c>
      <c r="E3623" s="115" t="s">
        <v>1141</v>
      </c>
    </row>
    <row r="3624" spans="1:5" x14ac:dyDescent="0.25">
      <c r="B3624" s="115" t="s">
        <v>4947</v>
      </c>
      <c r="D3624" s="115" t="s">
        <v>4948</v>
      </c>
      <c r="E3624" s="115" t="s">
        <v>4949</v>
      </c>
    </row>
    <row r="3625" spans="1:5" x14ac:dyDescent="0.25">
      <c r="B3625" s="115" t="s">
        <v>4950</v>
      </c>
      <c r="D3625" s="115" t="s">
        <v>4951</v>
      </c>
      <c r="E3625" s="115" t="s">
        <v>4952</v>
      </c>
    </row>
    <row r="3626" spans="1:5" x14ac:dyDescent="0.25">
      <c r="B3626" s="115" t="s">
        <v>1139</v>
      </c>
      <c r="D3626" s="115" t="s">
        <v>1140</v>
      </c>
      <c r="E3626" s="115" t="s">
        <v>1141</v>
      </c>
    </row>
    <row r="3627" spans="1:5" x14ac:dyDescent="0.25">
      <c r="B3627" s="115" t="s">
        <v>1139</v>
      </c>
      <c r="D3627" s="115" t="s">
        <v>3275</v>
      </c>
      <c r="E3627" s="115" t="s">
        <v>1141</v>
      </c>
    </row>
    <row r="3628" spans="1:5" x14ac:dyDescent="0.2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25">
      <c r="B3629" s="115" t="s">
        <v>1139</v>
      </c>
      <c r="D3629" s="115" t="s">
        <v>4956</v>
      </c>
      <c r="E3629" s="115" t="s">
        <v>1141</v>
      </c>
    </row>
    <row r="3630" spans="1:5" x14ac:dyDescent="0.25">
      <c r="B3630" s="115" t="s">
        <v>1139</v>
      </c>
      <c r="D3630" s="115" t="s">
        <v>4957</v>
      </c>
      <c r="E3630" s="115" t="s">
        <v>4958</v>
      </c>
    </row>
    <row r="3631" spans="1:5" x14ac:dyDescent="0.2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25">
      <c r="B3632" s="115" t="s">
        <v>1139</v>
      </c>
      <c r="D3632" s="115" t="s">
        <v>3378</v>
      </c>
      <c r="E3632" s="115" t="s">
        <v>1702</v>
      </c>
    </row>
    <row r="3633" spans="1:5" x14ac:dyDescent="0.25">
      <c r="B3633" s="115" t="s">
        <v>1139</v>
      </c>
      <c r="D3633" s="115" t="s">
        <v>4962</v>
      </c>
      <c r="E3633" s="115" t="s">
        <v>4963</v>
      </c>
    </row>
    <row r="3634" spans="1:5" x14ac:dyDescent="0.25">
      <c r="B3634" s="115" t="s">
        <v>1210</v>
      </c>
      <c r="D3634" s="115" t="s">
        <v>4964</v>
      </c>
      <c r="E3634" s="115" t="s">
        <v>4965</v>
      </c>
    </row>
    <row r="3635" spans="1:5" x14ac:dyDescent="0.25">
      <c r="B3635" s="115" t="s">
        <v>4966</v>
      </c>
      <c r="D3635" s="115" t="s">
        <v>4967</v>
      </c>
      <c r="E3635" s="115" t="s">
        <v>1141</v>
      </c>
    </row>
    <row r="3636" spans="1:5" x14ac:dyDescent="0.25">
      <c r="B3636" s="115" t="s">
        <v>4968</v>
      </c>
      <c r="D3636" s="115" t="s">
        <v>4969</v>
      </c>
      <c r="E3636" s="115" t="s">
        <v>4970</v>
      </c>
    </row>
    <row r="3637" spans="1:5" x14ac:dyDescent="0.2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25">
      <c r="B3638" s="115" t="s">
        <v>1521</v>
      </c>
      <c r="D3638" s="115" t="s">
        <v>4974</v>
      </c>
      <c r="E3638" s="115" t="s">
        <v>1702</v>
      </c>
    </row>
    <row r="3639" spans="1:5" x14ac:dyDescent="0.25">
      <c r="B3639" s="115" t="s">
        <v>4975</v>
      </c>
      <c r="D3639" s="115" t="s">
        <v>4976</v>
      </c>
      <c r="E3639" s="115" t="s">
        <v>4977</v>
      </c>
    </row>
    <row r="3640" spans="1:5" x14ac:dyDescent="0.25">
      <c r="B3640" s="115" t="s">
        <v>4978</v>
      </c>
      <c r="D3640" s="115" t="s">
        <v>4979</v>
      </c>
      <c r="E3640" s="115" t="s">
        <v>4980</v>
      </c>
    </row>
    <row r="3641" spans="1:5" x14ac:dyDescent="0.25">
      <c r="B3641" s="115" t="s">
        <v>1553</v>
      </c>
      <c r="D3641" s="115" t="s">
        <v>4981</v>
      </c>
      <c r="E3641" s="115" t="s">
        <v>2260</v>
      </c>
    </row>
    <row r="3642" spans="1:5" x14ac:dyDescent="0.25">
      <c r="B3642" s="115" t="s">
        <v>4982</v>
      </c>
      <c r="D3642" s="115" t="s">
        <v>4983</v>
      </c>
      <c r="E3642" s="115" t="s">
        <v>4984</v>
      </c>
    </row>
    <row r="3643" spans="1:5" x14ac:dyDescent="0.2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25">
      <c r="B3644" s="115" t="s">
        <v>1575</v>
      </c>
      <c r="D3644" s="115" t="s">
        <v>4988</v>
      </c>
      <c r="E3644" s="115" t="s">
        <v>1141</v>
      </c>
    </row>
    <row r="3645" spans="1:5" x14ac:dyDescent="0.25">
      <c r="B3645" s="115" t="s">
        <v>4989</v>
      </c>
      <c r="D3645" s="115" t="s">
        <v>4990</v>
      </c>
      <c r="E3645" s="115" t="s">
        <v>1141</v>
      </c>
    </row>
    <row r="3646" spans="1:5" x14ac:dyDescent="0.2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25">
      <c r="B3647" s="115" t="s">
        <v>1478</v>
      </c>
      <c r="D3647" s="115" t="s">
        <v>4994</v>
      </c>
      <c r="E3647" s="115" t="s">
        <v>2690</v>
      </c>
    </row>
    <row r="3648" spans="1:5" x14ac:dyDescent="0.25">
      <c r="B3648" s="115" t="s">
        <v>4995</v>
      </c>
      <c r="D3648" s="115" t="s">
        <v>4996</v>
      </c>
      <c r="E3648" s="115" t="s">
        <v>4997</v>
      </c>
    </row>
    <row r="3649" spans="2:5" x14ac:dyDescent="0.25">
      <c r="B3649" s="115" t="s">
        <v>1139</v>
      </c>
      <c r="D3649" s="115" t="s">
        <v>1140</v>
      </c>
      <c r="E3649" s="115" t="s">
        <v>4998</v>
      </c>
    </row>
    <row r="3650" spans="2:5" x14ac:dyDescent="0.25">
      <c r="B3650" s="115" t="s">
        <v>4999</v>
      </c>
      <c r="D3650" s="115" t="s">
        <v>5000</v>
      </c>
      <c r="E3650" s="115" t="s">
        <v>5001</v>
      </c>
    </row>
    <row r="3651" spans="2:5" x14ac:dyDescent="0.25">
      <c r="B3651" s="115" t="s">
        <v>1139</v>
      </c>
      <c r="D3651" s="115" t="s">
        <v>5002</v>
      </c>
      <c r="E3651" s="115" t="s">
        <v>1141</v>
      </c>
    </row>
    <row r="3652" spans="2:5" x14ac:dyDescent="0.25">
      <c r="B3652" s="115" t="s">
        <v>1139</v>
      </c>
      <c r="D3652" s="115" t="s">
        <v>1140</v>
      </c>
      <c r="E3652" s="115" t="s">
        <v>1141</v>
      </c>
    </row>
    <row r="3653" spans="2:5" x14ac:dyDescent="0.25">
      <c r="B3653" s="115" t="s">
        <v>5003</v>
      </c>
      <c r="D3653" s="115" t="s">
        <v>5004</v>
      </c>
      <c r="E3653" s="115" t="s">
        <v>2260</v>
      </c>
    </row>
    <row r="3654" spans="2:5" x14ac:dyDescent="0.25">
      <c r="B3654" s="115" t="s">
        <v>1139</v>
      </c>
      <c r="D3654" s="115" t="s">
        <v>1140</v>
      </c>
      <c r="E3654" s="115" t="s">
        <v>1141</v>
      </c>
    </row>
    <row r="3655" spans="2:5" x14ac:dyDescent="0.25">
      <c r="B3655" s="115" t="s">
        <v>1139</v>
      </c>
      <c r="D3655" s="115" t="s">
        <v>1140</v>
      </c>
      <c r="E3655" s="115" t="s">
        <v>1141</v>
      </c>
    </row>
    <row r="3656" spans="2:5" x14ac:dyDescent="0.25">
      <c r="B3656" s="115" t="s">
        <v>1139</v>
      </c>
      <c r="D3656" s="115" t="s">
        <v>1140</v>
      </c>
      <c r="E3656" s="115" t="s">
        <v>1141</v>
      </c>
    </row>
    <row r="3657" spans="2:5" x14ac:dyDescent="0.25">
      <c r="B3657" s="115" t="s">
        <v>1139</v>
      </c>
      <c r="D3657" s="115" t="s">
        <v>1140</v>
      </c>
      <c r="E3657" s="115" t="s">
        <v>1141</v>
      </c>
    </row>
    <row r="3658" spans="2:5" x14ac:dyDescent="0.25">
      <c r="B3658" s="115" t="s">
        <v>1139</v>
      </c>
      <c r="D3658" s="115" t="s">
        <v>1140</v>
      </c>
      <c r="E3658" s="115" t="s">
        <v>1141</v>
      </c>
    </row>
    <row r="3659" spans="2:5" x14ac:dyDescent="0.25">
      <c r="B3659" s="115" t="s">
        <v>1139</v>
      </c>
      <c r="D3659" s="115" t="s">
        <v>1140</v>
      </c>
      <c r="E3659" s="115" t="s">
        <v>1141</v>
      </c>
    </row>
    <row r="3660" spans="2:5" x14ac:dyDescent="0.25">
      <c r="B3660" s="115" t="s">
        <v>1139</v>
      </c>
      <c r="D3660" s="115" t="s">
        <v>1140</v>
      </c>
      <c r="E3660" s="115" t="s">
        <v>1141</v>
      </c>
    </row>
    <row r="3661" spans="2:5" x14ac:dyDescent="0.25">
      <c r="B3661" s="115" t="s">
        <v>1139</v>
      </c>
      <c r="D3661" s="115" t="s">
        <v>1140</v>
      </c>
      <c r="E3661" s="115" t="s">
        <v>1141</v>
      </c>
    </row>
    <row r="3662" spans="2:5" x14ac:dyDescent="0.25">
      <c r="B3662" s="115" t="s">
        <v>1139</v>
      </c>
      <c r="D3662" s="115" t="s">
        <v>1140</v>
      </c>
      <c r="E3662" s="115" t="s">
        <v>1141</v>
      </c>
    </row>
    <row r="3663" spans="2:5" x14ac:dyDescent="0.25">
      <c r="B3663" s="115" t="s">
        <v>1139</v>
      </c>
      <c r="D3663" s="115" t="s">
        <v>1140</v>
      </c>
      <c r="E3663" s="115" t="s">
        <v>1141</v>
      </c>
    </row>
    <row r="3664" spans="2:5" x14ac:dyDescent="0.25">
      <c r="B3664" s="115" t="s">
        <v>1139</v>
      </c>
      <c r="D3664" s="115" t="s">
        <v>1140</v>
      </c>
      <c r="E3664" s="115" t="s">
        <v>1141</v>
      </c>
    </row>
    <row r="3665" spans="2:5" x14ac:dyDescent="0.25">
      <c r="B3665" s="115" t="s">
        <v>1139</v>
      </c>
      <c r="D3665" s="115" t="s">
        <v>1140</v>
      </c>
      <c r="E3665" s="115" t="s">
        <v>1141</v>
      </c>
    </row>
    <row r="3666" spans="2:5" x14ac:dyDescent="0.25">
      <c r="B3666" s="115" t="s">
        <v>1139</v>
      </c>
      <c r="D3666" s="115" t="s">
        <v>1140</v>
      </c>
      <c r="E3666" s="115" t="s">
        <v>1141</v>
      </c>
    </row>
    <row r="3667" spans="2:5" x14ac:dyDescent="0.25">
      <c r="B3667" s="115" t="s">
        <v>1139</v>
      </c>
      <c r="D3667" s="115" t="s">
        <v>1140</v>
      </c>
      <c r="E3667" s="115" t="s">
        <v>1141</v>
      </c>
    </row>
    <row r="3668" spans="2:5" x14ac:dyDescent="0.25">
      <c r="B3668" s="115" t="s">
        <v>1139</v>
      </c>
      <c r="D3668" s="115" t="s">
        <v>1140</v>
      </c>
      <c r="E3668" s="115" t="s">
        <v>1141</v>
      </c>
    </row>
    <row r="3669" spans="2:5" x14ac:dyDescent="0.25">
      <c r="B3669" s="115" t="s">
        <v>1139</v>
      </c>
      <c r="D3669" s="115" t="s">
        <v>1140</v>
      </c>
      <c r="E3669" s="115" t="s">
        <v>1141</v>
      </c>
    </row>
    <row r="3670" spans="2:5" x14ac:dyDescent="0.25">
      <c r="B3670" s="115" t="s">
        <v>1139</v>
      </c>
      <c r="D3670" s="115" t="s">
        <v>1140</v>
      </c>
      <c r="E3670" s="115" t="s">
        <v>1141</v>
      </c>
    </row>
    <row r="3671" spans="2:5" x14ac:dyDescent="0.25">
      <c r="B3671" s="115" t="s">
        <v>1139</v>
      </c>
      <c r="D3671" s="115" t="s">
        <v>1140</v>
      </c>
      <c r="E3671" s="115" t="s">
        <v>1141</v>
      </c>
    </row>
    <row r="3672" spans="2:5" x14ac:dyDescent="0.25">
      <c r="B3672" s="115" t="s">
        <v>1139</v>
      </c>
      <c r="D3672" s="115" t="s">
        <v>1140</v>
      </c>
      <c r="E3672" s="115" t="s">
        <v>1141</v>
      </c>
    </row>
    <row r="3673" spans="2:5" x14ac:dyDescent="0.25">
      <c r="B3673" s="115" t="s">
        <v>1139</v>
      </c>
      <c r="D3673" s="115" t="s">
        <v>1140</v>
      </c>
      <c r="E3673" s="115" t="s">
        <v>1141</v>
      </c>
    </row>
    <row r="3674" spans="2:5" x14ac:dyDescent="0.25">
      <c r="B3674" s="115" t="s">
        <v>1139</v>
      </c>
      <c r="D3674" s="115" t="s">
        <v>1140</v>
      </c>
      <c r="E3674" s="115" t="s">
        <v>1141</v>
      </c>
    </row>
    <row r="3675" spans="2:5" x14ac:dyDescent="0.25">
      <c r="B3675" s="115" t="s">
        <v>1139</v>
      </c>
      <c r="D3675" s="115" t="s">
        <v>1140</v>
      </c>
      <c r="E3675" s="115" t="s">
        <v>1141</v>
      </c>
    </row>
    <row r="3676" spans="2:5" x14ac:dyDescent="0.25">
      <c r="B3676" s="115" t="s">
        <v>1139</v>
      </c>
      <c r="D3676" s="115" t="s">
        <v>1140</v>
      </c>
      <c r="E3676" s="115" t="s">
        <v>1141</v>
      </c>
    </row>
    <row r="3677" spans="2:5" x14ac:dyDescent="0.25">
      <c r="B3677" s="115" t="s">
        <v>1139</v>
      </c>
      <c r="D3677" s="115" t="s">
        <v>1140</v>
      </c>
      <c r="E3677" s="115" t="s">
        <v>1141</v>
      </c>
    </row>
    <row r="3678" spans="2:5" x14ac:dyDescent="0.25">
      <c r="B3678" s="115" t="s">
        <v>1139</v>
      </c>
      <c r="D3678" s="115" t="s">
        <v>1140</v>
      </c>
      <c r="E3678" s="115" t="s">
        <v>1141</v>
      </c>
    </row>
    <row r="3679" spans="2:5" x14ac:dyDescent="0.25">
      <c r="B3679" s="115" t="s">
        <v>1139</v>
      </c>
      <c r="D3679" s="115" t="s">
        <v>5005</v>
      </c>
      <c r="E3679" s="115" t="s">
        <v>5006</v>
      </c>
    </row>
    <row r="3680" spans="2:5" x14ac:dyDescent="0.25">
      <c r="B3680" s="115" t="s">
        <v>5007</v>
      </c>
      <c r="D3680" s="115" t="s">
        <v>5008</v>
      </c>
      <c r="E3680" s="115" t="s">
        <v>5009</v>
      </c>
    </row>
    <row r="3681" spans="1:5" x14ac:dyDescent="0.25">
      <c r="B3681" s="115" t="s">
        <v>1139</v>
      </c>
      <c r="D3681" s="115" t="s">
        <v>5010</v>
      </c>
      <c r="E3681" s="115" t="s">
        <v>5011</v>
      </c>
    </row>
    <row r="3682" spans="1:5" x14ac:dyDescent="0.2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25">
      <c r="B3683" s="115" t="s">
        <v>1139</v>
      </c>
      <c r="D3683" s="115" t="s">
        <v>5015</v>
      </c>
      <c r="E3683" s="115" t="s">
        <v>5016</v>
      </c>
    </row>
    <row r="3684" spans="1:5" x14ac:dyDescent="0.25">
      <c r="B3684" s="115" t="s">
        <v>1139</v>
      </c>
      <c r="D3684" s="115" t="s">
        <v>1140</v>
      </c>
      <c r="E3684" s="115" t="s">
        <v>5017</v>
      </c>
    </row>
    <row r="3685" spans="1:5" x14ac:dyDescent="0.25">
      <c r="B3685" s="115" t="s">
        <v>1139</v>
      </c>
      <c r="D3685" s="115" t="s">
        <v>5018</v>
      </c>
      <c r="E3685" s="115" t="s">
        <v>5019</v>
      </c>
    </row>
    <row r="3686" spans="1:5" x14ac:dyDescent="0.2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25">
      <c r="B3687" s="115" t="s">
        <v>1139</v>
      </c>
      <c r="D3687" s="115" t="s">
        <v>5023</v>
      </c>
      <c r="E3687" s="115" t="s">
        <v>5024</v>
      </c>
    </row>
    <row r="3688" spans="1:5" x14ac:dyDescent="0.2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25">
      <c r="B3689" s="115" t="s">
        <v>1139</v>
      </c>
      <c r="D3689" s="115" t="s">
        <v>5027</v>
      </c>
      <c r="E3689" s="115" t="s">
        <v>5028</v>
      </c>
    </row>
    <row r="3690" spans="1:5" x14ac:dyDescent="0.25">
      <c r="B3690" s="115" t="s">
        <v>1139</v>
      </c>
      <c r="D3690" s="115" t="s">
        <v>5029</v>
      </c>
      <c r="E3690" s="115" t="s">
        <v>5030</v>
      </c>
    </row>
    <row r="3691" spans="1:5" x14ac:dyDescent="0.25">
      <c r="B3691" s="115" t="s">
        <v>5031</v>
      </c>
      <c r="D3691" s="115" t="s">
        <v>5032</v>
      </c>
      <c r="E3691" s="115" t="s">
        <v>5033</v>
      </c>
    </row>
    <row r="3692" spans="1:5" x14ac:dyDescent="0.25">
      <c r="B3692" s="115" t="s">
        <v>2773</v>
      </c>
      <c r="D3692" s="115" t="s">
        <v>5034</v>
      </c>
      <c r="E3692" s="115" t="s">
        <v>5035</v>
      </c>
    </row>
    <row r="3693" spans="1:5" x14ac:dyDescent="0.25">
      <c r="B3693" s="115" t="s">
        <v>1139</v>
      </c>
      <c r="D3693" s="115" t="s">
        <v>5036</v>
      </c>
      <c r="E3693" s="115" t="s">
        <v>5037</v>
      </c>
    </row>
    <row r="3694" spans="1:5" x14ac:dyDescent="0.25">
      <c r="B3694" s="115" t="s">
        <v>1139</v>
      </c>
      <c r="D3694" s="115" t="s">
        <v>5038</v>
      </c>
      <c r="E3694" s="115" t="s">
        <v>5039</v>
      </c>
    </row>
    <row r="3695" spans="1:5" x14ac:dyDescent="0.25">
      <c r="B3695" s="115" t="s">
        <v>5040</v>
      </c>
      <c r="D3695" s="115" t="s">
        <v>5041</v>
      </c>
      <c r="E3695" s="115" t="s">
        <v>1859</v>
      </c>
    </row>
    <row r="3696" spans="1:5" x14ac:dyDescent="0.25">
      <c r="B3696" s="115" t="s">
        <v>1139</v>
      </c>
      <c r="D3696" s="115" t="s">
        <v>5042</v>
      </c>
      <c r="E3696" s="115" t="s">
        <v>5043</v>
      </c>
    </row>
    <row r="3697" spans="1:5" x14ac:dyDescent="0.25">
      <c r="B3697" s="115" t="s">
        <v>1139</v>
      </c>
      <c r="D3697" s="115" t="s">
        <v>5044</v>
      </c>
      <c r="E3697" s="115" t="s">
        <v>5045</v>
      </c>
    </row>
    <row r="3698" spans="1:5" x14ac:dyDescent="0.25">
      <c r="B3698" s="115" t="s">
        <v>1139</v>
      </c>
      <c r="D3698" s="115" t="s">
        <v>5046</v>
      </c>
      <c r="E3698" s="115" t="s">
        <v>5047</v>
      </c>
    </row>
    <row r="3699" spans="1:5" x14ac:dyDescent="0.25">
      <c r="B3699" s="115" t="s">
        <v>1139</v>
      </c>
      <c r="D3699" s="115" t="s">
        <v>5048</v>
      </c>
      <c r="E3699" s="115" t="s">
        <v>5049</v>
      </c>
    </row>
    <row r="3700" spans="1:5" x14ac:dyDescent="0.2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2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2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25">
      <c r="B3703" s="115" t="s">
        <v>1139</v>
      </c>
      <c r="D3703" s="115" t="s">
        <v>1140</v>
      </c>
      <c r="E3703" s="115" t="s">
        <v>1141</v>
      </c>
    </row>
    <row r="3704" spans="1:5" x14ac:dyDescent="0.25">
      <c r="B3704" s="115" t="s">
        <v>1139</v>
      </c>
      <c r="D3704" s="115" t="s">
        <v>5056</v>
      </c>
      <c r="E3704" s="115" t="s">
        <v>5057</v>
      </c>
    </row>
    <row r="3705" spans="1:5" x14ac:dyDescent="0.25">
      <c r="B3705" s="115" t="s">
        <v>5058</v>
      </c>
      <c r="D3705" s="115" t="s">
        <v>5059</v>
      </c>
      <c r="E3705" s="115" t="s">
        <v>5060</v>
      </c>
    </row>
    <row r="3706" spans="1:5" x14ac:dyDescent="0.25">
      <c r="B3706" s="115" t="s">
        <v>1139</v>
      </c>
      <c r="D3706" s="115" t="s">
        <v>5061</v>
      </c>
      <c r="E3706" s="115" t="s">
        <v>1141</v>
      </c>
    </row>
    <row r="3707" spans="1:5" x14ac:dyDescent="0.25">
      <c r="B3707" s="115" t="s">
        <v>1139</v>
      </c>
      <c r="D3707" s="115" t="s">
        <v>5062</v>
      </c>
      <c r="E3707" s="115" t="s">
        <v>5063</v>
      </c>
    </row>
    <row r="3708" spans="1:5" x14ac:dyDescent="0.25">
      <c r="B3708" s="115" t="s">
        <v>5064</v>
      </c>
      <c r="D3708" s="115" t="s">
        <v>5065</v>
      </c>
      <c r="E3708" s="115" t="s">
        <v>5066</v>
      </c>
    </row>
    <row r="3709" spans="1:5" x14ac:dyDescent="0.25">
      <c r="B3709" s="115" t="s">
        <v>5067</v>
      </c>
      <c r="D3709" s="115" t="s">
        <v>1140</v>
      </c>
      <c r="E3709" s="115" t="s">
        <v>5068</v>
      </c>
    </row>
    <row r="3710" spans="1:5" x14ac:dyDescent="0.25">
      <c r="B3710" s="115" t="s">
        <v>1139</v>
      </c>
      <c r="D3710" s="115" t="s">
        <v>5069</v>
      </c>
      <c r="E3710" s="115" t="s">
        <v>5070</v>
      </c>
    </row>
    <row r="3711" spans="1:5" x14ac:dyDescent="0.25">
      <c r="B3711" s="115" t="s">
        <v>1139</v>
      </c>
      <c r="D3711" s="115" t="s">
        <v>5071</v>
      </c>
      <c r="E3711" s="115" t="s">
        <v>5072</v>
      </c>
    </row>
    <row r="3712" spans="1:5" x14ac:dyDescent="0.2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2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2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2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25">
      <c r="B3716" s="115" t="s">
        <v>5083</v>
      </c>
      <c r="D3716" s="115" t="s">
        <v>5084</v>
      </c>
      <c r="E3716" s="115" t="s">
        <v>5085</v>
      </c>
    </row>
    <row r="3717" spans="1:5" x14ac:dyDescent="0.25">
      <c r="B3717" s="115">
        <f>-39   -497</f>
        <v>-536</v>
      </c>
      <c r="D3717" s="115" t="s">
        <v>5086</v>
      </c>
      <c r="E3717" s="115" t="s">
        <v>5087</v>
      </c>
    </row>
    <row r="3718" spans="1:5" x14ac:dyDescent="0.25">
      <c r="B3718" s="115" t="s">
        <v>1139</v>
      </c>
      <c r="D3718" s="115" t="s">
        <v>5088</v>
      </c>
      <c r="E3718" s="115" t="s">
        <v>5089</v>
      </c>
    </row>
    <row r="3719" spans="1:5" x14ac:dyDescent="0.2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25">
      <c r="B3720" s="115">
        <f>-56   -460</f>
        <v>-516</v>
      </c>
      <c r="D3720" s="115" t="s">
        <v>5093</v>
      </c>
      <c r="E3720" s="115" t="s">
        <v>5094</v>
      </c>
    </row>
    <row r="3721" spans="1:5" x14ac:dyDescent="0.25">
      <c r="B3721" s="115" t="s">
        <v>2802</v>
      </c>
      <c r="D3721" s="115" t="s">
        <v>5095</v>
      </c>
      <c r="E3721" s="115" t="s">
        <v>1141</v>
      </c>
    </row>
    <row r="3722" spans="1:5" x14ac:dyDescent="0.2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2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25">
      <c r="B3724" s="115" t="s">
        <v>5101</v>
      </c>
      <c r="D3724" s="115" t="s">
        <v>5102</v>
      </c>
      <c r="E3724" s="115" t="s">
        <v>5103</v>
      </c>
    </row>
    <row r="3725" spans="1:5" x14ac:dyDescent="0.2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25">
      <c r="B3726" s="115" t="s">
        <v>1139</v>
      </c>
      <c r="D3726" s="115" t="s">
        <v>1140</v>
      </c>
      <c r="E3726" s="115" t="s">
        <v>5107</v>
      </c>
    </row>
    <row r="3727" spans="1:5" x14ac:dyDescent="0.25">
      <c r="B3727" s="115" t="s">
        <v>5108</v>
      </c>
      <c r="D3727" s="115" t="s">
        <v>5109</v>
      </c>
      <c r="E3727" s="115" t="s">
        <v>5110</v>
      </c>
    </row>
    <row r="3728" spans="1:5" x14ac:dyDescent="0.25">
      <c r="B3728" s="115" t="s">
        <v>1139</v>
      </c>
      <c r="D3728" s="115" t="s">
        <v>5111</v>
      </c>
      <c r="E3728" s="115" t="s">
        <v>1859</v>
      </c>
    </row>
    <row r="3729" spans="1:5" x14ac:dyDescent="0.25">
      <c r="B3729" s="115" t="s">
        <v>1139</v>
      </c>
      <c r="D3729" s="115" t="s">
        <v>1140</v>
      </c>
      <c r="E3729" s="115" t="s">
        <v>1141</v>
      </c>
    </row>
    <row r="3730" spans="1:5" x14ac:dyDescent="0.25">
      <c r="B3730" s="115" t="s">
        <v>5112</v>
      </c>
      <c r="D3730" s="115" t="s">
        <v>1140</v>
      </c>
      <c r="E3730" s="115" t="s">
        <v>5113</v>
      </c>
    </row>
    <row r="3731" spans="1:5" x14ac:dyDescent="0.2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25">
      <c r="B3732" s="115" t="s">
        <v>1139</v>
      </c>
      <c r="D3732" s="115" t="s">
        <v>5117</v>
      </c>
      <c r="E3732" s="115" t="s">
        <v>1141</v>
      </c>
    </row>
    <row r="3733" spans="1:5" x14ac:dyDescent="0.25">
      <c r="B3733" s="115" t="s">
        <v>1139</v>
      </c>
      <c r="D3733" s="115" t="s">
        <v>5118</v>
      </c>
      <c r="E3733" s="115" t="s">
        <v>5119</v>
      </c>
    </row>
    <row r="3734" spans="1:5" x14ac:dyDescent="0.2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25">
      <c r="B3735" s="115" t="s">
        <v>1139</v>
      </c>
      <c r="D3735" s="115" t="s">
        <v>3876</v>
      </c>
      <c r="E3735" s="115" t="s">
        <v>1702</v>
      </c>
    </row>
    <row r="3736" spans="1:5" x14ac:dyDescent="0.25">
      <c r="B3736" s="115" t="s">
        <v>1139</v>
      </c>
      <c r="D3736" s="115" t="s">
        <v>5122</v>
      </c>
      <c r="E3736" s="115" t="s">
        <v>1431</v>
      </c>
    </row>
    <row r="3737" spans="1:5" x14ac:dyDescent="0.25">
      <c r="B3737" s="115" t="s">
        <v>5123</v>
      </c>
      <c r="D3737" s="115" t="s">
        <v>5124</v>
      </c>
      <c r="E3737" s="115" t="s">
        <v>5125</v>
      </c>
    </row>
    <row r="3738" spans="1:5" x14ac:dyDescent="0.25">
      <c r="B3738" s="115" t="s">
        <v>5126</v>
      </c>
      <c r="D3738" s="115" t="s">
        <v>5127</v>
      </c>
      <c r="E3738" s="115" t="s">
        <v>1859</v>
      </c>
    </row>
    <row r="3739" spans="1:5" x14ac:dyDescent="0.25">
      <c r="B3739" s="115" t="s">
        <v>5128</v>
      </c>
      <c r="D3739" s="115" t="s">
        <v>5129</v>
      </c>
      <c r="E3739" s="115" t="s">
        <v>5130</v>
      </c>
    </row>
    <row r="3740" spans="1:5" x14ac:dyDescent="0.2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2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2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2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25">
      <c r="B3744" s="115" t="s">
        <v>5140</v>
      </c>
      <c r="D3744" s="115" t="s">
        <v>5141</v>
      </c>
      <c r="E3744" s="115" t="s">
        <v>1702</v>
      </c>
    </row>
    <row r="3745" spans="1:5" x14ac:dyDescent="0.2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2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25">
      <c r="B3747" s="115" t="s">
        <v>5148</v>
      </c>
      <c r="D3747" s="115" t="s">
        <v>1405</v>
      </c>
      <c r="E3747" s="115" t="s">
        <v>1141</v>
      </c>
    </row>
    <row r="3748" spans="1:5" x14ac:dyDescent="0.2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2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2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2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25">
      <c r="B3752" s="115" t="s">
        <v>1139</v>
      </c>
      <c r="D3752" s="115" t="s">
        <v>1140</v>
      </c>
      <c r="E3752" s="115" t="s">
        <v>5159</v>
      </c>
    </row>
    <row r="3753" spans="1:5" x14ac:dyDescent="0.2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25">
      <c r="B3754" s="115" t="s">
        <v>1139</v>
      </c>
      <c r="D3754" s="115" t="s">
        <v>5163</v>
      </c>
      <c r="E3754" s="115" t="s">
        <v>1141</v>
      </c>
    </row>
    <row r="3755" spans="1:5" x14ac:dyDescent="0.25">
      <c r="B3755" s="115" t="s">
        <v>1139</v>
      </c>
      <c r="D3755" s="115" t="s">
        <v>1140</v>
      </c>
      <c r="E3755" s="115" t="s">
        <v>1141</v>
      </c>
    </row>
    <row r="3756" spans="1:5" x14ac:dyDescent="0.2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2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25">
      <c r="B3758" s="115" t="s">
        <v>1139</v>
      </c>
      <c r="D3758" s="115" t="s">
        <v>5170</v>
      </c>
      <c r="E3758" s="115" t="s">
        <v>1141</v>
      </c>
    </row>
    <row r="3759" spans="1:5" x14ac:dyDescent="0.25">
      <c r="B3759" s="115" t="s">
        <v>1139</v>
      </c>
      <c r="D3759" s="115" t="s">
        <v>5171</v>
      </c>
      <c r="E3759" s="115" t="s">
        <v>5172</v>
      </c>
    </row>
    <row r="3760" spans="1:5" x14ac:dyDescent="0.2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25">
      <c r="B3761" s="115" t="s">
        <v>1139</v>
      </c>
      <c r="D3761" s="115" t="s">
        <v>1140</v>
      </c>
      <c r="E3761" s="115" t="s">
        <v>2690</v>
      </c>
    </row>
    <row r="3762" spans="1:5" x14ac:dyDescent="0.25">
      <c r="B3762" s="115" t="s">
        <v>1139</v>
      </c>
      <c r="D3762" s="115" t="s">
        <v>5176</v>
      </c>
      <c r="E3762" s="115" t="s">
        <v>5177</v>
      </c>
    </row>
    <row r="3763" spans="1:5" x14ac:dyDescent="0.25">
      <c r="B3763" s="115" t="s">
        <v>1543</v>
      </c>
      <c r="D3763" s="115" t="s">
        <v>5178</v>
      </c>
      <c r="E3763" s="115" t="s">
        <v>5179</v>
      </c>
    </row>
    <row r="3764" spans="1:5" x14ac:dyDescent="0.2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25">
      <c r="B3765" s="115" t="s">
        <v>5182</v>
      </c>
      <c r="D3765" s="115" t="s">
        <v>5183</v>
      </c>
      <c r="E3765" s="115" t="s">
        <v>5184</v>
      </c>
    </row>
    <row r="3766" spans="1:5" x14ac:dyDescent="0.2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2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25">
      <c r="B3768" s="115" t="s">
        <v>5189</v>
      </c>
      <c r="D3768" s="115" t="s">
        <v>5190</v>
      </c>
      <c r="E3768" s="115" t="s">
        <v>5191</v>
      </c>
    </row>
    <row r="3769" spans="1:5" x14ac:dyDescent="0.2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25">
      <c r="B3770" s="115" t="s">
        <v>5194</v>
      </c>
      <c r="D3770" s="115" t="s">
        <v>5195</v>
      </c>
      <c r="E3770" s="115" t="s">
        <v>2690</v>
      </c>
    </row>
    <row r="3771" spans="1:5" x14ac:dyDescent="0.25">
      <c r="B3771" s="115" t="s">
        <v>5196</v>
      </c>
      <c r="D3771" s="115" t="s">
        <v>5197</v>
      </c>
      <c r="E3771" s="115" t="s">
        <v>5198</v>
      </c>
    </row>
    <row r="3772" spans="1:5" x14ac:dyDescent="0.2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2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2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2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2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2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25">
      <c r="B3778" s="115" t="s">
        <v>1139</v>
      </c>
      <c r="D3778" s="115" t="s">
        <v>1140</v>
      </c>
      <c r="E3778" s="115" t="s">
        <v>5212</v>
      </c>
    </row>
    <row r="3779" spans="1:5" x14ac:dyDescent="0.2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25">
      <c r="B3780" s="115" t="s">
        <v>1139</v>
      </c>
      <c r="D3780" s="115" t="s">
        <v>5216</v>
      </c>
      <c r="E3780" s="115" t="s">
        <v>1141</v>
      </c>
    </row>
    <row r="3781" spans="1:5" x14ac:dyDescent="0.25">
      <c r="B3781" s="115" t="s">
        <v>1139</v>
      </c>
      <c r="D3781" s="115" t="s">
        <v>1140</v>
      </c>
      <c r="E3781" s="115" t="s">
        <v>1141</v>
      </c>
    </row>
    <row r="3782" spans="1:5" x14ac:dyDescent="0.2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2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25">
      <c r="B3784" s="115" t="s">
        <v>1139</v>
      </c>
      <c r="D3784" s="115" t="s">
        <v>5222</v>
      </c>
      <c r="E3784" s="115" t="s">
        <v>1141</v>
      </c>
    </row>
    <row r="3785" spans="1:5" x14ac:dyDescent="0.25">
      <c r="B3785" s="115" t="s">
        <v>1139</v>
      </c>
      <c r="D3785" s="115" t="s">
        <v>5223</v>
      </c>
      <c r="E3785" s="115" t="s">
        <v>5224</v>
      </c>
    </row>
    <row r="3786" spans="1:5" x14ac:dyDescent="0.25">
      <c r="B3786" s="115" t="s">
        <v>5225</v>
      </c>
      <c r="D3786" s="115" t="s">
        <v>1663</v>
      </c>
      <c r="E3786" s="115" t="s">
        <v>5226</v>
      </c>
    </row>
    <row r="3787" spans="1:5" x14ac:dyDescent="0.25">
      <c r="B3787" s="115" t="s">
        <v>5227</v>
      </c>
      <c r="D3787" s="115" t="s">
        <v>1140</v>
      </c>
      <c r="E3787" s="115" t="s">
        <v>5228</v>
      </c>
    </row>
    <row r="3788" spans="1:5" x14ac:dyDescent="0.25">
      <c r="B3788" s="115" t="s">
        <v>1139</v>
      </c>
      <c r="D3788" s="115" t="s">
        <v>5229</v>
      </c>
      <c r="E3788" s="115" t="s">
        <v>5230</v>
      </c>
    </row>
    <row r="3789" spans="1:5" x14ac:dyDescent="0.2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25">
      <c r="B3790" s="115" t="s">
        <v>5233</v>
      </c>
      <c r="D3790" s="115" t="s">
        <v>5234</v>
      </c>
      <c r="E3790" s="115" t="s">
        <v>5235</v>
      </c>
    </row>
    <row r="3791" spans="1:5" x14ac:dyDescent="0.25">
      <c r="B3791" s="115" t="s">
        <v>5236</v>
      </c>
      <c r="D3791" s="115" t="s">
        <v>5237</v>
      </c>
      <c r="E3791" s="115" t="s">
        <v>5238</v>
      </c>
    </row>
    <row r="3792" spans="1:5" x14ac:dyDescent="0.2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25">
      <c r="B3793" s="115" t="s">
        <v>5242</v>
      </c>
      <c r="D3793" s="115" t="s">
        <v>5243</v>
      </c>
      <c r="E3793" s="115" t="s">
        <v>5244</v>
      </c>
    </row>
    <row r="3794" spans="2:5" x14ac:dyDescent="0.25">
      <c r="B3794" s="115" t="s">
        <v>5245</v>
      </c>
      <c r="D3794" s="115" t="s">
        <v>5246</v>
      </c>
      <c r="E3794" s="115" t="s">
        <v>5247</v>
      </c>
    </row>
    <row r="3795" spans="2:5" x14ac:dyDescent="0.25">
      <c r="B3795" s="115">
        <f>-33   -597</f>
        <v>-630</v>
      </c>
      <c r="D3795" s="115" t="s">
        <v>5248</v>
      </c>
      <c r="E3795" s="115" t="s">
        <v>5249</v>
      </c>
    </row>
    <row r="3796" spans="2:5" x14ac:dyDescent="0.25">
      <c r="B3796" s="115" t="s">
        <v>1139</v>
      </c>
      <c r="D3796" s="115" t="s">
        <v>5250</v>
      </c>
      <c r="E3796" s="115" t="s">
        <v>5251</v>
      </c>
    </row>
    <row r="3797" spans="2:5" x14ac:dyDescent="0.25">
      <c r="B3797" s="115" t="s">
        <v>5252</v>
      </c>
      <c r="D3797" s="115" t="s">
        <v>5253</v>
      </c>
      <c r="E3797" s="115" t="s">
        <v>5254</v>
      </c>
    </row>
    <row r="3798" spans="2:5" x14ac:dyDescent="0.2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25">
      <c r="B3799" s="115" t="s">
        <v>5257</v>
      </c>
      <c r="D3799" s="115" t="s">
        <v>5258</v>
      </c>
      <c r="E3799" s="115" t="s">
        <v>1141</v>
      </c>
    </row>
    <row r="3800" spans="2:5" x14ac:dyDescent="0.25">
      <c r="B3800" s="115" t="s">
        <v>5259</v>
      </c>
      <c r="D3800" s="115" t="s">
        <v>5260</v>
      </c>
      <c r="E3800" s="115" t="s">
        <v>1859</v>
      </c>
    </row>
    <row r="3801" spans="2:5" x14ac:dyDescent="0.25">
      <c r="B3801" s="115" t="s">
        <v>5261</v>
      </c>
      <c r="D3801" s="115" t="s">
        <v>5262</v>
      </c>
      <c r="E3801" s="115" t="s">
        <v>5263</v>
      </c>
    </row>
    <row r="3802" spans="2:5" x14ac:dyDescent="0.25">
      <c r="B3802" s="115" t="s">
        <v>5264</v>
      </c>
      <c r="D3802" s="115" t="s">
        <v>5265</v>
      </c>
      <c r="E3802" s="115" t="s">
        <v>5266</v>
      </c>
    </row>
    <row r="3803" spans="2:5" x14ac:dyDescent="0.25">
      <c r="B3803" s="115" t="s">
        <v>5267</v>
      </c>
      <c r="D3803" s="115" t="s">
        <v>5268</v>
      </c>
      <c r="E3803" s="115" t="s">
        <v>5269</v>
      </c>
    </row>
    <row r="3804" spans="2:5" x14ac:dyDescent="0.25">
      <c r="B3804" s="115" t="s">
        <v>1139</v>
      </c>
      <c r="D3804" s="115" t="s">
        <v>1140</v>
      </c>
      <c r="E3804" s="115" t="s">
        <v>5270</v>
      </c>
    </row>
    <row r="3805" spans="2:5" x14ac:dyDescent="0.25">
      <c r="B3805" s="115" t="s">
        <v>5271</v>
      </c>
      <c r="D3805" s="115" t="s">
        <v>5272</v>
      </c>
      <c r="E3805" s="115" t="s">
        <v>5273</v>
      </c>
    </row>
    <row r="3806" spans="2:5" x14ac:dyDescent="0.25">
      <c r="B3806" s="115" t="s">
        <v>1139</v>
      </c>
      <c r="D3806" s="115" t="s">
        <v>5274</v>
      </c>
      <c r="E3806" s="115" t="s">
        <v>2082</v>
      </c>
    </row>
    <row r="3807" spans="2:5" x14ac:dyDescent="0.25">
      <c r="B3807" s="115" t="s">
        <v>1139</v>
      </c>
      <c r="D3807" s="115" t="s">
        <v>1140</v>
      </c>
      <c r="E3807" s="115" t="s">
        <v>1141</v>
      </c>
    </row>
    <row r="3808" spans="2:5" x14ac:dyDescent="0.25">
      <c r="B3808" s="115" t="s">
        <v>5275</v>
      </c>
      <c r="D3808" s="115" t="s">
        <v>1140</v>
      </c>
      <c r="E3808" s="115" t="s">
        <v>5276</v>
      </c>
    </row>
    <row r="3809" spans="1:5" x14ac:dyDescent="0.2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25">
      <c r="B3810" s="115" t="s">
        <v>5280</v>
      </c>
      <c r="D3810" s="115" t="s">
        <v>5281</v>
      </c>
      <c r="E3810" s="115" t="s">
        <v>5282</v>
      </c>
    </row>
    <row r="3811" spans="1:5" x14ac:dyDescent="0.25">
      <c r="B3811" s="115" t="s">
        <v>1139</v>
      </c>
      <c r="D3811" s="115" t="s">
        <v>1848</v>
      </c>
      <c r="E3811" s="115" t="s">
        <v>5283</v>
      </c>
    </row>
    <row r="3812" spans="1:5" x14ac:dyDescent="0.2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25">
      <c r="B3813" s="115" t="s">
        <v>1139</v>
      </c>
      <c r="D3813" s="115" t="s">
        <v>5287</v>
      </c>
      <c r="E3813" s="115" t="s">
        <v>1322</v>
      </c>
    </row>
    <row r="3814" spans="1:5" x14ac:dyDescent="0.25">
      <c r="B3814" s="115" t="s">
        <v>1139</v>
      </c>
      <c r="D3814" s="115" t="s">
        <v>1140</v>
      </c>
      <c r="E3814" s="115" t="s">
        <v>5288</v>
      </c>
    </row>
    <row r="3815" spans="1:5" x14ac:dyDescent="0.25">
      <c r="B3815" s="115" t="s">
        <v>1139</v>
      </c>
      <c r="D3815" s="115" t="s">
        <v>5289</v>
      </c>
      <c r="E3815" s="115" t="s">
        <v>5290</v>
      </c>
    </row>
    <row r="3816" spans="1:5" x14ac:dyDescent="0.2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25">
      <c r="B3817" s="115" t="s">
        <v>1139</v>
      </c>
      <c r="D3817" s="115" t="s">
        <v>5292</v>
      </c>
      <c r="E3817" s="115" t="s">
        <v>5293</v>
      </c>
    </row>
    <row r="3818" spans="1:5" x14ac:dyDescent="0.25">
      <c r="B3818" s="115" t="s">
        <v>1154</v>
      </c>
      <c r="D3818" s="115" t="s">
        <v>5294</v>
      </c>
      <c r="E3818" s="115" t="s">
        <v>5295</v>
      </c>
    </row>
    <row r="3819" spans="1:5" x14ac:dyDescent="0.25">
      <c r="B3819" s="115" t="s">
        <v>1139</v>
      </c>
      <c r="D3819" s="115" t="s">
        <v>5296</v>
      </c>
      <c r="E3819" s="115" t="s">
        <v>5297</v>
      </c>
    </row>
    <row r="3820" spans="1:5" x14ac:dyDescent="0.25">
      <c r="B3820" s="115" t="s">
        <v>1139</v>
      </c>
      <c r="D3820" s="115" t="s">
        <v>5298</v>
      </c>
      <c r="E3820" s="115" t="s">
        <v>5299</v>
      </c>
    </row>
    <row r="3821" spans="1:5" x14ac:dyDescent="0.25">
      <c r="B3821" s="115" t="s">
        <v>5300</v>
      </c>
      <c r="D3821" s="115" t="s">
        <v>5301</v>
      </c>
      <c r="E3821" s="115" t="s">
        <v>5302</v>
      </c>
    </row>
    <row r="3822" spans="1:5" x14ac:dyDescent="0.25">
      <c r="B3822" s="115" t="s">
        <v>5303</v>
      </c>
      <c r="D3822" s="115" t="s">
        <v>5304</v>
      </c>
      <c r="E3822" s="115" t="s">
        <v>5305</v>
      </c>
    </row>
    <row r="3823" spans="1:5" x14ac:dyDescent="0.25">
      <c r="B3823" s="115" t="s">
        <v>1139</v>
      </c>
      <c r="D3823" s="115" t="s">
        <v>5306</v>
      </c>
      <c r="E3823" s="115" t="s">
        <v>5307</v>
      </c>
    </row>
    <row r="3824" spans="1:5" x14ac:dyDescent="0.25">
      <c r="B3824" s="115" t="s">
        <v>1139</v>
      </c>
      <c r="D3824" s="115" t="s">
        <v>5308</v>
      </c>
      <c r="E3824" s="115" t="s">
        <v>5309</v>
      </c>
    </row>
    <row r="3825" spans="1:5" x14ac:dyDescent="0.25">
      <c r="B3825" s="115" t="s">
        <v>5310</v>
      </c>
      <c r="D3825" s="115" t="s">
        <v>5311</v>
      </c>
      <c r="E3825" s="115" t="s">
        <v>1141</v>
      </c>
    </row>
    <row r="3826" spans="1:5" x14ac:dyDescent="0.25">
      <c r="B3826" s="115" t="s">
        <v>1139</v>
      </c>
      <c r="D3826" s="115" t="s">
        <v>5312</v>
      </c>
      <c r="E3826" s="115" t="s">
        <v>5313</v>
      </c>
    </row>
    <row r="3827" spans="1:5" x14ac:dyDescent="0.25">
      <c r="B3827" s="115" t="s">
        <v>1139</v>
      </c>
      <c r="D3827" s="115" t="s">
        <v>5314</v>
      </c>
      <c r="E3827" s="115" t="s">
        <v>5315</v>
      </c>
    </row>
    <row r="3828" spans="1:5" x14ac:dyDescent="0.25">
      <c r="B3828" s="115" t="s">
        <v>1139</v>
      </c>
      <c r="D3828" s="115" t="s">
        <v>5316</v>
      </c>
      <c r="E3828" s="115" t="s">
        <v>5317</v>
      </c>
    </row>
    <row r="3829" spans="1:5" x14ac:dyDescent="0.25">
      <c r="B3829" s="115" t="s">
        <v>1139</v>
      </c>
      <c r="D3829" s="115" t="s">
        <v>5318</v>
      </c>
      <c r="E3829" s="115" t="s">
        <v>5319</v>
      </c>
    </row>
    <row r="3830" spans="1:5" x14ac:dyDescent="0.2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2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2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25">
      <c r="B3833" s="115" t="s">
        <v>1139</v>
      </c>
      <c r="D3833" s="115" t="s">
        <v>1140</v>
      </c>
      <c r="E3833" s="115" t="s">
        <v>1141</v>
      </c>
    </row>
    <row r="3834" spans="1:5" x14ac:dyDescent="0.25">
      <c r="B3834" s="115" t="s">
        <v>1139</v>
      </c>
      <c r="D3834" s="115" t="s">
        <v>5325</v>
      </c>
      <c r="E3834" s="115" t="s">
        <v>5326</v>
      </c>
    </row>
    <row r="3835" spans="1:5" x14ac:dyDescent="0.2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25">
      <c r="B3836" s="115" t="s">
        <v>1139</v>
      </c>
      <c r="D3836" s="115" t="s">
        <v>1140</v>
      </c>
      <c r="E3836" s="115" t="s">
        <v>1141</v>
      </c>
    </row>
    <row r="3837" spans="1:5" x14ac:dyDescent="0.25">
      <c r="B3837" s="115" t="s">
        <v>1139</v>
      </c>
      <c r="D3837" s="115" t="s">
        <v>1140</v>
      </c>
      <c r="E3837" s="115" t="s">
        <v>1141</v>
      </c>
    </row>
    <row r="3838" spans="1:5" x14ac:dyDescent="0.25">
      <c r="B3838" s="115" t="s">
        <v>1139</v>
      </c>
      <c r="D3838" s="115" t="s">
        <v>1140</v>
      </c>
      <c r="E3838" s="115" t="s">
        <v>1141</v>
      </c>
    </row>
    <row r="3839" spans="1:5" x14ac:dyDescent="0.25">
      <c r="B3839" s="115" t="s">
        <v>1139</v>
      </c>
      <c r="D3839" s="115" t="s">
        <v>1140</v>
      </c>
      <c r="E3839" s="115" t="s">
        <v>1141</v>
      </c>
    </row>
    <row r="3840" spans="1:5" x14ac:dyDescent="0.25">
      <c r="B3840" s="115" t="s">
        <v>1139</v>
      </c>
      <c r="D3840" s="115" t="s">
        <v>1140</v>
      </c>
      <c r="E3840" s="115" t="s">
        <v>1141</v>
      </c>
    </row>
    <row r="3841" spans="2:5" x14ac:dyDescent="0.25">
      <c r="B3841" s="115" t="s">
        <v>1139</v>
      </c>
      <c r="D3841" s="115" t="s">
        <v>1140</v>
      </c>
      <c r="E3841" s="115" t="s">
        <v>1141</v>
      </c>
    </row>
    <row r="3842" spans="2:5" x14ac:dyDescent="0.25">
      <c r="B3842" s="115" t="s">
        <v>1139</v>
      </c>
      <c r="D3842" s="115" t="s">
        <v>1140</v>
      </c>
      <c r="E3842" s="115" t="s">
        <v>1141</v>
      </c>
    </row>
    <row r="3843" spans="2:5" x14ac:dyDescent="0.25">
      <c r="B3843" s="115" t="s">
        <v>1139</v>
      </c>
      <c r="D3843" s="115" t="s">
        <v>1140</v>
      </c>
      <c r="E3843" s="115" t="s">
        <v>1141</v>
      </c>
    </row>
    <row r="3844" spans="2:5" x14ac:dyDescent="0.25">
      <c r="B3844" s="115" t="s">
        <v>1139</v>
      </c>
      <c r="D3844" s="115" t="s">
        <v>1140</v>
      </c>
      <c r="E3844" s="115" t="s">
        <v>1141</v>
      </c>
    </row>
    <row r="3845" spans="2:5" x14ac:dyDescent="0.25">
      <c r="B3845" s="115" t="s">
        <v>1139</v>
      </c>
      <c r="D3845" s="115" t="s">
        <v>1140</v>
      </c>
      <c r="E3845" s="115" t="s">
        <v>1141</v>
      </c>
    </row>
    <row r="3846" spans="2:5" x14ac:dyDescent="0.25">
      <c r="B3846" s="115" t="s">
        <v>1139</v>
      </c>
      <c r="D3846" s="115" t="s">
        <v>1140</v>
      </c>
      <c r="E3846" s="115" t="s">
        <v>1141</v>
      </c>
    </row>
    <row r="3847" spans="2:5" x14ac:dyDescent="0.25">
      <c r="B3847" s="115" t="s">
        <v>1139</v>
      </c>
      <c r="D3847" s="115" t="s">
        <v>1140</v>
      </c>
      <c r="E3847" s="115" t="s">
        <v>1141</v>
      </c>
    </row>
    <row r="3848" spans="2:5" x14ac:dyDescent="0.25">
      <c r="B3848" s="115" t="s">
        <v>1139</v>
      </c>
      <c r="D3848" s="115" t="s">
        <v>1140</v>
      </c>
      <c r="E3848" s="115" t="s">
        <v>1141</v>
      </c>
    </row>
    <row r="3849" spans="2:5" x14ac:dyDescent="0.25">
      <c r="B3849" s="115" t="s">
        <v>1139</v>
      </c>
      <c r="D3849" s="115" t="s">
        <v>1140</v>
      </c>
      <c r="E3849" s="115" t="s">
        <v>1141</v>
      </c>
    </row>
    <row r="3850" spans="2:5" x14ac:dyDescent="0.25">
      <c r="B3850" s="115" t="s">
        <v>1139</v>
      </c>
      <c r="D3850" s="115" t="s">
        <v>1140</v>
      </c>
      <c r="E3850" s="115" t="s">
        <v>1141</v>
      </c>
    </row>
    <row r="3851" spans="2:5" x14ac:dyDescent="0.25">
      <c r="B3851" s="115" t="s">
        <v>1139</v>
      </c>
      <c r="D3851" s="115" t="s">
        <v>1140</v>
      </c>
      <c r="E3851" s="115" t="s">
        <v>1141</v>
      </c>
    </row>
    <row r="3852" spans="2:5" x14ac:dyDescent="0.25">
      <c r="B3852" s="115" t="s">
        <v>1139</v>
      </c>
      <c r="D3852" s="115" t="s">
        <v>1140</v>
      </c>
      <c r="E3852" s="115" t="s">
        <v>1141</v>
      </c>
    </row>
    <row r="3853" spans="2:5" x14ac:dyDescent="0.25">
      <c r="B3853" s="115" t="s">
        <v>1139</v>
      </c>
      <c r="D3853" s="115" t="s">
        <v>1140</v>
      </c>
      <c r="E3853" s="115" t="s">
        <v>1141</v>
      </c>
    </row>
    <row r="3854" spans="2:5" x14ac:dyDescent="0.25">
      <c r="B3854" s="115" t="s">
        <v>1139</v>
      </c>
      <c r="D3854" s="115" t="s">
        <v>1140</v>
      </c>
      <c r="E3854" s="115" t="s">
        <v>1141</v>
      </c>
    </row>
    <row r="3855" spans="2:5" x14ac:dyDescent="0.25">
      <c r="B3855" s="115" t="s">
        <v>1139</v>
      </c>
      <c r="D3855" s="115" t="s">
        <v>1140</v>
      </c>
      <c r="E3855" s="115" t="s">
        <v>1141</v>
      </c>
    </row>
    <row r="3856" spans="2:5" x14ac:dyDescent="0.25">
      <c r="B3856" s="115" t="s">
        <v>1139</v>
      </c>
      <c r="D3856" s="115" t="s">
        <v>1140</v>
      </c>
      <c r="E3856" s="115" t="s">
        <v>1141</v>
      </c>
    </row>
    <row r="3857" spans="2:5" x14ac:dyDescent="0.25">
      <c r="B3857" s="115" t="s">
        <v>1139</v>
      </c>
      <c r="D3857" s="115" t="s">
        <v>1140</v>
      </c>
      <c r="E3857" s="115" t="s">
        <v>1141</v>
      </c>
    </row>
    <row r="3858" spans="2:5" x14ac:dyDescent="0.25">
      <c r="B3858" s="115" t="s">
        <v>1139</v>
      </c>
      <c r="D3858" s="115" t="s">
        <v>1140</v>
      </c>
      <c r="E3858" s="115" t="s">
        <v>1141</v>
      </c>
    </row>
    <row r="3859" spans="2:5" x14ac:dyDescent="0.25">
      <c r="B3859" s="115" t="s">
        <v>1139</v>
      </c>
      <c r="D3859" s="115" t="s">
        <v>1140</v>
      </c>
      <c r="E3859" s="115" t="s">
        <v>1141</v>
      </c>
    </row>
    <row r="3860" spans="2:5" x14ac:dyDescent="0.25">
      <c r="B3860" s="115" t="s">
        <v>1139</v>
      </c>
      <c r="D3860" s="115" t="s">
        <v>1140</v>
      </c>
      <c r="E3860" s="115" t="s">
        <v>1141</v>
      </c>
    </row>
    <row r="3861" spans="2:5" x14ac:dyDescent="0.25">
      <c r="B3861" s="115" t="s">
        <v>1139</v>
      </c>
      <c r="D3861" s="115" t="s">
        <v>1140</v>
      </c>
      <c r="E3861" s="115" t="s">
        <v>1141</v>
      </c>
    </row>
    <row r="3862" spans="2:5" x14ac:dyDescent="0.25">
      <c r="B3862" s="115" t="s">
        <v>1139</v>
      </c>
      <c r="D3862" s="115" t="s">
        <v>1140</v>
      </c>
      <c r="E3862" s="115" t="s">
        <v>1141</v>
      </c>
    </row>
    <row r="3863" spans="2:5" x14ac:dyDescent="0.25">
      <c r="B3863" s="115" t="s">
        <v>1139</v>
      </c>
      <c r="D3863" s="115" t="s">
        <v>1140</v>
      </c>
      <c r="E3863" s="115" t="s">
        <v>1141</v>
      </c>
    </row>
    <row r="3864" spans="2:5" x14ac:dyDescent="0.25">
      <c r="B3864" s="115" t="s">
        <v>1139</v>
      </c>
      <c r="D3864" s="115" t="s">
        <v>1140</v>
      </c>
      <c r="E3864" s="115" t="s">
        <v>1141</v>
      </c>
    </row>
    <row r="3865" spans="2:5" x14ac:dyDescent="0.25">
      <c r="B3865" s="115" t="s">
        <v>1139</v>
      </c>
      <c r="D3865" s="115" t="s">
        <v>1140</v>
      </c>
      <c r="E3865" s="115" t="s">
        <v>1141</v>
      </c>
    </row>
    <row r="3866" spans="2:5" x14ac:dyDescent="0.25">
      <c r="B3866" s="115" t="s">
        <v>1139</v>
      </c>
      <c r="D3866" s="115" t="s">
        <v>1140</v>
      </c>
      <c r="E3866" s="115" t="s">
        <v>1141</v>
      </c>
    </row>
    <row r="3867" spans="2:5" x14ac:dyDescent="0.25">
      <c r="B3867" s="115" t="s">
        <v>1139</v>
      </c>
      <c r="D3867" s="115" t="s">
        <v>1140</v>
      </c>
      <c r="E3867" s="115" t="s">
        <v>1141</v>
      </c>
    </row>
    <row r="3868" spans="2:5" x14ac:dyDescent="0.25">
      <c r="B3868" s="115" t="s">
        <v>1139</v>
      </c>
      <c r="D3868" s="115" t="s">
        <v>1140</v>
      </c>
      <c r="E3868" s="115" t="s">
        <v>1141</v>
      </c>
    </row>
    <row r="3869" spans="2:5" x14ac:dyDescent="0.25">
      <c r="B3869" s="115" t="s">
        <v>1139</v>
      </c>
      <c r="D3869" s="115" t="s">
        <v>1140</v>
      </c>
      <c r="E3869" s="115" t="s">
        <v>1141</v>
      </c>
    </row>
    <row r="3870" spans="2:5" x14ac:dyDescent="0.25">
      <c r="B3870" s="115" t="s">
        <v>1139</v>
      </c>
      <c r="D3870" s="115" t="s">
        <v>1140</v>
      </c>
      <c r="E3870" s="115" t="s">
        <v>1141</v>
      </c>
    </row>
    <row r="3871" spans="2:5" x14ac:dyDescent="0.25">
      <c r="B3871" s="115" t="s">
        <v>1139</v>
      </c>
      <c r="D3871" s="115" t="s">
        <v>1140</v>
      </c>
      <c r="E3871" s="115" t="s">
        <v>1141</v>
      </c>
    </row>
    <row r="3872" spans="2:5" x14ac:dyDescent="0.25">
      <c r="B3872" s="115" t="s">
        <v>1139</v>
      </c>
      <c r="D3872" s="115" t="s">
        <v>1140</v>
      </c>
      <c r="E3872" s="115" t="s">
        <v>1141</v>
      </c>
    </row>
    <row r="3873" spans="2:5" x14ac:dyDescent="0.25">
      <c r="B3873" s="115" t="s">
        <v>1139</v>
      </c>
      <c r="D3873" s="115" t="s">
        <v>1140</v>
      </c>
      <c r="E3873" s="115" t="s">
        <v>1141</v>
      </c>
    </row>
    <row r="3874" spans="2:5" x14ac:dyDescent="0.25">
      <c r="B3874" s="115" t="s">
        <v>1139</v>
      </c>
      <c r="D3874" s="115" t="s">
        <v>1140</v>
      </c>
      <c r="E3874" s="115" t="s">
        <v>1141</v>
      </c>
    </row>
    <row r="3875" spans="2:5" x14ac:dyDescent="0.25">
      <c r="B3875" s="115" t="s">
        <v>1139</v>
      </c>
      <c r="D3875" s="115" t="s">
        <v>1140</v>
      </c>
      <c r="E3875" s="115" t="s">
        <v>1141</v>
      </c>
    </row>
    <row r="3876" spans="2:5" x14ac:dyDescent="0.25">
      <c r="B3876" s="115" t="s">
        <v>1139</v>
      </c>
      <c r="D3876" s="115" t="s">
        <v>1140</v>
      </c>
      <c r="E3876" s="115" t="s">
        <v>1141</v>
      </c>
    </row>
    <row r="3877" spans="2:5" x14ac:dyDescent="0.25">
      <c r="B3877" s="115" t="s">
        <v>1139</v>
      </c>
      <c r="D3877" s="115" t="s">
        <v>1140</v>
      </c>
      <c r="E3877" s="115" t="s">
        <v>1141</v>
      </c>
    </row>
    <row r="3878" spans="2:5" x14ac:dyDescent="0.25">
      <c r="B3878" s="115" t="s">
        <v>1139</v>
      </c>
      <c r="D3878" s="115" t="s">
        <v>1140</v>
      </c>
      <c r="E3878" s="115" t="s">
        <v>1141</v>
      </c>
    </row>
    <row r="3879" spans="2:5" x14ac:dyDescent="0.25">
      <c r="B3879" s="115" t="s">
        <v>1139</v>
      </c>
      <c r="D3879" s="115" t="s">
        <v>1140</v>
      </c>
      <c r="E3879" s="115" t="s">
        <v>1141</v>
      </c>
    </row>
    <row r="3880" spans="2:5" x14ac:dyDescent="0.25">
      <c r="B3880" s="115" t="s">
        <v>1139</v>
      </c>
      <c r="D3880" s="115" t="s">
        <v>1140</v>
      </c>
      <c r="E3880" s="115" t="s">
        <v>1141</v>
      </c>
    </row>
    <row r="3881" spans="2:5" x14ac:dyDescent="0.25">
      <c r="B3881" s="115" t="s">
        <v>1139</v>
      </c>
      <c r="D3881" s="115" t="s">
        <v>1140</v>
      </c>
      <c r="E3881" s="115" t="s">
        <v>1141</v>
      </c>
    </row>
    <row r="3882" spans="2:5" x14ac:dyDescent="0.25">
      <c r="B3882" s="115" t="s">
        <v>1139</v>
      </c>
      <c r="D3882" s="115" t="s">
        <v>1140</v>
      </c>
      <c r="E3882" s="115" t="s">
        <v>1141</v>
      </c>
    </row>
    <row r="3883" spans="2:5" x14ac:dyDescent="0.25">
      <c r="B3883" s="115" t="s">
        <v>1139</v>
      </c>
      <c r="D3883" s="115" t="s">
        <v>1140</v>
      </c>
      <c r="E3883" s="115" t="s">
        <v>1141</v>
      </c>
    </row>
    <row r="3884" spans="2:5" x14ac:dyDescent="0.25">
      <c r="B3884" s="115" t="s">
        <v>1139</v>
      </c>
      <c r="D3884" s="115" t="s">
        <v>1140</v>
      </c>
      <c r="E3884" s="115" t="s">
        <v>1141</v>
      </c>
    </row>
    <row r="3885" spans="2:5" x14ac:dyDescent="0.25">
      <c r="B3885" s="115" t="s">
        <v>1139</v>
      </c>
      <c r="D3885" s="115" t="s">
        <v>1140</v>
      </c>
      <c r="E3885" s="115" t="s">
        <v>1141</v>
      </c>
    </row>
    <row r="3886" spans="2:5" x14ac:dyDescent="0.25">
      <c r="B3886" s="115" t="s">
        <v>1139</v>
      </c>
      <c r="D3886" s="115" t="s">
        <v>1140</v>
      </c>
      <c r="E3886" s="115" t="s">
        <v>1141</v>
      </c>
    </row>
    <row r="3887" spans="2:5" x14ac:dyDescent="0.25">
      <c r="B3887" s="115" t="s">
        <v>1139</v>
      </c>
      <c r="D3887" s="115" t="s">
        <v>1140</v>
      </c>
      <c r="E3887" s="115" t="s">
        <v>1141</v>
      </c>
    </row>
    <row r="3888" spans="2:5" x14ac:dyDescent="0.25">
      <c r="B3888" s="115" t="s">
        <v>1139</v>
      </c>
      <c r="D3888" s="115" t="s">
        <v>5329</v>
      </c>
      <c r="E3888" s="115" t="s">
        <v>5330</v>
      </c>
    </row>
    <row r="3889" spans="1:5" x14ac:dyDescent="0.25">
      <c r="B3889" s="115" t="s">
        <v>1390</v>
      </c>
      <c r="D3889" s="115" t="s">
        <v>5331</v>
      </c>
      <c r="E3889" s="115" t="s">
        <v>5332</v>
      </c>
    </row>
    <row r="3890" spans="1:5" x14ac:dyDescent="0.25">
      <c r="B3890" s="115" t="s">
        <v>1139</v>
      </c>
      <c r="D3890" s="115" t="s">
        <v>1140</v>
      </c>
      <c r="E3890" s="115" t="s">
        <v>5333</v>
      </c>
    </row>
    <row r="3891" spans="1:5" x14ac:dyDescent="0.2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2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2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25">
      <c r="B3894" s="115" t="s">
        <v>1613</v>
      </c>
      <c r="D3894" s="115" t="s">
        <v>1140</v>
      </c>
      <c r="E3894" s="115" t="s">
        <v>5340</v>
      </c>
    </row>
    <row r="3895" spans="1:5" x14ac:dyDescent="0.25">
      <c r="B3895" s="115" t="s">
        <v>5341</v>
      </c>
      <c r="D3895" s="115" t="s">
        <v>5342</v>
      </c>
      <c r="E3895" s="115" t="s">
        <v>5343</v>
      </c>
    </row>
    <row r="3896" spans="1:5" x14ac:dyDescent="0.2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2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25">
      <c r="B3898" s="115" t="s">
        <v>5349</v>
      </c>
      <c r="D3898" s="115" t="s">
        <v>5350</v>
      </c>
      <c r="E3898" s="115" t="s">
        <v>5351</v>
      </c>
    </row>
    <row r="3899" spans="1:5" x14ac:dyDescent="0.25">
      <c r="B3899" s="115" t="s">
        <v>1628</v>
      </c>
      <c r="D3899" s="115" t="s">
        <v>1850</v>
      </c>
      <c r="E3899" s="115" t="s">
        <v>5352</v>
      </c>
    </row>
    <row r="3900" spans="1:5" x14ac:dyDescent="0.2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2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25">
      <c r="B3902" s="115" t="s">
        <v>1412</v>
      </c>
      <c r="D3902" s="115" t="s">
        <v>3810</v>
      </c>
      <c r="E3902" s="115" t="s">
        <v>5358</v>
      </c>
    </row>
    <row r="3903" spans="1:5" x14ac:dyDescent="0.2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25">
      <c r="B3904" s="115" t="s">
        <v>1472</v>
      </c>
      <c r="D3904" s="115" t="s">
        <v>1612</v>
      </c>
      <c r="E3904" s="115" t="s">
        <v>5361</v>
      </c>
    </row>
    <row r="3905" spans="1:5" x14ac:dyDescent="0.25">
      <c r="B3905" s="115" t="s">
        <v>1139</v>
      </c>
      <c r="D3905" s="115" t="s">
        <v>1720</v>
      </c>
      <c r="E3905" s="115" t="s">
        <v>5362</v>
      </c>
    </row>
    <row r="3906" spans="1:5" x14ac:dyDescent="0.25">
      <c r="B3906" s="115" t="s">
        <v>1139</v>
      </c>
      <c r="D3906" s="115" t="s">
        <v>5363</v>
      </c>
      <c r="E3906" s="115" t="s">
        <v>5364</v>
      </c>
    </row>
    <row r="3907" spans="1:5" x14ac:dyDescent="0.25">
      <c r="B3907" s="115" t="s">
        <v>5365</v>
      </c>
      <c r="D3907" s="115" t="s">
        <v>3810</v>
      </c>
      <c r="E3907" s="115" t="s">
        <v>5366</v>
      </c>
    </row>
    <row r="3908" spans="1:5" x14ac:dyDescent="0.2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2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25">
      <c r="B3910" s="115" t="s">
        <v>1487</v>
      </c>
      <c r="D3910" s="115" t="s">
        <v>5371</v>
      </c>
      <c r="E3910" s="115" t="s">
        <v>5372</v>
      </c>
    </row>
    <row r="3911" spans="1:5" x14ac:dyDescent="0.25">
      <c r="B3911" s="115" t="s">
        <v>5373</v>
      </c>
      <c r="D3911" s="115" t="s">
        <v>5374</v>
      </c>
      <c r="E3911" s="115" t="s">
        <v>5375</v>
      </c>
    </row>
    <row r="3912" spans="1:5" x14ac:dyDescent="0.25">
      <c r="B3912" s="115" t="s">
        <v>1139</v>
      </c>
      <c r="D3912" s="115" t="s">
        <v>1140</v>
      </c>
      <c r="E3912" s="115" t="s">
        <v>1141</v>
      </c>
    </row>
    <row r="3913" spans="1:5" x14ac:dyDescent="0.25">
      <c r="B3913" s="115" t="s">
        <v>1139</v>
      </c>
      <c r="D3913" s="115" t="s">
        <v>5376</v>
      </c>
      <c r="E3913" s="115" t="s">
        <v>2537</v>
      </c>
    </row>
    <row r="3914" spans="1:5" x14ac:dyDescent="0.25">
      <c r="B3914" s="115" t="s">
        <v>5377</v>
      </c>
      <c r="D3914" s="115" t="s">
        <v>5378</v>
      </c>
      <c r="E3914" s="115" t="s">
        <v>5379</v>
      </c>
    </row>
    <row r="3915" spans="1:5" x14ac:dyDescent="0.25">
      <c r="B3915" s="115" t="s">
        <v>1162</v>
      </c>
      <c r="D3915" s="115" t="s">
        <v>5380</v>
      </c>
      <c r="E3915" s="115" t="s">
        <v>5381</v>
      </c>
    </row>
    <row r="3916" spans="1:5" x14ac:dyDescent="0.25">
      <c r="B3916" s="115" t="s">
        <v>1139</v>
      </c>
      <c r="D3916" s="115" t="s">
        <v>5382</v>
      </c>
      <c r="E3916" s="115" t="s">
        <v>1141</v>
      </c>
    </row>
    <row r="3917" spans="1:5" x14ac:dyDescent="0.25">
      <c r="B3917" s="115" t="s">
        <v>1139</v>
      </c>
      <c r="D3917" s="115" t="s">
        <v>5383</v>
      </c>
      <c r="E3917" s="115" t="s">
        <v>5384</v>
      </c>
    </row>
    <row r="3918" spans="1:5" x14ac:dyDescent="0.25">
      <c r="B3918" s="115" t="s">
        <v>5385</v>
      </c>
      <c r="D3918" s="115" t="s">
        <v>5386</v>
      </c>
      <c r="E3918" s="115" t="s">
        <v>5387</v>
      </c>
    </row>
    <row r="3919" spans="1:5" x14ac:dyDescent="0.2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25">
      <c r="B3920" s="115" t="s">
        <v>1139</v>
      </c>
      <c r="D3920" s="115" t="s">
        <v>5390</v>
      </c>
      <c r="E3920" s="115" t="s">
        <v>5391</v>
      </c>
    </row>
    <row r="3921" spans="1:5" x14ac:dyDescent="0.2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2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25">
      <c r="B3923" s="115" t="s">
        <v>5397</v>
      </c>
      <c r="D3923" s="115" t="s">
        <v>5398</v>
      </c>
      <c r="E3923" s="115" t="s">
        <v>5399</v>
      </c>
    </row>
    <row r="3924" spans="1:5" x14ac:dyDescent="0.2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25">
      <c r="B3925" s="115" t="s">
        <v>5403</v>
      </c>
      <c r="D3925" s="115" t="s">
        <v>5404</v>
      </c>
      <c r="E3925" s="115" t="s">
        <v>5405</v>
      </c>
    </row>
    <row r="3926" spans="1:5" x14ac:dyDescent="0.25">
      <c r="B3926" s="115" t="s">
        <v>1344</v>
      </c>
      <c r="D3926" s="115" t="s">
        <v>5406</v>
      </c>
      <c r="E3926" s="115" t="s">
        <v>5407</v>
      </c>
    </row>
    <row r="3927" spans="1:5" x14ac:dyDescent="0.2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25">
      <c r="B3928" s="115" t="s">
        <v>1139</v>
      </c>
      <c r="D3928" s="115" t="s">
        <v>5410</v>
      </c>
      <c r="E3928" s="115" t="s">
        <v>5411</v>
      </c>
    </row>
    <row r="3929" spans="1:5" x14ac:dyDescent="0.25">
      <c r="B3929" s="115" t="s">
        <v>1637</v>
      </c>
      <c r="D3929" s="115" t="s">
        <v>5412</v>
      </c>
      <c r="E3929" s="115" t="s">
        <v>5413</v>
      </c>
    </row>
    <row r="3930" spans="1:5" x14ac:dyDescent="0.2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25">
      <c r="B3931" s="115" t="s">
        <v>5417</v>
      </c>
      <c r="D3931" s="115" t="s">
        <v>1640</v>
      </c>
      <c r="E3931" s="115" t="s">
        <v>1141</v>
      </c>
    </row>
    <row r="3932" spans="1:5" x14ac:dyDescent="0.25">
      <c r="B3932" s="115" t="s">
        <v>5418</v>
      </c>
      <c r="D3932" s="115" t="s">
        <v>5419</v>
      </c>
      <c r="E3932" s="115" t="s">
        <v>2260</v>
      </c>
    </row>
    <row r="3933" spans="1:5" x14ac:dyDescent="0.25">
      <c r="B3933" s="115" t="s">
        <v>5420</v>
      </c>
      <c r="D3933" s="115" t="s">
        <v>5421</v>
      </c>
      <c r="E3933" s="115" t="s">
        <v>5422</v>
      </c>
    </row>
    <row r="3934" spans="1:5" x14ac:dyDescent="0.25">
      <c r="B3934" s="115" t="s">
        <v>5423</v>
      </c>
      <c r="D3934" s="115" t="s">
        <v>5424</v>
      </c>
      <c r="E3934" s="115" t="s">
        <v>5425</v>
      </c>
    </row>
    <row r="3935" spans="1:5" x14ac:dyDescent="0.25">
      <c r="B3935" s="115" t="s">
        <v>5426</v>
      </c>
      <c r="D3935" s="115" t="s">
        <v>5427</v>
      </c>
      <c r="E3935" s="115" t="s">
        <v>5428</v>
      </c>
    </row>
    <row r="3936" spans="1:5" x14ac:dyDescent="0.25">
      <c r="B3936" s="115" t="s">
        <v>1139</v>
      </c>
      <c r="D3936" s="115" t="s">
        <v>1140</v>
      </c>
      <c r="E3936" s="115" t="s">
        <v>5429</v>
      </c>
    </row>
    <row r="3937" spans="1:5" x14ac:dyDescent="0.2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25">
      <c r="B3938" s="115" t="s">
        <v>1139</v>
      </c>
      <c r="D3938" s="115" t="s">
        <v>5433</v>
      </c>
      <c r="E3938" s="115" t="s">
        <v>1141</v>
      </c>
    </row>
    <row r="3939" spans="1:5" x14ac:dyDescent="0.25">
      <c r="B3939" s="115" t="s">
        <v>1139</v>
      </c>
      <c r="D3939" s="115" t="s">
        <v>1140</v>
      </c>
      <c r="E3939" s="115" t="s">
        <v>1141</v>
      </c>
    </row>
    <row r="3940" spans="1:5" x14ac:dyDescent="0.25">
      <c r="B3940" s="115" t="s">
        <v>2290</v>
      </c>
      <c r="D3940" s="115" t="s">
        <v>1140</v>
      </c>
      <c r="E3940" s="115" t="s">
        <v>5434</v>
      </c>
    </row>
    <row r="3941" spans="1:5" x14ac:dyDescent="0.2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25">
      <c r="B3942" s="115" t="s">
        <v>5438</v>
      </c>
      <c r="D3942" s="115" t="s">
        <v>5439</v>
      </c>
      <c r="E3942" s="115" t="s">
        <v>5440</v>
      </c>
    </row>
    <row r="3943" spans="1:5" x14ac:dyDescent="0.25">
      <c r="B3943" s="115" t="s">
        <v>5441</v>
      </c>
      <c r="D3943" s="115" t="s">
        <v>1140</v>
      </c>
      <c r="E3943" s="115" t="s">
        <v>1141</v>
      </c>
    </row>
    <row r="3944" spans="1:5" x14ac:dyDescent="0.25">
      <c r="B3944" s="115" t="s">
        <v>5442</v>
      </c>
      <c r="D3944" s="115" t="s">
        <v>5443</v>
      </c>
      <c r="E3944" s="115" t="s">
        <v>5444</v>
      </c>
    </row>
    <row r="3945" spans="1:5" x14ac:dyDescent="0.25">
      <c r="B3945" s="115" t="s">
        <v>1139</v>
      </c>
      <c r="D3945" s="115" t="s">
        <v>5445</v>
      </c>
      <c r="E3945" s="115" t="s">
        <v>5446</v>
      </c>
    </row>
    <row r="3946" spans="1:5" x14ac:dyDescent="0.25">
      <c r="B3946" s="115" t="s">
        <v>1139</v>
      </c>
      <c r="D3946" s="115" t="s">
        <v>5447</v>
      </c>
      <c r="E3946" s="115" t="s">
        <v>1141</v>
      </c>
    </row>
    <row r="3947" spans="1:5" x14ac:dyDescent="0.2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25">
      <c r="B3948" s="127">
        <v>41478</v>
      </c>
      <c r="D3948" s="115" t="s">
        <v>5451</v>
      </c>
      <c r="E3948" s="115" t="s">
        <v>5452</v>
      </c>
    </row>
    <row r="3949" spans="1:5" x14ac:dyDescent="0.2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2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2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2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2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25">
      <c r="B3954" s="115" t="s">
        <v>5468</v>
      </c>
      <c r="D3954" s="115" t="s">
        <v>5469</v>
      </c>
      <c r="E3954" s="115" t="s">
        <v>5470</v>
      </c>
    </row>
    <row r="3955" spans="1:5" x14ac:dyDescent="0.25">
      <c r="B3955" s="115" t="s">
        <v>1448</v>
      </c>
      <c r="D3955" s="115" t="s">
        <v>5471</v>
      </c>
      <c r="E3955" s="115" t="s">
        <v>5472</v>
      </c>
    </row>
    <row r="3956" spans="1:5" x14ac:dyDescent="0.2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25">
      <c r="B3957" s="115" t="s">
        <v>5476</v>
      </c>
      <c r="D3957" s="115" t="s">
        <v>5477</v>
      </c>
      <c r="E3957" s="115" t="s">
        <v>5478</v>
      </c>
    </row>
    <row r="3958" spans="1:5" x14ac:dyDescent="0.2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25">
      <c r="B3959" s="115" t="s">
        <v>5480</v>
      </c>
      <c r="D3959" s="115" t="s">
        <v>5481</v>
      </c>
      <c r="E3959" s="115" t="s">
        <v>5482</v>
      </c>
    </row>
    <row r="3960" spans="1:5" x14ac:dyDescent="0.2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25">
      <c r="B3961" s="115" t="s">
        <v>1288</v>
      </c>
      <c r="D3961" s="115" t="s">
        <v>5486</v>
      </c>
      <c r="E3961" s="115" t="s">
        <v>5487</v>
      </c>
    </row>
    <row r="3962" spans="1:5" x14ac:dyDescent="0.2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25">
      <c r="B3963" s="115" t="s">
        <v>1139</v>
      </c>
      <c r="D3963" s="115" t="s">
        <v>5491</v>
      </c>
      <c r="E3963" s="115" t="s">
        <v>5492</v>
      </c>
    </row>
    <row r="3964" spans="1:5" x14ac:dyDescent="0.2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2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25">
      <c r="B3966" s="115" t="s">
        <v>1139</v>
      </c>
      <c r="D3966" s="115" t="s">
        <v>1140</v>
      </c>
      <c r="E3966" s="115" t="s">
        <v>5496</v>
      </c>
    </row>
    <row r="3967" spans="1:5" x14ac:dyDescent="0.25">
      <c r="B3967" s="115" t="s">
        <v>1139</v>
      </c>
      <c r="D3967" s="115" t="s">
        <v>5497</v>
      </c>
      <c r="E3967" s="115" t="s">
        <v>5498</v>
      </c>
    </row>
    <row r="3968" spans="1:5" x14ac:dyDescent="0.2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25">
      <c r="B3969" s="115" t="s">
        <v>1139</v>
      </c>
      <c r="D3969" s="115" t="s">
        <v>5502</v>
      </c>
      <c r="E3969" s="115" t="s">
        <v>5503</v>
      </c>
    </row>
    <row r="3970" spans="1:5" x14ac:dyDescent="0.25">
      <c r="B3970" s="115" t="s">
        <v>1139</v>
      </c>
      <c r="D3970" s="115" t="s">
        <v>1140</v>
      </c>
      <c r="E3970" s="115" t="s">
        <v>5504</v>
      </c>
    </row>
    <row r="3971" spans="1:5" x14ac:dyDescent="0.2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25">
      <c r="B3972" s="115" t="s">
        <v>5507</v>
      </c>
      <c r="D3972" s="115" t="s">
        <v>5508</v>
      </c>
      <c r="E3972" s="115" t="s">
        <v>2260</v>
      </c>
    </row>
    <row r="3973" spans="1:5" x14ac:dyDescent="0.25">
      <c r="B3973" s="115" t="s">
        <v>5509</v>
      </c>
      <c r="D3973" s="115" t="s">
        <v>1140</v>
      </c>
      <c r="E3973" s="115" t="s">
        <v>5510</v>
      </c>
    </row>
    <row r="3974" spans="1:5" x14ac:dyDescent="0.2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25">
      <c r="B3975" s="115" t="s">
        <v>1139</v>
      </c>
      <c r="D3975" s="115" t="s">
        <v>5513</v>
      </c>
      <c r="E3975" s="115" t="s">
        <v>5514</v>
      </c>
    </row>
    <row r="3976" spans="1:5" x14ac:dyDescent="0.2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2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25">
      <c r="B3978" s="115" t="s">
        <v>5520</v>
      </c>
      <c r="D3978" s="115" t="s">
        <v>5521</v>
      </c>
      <c r="E3978" s="115" t="s">
        <v>5522</v>
      </c>
    </row>
    <row r="3979" spans="1:5" x14ac:dyDescent="0.25">
      <c r="B3979" s="115" t="s">
        <v>5523</v>
      </c>
      <c r="D3979" s="115" t="s">
        <v>1140</v>
      </c>
      <c r="E3979" s="115" t="s">
        <v>5524</v>
      </c>
    </row>
    <row r="3980" spans="1:5" x14ac:dyDescent="0.2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2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2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2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25">
      <c r="B3984" s="115" t="s">
        <v>5536</v>
      </c>
      <c r="D3984" s="115" t="s">
        <v>5537</v>
      </c>
      <c r="E3984" s="115" t="s">
        <v>5538</v>
      </c>
    </row>
    <row r="3985" spans="1:5" x14ac:dyDescent="0.25">
      <c r="B3985" s="115" t="s">
        <v>1139</v>
      </c>
      <c r="D3985" s="115" t="s">
        <v>1140</v>
      </c>
      <c r="E3985" s="115" t="s">
        <v>5539</v>
      </c>
    </row>
    <row r="3986" spans="1:5" x14ac:dyDescent="0.2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2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25">
      <c r="B3988" s="115" t="s">
        <v>5544</v>
      </c>
      <c r="D3988" s="115" t="s">
        <v>1140</v>
      </c>
      <c r="E3988" s="115" t="s">
        <v>5545</v>
      </c>
    </row>
    <row r="3989" spans="1:5" x14ac:dyDescent="0.2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2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2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2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25">
      <c r="B3993" s="115" t="s">
        <v>1139</v>
      </c>
      <c r="D3993" s="115" t="s">
        <v>1140</v>
      </c>
      <c r="E3993" s="115" t="s">
        <v>5553</v>
      </c>
    </row>
    <row r="3994" spans="1:5" x14ac:dyDescent="0.2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25">
      <c r="B3995" s="115" t="s">
        <v>1139</v>
      </c>
      <c r="D3995" s="115" t="s">
        <v>5557</v>
      </c>
      <c r="E3995" s="115" t="s">
        <v>5558</v>
      </c>
    </row>
    <row r="3996" spans="1:5" x14ac:dyDescent="0.25">
      <c r="B3996" s="115" t="s">
        <v>5559</v>
      </c>
      <c r="D3996" s="115" t="s">
        <v>5560</v>
      </c>
      <c r="E3996" s="115" t="s">
        <v>5561</v>
      </c>
    </row>
    <row r="3997" spans="1:5" x14ac:dyDescent="0.25">
      <c r="B3997" s="115" t="s">
        <v>1139</v>
      </c>
      <c r="D3997" s="115" t="s">
        <v>1140</v>
      </c>
      <c r="E3997" s="115" t="s">
        <v>5562</v>
      </c>
    </row>
    <row r="3998" spans="1:5" x14ac:dyDescent="0.2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2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2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25">
      <c r="B4001" s="115" t="s">
        <v>5569</v>
      </c>
      <c r="D4001" s="115" t="s">
        <v>1140</v>
      </c>
      <c r="E4001" s="115" t="s">
        <v>5570</v>
      </c>
    </row>
    <row r="4002" spans="1:5" x14ac:dyDescent="0.25">
      <c r="B4002" s="115" t="s">
        <v>1477</v>
      </c>
      <c r="D4002" s="115" t="s">
        <v>5571</v>
      </c>
      <c r="E4002" s="115" t="s">
        <v>5572</v>
      </c>
    </row>
    <row r="4003" spans="1:5" x14ac:dyDescent="0.25">
      <c r="B4003" s="115" t="s">
        <v>1323</v>
      </c>
      <c r="D4003" s="115" t="s">
        <v>2058</v>
      </c>
      <c r="E4003" s="115" t="s">
        <v>5573</v>
      </c>
    </row>
    <row r="4004" spans="1:5" x14ac:dyDescent="0.25">
      <c r="B4004" s="115" t="s">
        <v>5574</v>
      </c>
      <c r="D4004" s="115" t="s">
        <v>5575</v>
      </c>
      <c r="E4004" s="115" t="s">
        <v>5576</v>
      </c>
    </row>
    <row r="4005" spans="1:5" x14ac:dyDescent="0.25">
      <c r="B4005" s="115">
        <f>-14   -138</f>
        <v>-152</v>
      </c>
      <c r="D4005" s="115" t="s">
        <v>5577</v>
      </c>
      <c r="E4005" s="115" t="s">
        <v>5578</v>
      </c>
    </row>
    <row r="4006" spans="1:5" x14ac:dyDescent="0.25">
      <c r="B4006" s="115" t="s">
        <v>5579</v>
      </c>
      <c r="D4006" s="115" t="s">
        <v>5580</v>
      </c>
      <c r="E4006" s="115" t="s">
        <v>5581</v>
      </c>
    </row>
    <row r="4007" spans="1:5" x14ac:dyDescent="0.25">
      <c r="B4007" s="115" t="s">
        <v>5582</v>
      </c>
      <c r="D4007" s="115" t="s">
        <v>5583</v>
      </c>
      <c r="E4007" s="115" t="s">
        <v>5584</v>
      </c>
    </row>
    <row r="4008" spans="1:5" x14ac:dyDescent="0.25">
      <c r="B4008" s="115" t="s">
        <v>5585</v>
      </c>
      <c r="D4008" s="115" t="s">
        <v>5586</v>
      </c>
      <c r="E4008" s="115" t="s">
        <v>5587</v>
      </c>
    </row>
    <row r="4009" spans="1:5" x14ac:dyDescent="0.25">
      <c r="B4009" s="115" t="s">
        <v>1332</v>
      </c>
      <c r="D4009" s="115" t="s">
        <v>2893</v>
      </c>
      <c r="E4009" s="115" t="s">
        <v>5588</v>
      </c>
    </row>
    <row r="4010" spans="1:5" x14ac:dyDescent="0.25">
      <c r="B4010" s="115" t="s">
        <v>1459</v>
      </c>
      <c r="D4010" s="115" t="s">
        <v>5589</v>
      </c>
      <c r="E4010" s="115" t="s">
        <v>5590</v>
      </c>
    </row>
    <row r="4011" spans="1:5" x14ac:dyDescent="0.2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25">
      <c r="B4012" s="115" t="s">
        <v>1139</v>
      </c>
      <c r="D4012" s="115" t="s">
        <v>5593</v>
      </c>
      <c r="E4012" s="115" t="s">
        <v>5594</v>
      </c>
    </row>
    <row r="4013" spans="1:5" x14ac:dyDescent="0.25">
      <c r="B4013" s="115" t="s">
        <v>1139</v>
      </c>
      <c r="D4013" s="115" t="s">
        <v>5595</v>
      </c>
      <c r="E4013" s="115" t="s">
        <v>5596</v>
      </c>
    </row>
    <row r="4014" spans="1:5" x14ac:dyDescent="0.2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2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2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25">
      <c r="B4017" s="115" t="s">
        <v>5604</v>
      </c>
      <c r="D4017" s="115" t="s">
        <v>5605</v>
      </c>
      <c r="E4017" s="115" t="s">
        <v>5606</v>
      </c>
    </row>
    <row r="4018" spans="1:5" x14ac:dyDescent="0.2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25">
      <c r="B4019" s="115" t="s">
        <v>1139</v>
      </c>
      <c r="D4019" s="115" t="s">
        <v>1140</v>
      </c>
      <c r="E4019" s="115" t="s">
        <v>1141</v>
      </c>
    </row>
    <row r="4020" spans="1:5" x14ac:dyDescent="0.25">
      <c r="B4020" s="115" t="s">
        <v>1139</v>
      </c>
      <c r="D4020" s="115" t="s">
        <v>2513</v>
      </c>
      <c r="E4020" s="115" t="s">
        <v>1859</v>
      </c>
    </row>
    <row r="4021" spans="1:5" x14ac:dyDescent="0.25">
      <c r="B4021" s="115" t="s">
        <v>5609</v>
      </c>
      <c r="D4021" s="115" t="s">
        <v>5610</v>
      </c>
      <c r="E4021" s="115" t="s">
        <v>5611</v>
      </c>
    </row>
    <row r="4022" spans="1:5" x14ac:dyDescent="0.2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25">
      <c r="B4023" s="115" t="s">
        <v>3061</v>
      </c>
      <c r="D4023" s="115" t="s">
        <v>5615</v>
      </c>
      <c r="E4023" s="115" t="s">
        <v>5616</v>
      </c>
    </row>
    <row r="4024" spans="1:5" x14ac:dyDescent="0.25">
      <c r="B4024" s="115" t="s">
        <v>1139</v>
      </c>
      <c r="D4024" s="115" t="s">
        <v>1140</v>
      </c>
      <c r="E4024" s="115" t="s">
        <v>5617</v>
      </c>
    </row>
    <row r="4025" spans="1:5" x14ac:dyDescent="0.2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2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25">
      <c r="B4027" s="115" t="s">
        <v>5623</v>
      </c>
      <c r="D4027" s="115" t="s">
        <v>1140</v>
      </c>
      <c r="E4027" s="115" t="s">
        <v>5624</v>
      </c>
    </row>
    <row r="4028" spans="1:5" x14ac:dyDescent="0.25">
      <c r="B4028" s="115" t="s">
        <v>1396</v>
      </c>
      <c r="D4028" s="115" t="s">
        <v>1140</v>
      </c>
      <c r="E4028" s="115" t="s">
        <v>5625</v>
      </c>
    </row>
    <row r="4029" spans="1:5" x14ac:dyDescent="0.25">
      <c r="B4029" s="115" t="s">
        <v>5626</v>
      </c>
      <c r="D4029" s="115" t="s">
        <v>5627</v>
      </c>
      <c r="E4029" s="115" t="s">
        <v>5628</v>
      </c>
    </row>
    <row r="4030" spans="1:5" x14ac:dyDescent="0.25">
      <c r="B4030" s="115" t="s">
        <v>5629</v>
      </c>
      <c r="D4030" s="115" t="s">
        <v>2340</v>
      </c>
      <c r="E4030" s="115" t="s">
        <v>5630</v>
      </c>
    </row>
    <row r="4031" spans="1:5" x14ac:dyDescent="0.25">
      <c r="B4031" s="115">
        <f>-53   -545</f>
        <v>-598</v>
      </c>
      <c r="D4031" s="115" t="s">
        <v>5631</v>
      </c>
      <c r="E4031" s="115" t="s">
        <v>5632</v>
      </c>
    </row>
    <row r="4032" spans="1:5" x14ac:dyDescent="0.2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2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2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2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2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25">
      <c r="B4037" s="115" t="s">
        <v>1509</v>
      </c>
      <c r="D4037" s="115" t="s">
        <v>5642</v>
      </c>
      <c r="E4037" s="115" t="s">
        <v>5643</v>
      </c>
    </row>
    <row r="4038" spans="1:5" x14ac:dyDescent="0.2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25">
      <c r="B4039" s="115" t="s">
        <v>1139</v>
      </c>
      <c r="D4039" s="115" t="s">
        <v>5646</v>
      </c>
      <c r="E4039" s="115" t="s">
        <v>5647</v>
      </c>
    </row>
    <row r="4040" spans="1:5" x14ac:dyDescent="0.25">
      <c r="B4040" s="115" t="s">
        <v>1139</v>
      </c>
      <c r="D4040" s="115" t="s">
        <v>5648</v>
      </c>
      <c r="E4040" s="115" t="s">
        <v>5649</v>
      </c>
    </row>
    <row r="4041" spans="1:5" x14ac:dyDescent="0.2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2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2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2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2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25">
      <c r="B4046" s="115" t="s">
        <v>1139</v>
      </c>
      <c r="D4046" s="115" t="s">
        <v>1140</v>
      </c>
      <c r="E4046" s="115" t="s">
        <v>1141</v>
      </c>
    </row>
    <row r="4047" spans="1:5" x14ac:dyDescent="0.25">
      <c r="B4047" s="115" t="s">
        <v>1139</v>
      </c>
      <c r="D4047" s="115" t="s">
        <v>4124</v>
      </c>
      <c r="E4047" s="115" t="s">
        <v>1819</v>
      </c>
    </row>
    <row r="4048" spans="1:5" x14ac:dyDescent="0.2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2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25">
      <c r="B4050" s="115" t="s">
        <v>1139</v>
      </c>
      <c r="D4050" s="115" t="s">
        <v>1140</v>
      </c>
      <c r="E4050" s="115" t="s">
        <v>1141</v>
      </c>
    </row>
    <row r="4051" spans="2:5" x14ac:dyDescent="0.25">
      <c r="B4051" s="115" t="s">
        <v>1139</v>
      </c>
      <c r="D4051" s="115" t="s">
        <v>1140</v>
      </c>
      <c r="E4051" s="115" t="s">
        <v>1141</v>
      </c>
    </row>
    <row r="4052" spans="2:5" x14ac:dyDescent="0.25">
      <c r="B4052" s="115" t="s">
        <v>1139</v>
      </c>
      <c r="D4052" s="115" t="s">
        <v>1140</v>
      </c>
      <c r="E4052" s="115" t="s">
        <v>1141</v>
      </c>
    </row>
    <row r="4053" spans="2:5" x14ac:dyDescent="0.25">
      <c r="B4053" s="115" t="s">
        <v>1139</v>
      </c>
      <c r="D4053" s="115" t="s">
        <v>1140</v>
      </c>
      <c r="E4053" s="115" t="s">
        <v>1141</v>
      </c>
    </row>
    <row r="4054" spans="2:5" x14ac:dyDescent="0.25">
      <c r="B4054" s="115" t="s">
        <v>1139</v>
      </c>
      <c r="D4054" s="115" t="s">
        <v>1140</v>
      </c>
      <c r="E4054" s="115" t="s">
        <v>1141</v>
      </c>
    </row>
    <row r="4055" spans="2:5" x14ac:dyDescent="0.25">
      <c r="B4055" s="115" t="s">
        <v>1139</v>
      </c>
      <c r="D4055" s="115" t="s">
        <v>1140</v>
      </c>
      <c r="E4055" s="115" t="s">
        <v>1141</v>
      </c>
    </row>
    <row r="4056" spans="2:5" x14ac:dyDescent="0.25">
      <c r="B4056" s="115" t="s">
        <v>1139</v>
      </c>
      <c r="D4056" s="115" t="s">
        <v>1140</v>
      </c>
      <c r="E4056" s="115" t="s">
        <v>1141</v>
      </c>
    </row>
    <row r="4057" spans="2:5" x14ac:dyDescent="0.25">
      <c r="B4057" s="115" t="s">
        <v>1139</v>
      </c>
      <c r="D4057" s="115" t="s">
        <v>1140</v>
      </c>
      <c r="E4057" s="115" t="s">
        <v>1141</v>
      </c>
    </row>
    <row r="4058" spans="2:5" x14ac:dyDescent="0.25">
      <c r="B4058" s="115" t="s">
        <v>1139</v>
      </c>
      <c r="D4058" s="115" t="s">
        <v>1140</v>
      </c>
      <c r="E4058" s="115" t="s">
        <v>1141</v>
      </c>
    </row>
    <row r="4059" spans="2:5" x14ac:dyDescent="0.25">
      <c r="B4059" s="115" t="s">
        <v>1139</v>
      </c>
      <c r="D4059" s="115" t="s">
        <v>1140</v>
      </c>
      <c r="E4059" s="115" t="s">
        <v>1141</v>
      </c>
    </row>
    <row r="4060" spans="2:5" x14ac:dyDescent="0.25">
      <c r="B4060" s="115" t="s">
        <v>1139</v>
      </c>
      <c r="D4060" s="115" t="s">
        <v>1140</v>
      </c>
      <c r="E4060" s="115" t="s">
        <v>1141</v>
      </c>
    </row>
    <row r="4061" spans="2:5" x14ac:dyDescent="0.25">
      <c r="B4061" s="115" t="s">
        <v>1139</v>
      </c>
      <c r="D4061" s="115" t="s">
        <v>1140</v>
      </c>
      <c r="E4061" s="115" t="s">
        <v>1141</v>
      </c>
    </row>
    <row r="4062" spans="2:5" x14ac:dyDescent="0.25">
      <c r="B4062" s="115" t="s">
        <v>1139</v>
      </c>
      <c r="D4062" s="115" t="s">
        <v>1140</v>
      </c>
      <c r="E4062" s="115" t="s">
        <v>1141</v>
      </c>
    </row>
    <row r="4063" spans="2:5" x14ac:dyDescent="0.25">
      <c r="B4063" s="115" t="s">
        <v>1139</v>
      </c>
      <c r="D4063" s="115" t="s">
        <v>1140</v>
      </c>
      <c r="E4063" s="115" t="s">
        <v>1141</v>
      </c>
    </row>
    <row r="4064" spans="2:5" x14ac:dyDescent="0.25">
      <c r="B4064" s="115" t="s">
        <v>1139</v>
      </c>
      <c r="D4064" s="115" t="s">
        <v>1140</v>
      </c>
      <c r="E4064" s="115" t="s">
        <v>1141</v>
      </c>
    </row>
    <row r="4065" spans="1:5" x14ac:dyDescent="0.25">
      <c r="B4065" s="115" t="s">
        <v>1139</v>
      </c>
      <c r="D4065" s="115" t="s">
        <v>1140</v>
      </c>
      <c r="E4065" s="115" t="s">
        <v>1141</v>
      </c>
    </row>
    <row r="4066" spans="1:5" x14ac:dyDescent="0.25">
      <c r="B4066" s="115" t="s">
        <v>1139</v>
      </c>
      <c r="D4066" s="115" t="s">
        <v>1140</v>
      </c>
      <c r="E4066" s="115" t="s">
        <v>1141</v>
      </c>
    </row>
    <row r="4067" spans="1:5" x14ac:dyDescent="0.25">
      <c r="B4067" s="115" t="s">
        <v>1139</v>
      </c>
      <c r="D4067" s="115" t="s">
        <v>1140</v>
      </c>
      <c r="E4067" s="115" t="s">
        <v>1141</v>
      </c>
    </row>
    <row r="4068" spans="1:5" x14ac:dyDescent="0.25">
      <c r="B4068" s="115" t="s">
        <v>1139</v>
      </c>
      <c r="D4068" s="115" t="s">
        <v>1140</v>
      </c>
      <c r="E4068" s="115" t="s">
        <v>1141</v>
      </c>
    </row>
    <row r="4069" spans="1:5" x14ac:dyDescent="0.25">
      <c r="B4069" s="115" t="s">
        <v>1139</v>
      </c>
      <c r="D4069" s="115" t="s">
        <v>1140</v>
      </c>
      <c r="E4069" s="115" t="s">
        <v>1141</v>
      </c>
    </row>
    <row r="4070" spans="1:5" x14ac:dyDescent="0.25">
      <c r="B4070" s="115" t="s">
        <v>1139</v>
      </c>
      <c r="D4070" s="115" t="s">
        <v>1140</v>
      </c>
      <c r="E4070" s="115" t="s">
        <v>1141</v>
      </c>
    </row>
    <row r="4071" spans="1:5" x14ac:dyDescent="0.25">
      <c r="B4071" s="115" t="s">
        <v>1139</v>
      </c>
      <c r="D4071" s="115" t="s">
        <v>1140</v>
      </c>
      <c r="E4071" s="115" t="s">
        <v>1141</v>
      </c>
    </row>
    <row r="4072" spans="1:5" x14ac:dyDescent="0.25">
      <c r="B4072" s="115" t="s">
        <v>1139</v>
      </c>
      <c r="D4072" s="115" t="s">
        <v>1140</v>
      </c>
      <c r="E4072" s="115" t="s">
        <v>1141</v>
      </c>
    </row>
    <row r="4073" spans="1:5" x14ac:dyDescent="0.25">
      <c r="B4073" s="115" t="s">
        <v>1139</v>
      </c>
      <c r="D4073" s="115" t="s">
        <v>1140</v>
      </c>
      <c r="E4073" s="115" t="s">
        <v>1141</v>
      </c>
    </row>
    <row r="4074" spans="1:5" x14ac:dyDescent="0.25">
      <c r="B4074" s="115" t="s">
        <v>1139</v>
      </c>
      <c r="D4074" s="115" t="s">
        <v>1140</v>
      </c>
      <c r="E4074" s="115" t="s">
        <v>1141</v>
      </c>
    </row>
    <row r="4075" spans="1:5" x14ac:dyDescent="0.25">
      <c r="B4075" s="115" t="s">
        <v>1139</v>
      </c>
      <c r="D4075" s="115" t="s">
        <v>1140</v>
      </c>
      <c r="E4075" s="115" t="s">
        <v>1141</v>
      </c>
    </row>
    <row r="4076" spans="1:5" x14ac:dyDescent="0.25">
      <c r="B4076" s="115" t="s">
        <v>1139</v>
      </c>
      <c r="D4076" s="115" t="s">
        <v>1140</v>
      </c>
      <c r="E4076" s="115" t="s">
        <v>5666</v>
      </c>
    </row>
    <row r="4077" spans="1:5" x14ac:dyDescent="0.2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2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25">
      <c r="B4079" s="115" t="s">
        <v>5671</v>
      </c>
      <c r="D4079" s="115" t="s">
        <v>5672</v>
      </c>
      <c r="E4079" s="115" t="s">
        <v>5673</v>
      </c>
    </row>
    <row r="4080" spans="1:5" x14ac:dyDescent="0.25">
      <c r="B4080" s="115" t="s">
        <v>1139</v>
      </c>
      <c r="D4080" s="115" t="s">
        <v>5674</v>
      </c>
      <c r="E4080" s="115" t="s">
        <v>5675</v>
      </c>
    </row>
    <row r="4081" spans="1:5" x14ac:dyDescent="0.25">
      <c r="B4081" s="115" t="s">
        <v>1139</v>
      </c>
      <c r="D4081" s="115" t="s">
        <v>5676</v>
      </c>
      <c r="E4081" s="115" t="s">
        <v>1141</v>
      </c>
    </row>
    <row r="4082" spans="1:5" x14ac:dyDescent="0.2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2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2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2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2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25">
      <c r="B4087" s="115">
        <f>-7   -523</f>
        <v>-530</v>
      </c>
      <c r="D4087" s="115" t="s">
        <v>5692</v>
      </c>
      <c r="E4087" s="115" t="s">
        <v>5693</v>
      </c>
    </row>
    <row r="4088" spans="1:5" x14ac:dyDescent="0.2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2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25">
      <c r="B4090" s="115" t="s">
        <v>5700</v>
      </c>
      <c r="D4090" s="115" t="s">
        <v>5701</v>
      </c>
      <c r="E4090" s="115" t="s">
        <v>5702</v>
      </c>
    </row>
    <row r="4091" spans="1:5" x14ac:dyDescent="0.2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2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25">
      <c r="B4093" s="115" t="s">
        <v>1251</v>
      </c>
      <c r="D4093" s="115" t="s">
        <v>1140</v>
      </c>
      <c r="E4093" s="115" t="s">
        <v>5708</v>
      </c>
    </row>
    <row r="4094" spans="1:5" x14ac:dyDescent="0.25">
      <c r="B4094" s="115" t="s">
        <v>5709</v>
      </c>
      <c r="D4094" s="115" t="s">
        <v>5710</v>
      </c>
      <c r="E4094" s="115" t="s">
        <v>5711</v>
      </c>
    </row>
    <row r="4095" spans="1:5" x14ac:dyDescent="0.2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25">
      <c r="B4096" s="115" t="s">
        <v>1225</v>
      </c>
      <c r="D4096" s="115" t="s">
        <v>5715</v>
      </c>
      <c r="E4096" s="115" t="s">
        <v>5716</v>
      </c>
    </row>
    <row r="4097" spans="1:5" x14ac:dyDescent="0.2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25">
      <c r="B4098" s="115" t="s">
        <v>1139</v>
      </c>
      <c r="D4098" s="115" t="s">
        <v>5720</v>
      </c>
      <c r="E4098" s="115" t="s">
        <v>5721</v>
      </c>
    </row>
    <row r="4099" spans="1:5" x14ac:dyDescent="0.25">
      <c r="B4099" s="115" t="s">
        <v>1139</v>
      </c>
      <c r="D4099" s="115" t="s">
        <v>5722</v>
      </c>
      <c r="E4099" s="115" t="s">
        <v>2690</v>
      </c>
    </row>
    <row r="4100" spans="1:5" x14ac:dyDescent="0.25">
      <c r="B4100" s="115" t="s">
        <v>5723</v>
      </c>
      <c r="D4100" s="115" t="s">
        <v>5724</v>
      </c>
      <c r="E4100" s="115" t="s">
        <v>1141</v>
      </c>
    </row>
    <row r="4101" spans="1:5" x14ac:dyDescent="0.25">
      <c r="B4101" s="115" t="s">
        <v>1139</v>
      </c>
      <c r="D4101" s="115" t="s">
        <v>1140</v>
      </c>
      <c r="E4101" s="115" t="s">
        <v>5725</v>
      </c>
    </row>
    <row r="4102" spans="1:5" x14ac:dyDescent="0.25">
      <c r="B4102" s="115" t="s">
        <v>1139</v>
      </c>
      <c r="D4102" s="115" t="s">
        <v>5726</v>
      </c>
      <c r="E4102" s="115" t="s">
        <v>5727</v>
      </c>
    </row>
    <row r="4103" spans="1:5" x14ac:dyDescent="0.2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25">
      <c r="B4104" s="115" t="s">
        <v>5731</v>
      </c>
      <c r="D4104" s="115" t="s">
        <v>5732</v>
      </c>
      <c r="E4104" s="115" t="s">
        <v>5733</v>
      </c>
    </row>
    <row r="4105" spans="1:5" x14ac:dyDescent="0.25">
      <c r="B4105" s="115" t="s">
        <v>1139</v>
      </c>
      <c r="D4105" s="115" t="s">
        <v>5734</v>
      </c>
      <c r="E4105" s="115" t="s">
        <v>1141</v>
      </c>
    </row>
    <row r="4106" spans="1:5" x14ac:dyDescent="0.25">
      <c r="B4106" s="115" t="s">
        <v>1139</v>
      </c>
      <c r="D4106" s="115" t="s">
        <v>5735</v>
      </c>
      <c r="E4106" s="115" t="s">
        <v>5736</v>
      </c>
    </row>
    <row r="4107" spans="1:5" x14ac:dyDescent="0.25">
      <c r="B4107" s="115" t="s">
        <v>5737</v>
      </c>
      <c r="D4107" s="115" t="s">
        <v>2022</v>
      </c>
      <c r="E4107" s="115" t="s">
        <v>5738</v>
      </c>
    </row>
    <row r="4108" spans="1:5" x14ac:dyDescent="0.2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25">
      <c r="B4109" s="115" t="s">
        <v>1139</v>
      </c>
      <c r="D4109" s="115" t="s">
        <v>5740</v>
      </c>
      <c r="E4109" s="115" t="s">
        <v>5741</v>
      </c>
    </row>
    <row r="4110" spans="1:5" x14ac:dyDescent="0.25">
      <c r="B4110" s="115" t="s">
        <v>1139</v>
      </c>
      <c r="D4110" s="115" t="s">
        <v>5742</v>
      </c>
      <c r="E4110" s="115" t="s">
        <v>5743</v>
      </c>
    </row>
    <row r="4111" spans="1:5" x14ac:dyDescent="0.25">
      <c r="B4111" s="115" t="s">
        <v>5744</v>
      </c>
      <c r="D4111" s="115" t="s">
        <v>5745</v>
      </c>
      <c r="E4111" s="115" t="s">
        <v>5746</v>
      </c>
    </row>
    <row r="4112" spans="1:5" x14ac:dyDescent="0.25">
      <c r="B4112" s="115" t="s">
        <v>5747</v>
      </c>
      <c r="D4112" s="115" t="s">
        <v>5748</v>
      </c>
      <c r="E4112" s="115" t="s">
        <v>5749</v>
      </c>
    </row>
    <row r="4113" spans="1:5" x14ac:dyDescent="0.2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2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25">
      <c r="B4115" s="115" t="s">
        <v>1177</v>
      </c>
      <c r="D4115" s="115" t="s">
        <v>5756</v>
      </c>
      <c r="E4115" s="115" t="s">
        <v>5757</v>
      </c>
    </row>
    <row r="4116" spans="1:5" x14ac:dyDescent="0.25">
      <c r="B4116" s="115" t="s">
        <v>5758</v>
      </c>
      <c r="D4116" s="115" t="s">
        <v>1534</v>
      </c>
      <c r="E4116" s="115" t="s">
        <v>5759</v>
      </c>
    </row>
    <row r="4117" spans="1:5" x14ac:dyDescent="0.25">
      <c r="B4117" s="115" t="s">
        <v>1139</v>
      </c>
      <c r="D4117" s="115" t="s">
        <v>5760</v>
      </c>
      <c r="E4117" s="115" t="s">
        <v>5761</v>
      </c>
    </row>
    <row r="4118" spans="1:5" x14ac:dyDescent="0.25">
      <c r="B4118" s="115" t="s">
        <v>5762</v>
      </c>
      <c r="D4118" s="115" t="s">
        <v>5763</v>
      </c>
      <c r="E4118" s="115" t="s">
        <v>5764</v>
      </c>
    </row>
    <row r="4119" spans="1:5" x14ac:dyDescent="0.25">
      <c r="B4119" s="115" t="s">
        <v>5765</v>
      </c>
      <c r="D4119" s="115" t="s">
        <v>5766</v>
      </c>
      <c r="E4119" s="115" t="s">
        <v>5767</v>
      </c>
    </row>
    <row r="4120" spans="1:5" x14ac:dyDescent="0.25">
      <c r="B4120" s="115" t="s">
        <v>1558</v>
      </c>
      <c r="D4120" s="115" t="s">
        <v>5768</v>
      </c>
      <c r="E4120" s="115" t="s">
        <v>1141</v>
      </c>
    </row>
    <row r="4121" spans="1:5" x14ac:dyDescent="0.25">
      <c r="B4121" s="115" t="s">
        <v>1687</v>
      </c>
      <c r="D4121" s="115" t="s">
        <v>5769</v>
      </c>
      <c r="E4121" s="115" t="s">
        <v>2082</v>
      </c>
    </row>
    <row r="4122" spans="1:5" x14ac:dyDescent="0.2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25">
      <c r="B4123" s="115" t="s">
        <v>5773</v>
      </c>
      <c r="D4123" s="115" t="s">
        <v>5774</v>
      </c>
      <c r="E4123" s="115" t="s">
        <v>5775</v>
      </c>
    </row>
    <row r="4124" spans="1:5" x14ac:dyDescent="0.25">
      <c r="B4124" s="115" t="s">
        <v>5776</v>
      </c>
      <c r="D4124" s="115" t="s">
        <v>5777</v>
      </c>
      <c r="E4124" s="115" t="s">
        <v>5778</v>
      </c>
    </row>
    <row r="4125" spans="1:5" x14ac:dyDescent="0.25">
      <c r="B4125" s="115" t="s">
        <v>1139</v>
      </c>
      <c r="D4125" s="115" t="s">
        <v>1140</v>
      </c>
      <c r="E4125" s="115" t="s">
        <v>5779</v>
      </c>
    </row>
    <row r="4126" spans="1:5" x14ac:dyDescent="0.25">
      <c r="B4126" s="115" t="s">
        <v>5780</v>
      </c>
      <c r="D4126" s="115" t="s">
        <v>5781</v>
      </c>
      <c r="E4126" s="115" t="s">
        <v>5782</v>
      </c>
    </row>
    <row r="4127" spans="1:5" x14ac:dyDescent="0.25">
      <c r="B4127" s="115" t="s">
        <v>1139</v>
      </c>
      <c r="D4127" s="115" t="s">
        <v>5783</v>
      </c>
      <c r="E4127" s="115" t="s">
        <v>1819</v>
      </c>
    </row>
    <row r="4128" spans="1:5" x14ac:dyDescent="0.25">
      <c r="B4128" s="115" t="s">
        <v>1139</v>
      </c>
      <c r="D4128" s="115" t="s">
        <v>1140</v>
      </c>
      <c r="E4128" s="115" t="s">
        <v>1141</v>
      </c>
    </row>
    <row r="4129" spans="1:5" x14ac:dyDescent="0.25">
      <c r="B4129" s="115" t="s">
        <v>5784</v>
      </c>
      <c r="D4129" s="115" t="s">
        <v>1140</v>
      </c>
      <c r="E4129" s="115" t="s">
        <v>5785</v>
      </c>
    </row>
    <row r="4130" spans="1:5" x14ac:dyDescent="0.2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2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25">
      <c r="B4132" s="115" t="s">
        <v>1627</v>
      </c>
      <c r="D4132" s="115" t="s">
        <v>1531</v>
      </c>
      <c r="E4132" s="115" t="s">
        <v>5792</v>
      </c>
    </row>
    <row r="4133" spans="1:5" x14ac:dyDescent="0.25">
      <c r="B4133" s="115" t="s">
        <v>1139</v>
      </c>
      <c r="D4133" s="115" t="s">
        <v>1140</v>
      </c>
      <c r="E4133" s="115" t="s">
        <v>5793</v>
      </c>
    </row>
    <row r="4134" spans="1:5" x14ac:dyDescent="0.25">
      <c r="B4134" s="115" t="s">
        <v>5794</v>
      </c>
      <c r="D4134" s="115" t="s">
        <v>5795</v>
      </c>
      <c r="E4134" s="115" t="s">
        <v>5796</v>
      </c>
    </row>
    <row r="4135" spans="1:5" x14ac:dyDescent="0.25">
      <c r="B4135" s="115" t="s">
        <v>1471</v>
      </c>
      <c r="D4135" s="115" t="s">
        <v>5797</v>
      </c>
      <c r="E4135" s="115" t="s">
        <v>1141</v>
      </c>
    </row>
    <row r="4136" spans="1:5" x14ac:dyDescent="0.25">
      <c r="B4136" s="115" t="s">
        <v>1604</v>
      </c>
      <c r="D4136" s="115" t="s">
        <v>1140</v>
      </c>
      <c r="E4136" s="115" t="s">
        <v>5798</v>
      </c>
    </row>
    <row r="4137" spans="1:5" x14ac:dyDescent="0.25">
      <c r="B4137" s="115" t="s">
        <v>5799</v>
      </c>
      <c r="D4137" s="115" t="s">
        <v>1140</v>
      </c>
      <c r="E4137" s="115" t="s">
        <v>5800</v>
      </c>
    </row>
    <row r="4138" spans="1:5" x14ac:dyDescent="0.25">
      <c r="B4138" s="115" t="s">
        <v>5801</v>
      </c>
      <c r="D4138" s="115" t="s">
        <v>5802</v>
      </c>
      <c r="E4138" s="115" t="s">
        <v>5803</v>
      </c>
    </row>
    <row r="4139" spans="1:5" x14ac:dyDescent="0.2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25">
      <c r="B4140" s="115" t="s">
        <v>5805</v>
      </c>
      <c r="D4140" s="115" t="s">
        <v>5806</v>
      </c>
      <c r="E4140" s="115" t="s">
        <v>5807</v>
      </c>
    </row>
    <row r="4141" spans="1:5" x14ac:dyDescent="0.2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2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2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2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2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25">
      <c r="B4146" s="115" t="s">
        <v>1568</v>
      </c>
      <c r="D4146" s="115" t="s">
        <v>5821</v>
      </c>
      <c r="E4146" s="115" t="s">
        <v>5822</v>
      </c>
    </row>
    <row r="4147" spans="1:5" x14ac:dyDescent="0.2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25">
      <c r="B4148" s="115" t="s">
        <v>1139</v>
      </c>
      <c r="D4148" s="115" t="s">
        <v>2572</v>
      </c>
      <c r="E4148" s="115" t="s">
        <v>5826</v>
      </c>
    </row>
    <row r="4149" spans="1:5" x14ac:dyDescent="0.25">
      <c r="B4149" s="115" t="s">
        <v>1139</v>
      </c>
      <c r="D4149" s="115" t="s">
        <v>4678</v>
      </c>
      <c r="E4149" s="115" t="s">
        <v>5827</v>
      </c>
    </row>
    <row r="4150" spans="1:5" x14ac:dyDescent="0.2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2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2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25">
      <c r="B4153" s="115" t="s">
        <v>5835</v>
      </c>
      <c r="D4153" s="115" t="s">
        <v>5836</v>
      </c>
      <c r="E4153" s="115" t="s">
        <v>5837</v>
      </c>
    </row>
    <row r="4154" spans="1:5" x14ac:dyDescent="0.2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25">
      <c r="B4155" s="115" t="s">
        <v>1139</v>
      </c>
      <c r="D4155" s="115" t="s">
        <v>1140</v>
      </c>
      <c r="E4155" s="115" t="s">
        <v>1141</v>
      </c>
    </row>
    <row r="4156" spans="1:5" x14ac:dyDescent="0.25">
      <c r="B4156" s="115" t="s">
        <v>1139</v>
      </c>
      <c r="D4156" s="115" t="s">
        <v>5841</v>
      </c>
      <c r="E4156" s="115" t="s">
        <v>1141</v>
      </c>
    </row>
    <row r="4157" spans="1:5" x14ac:dyDescent="0.25">
      <c r="B4157" s="115" t="s">
        <v>5842</v>
      </c>
      <c r="D4157" s="115" t="s">
        <v>5843</v>
      </c>
      <c r="E4157" s="115" t="s">
        <v>5844</v>
      </c>
    </row>
    <row r="4158" spans="1:5" x14ac:dyDescent="0.25">
      <c r="B4158" s="115" t="s">
        <v>5845</v>
      </c>
      <c r="D4158" s="115" t="s">
        <v>5846</v>
      </c>
      <c r="E4158" s="115" t="s">
        <v>5847</v>
      </c>
    </row>
    <row r="4159" spans="1:5" x14ac:dyDescent="0.2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25">
      <c r="B4160" s="115" t="s">
        <v>1139</v>
      </c>
      <c r="D4160" s="115" t="s">
        <v>5851</v>
      </c>
      <c r="E4160" s="115" t="s">
        <v>1141</v>
      </c>
    </row>
    <row r="4161" spans="1:5" x14ac:dyDescent="0.25">
      <c r="B4161" s="115" t="s">
        <v>1139</v>
      </c>
      <c r="D4161" s="115" t="s">
        <v>5852</v>
      </c>
      <c r="E4161" s="115" t="s">
        <v>5853</v>
      </c>
    </row>
    <row r="4162" spans="1:5" x14ac:dyDescent="0.2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25">
      <c r="B4163" s="115" t="s">
        <v>1139</v>
      </c>
      <c r="D4163" s="115" t="s">
        <v>3122</v>
      </c>
      <c r="E4163" s="115" t="s">
        <v>1894</v>
      </c>
    </row>
    <row r="4164" spans="1:5" x14ac:dyDescent="0.25">
      <c r="B4164" s="115" t="s">
        <v>1139</v>
      </c>
      <c r="D4164" s="115" t="s">
        <v>5857</v>
      </c>
      <c r="E4164" s="115" t="s">
        <v>5858</v>
      </c>
    </row>
    <row r="4165" spans="1:5" x14ac:dyDescent="0.25">
      <c r="B4165" s="115" t="s">
        <v>5859</v>
      </c>
      <c r="D4165" s="115" t="s">
        <v>5860</v>
      </c>
      <c r="E4165" s="115" t="s">
        <v>5861</v>
      </c>
    </row>
    <row r="4166" spans="1:5" x14ac:dyDescent="0.2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2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2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2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25">
      <c r="B4170" s="115" t="s">
        <v>5871</v>
      </c>
      <c r="D4170" s="115" t="s">
        <v>5872</v>
      </c>
      <c r="E4170" s="115" t="s">
        <v>5873</v>
      </c>
    </row>
    <row r="4171" spans="1:5" x14ac:dyDescent="0.2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25">
      <c r="B4172" s="115" t="s">
        <v>1609</v>
      </c>
      <c r="D4172" s="115" t="s">
        <v>5876</v>
      </c>
      <c r="E4172" s="115" t="s">
        <v>1702</v>
      </c>
    </row>
    <row r="4173" spans="1:5" x14ac:dyDescent="0.25">
      <c r="B4173" s="115" t="s">
        <v>5877</v>
      </c>
      <c r="D4173" s="115" t="s">
        <v>5878</v>
      </c>
      <c r="E4173" s="115" t="s">
        <v>5879</v>
      </c>
    </row>
    <row r="4174" spans="1:5" x14ac:dyDescent="0.2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2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2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2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2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2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25">
      <c r="B4180" s="115" t="s">
        <v>1139</v>
      </c>
      <c r="D4180" s="115" t="s">
        <v>1140</v>
      </c>
      <c r="E4180" s="115" t="s">
        <v>5894</v>
      </c>
    </row>
    <row r="4181" spans="1:5" x14ac:dyDescent="0.2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25">
      <c r="B4182" s="115" t="s">
        <v>1139</v>
      </c>
      <c r="D4182" s="115" t="s">
        <v>5898</v>
      </c>
      <c r="E4182" s="115" t="s">
        <v>1141</v>
      </c>
    </row>
    <row r="4183" spans="1:5" x14ac:dyDescent="0.25">
      <c r="B4183" s="115" t="s">
        <v>1139</v>
      </c>
      <c r="D4183" s="115" t="s">
        <v>1140</v>
      </c>
      <c r="E4183" s="115" t="s">
        <v>1141</v>
      </c>
    </row>
    <row r="4184" spans="1:5" x14ac:dyDescent="0.2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2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2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25">
      <c r="B4187" s="115" t="s">
        <v>1139</v>
      </c>
      <c r="D4187" s="115" t="s">
        <v>5907</v>
      </c>
      <c r="E4187" s="115" t="s">
        <v>5908</v>
      </c>
    </row>
    <row r="4188" spans="1:5" x14ac:dyDescent="0.25">
      <c r="B4188" s="115" t="s">
        <v>1139</v>
      </c>
      <c r="D4188" s="115" t="s">
        <v>1140</v>
      </c>
      <c r="E4188" s="115" t="s">
        <v>5909</v>
      </c>
    </row>
    <row r="4189" spans="1:5" x14ac:dyDescent="0.25">
      <c r="B4189" s="115" t="s">
        <v>1139</v>
      </c>
      <c r="D4189" s="115" t="s">
        <v>5910</v>
      </c>
      <c r="E4189" s="115" t="s">
        <v>5911</v>
      </c>
    </row>
    <row r="4190" spans="1:5" x14ac:dyDescent="0.25">
      <c r="B4190" s="115" t="s">
        <v>1358</v>
      </c>
      <c r="D4190" s="115" t="s">
        <v>1991</v>
      </c>
      <c r="E4190" s="115" t="s">
        <v>1859</v>
      </c>
    </row>
    <row r="4191" spans="1:5" x14ac:dyDescent="0.25">
      <c r="B4191" s="115" t="s">
        <v>1902</v>
      </c>
      <c r="D4191" s="115" t="s">
        <v>1140</v>
      </c>
      <c r="E4191" s="115" t="s">
        <v>5912</v>
      </c>
    </row>
    <row r="4192" spans="1:5" x14ac:dyDescent="0.2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25">
      <c r="B4193" s="115" t="s">
        <v>1139</v>
      </c>
      <c r="D4193" s="115" t="s">
        <v>5915</v>
      </c>
      <c r="E4193" s="115" t="s">
        <v>5916</v>
      </c>
    </row>
    <row r="4194" spans="1:5" x14ac:dyDescent="0.25">
      <c r="B4194" s="115" t="s">
        <v>5917</v>
      </c>
      <c r="D4194" s="115" t="s">
        <v>1140</v>
      </c>
      <c r="E4194" s="115" t="s">
        <v>5918</v>
      </c>
    </row>
    <row r="4195" spans="1:5" x14ac:dyDescent="0.2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2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25">
      <c r="B4197" s="115" t="s">
        <v>5924</v>
      </c>
      <c r="D4197" s="115" t="s">
        <v>1140</v>
      </c>
      <c r="E4197" s="115" t="s">
        <v>5925</v>
      </c>
    </row>
    <row r="4198" spans="1:5" x14ac:dyDescent="0.2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25">
      <c r="B4199" s="115" t="s">
        <v>5929</v>
      </c>
      <c r="D4199" s="115" t="s">
        <v>5930</v>
      </c>
      <c r="E4199" s="115" t="s">
        <v>5931</v>
      </c>
    </row>
    <row r="4200" spans="1:5" x14ac:dyDescent="0.25">
      <c r="B4200" s="115">
        <f>-67   -366</f>
        <v>-433</v>
      </c>
      <c r="D4200" s="115" t="s">
        <v>1140</v>
      </c>
      <c r="E4200" s="115" t="s">
        <v>5932</v>
      </c>
    </row>
    <row r="4201" spans="1:5" x14ac:dyDescent="0.2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25">
      <c r="B4202" s="115" t="s">
        <v>5935</v>
      </c>
      <c r="D4202" s="115" t="s">
        <v>5936</v>
      </c>
      <c r="E4202" s="115" t="s">
        <v>5937</v>
      </c>
    </row>
    <row r="4203" spans="1:5" x14ac:dyDescent="0.25">
      <c r="B4203" s="115" t="s">
        <v>1139</v>
      </c>
      <c r="D4203" s="115" t="s">
        <v>1140</v>
      </c>
      <c r="E4203" s="115" t="s">
        <v>5938</v>
      </c>
    </row>
    <row r="4204" spans="1:5" x14ac:dyDescent="0.2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2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25">
      <c r="B4206" s="115" t="s">
        <v>5943</v>
      </c>
      <c r="D4206" s="115" t="s">
        <v>1140</v>
      </c>
      <c r="E4206" s="115" t="s">
        <v>5944</v>
      </c>
    </row>
    <row r="4207" spans="1:5" x14ac:dyDescent="0.25">
      <c r="B4207" s="115" t="s">
        <v>5945</v>
      </c>
      <c r="D4207" s="115" t="s">
        <v>5946</v>
      </c>
      <c r="E4207" s="115" t="s">
        <v>1141</v>
      </c>
    </row>
    <row r="4208" spans="1:5" x14ac:dyDescent="0.25">
      <c r="B4208" s="115" t="s">
        <v>1139</v>
      </c>
      <c r="D4208" s="115" t="s">
        <v>5947</v>
      </c>
      <c r="E4208" s="115" t="s">
        <v>5948</v>
      </c>
    </row>
    <row r="4209" spans="1:5" x14ac:dyDescent="0.2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25">
      <c r="B4210" s="115" t="s">
        <v>5951</v>
      </c>
      <c r="D4210" s="115" t="s">
        <v>1140</v>
      </c>
      <c r="E4210" s="115" t="s">
        <v>1141</v>
      </c>
    </row>
    <row r="4211" spans="1:5" x14ac:dyDescent="0.25">
      <c r="B4211" s="115" t="s">
        <v>1139</v>
      </c>
      <c r="D4211" s="115" t="s">
        <v>1140</v>
      </c>
      <c r="E4211" s="115" t="s">
        <v>5952</v>
      </c>
    </row>
    <row r="4212" spans="1:5" x14ac:dyDescent="0.25">
      <c r="B4212" s="115" t="s">
        <v>1289</v>
      </c>
      <c r="D4212" s="115" t="s">
        <v>5953</v>
      </c>
      <c r="E4212" s="115" t="s">
        <v>5954</v>
      </c>
    </row>
    <row r="4213" spans="1:5" x14ac:dyDescent="0.25">
      <c r="B4213" s="115" t="s">
        <v>1139</v>
      </c>
      <c r="D4213" s="115" t="s">
        <v>5955</v>
      </c>
      <c r="E4213" s="115" t="s">
        <v>5956</v>
      </c>
    </row>
    <row r="4214" spans="1:5" x14ac:dyDescent="0.2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25">
      <c r="B4215" s="115" t="s">
        <v>5960</v>
      </c>
      <c r="D4215" s="115" t="s">
        <v>5961</v>
      </c>
      <c r="E4215" s="115" t="s">
        <v>5962</v>
      </c>
    </row>
    <row r="4216" spans="1:5" x14ac:dyDescent="0.25">
      <c r="B4216" s="115" t="s">
        <v>1139</v>
      </c>
      <c r="D4216" s="115" t="s">
        <v>3621</v>
      </c>
      <c r="E4216" s="115" t="s">
        <v>5963</v>
      </c>
    </row>
    <row r="4217" spans="1:5" x14ac:dyDescent="0.25">
      <c r="B4217" s="115" t="s">
        <v>5964</v>
      </c>
      <c r="D4217" s="115" t="s">
        <v>5965</v>
      </c>
      <c r="E4217" s="115" t="s">
        <v>5966</v>
      </c>
    </row>
    <row r="4218" spans="1:5" x14ac:dyDescent="0.25">
      <c r="B4218" s="115" t="s">
        <v>1139</v>
      </c>
      <c r="D4218" s="115" t="s">
        <v>1423</v>
      </c>
      <c r="E4218" s="115" t="s">
        <v>5967</v>
      </c>
    </row>
    <row r="4219" spans="1:5" x14ac:dyDescent="0.25">
      <c r="B4219" s="115" t="s">
        <v>1139</v>
      </c>
      <c r="D4219" s="115" t="s">
        <v>1140</v>
      </c>
      <c r="E4219" s="115" t="s">
        <v>5968</v>
      </c>
    </row>
    <row r="4220" spans="1:5" x14ac:dyDescent="0.25">
      <c r="B4220" s="115" t="s">
        <v>1139</v>
      </c>
      <c r="D4220" s="115" t="s">
        <v>5969</v>
      </c>
      <c r="E4220" s="115" t="s">
        <v>5970</v>
      </c>
    </row>
    <row r="4221" spans="1:5" x14ac:dyDescent="0.2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25">
      <c r="B4222" s="115" t="s">
        <v>1139</v>
      </c>
      <c r="D4222" s="115" t="s">
        <v>5972</v>
      </c>
      <c r="E4222" s="115" t="s">
        <v>5973</v>
      </c>
    </row>
    <row r="4223" spans="1:5" x14ac:dyDescent="0.2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25">
      <c r="B4224" s="115" t="s">
        <v>1139</v>
      </c>
      <c r="D4224" s="115" t="s">
        <v>5976</v>
      </c>
      <c r="E4224" s="115" t="s">
        <v>5977</v>
      </c>
    </row>
    <row r="4225" spans="1:5" x14ac:dyDescent="0.25">
      <c r="B4225" s="115" t="s">
        <v>1139</v>
      </c>
      <c r="D4225" s="115" t="s">
        <v>5978</v>
      </c>
      <c r="E4225" s="115" t="s">
        <v>5979</v>
      </c>
    </row>
    <row r="4226" spans="1:5" x14ac:dyDescent="0.2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25">
      <c r="B4227" s="115" t="s">
        <v>5983</v>
      </c>
      <c r="D4227" s="115" t="s">
        <v>5984</v>
      </c>
      <c r="E4227" s="115" t="s">
        <v>5985</v>
      </c>
    </row>
    <row r="4228" spans="1:5" x14ac:dyDescent="0.25">
      <c r="B4228" s="115" t="s">
        <v>1139</v>
      </c>
      <c r="D4228" s="115" t="s">
        <v>5986</v>
      </c>
      <c r="E4228" s="115" t="s">
        <v>5987</v>
      </c>
    </row>
    <row r="4229" spans="1:5" x14ac:dyDescent="0.25">
      <c r="B4229" s="115" t="s">
        <v>1139</v>
      </c>
      <c r="D4229" s="115" t="s">
        <v>5988</v>
      </c>
      <c r="E4229" s="115" t="s">
        <v>5989</v>
      </c>
    </row>
    <row r="4230" spans="1:5" x14ac:dyDescent="0.25">
      <c r="B4230" s="115" t="s">
        <v>1224</v>
      </c>
      <c r="D4230" s="115" t="s">
        <v>5990</v>
      </c>
      <c r="E4230" s="115" t="s">
        <v>1759</v>
      </c>
    </row>
    <row r="4231" spans="1:5" x14ac:dyDescent="0.25">
      <c r="B4231" s="115" t="s">
        <v>1139</v>
      </c>
      <c r="D4231" s="115" t="s">
        <v>5991</v>
      </c>
      <c r="E4231" s="115" t="s">
        <v>5992</v>
      </c>
    </row>
    <row r="4232" spans="1:5" x14ac:dyDescent="0.25">
      <c r="B4232" s="115" t="s">
        <v>1139</v>
      </c>
      <c r="D4232" s="115" t="s">
        <v>5993</v>
      </c>
      <c r="E4232" s="115" t="s">
        <v>5994</v>
      </c>
    </row>
    <row r="4233" spans="1:5" x14ac:dyDescent="0.25">
      <c r="B4233" s="115" t="s">
        <v>1139</v>
      </c>
      <c r="D4233" s="115" t="s">
        <v>5995</v>
      </c>
      <c r="E4233" s="115" t="s">
        <v>5996</v>
      </c>
    </row>
    <row r="4234" spans="1:5" x14ac:dyDescent="0.25">
      <c r="B4234" s="115" t="s">
        <v>1139</v>
      </c>
      <c r="D4234" s="115" t="s">
        <v>5997</v>
      </c>
      <c r="E4234" s="115" t="s">
        <v>5998</v>
      </c>
    </row>
    <row r="4235" spans="1:5" x14ac:dyDescent="0.2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2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25">
      <c r="B4237" s="115" t="s">
        <v>1674</v>
      </c>
      <c r="D4237" s="115" t="s">
        <v>1140</v>
      </c>
      <c r="E4237" s="115" t="s">
        <v>6004</v>
      </c>
    </row>
    <row r="4238" spans="1:5" x14ac:dyDescent="0.25">
      <c r="B4238" s="115" t="s">
        <v>1139</v>
      </c>
      <c r="D4238" s="115" t="s">
        <v>1140</v>
      </c>
      <c r="E4238" s="115" t="s">
        <v>1141</v>
      </c>
    </row>
    <row r="4239" spans="1:5" x14ac:dyDescent="0.25">
      <c r="B4239" s="115" t="s">
        <v>1139</v>
      </c>
      <c r="D4239" s="115" t="s">
        <v>1517</v>
      </c>
      <c r="E4239" s="115" t="s">
        <v>6005</v>
      </c>
    </row>
    <row r="4240" spans="1:5" x14ac:dyDescent="0.2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2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2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25">
      <c r="B4243" s="115" t="s">
        <v>1139</v>
      </c>
      <c r="D4243" s="115" t="s">
        <v>6015</v>
      </c>
      <c r="E4243" s="115" t="s">
        <v>1141</v>
      </c>
    </row>
    <row r="4244" spans="1:5" x14ac:dyDescent="0.25">
      <c r="B4244" s="115" t="s">
        <v>1139</v>
      </c>
      <c r="D4244" s="115" t="s">
        <v>6016</v>
      </c>
      <c r="E4244" s="115" t="s">
        <v>6017</v>
      </c>
    </row>
    <row r="4245" spans="1:5" x14ac:dyDescent="0.2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25">
      <c r="B4246" s="115" t="s">
        <v>1223</v>
      </c>
      <c r="D4246" s="115" t="s">
        <v>1140</v>
      </c>
      <c r="E4246" s="115" t="s">
        <v>1647</v>
      </c>
    </row>
    <row r="4247" spans="1:5" x14ac:dyDescent="0.25">
      <c r="B4247" s="115" t="s">
        <v>1139</v>
      </c>
      <c r="D4247" s="115" t="s">
        <v>6020</v>
      </c>
      <c r="E4247" s="115" t="s">
        <v>6021</v>
      </c>
    </row>
    <row r="4248" spans="1:5" x14ac:dyDescent="0.25">
      <c r="B4248" s="115" t="s">
        <v>1139</v>
      </c>
      <c r="D4248" s="115" t="s">
        <v>6022</v>
      </c>
      <c r="E4248" s="115" t="s">
        <v>6023</v>
      </c>
    </row>
    <row r="4249" spans="1:5" x14ac:dyDescent="0.25">
      <c r="B4249" s="115" t="s">
        <v>6024</v>
      </c>
      <c r="D4249" s="115" t="s">
        <v>6025</v>
      </c>
      <c r="E4249" s="115" t="s">
        <v>6026</v>
      </c>
    </row>
    <row r="4250" spans="1:5" x14ac:dyDescent="0.25">
      <c r="B4250" s="115" t="s">
        <v>1586</v>
      </c>
      <c r="D4250" s="115" t="s">
        <v>6027</v>
      </c>
      <c r="E4250" s="115" t="s">
        <v>6028</v>
      </c>
    </row>
    <row r="4251" spans="1:5" x14ac:dyDescent="0.2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25">
      <c r="B4252" s="115" t="s">
        <v>6032</v>
      </c>
      <c r="D4252" s="115" t="s">
        <v>6033</v>
      </c>
      <c r="E4252" s="115" t="s">
        <v>6034</v>
      </c>
    </row>
    <row r="4253" spans="1:5" x14ac:dyDescent="0.25">
      <c r="B4253" s="115" t="s">
        <v>6035</v>
      </c>
      <c r="D4253" s="115" t="s">
        <v>6036</v>
      </c>
      <c r="E4253" s="115" t="s">
        <v>6037</v>
      </c>
    </row>
    <row r="4254" spans="1:5" x14ac:dyDescent="0.2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25">
      <c r="B4255" s="115" t="s">
        <v>1139</v>
      </c>
      <c r="D4255" s="115" t="s">
        <v>6041</v>
      </c>
      <c r="E4255" s="115" t="s">
        <v>6042</v>
      </c>
    </row>
    <row r="4256" spans="1:5" x14ac:dyDescent="0.25">
      <c r="B4256" s="115" t="s">
        <v>6043</v>
      </c>
      <c r="D4256" s="115" t="s">
        <v>6044</v>
      </c>
      <c r="E4256" s="115" t="s">
        <v>6045</v>
      </c>
    </row>
    <row r="4257" spans="1:5" x14ac:dyDescent="0.25">
      <c r="B4257" s="115" t="s">
        <v>6046</v>
      </c>
      <c r="D4257" s="115" t="s">
        <v>6047</v>
      </c>
      <c r="E4257" s="115" t="s">
        <v>6048</v>
      </c>
    </row>
    <row r="4258" spans="1:5" x14ac:dyDescent="0.25">
      <c r="B4258" s="115" t="s">
        <v>1320</v>
      </c>
      <c r="D4258" s="115" t="s">
        <v>6049</v>
      </c>
      <c r="E4258" s="115" t="s">
        <v>1141</v>
      </c>
    </row>
    <row r="4259" spans="1:5" x14ac:dyDescent="0.25">
      <c r="B4259" s="115" t="s">
        <v>6050</v>
      </c>
      <c r="D4259" s="115" t="s">
        <v>6051</v>
      </c>
      <c r="E4259" s="115" t="s">
        <v>1859</v>
      </c>
    </row>
    <row r="4260" spans="1:5" x14ac:dyDescent="0.2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25">
      <c r="B4261" s="115" t="s">
        <v>1475</v>
      </c>
      <c r="D4261" s="115" t="s">
        <v>3857</v>
      </c>
      <c r="E4261" s="115" t="s">
        <v>6055</v>
      </c>
    </row>
    <row r="4262" spans="1:5" x14ac:dyDescent="0.25">
      <c r="B4262" s="115" t="s">
        <v>6056</v>
      </c>
      <c r="D4262" s="115" t="s">
        <v>6057</v>
      </c>
      <c r="E4262" s="115" t="s">
        <v>6058</v>
      </c>
    </row>
    <row r="4263" spans="1:5" x14ac:dyDescent="0.25">
      <c r="B4263" s="115" t="s">
        <v>1139</v>
      </c>
      <c r="D4263" s="115" t="s">
        <v>1140</v>
      </c>
      <c r="E4263" s="115" t="s">
        <v>6059</v>
      </c>
    </row>
    <row r="4264" spans="1:5" x14ac:dyDescent="0.2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25">
      <c r="B4265" s="115" t="s">
        <v>1139</v>
      </c>
      <c r="D4265" s="115" t="s">
        <v>6063</v>
      </c>
      <c r="E4265" s="115" t="s">
        <v>2260</v>
      </c>
    </row>
    <row r="4266" spans="1:5" x14ac:dyDescent="0.25">
      <c r="B4266" s="115" t="s">
        <v>1139</v>
      </c>
      <c r="D4266" s="115" t="s">
        <v>1140</v>
      </c>
      <c r="E4266" s="115" t="s">
        <v>1141</v>
      </c>
    </row>
    <row r="4267" spans="1:5" x14ac:dyDescent="0.25">
      <c r="B4267" s="115" t="s">
        <v>6064</v>
      </c>
      <c r="D4267" s="115" t="s">
        <v>1140</v>
      </c>
      <c r="E4267" s="115" t="s">
        <v>6065</v>
      </c>
    </row>
    <row r="4268" spans="1:5" x14ac:dyDescent="0.2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2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2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25">
      <c r="B4271" s="115" t="s">
        <v>1139</v>
      </c>
      <c r="D4271" s="115" t="s">
        <v>6075</v>
      </c>
      <c r="E4271" s="115" t="s">
        <v>1141</v>
      </c>
    </row>
    <row r="4272" spans="1:5" x14ac:dyDescent="0.25">
      <c r="B4272" s="115" t="s">
        <v>1139</v>
      </c>
      <c r="D4272" s="115" t="s">
        <v>6076</v>
      </c>
      <c r="E4272" s="115" t="s">
        <v>6077</v>
      </c>
    </row>
    <row r="4273" spans="1:5" x14ac:dyDescent="0.2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25">
      <c r="B4274" s="115" t="s">
        <v>1139</v>
      </c>
      <c r="D4274" s="115" t="s">
        <v>3122</v>
      </c>
      <c r="E4274" s="115" t="s">
        <v>1894</v>
      </c>
    </row>
    <row r="4275" spans="1:5" x14ac:dyDescent="0.25">
      <c r="B4275" s="115" t="s">
        <v>1139</v>
      </c>
      <c r="D4275" s="115" t="s">
        <v>6081</v>
      </c>
      <c r="E4275" s="115" t="s">
        <v>6082</v>
      </c>
    </row>
    <row r="4276" spans="1:5" x14ac:dyDescent="0.25">
      <c r="B4276" s="115" t="s">
        <v>6083</v>
      </c>
      <c r="D4276" s="115" t="s">
        <v>6084</v>
      </c>
      <c r="E4276" s="115" t="s">
        <v>6085</v>
      </c>
    </row>
    <row r="4277" spans="1:5" x14ac:dyDescent="0.2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25">
      <c r="B4278" s="115" t="s">
        <v>6088</v>
      </c>
      <c r="D4278" s="115" t="s">
        <v>6089</v>
      </c>
      <c r="E4278" s="115" t="s">
        <v>6090</v>
      </c>
    </row>
    <row r="4279" spans="1:5" x14ac:dyDescent="0.25">
      <c r="B4279" s="115" t="s">
        <v>6091</v>
      </c>
      <c r="D4279" s="115" t="s">
        <v>6092</v>
      </c>
      <c r="E4279" s="115" t="s">
        <v>6093</v>
      </c>
    </row>
    <row r="4280" spans="1:5" x14ac:dyDescent="0.25">
      <c r="B4280" s="115" t="s">
        <v>6094</v>
      </c>
      <c r="D4280" s="115" t="s">
        <v>6095</v>
      </c>
      <c r="E4280" s="115" t="s">
        <v>2537</v>
      </c>
    </row>
    <row r="4281" spans="1:5" x14ac:dyDescent="0.2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2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25">
      <c r="B4283" s="115" t="s">
        <v>1315</v>
      </c>
      <c r="D4283" s="115" t="s">
        <v>6102</v>
      </c>
      <c r="E4283" s="115" t="s">
        <v>1894</v>
      </c>
    </row>
    <row r="4284" spans="1:5" x14ac:dyDescent="0.25">
      <c r="B4284" s="115" t="s">
        <v>6103</v>
      </c>
      <c r="D4284" s="115" t="s">
        <v>6104</v>
      </c>
      <c r="E4284" s="115" t="s">
        <v>1602</v>
      </c>
    </row>
    <row r="4285" spans="1:5" x14ac:dyDescent="0.2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25">
      <c r="B4286" s="115" t="s">
        <v>1171</v>
      </c>
      <c r="D4286" s="115" t="s">
        <v>2022</v>
      </c>
      <c r="E4286" s="115" t="s">
        <v>1141</v>
      </c>
    </row>
    <row r="4287" spans="1:5" x14ac:dyDescent="0.25">
      <c r="B4287" s="115" t="s">
        <v>6108</v>
      </c>
      <c r="D4287" s="115" t="s">
        <v>6109</v>
      </c>
      <c r="E4287" s="115" t="s">
        <v>1141</v>
      </c>
    </row>
    <row r="4288" spans="1:5" x14ac:dyDescent="0.2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2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2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25">
      <c r="B4291" s="115" t="s">
        <v>1139</v>
      </c>
      <c r="D4291" s="115" t="s">
        <v>1140</v>
      </c>
      <c r="E4291" s="115" t="s">
        <v>6117</v>
      </c>
    </row>
    <row r="4292" spans="1:5" x14ac:dyDescent="0.25">
      <c r="B4292" s="115" t="s">
        <v>6118</v>
      </c>
      <c r="D4292" s="115" t="s">
        <v>6119</v>
      </c>
      <c r="E4292" s="115" t="s">
        <v>6120</v>
      </c>
    </row>
    <row r="4293" spans="1:5" x14ac:dyDescent="0.25">
      <c r="B4293" s="115" t="s">
        <v>1139</v>
      </c>
      <c r="D4293" s="115" t="s">
        <v>6121</v>
      </c>
      <c r="E4293" s="115" t="s">
        <v>1141</v>
      </c>
    </row>
    <row r="4294" spans="1:5" x14ac:dyDescent="0.25">
      <c r="B4294" s="115" t="s">
        <v>1139</v>
      </c>
      <c r="D4294" s="115" t="s">
        <v>1140</v>
      </c>
      <c r="E4294" s="115" t="s">
        <v>1141</v>
      </c>
    </row>
    <row r="4295" spans="1:5" x14ac:dyDescent="0.2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2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2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25">
      <c r="B4298" s="115" t="s">
        <v>6129</v>
      </c>
      <c r="D4298" s="115" t="s">
        <v>6130</v>
      </c>
      <c r="E4298" s="115" t="s">
        <v>6131</v>
      </c>
    </row>
    <row r="4299" spans="1:5" x14ac:dyDescent="0.25">
      <c r="B4299" s="115" t="s">
        <v>1139</v>
      </c>
      <c r="D4299" s="115" t="s">
        <v>6132</v>
      </c>
      <c r="E4299" s="115" t="s">
        <v>1141</v>
      </c>
    </row>
    <row r="4300" spans="1:5" x14ac:dyDescent="0.25">
      <c r="B4300" s="115" t="s">
        <v>1139</v>
      </c>
      <c r="D4300" s="115" t="s">
        <v>6133</v>
      </c>
      <c r="E4300" s="115" t="s">
        <v>6134</v>
      </c>
    </row>
    <row r="4301" spans="1:5" x14ac:dyDescent="0.2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25">
      <c r="B4302" s="115" t="s">
        <v>1139</v>
      </c>
      <c r="D4302" s="115" t="s">
        <v>1991</v>
      </c>
      <c r="E4302" s="115" t="s">
        <v>2690</v>
      </c>
    </row>
    <row r="4303" spans="1:5" x14ac:dyDescent="0.25">
      <c r="B4303" s="115" t="s">
        <v>1139</v>
      </c>
      <c r="D4303" s="115" t="s">
        <v>6137</v>
      </c>
      <c r="E4303" s="115" t="s">
        <v>6138</v>
      </c>
    </row>
    <row r="4304" spans="1:5" x14ac:dyDescent="0.25">
      <c r="B4304" s="115" t="s">
        <v>6139</v>
      </c>
      <c r="D4304" s="115" t="s">
        <v>6140</v>
      </c>
      <c r="E4304" s="115" t="s">
        <v>6141</v>
      </c>
    </row>
    <row r="4305" spans="1:5" x14ac:dyDescent="0.25">
      <c r="B4305" s="115" t="s">
        <v>6142</v>
      </c>
      <c r="D4305" s="115" t="s">
        <v>6143</v>
      </c>
      <c r="E4305" s="115" t="s">
        <v>1859</v>
      </c>
    </row>
    <row r="4306" spans="1:5" x14ac:dyDescent="0.2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2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2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25">
      <c r="B4309" s="115" t="s">
        <v>6151</v>
      </c>
      <c r="D4309" s="115" t="s">
        <v>6152</v>
      </c>
      <c r="E4309" s="115" t="s">
        <v>6153</v>
      </c>
    </row>
    <row r="4310" spans="1:5" x14ac:dyDescent="0.25">
      <c r="B4310" s="115" t="s">
        <v>6154</v>
      </c>
      <c r="D4310" s="115" t="s">
        <v>6155</v>
      </c>
      <c r="E4310" s="115" t="s">
        <v>6156</v>
      </c>
    </row>
    <row r="4311" spans="1:5" x14ac:dyDescent="0.25">
      <c r="B4311" s="115" t="s">
        <v>6157</v>
      </c>
      <c r="D4311" s="115" t="s">
        <v>6158</v>
      </c>
      <c r="E4311" s="115" t="s">
        <v>1894</v>
      </c>
    </row>
    <row r="4312" spans="1:5" x14ac:dyDescent="0.25">
      <c r="B4312" s="115" t="s">
        <v>6159</v>
      </c>
      <c r="D4312" s="115" t="s">
        <v>6160</v>
      </c>
      <c r="E4312" s="115" t="s">
        <v>6161</v>
      </c>
    </row>
    <row r="4313" spans="1:5" x14ac:dyDescent="0.2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25">
      <c r="B4314" s="115" t="s">
        <v>6165</v>
      </c>
      <c r="D4314" s="115" t="s">
        <v>6166</v>
      </c>
      <c r="E4314" s="115" t="s">
        <v>1141</v>
      </c>
    </row>
    <row r="4315" spans="1:5" x14ac:dyDescent="0.25">
      <c r="B4315" s="115" t="s">
        <v>6167</v>
      </c>
      <c r="D4315" s="115" t="s">
        <v>6168</v>
      </c>
      <c r="E4315" s="115" t="s">
        <v>1141</v>
      </c>
    </row>
    <row r="4316" spans="1:5" x14ac:dyDescent="0.2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2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2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25">
      <c r="B4319" s="115" t="s">
        <v>1139</v>
      </c>
      <c r="D4319" s="115" t="s">
        <v>1140</v>
      </c>
      <c r="E4319" s="115" t="s">
        <v>6177</v>
      </c>
    </row>
    <row r="4320" spans="1:5" x14ac:dyDescent="0.2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25">
      <c r="B4321" s="115" t="s">
        <v>1139</v>
      </c>
      <c r="D4321" s="115" t="s">
        <v>6181</v>
      </c>
      <c r="E4321" s="115" t="s">
        <v>1141</v>
      </c>
    </row>
    <row r="4322" spans="1:5" x14ac:dyDescent="0.25">
      <c r="B4322" s="115" t="s">
        <v>1139</v>
      </c>
      <c r="D4322" s="115" t="s">
        <v>1140</v>
      </c>
      <c r="E4322" s="115" t="s">
        <v>1141</v>
      </c>
    </row>
    <row r="4323" spans="1:5" x14ac:dyDescent="0.2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2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2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2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25">
      <c r="B4327" s="115" t="s">
        <v>1139</v>
      </c>
      <c r="D4327" s="115" t="s">
        <v>6192</v>
      </c>
      <c r="E4327" s="115" t="s">
        <v>1141</v>
      </c>
    </row>
    <row r="4328" spans="1:5" x14ac:dyDescent="0.25">
      <c r="B4328" s="115" t="s">
        <v>1139</v>
      </c>
      <c r="D4328" s="115" t="s">
        <v>6193</v>
      </c>
      <c r="E4328" s="115" t="s">
        <v>6194</v>
      </c>
    </row>
    <row r="4329" spans="1:5" x14ac:dyDescent="0.25">
      <c r="B4329" s="115" t="s">
        <v>6195</v>
      </c>
      <c r="D4329" s="115" t="s">
        <v>1457</v>
      </c>
      <c r="E4329" s="115" t="s">
        <v>2652</v>
      </c>
    </row>
    <row r="4330" spans="1:5" x14ac:dyDescent="0.25">
      <c r="B4330" s="115" t="s">
        <v>1664</v>
      </c>
      <c r="D4330" s="115" t="s">
        <v>1140</v>
      </c>
      <c r="E4330" s="115" t="s">
        <v>6196</v>
      </c>
    </row>
    <row r="4331" spans="1:5" x14ac:dyDescent="0.25">
      <c r="B4331" s="115" t="s">
        <v>1139</v>
      </c>
      <c r="D4331" s="115" t="s">
        <v>6197</v>
      </c>
      <c r="E4331" s="115" t="s">
        <v>6198</v>
      </c>
    </row>
    <row r="4332" spans="1:5" x14ac:dyDescent="0.25">
      <c r="B4332" s="115" t="s">
        <v>1139</v>
      </c>
      <c r="D4332" s="115" t="s">
        <v>6199</v>
      </c>
      <c r="E4332" s="115" t="s">
        <v>6200</v>
      </c>
    </row>
    <row r="4333" spans="1:5" x14ac:dyDescent="0.2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25">
      <c r="B4334" s="115" t="s">
        <v>6204</v>
      </c>
      <c r="D4334" s="115" t="s">
        <v>6205</v>
      </c>
      <c r="E4334" s="115" t="s">
        <v>6206</v>
      </c>
    </row>
    <row r="4335" spans="1:5" x14ac:dyDescent="0.2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25">
      <c r="B4336" s="115" t="s">
        <v>6210</v>
      </c>
      <c r="D4336" s="115" t="s">
        <v>6211</v>
      </c>
      <c r="E4336" s="115" t="s">
        <v>6212</v>
      </c>
    </row>
    <row r="4337" spans="1:5" x14ac:dyDescent="0.25">
      <c r="B4337" s="115" t="s">
        <v>1916</v>
      </c>
      <c r="D4337" s="115" t="s">
        <v>6213</v>
      </c>
      <c r="E4337" s="115" t="s">
        <v>6214</v>
      </c>
    </row>
    <row r="4338" spans="1:5" x14ac:dyDescent="0.25">
      <c r="B4338" s="115" t="s">
        <v>6215</v>
      </c>
      <c r="D4338" s="115" t="s">
        <v>1331</v>
      </c>
      <c r="E4338" s="115" t="s">
        <v>6216</v>
      </c>
    </row>
    <row r="4339" spans="1:5" x14ac:dyDescent="0.25">
      <c r="B4339" s="115" t="s">
        <v>1139</v>
      </c>
      <c r="D4339" s="115" t="s">
        <v>6217</v>
      </c>
      <c r="E4339" s="115" t="s">
        <v>6218</v>
      </c>
    </row>
    <row r="4340" spans="1:5" x14ac:dyDescent="0.25">
      <c r="B4340" s="115" t="s">
        <v>1309</v>
      </c>
      <c r="D4340" s="115" t="s">
        <v>6219</v>
      </c>
      <c r="E4340" s="115" t="s">
        <v>6220</v>
      </c>
    </row>
    <row r="4341" spans="1:5" x14ac:dyDescent="0.25">
      <c r="B4341" s="115" t="s">
        <v>6221</v>
      </c>
      <c r="D4341" s="115" t="s">
        <v>6222</v>
      </c>
      <c r="E4341" s="115" t="s">
        <v>6223</v>
      </c>
    </row>
    <row r="4342" spans="1:5" x14ac:dyDescent="0.25">
      <c r="B4342" s="115" t="s">
        <v>2571</v>
      </c>
      <c r="D4342" s="115" t="s">
        <v>1913</v>
      </c>
      <c r="E4342" s="115" t="s">
        <v>1141</v>
      </c>
    </row>
    <row r="4343" spans="1:5" x14ac:dyDescent="0.25">
      <c r="B4343" s="115" t="s">
        <v>6224</v>
      </c>
      <c r="D4343" s="115" t="s">
        <v>6225</v>
      </c>
      <c r="E4343" s="115" t="s">
        <v>1859</v>
      </c>
    </row>
    <row r="4344" spans="1:5" x14ac:dyDescent="0.2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25">
      <c r="B4345" s="115" t="s">
        <v>6229</v>
      </c>
      <c r="D4345" s="115" t="s">
        <v>6230</v>
      </c>
      <c r="E4345" s="115" t="s">
        <v>6231</v>
      </c>
    </row>
    <row r="4346" spans="1:5" x14ac:dyDescent="0.2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25">
      <c r="B4347" s="115" t="s">
        <v>1139</v>
      </c>
      <c r="D4347" s="115" t="s">
        <v>1140</v>
      </c>
      <c r="E4347" s="115" t="s">
        <v>6233</v>
      </c>
    </row>
    <row r="4348" spans="1:5" x14ac:dyDescent="0.25">
      <c r="B4348" s="115" t="s">
        <v>6234</v>
      </c>
      <c r="D4348" s="115" t="s">
        <v>6235</v>
      </c>
      <c r="E4348" s="115" t="s">
        <v>6236</v>
      </c>
    </row>
    <row r="4349" spans="1:5" x14ac:dyDescent="0.25">
      <c r="B4349" s="115" t="s">
        <v>1139</v>
      </c>
      <c r="D4349" s="115" t="s">
        <v>6237</v>
      </c>
      <c r="E4349" s="115" t="s">
        <v>1859</v>
      </c>
    </row>
    <row r="4350" spans="1:5" x14ac:dyDescent="0.25">
      <c r="B4350" s="115" t="s">
        <v>1139</v>
      </c>
      <c r="D4350" s="115" t="s">
        <v>1140</v>
      </c>
      <c r="E4350" s="115" t="s">
        <v>1141</v>
      </c>
    </row>
    <row r="4351" spans="1:5" x14ac:dyDescent="0.25">
      <c r="B4351" s="115" t="s">
        <v>6238</v>
      </c>
      <c r="D4351" s="115" t="s">
        <v>1140</v>
      </c>
      <c r="E4351" s="115" t="s">
        <v>6239</v>
      </c>
    </row>
    <row r="4352" spans="1:5" x14ac:dyDescent="0.2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2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2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25">
      <c r="B4355" s="115" t="s">
        <v>6249</v>
      </c>
      <c r="D4355" s="115" t="s">
        <v>3014</v>
      </c>
      <c r="E4355" s="115" t="s">
        <v>6250</v>
      </c>
    </row>
    <row r="4356" spans="1:5" x14ac:dyDescent="0.25">
      <c r="B4356" s="115" t="s">
        <v>1139</v>
      </c>
      <c r="D4356" s="115" t="s">
        <v>5580</v>
      </c>
      <c r="E4356" s="115" t="s">
        <v>6251</v>
      </c>
    </row>
    <row r="4357" spans="1:5" x14ac:dyDescent="0.25">
      <c r="B4357" s="115" t="s">
        <v>6252</v>
      </c>
      <c r="D4357" s="115" t="s">
        <v>6253</v>
      </c>
      <c r="E4357" s="115" t="s">
        <v>6254</v>
      </c>
    </row>
    <row r="4358" spans="1:5" x14ac:dyDescent="0.25">
      <c r="B4358" s="115" t="s">
        <v>1139</v>
      </c>
      <c r="D4358" s="115" t="s">
        <v>6255</v>
      </c>
      <c r="E4358" s="115" t="s">
        <v>6256</v>
      </c>
    </row>
    <row r="4359" spans="1:5" x14ac:dyDescent="0.25">
      <c r="B4359" s="115" t="s">
        <v>1139</v>
      </c>
      <c r="D4359" s="115" t="s">
        <v>1140</v>
      </c>
      <c r="E4359" s="115" t="s">
        <v>6257</v>
      </c>
    </row>
    <row r="4360" spans="1:5" x14ac:dyDescent="0.25">
      <c r="B4360" s="115" t="s">
        <v>1139</v>
      </c>
      <c r="D4360" s="115" t="s">
        <v>6258</v>
      </c>
      <c r="E4360" s="115" t="s">
        <v>6259</v>
      </c>
    </row>
    <row r="4361" spans="1:5" x14ac:dyDescent="0.25">
      <c r="B4361" s="115" t="s">
        <v>1263</v>
      </c>
      <c r="D4361" s="115" t="s">
        <v>6260</v>
      </c>
      <c r="E4361" s="115" t="s">
        <v>6261</v>
      </c>
    </row>
    <row r="4362" spans="1:5" x14ac:dyDescent="0.25">
      <c r="B4362" s="115" t="s">
        <v>1139</v>
      </c>
      <c r="D4362" s="115" t="s">
        <v>6262</v>
      </c>
      <c r="E4362" s="115" t="s">
        <v>6263</v>
      </c>
    </row>
    <row r="4363" spans="1:5" x14ac:dyDescent="0.2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25">
      <c r="B4364" s="115" t="s">
        <v>1139</v>
      </c>
      <c r="D4364" s="115" t="s">
        <v>6266</v>
      </c>
      <c r="E4364" s="115" t="s">
        <v>6267</v>
      </c>
    </row>
    <row r="4365" spans="1:5" x14ac:dyDescent="0.25">
      <c r="B4365" s="115" t="s">
        <v>1139</v>
      </c>
      <c r="D4365" s="115" t="s">
        <v>6268</v>
      </c>
      <c r="E4365" s="115" t="s">
        <v>6269</v>
      </c>
    </row>
    <row r="4366" spans="1:5" x14ac:dyDescent="0.2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25">
      <c r="B4367" s="115" t="s">
        <v>6273</v>
      </c>
      <c r="D4367" s="115" t="s">
        <v>6274</v>
      </c>
      <c r="E4367" s="115" t="s">
        <v>6275</v>
      </c>
    </row>
    <row r="4368" spans="1:5" x14ac:dyDescent="0.25">
      <c r="B4368" s="115" t="s">
        <v>1139</v>
      </c>
      <c r="D4368" s="115" t="s">
        <v>6276</v>
      </c>
      <c r="E4368" s="115" t="s">
        <v>6277</v>
      </c>
    </row>
    <row r="4369" spans="1:5" x14ac:dyDescent="0.25">
      <c r="B4369" s="115" t="s">
        <v>1139</v>
      </c>
      <c r="D4369" s="115" t="s">
        <v>6278</v>
      </c>
      <c r="E4369" s="115" t="s">
        <v>6279</v>
      </c>
    </row>
    <row r="4370" spans="1:5" x14ac:dyDescent="0.25">
      <c r="B4370" s="115" t="s">
        <v>3069</v>
      </c>
      <c r="D4370" s="115" t="s">
        <v>6280</v>
      </c>
      <c r="E4370" s="115" t="s">
        <v>1759</v>
      </c>
    </row>
    <row r="4371" spans="1:5" x14ac:dyDescent="0.25">
      <c r="B4371" s="115" t="s">
        <v>1139</v>
      </c>
      <c r="D4371" s="115" t="s">
        <v>6281</v>
      </c>
      <c r="E4371" s="115" t="s">
        <v>6282</v>
      </c>
    </row>
    <row r="4372" spans="1:5" x14ac:dyDescent="0.25">
      <c r="B4372" s="115" t="s">
        <v>1139</v>
      </c>
      <c r="D4372" s="115" t="s">
        <v>6283</v>
      </c>
      <c r="E4372" s="115" t="s">
        <v>6284</v>
      </c>
    </row>
    <row r="4373" spans="1:5" x14ac:dyDescent="0.25">
      <c r="B4373" s="115" t="s">
        <v>1139</v>
      </c>
      <c r="D4373" s="115" t="s">
        <v>6285</v>
      </c>
      <c r="E4373" s="115" t="s">
        <v>6286</v>
      </c>
    </row>
    <row r="4374" spans="1:5" x14ac:dyDescent="0.25">
      <c r="B4374" s="115" t="s">
        <v>1139</v>
      </c>
      <c r="D4374" s="115" t="s">
        <v>6287</v>
      </c>
      <c r="E4374" s="115" t="s">
        <v>6288</v>
      </c>
    </row>
    <row r="4375" spans="1:5" x14ac:dyDescent="0.2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2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2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25">
      <c r="B4378" s="115" t="s">
        <v>1139</v>
      </c>
      <c r="D4378" s="115" t="s">
        <v>1140</v>
      </c>
      <c r="E4378" s="115" t="s">
        <v>1141</v>
      </c>
    </row>
    <row r="4379" spans="1:5" x14ac:dyDescent="0.25">
      <c r="B4379" s="115" t="s">
        <v>1139</v>
      </c>
      <c r="D4379" s="115" t="s">
        <v>1970</v>
      </c>
      <c r="E4379" s="115" t="s">
        <v>6295</v>
      </c>
    </row>
    <row r="4380" spans="1:5" x14ac:dyDescent="0.2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2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2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25">
      <c r="B4383" s="115" t="s">
        <v>1139</v>
      </c>
      <c r="D4383" s="115" t="s">
        <v>6305</v>
      </c>
      <c r="E4383" s="115" t="s">
        <v>6306</v>
      </c>
    </row>
    <row r="4384" spans="1:5" x14ac:dyDescent="0.25">
      <c r="B4384" s="115" t="s">
        <v>1139</v>
      </c>
      <c r="D4384" s="115" t="s">
        <v>1140</v>
      </c>
      <c r="E4384" s="115" t="s">
        <v>6307</v>
      </c>
    </row>
    <row r="4385" spans="1:5" x14ac:dyDescent="0.25">
      <c r="B4385" s="115" t="s">
        <v>1139</v>
      </c>
      <c r="D4385" s="115" t="s">
        <v>6308</v>
      </c>
      <c r="E4385" s="115" t="s">
        <v>6309</v>
      </c>
    </row>
    <row r="4386" spans="1:5" x14ac:dyDescent="0.25">
      <c r="B4386" s="115" t="s">
        <v>6310</v>
      </c>
      <c r="D4386" s="115" t="s">
        <v>1140</v>
      </c>
      <c r="E4386" s="115" t="s">
        <v>1819</v>
      </c>
    </row>
    <row r="4387" spans="1:5" x14ac:dyDescent="0.25">
      <c r="B4387" s="115" t="s">
        <v>1589</v>
      </c>
      <c r="D4387" s="115" t="s">
        <v>1140</v>
      </c>
      <c r="E4387" s="115" t="s">
        <v>6311</v>
      </c>
    </row>
    <row r="4388" spans="1:5" x14ac:dyDescent="0.2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25">
      <c r="B4389" s="115" t="s">
        <v>1139</v>
      </c>
      <c r="D4389" s="115" t="s">
        <v>6313</v>
      </c>
      <c r="E4389" s="115" t="s">
        <v>6314</v>
      </c>
    </row>
    <row r="4390" spans="1:5" x14ac:dyDescent="0.25">
      <c r="B4390" s="115" t="s">
        <v>6315</v>
      </c>
      <c r="D4390" s="115" t="s">
        <v>1140</v>
      </c>
      <c r="E4390" s="115" t="s">
        <v>6316</v>
      </c>
    </row>
    <row r="4391" spans="1:5" x14ac:dyDescent="0.2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25">
      <c r="B4392" s="115" t="s">
        <v>6320</v>
      </c>
      <c r="D4392" s="115" t="s">
        <v>6321</v>
      </c>
      <c r="E4392" s="115" t="s">
        <v>6322</v>
      </c>
    </row>
    <row r="4393" spans="1:5" x14ac:dyDescent="0.25">
      <c r="B4393" s="115" t="s">
        <v>6323</v>
      </c>
      <c r="D4393" s="115" t="s">
        <v>1140</v>
      </c>
      <c r="E4393" s="115" t="s">
        <v>6324</v>
      </c>
    </row>
    <row r="4394" spans="1:5" x14ac:dyDescent="0.2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25">
      <c r="B4395" s="115" t="s">
        <v>6328</v>
      </c>
      <c r="D4395" s="115" t="s">
        <v>6329</v>
      </c>
      <c r="E4395" s="115" t="s">
        <v>6330</v>
      </c>
    </row>
    <row r="4396" spans="1:5" x14ac:dyDescent="0.2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2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25">
      <c r="B4398" s="115" t="s">
        <v>6335</v>
      </c>
      <c r="D4398" s="115" t="s">
        <v>6336</v>
      </c>
      <c r="E4398" s="115" t="s">
        <v>6337</v>
      </c>
    </row>
    <row r="4399" spans="1:5" x14ac:dyDescent="0.25">
      <c r="B4399" s="115" t="s">
        <v>1139</v>
      </c>
      <c r="D4399" s="115" t="s">
        <v>1140</v>
      </c>
      <c r="E4399" s="115" t="s">
        <v>6338</v>
      </c>
    </row>
    <row r="4400" spans="1:5" x14ac:dyDescent="0.2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2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25">
      <c r="B4402" s="115" t="s">
        <v>6343</v>
      </c>
      <c r="D4402" s="115" t="s">
        <v>1140</v>
      </c>
      <c r="E4402" s="115" t="s">
        <v>6344</v>
      </c>
    </row>
    <row r="4403" spans="1:5" x14ac:dyDescent="0.2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25">
      <c r="B4404" s="115" t="s">
        <v>1139</v>
      </c>
      <c r="D4404" s="115" t="s">
        <v>6347</v>
      </c>
      <c r="E4404" s="115" t="s">
        <v>6348</v>
      </c>
    </row>
    <row r="4405" spans="1:5" x14ac:dyDescent="0.2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2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25">
      <c r="B4407" s="115" t="s">
        <v>1139</v>
      </c>
      <c r="D4407" s="115" t="s">
        <v>1140</v>
      </c>
      <c r="E4407" s="115" t="s">
        <v>6352</v>
      </c>
    </row>
    <row r="4408" spans="1:5" x14ac:dyDescent="0.25">
      <c r="B4408" s="115" t="s">
        <v>6353</v>
      </c>
      <c r="D4408" s="115" t="s">
        <v>6354</v>
      </c>
      <c r="E4408" s="115" t="s">
        <v>6355</v>
      </c>
    </row>
    <row r="4409" spans="1:5" x14ac:dyDescent="0.25">
      <c r="B4409" s="115" t="s">
        <v>1139</v>
      </c>
      <c r="D4409" s="115" t="s">
        <v>6356</v>
      </c>
      <c r="E4409" s="115" t="s">
        <v>6357</v>
      </c>
    </row>
    <row r="4410" spans="1:5" x14ac:dyDescent="0.2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25">
      <c r="B4411" s="115" t="s">
        <v>6361</v>
      </c>
      <c r="D4411" s="115" t="s">
        <v>6362</v>
      </c>
      <c r="E4411" s="115" t="s">
        <v>6363</v>
      </c>
    </row>
    <row r="4412" spans="1:5" x14ac:dyDescent="0.25">
      <c r="B4412" s="115" t="s">
        <v>1139</v>
      </c>
      <c r="D4412" s="115" t="s">
        <v>6364</v>
      </c>
      <c r="E4412" s="115" t="s">
        <v>1141</v>
      </c>
    </row>
    <row r="4413" spans="1:5" x14ac:dyDescent="0.25">
      <c r="B4413" s="115" t="s">
        <v>1139</v>
      </c>
      <c r="D4413" s="115" t="s">
        <v>6365</v>
      </c>
      <c r="E4413" s="115" t="s">
        <v>6366</v>
      </c>
    </row>
    <row r="4414" spans="1:5" x14ac:dyDescent="0.2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25">
      <c r="B4415" s="115" t="s">
        <v>1139</v>
      </c>
      <c r="D4415" s="115" t="s">
        <v>3621</v>
      </c>
      <c r="E4415" s="115" t="s">
        <v>2260</v>
      </c>
    </row>
    <row r="4416" spans="1:5" x14ac:dyDescent="0.25">
      <c r="B4416" s="115" t="s">
        <v>1139</v>
      </c>
      <c r="D4416" s="115" t="s">
        <v>6369</v>
      </c>
      <c r="E4416" s="115" t="s">
        <v>6370</v>
      </c>
    </row>
    <row r="4417" spans="1:5" x14ac:dyDescent="0.25">
      <c r="B4417" s="115" t="s">
        <v>6371</v>
      </c>
      <c r="D4417" s="115" t="s">
        <v>6372</v>
      </c>
      <c r="E4417" s="115" t="s">
        <v>6373</v>
      </c>
    </row>
    <row r="4418" spans="1:5" x14ac:dyDescent="0.2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2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2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2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25">
      <c r="B4422" s="115" t="s">
        <v>6384</v>
      </c>
      <c r="D4422" s="115" t="s">
        <v>6385</v>
      </c>
      <c r="E4422" s="115" t="s">
        <v>6386</v>
      </c>
    </row>
    <row r="4423" spans="1:5" x14ac:dyDescent="0.2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25">
      <c r="B4424" s="115" t="s">
        <v>6389</v>
      </c>
      <c r="D4424" s="115" t="s">
        <v>6390</v>
      </c>
      <c r="E4424" s="115" t="s">
        <v>1759</v>
      </c>
    </row>
    <row r="4425" spans="1:5" x14ac:dyDescent="0.25">
      <c r="B4425" s="115" t="s">
        <v>6391</v>
      </c>
      <c r="D4425" s="115" t="s">
        <v>6392</v>
      </c>
      <c r="E4425" s="115" t="s">
        <v>6393</v>
      </c>
    </row>
    <row r="4426" spans="1:5" x14ac:dyDescent="0.2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2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25">
      <c r="B4428" s="115" t="s">
        <v>6398</v>
      </c>
      <c r="D4428" s="115" t="s">
        <v>6399</v>
      </c>
      <c r="E4428" s="115" t="s">
        <v>1141</v>
      </c>
    </row>
    <row r="4429" spans="1:5" x14ac:dyDescent="0.2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2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2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25">
      <c r="B4432" s="115" t="s">
        <v>1139</v>
      </c>
      <c r="D4432" s="115" t="s">
        <v>1140</v>
      </c>
      <c r="E4432" s="115" t="s">
        <v>6407</v>
      </c>
    </row>
    <row r="4433" spans="1:5" x14ac:dyDescent="0.2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25">
      <c r="B4434" s="115" t="s">
        <v>1139</v>
      </c>
      <c r="D4434" s="115" t="s">
        <v>6411</v>
      </c>
      <c r="E4434" s="115" t="s">
        <v>1141</v>
      </c>
    </row>
    <row r="4435" spans="1:5" x14ac:dyDescent="0.25">
      <c r="B4435" s="115" t="s">
        <v>1139</v>
      </c>
      <c r="D4435" s="115" t="s">
        <v>1140</v>
      </c>
      <c r="E4435" s="115" t="s">
        <v>1141</v>
      </c>
    </row>
    <row r="4436" spans="1:5" x14ac:dyDescent="0.2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2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2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2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25">
      <c r="B4440" s="115" t="s">
        <v>6422</v>
      </c>
      <c r="D4440" s="115" t="s">
        <v>6423</v>
      </c>
      <c r="E4440" s="115" t="s">
        <v>6424</v>
      </c>
    </row>
    <row r="4441" spans="1:5" x14ac:dyDescent="0.25">
      <c r="B4441" s="115" t="s">
        <v>1139</v>
      </c>
      <c r="D4441" s="115" t="s">
        <v>1140</v>
      </c>
      <c r="E4441" s="115" t="s">
        <v>6425</v>
      </c>
    </row>
    <row r="4442" spans="1:5" x14ac:dyDescent="0.25">
      <c r="B4442" s="115" t="s">
        <v>6426</v>
      </c>
      <c r="D4442" s="115" t="s">
        <v>6427</v>
      </c>
      <c r="E4442" s="115" t="s">
        <v>6428</v>
      </c>
    </row>
    <row r="4443" spans="1:5" x14ac:dyDescent="0.25">
      <c r="B4443" s="115" t="s">
        <v>6429</v>
      </c>
      <c r="D4443" s="115" t="s">
        <v>1214</v>
      </c>
      <c r="E4443" s="115" t="s">
        <v>1141</v>
      </c>
    </row>
    <row r="4444" spans="1:5" x14ac:dyDescent="0.25">
      <c r="B4444" s="115" t="s">
        <v>6430</v>
      </c>
      <c r="D4444" s="115" t="s">
        <v>1140</v>
      </c>
      <c r="E4444" s="115" t="s">
        <v>6431</v>
      </c>
    </row>
    <row r="4445" spans="1:5" x14ac:dyDescent="0.25">
      <c r="B4445" s="115" t="s">
        <v>6432</v>
      </c>
      <c r="D4445" s="115" t="s">
        <v>1140</v>
      </c>
      <c r="E4445" s="115" t="s">
        <v>6433</v>
      </c>
    </row>
    <row r="4446" spans="1:5" x14ac:dyDescent="0.25">
      <c r="B4446" s="115" t="s">
        <v>1403</v>
      </c>
      <c r="D4446" s="115" t="s">
        <v>6434</v>
      </c>
      <c r="E4446" s="115" t="s">
        <v>6435</v>
      </c>
    </row>
    <row r="4447" spans="1:5" x14ac:dyDescent="0.25">
      <c r="B4447" s="115" t="s">
        <v>6436</v>
      </c>
      <c r="D4447" s="115" t="s">
        <v>6437</v>
      </c>
      <c r="E4447" s="115" t="s">
        <v>6438</v>
      </c>
    </row>
    <row r="4448" spans="1:5" x14ac:dyDescent="0.2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2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25">
      <c r="B4450" s="115" t="s">
        <v>1171</v>
      </c>
      <c r="D4450" s="115" t="s">
        <v>6445</v>
      </c>
      <c r="E4450" s="115" t="s">
        <v>6446</v>
      </c>
    </row>
    <row r="4451" spans="1:5" x14ac:dyDescent="0.25">
      <c r="B4451" s="115" t="s">
        <v>6447</v>
      </c>
      <c r="D4451" s="115" t="s">
        <v>6448</v>
      </c>
      <c r="E4451" s="115" t="s">
        <v>6449</v>
      </c>
    </row>
    <row r="4452" spans="1:5" x14ac:dyDescent="0.2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25">
      <c r="B4453" s="115" t="s">
        <v>6453</v>
      </c>
      <c r="D4453" s="115" t="s">
        <v>2716</v>
      </c>
      <c r="E4453" s="115" t="s">
        <v>6454</v>
      </c>
    </row>
    <row r="4454" spans="1:5" x14ac:dyDescent="0.25">
      <c r="B4454" s="115" t="s">
        <v>1305</v>
      </c>
      <c r="D4454" s="115" t="s">
        <v>6455</v>
      </c>
      <c r="E4454" s="115" t="s">
        <v>6456</v>
      </c>
    </row>
    <row r="4455" spans="1:5" x14ac:dyDescent="0.2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25">
      <c r="B4456" s="115" t="s">
        <v>1139</v>
      </c>
      <c r="D4456" s="115" t="s">
        <v>5174</v>
      </c>
      <c r="E4456" s="115" t="s">
        <v>6460</v>
      </c>
    </row>
    <row r="4457" spans="1:5" x14ac:dyDescent="0.25">
      <c r="B4457" s="115" t="s">
        <v>1139</v>
      </c>
      <c r="D4457" s="115" t="s">
        <v>6461</v>
      </c>
      <c r="E4457" s="115" t="s">
        <v>6462</v>
      </c>
    </row>
    <row r="4458" spans="1:5" x14ac:dyDescent="0.2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2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2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25">
      <c r="B4461" s="115" t="s">
        <v>1264</v>
      </c>
      <c r="D4461" s="115" t="s">
        <v>6468</v>
      </c>
      <c r="E4461" s="115" t="s">
        <v>6469</v>
      </c>
    </row>
    <row r="4462" spans="1:5" x14ac:dyDescent="0.2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25">
      <c r="B4463" s="115" t="s">
        <v>1139</v>
      </c>
      <c r="D4463" s="115" t="s">
        <v>1140</v>
      </c>
      <c r="E4463" s="115" t="s">
        <v>1141</v>
      </c>
    </row>
    <row r="4464" spans="1:5" x14ac:dyDescent="0.25">
      <c r="B4464" s="115" t="s">
        <v>1139</v>
      </c>
      <c r="D4464" s="115" t="s">
        <v>6473</v>
      </c>
      <c r="E4464" s="115" t="s">
        <v>2082</v>
      </c>
    </row>
    <row r="4465" spans="1:5" x14ac:dyDescent="0.25">
      <c r="B4465" s="115" t="s">
        <v>6474</v>
      </c>
      <c r="D4465" s="115" t="s">
        <v>6475</v>
      </c>
      <c r="E4465" s="115" t="s">
        <v>6476</v>
      </c>
    </row>
    <row r="4466" spans="1:5" x14ac:dyDescent="0.25">
      <c r="B4466" s="115" t="s">
        <v>5845</v>
      </c>
      <c r="D4466" s="115" t="s">
        <v>6477</v>
      </c>
      <c r="E4466" s="115" t="s">
        <v>6478</v>
      </c>
    </row>
    <row r="4467" spans="1:5" x14ac:dyDescent="0.2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2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25">
      <c r="B4469" s="115" t="s">
        <v>1139</v>
      </c>
      <c r="D4469" s="115" t="s">
        <v>6485</v>
      </c>
      <c r="E4469" s="115" t="s">
        <v>1141</v>
      </c>
    </row>
    <row r="4470" spans="1:5" x14ac:dyDescent="0.25">
      <c r="B4470" s="115" t="s">
        <v>1139</v>
      </c>
      <c r="D4470" s="115" t="s">
        <v>6486</v>
      </c>
      <c r="E4470" s="115" t="s">
        <v>6487</v>
      </c>
    </row>
    <row r="4471" spans="1:5" x14ac:dyDescent="0.25">
      <c r="B4471" s="115" t="s">
        <v>6488</v>
      </c>
      <c r="D4471" s="115" t="s">
        <v>6489</v>
      </c>
      <c r="E4471" s="115" t="s">
        <v>2480</v>
      </c>
    </row>
    <row r="4472" spans="1:5" x14ac:dyDescent="0.25">
      <c r="B4472" s="115" t="s">
        <v>1363</v>
      </c>
      <c r="D4472" s="115" t="s">
        <v>1140</v>
      </c>
      <c r="E4472" s="115" t="s">
        <v>6490</v>
      </c>
    </row>
    <row r="4473" spans="1:5" x14ac:dyDescent="0.25">
      <c r="B4473" s="115" t="s">
        <v>1139</v>
      </c>
      <c r="D4473" s="115" t="s">
        <v>6491</v>
      </c>
      <c r="E4473" s="115" t="s">
        <v>6492</v>
      </c>
    </row>
    <row r="4474" spans="1:5" x14ac:dyDescent="0.25">
      <c r="B4474" s="115" t="s">
        <v>1139</v>
      </c>
      <c r="D4474" s="115" t="s">
        <v>6493</v>
      </c>
      <c r="E4474" s="115" t="s">
        <v>6494</v>
      </c>
    </row>
    <row r="4475" spans="1:5" x14ac:dyDescent="0.25">
      <c r="B4475" s="115" t="s">
        <v>6495</v>
      </c>
      <c r="D4475" s="115" t="s">
        <v>6496</v>
      </c>
      <c r="E4475" s="115" t="s">
        <v>6497</v>
      </c>
    </row>
    <row r="4476" spans="1:5" x14ac:dyDescent="0.25">
      <c r="B4476" s="115" t="s">
        <v>6498</v>
      </c>
      <c r="D4476" s="115" t="s">
        <v>6499</v>
      </c>
      <c r="E4476" s="115" t="s">
        <v>6500</v>
      </c>
    </row>
    <row r="4477" spans="1:5" x14ac:dyDescent="0.25">
      <c r="B4477" s="115">
        <f>-25   -934</f>
        <v>-959</v>
      </c>
      <c r="D4477" s="115" t="s">
        <v>6501</v>
      </c>
      <c r="E4477" s="115" t="s">
        <v>6502</v>
      </c>
    </row>
    <row r="4478" spans="1:5" x14ac:dyDescent="0.25">
      <c r="B4478" s="115" t="s">
        <v>6503</v>
      </c>
      <c r="D4478" s="115" t="s">
        <v>6504</v>
      </c>
      <c r="E4478" s="115" t="s">
        <v>6505</v>
      </c>
    </row>
    <row r="4479" spans="1:5" x14ac:dyDescent="0.25">
      <c r="B4479" s="115" t="s">
        <v>6506</v>
      </c>
      <c r="D4479" s="115" t="s">
        <v>6507</v>
      </c>
      <c r="E4479" s="115" t="s">
        <v>6508</v>
      </c>
    </row>
    <row r="4480" spans="1:5" x14ac:dyDescent="0.25">
      <c r="B4480" s="115" t="s">
        <v>6509</v>
      </c>
      <c r="D4480" s="115" t="s">
        <v>6510</v>
      </c>
      <c r="E4480" s="115" t="s">
        <v>6511</v>
      </c>
    </row>
    <row r="4481" spans="1:5" x14ac:dyDescent="0.25">
      <c r="B4481" s="115" t="s">
        <v>1139</v>
      </c>
      <c r="D4481" s="115" t="s">
        <v>6512</v>
      </c>
      <c r="E4481" s="115" t="s">
        <v>6513</v>
      </c>
    </row>
    <row r="4482" spans="1:5" x14ac:dyDescent="0.25">
      <c r="B4482" s="115" t="s">
        <v>6514</v>
      </c>
      <c r="D4482" s="115" t="s">
        <v>6515</v>
      </c>
      <c r="E4482" s="115" t="s">
        <v>6516</v>
      </c>
    </row>
    <row r="4483" spans="1:5" x14ac:dyDescent="0.2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25">
      <c r="B4484" s="115" t="s">
        <v>1153</v>
      </c>
      <c r="D4484" s="115" t="s">
        <v>1657</v>
      </c>
      <c r="E4484" s="115" t="s">
        <v>1141</v>
      </c>
    </row>
    <row r="4485" spans="1:5" x14ac:dyDescent="0.25">
      <c r="B4485" s="115" t="s">
        <v>1466</v>
      </c>
      <c r="D4485" s="115" t="s">
        <v>6520</v>
      </c>
      <c r="E4485" s="115" t="s">
        <v>2260</v>
      </c>
    </row>
    <row r="4486" spans="1:5" x14ac:dyDescent="0.2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25">
      <c r="B4487" s="115" t="s">
        <v>1284</v>
      </c>
      <c r="D4487" s="115" t="s">
        <v>1529</v>
      </c>
      <c r="E4487" s="115" t="s">
        <v>6524</v>
      </c>
    </row>
    <row r="4488" spans="1:5" x14ac:dyDescent="0.25">
      <c r="B4488" s="115" t="s">
        <v>1475</v>
      </c>
      <c r="D4488" s="115" t="s">
        <v>6525</v>
      </c>
      <c r="E4488" s="115" t="s">
        <v>6526</v>
      </c>
    </row>
    <row r="4489" spans="1:5" x14ac:dyDescent="0.25">
      <c r="B4489" s="115" t="s">
        <v>1139</v>
      </c>
      <c r="D4489" s="115" t="s">
        <v>1140</v>
      </c>
      <c r="E4489" s="115" t="s">
        <v>6527</v>
      </c>
    </row>
    <row r="4490" spans="1:5" x14ac:dyDescent="0.2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25">
      <c r="B4491" s="115" t="s">
        <v>1139</v>
      </c>
      <c r="D4491" s="115" t="s">
        <v>6531</v>
      </c>
      <c r="E4491" s="115" t="s">
        <v>1702</v>
      </c>
    </row>
    <row r="4492" spans="1:5" x14ac:dyDescent="0.25">
      <c r="B4492" s="115" t="s">
        <v>1139</v>
      </c>
      <c r="D4492" s="115" t="s">
        <v>1140</v>
      </c>
      <c r="E4492" s="115" t="s">
        <v>1141</v>
      </c>
    </row>
    <row r="4493" spans="1:5" x14ac:dyDescent="0.25">
      <c r="B4493" s="115" t="s">
        <v>6532</v>
      </c>
      <c r="D4493" s="115" t="s">
        <v>1140</v>
      </c>
      <c r="E4493" s="115" t="s">
        <v>6533</v>
      </c>
    </row>
    <row r="4494" spans="1:5" x14ac:dyDescent="0.2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2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2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25">
      <c r="B4497" s="115" t="s">
        <v>6543</v>
      </c>
      <c r="D4497" s="115" t="s">
        <v>6544</v>
      </c>
      <c r="E4497" s="115" t="s">
        <v>6545</v>
      </c>
    </row>
    <row r="4498" spans="1:5" x14ac:dyDescent="0.25">
      <c r="B4498" s="115" t="s">
        <v>6546</v>
      </c>
      <c r="D4498" s="115" t="s">
        <v>1140</v>
      </c>
      <c r="E4498" s="115" t="s">
        <v>1141</v>
      </c>
    </row>
    <row r="4499" spans="1:5" x14ac:dyDescent="0.25">
      <c r="B4499" s="115">
        <f>-94   -680</f>
        <v>-774</v>
      </c>
      <c r="D4499" s="115" t="s">
        <v>6547</v>
      </c>
      <c r="E4499" s="115" t="s">
        <v>6548</v>
      </c>
    </row>
    <row r="4500" spans="1:5" x14ac:dyDescent="0.25">
      <c r="B4500" s="115" t="s">
        <v>1139</v>
      </c>
      <c r="D4500" s="115" t="s">
        <v>6549</v>
      </c>
      <c r="E4500" s="115" t="s">
        <v>6550</v>
      </c>
    </row>
    <row r="4501" spans="1:5" x14ac:dyDescent="0.25">
      <c r="B4501" s="115" t="s">
        <v>1139</v>
      </c>
      <c r="D4501" s="115" t="s">
        <v>1668</v>
      </c>
      <c r="E4501" s="115" t="s">
        <v>1141</v>
      </c>
    </row>
    <row r="4502" spans="1:5" x14ac:dyDescent="0.2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2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2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2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2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2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2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2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25">
      <c r="B4510" s="115" t="s">
        <v>6573</v>
      </c>
      <c r="D4510" s="115" t="s">
        <v>6574</v>
      </c>
      <c r="E4510" s="115" t="s">
        <v>6575</v>
      </c>
    </row>
    <row r="4511" spans="1:5" x14ac:dyDescent="0.2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2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2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25">
      <c r="B4514" s="115" t="s">
        <v>6583</v>
      </c>
      <c r="D4514" s="115" t="s">
        <v>6584</v>
      </c>
      <c r="E4514" s="115" t="s">
        <v>6585</v>
      </c>
    </row>
    <row r="4515" spans="1:5" x14ac:dyDescent="0.2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25">
      <c r="B4516" s="115" t="s">
        <v>1606</v>
      </c>
      <c r="D4516" s="115" t="s">
        <v>6589</v>
      </c>
      <c r="E4516" s="115" t="s">
        <v>6590</v>
      </c>
    </row>
    <row r="4517" spans="1:5" x14ac:dyDescent="0.2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25">
      <c r="B4518" s="115" t="s">
        <v>1139</v>
      </c>
      <c r="D4518" s="115" t="s">
        <v>6594</v>
      </c>
      <c r="E4518" s="115" t="s">
        <v>6595</v>
      </c>
    </row>
    <row r="4519" spans="1:5" x14ac:dyDescent="0.2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25">
      <c r="B4520" s="115" t="s">
        <v>6597</v>
      </c>
      <c r="D4520" s="115" t="s">
        <v>6598</v>
      </c>
      <c r="E4520" s="115" t="s">
        <v>1141</v>
      </c>
    </row>
    <row r="4521" spans="1:5" x14ac:dyDescent="0.25">
      <c r="B4521" s="115" t="s">
        <v>1139</v>
      </c>
      <c r="D4521" s="115" t="s">
        <v>1140</v>
      </c>
      <c r="E4521" s="115" t="s">
        <v>6599</v>
      </c>
    </row>
    <row r="4522" spans="1:5" x14ac:dyDescent="0.25">
      <c r="B4522" s="115" t="s">
        <v>1139</v>
      </c>
      <c r="D4522" s="115" t="s">
        <v>6600</v>
      </c>
      <c r="E4522" s="115" t="s">
        <v>6601</v>
      </c>
    </row>
    <row r="4523" spans="1:5" x14ac:dyDescent="0.25">
      <c r="B4523" s="115" t="s">
        <v>6602</v>
      </c>
      <c r="D4523" s="115" t="s">
        <v>6603</v>
      </c>
      <c r="E4523" s="115" t="s">
        <v>6604</v>
      </c>
    </row>
    <row r="4524" spans="1:5" x14ac:dyDescent="0.2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2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25">
      <c r="B4526" s="115" t="s">
        <v>1139</v>
      </c>
      <c r="D4526" s="115" t="s">
        <v>6611</v>
      </c>
      <c r="E4526" s="115" t="s">
        <v>6612</v>
      </c>
    </row>
    <row r="4527" spans="1:5" x14ac:dyDescent="0.25">
      <c r="B4527" s="115" t="s">
        <v>1139</v>
      </c>
      <c r="D4527" s="115" t="s">
        <v>1140</v>
      </c>
      <c r="E4527" s="115" t="s">
        <v>6613</v>
      </c>
    </row>
    <row r="4528" spans="1:5" x14ac:dyDescent="0.25">
      <c r="B4528" s="115" t="s">
        <v>1139</v>
      </c>
      <c r="D4528" s="115" t="s">
        <v>6614</v>
      </c>
      <c r="E4528" s="115" t="s">
        <v>6615</v>
      </c>
    </row>
    <row r="4529" spans="1:5" x14ac:dyDescent="0.25">
      <c r="B4529" s="115" t="s">
        <v>1175</v>
      </c>
      <c r="D4529" s="115" t="s">
        <v>6616</v>
      </c>
      <c r="E4529" s="115" t="s">
        <v>1859</v>
      </c>
    </row>
    <row r="4530" spans="1:5" x14ac:dyDescent="0.25">
      <c r="B4530" s="115" t="s">
        <v>1355</v>
      </c>
      <c r="D4530" s="115" t="s">
        <v>1140</v>
      </c>
      <c r="E4530" s="115" t="s">
        <v>6617</v>
      </c>
    </row>
    <row r="4531" spans="1:5" x14ac:dyDescent="0.2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25">
      <c r="B4532" s="115" t="s">
        <v>1139</v>
      </c>
      <c r="D4532" s="115" t="s">
        <v>6621</v>
      </c>
      <c r="E4532" s="115" t="s">
        <v>6622</v>
      </c>
    </row>
    <row r="4533" spans="1:5" x14ac:dyDescent="0.2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2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25">
      <c r="B4535" s="115" t="s">
        <v>6628</v>
      </c>
      <c r="D4535" s="115" t="s">
        <v>6629</v>
      </c>
      <c r="E4535" s="115" t="s">
        <v>6630</v>
      </c>
    </row>
    <row r="4536" spans="1:5" x14ac:dyDescent="0.25">
      <c r="B4536" s="115" t="s">
        <v>6631</v>
      </c>
      <c r="D4536" s="115" t="s">
        <v>1140</v>
      </c>
      <c r="E4536" s="115" t="s">
        <v>6632</v>
      </c>
    </row>
    <row r="4537" spans="1:5" x14ac:dyDescent="0.2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25">
      <c r="B4538" s="115" t="s">
        <v>6636</v>
      </c>
      <c r="D4538" s="115" t="s">
        <v>6637</v>
      </c>
      <c r="E4538" s="115" t="s">
        <v>6638</v>
      </c>
    </row>
    <row r="4539" spans="1:5" x14ac:dyDescent="0.25">
      <c r="B4539" s="115">
        <f>-36   -358</f>
        <v>-394</v>
      </c>
      <c r="D4539" s="115" t="s">
        <v>1140</v>
      </c>
      <c r="E4539" s="115" t="s">
        <v>6639</v>
      </c>
    </row>
    <row r="4540" spans="1:5" x14ac:dyDescent="0.2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25">
      <c r="B4541" s="115" t="s">
        <v>6642</v>
      </c>
      <c r="D4541" s="115" t="s">
        <v>6643</v>
      </c>
      <c r="E4541" s="115" t="s">
        <v>6644</v>
      </c>
    </row>
    <row r="4542" spans="1:5" x14ac:dyDescent="0.25">
      <c r="B4542" s="115" t="s">
        <v>1139</v>
      </c>
      <c r="D4542" s="115" t="s">
        <v>1140</v>
      </c>
      <c r="E4542" s="115" t="s">
        <v>6645</v>
      </c>
    </row>
    <row r="4543" spans="1:5" x14ac:dyDescent="0.2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2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25">
      <c r="B4545" s="115" t="s">
        <v>6650</v>
      </c>
      <c r="D4545" s="115" t="s">
        <v>1140</v>
      </c>
      <c r="E4545" s="115" t="s">
        <v>6651</v>
      </c>
    </row>
    <row r="4546" spans="1:5" x14ac:dyDescent="0.2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25">
      <c r="B4547" s="115" t="s">
        <v>1139</v>
      </c>
      <c r="D4547" s="115" t="s">
        <v>6654</v>
      </c>
      <c r="E4547" s="115" t="s">
        <v>6655</v>
      </c>
    </row>
    <row r="4548" spans="1:5" x14ac:dyDescent="0.2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25">
      <c r="B4549" s="115" t="s">
        <v>1441</v>
      </c>
      <c r="D4549" s="115" t="s">
        <v>1140</v>
      </c>
      <c r="E4549" s="115" t="s">
        <v>1141</v>
      </c>
    </row>
    <row r="4550" spans="1:5" x14ac:dyDescent="0.25">
      <c r="B4550" s="115" t="s">
        <v>1139</v>
      </c>
      <c r="D4550" s="115" t="s">
        <v>1140</v>
      </c>
      <c r="E4550" s="115" t="s">
        <v>2532</v>
      </c>
    </row>
    <row r="4551" spans="1:5" x14ac:dyDescent="0.25">
      <c r="B4551" s="115" t="s">
        <v>1538</v>
      </c>
      <c r="D4551" s="115" t="s">
        <v>6658</v>
      </c>
      <c r="E4551" s="115" t="s">
        <v>6659</v>
      </c>
    </row>
    <row r="4552" spans="1:5" x14ac:dyDescent="0.25">
      <c r="B4552" s="115" t="s">
        <v>1139</v>
      </c>
      <c r="D4552" s="115" t="s">
        <v>6660</v>
      </c>
      <c r="E4552" s="115" t="s">
        <v>6661</v>
      </c>
    </row>
    <row r="4553" spans="1:5" x14ac:dyDescent="0.2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2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25">
      <c r="B4555" s="115" t="s">
        <v>1388</v>
      </c>
      <c r="D4555" s="115" t="s">
        <v>1375</v>
      </c>
      <c r="E4555" s="115" t="s">
        <v>6668</v>
      </c>
    </row>
    <row r="4556" spans="1:5" x14ac:dyDescent="0.25">
      <c r="B4556" s="115" t="s">
        <v>1139</v>
      </c>
      <c r="D4556" s="115" t="s">
        <v>1140</v>
      </c>
      <c r="E4556" s="115" t="s">
        <v>6669</v>
      </c>
    </row>
    <row r="4557" spans="1:5" x14ac:dyDescent="0.25">
      <c r="B4557" s="115" t="s">
        <v>1662</v>
      </c>
      <c r="D4557" s="115" t="s">
        <v>6670</v>
      </c>
      <c r="E4557" s="115" t="s">
        <v>6671</v>
      </c>
    </row>
    <row r="4558" spans="1:5" x14ac:dyDescent="0.25">
      <c r="B4558" s="115" t="s">
        <v>4577</v>
      </c>
      <c r="D4558" s="115" t="s">
        <v>1940</v>
      </c>
      <c r="E4558" s="115" t="s">
        <v>1141</v>
      </c>
    </row>
    <row r="4559" spans="1:5" x14ac:dyDescent="0.25">
      <c r="B4559" s="115" t="s">
        <v>1869</v>
      </c>
      <c r="D4559" s="115" t="s">
        <v>1140</v>
      </c>
      <c r="E4559" s="115" t="s">
        <v>6672</v>
      </c>
    </row>
    <row r="4560" spans="1:5" x14ac:dyDescent="0.25">
      <c r="B4560" s="115" t="s">
        <v>6673</v>
      </c>
      <c r="D4560" s="115" t="s">
        <v>1140</v>
      </c>
      <c r="E4560" s="115" t="s">
        <v>6674</v>
      </c>
    </row>
    <row r="4561" spans="1:5" x14ac:dyDescent="0.25">
      <c r="B4561" s="115" t="s">
        <v>1902</v>
      </c>
      <c r="D4561" s="115" t="s">
        <v>6675</v>
      </c>
      <c r="E4561" s="115" t="s">
        <v>6676</v>
      </c>
    </row>
    <row r="4562" spans="1:5" x14ac:dyDescent="0.25">
      <c r="B4562" s="115" t="s">
        <v>1594</v>
      </c>
      <c r="D4562" s="115" t="s">
        <v>6677</v>
      </c>
      <c r="E4562" s="115" t="s">
        <v>6678</v>
      </c>
    </row>
    <row r="4563" spans="1:5" x14ac:dyDescent="0.2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2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25">
      <c r="B4565" s="115" t="s">
        <v>3717</v>
      </c>
      <c r="D4565" s="115" t="s">
        <v>6685</v>
      </c>
      <c r="E4565" s="115" t="s">
        <v>6686</v>
      </c>
    </row>
    <row r="4566" spans="1:5" x14ac:dyDescent="0.25">
      <c r="B4566" s="115" t="s">
        <v>6687</v>
      </c>
      <c r="D4566" s="115" t="s">
        <v>6688</v>
      </c>
      <c r="E4566" s="115" t="s">
        <v>6689</v>
      </c>
    </row>
    <row r="4567" spans="1:5" x14ac:dyDescent="0.2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25">
      <c r="B4568" s="115" t="s">
        <v>6693</v>
      </c>
      <c r="D4568" s="115" t="s">
        <v>6694</v>
      </c>
      <c r="E4568" s="115" t="s">
        <v>6695</v>
      </c>
    </row>
    <row r="4569" spans="1:5" x14ac:dyDescent="0.25">
      <c r="B4569" s="115" t="s">
        <v>1459</v>
      </c>
      <c r="D4569" s="115" t="s">
        <v>6696</v>
      </c>
      <c r="E4569" s="115" t="s">
        <v>6697</v>
      </c>
    </row>
    <row r="4570" spans="1:5" x14ac:dyDescent="0.2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25">
      <c r="B4571" s="115" t="s">
        <v>1139</v>
      </c>
      <c r="D4571" s="115" t="s">
        <v>6677</v>
      </c>
      <c r="E4571" s="115" t="s">
        <v>6700</v>
      </c>
    </row>
    <row r="4572" spans="1:5" x14ac:dyDescent="0.25">
      <c r="B4572" s="115" t="s">
        <v>1139</v>
      </c>
      <c r="D4572" s="115" t="s">
        <v>6701</v>
      </c>
      <c r="E4572" s="115" t="s">
        <v>6702</v>
      </c>
    </row>
    <row r="4573" spans="1:5" x14ac:dyDescent="0.2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2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2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25">
      <c r="B4576" s="115" t="s">
        <v>1434</v>
      </c>
      <c r="D4576" s="115" t="s">
        <v>6710</v>
      </c>
      <c r="E4576" s="115" t="s">
        <v>6711</v>
      </c>
    </row>
    <row r="4577" spans="1:5" x14ac:dyDescent="0.2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25">
      <c r="B4578" s="115" t="s">
        <v>1139</v>
      </c>
      <c r="D4578" s="115" t="s">
        <v>1140</v>
      </c>
      <c r="E4578" s="115" t="s">
        <v>1141</v>
      </c>
    </row>
    <row r="4579" spans="1:5" x14ac:dyDescent="0.25">
      <c r="B4579" s="115" t="s">
        <v>1139</v>
      </c>
      <c r="D4579" s="115" t="s">
        <v>2759</v>
      </c>
      <c r="E4579" s="115" t="s">
        <v>2082</v>
      </c>
    </row>
    <row r="4580" spans="1:5" x14ac:dyDescent="0.25">
      <c r="B4580" s="115" t="s">
        <v>6714</v>
      </c>
      <c r="D4580" s="115" t="s">
        <v>6715</v>
      </c>
      <c r="E4580" s="115" t="s">
        <v>6716</v>
      </c>
    </row>
    <row r="4581" spans="1:5" x14ac:dyDescent="0.2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2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2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25">
      <c r="B4584" s="115" t="s">
        <v>2241</v>
      </c>
      <c r="D4584" s="115" t="s">
        <v>1250</v>
      </c>
      <c r="E4584" s="115" t="s">
        <v>6726</v>
      </c>
    </row>
    <row r="4585" spans="1:5" x14ac:dyDescent="0.25">
      <c r="B4585" s="115" t="s">
        <v>1139</v>
      </c>
      <c r="D4585" s="115" t="s">
        <v>1140</v>
      </c>
      <c r="E4585" s="115" t="s">
        <v>6727</v>
      </c>
    </row>
    <row r="4586" spans="1:5" x14ac:dyDescent="0.25">
      <c r="B4586" s="115" t="s">
        <v>6728</v>
      </c>
      <c r="D4586" s="115" t="s">
        <v>6729</v>
      </c>
      <c r="E4586" s="115" t="s">
        <v>6730</v>
      </c>
    </row>
    <row r="4587" spans="1:5" x14ac:dyDescent="0.25">
      <c r="B4587" s="115" t="s">
        <v>1273</v>
      </c>
      <c r="D4587" s="115" t="s">
        <v>4858</v>
      </c>
      <c r="E4587" s="115" t="s">
        <v>1141</v>
      </c>
    </row>
    <row r="4588" spans="1:5" x14ac:dyDescent="0.25">
      <c r="B4588" s="115" t="s">
        <v>6731</v>
      </c>
      <c r="D4588" s="115" t="s">
        <v>1140</v>
      </c>
      <c r="E4588" s="115" t="s">
        <v>6732</v>
      </c>
    </row>
    <row r="4589" spans="1:5" x14ac:dyDescent="0.25">
      <c r="B4589" s="115" t="s">
        <v>6733</v>
      </c>
      <c r="D4589" s="115" t="s">
        <v>1140</v>
      </c>
      <c r="E4589" s="115" t="s">
        <v>6734</v>
      </c>
    </row>
    <row r="4590" spans="1:5" x14ac:dyDescent="0.25">
      <c r="B4590" s="115" t="s">
        <v>5569</v>
      </c>
      <c r="D4590" s="115" t="s">
        <v>6735</v>
      </c>
      <c r="E4590" s="115" t="s">
        <v>6736</v>
      </c>
    </row>
    <row r="4591" spans="1:5" x14ac:dyDescent="0.25">
      <c r="B4591" s="115" t="s">
        <v>1404</v>
      </c>
      <c r="D4591" s="115" t="s">
        <v>5010</v>
      </c>
      <c r="E4591" s="115" t="s">
        <v>6737</v>
      </c>
    </row>
    <row r="4592" spans="1:5" x14ac:dyDescent="0.25">
      <c r="B4592" s="115" t="s">
        <v>6738</v>
      </c>
      <c r="D4592" s="115" t="s">
        <v>6739</v>
      </c>
      <c r="E4592" s="115" t="s">
        <v>6740</v>
      </c>
    </row>
    <row r="4593" spans="1:5" x14ac:dyDescent="0.2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25">
      <c r="B4594" s="115" t="s">
        <v>1301</v>
      </c>
      <c r="D4594" s="115" t="s">
        <v>5855</v>
      </c>
      <c r="E4594" s="115" t="s">
        <v>6744</v>
      </c>
    </row>
    <row r="4595" spans="1:5" x14ac:dyDescent="0.2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2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25">
      <c r="B4597" s="115" t="s">
        <v>1532</v>
      </c>
      <c r="D4597" s="115" t="s">
        <v>6751</v>
      </c>
      <c r="E4597" s="115" t="s">
        <v>6752</v>
      </c>
    </row>
    <row r="4598" spans="1:5" x14ac:dyDescent="0.25">
      <c r="B4598" s="115" t="s">
        <v>6753</v>
      </c>
      <c r="D4598" s="115" t="s">
        <v>6754</v>
      </c>
      <c r="E4598" s="115" t="s">
        <v>6755</v>
      </c>
    </row>
    <row r="4599" spans="1:5" x14ac:dyDescent="0.2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25">
      <c r="B4600" s="115" t="s">
        <v>1139</v>
      </c>
      <c r="D4600" s="115" t="s">
        <v>6437</v>
      </c>
      <c r="E4600" s="115" t="s">
        <v>6758</v>
      </c>
    </row>
    <row r="4601" spans="1:5" x14ac:dyDescent="0.25">
      <c r="B4601" s="115" t="s">
        <v>1139</v>
      </c>
      <c r="D4601" s="115" t="s">
        <v>6759</v>
      </c>
      <c r="E4601" s="115" t="s">
        <v>6760</v>
      </c>
    </row>
    <row r="4602" spans="1:5" x14ac:dyDescent="0.2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2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2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25">
      <c r="B4605" s="115" t="s">
        <v>6769</v>
      </c>
      <c r="D4605" s="115" t="s">
        <v>6770</v>
      </c>
      <c r="E4605" s="115" t="s">
        <v>6771</v>
      </c>
    </row>
    <row r="4606" spans="1:5" x14ac:dyDescent="0.25">
      <c r="B4606" s="115" t="s">
        <v>6772</v>
      </c>
      <c r="D4606" s="115" t="s">
        <v>6773</v>
      </c>
      <c r="E4606" s="115" t="s">
        <v>6774</v>
      </c>
    </row>
    <row r="4607" spans="1:5" x14ac:dyDescent="0.25">
      <c r="B4607" s="115" t="s">
        <v>1139</v>
      </c>
      <c r="D4607" s="115" t="s">
        <v>1140</v>
      </c>
      <c r="E4607" s="115" t="s">
        <v>1141</v>
      </c>
    </row>
    <row r="4608" spans="1:5" x14ac:dyDescent="0.25">
      <c r="B4608" s="115" t="s">
        <v>1139</v>
      </c>
      <c r="D4608" s="115" t="s">
        <v>2183</v>
      </c>
      <c r="E4608" s="115" t="s">
        <v>2690</v>
      </c>
    </row>
    <row r="4609" spans="1:5" x14ac:dyDescent="0.25">
      <c r="B4609" s="115" t="s">
        <v>6775</v>
      </c>
      <c r="D4609" s="115" t="s">
        <v>6776</v>
      </c>
      <c r="E4609" s="115" t="s">
        <v>6777</v>
      </c>
    </row>
    <row r="4610" spans="1:5" x14ac:dyDescent="0.2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2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2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25">
      <c r="B4613" s="115" t="s">
        <v>1139</v>
      </c>
      <c r="D4613" s="115" t="s">
        <v>6787</v>
      </c>
      <c r="E4613" s="115" t="s">
        <v>6788</v>
      </c>
    </row>
    <row r="4614" spans="1:5" x14ac:dyDescent="0.25">
      <c r="B4614" s="115" t="s">
        <v>1139</v>
      </c>
      <c r="D4614" s="115" t="s">
        <v>1140</v>
      </c>
      <c r="E4614" s="115" t="s">
        <v>6789</v>
      </c>
    </row>
    <row r="4615" spans="1:5" x14ac:dyDescent="0.25">
      <c r="B4615" s="115" t="s">
        <v>1139</v>
      </c>
      <c r="D4615" s="115" t="s">
        <v>6790</v>
      </c>
      <c r="E4615" s="115" t="s">
        <v>6791</v>
      </c>
    </row>
    <row r="4616" spans="1:5" x14ac:dyDescent="0.25">
      <c r="B4616" s="115" t="s">
        <v>6792</v>
      </c>
      <c r="D4616" s="115" t="s">
        <v>1830</v>
      </c>
      <c r="E4616" s="115" t="s">
        <v>1759</v>
      </c>
    </row>
    <row r="4617" spans="1:5" x14ac:dyDescent="0.25">
      <c r="B4617" s="115" t="s">
        <v>1516</v>
      </c>
      <c r="D4617" s="115" t="s">
        <v>1140</v>
      </c>
      <c r="E4617" s="115" t="s">
        <v>6793</v>
      </c>
    </row>
    <row r="4618" spans="1:5" x14ac:dyDescent="0.2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25">
      <c r="B4619" s="115" t="s">
        <v>1139</v>
      </c>
      <c r="D4619" s="115" t="s">
        <v>6796</v>
      </c>
      <c r="E4619" s="115" t="s">
        <v>6797</v>
      </c>
    </row>
    <row r="4620" spans="1:5" x14ac:dyDescent="0.25">
      <c r="B4620" s="115" t="s">
        <v>6798</v>
      </c>
      <c r="D4620" s="115" t="s">
        <v>1140</v>
      </c>
      <c r="E4620" s="115" t="s">
        <v>6799</v>
      </c>
    </row>
    <row r="4621" spans="1:5" x14ac:dyDescent="0.2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25">
      <c r="B4622" s="115" t="s">
        <v>6803</v>
      </c>
      <c r="D4622" s="115" t="s">
        <v>6804</v>
      </c>
      <c r="E4622" s="115" t="s">
        <v>6805</v>
      </c>
    </row>
    <row r="4623" spans="1:5" x14ac:dyDescent="0.25">
      <c r="B4623" s="115">
        <f>-55    -43</f>
        <v>-98</v>
      </c>
      <c r="D4623" s="115" t="s">
        <v>1140</v>
      </c>
      <c r="E4623" s="115" t="s">
        <v>6806</v>
      </c>
    </row>
    <row r="4624" spans="1:5" x14ac:dyDescent="0.2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25">
      <c r="B4625" s="115" t="s">
        <v>6810</v>
      </c>
      <c r="D4625" s="115" t="s">
        <v>6811</v>
      </c>
      <c r="E4625" s="115" t="s">
        <v>6812</v>
      </c>
    </row>
    <row r="4626" spans="1:5" x14ac:dyDescent="0.25">
      <c r="B4626" s="115" t="s">
        <v>6813</v>
      </c>
      <c r="D4626" s="115" t="s">
        <v>1140</v>
      </c>
      <c r="E4626" s="115" t="s">
        <v>6814</v>
      </c>
    </row>
    <row r="4627" spans="1:5" x14ac:dyDescent="0.2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25">
      <c r="B4628" s="115" t="s">
        <v>6818</v>
      </c>
      <c r="D4628" s="115" t="s">
        <v>6819</v>
      </c>
      <c r="E4628" s="115" t="s">
        <v>6820</v>
      </c>
    </row>
    <row r="4629" spans="1:5" x14ac:dyDescent="0.25">
      <c r="B4629" s="115" t="s">
        <v>1139</v>
      </c>
      <c r="D4629" s="115" t="s">
        <v>1140</v>
      </c>
      <c r="E4629" s="115" t="s">
        <v>6821</v>
      </c>
    </row>
    <row r="4630" spans="1:5" x14ac:dyDescent="0.2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2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25">
      <c r="B4632" s="115" t="s">
        <v>6826</v>
      </c>
      <c r="D4632" s="115" t="s">
        <v>1140</v>
      </c>
      <c r="E4632" s="115" t="s">
        <v>6827</v>
      </c>
    </row>
    <row r="4633" spans="1:5" x14ac:dyDescent="0.2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25">
      <c r="B4634" s="115" t="s">
        <v>1139</v>
      </c>
      <c r="D4634" s="115" t="s">
        <v>6830</v>
      </c>
      <c r="E4634" s="115" t="s">
        <v>6831</v>
      </c>
    </row>
    <row r="4635" spans="1:5" x14ac:dyDescent="0.2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2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25">
      <c r="B4637" s="115" t="s">
        <v>1139</v>
      </c>
      <c r="D4637" s="115" t="s">
        <v>1140</v>
      </c>
      <c r="E4637" s="115" t="s">
        <v>6834</v>
      </c>
    </row>
    <row r="4638" spans="1:5" x14ac:dyDescent="0.25">
      <c r="B4638" s="115" t="s">
        <v>6835</v>
      </c>
      <c r="D4638" s="115" t="s">
        <v>6836</v>
      </c>
      <c r="E4638" s="115" t="s">
        <v>6837</v>
      </c>
    </row>
    <row r="4639" spans="1:5" x14ac:dyDescent="0.25">
      <c r="B4639" s="115" t="s">
        <v>1139</v>
      </c>
      <c r="D4639" s="115" t="s">
        <v>6838</v>
      </c>
      <c r="E4639" s="115" t="s">
        <v>6839</v>
      </c>
    </row>
    <row r="4640" spans="1:5" x14ac:dyDescent="0.2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2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2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2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2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25">
      <c r="B4645" s="115" t="s">
        <v>1139</v>
      </c>
      <c r="D4645" s="115" t="s">
        <v>6853</v>
      </c>
      <c r="E4645" s="115" t="s">
        <v>6854</v>
      </c>
    </row>
    <row r="4646" spans="1:5" x14ac:dyDescent="0.25">
      <c r="B4646" s="115" t="s">
        <v>1139</v>
      </c>
      <c r="D4646" s="115" t="s">
        <v>6855</v>
      </c>
      <c r="E4646" s="115" t="s">
        <v>1141</v>
      </c>
    </row>
    <row r="4647" spans="1:5" x14ac:dyDescent="0.25">
      <c r="B4647" s="115" t="s">
        <v>2765</v>
      </c>
      <c r="D4647" s="115" t="s">
        <v>6856</v>
      </c>
      <c r="E4647" s="115" t="s">
        <v>6857</v>
      </c>
    </row>
    <row r="4648" spans="1:5" x14ac:dyDescent="0.2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25">
      <c r="B4649" s="126">
        <v>18383</v>
      </c>
      <c r="D4649" s="115" t="s">
        <v>6861</v>
      </c>
      <c r="E4649" s="115" t="s">
        <v>6862</v>
      </c>
    </row>
    <row r="4650" spans="1:5" x14ac:dyDescent="0.2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25">
      <c r="B4651" s="115" t="s">
        <v>6866</v>
      </c>
      <c r="D4651" s="115" t="s">
        <v>6867</v>
      </c>
      <c r="E4651" s="115" t="s">
        <v>6868</v>
      </c>
    </row>
    <row r="4652" spans="1:5" x14ac:dyDescent="0.25">
      <c r="B4652" s="115" t="s">
        <v>6869</v>
      </c>
      <c r="D4652" s="115" t="s">
        <v>6870</v>
      </c>
      <c r="E4652" s="115" t="s">
        <v>6871</v>
      </c>
    </row>
    <row r="4653" spans="1:5" x14ac:dyDescent="0.2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25">
      <c r="B4654" s="115" t="s">
        <v>6875</v>
      </c>
      <c r="D4654" s="115" t="s">
        <v>6876</v>
      </c>
      <c r="E4654" s="115" t="s">
        <v>6877</v>
      </c>
    </row>
    <row r="4655" spans="1:5" x14ac:dyDescent="0.25">
      <c r="B4655" s="115" t="s">
        <v>1555</v>
      </c>
      <c r="D4655" s="115" t="s">
        <v>6878</v>
      </c>
      <c r="E4655" s="115" t="s">
        <v>6879</v>
      </c>
    </row>
    <row r="4656" spans="1:5" x14ac:dyDescent="0.25">
      <c r="B4656" s="115" t="s">
        <v>6880</v>
      </c>
      <c r="D4656" s="115" t="s">
        <v>6881</v>
      </c>
      <c r="E4656" s="115" t="s">
        <v>6882</v>
      </c>
    </row>
    <row r="4657" spans="1:5" x14ac:dyDescent="0.2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25">
      <c r="B4658" s="115" t="s">
        <v>2364</v>
      </c>
      <c r="D4658" s="115" t="s">
        <v>1140</v>
      </c>
      <c r="E4658" s="115" t="s">
        <v>6886</v>
      </c>
    </row>
    <row r="4659" spans="1:5" x14ac:dyDescent="0.25">
      <c r="B4659" s="115" t="s">
        <v>6887</v>
      </c>
      <c r="D4659" s="115" t="s">
        <v>6888</v>
      </c>
      <c r="E4659" s="115" t="s">
        <v>6889</v>
      </c>
    </row>
    <row r="4660" spans="1:5" x14ac:dyDescent="0.2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25">
      <c r="B4661" s="115" t="s">
        <v>6436</v>
      </c>
      <c r="D4661" s="115" t="s">
        <v>6893</v>
      </c>
      <c r="E4661" s="115" t="s">
        <v>6894</v>
      </c>
    </row>
    <row r="4662" spans="1:5" x14ac:dyDescent="0.2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25">
      <c r="B4663" s="115" t="s">
        <v>1139</v>
      </c>
      <c r="D4663" s="115" t="s">
        <v>6898</v>
      </c>
      <c r="E4663" s="115" t="s">
        <v>6899</v>
      </c>
    </row>
    <row r="4664" spans="1:5" x14ac:dyDescent="0.25">
      <c r="B4664" s="115" t="s">
        <v>1139</v>
      </c>
      <c r="D4664" s="115" t="s">
        <v>6900</v>
      </c>
      <c r="E4664" s="115" t="s">
        <v>1894</v>
      </c>
    </row>
    <row r="4665" spans="1:5" x14ac:dyDescent="0.25">
      <c r="B4665" s="115" t="s">
        <v>1595</v>
      </c>
      <c r="D4665" s="115" t="s">
        <v>6901</v>
      </c>
      <c r="E4665" s="115" t="s">
        <v>1141</v>
      </c>
    </row>
    <row r="4666" spans="1:5" x14ac:dyDescent="0.25">
      <c r="B4666" s="115" t="s">
        <v>1139</v>
      </c>
      <c r="D4666" s="115" t="s">
        <v>1140</v>
      </c>
      <c r="E4666" s="115" t="s">
        <v>6902</v>
      </c>
    </row>
    <row r="4667" spans="1:5" x14ac:dyDescent="0.25">
      <c r="B4667" s="115" t="s">
        <v>1139</v>
      </c>
      <c r="D4667" s="115" t="s">
        <v>6903</v>
      </c>
      <c r="E4667" s="115" t="s">
        <v>6904</v>
      </c>
    </row>
    <row r="4668" spans="1:5" x14ac:dyDescent="0.2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25">
      <c r="B4669" s="115" t="s">
        <v>6908</v>
      </c>
      <c r="D4669" s="115" t="s">
        <v>6909</v>
      </c>
      <c r="E4669" s="115" t="s">
        <v>6910</v>
      </c>
    </row>
    <row r="4670" spans="1:5" x14ac:dyDescent="0.2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2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25">
      <c r="B4672" s="115" t="s">
        <v>1139</v>
      </c>
      <c r="D4672" s="115" t="s">
        <v>6917</v>
      </c>
      <c r="E4672" s="115" t="s">
        <v>1141</v>
      </c>
    </row>
    <row r="4673" spans="1:5" x14ac:dyDescent="0.25">
      <c r="B4673" s="115" t="s">
        <v>1139</v>
      </c>
      <c r="D4673" s="115" t="s">
        <v>6918</v>
      </c>
      <c r="E4673" s="115" t="s">
        <v>6919</v>
      </c>
    </row>
    <row r="4674" spans="1:5" x14ac:dyDescent="0.2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2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25">
      <c r="B4676" s="115" t="s">
        <v>1139</v>
      </c>
      <c r="D4676" s="115" t="s">
        <v>6923</v>
      </c>
      <c r="E4676" s="115" t="s">
        <v>6924</v>
      </c>
    </row>
    <row r="4677" spans="1:5" x14ac:dyDescent="0.25">
      <c r="B4677" s="115" t="s">
        <v>1139</v>
      </c>
      <c r="D4677" s="115" t="s">
        <v>6925</v>
      </c>
      <c r="E4677" s="115" t="s">
        <v>6926</v>
      </c>
    </row>
    <row r="4678" spans="1:5" x14ac:dyDescent="0.2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25">
      <c r="B4679" s="115" t="s">
        <v>6930</v>
      </c>
      <c r="D4679" s="115" t="s">
        <v>6931</v>
      </c>
      <c r="E4679" s="115" t="s">
        <v>6932</v>
      </c>
    </row>
    <row r="4680" spans="1:5" x14ac:dyDescent="0.2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2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2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2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25">
      <c r="B4684" s="115" t="s">
        <v>1139</v>
      </c>
      <c r="D4684" s="115" t="s">
        <v>6945</v>
      </c>
      <c r="E4684" s="115" t="s">
        <v>6946</v>
      </c>
    </row>
    <row r="4685" spans="1:5" x14ac:dyDescent="0.2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2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25">
      <c r="B4687" s="115" t="s">
        <v>6951</v>
      </c>
      <c r="D4687" s="115" t="s">
        <v>6952</v>
      </c>
      <c r="E4687" s="115" t="s">
        <v>1141</v>
      </c>
    </row>
    <row r="4688" spans="1:5" x14ac:dyDescent="0.25">
      <c r="B4688" s="115" t="s">
        <v>6953</v>
      </c>
      <c r="D4688" s="115" t="s">
        <v>6954</v>
      </c>
      <c r="E4688" s="115" t="s">
        <v>1859</v>
      </c>
    </row>
    <row r="4689" spans="1:5" x14ac:dyDescent="0.25">
      <c r="B4689" s="115" t="s">
        <v>6955</v>
      </c>
      <c r="D4689" s="115" t="s">
        <v>6956</v>
      </c>
      <c r="E4689" s="115" t="s">
        <v>6957</v>
      </c>
    </row>
    <row r="4690" spans="1:5" x14ac:dyDescent="0.25">
      <c r="B4690" s="115" t="s">
        <v>6958</v>
      </c>
      <c r="D4690" s="115" t="s">
        <v>6959</v>
      </c>
      <c r="E4690" s="115" t="s">
        <v>6960</v>
      </c>
    </row>
    <row r="4691" spans="1:5" x14ac:dyDescent="0.2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25">
      <c r="B4692" s="115" t="s">
        <v>1139</v>
      </c>
      <c r="D4692" s="115" t="s">
        <v>1140</v>
      </c>
      <c r="E4692" s="115" t="s">
        <v>6963</v>
      </c>
    </row>
    <row r="4693" spans="1:5" x14ac:dyDescent="0.2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25">
      <c r="B4694" s="115" t="s">
        <v>1139</v>
      </c>
      <c r="D4694" s="115" t="s">
        <v>6967</v>
      </c>
      <c r="E4694" s="115" t="s">
        <v>2082</v>
      </c>
    </row>
    <row r="4695" spans="1:5" x14ac:dyDescent="0.25">
      <c r="B4695" s="115" t="s">
        <v>1139</v>
      </c>
      <c r="D4695" s="115" t="s">
        <v>1140</v>
      </c>
      <c r="E4695" s="115" t="s">
        <v>1141</v>
      </c>
    </row>
    <row r="4696" spans="1:5" x14ac:dyDescent="0.25">
      <c r="B4696" s="115" t="s">
        <v>6968</v>
      </c>
      <c r="D4696" s="115" t="s">
        <v>1140</v>
      </c>
      <c r="E4696" s="115" t="s">
        <v>6969</v>
      </c>
    </row>
    <row r="4697" spans="1:5" x14ac:dyDescent="0.2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25">
      <c r="B4698" s="115" t="s">
        <v>6972</v>
      </c>
      <c r="D4698" s="115" t="s">
        <v>6973</v>
      </c>
      <c r="E4698" s="115" t="s">
        <v>6974</v>
      </c>
    </row>
    <row r="4699" spans="1:5" x14ac:dyDescent="0.2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2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25">
      <c r="B4701" s="115" t="s">
        <v>6981</v>
      </c>
      <c r="D4701" s="115" t="s">
        <v>6982</v>
      </c>
      <c r="E4701" s="115" t="s">
        <v>6983</v>
      </c>
    </row>
    <row r="4702" spans="1:5" x14ac:dyDescent="0.25">
      <c r="B4702" s="115" t="s">
        <v>1139</v>
      </c>
      <c r="D4702" s="115" t="s">
        <v>1140</v>
      </c>
      <c r="E4702" s="115" t="s">
        <v>6984</v>
      </c>
    </row>
    <row r="4703" spans="1:5" x14ac:dyDescent="0.25">
      <c r="B4703" s="115" t="s">
        <v>6985</v>
      </c>
      <c r="D4703" s="115" t="s">
        <v>6986</v>
      </c>
      <c r="E4703" s="115" t="s">
        <v>6987</v>
      </c>
    </row>
    <row r="4704" spans="1:5" x14ac:dyDescent="0.2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2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25">
      <c r="B4706" s="115" t="s">
        <v>6990</v>
      </c>
      <c r="D4706" s="115" t="s">
        <v>1140</v>
      </c>
      <c r="E4706" s="115" t="s">
        <v>6991</v>
      </c>
    </row>
    <row r="4707" spans="1:5" x14ac:dyDescent="0.25">
      <c r="B4707" s="115" t="s">
        <v>6992</v>
      </c>
      <c r="D4707" s="115" t="s">
        <v>6993</v>
      </c>
      <c r="E4707" s="115" t="s">
        <v>6994</v>
      </c>
    </row>
    <row r="4708" spans="1:5" x14ac:dyDescent="0.25">
      <c r="B4708" s="115" t="s">
        <v>1211</v>
      </c>
      <c r="D4708" s="115" t="s">
        <v>6995</v>
      </c>
      <c r="E4708" s="115" t="s">
        <v>6996</v>
      </c>
    </row>
    <row r="4709" spans="1:5" x14ac:dyDescent="0.2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2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2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2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25">
      <c r="B4713" s="115" t="s">
        <v>7008</v>
      </c>
      <c r="D4713" s="115" t="s">
        <v>7009</v>
      </c>
      <c r="E4713" s="115" t="s">
        <v>7010</v>
      </c>
    </row>
    <row r="4714" spans="1:5" x14ac:dyDescent="0.25">
      <c r="B4714" s="115" t="s">
        <v>7011</v>
      </c>
      <c r="D4714" s="115" t="s">
        <v>2399</v>
      </c>
      <c r="E4714" s="115" t="s">
        <v>7012</v>
      </c>
    </row>
    <row r="4715" spans="1:5" x14ac:dyDescent="0.2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2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25">
      <c r="B4717" s="115" t="s">
        <v>1139</v>
      </c>
      <c r="D4717" s="115" t="s">
        <v>7018</v>
      </c>
      <c r="E4717" s="115" t="s">
        <v>7019</v>
      </c>
    </row>
    <row r="4718" spans="1:5" x14ac:dyDescent="0.25">
      <c r="B4718" s="115" t="s">
        <v>1139</v>
      </c>
      <c r="D4718" s="115" t="s">
        <v>6704</v>
      </c>
      <c r="E4718" s="115" t="s">
        <v>7020</v>
      </c>
    </row>
    <row r="4719" spans="1:5" x14ac:dyDescent="0.2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2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2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2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2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25">
      <c r="B4724" s="115" t="s">
        <v>1139</v>
      </c>
      <c r="D4724" s="115" t="s">
        <v>1140</v>
      </c>
      <c r="E4724" s="115" t="s">
        <v>1141</v>
      </c>
    </row>
    <row r="4725" spans="1:5" x14ac:dyDescent="0.25">
      <c r="B4725" s="115" t="s">
        <v>1139</v>
      </c>
      <c r="D4725" s="115" t="s">
        <v>7032</v>
      </c>
      <c r="E4725" s="115" t="s">
        <v>1859</v>
      </c>
    </row>
    <row r="4726" spans="1:5" x14ac:dyDescent="0.25">
      <c r="B4726" s="115">
        <f>-76   -103</f>
        <v>-179</v>
      </c>
      <c r="D4726" s="115" t="s">
        <v>7033</v>
      </c>
      <c r="E4726" s="115" t="s">
        <v>7034</v>
      </c>
    </row>
    <row r="4727" spans="1:5" x14ac:dyDescent="0.25">
      <c r="B4727" s="115" t="s">
        <v>7035</v>
      </c>
      <c r="D4727" s="115" t="s">
        <v>7036</v>
      </c>
      <c r="E4727" s="115" t="s">
        <v>7037</v>
      </c>
    </row>
    <row r="4728" spans="1:5" x14ac:dyDescent="0.2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2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2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25">
      <c r="B4731" s="115" t="s">
        <v>1139</v>
      </c>
      <c r="D4731" s="115" t="s">
        <v>7047</v>
      </c>
      <c r="E4731" s="115" t="s">
        <v>1141</v>
      </c>
    </row>
    <row r="4732" spans="1:5" x14ac:dyDescent="0.25">
      <c r="B4732" s="115" t="s">
        <v>1139</v>
      </c>
      <c r="D4732" s="115" t="s">
        <v>7048</v>
      </c>
      <c r="E4732" s="115" t="s">
        <v>7049</v>
      </c>
    </row>
    <row r="4733" spans="1:5" x14ac:dyDescent="0.25">
      <c r="B4733" s="115" t="s">
        <v>7050</v>
      </c>
      <c r="D4733" s="115" t="s">
        <v>4180</v>
      </c>
      <c r="E4733" s="115" t="s">
        <v>7051</v>
      </c>
    </row>
    <row r="4734" spans="1:5" x14ac:dyDescent="0.25">
      <c r="B4734" s="115" t="s">
        <v>1139</v>
      </c>
      <c r="D4734" s="115" t="s">
        <v>1893</v>
      </c>
      <c r="E4734" s="115" t="s">
        <v>2260</v>
      </c>
    </row>
    <row r="4735" spans="1:5" x14ac:dyDescent="0.25">
      <c r="B4735" s="115" t="s">
        <v>1139</v>
      </c>
      <c r="D4735" s="115" t="s">
        <v>7052</v>
      </c>
      <c r="E4735" s="115" t="s">
        <v>7053</v>
      </c>
    </row>
    <row r="4736" spans="1:5" x14ac:dyDescent="0.2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2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25">
      <c r="B4738" s="115" t="s">
        <v>7058</v>
      </c>
      <c r="D4738" s="115" t="s">
        <v>7059</v>
      </c>
      <c r="E4738" s="115" t="s">
        <v>7060</v>
      </c>
    </row>
    <row r="4739" spans="1:5" x14ac:dyDescent="0.2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25">
      <c r="B4740" s="115" t="s">
        <v>7064</v>
      </c>
      <c r="D4740" s="115" t="s">
        <v>7065</v>
      </c>
      <c r="E4740" s="115" t="s">
        <v>2537</v>
      </c>
    </row>
    <row r="4741" spans="1:5" x14ac:dyDescent="0.2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2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25">
      <c r="B4743" s="115" t="s">
        <v>7072</v>
      </c>
      <c r="D4743" s="115" t="s">
        <v>7073</v>
      </c>
      <c r="E4743" s="115" t="s">
        <v>1859</v>
      </c>
    </row>
    <row r="4744" spans="1:5" x14ac:dyDescent="0.2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2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25">
      <c r="B4746" s="115" t="s">
        <v>1588</v>
      </c>
      <c r="D4746" s="115" t="s">
        <v>7079</v>
      </c>
      <c r="E4746" s="115" t="s">
        <v>1141</v>
      </c>
    </row>
    <row r="4747" spans="1:5" x14ac:dyDescent="0.2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2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2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25">
      <c r="B4750" s="115" t="s">
        <v>7086</v>
      </c>
      <c r="D4750" s="115" t="s">
        <v>7087</v>
      </c>
      <c r="E4750" s="115" t="s">
        <v>7088</v>
      </c>
    </row>
    <row r="4751" spans="1:5" x14ac:dyDescent="0.25">
      <c r="B4751" s="115" t="s">
        <v>1139</v>
      </c>
      <c r="D4751" s="115" t="s">
        <v>1140</v>
      </c>
      <c r="E4751" s="115" t="s">
        <v>7089</v>
      </c>
    </row>
    <row r="4752" spans="1:5" x14ac:dyDescent="0.2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25">
      <c r="B4753" s="115" t="s">
        <v>1139</v>
      </c>
      <c r="D4753" s="115" t="s">
        <v>7093</v>
      </c>
      <c r="E4753" s="115" t="s">
        <v>1141</v>
      </c>
    </row>
    <row r="4754" spans="1:5" x14ac:dyDescent="0.25">
      <c r="B4754" s="115" t="s">
        <v>1139</v>
      </c>
      <c r="D4754" s="115" t="s">
        <v>1140</v>
      </c>
      <c r="E4754" s="115" t="s">
        <v>1141</v>
      </c>
    </row>
    <row r="4755" spans="1:5" x14ac:dyDescent="0.2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2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2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2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2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25">
      <c r="B4760" s="115" t="s">
        <v>1139</v>
      </c>
      <c r="D4760" s="115" t="s">
        <v>7107</v>
      </c>
      <c r="E4760" s="115" t="s">
        <v>7108</v>
      </c>
    </row>
    <row r="4761" spans="1:5" x14ac:dyDescent="0.25">
      <c r="B4761" s="115" t="s">
        <v>1139</v>
      </c>
      <c r="D4761" s="115" t="s">
        <v>1140</v>
      </c>
      <c r="E4761" s="115" t="s">
        <v>7109</v>
      </c>
    </row>
    <row r="4762" spans="1:5" x14ac:dyDescent="0.25">
      <c r="B4762" s="115" t="s">
        <v>1139</v>
      </c>
      <c r="D4762" s="115" t="s">
        <v>7110</v>
      </c>
      <c r="E4762" s="115" t="s">
        <v>7111</v>
      </c>
    </row>
    <row r="4763" spans="1:5" x14ac:dyDescent="0.25">
      <c r="B4763" s="115" t="s">
        <v>7112</v>
      </c>
      <c r="D4763" s="115" t="s">
        <v>1850</v>
      </c>
      <c r="E4763" s="115" t="s">
        <v>1859</v>
      </c>
    </row>
    <row r="4764" spans="1:5" x14ac:dyDescent="0.25">
      <c r="B4764" s="115" t="s">
        <v>1873</v>
      </c>
      <c r="D4764" s="115" t="s">
        <v>1140</v>
      </c>
      <c r="E4764" s="115" t="s">
        <v>7113</v>
      </c>
    </row>
    <row r="4765" spans="1:5" x14ac:dyDescent="0.2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25">
      <c r="B4766" s="115" t="s">
        <v>1139</v>
      </c>
      <c r="D4766" s="115" t="s">
        <v>7117</v>
      </c>
      <c r="E4766" s="115" t="s">
        <v>7118</v>
      </c>
    </row>
    <row r="4767" spans="1:5" x14ac:dyDescent="0.25">
      <c r="B4767" s="115" t="s">
        <v>7119</v>
      </c>
      <c r="D4767" s="115" t="s">
        <v>1140</v>
      </c>
      <c r="E4767" s="115" t="s">
        <v>7120</v>
      </c>
    </row>
    <row r="4768" spans="1:5" x14ac:dyDescent="0.2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25">
      <c r="B4769" s="115" t="s">
        <v>7124</v>
      </c>
      <c r="D4769" s="115" t="s">
        <v>7125</v>
      </c>
      <c r="E4769" s="115" t="s">
        <v>7126</v>
      </c>
    </row>
    <row r="4770" spans="1:5" x14ac:dyDescent="0.2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2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25">
      <c r="B4772" s="115" t="s">
        <v>4950</v>
      </c>
      <c r="D4772" s="115" t="s">
        <v>7132</v>
      </c>
      <c r="E4772" s="115" t="s">
        <v>7133</v>
      </c>
    </row>
    <row r="4773" spans="1:5" x14ac:dyDescent="0.25">
      <c r="B4773" s="115" t="s">
        <v>7134</v>
      </c>
      <c r="D4773" s="115" t="s">
        <v>1140</v>
      </c>
      <c r="E4773" s="115" t="s">
        <v>7135</v>
      </c>
    </row>
    <row r="4774" spans="1:5" x14ac:dyDescent="0.25">
      <c r="B4774" s="115" t="s">
        <v>7136</v>
      </c>
      <c r="D4774" s="115" t="s">
        <v>4031</v>
      </c>
      <c r="E4774" s="115" t="s">
        <v>7137</v>
      </c>
    </row>
    <row r="4775" spans="1:5" x14ac:dyDescent="0.25">
      <c r="B4775" s="115" t="s">
        <v>7138</v>
      </c>
      <c r="D4775" s="115" t="s">
        <v>7139</v>
      </c>
      <c r="E4775" s="115" t="s">
        <v>7140</v>
      </c>
    </row>
    <row r="4776" spans="1:5" x14ac:dyDescent="0.25">
      <c r="B4776" s="115" t="s">
        <v>1139</v>
      </c>
      <c r="D4776" s="115" t="s">
        <v>1140</v>
      </c>
      <c r="E4776" s="115" t="s">
        <v>7141</v>
      </c>
    </row>
    <row r="4777" spans="1:5" x14ac:dyDescent="0.2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2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25">
      <c r="B4779" s="115" t="s">
        <v>7146</v>
      </c>
      <c r="D4779" s="115" t="s">
        <v>1140</v>
      </c>
      <c r="E4779" s="115" t="s">
        <v>7147</v>
      </c>
    </row>
    <row r="4780" spans="1:5" x14ac:dyDescent="0.2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2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2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25">
      <c r="B4783" s="115" t="s">
        <v>1623</v>
      </c>
      <c r="D4783" s="115" t="s">
        <v>1140</v>
      </c>
      <c r="E4783" s="115" t="s">
        <v>1141</v>
      </c>
    </row>
    <row r="4784" spans="1:5" x14ac:dyDescent="0.25">
      <c r="B4784" s="115" t="s">
        <v>1139</v>
      </c>
      <c r="D4784" s="115" t="s">
        <v>1140</v>
      </c>
      <c r="E4784" s="115" t="s">
        <v>7155</v>
      </c>
    </row>
    <row r="4785" spans="1:5" x14ac:dyDescent="0.25">
      <c r="B4785" s="115" t="s">
        <v>7156</v>
      </c>
      <c r="D4785" s="115" t="s">
        <v>7157</v>
      </c>
      <c r="E4785" s="115" t="s">
        <v>7158</v>
      </c>
    </row>
    <row r="4786" spans="1:5" x14ac:dyDescent="0.25">
      <c r="B4786" s="115" t="s">
        <v>1139</v>
      </c>
      <c r="D4786" s="115" t="s">
        <v>7159</v>
      </c>
      <c r="E4786" s="115" t="s">
        <v>7160</v>
      </c>
    </row>
    <row r="4787" spans="1:5" x14ac:dyDescent="0.2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2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2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25">
      <c r="B4790" s="115" t="s">
        <v>1669</v>
      </c>
      <c r="D4790" s="115" t="s">
        <v>4321</v>
      </c>
      <c r="E4790" s="115" t="s">
        <v>7170</v>
      </c>
    </row>
    <row r="4791" spans="1:5" x14ac:dyDescent="0.25">
      <c r="B4791" s="115" t="s">
        <v>1139</v>
      </c>
      <c r="D4791" s="115" t="s">
        <v>7171</v>
      </c>
      <c r="E4791" s="115" t="s">
        <v>7172</v>
      </c>
    </row>
    <row r="4792" spans="1:5" x14ac:dyDescent="0.2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25">
      <c r="B4793" s="115" t="s">
        <v>1139</v>
      </c>
      <c r="D4793" s="115" t="s">
        <v>7175</v>
      </c>
      <c r="E4793" s="115" t="s">
        <v>7176</v>
      </c>
    </row>
    <row r="4794" spans="1:5" x14ac:dyDescent="0.25">
      <c r="B4794" s="115" t="s">
        <v>1139</v>
      </c>
      <c r="D4794" s="115" t="s">
        <v>1140</v>
      </c>
      <c r="E4794" s="115" t="s">
        <v>7177</v>
      </c>
    </row>
    <row r="4795" spans="1:5" x14ac:dyDescent="0.25">
      <c r="B4795" s="115" t="s">
        <v>1139</v>
      </c>
      <c r="D4795" s="115" t="s">
        <v>7178</v>
      </c>
      <c r="E4795" s="115" t="s">
        <v>7179</v>
      </c>
    </row>
    <row r="4796" spans="1:5" x14ac:dyDescent="0.25">
      <c r="B4796" s="115" t="s">
        <v>1237</v>
      </c>
      <c r="D4796" s="115" t="s">
        <v>7180</v>
      </c>
      <c r="E4796" s="115" t="s">
        <v>7181</v>
      </c>
    </row>
    <row r="4797" spans="1:5" x14ac:dyDescent="0.25">
      <c r="B4797" s="115" t="s">
        <v>1139</v>
      </c>
      <c r="D4797" s="115" t="s">
        <v>7182</v>
      </c>
      <c r="E4797" s="115" t="s">
        <v>7183</v>
      </c>
    </row>
    <row r="4798" spans="1:5" x14ac:dyDescent="0.2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25">
      <c r="B4799" s="115" t="s">
        <v>1139</v>
      </c>
      <c r="D4799" s="115" t="s">
        <v>7187</v>
      </c>
      <c r="E4799" s="115" t="s">
        <v>7188</v>
      </c>
    </row>
    <row r="4800" spans="1:5" x14ac:dyDescent="0.25">
      <c r="B4800" s="115" t="s">
        <v>1139</v>
      </c>
      <c r="D4800" s="115" t="s">
        <v>7189</v>
      </c>
      <c r="E4800" s="115" t="s">
        <v>7190</v>
      </c>
    </row>
    <row r="4801" spans="1:5" x14ac:dyDescent="0.2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25">
      <c r="B4802" s="115" t="s">
        <v>7194</v>
      </c>
      <c r="D4802" s="115" t="s">
        <v>7195</v>
      </c>
      <c r="E4802" s="115" t="s">
        <v>7196</v>
      </c>
    </row>
    <row r="4803" spans="1:5" x14ac:dyDescent="0.25">
      <c r="B4803" s="115" t="s">
        <v>1139</v>
      </c>
      <c r="D4803" s="115" t="s">
        <v>7197</v>
      </c>
      <c r="E4803" s="115" t="s">
        <v>7198</v>
      </c>
    </row>
    <row r="4804" spans="1:5" x14ac:dyDescent="0.25">
      <c r="B4804" s="115" t="s">
        <v>1139</v>
      </c>
      <c r="D4804" s="115" t="s">
        <v>7199</v>
      </c>
      <c r="E4804" s="115" t="s">
        <v>7200</v>
      </c>
    </row>
    <row r="4805" spans="1:5" x14ac:dyDescent="0.25">
      <c r="B4805" s="115" t="s">
        <v>1583</v>
      </c>
      <c r="D4805" s="115" t="s">
        <v>7201</v>
      </c>
      <c r="E4805" s="115" t="s">
        <v>2690</v>
      </c>
    </row>
    <row r="4806" spans="1:5" x14ac:dyDescent="0.25">
      <c r="B4806" s="115" t="s">
        <v>1139</v>
      </c>
      <c r="D4806" s="115" t="s">
        <v>7202</v>
      </c>
      <c r="E4806" s="115" t="s">
        <v>7203</v>
      </c>
    </row>
    <row r="4807" spans="1:5" x14ac:dyDescent="0.25">
      <c r="B4807" s="115" t="s">
        <v>1139</v>
      </c>
      <c r="D4807" s="115" t="s">
        <v>7204</v>
      </c>
      <c r="E4807" s="115" t="s">
        <v>7205</v>
      </c>
    </row>
    <row r="4808" spans="1:5" x14ac:dyDescent="0.25">
      <c r="B4808" s="115" t="s">
        <v>1139</v>
      </c>
      <c r="D4808" s="115" t="s">
        <v>7206</v>
      </c>
      <c r="E4808" s="115" t="s">
        <v>7207</v>
      </c>
    </row>
    <row r="4809" spans="1:5" x14ac:dyDescent="0.25">
      <c r="B4809" s="115" t="s">
        <v>1139</v>
      </c>
      <c r="D4809" s="115" t="s">
        <v>7208</v>
      </c>
      <c r="E4809" s="115" t="s">
        <v>7209</v>
      </c>
    </row>
    <row r="4810" spans="1:5" x14ac:dyDescent="0.2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2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2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25">
      <c r="B4813" s="115" t="s">
        <v>1139</v>
      </c>
      <c r="D4813" s="115" t="s">
        <v>1140</v>
      </c>
      <c r="E4813" s="115" t="s">
        <v>1141</v>
      </c>
    </row>
    <row r="4814" spans="1:5" x14ac:dyDescent="0.25">
      <c r="B4814" s="115" t="s">
        <v>1139</v>
      </c>
      <c r="D4814" s="115" t="s">
        <v>7216</v>
      </c>
      <c r="E4814" s="115" t="s">
        <v>7217</v>
      </c>
    </row>
    <row r="4815" spans="1:5" x14ac:dyDescent="0.25">
      <c r="B4815" s="115" t="s">
        <v>7218</v>
      </c>
      <c r="D4815" s="115" t="s">
        <v>7219</v>
      </c>
      <c r="E4815" s="115" t="s">
        <v>7220</v>
      </c>
    </row>
    <row r="4816" spans="1:5" x14ac:dyDescent="0.2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2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2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2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25">
      <c r="B4820" s="115" t="s">
        <v>1139</v>
      </c>
      <c r="D4820" s="115" t="s">
        <v>7233</v>
      </c>
      <c r="E4820" s="115" t="s">
        <v>1141</v>
      </c>
    </row>
    <row r="4821" spans="1:5" x14ac:dyDescent="0.25">
      <c r="B4821" s="115" t="s">
        <v>1139</v>
      </c>
      <c r="D4821" s="115" t="s">
        <v>7234</v>
      </c>
      <c r="E4821" s="115" t="s">
        <v>7235</v>
      </c>
    </row>
    <row r="4822" spans="1:5" x14ac:dyDescent="0.2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2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25">
      <c r="B4824" s="115" t="s">
        <v>1139</v>
      </c>
      <c r="D4824" s="115" t="s">
        <v>7240</v>
      </c>
      <c r="E4824" s="115" t="s">
        <v>7241</v>
      </c>
    </row>
    <row r="4825" spans="1:5" x14ac:dyDescent="0.25">
      <c r="B4825" s="115" t="s">
        <v>1139</v>
      </c>
      <c r="D4825" s="115" t="s">
        <v>7242</v>
      </c>
      <c r="E4825" s="115" t="s">
        <v>7243</v>
      </c>
    </row>
    <row r="4826" spans="1:5" x14ac:dyDescent="0.2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2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2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2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25">
      <c r="B4830" s="115" t="s">
        <v>7255</v>
      </c>
      <c r="D4830" s="115" t="s">
        <v>7256</v>
      </c>
      <c r="E4830" s="115" t="s">
        <v>7257</v>
      </c>
    </row>
    <row r="4831" spans="1:5" x14ac:dyDescent="0.2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25">
      <c r="B4832" s="115" t="s">
        <v>1139</v>
      </c>
      <c r="D4832" s="115" t="s">
        <v>7261</v>
      </c>
      <c r="E4832" s="115" t="s">
        <v>7262</v>
      </c>
    </row>
    <row r="4833" spans="1:5" x14ac:dyDescent="0.25">
      <c r="B4833" s="115" t="s">
        <v>1847</v>
      </c>
      <c r="D4833" s="115" t="s">
        <v>7263</v>
      </c>
      <c r="E4833" s="115" t="s">
        <v>7264</v>
      </c>
    </row>
    <row r="4834" spans="1:5" x14ac:dyDescent="0.2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25">
      <c r="B4835" s="115" t="s">
        <v>1176</v>
      </c>
      <c r="D4835" s="115" t="s">
        <v>1241</v>
      </c>
      <c r="E4835" s="115" t="s">
        <v>1141</v>
      </c>
    </row>
    <row r="4836" spans="1:5" x14ac:dyDescent="0.25">
      <c r="B4836" s="115" t="s">
        <v>7267</v>
      </c>
      <c r="D4836" s="115" t="s">
        <v>7268</v>
      </c>
      <c r="E4836" s="115" t="s">
        <v>1702</v>
      </c>
    </row>
    <row r="4837" spans="1:5" x14ac:dyDescent="0.2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25">
      <c r="B4838" s="115" t="s">
        <v>7272</v>
      </c>
      <c r="D4838" s="115" t="s">
        <v>1593</v>
      </c>
      <c r="E4838" s="115" t="s">
        <v>7273</v>
      </c>
    </row>
    <row r="4839" spans="1:5" x14ac:dyDescent="0.25">
      <c r="B4839" s="115" t="s">
        <v>7274</v>
      </c>
      <c r="D4839" s="115" t="s">
        <v>7275</v>
      </c>
      <c r="E4839" s="115" t="s">
        <v>7276</v>
      </c>
    </row>
    <row r="4840" spans="1:5" x14ac:dyDescent="0.25">
      <c r="B4840" s="115" t="s">
        <v>1139</v>
      </c>
      <c r="D4840" s="115" t="s">
        <v>1140</v>
      </c>
      <c r="E4840" s="115" t="s">
        <v>7277</v>
      </c>
    </row>
    <row r="4841" spans="1:5" x14ac:dyDescent="0.2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25">
      <c r="B4842" s="115" t="s">
        <v>1139</v>
      </c>
      <c r="D4842" s="115" t="s">
        <v>7281</v>
      </c>
      <c r="E4842" s="115" t="s">
        <v>1859</v>
      </c>
    </row>
    <row r="4843" spans="1:5" x14ac:dyDescent="0.25">
      <c r="B4843" s="115" t="s">
        <v>1139</v>
      </c>
      <c r="D4843" s="115" t="s">
        <v>1140</v>
      </c>
      <c r="E4843" s="115" t="s">
        <v>1141</v>
      </c>
    </row>
    <row r="4844" spans="1:5" x14ac:dyDescent="0.25">
      <c r="B4844" s="115" t="s">
        <v>1220</v>
      </c>
      <c r="D4844" s="115" t="s">
        <v>1140</v>
      </c>
      <c r="E4844" s="115" t="s">
        <v>7282</v>
      </c>
    </row>
    <row r="4845" spans="1:5" x14ac:dyDescent="0.2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2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2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2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2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25">
      <c r="B4850" s="115" t="s">
        <v>1139</v>
      </c>
      <c r="D4850" s="115" t="s">
        <v>7298</v>
      </c>
      <c r="E4850" s="115" t="s">
        <v>1141</v>
      </c>
    </row>
    <row r="4851" spans="1:5" x14ac:dyDescent="0.25">
      <c r="B4851" s="115" t="s">
        <v>1139</v>
      </c>
      <c r="D4851" s="115" t="s">
        <v>7299</v>
      </c>
      <c r="E4851" s="115" t="s">
        <v>7300</v>
      </c>
    </row>
    <row r="4852" spans="1:5" x14ac:dyDescent="0.2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25">
      <c r="B4853" s="115" t="s">
        <v>1139</v>
      </c>
      <c r="D4853" s="115" t="s">
        <v>7303</v>
      </c>
      <c r="E4853" s="115" t="s">
        <v>1894</v>
      </c>
    </row>
    <row r="4854" spans="1:5" x14ac:dyDescent="0.25">
      <c r="B4854" s="115" t="s">
        <v>1139</v>
      </c>
      <c r="D4854" s="115" t="s">
        <v>7304</v>
      </c>
      <c r="E4854" s="115" t="s">
        <v>7305</v>
      </c>
    </row>
    <row r="4855" spans="1:5" x14ac:dyDescent="0.2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2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2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2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2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25">
      <c r="B4860" s="115" t="s">
        <v>7319</v>
      </c>
      <c r="D4860" s="115" t="s">
        <v>7320</v>
      </c>
      <c r="E4860" s="115" t="s">
        <v>7321</v>
      </c>
    </row>
    <row r="4861" spans="1:5" x14ac:dyDescent="0.2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25">
      <c r="B4862" s="115" t="s">
        <v>1614</v>
      </c>
      <c r="D4862" s="115" t="s">
        <v>7325</v>
      </c>
      <c r="E4862" s="115" t="s">
        <v>2082</v>
      </c>
    </row>
    <row r="4863" spans="1:5" x14ac:dyDescent="0.25">
      <c r="B4863" s="115" t="s">
        <v>7326</v>
      </c>
      <c r="D4863" s="115" t="s">
        <v>7327</v>
      </c>
      <c r="E4863" s="115" t="s">
        <v>7328</v>
      </c>
    </row>
    <row r="4864" spans="1:5" x14ac:dyDescent="0.2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25">
      <c r="B4865" s="115" t="s">
        <v>6430</v>
      </c>
      <c r="D4865" s="115" t="s">
        <v>1652</v>
      </c>
      <c r="E4865" s="115" t="s">
        <v>1141</v>
      </c>
    </row>
    <row r="4866" spans="1:5" x14ac:dyDescent="0.2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2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2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2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25">
      <c r="B4870" s="115" t="s">
        <v>1139</v>
      </c>
      <c r="D4870" s="115" t="s">
        <v>1140</v>
      </c>
      <c r="E4870" s="115" t="s">
        <v>7342</v>
      </c>
    </row>
    <row r="4871" spans="1:5" x14ac:dyDescent="0.2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25">
      <c r="B4872" s="115" t="s">
        <v>1139</v>
      </c>
      <c r="D4872" s="115" t="s">
        <v>7346</v>
      </c>
      <c r="E4872" s="115" t="s">
        <v>1141</v>
      </c>
    </row>
    <row r="4873" spans="1:5" x14ac:dyDescent="0.25">
      <c r="B4873" s="115" t="s">
        <v>1139</v>
      </c>
      <c r="D4873" s="115" t="s">
        <v>1140</v>
      </c>
      <c r="E4873" s="115" t="s">
        <v>1141</v>
      </c>
    </row>
    <row r="4874" spans="1:5" x14ac:dyDescent="0.2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2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2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2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2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2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25">
      <c r="B4880" s="115" t="s">
        <v>1139</v>
      </c>
      <c r="D4880" s="115" t="s">
        <v>7363</v>
      </c>
      <c r="E4880" s="115" t="s">
        <v>1141</v>
      </c>
    </row>
    <row r="4881" spans="1:5" x14ac:dyDescent="0.25">
      <c r="B4881" s="115" t="s">
        <v>1139</v>
      </c>
      <c r="D4881" s="115" t="s">
        <v>7364</v>
      </c>
      <c r="E4881" s="115" t="s">
        <v>7365</v>
      </c>
    </row>
    <row r="4882" spans="1:5" x14ac:dyDescent="0.2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25">
      <c r="B4883" s="115" t="s">
        <v>1139</v>
      </c>
      <c r="D4883" s="115" t="s">
        <v>7369</v>
      </c>
      <c r="E4883" s="115" t="s">
        <v>1819</v>
      </c>
    </row>
    <row r="4884" spans="1:5" x14ac:dyDescent="0.25">
      <c r="B4884" s="115" t="s">
        <v>1139</v>
      </c>
      <c r="D4884" s="115" t="s">
        <v>7370</v>
      </c>
      <c r="E4884" s="115" t="s">
        <v>7371</v>
      </c>
    </row>
    <row r="4885" spans="1:5" x14ac:dyDescent="0.2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2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2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2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25">
      <c r="B4889" s="115" t="s">
        <v>1196</v>
      </c>
      <c r="D4889" s="115" t="s">
        <v>7383</v>
      </c>
      <c r="E4889" s="115" t="s">
        <v>1859</v>
      </c>
    </row>
    <row r="4890" spans="1:5" x14ac:dyDescent="0.2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2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25">
      <c r="B4892" s="115" t="s">
        <v>7390</v>
      </c>
      <c r="D4892" s="115" t="s">
        <v>7391</v>
      </c>
      <c r="E4892" s="115" t="s">
        <v>1819</v>
      </c>
    </row>
    <row r="4893" spans="1:5" x14ac:dyDescent="0.2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2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25">
      <c r="B4895" s="115" t="s">
        <v>1603</v>
      </c>
      <c r="D4895" s="115" t="s">
        <v>7398</v>
      </c>
      <c r="E4895" s="115" t="s">
        <v>1141</v>
      </c>
    </row>
    <row r="4896" spans="1:5" x14ac:dyDescent="0.2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2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2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2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25">
      <c r="B4900" s="115" t="s">
        <v>1139</v>
      </c>
      <c r="D4900" s="115" t="s">
        <v>1140</v>
      </c>
      <c r="E4900" s="115" t="s">
        <v>7408</v>
      </c>
    </row>
    <row r="4901" spans="1:5" x14ac:dyDescent="0.2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25">
      <c r="B4902" s="115" t="s">
        <v>1139</v>
      </c>
      <c r="D4902" s="115" t="s">
        <v>7412</v>
      </c>
      <c r="E4902" s="115" t="s">
        <v>1141</v>
      </c>
    </row>
    <row r="4903" spans="1:5" x14ac:dyDescent="0.25">
      <c r="B4903" s="115" t="s">
        <v>1139</v>
      </c>
      <c r="D4903" s="115" t="s">
        <v>1140</v>
      </c>
      <c r="E4903" s="115" t="s">
        <v>1141</v>
      </c>
    </row>
    <row r="4904" spans="1:5" x14ac:dyDescent="0.2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2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2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2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2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2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25">
      <c r="B4910" s="115" t="s">
        <v>1139</v>
      </c>
      <c r="D4910" s="115" t="s">
        <v>7429</v>
      </c>
      <c r="E4910" s="115" t="s">
        <v>1141</v>
      </c>
    </row>
    <row r="4911" spans="1:5" x14ac:dyDescent="0.25">
      <c r="B4911" s="115" t="s">
        <v>1139</v>
      </c>
      <c r="D4911" s="115" t="s">
        <v>7430</v>
      </c>
      <c r="E4911" s="115" t="s">
        <v>7431</v>
      </c>
    </row>
    <row r="4912" spans="1:5" x14ac:dyDescent="0.2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25">
      <c r="B4913" s="115" t="s">
        <v>1304</v>
      </c>
      <c r="D4913" s="115" t="s">
        <v>1140</v>
      </c>
      <c r="E4913" s="115" t="s">
        <v>7434</v>
      </c>
    </row>
    <row r="4914" spans="1:5" x14ac:dyDescent="0.25">
      <c r="B4914" s="115" t="s">
        <v>1139</v>
      </c>
      <c r="D4914" s="115" t="s">
        <v>7435</v>
      </c>
      <c r="E4914" s="115" t="s">
        <v>7436</v>
      </c>
    </row>
    <row r="4915" spans="1:5" x14ac:dyDescent="0.2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2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25">
      <c r="B4917" s="115" t="s">
        <v>7442</v>
      </c>
      <c r="D4917" s="115" t="s">
        <v>7443</v>
      </c>
      <c r="E4917" s="115" t="s">
        <v>7444</v>
      </c>
    </row>
    <row r="4918" spans="1:5" x14ac:dyDescent="0.2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2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25">
      <c r="B4920" s="115" t="s">
        <v>7451</v>
      </c>
      <c r="D4920" s="115" t="s">
        <v>7452</v>
      </c>
      <c r="E4920" s="115" t="s">
        <v>7453</v>
      </c>
    </row>
    <row r="4921" spans="1:5" x14ac:dyDescent="0.2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25">
      <c r="B4922" s="115" t="s">
        <v>1139</v>
      </c>
      <c r="D4922" s="115" t="s">
        <v>7457</v>
      </c>
      <c r="E4922" s="115" t="s">
        <v>7458</v>
      </c>
    </row>
    <row r="4923" spans="1:5" x14ac:dyDescent="0.25">
      <c r="B4923" s="115" t="s">
        <v>7459</v>
      </c>
      <c r="D4923" s="115" t="s">
        <v>7460</v>
      </c>
      <c r="E4923" s="115" t="s">
        <v>7461</v>
      </c>
    </row>
    <row r="4924" spans="1:5" x14ac:dyDescent="0.2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25">
      <c r="B4925" s="115" t="s">
        <v>7465</v>
      </c>
      <c r="D4925" s="115" t="s">
        <v>7466</v>
      </c>
      <c r="E4925" s="115" t="s">
        <v>1141</v>
      </c>
    </row>
    <row r="4926" spans="1:5" x14ac:dyDescent="0.2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2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25">
      <c r="B4928" s="115" t="s">
        <v>1426</v>
      </c>
      <c r="D4928" s="115" t="s">
        <v>1794</v>
      </c>
      <c r="E4928" s="115" t="s">
        <v>7472</v>
      </c>
    </row>
    <row r="4929" spans="1:5" x14ac:dyDescent="0.2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25">
      <c r="B4930" s="115" t="s">
        <v>1139</v>
      </c>
      <c r="D4930" s="115" t="s">
        <v>1140</v>
      </c>
      <c r="E4930" s="115" t="s">
        <v>7476</v>
      </c>
    </row>
    <row r="4931" spans="1:5" x14ac:dyDescent="0.2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25">
      <c r="B4932" s="115" t="s">
        <v>1139</v>
      </c>
      <c r="D4932" s="115" t="s">
        <v>7480</v>
      </c>
      <c r="E4932" s="115" t="s">
        <v>1819</v>
      </c>
    </row>
    <row r="4933" spans="1:5" x14ac:dyDescent="0.25">
      <c r="B4933" s="115" t="s">
        <v>1139</v>
      </c>
      <c r="D4933" s="115" t="s">
        <v>1140</v>
      </c>
      <c r="E4933" s="115" t="s">
        <v>1141</v>
      </c>
    </row>
    <row r="4934" spans="1:5" x14ac:dyDescent="0.25">
      <c r="B4934" s="115" t="s">
        <v>1474</v>
      </c>
      <c r="D4934" s="115" t="s">
        <v>1140</v>
      </c>
      <c r="E4934" s="115" t="s">
        <v>7481</v>
      </c>
    </row>
    <row r="4935" spans="1:5" x14ac:dyDescent="0.2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2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2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2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2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25">
      <c r="B4940" s="115" t="s">
        <v>1278</v>
      </c>
      <c r="D4940" s="115" t="s">
        <v>2100</v>
      </c>
      <c r="E4940" s="115" t="s">
        <v>7497</v>
      </c>
    </row>
    <row r="4941" spans="1:5" x14ac:dyDescent="0.25">
      <c r="B4941" s="115" t="s">
        <v>1139</v>
      </c>
      <c r="D4941" s="115" t="s">
        <v>7498</v>
      </c>
      <c r="E4941" s="115" t="s">
        <v>7499</v>
      </c>
    </row>
    <row r="4942" spans="1:5" x14ac:dyDescent="0.2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25">
      <c r="B4943" s="115" t="s">
        <v>1139</v>
      </c>
      <c r="D4943" s="115" t="s">
        <v>7503</v>
      </c>
      <c r="E4943" s="115" t="s">
        <v>7504</v>
      </c>
    </row>
    <row r="4944" spans="1:5" x14ac:dyDescent="0.25">
      <c r="B4944" s="115" t="s">
        <v>1139</v>
      </c>
      <c r="D4944" s="115" t="s">
        <v>1140</v>
      </c>
      <c r="E4944" s="115" t="s">
        <v>7505</v>
      </c>
    </row>
    <row r="4945" spans="1:5" x14ac:dyDescent="0.25">
      <c r="B4945" s="115" t="s">
        <v>1139</v>
      </c>
      <c r="D4945" s="115" t="s">
        <v>7506</v>
      </c>
      <c r="E4945" s="115" t="s">
        <v>7507</v>
      </c>
    </row>
    <row r="4946" spans="1:5" x14ac:dyDescent="0.2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25">
      <c r="B4947" s="115" t="s">
        <v>1139</v>
      </c>
      <c r="D4947" s="115" t="s">
        <v>7511</v>
      </c>
      <c r="E4947" s="115" t="s">
        <v>7512</v>
      </c>
    </row>
    <row r="4948" spans="1:5" x14ac:dyDescent="0.2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25">
      <c r="B4949" s="115" t="s">
        <v>1139</v>
      </c>
      <c r="D4949" s="115" t="s">
        <v>7515</v>
      </c>
      <c r="E4949" s="115" t="s">
        <v>7516</v>
      </c>
    </row>
    <row r="4950" spans="1:5" x14ac:dyDescent="0.25">
      <c r="B4950" s="115" t="s">
        <v>1139</v>
      </c>
      <c r="D4950" s="115" t="s">
        <v>7517</v>
      </c>
      <c r="E4950" s="115" t="s">
        <v>7518</v>
      </c>
    </row>
    <row r="4951" spans="1:5" x14ac:dyDescent="0.25">
      <c r="B4951" s="115" t="s">
        <v>7519</v>
      </c>
      <c r="D4951" s="115" t="s">
        <v>7520</v>
      </c>
      <c r="E4951" s="115" t="s">
        <v>7521</v>
      </c>
    </row>
    <row r="4952" spans="1:5" x14ac:dyDescent="0.25">
      <c r="B4952" s="115" t="s">
        <v>6636</v>
      </c>
      <c r="D4952" s="115" t="s">
        <v>7522</v>
      </c>
      <c r="E4952" s="115" t="s">
        <v>7523</v>
      </c>
    </row>
    <row r="4953" spans="1:5" x14ac:dyDescent="0.25">
      <c r="B4953" s="115" t="s">
        <v>1139</v>
      </c>
      <c r="D4953" s="115" t="s">
        <v>7524</v>
      </c>
      <c r="E4953" s="115" t="s">
        <v>7525</v>
      </c>
    </row>
    <row r="4954" spans="1:5" x14ac:dyDescent="0.25">
      <c r="B4954" s="115" t="s">
        <v>1139</v>
      </c>
      <c r="D4954" s="115" t="s">
        <v>7526</v>
      </c>
      <c r="E4954" s="115" t="s">
        <v>7527</v>
      </c>
    </row>
    <row r="4955" spans="1:5" x14ac:dyDescent="0.25">
      <c r="B4955" s="115" t="s">
        <v>1258</v>
      </c>
      <c r="D4955" s="115" t="s">
        <v>7528</v>
      </c>
      <c r="E4955" s="115" t="s">
        <v>1759</v>
      </c>
    </row>
    <row r="4956" spans="1:5" x14ac:dyDescent="0.25">
      <c r="B4956" s="115" t="s">
        <v>1139</v>
      </c>
      <c r="D4956" s="115" t="s">
        <v>7529</v>
      </c>
      <c r="E4956" s="115" t="s">
        <v>7530</v>
      </c>
    </row>
    <row r="4957" spans="1:5" x14ac:dyDescent="0.25">
      <c r="B4957" s="115" t="s">
        <v>1139</v>
      </c>
      <c r="D4957" s="115" t="s">
        <v>7531</v>
      </c>
      <c r="E4957" s="115" t="s">
        <v>7532</v>
      </c>
    </row>
    <row r="4958" spans="1:5" x14ac:dyDescent="0.25">
      <c r="B4958" s="115" t="s">
        <v>1139</v>
      </c>
      <c r="D4958" s="115" t="s">
        <v>7533</v>
      </c>
      <c r="E4958" s="115" t="s">
        <v>7534</v>
      </c>
    </row>
    <row r="4959" spans="1:5" x14ac:dyDescent="0.25">
      <c r="B4959" s="115" t="s">
        <v>1139</v>
      </c>
      <c r="D4959" s="115" t="s">
        <v>7535</v>
      </c>
      <c r="E4959" s="115" t="s">
        <v>7536</v>
      </c>
    </row>
    <row r="4960" spans="1:5" x14ac:dyDescent="0.2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2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2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25">
      <c r="B4963" s="115" t="s">
        <v>1139</v>
      </c>
      <c r="D4963" s="115" t="s">
        <v>1140</v>
      </c>
      <c r="E4963" s="115" t="s">
        <v>1141</v>
      </c>
    </row>
    <row r="4964" spans="1:5" x14ac:dyDescent="0.25">
      <c r="B4964" s="115" t="s">
        <v>1139</v>
      </c>
      <c r="D4964" s="115" t="s">
        <v>1502</v>
      </c>
      <c r="E4964" s="115" t="s">
        <v>7544</v>
      </c>
    </row>
    <row r="4965" spans="1:5" x14ac:dyDescent="0.25">
      <c r="B4965" s="115" t="s">
        <v>7545</v>
      </c>
      <c r="D4965" s="115" t="s">
        <v>7546</v>
      </c>
      <c r="E4965" s="115" t="s">
        <v>7547</v>
      </c>
    </row>
    <row r="4966" spans="1:5" x14ac:dyDescent="0.2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2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2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2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25">
      <c r="B4970" s="115" t="s">
        <v>1139</v>
      </c>
      <c r="D4970" s="115" t="s">
        <v>7560</v>
      </c>
      <c r="E4970" s="115" t="s">
        <v>7561</v>
      </c>
    </row>
    <row r="4971" spans="1:5" x14ac:dyDescent="0.25">
      <c r="B4971" s="115" t="s">
        <v>1139</v>
      </c>
      <c r="D4971" s="115" t="s">
        <v>1140</v>
      </c>
      <c r="E4971" s="115" t="s">
        <v>7562</v>
      </c>
    </row>
    <row r="4972" spans="1:5" x14ac:dyDescent="0.25">
      <c r="B4972" s="115" t="s">
        <v>1139</v>
      </c>
      <c r="D4972" s="115" t="s">
        <v>7563</v>
      </c>
      <c r="E4972" s="115" t="s">
        <v>7564</v>
      </c>
    </row>
    <row r="4973" spans="1:5" x14ac:dyDescent="0.25">
      <c r="B4973" s="115" t="s">
        <v>7565</v>
      </c>
      <c r="D4973" s="115" t="s">
        <v>1860</v>
      </c>
      <c r="E4973" s="115" t="s">
        <v>1819</v>
      </c>
    </row>
    <row r="4974" spans="1:5" x14ac:dyDescent="0.25">
      <c r="B4974" s="115" t="s">
        <v>4950</v>
      </c>
      <c r="D4974" s="115" t="s">
        <v>1140</v>
      </c>
      <c r="E4974" s="115" t="s">
        <v>7566</v>
      </c>
    </row>
    <row r="4975" spans="1:5" x14ac:dyDescent="0.2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2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25">
      <c r="B4977" s="115" t="s">
        <v>7571</v>
      </c>
      <c r="D4977" s="115" t="s">
        <v>1140</v>
      </c>
      <c r="E4977" s="115" t="s">
        <v>7572</v>
      </c>
    </row>
    <row r="4978" spans="1:5" x14ac:dyDescent="0.25">
      <c r="B4978" s="115" t="s">
        <v>7573</v>
      </c>
      <c r="D4978" s="115" t="s">
        <v>7574</v>
      </c>
      <c r="E4978" s="115" t="s">
        <v>7575</v>
      </c>
    </row>
    <row r="4979" spans="1:5" x14ac:dyDescent="0.2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25">
      <c r="B4980" s="115" t="s">
        <v>7579</v>
      </c>
      <c r="D4980" s="115" t="s">
        <v>1140</v>
      </c>
      <c r="E4980" s="115" t="s">
        <v>7580</v>
      </c>
    </row>
    <row r="4981" spans="1:5" x14ac:dyDescent="0.2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25">
      <c r="B4982" s="115" t="s">
        <v>7584</v>
      </c>
      <c r="D4982" s="115" t="s">
        <v>7585</v>
      </c>
      <c r="E4982" s="115" t="s">
        <v>7586</v>
      </c>
    </row>
    <row r="4983" spans="1:5" x14ac:dyDescent="0.2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2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25">
      <c r="B4985" s="115" t="s">
        <v>1642</v>
      </c>
      <c r="D4985" s="115" t="s">
        <v>7591</v>
      </c>
      <c r="E4985" s="115" t="s">
        <v>7592</v>
      </c>
    </row>
    <row r="4986" spans="1:5" x14ac:dyDescent="0.25">
      <c r="B4986" s="115" t="s">
        <v>1139</v>
      </c>
      <c r="D4986" s="115" t="s">
        <v>1140</v>
      </c>
      <c r="E4986" s="115" t="s">
        <v>7593</v>
      </c>
    </row>
    <row r="4987" spans="1:5" x14ac:dyDescent="0.2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25">
      <c r="B4988" s="115" t="s">
        <v>7595</v>
      </c>
      <c r="D4988" s="115" t="s">
        <v>2022</v>
      </c>
      <c r="E4988" s="115" t="s">
        <v>7596</v>
      </c>
    </row>
    <row r="4989" spans="1:5" x14ac:dyDescent="0.25">
      <c r="B4989" s="115" t="s">
        <v>7597</v>
      </c>
      <c r="D4989" s="115" t="s">
        <v>1140</v>
      </c>
      <c r="E4989" s="115" t="s">
        <v>7598</v>
      </c>
    </row>
    <row r="4990" spans="1:5" x14ac:dyDescent="0.2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25">
      <c r="B4991" s="115" t="s">
        <v>1139</v>
      </c>
      <c r="D4991" s="115" t="s">
        <v>7601</v>
      </c>
      <c r="E4991" s="115" t="s">
        <v>7602</v>
      </c>
    </row>
    <row r="4992" spans="1:5" x14ac:dyDescent="0.2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25">
      <c r="B4993" s="115" t="s">
        <v>1265</v>
      </c>
      <c r="D4993" s="115" t="s">
        <v>1140</v>
      </c>
      <c r="E4993" s="115" t="s">
        <v>1141</v>
      </c>
    </row>
    <row r="4994" spans="1:5" x14ac:dyDescent="0.25">
      <c r="B4994" s="115" t="s">
        <v>1139</v>
      </c>
      <c r="D4994" s="115" t="s">
        <v>1140</v>
      </c>
      <c r="E4994" s="115" t="s">
        <v>7605</v>
      </c>
    </row>
    <row r="4995" spans="1:5" x14ac:dyDescent="0.25">
      <c r="B4995" s="115" t="s">
        <v>1310</v>
      </c>
      <c r="D4995" s="115" t="s">
        <v>7606</v>
      </c>
      <c r="E4995" s="115" t="s">
        <v>7607</v>
      </c>
    </row>
    <row r="4996" spans="1:5" x14ac:dyDescent="0.25">
      <c r="B4996" s="115" t="s">
        <v>1139</v>
      </c>
      <c r="D4996" s="115" t="s">
        <v>7608</v>
      </c>
      <c r="E4996" s="115" t="s">
        <v>7609</v>
      </c>
    </row>
    <row r="4997" spans="1:5" x14ac:dyDescent="0.2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25">
      <c r="B4998" s="115" t="s">
        <v>7613</v>
      </c>
      <c r="D4998" s="115" t="s">
        <v>7614</v>
      </c>
      <c r="E4998" s="115" t="s">
        <v>7615</v>
      </c>
    </row>
    <row r="4999" spans="1:5" x14ac:dyDescent="0.2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2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25">
      <c r="B5001" s="115" t="s">
        <v>1139</v>
      </c>
      <c r="D5001" s="115" t="s">
        <v>7622</v>
      </c>
      <c r="E5001" s="115" t="s">
        <v>1141</v>
      </c>
    </row>
    <row r="5002" spans="1:5" x14ac:dyDescent="0.25">
      <c r="B5002" s="115" t="s">
        <v>1139</v>
      </c>
      <c r="D5002" s="115" t="s">
        <v>7623</v>
      </c>
      <c r="E5002" s="115" t="s">
        <v>7624</v>
      </c>
    </row>
    <row r="5003" spans="1:5" x14ac:dyDescent="0.2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25">
      <c r="B5004" s="115" t="s">
        <v>1139</v>
      </c>
      <c r="D5004" s="115" t="s">
        <v>2362</v>
      </c>
      <c r="E5004" s="115" t="s">
        <v>1759</v>
      </c>
    </row>
    <row r="5005" spans="1:5" x14ac:dyDescent="0.25">
      <c r="B5005" s="115" t="s">
        <v>1139</v>
      </c>
      <c r="D5005" s="115" t="s">
        <v>7628</v>
      </c>
      <c r="E5005" s="115" t="s">
        <v>7629</v>
      </c>
    </row>
    <row r="5006" spans="1:5" x14ac:dyDescent="0.2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2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2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2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2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2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25">
      <c r="B5012" s="115" t="s">
        <v>7645</v>
      </c>
      <c r="D5012" s="115" t="s">
        <v>7646</v>
      </c>
      <c r="E5012" s="115" t="s">
        <v>7647</v>
      </c>
    </row>
    <row r="5013" spans="1:5" x14ac:dyDescent="0.25">
      <c r="B5013" s="115" t="s">
        <v>2857</v>
      </c>
      <c r="D5013" s="115" t="s">
        <v>7648</v>
      </c>
      <c r="E5013" s="115" t="s">
        <v>2690</v>
      </c>
    </row>
    <row r="5014" spans="1:5" x14ac:dyDescent="0.25">
      <c r="B5014" s="115" t="s">
        <v>7649</v>
      </c>
      <c r="D5014" s="115" t="s">
        <v>7650</v>
      </c>
      <c r="E5014" s="115" t="s">
        <v>7651</v>
      </c>
    </row>
    <row r="5015" spans="1:5" x14ac:dyDescent="0.25">
      <c r="B5015" s="115" t="s">
        <v>7652</v>
      </c>
      <c r="D5015" s="115" t="s">
        <v>7653</v>
      </c>
      <c r="E5015" s="115" t="s">
        <v>7654</v>
      </c>
    </row>
    <row r="5016" spans="1:5" x14ac:dyDescent="0.2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25">
      <c r="B5017" s="115" t="s">
        <v>7656</v>
      </c>
      <c r="D5017" s="115" t="s">
        <v>7657</v>
      </c>
      <c r="E5017" s="115" t="s">
        <v>1141</v>
      </c>
    </row>
    <row r="5018" spans="1:5" x14ac:dyDescent="0.2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2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25">
      <c r="B5020" s="115" t="s">
        <v>7661</v>
      </c>
      <c r="D5020" s="115" t="s">
        <v>7662</v>
      </c>
      <c r="E5020" s="115" t="s">
        <v>7663</v>
      </c>
    </row>
    <row r="5021" spans="1:5" x14ac:dyDescent="0.25">
      <c r="B5021" s="115" t="s">
        <v>1139</v>
      </c>
      <c r="D5021" s="115" t="s">
        <v>1140</v>
      </c>
      <c r="E5021" s="115" t="s">
        <v>7664</v>
      </c>
    </row>
    <row r="5022" spans="1:5" x14ac:dyDescent="0.2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25">
      <c r="B5023" s="115" t="s">
        <v>1139</v>
      </c>
      <c r="D5023" s="115" t="s">
        <v>7668</v>
      </c>
      <c r="E5023" s="115" t="s">
        <v>1141</v>
      </c>
    </row>
    <row r="5024" spans="1:5" x14ac:dyDescent="0.25">
      <c r="B5024" s="115" t="s">
        <v>1139</v>
      </c>
      <c r="D5024" s="115" t="s">
        <v>1140</v>
      </c>
      <c r="E5024" s="115" t="s">
        <v>1141</v>
      </c>
    </row>
    <row r="5025" spans="1:5" x14ac:dyDescent="0.25">
      <c r="B5025" s="115" t="s">
        <v>1276</v>
      </c>
      <c r="D5025" s="115" t="s">
        <v>3122</v>
      </c>
      <c r="E5025" s="115" t="s">
        <v>7669</v>
      </c>
    </row>
    <row r="5026" spans="1:5" x14ac:dyDescent="0.2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2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2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25">
      <c r="B5029" s="115">
        <f>-72   -566</f>
        <v>-638</v>
      </c>
      <c r="D5029" s="115" t="s">
        <v>7679</v>
      </c>
      <c r="E5029" s="115" t="s">
        <v>7680</v>
      </c>
    </row>
    <row r="5030" spans="1:5" x14ac:dyDescent="0.2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25">
      <c r="B5031" s="115" t="s">
        <v>7684</v>
      </c>
      <c r="D5031" s="115" t="s">
        <v>1156</v>
      </c>
      <c r="E5031" s="115" t="s">
        <v>7685</v>
      </c>
    </row>
    <row r="5032" spans="1:5" x14ac:dyDescent="0.25">
      <c r="B5032" s="115" t="s">
        <v>1139</v>
      </c>
      <c r="D5032" s="115" t="s">
        <v>1140</v>
      </c>
      <c r="E5032" s="115" t="s">
        <v>7686</v>
      </c>
    </row>
    <row r="5033" spans="1:5" x14ac:dyDescent="0.2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2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25">
      <c r="B5035" s="115" t="s">
        <v>1575</v>
      </c>
      <c r="D5035" s="115" t="s">
        <v>1140</v>
      </c>
      <c r="E5035" s="115" t="s">
        <v>7690</v>
      </c>
    </row>
    <row r="5036" spans="1:5" x14ac:dyDescent="0.25">
      <c r="B5036" s="115" t="s">
        <v>7691</v>
      </c>
      <c r="D5036" s="115" t="s">
        <v>1140</v>
      </c>
      <c r="E5036" s="115" t="s">
        <v>7692</v>
      </c>
    </row>
    <row r="5037" spans="1:5" x14ac:dyDescent="0.25">
      <c r="B5037" s="115" t="s">
        <v>7693</v>
      </c>
      <c r="D5037" s="115" t="s">
        <v>7694</v>
      </c>
      <c r="E5037" s="115" t="s">
        <v>7695</v>
      </c>
    </row>
    <row r="5038" spans="1:5" x14ac:dyDescent="0.2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25">
      <c r="B5039" s="115">
        <f>-34   -478</f>
        <v>-512</v>
      </c>
      <c r="D5039" s="115" t="s">
        <v>7698</v>
      </c>
      <c r="E5039" s="115" t="s">
        <v>7699</v>
      </c>
    </row>
    <row r="5040" spans="1:5" x14ac:dyDescent="0.2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25">
      <c r="B5041" s="115" t="s">
        <v>1649</v>
      </c>
      <c r="D5041" s="115" t="s">
        <v>2983</v>
      </c>
      <c r="E5041" s="115" t="s">
        <v>7703</v>
      </c>
    </row>
    <row r="5042" spans="1:5" x14ac:dyDescent="0.25">
      <c r="B5042" s="115" t="s">
        <v>7704</v>
      </c>
      <c r="D5042" s="115" t="s">
        <v>7705</v>
      </c>
      <c r="E5042" s="115" t="s">
        <v>7706</v>
      </c>
    </row>
    <row r="5043" spans="1:5" x14ac:dyDescent="0.2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2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2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2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25">
      <c r="B5047" s="115" t="s">
        <v>1139</v>
      </c>
      <c r="D5047" s="115" t="s">
        <v>1932</v>
      </c>
      <c r="E5047" s="115" t="s">
        <v>7715</v>
      </c>
    </row>
    <row r="5048" spans="1:5" x14ac:dyDescent="0.25">
      <c r="B5048" s="115" t="s">
        <v>1139</v>
      </c>
      <c r="D5048" s="115" t="s">
        <v>7716</v>
      </c>
      <c r="E5048" s="115" t="s">
        <v>7717</v>
      </c>
    </row>
    <row r="5049" spans="1:5" x14ac:dyDescent="0.2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25">
      <c r="B5050" s="115" t="s">
        <v>1454</v>
      </c>
      <c r="D5050" s="115" t="s">
        <v>7721</v>
      </c>
      <c r="E5050" s="115" t="s">
        <v>7722</v>
      </c>
    </row>
    <row r="5051" spans="1:5" x14ac:dyDescent="0.2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2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2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25">
      <c r="B5054" s="115" t="s">
        <v>1139</v>
      </c>
      <c r="D5054" s="115" t="s">
        <v>1140</v>
      </c>
      <c r="E5054" s="115" t="s">
        <v>1141</v>
      </c>
    </row>
    <row r="5055" spans="1:5" x14ac:dyDescent="0.25">
      <c r="B5055" s="115" t="s">
        <v>1139</v>
      </c>
      <c r="D5055" s="115" t="s">
        <v>3749</v>
      </c>
      <c r="E5055" s="115" t="s">
        <v>2537</v>
      </c>
    </row>
    <row r="5056" spans="1:5" x14ac:dyDescent="0.25">
      <c r="B5056" s="115" t="s">
        <v>7731</v>
      </c>
      <c r="D5056" s="115" t="s">
        <v>7732</v>
      </c>
      <c r="E5056" s="115" t="s">
        <v>7733</v>
      </c>
    </row>
    <row r="5057" spans="1:5" x14ac:dyDescent="0.2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2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2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2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2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25">
      <c r="B5062" s="115" t="s">
        <v>1139</v>
      </c>
      <c r="D5062" s="115" t="s">
        <v>7747</v>
      </c>
      <c r="E5062" s="115" t="s">
        <v>1141</v>
      </c>
    </row>
    <row r="5063" spans="1:5" x14ac:dyDescent="0.25">
      <c r="B5063" s="115" t="s">
        <v>1139</v>
      </c>
      <c r="D5063" s="115" t="s">
        <v>7748</v>
      </c>
      <c r="E5063" s="115" t="s">
        <v>7749</v>
      </c>
    </row>
    <row r="5064" spans="1:5" x14ac:dyDescent="0.2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25">
      <c r="B5065" s="115" t="s">
        <v>4890</v>
      </c>
      <c r="D5065" s="115" t="s">
        <v>1140</v>
      </c>
      <c r="E5065" s="115" t="s">
        <v>7753</v>
      </c>
    </row>
    <row r="5066" spans="1:5" x14ac:dyDescent="0.25">
      <c r="B5066" s="115" t="s">
        <v>1139</v>
      </c>
      <c r="D5066" s="115" t="s">
        <v>7754</v>
      </c>
      <c r="E5066" s="115" t="s">
        <v>7755</v>
      </c>
    </row>
    <row r="5067" spans="1:5" x14ac:dyDescent="0.25">
      <c r="B5067" s="115" t="s">
        <v>1139</v>
      </c>
      <c r="D5067" s="115" t="s">
        <v>7756</v>
      </c>
      <c r="E5067" s="115" t="s">
        <v>7757</v>
      </c>
    </row>
    <row r="5068" spans="1:5" x14ac:dyDescent="0.2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2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25">
      <c r="B5070" s="115" t="s">
        <v>7764</v>
      </c>
      <c r="D5070" s="115" t="s">
        <v>7765</v>
      </c>
      <c r="E5070" s="115" t="s">
        <v>7766</v>
      </c>
    </row>
    <row r="5071" spans="1:5" x14ac:dyDescent="0.25">
      <c r="B5071" s="115" t="s">
        <v>7767</v>
      </c>
      <c r="D5071" s="115" t="s">
        <v>7768</v>
      </c>
      <c r="E5071" s="115" t="s">
        <v>7769</v>
      </c>
    </row>
    <row r="5072" spans="1:5" x14ac:dyDescent="0.2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25">
      <c r="B5073" s="115">
        <f>-71   -613</f>
        <v>-684</v>
      </c>
      <c r="D5073" s="115" t="s">
        <v>7772</v>
      </c>
      <c r="E5073" s="115" t="s">
        <v>7773</v>
      </c>
    </row>
    <row r="5074" spans="1:5" x14ac:dyDescent="0.25">
      <c r="B5074" s="115" t="s">
        <v>1139</v>
      </c>
      <c r="D5074" s="115" t="s">
        <v>7774</v>
      </c>
      <c r="E5074" s="115" t="s">
        <v>7775</v>
      </c>
    </row>
    <row r="5075" spans="1:5" x14ac:dyDescent="0.2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25">
      <c r="B5076" s="115" t="s">
        <v>7779</v>
      </c>
      <c r="D5076" s="115" t="s">
        <v>7780</v>
      </c>
      <c r="E5076" s="115" t="s">
        <v>7781</v>
      </c>
    </row>
    <row r="5077" spans="1:5" x14ac:dyDescent="0.25">
      <c r="B5077" s="115" t="s">
        <v>7782</v>
      </c>
      <c r="D5077" s="115" t="s">
        <v>1590</v>
      </c>
      <c r="E5077" s="115" t="s">
        <v>1141</v>
      </c>
    </row>
    <row r="5078" spans="1:5" x14ac:dyDescent="0.25">
      <c r="B5078" s="115" t="s">
        <v>7783</v>
      </c>
      <c r="D5078" s="115" t="s">
        <v>7784</v>
      </c>
      <c r="E5078" s="115" t="s">
        <v>1819</v>
      </c>
    </row>
    <row r="5079" spans="1:5" x14ac:dyDescent="0.2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25">
      <c r="B5080" s="115" t="s">
        <v>7788</v>
      </c>
      <c r="D5080" s="115" t="s">
        <v>7789</v>
      </c>
      <c r="E5080" s="115" t="s">
        <v>7790</v>
      </c>
    </row>
    <row r="5081" spans="1:5" x14ac:dyDescent="0.2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25">
      <c r="B5082" s="115" t="s">
        <v>1139</v>
      </c>
      <c r="D5082" s="115" t="s">
        <v>1140</v>
      </c>
      <c r="E5082" s="115" t="s">
        <v>7793</v>
      </c>
    </row>
    <row r="5083" spans="1:5" x14ac:dyDescent="0.2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25">
      <c r="B5084" s="115" t="s">
        <v>1139</v>
      </c>
      <c r="D5084" s="115" t="s">
        <v>7797</v>
      </c>
      <c r="E5084" s="115" t="s">
        <v>1759</v>
      </c>
    </row>
    <row r="5085" spans="1:5" x14ac:dyDescent="0.25">
      <c r="B5085" s="115" t="s">
        <v>1139</v>
      </c>
      <c r="D5085" s="115" t="s">
        <v>1140</v>
      </c>
      <c r="E5085" s="115" t="s">
        <v>1141</v>
      </c>
    </row>
    <row r="5086" spans="1:5" x14ac:dyDescent="0.25">
      <c r="B5086" s="115" t="s">
        <v>7798</v>
      </c>
      <c r="D5086" s="115" t="s">
        <v>1140</v>
      </c>
      <c r="E5086" s="115" t="s">
        <v>7799</v>
      </c>
    </row>
    <row r="5087" spans="1:5" x14ac:dyDescent="0.2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2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25">
      <c r="B5089" s="115" t="s">
        <v>7806</v>
      </c>
      <c r="D5089" s="115" t="s">
        <v>7807</v>
      </c>
      <c r="E5089" s="115" t="s">
        <v>7808</v>
      </c>
    </row>
    <row r="5090" spans="1:5" x14ac:dyDescent="0.2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2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25">
      <c r="B5092" s="115" t="s">
        <v>7815</v>
      </c>
      <c r="D5092" s="115" t="s">
        <v>7816</v>
      </c>
      <c r="E5092" s="115" t="s">
        <v>7817</v>
      </c>
    </row>
    <row r="5093" spans="1:5" x14ac:dyDescent="0.25">
      <c r="B5093" s="115">
        <f>-39   -197</f>
        <v>-236</v>
      </c>
      <c r="D5093" s="115" t="s">
        <v>1140</v>
      </c>
      <c r="E5093" s="115" t="s">
        <v>1141</v>
      </c>
    </row>
    <row r="5094" spans="1:5" x14ac:dyDescent="0.2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25">
      <c r="B5095" s="115" t="s">
        <v>1139</v>
      </c>
      <c r="D5095" s="115" t="s">
        <v>7821</v>
      </c>
      <c r="E5095" s="115" t="s">
        <v>7822</v>
      </c>
    </row>
    <row r="5096" spans="1:5" x14ac:dyDescent="0.25">
      <c r="B5096" s="115" t="s">
        <v>1139</v>
      </c>
      <c r="D5096" s="115" t="s">
        <v>7823</v>
      </c>
      <c r="E5096" s="115" t="s">
        <v>1141</v>
      </c>
    </row>
    <row r="5097" spans="1:5" x14ac:dyDescent="0.2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25">
      <c r="B5098" s="115" t="s">
        <v>7827</v>
      </c>
      <c r="D5098" s="115" t="s">
        <v>7828</v>
      </c>
      <c r="E5098" s="115" t="s">
        <v>7829</v>
      </c>
    </row>
    <row r="5099" spans="1:5" x14ac:dyDescent="0.25">
      <c r="B5099" s="115" t="s">
        <v>7830</v>
      </c>
      <c r="D5099" s="115" t="s">
        <v>7831</v>
      </c>
      <c r="E5099" s="115" t="s">
        <v>7832</v>
      </c>
    </row>
    <row r="5100" spans="1:5" x14ac:dyDescent="0.2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2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2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25">
      <c r="B5103" s="115" t="s">
        <v>7841</v>
      </c>
      <c r="D5103" s="115" t="s">
        <v>7842</v>
      </c>
      <c r="E5103" s="115" t="s">
        <v>7843</v>
      </c>
    </row>
    <row r="5104" spans="1:5" x14ac:dyDescent="0.2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25">
      <c r="B5105" s="115" t="s">
        <v>4798</v>
      </c>
      <c r="D5105" s="115" t="s">
        <v>7846</v>
      </c>
      <c r="E5105" s="115" t="s">
        <v>7847</v>
      </c>
    </row>
    <row r="5106" spans="1:5" x14ac:dyDescent="0.2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2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2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25">
      <c r="B5109" s="115" t="s">
        <v>7855</v>
      </c>
      <c r="D5109" s="115" t="s">
        <v>1610</v>
      </c>
      <c r="E5109" s="115" t="s">
        <v>7856</v>
      </c>
    </row>
    <row r="5110" spans="1:5" x14ac:dyDescent="0.25">
      <c r="B5110" s="115" t="s">
        <v>7857</v>
      </c>
      <c r="D5110" s="115" t="s">
        <v>7858</v>
      </c>
      <c r="E5110" s="115" t="s">
        <v>7859</v>
      </c>
    </row>
    <row r="5111" spans="1:5" x14ac:dyDescent="0.25">
      <c r="B5111" s="115" t="s">
        <v>1204</v>
      </c>
      <c r="D5111" s="115" t="s">
        <v>7860</v>
      </c>
      <c r="E5111" s="115" t="s">
        <v>7861</v>
      </c>
    </row>
    <row r="5112" spans="1:5" x14ac:dyDescent="0.2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25">
      <c r="B5113" s="115" t="s">
        <v>1139</v>
      </c>
      <c r="D5113" s="115" t="s">
        <v>7865</v>
      </c>
      <c r="E5113" s="115" t="s">
        <v>7866</v>
      </c>
    </row>
    <row r="5114" spans="1:5" x14ac:dyDescent="0.2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25">
      <c r="B5115" s="115" t="s">
        <v>1638</v>
      </c>
      <c r="D5115" s="115" t="s">
        <v>7868</v>
      </c>
      <c r="E5115" s="115" t="s">
        <v>1141</v>
      </c>
    </row>
    <row r="5116" spans="1:5" x14ac:dyDescent="0.25">
      <c r="B5116" s="115" t="s">
        <v>1139</v>
      </c>
      <c r="D5116" s="115" t="s">
        <v>1140</v>
      </c>
      <c r="E5116" s="115" t="s">
        <v>7869</v>
      </c>
    </row>
    <row r="5117" spans="1:5" x14ac:dyDescent="0.25">
      <c r="B5117" s="115" t="s">
        <v>1139</v>
      </c>
      <c r="D5117" s="115" t="s">
        <v>7870</v>
      </c>
      <c r="E5117" s="115" t="s">
        <v>7871</v>
      </c>
    </row>
    <row r="5118" spans="1:5" x14ac:dyDescent="0.2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25">
      <c r="B5119" s="115" t="s">
        <v>7875</v>
      </c>
      <c r="D5119" s="115" t="s">
        <v>7876</v>
      </c>
      <c r="E5119" s="115" t="s">
        <v>7877</v>
      </c>
    </row>
    <row r="5120" spans="1:5" x14ac:dyDescent="0.2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2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2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25">
      <c r="B5123" s="115" t="s">
        <v>1139</v>
      </c>
      <c r="D5123" s="115" t="s">
        <v>7887</v>
      </c>
      <c r="E5123" s="115" t="s">
        <v>7888</v>
      </c>
    </row>
    <row r="5124" spans="1:5" x14ac:dyDescent="0.25">
      <c r="B5124" s="115" t="s">
        <v>1139</v>
      </c>
      <c r="D5124" s="115" t="s">
        <v>1140</v>
      </c>
      <c r="E5124" s="115" t="s">
        <v>7889</v>
      </c>
    </row>
    <row r="5125" spans="1:5" x14ac:dyDescent="0.2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25">
      <c r="B5126" s="115" t="s">
        <v>7891</v>
      </c>
      <c r="D5126" s="115" t="s">
        <v>6816</v>
      </c>
      <c r="E5126" s="115" t="s">
        <v>1819</v>
      </c>
    </row>
    <row r="5127" spans="1:5" x14ac:dyDescent="0.25">
      <c r="B5127" s="115" t="s">
        <v>7892</v>
      </c>
      <c r="D5127" s="115" t="s">
        <v>1140</v>
      </c>
      <c r="E5127" s="115" t="s">
        <v>7893</v>
      </c>
    </row>
    <row r="5128" spans="1:5" x14ac:dyDescent="0.2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25">
      <c r="B5129" s="115" t="s">
        <v>1139</v>
      </c>
      <c r="D5129" s="115" t="s">
        <v>7896</v>
      </c>
      <c r="E5129" s="115" t="s">
        <v>7897</v>
      </c>
    </row>
    <row r="5130" spans="1:5" x14ac:dyDescent="0.25">
      <c r="B5130" s="115">
        <f>-6    -81</f>
        <v>-87</v>
      </c>
      <c r="D5130" s="115" t="s">
        <v>1140</v>
      </c>
      <c r="E5130" s="115" t="s">
        <v>7898</v>
      </c>
    </row>
    <row r="5131" spans="1:5" x14ac:dyDescent="0.2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2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2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2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25">
      <c r="B5135" s="115" t="s">
        <v>7910</v>
      </c>
      <c r="D5135" s="115" t="s">
        <v>7911</v>
      </c>
      <c r="E5135" s="115" t="s">
        <v>7912</v>
      </c>
    </row>
    <row r="5136" spans="1:5" x14ac:dyDescent="0.25">
      <c r="B5136" s="115" t="s">
        <v>7913</v>
      </c>
      <c r="D5136" s="115" t="s">
        <v>1140</v>
      </c>
      <c r="E5136" s="115" t="s">
        <v>7914</v>
      </c>
    </row>
    <row r="5137" spans="1:5" x14ac:dyDescent="0.2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25">
      <c r="B5138" s="115" t="s">
        <v>7917</v>
      </c>
      <c r="D5138" s="115" t="s">
        <v>7918</v>
      </c>
      <c r="E5138" s="115" t="s">
        <v>7919</v>
      </c>
    </row>
    <row r="5139" spans="1:5" x14ac:dyDescent="0.25">
      <c r="B5139" s="115" t="s">
        <v>1139</v>
      </c>
      <c r="D5139" s="115" t="s">
        <v>1140</v>
      </c>
      <c r="E5139" s="115" t="s">
        <v>7920</v>
      </c>
    </row>
    <row r="5140" spans="1:5" x14ac:dyDescent="0.2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25">
      <c r="B5141" s="115" t="s">
        <v>7922</v>
      </c>
      <c r="D5141" s="115" t="s">
        <v>7923</v>
      </c>
      <c r="E5141" s="115" t="s">
        <v>7924</v>
      </c>
    </row>
    <row r="5142" spans="1:5" x14ac:dyDescent="0.25">
      <c r="B5142" s="115" t="s">
        <v>1916</v>
      </c>
      <c r="D5142" s="115" t="s">
        <v>1140</v>
      </c>
      <c r="E5142" s="115" t="s">
        <v>7925</v>
      </c>
    </row>
    <row r="5143" spans="1:5" x14ac:dyDescent="0.2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25">
      <c r="B5144" s="115" t="s">
        <v>1139</v>
      </c>
      <c r="D5144" s="115" t="s">
        <v>7928</v>
      </c>
      <c r="E5144" s="115" t="s">
        <v>7929</v>
      </c>
    </row>
    <row r="5145" spans="1:5" x14ac:dyDescent="0.2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25">
      <c r="B5146" s="115" t="s">
        <v>4219</v>
      </c>
      <c r="D5146" s="115" t="s">
        <v>1140</v>
      </c>
      <c r="E5146" s="115" t="s">
        <v>1141</v>
      </c>
    </row>
    <row r="5147" spans="1:5" x14ac:dyDescent="0.25">
      <c r="B5147" s="115" t="s">
        <v>1139</v>
      </c>
      <c r="D5147" s="115" t="s">
        <v>1140</v>
      </c>
      <c r="E5147" s="115" t="s">
        <v>7931</v>
      </c>
    </row>
    <row r="5148" spans="1:5" x14ac:dyDescent="0.25">
      <c r="B5148" s="115" t="s">
        <v>1248</v>
      </c>
      <c r="D5148" s="115" t="s">
        <v>7932</v>
      </c>
      <c r="E5148" s="115" t="s">
        <v>7933</v>
      </c>
    </row>
    <row r="5149" spans="1:5" x14ac:dyDescent="0.25">
      <c r="B5149" s="115" t="s">
        <v>1139</v>
      </c>
      <c r="D5149" s="115" t="s">
        <v>7934</v>
      </c>
      <c r="E5149" s="115" t="s">
        <v>7935</v>
      </c>
    </row>
    <row r="5150" spans="1:5" x14ac:dyDescent="0.25">
      <c r="B5150" s="115" t="s">
        <v>7936</v>
      </c>
      <c r="D5150" s="115" t="s">
        <v>7937</v>
      </c>
      <c r="E5150" s="115" t="s">
        <v>7938</v>
      </c>
    </row>
    <row r="5151" spans="1:5" x14ac:dyDescent="0.2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2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2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25">
      <c r="B5154" s="115" t="s">
        <v>1216</v>
      </c>
      <c r="D5154" s="115" t="s">
        <v>7948</v>
      </c>
      <c r="E5154" s="115" t="s">
        <v>7949</v>
      </c>
    </row>
    <row r="5155" spans="1:5" x14ac:dyDescent="0.25">
      <c r="B5155" s="115" t="s">
        <v>1139</v>
      </c>
      <c r="D5155" s="115" t="s">
        <v>1140</v>
      </c>
      <c r="E5155" s="115" t="s">
        <v>7950</v>
      </c>
    </row>
    <row r="5156" spans="1:5" x14ac:dyDescent="0.2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2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2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25">
      <c r="B5159" s="115" t="s">
        <v>7955</v>
      </c>
      <c r="D5159" s="115" t="s">
        <v>1140</v>
      </c>
      <c r="E5159" s="115" t="s">
        <v>7956</v>
      </c>
    </row>
    <row r="5160" spans="1:5" x14ac:dyDescent="0.25">
      <c r="B5160" s="115" t="s">
        <v>7957</v>
      </c>
      <c r="D5160" s="115" t="s">
        <v>7958</v>
      </c>
      <c r="E5160" s="115" t="s">
        <v>7959</v>
      </c>
    </row>
    <row r="5161" spans="1:5" x14ac:dyDescent="0.2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2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2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25">
      <c r="B5164" s="115" t="s">
        <v>7967</v>
      </c>
      <c r="D5164" s="115" t="s">
        <v>4885</v>
      </c>
      <c r="E5164" s="115" t="s">
        <v>7968</v>
      </c>
    </row>
    <row r="5165" spans="1:5" x14ac:dyDescent="0.25">
      <c r="B5165" s="115" t="s">
        <v>7969</v>
      </c>
      <c r="D5165" s="115" t="s">
        <v>7970</v>
      </c>
      <c r="E5165" s="115" t="s">
        <v>7971</v>
      </c>
    </row>
    <row r="5166" spans="1:5" x14ac:dyDescent="0.2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25">
      <c r="B5167" s="115" t="s">
        <v>1539</v>
      </c>
      <c r="D5167" s="115" t="s">
        <v>3876</v>
      </c>
      <c r="E5167" s="115" t="s">
        <v>7974</v>
      </c>
    </row>
    <row r="5168" spans="1:5" x14ac:dyDescent="0.2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2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25">
      <c r="B5170" s="115" t="s">
        <v>1139</v>
      </c>
      <c r="D5170" s="115" t="s">
        <v>4205</v>
      </c>
      <c r="E5170" s="115" t="s">
        <v>7980</v>
      </c>
    </row>
    <row r="5171" spans="1:5" x14ac:dyDescent="0.25">
      <c r="B5171" s="115" t="s">
        <v>1139</v>
      </c>
      <c r="D5171" s="115" t="s">
        <v>7981</v>
      </c>
      <c r="E5171" s="115" t="s">
        <v>7982</v>
      </c>
    </row>
    <row r="5172" spans="1:5" x14ac:dyDescent="0.2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2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2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25">
      <c r="B5175" s="115" t="s">
        <v>1286</v>
      </c>
      <c r="D5175" s="115" t="s">
        <v>7990</v>
      </c>
      <c r="E5175" s="115" t="s">
        <v>7991</v>
      </c>
    </row>
    <row r="5176" spans="1:5" x14ac:dyDescent="0.2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25">
      <c r="B5177" s="115" t="s">
        <v>1139</v>
      </c>
      <c r="D5177" s="115" t="s">
        <v>1140</v>
      </c>
      <c r="E5177" s="115" t="s">
        <v>1141</v>
      </c>
    </row>
    <row r="5178" spans="1:5" x14ac:dyDescent="0.25">
      <c r="B5178" s="115" t="s">
        <v>1139</v>
      </c>
      <c r="D5178" s="115" t="s">
        <v>2777</v>
      </c>
      <c r="E5178" s="115" t="s">
        <v>2260</v>
      </c>
    </row>
    <row r="5179" spans="1:5" x14ac:dyDescent="0.25">
      <c r="B5179" s="115" t="s">
        <v>7995</v>
      </c>
      <c r="D5179" s="115" t="s">
        <v>7996</v>
      </c>
      <c r="E5179" s="115" t="s">
        <v>7997</v>
      </c>
    </row>
    <row r="5180" spans="1:5" x14ac:dyDescent="0.25">
      <c r="B5180" s="115" t="s">
        <v>5418</v>
      </c>
      <c r="D5180" s="115" t="s">
        <v>7998</v>
      </c>
      <c r="E5180" s="115" t="s">
        <v>7999</v>
      </c>
    </row>
    <row r="5181" spans="1:5" x14ac:dyDescent="0.25">
      <c r="B5181" s="115" t="s">
        <v>8000</v>
      </c>
      <c r="D5181" s="115" t="s">
        <v>8001</v>
      </c>
      <c r="E5181" s="115" t="s">
        <v>8002</v>
      </c>
    </row>
    <row r="5182" spans="1:5" x14ac:dyDescent="0.2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2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2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25">
      <c r="B5185" s="115" t="s">
        <v>6567</v>
      </c>
      <c r="D5185" s="115" t="s">
        <v>1480</v>
      </c>
      <c r="E5185" s="115" t="s">
        <v>8012</v>
      </c>
    </row>
    <row r="5186" spans="1:5" x14ac:dyDescent="0.25">
      <c r="B5186" s="115" t="s">
        <v>1139</v>
      </c>
      <c r="D5186" s="115" t="s">
        <v>1140</v>
      </c>
      <c r="E5186" s="115" t="s">
        <v>8013</v>
      </c>
    </row>
    <row r="5187" spans="1:5" x14ac:dyDescent="0.2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2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25">
      <c r="B5189" s="115" t="s">
        <v>1607</v>
      </c>
      <c r="D5189" s="115" t="s">
        <v>1140</v>
      </c>
      <c r="E5189" s="115" t="s">
        <v>8016</v>
      </c>
    </row>
    <row r="5190" spans="1:5" x14ac:dyDescent="0.25">
      <c r="B5190" s="115" t="s">
        <v>8017</v>
      </c>
      <c r="D5190" s="115" t="s">
        <v>1140</v>
      </c>
      <c r="E5190" s="115" t="s">
        <v>8018</v>
      </c>
    </row>
    <row r="5191" spans="1:5" x14ac:dyDescent="0.25">
      <c r="B5191" s="115" t="s">
        <v>8019</v>
      </c>
      <c r="D5191" s="115" t="s">
        <v>8020</v>
      </c>
      <c r="E5191" s="115" t="s">
        <v>8021</v>
      </c>
    </row>
    <row r="5192" spans="1:5" x14ac:dyDescent="0.2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25">
      <c r="B5193" s="115" t="s">
        <v>8023</v>
      </c>
      <c r="D5193" s="115" t="s">
        <v>8024</v>
      </c>
      <c r="E5193" s="115" t="s">
        <v>8025</v>
      </c>
    </row>
    <row r="5194" spans="1:5" x14ac:dyDescent="0.2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25">
      <c r="B5195" s="115" t="s">
        <v>8029</v>
      </c>
      <c r="D5195" s="115" t="s">
        <v>1991</v>
      </c>
      <c r="E5195" s="115" t="s">
        <v>8030</v>
      </c>
    </row>
    <row r="5196" spans="1:5" x14ac:dyDescent="0.2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2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2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2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25">
      <c r="B5200" s="115" t="s">
        <v>1472</v>
      </c>
      <c r="D5200" s="115" t="s">
        <v>8040</v>
      </c>
      <c r="E5200" s="115" t="s">
        <v>8041</v>
      </c>
    </row>
    <row r="5201" spans="1:5" x14ac:dyDescent="0.25">
      <c r="B5201" s="115" t="s">
        <v>1139</v>
      </c>
      <c r="D5201" s="115" t="s">
        <v>2338</v>
      </c>
      <c r="E5201" s="115" t="s">
        <v>8042</v>
      </c>
    </row>
    <row r="5202" spans="1:5" x14ac:dyDescent="0.25">
      <c r="B5202" s="115" t="s">
        <v>1139</v>
      </c>
      <c r="D5202" s="115" t="s">
        <v>4321</v>
      </c>
      <c r="E5202" s="115" t="s">
        <v>8043</v>
      </c>
    </row>
    <row r="5203" spans="1:5" x14ac:dyDescent="0.2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25">
      <c r="B5204" s="115" t="s">
        <v>1379</v>
      </c>
      <c r="D5204" s="115" t="s">
        <v>5010</v>
      </c>
      <c r="E5204" s="115" t="s">
        <v>8046</v>
      </c>
    </row>
    <row r="5205" spans="1:5" x14ac:dyDescent="0.2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25">
      <c r="B5206" s="115" t="s">
        <v>8049</v>
      </c>
      <c r="D5206" s="115" t="s">
        <v>8050</v>
      </c>
      <c r="E5206" s="115" t="s">
        <v>8051</v>
      </c>
    </row>
    <row r="5207" spans="1:5" x14ac:dyDescent="0.2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25">
      <c r="B5208" s="115" t="s">
        <v>1139</v>
      </c>
      <c r="D5208" s="115" t="s">
        <v>1140</v>
      </c>
      <c r="E5208" s="115" t="s">
        <v>1141</v>
      </c>
    </row>
    <row r="5209" spans="1:5" x14ac:dyDescent="0.25">
      <c r="B5209" s="115" t="s">
        <v>1139</v>
      </c>
      <c r="D5209" s="115" t="s">
        <v>6677</v>
      </c>
      <c r="E5209" s="115" t="s">
        <v>1759</v>
      </c>
    </row>
    <row r="5210" spans="1:5" x14ac:dyDescent="0.25">
      <c r="B5210" s="115" t="s">
        <v>8055</v>
      </c>
      <c r="D5210" s="115" t="s">
        <v>8056</v>
      </c>
      <c r="E5210" s="115" t="s">
        <v>8057</v>
      </c>
    </row>
    <row r="5211" spans="1:5" x14ac:dyDescent="0.25">
      <c r="B5211" s="115" t="s">
        <v>1608</v>
      </c>
      <c r="D5211" s="115" t="s">
        <v>8058</v>
      </c>
      <c r="E5211" s="115" t="s">
        <v>8059</v>
      </c>
    </row>
    <row r="5212" spans="1:5" x14ac:dyDescent="0.25">
      <c r="B5212" s="115" t="s">
        <v>8060</v>
      </c>
      <c r="D5212" s="115" t="s">
        <v>8061</v>
      </c>
      <c r="E5212" s="115" t="s">
        <v>8062</v>
      </c>
    </row>
    <row r="5213" spans="1:5" x14ac:dyDescent="0.2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2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2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25">
      <c r="B5216" s="115" t="s">
        <v>1139</v>
      </c>
      <c r="D5216" s="115" t="s">
        <v>8072</v>
      </c>
      <c r="E5216" s="115" t="s">
        <v>8073</v>
      </c>
    </row>
    <row r="5217" spans="1:5" x14ac:dyDescent="0.25">
      <c r="B5217" s="115" t="s">
        <v>1139</v>
      </c>
      <c r="D5217" s="115" t="s">
        <v>1140</v>
      </c>
      <c r="E5217" s="115" t="s">
        <v>8074</v>
      </c>
    </row>
    <row r="5218" spans="1:5" x14ac:dyDescent="0.25">
      <c r="B5218" s="115" t="s">
        <v>1139</v>
      </c>
      <c r="D5218" s="115" t="s">
        <v>8075</v>
      </c>
      <c r="E5218" s="115" t="s">
        <v>8076</v>
      </c>
    </row>
    <row r="5219" spans="1:5" x14ac:dyDescent="0.25">
      <c r="B5219" s="115" t="s">
        <v>8077</v>
      </c>
      <c r="D5219" s="115" t="s">
        <v>3699</v>
      </c>
      <c r="E5219" s="115" t="s">
        <v>2537</v>
      </c>
    </row>
    <row r="5220" spans="1:5" x14ac:dyDescent="0.25">
      <c r="B5220" s="115" t="s">
        <v>8078</v>
      </c>
      <c r="D5220" s="115" t="s">
        <v>1140</v>
      </c>
      <c r="E5220" s="115" t="s">
        <v>8079</v>
      </c>
    </row>
    <row r="5221" spans="1:5" x14ac:dyDescent="0.2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25">
      <c r="B5222" s="115" t="s">
        <v>1139</v>
      </c>
      <c r="D5222" s="115" t="s">
        <v>8082</v>
      </c>
      <c r="E5222" s="115" t="s">
        <v>8083</v>
      </c>
    </row>
    <row r="5223" spans="1:5" x14ac:dyDescent="0.25">
      <c r="B5223" s="115" t="s">
        <v>8084</v>
      </c>
      <c r="D5223" s="115" t="s">
        <v>1140</v>
      </c>
      <c r="E5223" s="115" t="s">
        <v>8085</v>
      </c>
    </row>
    <row r="5224" spans="1:5" x14ac:dyDescent="0.2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2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25">
      <c r="B5226" s="115">
        <f>-20    -35</f>
        <v>-55</v>
      </c>
      <c r="D5226" s="115" t="s">
        <v>1140</v>
      </c>
      <c r="E5226" s="115" t="s">
        <v>8092</v>
      </c>
    </row>
    <row r="5227" spans="1:5" x14ac:dyDescent="0.25">
      <c r="B5227" s="115" t="s">
        <v>8093</v>
      </c>
      <c r="D5227" s="115" t="s">
        <v>8094</v>
      </c>
      <c r="E5227" s="115" t="s">
        <v>8095</v>
      </c>
    </row>
    <row r="5228" spans="1:5" x14ac:dyDescent="0.2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2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2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25">
      <c r="B5231" s="115" t="s">
        <v>8103</v>
      </c>
      <c r="D5231" s="115" t="s">
        <v>1919</v>
      </c>
      <c r="E5231" s="115" t="s">
        <v>8104</v>
      </c>
    </row>
    <row r="5232" spans="1:5" x14ac:dyDescent="0.25">
      <c r="B5232" s="115" t="s">
        <v>1139</v>
      </c>
      <c r="D5232" s="115" t="s">
        <v>1140</v>
      </c>
      <c r="E5232" s="115" t="s">
        <v>8105</v>
      </c>
    </row>
    <row r="5233" spans="1:5" x14ac:dyDescent="0.2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25">
      <c r="B5234" s="115" t="s">
        <v>8107</v>
      </c>
      <c r="D5234" s="115" t="s">
        <v>8108</v>
      </c>
      <c r="E5234" s="115" t="s">
        <v>8109</v>
      </c>
    </row>
    <row r="5235" spans="1:5" x14ac:dyDescent="0.25">
      <c r="B5235" s="115" t="s">
        <v>8110</v>
      </c>
      <c r="D5235" s="115" t="s">
        <v>1140</v>
      </c>
      <c r="E5235" s="115" t="s">
        <v>8111</v>
      </c>
    </row>
    <row r="5236" spans="1:5" x14ac:dyDescent="0.2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2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25">
      <c r="B5238" s="115" t="s">
        <v>8116</v>
      </c>
      <c r="D5238" s="115" t="s">
        <v>8117</v>
      </c>
      <c r="E5238" s="115" t="s">
        <v>8118</v>
      </c>
    </row>
    <row r="5239" spans="1:5" x14ac:dyDescent="0.25">
      <c r="B5239" s="115" t="s">
        <v>1667</v>
      </c>
      <c r="D5239" s="115" t="s">
        <v>1140</v>
      </c>
      <c r="E5239" s="115" t="s">
        <v>1141</v>
      </c>
    </row>
    <row r="5240" spans="1:5" x14ac:dyDescent="0.25">
      <c r="B5240" s="115" t="s">
        <v>1139</v>
      </c>
      <c r="D5240" s="115" t="s">
        <v>1140</v>
      </c>
      <c r="E5240" s="115" t="s">
        <v>8119</v>
      </c>
    </row>
    <row r="5241" spans="1:5" x14ac:dyDescent="0.25">
      <c r="B5241" s="115" t="s">
        <v>1310</v>
      </c>
      <c r="D5241" s="115" t="s">
        <v>8120</v>
      </c>
      <c r="E5241" s="115" t="s">
        <v>8121</v>
      </c>
    </row>
    <row r="5242" spans="1:5" x14ac:dyDescent="0.25">
      <c r="B5242" s="115" t="s">
        <v>1139</v>
      </c>
      <c r="D5242" s="115" t="s">
        <v>8122</v>
      </c>
      <c r="E5242" s="115" t="s">
        <v>8123</v>
      </c>
    </row>
    <row r="5243" spans="1:5" x14ac:dyDescent="0.25">
      <c r="B5243" s="115" t="s">
        <v>8124</v>
      </c>
      <c r="D5243" s="115" t="s">
        <v>8125</v>
      </c>
      <c r="E5243" s="115" t="s">
        <v>8126</v>
      </c>
    </row>
    <row r="5244" spans="1:5" x14ac:dyDescent="0.25">
      <c r="B5244" s="115" t="s">
        <v>8127</v>
      </c>
      <c r="D5244" s="115" t="s">
        <v>8128</v>
      </c>
      <c r="E5244" s="115" t="s">
        <v>8129</v>
      </c>
    </row>
    <row r="5245" spans="1:5" x14ac:dyDescent="0.2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2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2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2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2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25">
      <c r="B5250" s="115" t="s">
        <v>1139</v>
      </c>
      <c r="D5250" s="115" t="s">
        <v>8143</v>
      </c>
      <c r="E5250" s="115" t="s">
        <v>8144</v>
      </c>
    </row>
    <row r="5251" spans="1:5" x14ac:dyDescent="0.25">
      <c r="B5251" s="115" t="s">
        <v>1139</v>
      </c>
      <c r="D5251" s="115" t="s">
        <v>8145</v>
      </c>
      <c r="E5251" s="115" t="s">
        <v>1141</v>
      </c>
    </row>
    <row r="5252" spans="1:5" x14ac:dyDescent="0.2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2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2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2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25">
      <c r="B5256" s="115">
        <f>-42     -5</f>
        <v>-47</v>
      </c>
      <c r="D5256" s="115" t="s">
        <v>8155</v>
      </c>
      <c r="E5256" s="115" t="s">
        <v>8156</v>
      </c>
    </row>
    <row r="5257" spans="1:5" x14ac:dyDescent="0.2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2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2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25">
      <c r="B5260" s="115" t="s">
        <v>1862</v>
      </c>
      <c r="D5260" s="115" t="s">
        <v>8166</v>
      </c>
      <c r="E5260" s="115" t="s">
        <v>8167</v>
      </c>
    </row>
    <row r="5261" spans="1:5" x14ac:dyDescent="0.2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2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2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2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2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2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2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25">
      <c r="B5268" s="115" t="s">
        <v>1139</v>
      </c>
      <c r="D5268" s="115" t="s">
        <v>8186</v>
      </c>
      <c r="E5268" s="115" t="s">
        <v>8187</v>
      </c>
    </row>
    <row r="5269" spans="1:5" x14ac:dyDescent="0.25">
      <c r="B5269" s="115" t="s">
        <v>1139</v>
      </c>
      <c r="D5269" s="115" t="s">
        <v>8188</v>
      </c>
      <c r="E5269" s="115" t="s">
        <v>2260</v>
      </c>
    </row>
    <row r="5270" spans="1:5" x14ac:dyDescent="0.25">
      <c r="B5270" s="115" t="s">
        <v>8189</v>
      </c>
      <c r="D5270" s="115" t="s">
        <v>8190</v>
      </c>
      <c r="E5270" s="115" t="s">
        <v>1141</v>
      </c>
    </row>
    <row r="5271" spans="1:5" x14ac:dyDescent="0.25">
      <c r="B5271" s="115" t="s">
        <v>1139</v>
      </c>
      <c r="D5271" s="115" t="s">
        <v>1140</v>
      </c>
      <c r="E5271" s="115" t="s">
        <v>8191</v>
      </c>
    </row>
    <row r="5272" spans="1:5" x14ac:dyDescent="0.25">
      <c r="B5272" s="115" t="s">
        <v>1139</v>
      </c>
      <c r="D5272" s="115" t="s">
        <v>8192</v>
      </c>
      <c r="E5272" s="115" t="s">
        <v>8193</v>
      </c>
    </row>
    <row r="5273" spans="1:5" x14ac:dyDescent="0.2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25">
      <c r="B5274" s="115" t="s">
        <v>8197</v>
      </c>
      <c r="D5274" s="115" t="s">
        <v>8198</v>
      </c>
      <c r="E5274" s="115" t="s">
        <v>8199</v>
      </c>
    </row>
    <row r="5275" spans="1:5" x14ac:dyDescent="0.2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2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25">
      <c r="B5277" s="115" t="s">
        <v>8206</v>
      </c>
      <c r="D5277" s="115" t="s">
        <v>8207</v>
      </c>
      <c r="E5277" s="115" t="s">
        <v>8208</v>
      </c>
    </row>
    <row r="5278" spans="1:5" x14ac:dyDescent="0.2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25">
      <c r="B5279" s="115" t="s">
        <v>1139</v>
      </c>
      <c r="D5279" s="115" t="s">
        <v>8212</v>
      </c>
      <c r="E5279" s="115" t="s">
        <v>1141</v>
      </c>
    </row>
    <row r="5280" spans="1:5" x14ac:dyDescent="0.25">
      <c r="B5280" s="115" t="s">
        <v>1139</v>
      </c>
      <c r="D5280" s="115" t="s">
        <v>8213</v>
      </c>
      <c r="E5280" s="115" t="s">
        <v>8214</v>
      </c>
    </row>
    <row r="5281" spans="1:5" x14ac:dyDescent="0.25">
      <c r="B5281" s="115">
        <f>-72   -748</f>
        <v>-820</v>
      </c>
      <c r="D5281" s="115" t="s">
        <v>8215</v>
      </c>
      <c r="E5281" s="115" t="s">
        <v>8216</v>
      </c>
    </row>
    <row r="5282" spans="1:5" x14ac:dyDescent="0.25">
      <c r="B5282" s="115" t="s">
        <v>8217</v>
      </c>
      <c r="D5282" s="115" t="s">
        <v>1140</v>
      </c>
      <c r="E5282" s="115" t="s">
        <v>8218</v>
      </c>
    </row>
    <row r="5283" spans="1:5" x14ac:dyDescent="0.25">
      <c r="B5283" s="115" t="s">
        <v>1139</v>
      </c>
      <c r="D5283" s="115" t="s">
        <v>8219</v>
      </c>
      <c r="E5283" s="115" t="s">
        <v>8220</v>
      </c>
    </row>
    <row r="5284" spans="1:5" x14ac:dyDescent="0.2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25">
      <c r="B5285" s="115" t="s">
        <v>8222</v>
      </c>
      <c r="D5285" s="115" t="s">
        <v>8223</v>
      </c>
      <c r="E5285" s="115" t="s">
        <v>8224</v>
      </c>
    </row>
    <row r="5286" spans="1:5" x14ac:dyDescent="0.25">
      <c r="B5286" s="115" t="s">
        <v>4018</v>
      </c>
      <c r="D5286" s="115" t="s">
        <v>8225</v>
      </c>
      <c r="E5286" s="115" t="s">
        <v>8226</v>
      </c>
    </row>
    <row r="5287" spans="1:5" x14ac:dyDescent="0.2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2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25">
      <c r="B5289" s="115" t="s">
        <v>1281</v>
      </c>
      <c r="D5289" s="115" t="s">
        <v>8232</v>
      </c>
      <c r="E5289" s="115" t="s">
        <v>8233</v>
      </c>
    </row>
    <row r="5290" spans="1:5" x14ac:dyDescent="0.25">
      <c r="B5290" s="115" t="s">
        <v>8234</v>
      </c>
      <c r="D5290" s="115" t="s">
        <v>8235</v>
      </c>
      <c r="E5290" s="115" t="s">
        <v>8236</v>
      </c>
    </row>
    <row r="5291" spans="1:5" x14ac:dyDescent="0.25">
      <c r="B5291" s="115" t="s">
        <v>1139</v>
      </c>
      <c r="D5291" s="115" t="s">
        <v>8237</v>
      </c>
      <c r="E5291" s="115" t="s">
        <v>8238</v>
      </c>
    </row>
    <row r="5292" spans="1:5" x14ac:dyDescent="0.25">
      <c r="B5292" s="115" t="s">
        <v>1295</v>
      </c>
      <c r="D5292" s="115" t="s">
        <v>8239</v>
      </c>
      <c r="E5292" s="115" t="s">
        <v>8240</v>
      </c>
    </row>
    <row r="5293" spans="1:5" x14ac:dyDescent="0.2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25">
      <c r="B5294" s="115" t="s">
        <v>8243</v>
      </c>
      <c r="D5294" s="115" t="s">
        <v>8244</v>
      </c>
      <c r="E5294" s="115" t="s">
        <v>1141</v>
      </c>
    </row>
    <row r="5295" spans="1:5" x14ac:dyDescent="0.25">
      <c r="B5295" s="115" t="s">
        <v>8245</v>
      </c>
      <c r="D5295" s="115" t="s">
        <v>8246</v>
      </c>
      <c r="E5295" s="115" t="s">
        <v>2082</v>
      </c>
    </row>
    <row r="5296" spans="1:5" x14ac:dyDescent="0.2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25">
      <c r="B5297" s="115" t="s">
        <v>8250</v>
      </c>
      <c r="D5297" s="115" t="s">
        <v>8251</v>
      </c>
      <c r="E5297" s="115" t="s">
        <v>8252</v>
      </c>
    </row>
    <row r="5298" spans="1:5" x14ac:dyDescent="0.25">
      <c r="B5298" s="115" t="s">
        <v>8253</v>
      </c>
      <c r="D5298" s="115" t="s">
        <v>8254</v>
      </c>
      <c r="E5298" s="115" t="s">
        <v>8255</v>
      </c>
    </row>
    <row r="5299" spans="1:5" x14ac:dyDescent="0.25">
      <c r="B5299" s="115" t="s">
        <v>1139</v>
      </c>
      <c r="D5299" s="115" t="s">
        <v>1140</v>
      </c>
      <c r="E5299" s="115" t="s">
        <v>8256</v>
      </c>
    </row>
    <row r="5300" spans="1:5" x14ac:dyDescent="0.25">
      <c r="B5300" s="115" t="s">
        <v>8257</v>
      </c>
      <c r="D5300" s="115" t="s">
        <v>8258</v>
      </c>
      <c r="E5300" s="115" t="s">
        <v>8259</v>
      </c>
    </row>
    <row r="5301" spans="1:5" x14ac:dyDescent="0.25">
      <c r="B5301" s="115" t="s">
        <v>1139</v>
      </c>
      <c r="D5301" s="115" t="s">
        <v>8260</v>
      </c>
      <c r="E5301" s="115" t="s">
        <v>1894</v>
      </c>
    </row>
    <row r="5302" spans="1:5" x14ac:dyDescent="0.25">
      <c r="B5302" s="115" t="s">
        <v>1139</v>
      </c>
      <c r="D5302" s="115" t="s">
        <v>1140</v>
      </c>
      <c r="E5302" s="115" t="s">
        <v>1141</v>
      </c>
    </row>
    <row r="5303" spans="1:5" x14ac:dyDescent="0.25">
      <c r="B5303" s="115" t="s">
        <v>8261</v>
      </c>
      <c r="D5303" s="115" t="s">
        <v>1140</v>
      </c>
      <c r="E5303" s="115" t="s">
        <v>8262</v>
      </c>
    </row>
    <row r="5304" spans="1:5" x14ac:dyDescent="0.2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2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25">
      <c r="B5306" s="115" t="s">
        <v>8269</v>
      </c>
      <c r="D5306" s="115" t="s">
        <v>8270</v>
      </c>
      <c r="E5306" s="115" t="s">
        <v>8271</v>
      </c>
    </row>
    <row r="5307" spans="1:5" x14ac:dyDescent="0.25">
      <c r="B5307" s="115" t="s">
        <v>8272</v>
      </c>
      <c r="D5307" s="115" t="s">
        <v>8273</v>
      </c>
      <c r="E5307" s="115" t="s">
        <v>8274</v>
      </c>
    </row>
    <row r="5308" spans="1:5" x14ac:dyDescent="0.2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25">
      <c r="B5309" s="115" t="s">
        <v>8278</v>
      </c>
      <c r="D5309" s="115" t="s">
        <v>8279</v>
      </c>
      <c r="E5309" s="115" t="s">
        <v>8280</v>
      </c>
    </row>
    <row r="5310" spans="1:5" x14ac:dyDescent="0.25">
      <c r="B5310" s="115" t="s">
        <v>5007</v>
      </c>
      <c r="D5310" s="115" t="s">
        <v>8281</v>
      </c>
      <c r="E5310" s="115" t="s">
        <v>8282</v>
      </c>
    </row>
    <row r="5311" spans="1:5" x14ac:dyDescent="0.25">
      <c r="B5311" s="115" t="s">
        <v>1139</v>
      </c>
      <c r="D5311" s="115" t="s">
        <v>1140</v>
      </c>
      <c r="E5311" s="115" t="s">
        <v>8283</v>
      </c>
    </row>
    <row r="5312" spans="1:5" x14ac:dyDescent="0.2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2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2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25">
      <c r="B5315" s="115" t="s">
        <v>6139</v>
      </c>
      <c r="D5315" s="115" t="s">
        <v>1140</v>
      </c>
      <c r="E5315" s="115" t="s">
        <v>8288</v>
      </c>
    </row>
    <row r="5316" spans="1:5" x14ac:dyDescent="0.25">
      <c r="B5316" s="115" t="s">
        <v>8289</v>
      </c>
      <c r="D5316" s="115" t="s">
        <v>8290</v>
      </c>
      <c r="E5316" s="115" t="s">
        <v>8291</v>
      </c>
    </row>
    <row r="5317" spans="1:5" x14ac:dyDescent="0.25">
      <c r="B5317" s="115" t="s">
        <v>1251</v>
      </c>
      <c r="D5317" s="115" t="s">
        <v>6079</v>
      </c>
      <c r="E5317" s="115" t="s">
        <v>8292</v>
      </c>
    </row>
    <row r="5318" spans="1:5" x14ac:dyDescent="0.25">
      <c r="B5318" s="115">
        <f>-39   -356</f>
        <v>-395</v>
      </c>
      <c r="D5318" s="115" t="s">
        <v>8293</v>
      </c>
      <c r="E5318" s="115" t="s">
        <v>8294</v>
      </c>
    </row>
    <row r="5319" spans="1:5" x14ac:dyDescent="0.2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2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25">
      <c r="B5321" s="115" t="s">
        <v>8299</v>
      </c>
      <c r="D5321" s="115" t="s">
        <v>8300</v>
      </c>
      <c r="E5321" s="115" t="s">
        <v>8301</v>
      </c>
    </row>
    <row r="5322" spans="1:5" x14ac:dyDescent="0.2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2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25">
      <c r="B5324" s="115" t="s">
        <v>1566</v>
      </c>
      <c r="D5324" s="115" t="s">
        <v>8307</v>
      </c>
      <c r="E5324" s="115" t="s">
        <v>8308</v>
      </c>
    </row>
    <row r="5325" spans="1:5" x14ac:dyDescent="0.2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25">
      <c r="B5326" s="115" t="s">
        <v>1139</v>
      </c>
      <c r="D5326" s="115" t="s">
        <v>8311</v>
      </c>
      <c r="E5326" s="115" t="s">
        <v>8312</v>
      </c>
    </row>
    <row r="5327" spans="1:5" x14ac:dyDescent="0.25">
      <c r="B5327" s="115" t="s">
        <v>1139</v>
      </c>
      <c r="D5327" s="115" t="s">
        <v>8313</v>
      </c>
      <c r="E5327" s="115" t="s">
        <v>8314</v>
      </c>
    </row>
    <row r="5328" spans="1:5" x14ac:dyDescent="0.2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2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25">
      <c r="B5330" s="115">
        <f>-27   -791</f>
        <v>-818</v>
      </c>
      <c r="D5330" s="115" t="s">
        <v>8321</v>
      </c>
      <c r="E5330" s="115" t="s">
        <v>1141</v>
      </c>
    </row>
    <row r="5331" spans="1:5" x14ac:dyDescent="0.25">
      <c r="B5331" s="115" t="s">
        <v>8322</v>
      </c>
      <c r="D5331" s="115" t="s">
        <v>8323</v>
      </c>
      <c r="E5331" s="115" t="s">
        <v>8324</v>
      </c>
    </row>
    <row r="5332" spans="1:5" x14ac:dyDescent="0.25">
      <c r="B5332" s="115" t="s">
        <v>8325</v>
      </c>
      <c r="D5332" s="115" t="s">
        <v>8326</v>
      </c>
      <c r="E5332" s="115" t="s">
        <v>8327</v>
      </c>
    </row>
    <row r="5333" spans="1:5" x14ac:dyDescent="0.25">
      <c r="B5333" s="115" t="s">
        <v>1139</v>
      </c>
      <c r="D5333" s="115" t="s">
        <v>1140</v>
      </c>
      <c r="E5333" s="115" t="s">
        <v>1141</v>
      </c>
    </row>
    <row r="5334" spans="1:5" x14ac:dyDescent="0.25">
      <c r="B5334" s="115" t="s">
        <v>1139</v>
      </c>
      <c r="D5334" s="115" t="s">
        <v>8328</v>
      </c>
      <c r="E5334" s="115" t="s">
        <v>1702</v>
      </c>
    </row>
    <row r="5335" spans="1:5" x14ac:dyDescent="0.2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2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25">
      <c r="B5337" s="115" t="s">
        <v>8334</v>
      </c>
      <c r="D5337" s="115" t="s">
        <v>8335</v>
      </c>
      <c r="E5337" s="115" t="s">
        <v>8336</v>
      </c>
    </row>
    <row r="5338" spans="1:5" x14ac:dyDescent="0.25">
      <c r="B5338" s="115" t="s">
        <v>8337</v>
      </c>
      <c r="D5338" s="115" t="s">
        <v>8338</v>
      </c>
      <c r="E5338" s="115" t="s">
        <v>8339</v>
      </c>
    </row>
    <row r="5339" spans="1:5" x14ac:dyDescent="0.2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25">
      <c r="B5340" s="115" t="s">
        <v>8343</v>
      </c>
      <c r="D5340" s="115" t="s">
        <v>8344</v>
      </c>
      <c r="E5340" s="115" t="s">
        <v>8345</v>
      </c>
    </row>
    <row r="5341" spans="1:5" x14ac:dyDescent="0.2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25">
      <c r="B5342" s="115" t="s">
        <v>1139</v>
      </c>
      <c r="D5342" s="115" t="s">
        <v>8349</v>
      </c>
      <c r="E5342" s="115" t="s">
        <v>1141</v>
      </c>
    </row>
    <row r="5343" spans="1:5" x14ac:dyDescent="0.25">
      <c r="B5343" s="115" t="s">
        <v>1139</v>
      </c>
      <c r="D5343" s="115" t="s">
        <v>8350</v>
      </c>
      <c r="E5343" s="115" t="s">
        <v>8351</v>
      </c>
    </row>
    <row r="5344" spans="1:5" x14ac:dyDescent="0.2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25">
      <c r="B5345" s="115" t="s">
        <v>1139</v>
      </c>
      <c r="D5345" s="115" t="s">
        <v>3699</v>
      </c>
      <c r="E5345" s="115" t="s">
        <v>2537</v>
      </c>
    </row>
    <row r="5346" spans="1:5" x14ac:dyDescent="0.25">
      <c r="B5346" s="115" t="s">
        <v>1139</v>
      </c>
      <c r="D5346" s="115" t="s">
        <v>8354</v>
      </c>
      <c r="E5346" s="115" t="s">
        <v>8355</v>
      </c>
    </row>
    <row r="5347" spans="1:5" x14ac:dyDescent="0.25">
      <c r="B5347" s="115" t="s">
        <v>1184</v>
      </c>
      <c r="D5347" s="115" t="s">
        <v>8356</v>
      </c>
      <c r="E5347" s="115" t="s">
        <v>8357</v>
      </c>
    </row>
    <row r="5348" spans="1:5" x14ac:dyDescent="0.25">
      <c r="B5348" s="115" t="s">
        <v>8358</v>
      </c>
      <c r="D5348" s="115" t="s">
        <v>8359</v>
      </c>
      <c r="E5348" s="115" t="s">
        <v>1859</v>
      </c>
    </row>
    <row r="5349" spans="1:5" x14ac:dyDescent="0.25">
      <c r="B5349" s="115" t="s">
        <v>8360</v>
      </c>
      <c r="D5349" s="115" t="s">
        <v>8361</v>
      </c>
      <c r="E5349" s="115" t="s">
        <v>8362</v>
      </c>
    </row>
    <row r="5350" spans="1:5" x14ac:dyDescent="0.2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2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25">
      <c r="B5352" s="115" t="s">
        <v>8367</v>
      </c>
      <c r="D5352" s="115" t="s">
        <v>8368</v>
      </c>
      <c r="E5352" s="115" t="s">
        <v>8369</v>
      </c>
    </row>
    <row r="5353" spans="1:5" x14ac:dyDescent="0.2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25">
      <c r="B5354" s="115" t="s">
        <v>1847</v>
      </c>
      <c r="D5354" s="115" t="s">
        <v>8373</v>
      </c>
      <c r="E5354" s="115" t="s">
        <v>1819</v>
      </c>
    </row>
    <row r="5355" spans="1:5" x14ac:dyDescent="0.25">
      <c r="B5355" s="115" t="s">
        <v>8374</v>
      </c>
      <c r="D5355" s="115" t="s">
        <v>8375</v>
      </c>
      <c r="E5355" s="115" t="s">
        <v>8376</v>
      </c>
    </row>
    <row r="5356" spans="1:5" x14ac:dyDescent="0.2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2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2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2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2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2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25">
      <c r="B5362" s="115" t="s">
        <v>1139</v>
      </c>
      <c r="D5362" s="115" t="s">
        <v>1140</v>
      </c>
      <c r="E5362" s="115" t="s">
        <v>8392</v>
      </c>
    </row>
    <row r="5363" spans="1:5" x14ac:dyDescent="0.2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25">
      <c r="B5364" s="115" t="s">
        <v>1139</v>
      </c>
      <c r="D5364" s="115" t="s">
        <v>8395</v>
      </c>
      <c r="E5364" s="115" t="s">
        <v>1141</v>
      </c>
    </row>
    <row r="5365" spans="1:5" x14ac:dyDescent="0.25">
      <c r="B5365" s="115" t="s">
        <v>1139</v>
      </c>
      <c r="D5365" s="115" t="s">
        <v>1140</v>
      </c>
      <c r="E5365" s="115" t="s">
        <v>1141</v>
      </c>
    </row>
    <row r="5366" spans="1:5" x14ac:dyDescent="0.2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2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2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2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2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2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2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25">
      <c r="B5373" s="115" t="s">
        <v>1139</v>
      </c>
      <c r="D5373" s="115" t="s">
        <v>8415</v>
      </c>
      <c r="E5373" s="115" t="s">
        <v>8416</v>
      </c>
    </row>
    <row r="5374" spans="1:5" x14ac:dyDescent="0.25">
      <c r="B5374" s="115" t="s">
        <v>1139</v>
      </c>
      <c r="D5374" s="115" t="s">
        <v>1140</v>
      </c>
      <c r="E5374" s="115" t="s">
        <v>8417</v>
      </c>
    </row>
    <row r="5375" spans="1:5" x14ac:dyDescent="0.25">
      <c r="B5375" s="115" t="s">
        <v>1139</v>
      </c>
      <c r="D5375" s="115" t="s">
        <v>8418</v>
      </c>
      <c r="E5375" s="115" t="s">
        <v>8419</v>
      </c>
    </row>
    <row r="5376" spans="1:5" x14ac:dyDescent="0.25">
      <c r="B5376" s="115" t="s">
        <v>1618</v>
      </c>
      <c r="D5376" s="115" t="s">
        <v>3122</v>
      </c>
      <c r="E5376" s="115" t="s">
        <v>1702</v>
      </c>
    </row>
    <row r="5377" spans="1:5" x14ac:dyDescent="0.25">
      <c r="B5377" s="115" t="s">
        <v>8420</v>
      </c>
      <c r="D5377" s="115" t="s">
        <v>1140</v>
      </c>
      <c r="E5377" s="115" t="s">
        <v>8421</v>
      </c>
    </row>
    <row r="5378" spans="1:5" x14ac:dyDescent="0.2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25">
      <c r="B5379" s="115" t="s">
        <v>1139</v>
      </c>
      <c r="D5379" s="115" t="s">
        <v>8424</v>
      </c>
      <c r="E5379" s="115" t="s">
        <v>8425</v>
      </c>
    </row>
    <row r="5380" spans="1:5" x14ac:dyDescent="0.25">
      <c r="B5380" s="115" t="s">
        <v>8426</v>
      </c>
      <c r="D5380" s="115" t="s">
        <v>1140</v>
      </c>
      <c r="E5380" s="115" t="s">
        <v>8427</v>
      </c>
    </row>
    <row r="5381" spans="1:5" x14ac:dyDescent="0.2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25">
      <c r="B5382" s="115" t="s">
        <v>8431</v>
      </c>
      <c r="D5382" s="115" t="s">
        <v>8432</v>
      </c>
      <c r="E5382" s="115" t="s">
        <v>8433</v>
      </c>
    </row>
    <row r="5383" spans="1:5" x14ac:dyDescent="0.25">
      <c r="B5383" s="115" t="s">
        <v>8434</v>
      </c>
      <c r="D5383" s="115" t="s">
        <v>1140</v>
      </c>
      <c r="E5383" s="115" t="s">
        <v>8435</v>
      </c>
    </row>
    <row r="5384" spans="1:5" x14ac:dyDescent="0.2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25">
      <c r="B5385" s="115" t="s">
        <v>8439</v>
      </c>
      <c r="D5385" s="115" t="s">
        <v>8440</v>
      </c>
      <c r="E5385" s="115" t="s">
        <v>8441</v>
      </c>
    </row>
    <row r="5386" spans="1:5" x14ac:dyDescent="0.25">
      <c r="B5386" s="115" t="s">
        <v>8442</v>
      </c>
      <c r="D5386" s="115" t="s">
        <v>1140</v>
      </c>
      <c r="E5386" s="115" t="s">
        <v>8443</v>
      </c>
    </row>
    <row r="5387" spans="1:5" x14ac:dyDescent="0.2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25">
      <c r="B5388" s="115" t="s">
        <v>8446</v>
      </c>
      <c r="D5388" s="115" t="s">
        <v>8447</v>
      </c>
      <c r="E5388" s="115" t="s">
        <v>8448</v>
      </c>
    </row>
    <row r="5389" spans="1:5" x14ac:dyDescent="0.25">
      <c r="B5389" s="115" t="s">
        <v>1139</v>
      </c>
      <c r="D5389" s="115" t="s">
        <v>1140</v>
      </c>
      <c r="E5389" s="115" t="s">
        <v>8449</v>
      </c>
    </row>
    <row r="5390" spans="1:5" x14ac:dyDescent="0.2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2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25">
      <c r="B5392" s="115" t="s">
        <v>8455</v>
      </c>
      <c r="D5392" s="115" t="s">
        <v>1140</v>
      </c>
      <c r="E5392" s="115" t="s">
        <v>8456</v>
      </c>
    </row>
    <row r="5393" spans="1:5" x14ac:dyDescent="0.2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25">
      <c r="B5394" s="115" t="s">
        <v>1139</v>
      </c>
      <c r="D5394" s="115" t="s">
        <v>8459</v>
      </c>
      <c r="E5394" s="115" t="s">
        <v>8460</v>
      </c>
    </row>
    <row r="5395" spans="1:5" x14ac:dyDescent="0.25">
      <c r="B5395" s="115" t="s">
        <v>1459</v>
      </c>
      <c r="D5395" s="115" t="s">
        <v>8461</v>
      </c>
      <c r="E5395" s="115" t="s">
        <v>8462</v>
      </c>
    </row>
    <row r="5396" spans="1:5" x14ac:dyDescent="0.25">
      <c r="B5396" s="115" t="s">
        <v>1658</v>
      </c>
      <c r="D5396" s="115" t="s">
        <v>1140</v>
      </c>
      <c r="E5396" s="115" t="s">
        <v>1141</v>
      </c>
    </row>
    <row r="5397" spans="1:5" x14ac:dyDescent="0.25">
      <c r="B5397" s="115" t="s">
        <v>1139</v>
      </c>
      <c r="D5397" s="115" t="s">
        <v>1140</v>
      </c>
      <c r="E5397" s="115" t="s">
        <v>8463</v>
      </c>
    </row>
    <row r="5398" spans="1:5" x14ac:dyDescent="0.25">
      <c r="B5398" s="115" t="s">
        <v>8464</v>
      </c>
      <c r="D5398" s="115" t="s">
        <v>8465</v>
      </c>
      <c r="E5398" s="115" t="s">
        <v>8466</v>
      </c>
    </row>
    <row r="5399" spans="1:5" x14ac:dyDescent="0.25">
      <c r="B5399" s="115" t="s">
        <v>1139</v>
      </c>
      <c r="D5399" s="115" t="s">
        <v>8467</v>
      </c>
      <c r="E5399" s="115" t="s">
        <v>8468</v>
      </c>
    </row>
    <row r="5400" spans="1:5" x14ac:dyDescent="0.2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2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2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25">
      <c r="B5403" s="115" t="s">
        <v>8477</v>
      </c>
      <c r="D5403" s="115" t="s">
        <v>8478</v>
      </c>
      <c r="E5403" s="115" t="s">
        <v>8479</v>
      </c>
    </row>
    <row r="5404" spans="1:5" x14ac:dyDescent="0.2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25">
      <c r="B5405" s="115" t="s">
        <v>8483</v>
      </c>
      <c r="D5405" s="115" t="s">
        <v>2302</v>
      </c>
      <c r="E5405" s="115" t="s">
        <v>8484</v>
      </c>
    </row>
    <row r="5406" spans="1:5" x14ac:dyDescent="0.25">
      <c r="B5406" s="115" t="s">
        <v>1139</v>
      </c>
      <c r="D5406" s="115" t="s">
        <v>8485</v>
      </c>
      <c r="E5406" s="115" t="s">
        <v>8486</v>
      </c>
    </row>
    <row r="5407" spans="1:5" x14ac:dyDescent="0.2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25">
      <c r="B5408" s="115" t="s">
        <v>1139</v>
      </c>
      <c r="D5408" s="115" t="s">
        <v>8490</v>
      </c>
      <c r="E5408" s="115" t="s">
        <v>8491</v>
      </c>
    </row>
    <row r="5409" spans="1:5" x14ac:dyDescent="0.25">
      <c r="B5409" s="115" t="s">
        <v>1139</v>
      </c>
      <c r="D5409" s="115" t="s">
        <v>1140</v>
      </c>
      <c r="E5409" s="115" t="s">
        <v>8492</v>
      </c>
    </row>
    <row r="5410" spans="1:5" x14ac:dyDescent="0.25">
      <c r="B5410" s="115" t="s">
        <v>1139</v>
      </c>
      <c r="D5410" s="115" t="s">
        <v>8493</v>
      </c>
      <c r="E5410" s="115" t="s">
        <v>8494</v>
      </c>
    </row>
    <row r="5411" spans="1:5" x14ac:dyDescent="0.25">
      <c r="B5411" s="115" t="s">
        <v>8495</v>
      </c>
      <c r="D5411" s="115" t="s">
        <v>8496</v>
      </c>
      <c r="E5411" s="115" t="s">
        <v>8497</v>
      </c>
    </row>
    <row r="5412" spans="1:5" x14ac:dyDescent="0.25">
      <c r="B5412" s="115" t="s">
        <v>1139</v>
      </c>
      <c r="D5412" s="115" t="s">
        <v>8498</v>
      </c>
      <c r="E5412" s="115" t="s">
        <v>8499</v>
      </c>
    </row>
    <row r="5413" spans="1:5" x14ac:dyDescent="0.25">
      <c r="B5413" s="115" t="s">
        <v>1649</v>
      </c>
      <c r="D5413" s="115" t="s">
        <v>8500</v>
      </c>
      <c r="E5413" s="115" t="s">
        <v>8501</v>
      </c>
    </row>
    <row r="5414" spans="1:5" x14ac:dyDescent="0.25">
      <c r="B5414" s="115" t="s">
        <v>1139</v>
      </c>
      <c r="D5414" s="115" t="s">
        <v>8502</v>
      </c>
      <c r="E5414" s="115" t="s">
        <v>8503</v>
      </c>
    </row>
    <row r="5415" spans="1:5" x14ac:dyDescent="0.25">
      <c r="B5415" s="115" t="s">
        <v>1139</v>
      </c>
      <c r="D5415" s="115" t="s">
        <v>8504</v>
      </c>
      <c r="E5415" s="115" t="s">
        <v>8505</v>
      </c>
    </row>
    <row r="5416" spans="1:5" x14ac:dyDescent="0.2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25">
      <c r="B5417" s="115" t="s">
        <v>2660</v>
      </c>
      <c r="D5417" s="115" t="s">
        <v>8509</v>
      </c>
      <c r="E5417" s="115" t="s">
        <v>8510</v>
      </c>
    </row>
    <row r="5418" spans="1:5" x14ac:dyDescent="0.25">
      <c r="B5418" s="115" t="s">
        <v>1139</v>
      </c>
      <c r="D5418" s="115" t="s">
        <v>8511</v>
      </c>
      <c r="E5418" s="115" t="s">
        <v>8512</v>
      </c>
    </row>
    <row r="5419" spans="1:5" x14ac:dyDescent="0.25">
      <c r="B5419" s="115" t="s">
        <v>1139</v>
      </c>
      <c r="D5419" s="115" t="s">
        <v>8513</v>
      </c>
      <c r="E5419" s="115" t="s">
        <v>8514</v>
      </c>
    </row>
    <row r="5420" spans="1:5" x14ac:dyDescent="0.25">
      <c r="B5420" s="115" t="s">
        <v>8515</v>
      </c>
      <c r="D5420" s="115" t="s">
        <v>8516</v>
      </c>
      <c r="E5420" s="115" t="s">
        <v>1894</v>
      </c>
    </row>
    <row r="5421" spans="1:5" x14ac:dyDescent="0.25">
      <c r="B5421" s="115" t="s">
        <v>1139</v>
      </c>
      <c r="D5421" s="115" t="s">
        <v>8517</v>
      </c>
      <c r="E5421" s="115" t="s">
        <v>8518</v>
      </c>
    </row>
    <row r="5422" spans="1:5" x14ac:dyDescent="0.25">
      <c r="B5422" s="115" t="s">
        <v>1139</v>
      </c>
      <c r="D5422" s="115" t="s">
        <v>8519</v>
      </c>
      <c r="E5422" s="115" t="s">
        <v>8520</v>
      </c>
    </row>
    <row r="5423" spans="1:5" x14ac:dyDescent="0.25">
      <c r="B5423" s="115" t="s">
        <v>1139</v>
      </c>
      <c r="D5423" s="115" t="s">
        <v>8521</v>
      </c>
      <c r="E5423" s="115" t="s">
        <v>8522</v>
      </c>
    </row>
    <row r="5424" spans="1:5" x14ac:dyDescent="0.25">
      <c r="B5424" s="115" t="s">
        <v>1139</v>
      </c>
      <c r="D5424" s="115" t="s">
        <v>8523</v>
      </c>
      <c r="E5424" s="115" t="s">
        <v>8524</v>
      </c>
    </row>
    <row r="5425" spans="1:5" x14ac:dyDescent="0.25">
      <c r="B5425" s="115" t="s">
        <v>8525</v>
      </c>
      <c r="D5425" s="115" t="s">
        <v>1140</v>
      </c>
      <c r="E5425" s="115" t="s">
        <v>8526</v>
      </c>
    </row>
    <row r="5426" spans="1:5" x14ac:dyDescent="0.2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2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25">
      <c r="B5428" s="115" t="s">
        <v>1139</v>
      </c>
      <c r="D5428" s="115" t="s">
        <v>1140</v>
      </c>
      <c r="E5428" s="115" t="s">
        <v>1141</v>
      </c>
    </row>
    <row r="5429" spans="1:5" x14ac:dyDescent="0.25">
      <c r="B5429" s="115" t="s">
        <v>1139</v>
      </c>
      <c r="D5429" s="115" t="s">
        <v>8531</v>
      </c>
      <c r="E5429" s="115" t="s">
        <v>8532</v>
      </c>
    </row>
    <row r="5430" spans="1:5" x14ac:dyDescent="0.25">
      <c r="B5430" s="115" t="s">
        <v>1555</v>
      </c>
      <c r="D5430" s="115" t="s">
        <v>8533</v>
      </c>
      <c r="E5430" s="115" t="s">
        <v>8534</v>
      </c>
    </row>
    <row r="5431" spans="1:5" x14ac:dyDescent="0.2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25">
      <c r="B5432" s="115" t="s">
        <v>8538</v>
      </c>
      <c r="D5432" s="115" t="s">
        <v>8539</v>
      </c>
      <c r="E5432" s="115" t="s">
        <v>8540</v>
      </c>
    </row>
    <row r="5433" spans="1:5" x14ac:dyDescent="0.25">
      <c r="B5433" s="115" t="s">
        <v>8541</v>
      </c>
      <c r="D5433" s="115" t="s">
        <v>8542</v>
      </c>
      <c r="E5433" s="115" t="s">
        <v>8543</v>
      </c>
    </row>
    <row r="5434" spans="1:5" x14ac:dyDescent="0.2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25">
      <c r="B5435" s="115" t="s">
        <v>8547</v>
      </c>
      <c r="D5435" s="115" t="s">
        <v>8548</v>
      </c>
      <c r="E5435" s="115" t="s">
        <v>8549</v>
      </c>
    </row>
    <row r="5436" spans="1:5" x14ac:dyDescent="0.2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25">
      <c r="B5437" s="115" t="s">
        <v>1139</v>
      </c>
      <c r="D5437" s="115" t="s">
        <v>8553</v>
      </c>
      <c r="E5437" s="115" t="s">
        <v>1141</v>
      </c>
    </row>
    <row r="5438" spans="1:5" x14ac:dyDescent="0.25">
      <c r="B5438" s="115" t="s">
        <v>1139</v>
      </c>
      <c r="D5438" s="115" t="s">
        <v>8554</v>
      </c>
      <c r="E5438" s="115" t="s">
        <v>8555</v>
      </c>
    </row>
    <row r="5439" spans="1:5" x14ac:dyDescent="0.2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25">
      <c r="B5440" s="115" t="s">
        <v>1381</v>
      </c>
      <c r="D5440" s="115" t="s">
        <v>1140</v>
      </c>
      <c r="E5440" s="115" t="s">
        <v>8558</v>
      </c>
    </row>
    <row r="5441" spans="1:5" x14ac:dyDescent="0.25">
      <c r="B5441" s="115" t="s">
        <v>1139</v>
      </c>
      <c r="D5441" s="115" t="s">
        <v>8559</v>
      </c>
      <c r="E5441" s="115" t="s">
        <v>8560</v>
      </c>
    </row>
    <row r="5442" spans="1:5" x14ac:dyDescent="0.2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25">
      <c r="B5443" s="115" t="s">
        <v>8562</v>
      </c>
      <c r="D5443" s="115" t="s">
        <v>8563</v>
      </c>
      <c r="E5443" s="115" t="s">
        <v>8564</v>
      </c>
    </row>
    <row r="5444" spans="1:5" x14ac:dyDescent="0.25">
      <c r="B5444" s="115" t="s">
        <v>8565</v>
      </c>
      <c r="D5444" s="115" t="s">
        <v>8566</v>
      </c>
      <c r="E5444" s="115" t="s">
        <v>8567</v>
      </c>
    </row>
    <row r="5445" spans="1:5" x14ac:dyDescent="0.2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25">
      <c r="B5446" s="115" t="s">
        <v>8571</v>
      </c>
      <c r="D5446" s="115" t="s">
        <v>8572</v>
      </c>
      <c r="E5446" s="115" t="s">
        <v>8573</v>
      </c>
    </row>
    <row r="5447" spans="1:5" x14ac:dyDescent="0.25">
      <c r="B5447" s="115" t="s">
        <v>8574</v>
      </c>
      <c r="D5447" s="115" t="s">
        <v>8575</v>
      </c>
      <c r="E5447" s="115" t="s">
        <v>8576</v>
      </c>
    </row>
    <row r="5448" spans="1:5" x14ac:dyDescent="0.25">
      <c r="B5448" s="115" t="s">
        <v>8577</v>
      </c>
      <c r="D5448" s="115" t="s">
        <v>8578</v>
      </c>
      <c r="E5448" s="115" t="s">
        <v>8579</v>
      </c>
    </row>
    <row r="5449" spans="1:5" x14ac:dyDescent="0.25">
      <c r="B5449" s="115" t="s">
        <v>1139</v>
      </c>
      <c r="D5449" s="115" t="s">
        <v>8580</v>
      </c>
      <c r="E5449" s="115" t="s">
        <v>8581</v>
      </c>
    </row>
    <row r="5450" spans="1:5" x14ac:dyDescent="0.25">
      <c r="B5450" s="115" t="s">
        <v>8582</v>
      </c>
      <c r="D5450" s="115" t="s">
        <v>8583</v>
      </c>
      <c r="E5450" s="115" t="s">
        <v>8584</v>
      </c>
    </row>
    <row r="5451" spans="1:5" x14ac:dyDescent="0.2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25">
      <c r="B5452" s="115" t="s">
        <v>8587</v>
      </c>
      <c r="D5452" s="115" t="s">
        <v>8588</v>
      </c>
      <c r="E5452" s="115" t="s">
        <v>1141</v>
      </c>
    </row>
    <row r="5453" spans="1:5" x14ac:dyDescent="0.25">
      <c r="B5453" s="115" t="s">
        <v>8589</v>
      </c>
      <c r="D5453" s="115" t="s">
        <v>8590</v>
      </c>
      <c r="E5453" s="115" t="s">
        <v>2537</v>
      </c>
    </row>
    <row r="5454" spans="1:5" x14ac:dyDescent="0.2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25">
      <c r="B5455" s="115" t="s">
        <v>8594</v>
      </c>
      <c r="D5455" s="115" t="s">
        <v>8595</v>
      </c>
      <c r="E5455" s="115" t="s">
        <v>8596</v>
      </c>
    </row>
    <row r="5456" spans="1:5" x14ac:dyDescent="0.25">
      <c r="B5456" s="115" t="s">
        <v>8597</v>
      </c>
      <c r="D5456" s="115" t="s">
        <v>8598</v>
      </c>
      <c r="E5456" s="115" t="s">
        <v>8599</v>
      </c>
    </row>
    <row r="5457" spans="1:5" x14ac:dyDescent="0.25">
      <c r="B5457" s="115" t="s">
        <v>1139</v>
      </c>
      <c r="D5457" s="115" t="s">
        <v>1140</v>
      </c>
      <c r="E5457" s="115" t="s">
        <v>8600</v>
      </c>
    </row>
    <row r="5458" spans="1:5" x14ac:dyDescent="0.25">
      <c r="B5458" s="115" t="s">
        <v>8601</v>
      </c>
      <c r="D5458" s="115" t="s">
        <v>8602</v>
      </c>
      <c r="E5458" s="115" t="s">
        <v>8603</v>
      </c>
    </row>
    <row r="5459" spans="1:5" x14ac:dyDescent="0.25">
      <c r="B5459" s="115" t="s">
        <v>1139</v>
      </c>
      <c r="D5459" s="115" t="s">
        <v>8604</v>
      </c>
      <c r="E5459" s="115" t="s">
        <v>1141</v>
      </c>
    </row>
    <row r="5460" spans="1:5" x14ac:dyDescent="0.25">
      <c r="B5460" s="115" t="s">
        <v>1139</v>
      </c>
      <c r="D5460" s="115" t="s">
        <v>1140</v>
      </c>
      <c r="E5460" s="115" t="s">
        <v>1141</v>
      </c>
    </row>
    <row r="5461" spans="1:5" x14ac:dyDescent="0.25">
      <c r="B5461" s="115" t="s">
        <v>8605</v>
      </c>
      <c r="D5461" s="115" t="s">
        <v>1140</v>
      </c>
      <c r="E5461" s="115" t="s">
        <v>8606</v>
      </c>
    </row>
    <row r="5462" spans="1:5" x14ac:dyDescent="0.2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2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25">
      <c r="B5464" s="115" t="s">
        <v>8613</v>
      </c>
      <c r="D5464" s="115" t="s">
        <v>8614</v>
      </c>
      <c r="E5464" s="115" t="s">
        <v>8615</v>
      </c>
    </row>
    <row r="5465" spans="1:5" x14ac:dyDescent="0.25">
      <c r="B5465" s="115" t="s">
        <v>8616</v>
      </c>
      <c r="D5465" s="115" t="s">
        <v>8617</v>
      </c>
      <c r="E5465" s="115" t="s">
        <v>8618</v>
      </c>
    </row>
    <row r="5466" spans="1:5" x14ac:dyDescent="0.25">
      <c r="B5466" s="115" t="s">
        <v>8619</v>
      </c>
      <c r="D5466" s="115" t="s">
        <v>8620</v>
      </c>
      <c r="E5466" s="115" t="s">
        <v>8621</v>
      </c>
    </row>
    <row r="5467" spans="1:5" x14ac:dyDescent="0.25">
      <c r="B5467" s="115" t="s">
        <v>8622</v>
      </c>
      <c r="D5467" s="115" t="s">
        <v>8623</v>
      </c>
      <c r="E5467" s="115" t="s">
        <v>8624</v>
      </c>
    </row>
    <row r="5468" spans="1:5" x14ac:dyDescent="0.2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25">
      <c r="B5469" s="115" t="s">
        <v>1139</v>
      </c>
      <c r="D5469" s="115" t="s">
        <v>8627</v>
      </c>
      <c r="E5469" s="115" t="s">
        <v>1141</v>
      </c>
    </row>
    <row r="5470" spans="1:5" x14ac:dyDescent="0.25">
      <c r="B5470" s="115" t="s">
        <v>1139</v>
      </c>
      <c r="D5470" s="115" t="s">
        <v>8628</v>
      </c>
      <c r="E5470" s="115" t="s">
        <v>8629</v>
      </c>
    </row>
    <row r="5471" spans="1:5" x14ac:dyDescent="0.2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25">
      <c r="B5472" s="115" t="s">
        <v>1139</v>
      </c>
      <c r="D5472" s="115" t="s">
        <v>2362</v>
      </c>
      <c r="E5472" s="115" t="s">
        <v>2082</v>
      </c>
    </row>
    <row r="5473" spans="1:5" x14ac:dyDescent="0.25">
      <c r="B5473" s="115" t="s">
        <v>1139</v>
      </c>
      <c r="D5473" s="115" t="s">
        <v>8632</v>
      </c>
      <c r="E5473" s="115" t="s">
        <v>8633</v>
      </c>
    </row>
    <row r="5474" spans="1:5" x14ac:dyDescent="0.25">
      <c r="B5474" s="115" t="s">
        <v>1207</v>
      </c>
      <c r="D5474" s="115" t="s">
        <v>8634</v>
      </c>
      <c r="E5474" s="115" t="s">
        <v>8635</v>
      </c>
    </row>
    <row r="5475" spans="1:5" x14ac:dyDescent="0.25">
      <c r="B5475" s="115" t="s">
        <v>8636</v>
      </c>
      <c r="D5475" s="115" t="s">
        <v>8637</v>
      </c>
      <c r="E5475" s="115" t="s">
        <v>1141</v>
      </c>
    </row>
    <row r="5476" spans="1:5" x14ac:dyDescent="0.25">
      <c r="B5476" s="115" t="s">
        <v>8638</v>
      </c>
      <c r="D5476" s="115" t="s">
        <v>8639</v>
      </c>
      <c r="E5476" s="115" t="s">
        <v>8640</v>
      </c>
    </row>
    <row r="5477" spans="1:5" x14ac:dyDescent="0.2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2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25">
      <c r="B5479" s="115" t="s">
        <v>8646</v>
      </c>
      <c r="D5479" s="115" t="s">
        <v>8647</v>
      </c>
      <c r="E5479" s="115" t="s">
        <v>8648</v>
      </c>
    </row>
    <row r="5480" spans="1:5" x14ac:dyDescent="0.2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25">
      <c r="B5481" s="115" t="s">
        <v>5194</v>
      </c>
      <c r="D5481" s="115" t="s">
        <v>8651</v>
      </c>
      <c r="E5481" s="115" t="s">
        <v>1859</v>
      </c>
    </row>
    <row r="5482" spans="1:5" x14ac:dyDescent="0.25">
      <c r="B5482" s="115" t="s">
        <v>8652</v>
      </c>
      <c r="D5482" s="115" t="s">
        <v>8653</v>
      </c>
      <c r="E5482" s="115" t="s">
        <v>8654</v>
      </c>
    </row>
    <row r="5483" spans="1:5" x14ac:dyDescent="0.2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2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2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2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2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2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25">
      <c r="B5489" s="115" t="s">
        <v>1139</v>
      </c>
      <c r="D5489" s="115" t="s">
        <v>1140</v>
      </c>
      <c r="E5489" s="115" t="s">
        <v>8670</v>
      </c>
    </row>
    <row r="5490" spans="1:5" x14ac:dyDescent="0.25">
      <c r="B5490" s="115" t="s">
        <v>8671</v>
      </c>
      <c r="D5490" s="115" t="s">
        <v>8672</v>
      </c>
      <c r="E5490" s="115" t="s">
        <v>8673</v>
      </c>
    </row>
    <row r="5491" spans="1:5" x14ac:dyDescent="0.25">
      <c r="B5491" s="115" t="s">
        <v>1139</v>
      </c>
      <c r="D5491" s="115" t="s">
        <v>8674</v>
      </c>
      <c r="E5491" s="115" t="s">
        <v>1141</v>
      </c>
    </row>
    <row r="5492" spans="1:5" x14ac:dyDescent="0.25">
      <c r="B5492" s="115" t="s">
        <v>1139</v>
      </c>
      <c r="D5492" s="115" t="s">
        <v>1140</v>
      </c>
      <c r="E5492" s="115" t="s">
        <v>1141</v>
      </c>
    </row>
    <row r="5493" spans="1:5" x14ac:dyDescent="0.2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2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2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2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2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2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2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2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25">
      <c r="B5501" s="115" t="s">
        <v>1139</v>
      </c>
      <c r="D5501" s="115" t="s">
        <v>8698</v>
      </c>
      <c r="E5501" s="115" t="s">
        <v>1141</v>
      </c>
    </row>
    <row r="5502" spans="1:5" x14ac:dyDescent="0.25">
      <c r="B5502" s="115" t="s">
        <v>1139</v>
      </c>
      <c r="D5502" s="115" t="s">
        <v>8699</v>
      </c>
      <c r="E5502" s="115" t="s">
        <v>8700</v>
      </c>
    </row>
    <row r="5503" spans="1:5" x14ac:dyDescent="0.25">
      <c r="B5503" s="115" t="s">
        <v>8701</v>
      </c>
      <c r="D5503" s="115" t="s">
        <v>5508</v>
      </c>
      <c r="E5503" s="115" t="s">
        <v>8702</v>
      </c>
    </row>
    <row r="5504" spans="1:5" x14ac:dyDescent="0.25">
      <c r="B5504" s="115" t="s">
        <v>1139</v>
      </c>
      <c r="D5504" s="115" t="s">
        <v>2058</v>
      </c>
      <c r="E5504" s="115" t="s">
        <v>2082</v>
      </c>
    </row>
    <row r="5505" spans="1:5" x14ac:dyDescent="0.25">
      <c r="B5505" s="115" t="s">
        <v>1139</v>
      </c>
      <c r="D5505" s="115" t="s">
        <v>8703</v>
      </c>
      <c r="E5505" s="115" t="s">
        <v>8704</v>
      </c>
    </row>
    <row r="5506" spans="1:5" x14ac:dyDescent="0.25">
      <c r="B5506" s="115" t="s">
        <v>8705</v>
      </c>
      <c r="D5506" s="115" t="s">
        <v>8706</v>
      </c>
      <c r="E5506" s="115" t="s">
        <v>8707</v>
      </c>
    </row>
    <row r="5507" spans="1:5" x14ac:dyDescent="0.25">
      <c r="B5507" s="115" t="s">
        <v>8708</v>
      </c>
      <c r="D5507" s="115" t="s">
        <v>8709</v>
      </c>
      <c r="E5507" s="115" t="s">
        <v>1702</v>
      </c>
    </row>
    <row r="5508" spans="1:5" x14ac:dyDescent="0.25">
      <c r="B5508" s="115" t="s">
        <v>8710</v>
      </c>
      <c r="D5508" s="115" t="s">
        <v>8711</v>
      </c>
      <c r="E5508" s="115" t="s">
        <v>8712</v>
      </c>
    </row>
    <row r="5509" spans="1:5" x14ac:dyDescent="0.2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2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25">
      <c r="B5511" s="115" t="s">
        <v>8717</v>
      </c>
      <c r="D5511" s="115" t="s">
        <v>8718</v>
      </c>
      <c r="E5511" s="115" t="s">
        <v>8719</v>
      </c>
    </row>
    <row r="5512" spans="1:5" x14ac:dyDescent="0.2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25">
      <c r="B5513" s="115" t="s">
        <v>8722</v>
      </c>
      <c r="D5513" s="115" t="s">
        <v>8723</v>
      </c>
      <c r="E5513" s="115" t="s">
        <v>1819</v>
      </c>
    </row>
    <row r="5514" spans="1:5" x14ac:dyDescent="0.25">
      <c r="B5514" s="115" t="s">
        <v>8724</v>
      </c>
      <c r="D5514" s="115" t="s">
        <v>8725</v>
      </c>
      <c r="E5514" s="115" t="s">
        <v>8726</v>
      </c>
    </row>
    <row r="5515" spans="1:5" x14ac:dyDescent="0.2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2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2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2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2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2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25">
      <c r="B5521" s="115" t="s">
        <v>1139</v>
      </c>
      <c r="D5521" s="115" t="s">
        <v>1140</v>
      </c>
      <c r="E5521" s="115" t="s">
        <v>8740</v>
      </c>
    </row>
    <row r="5522" spans="1:5" x14ac:dyDescent="0.25">
      <c r="B5522" s="115" t="s">
        <v>8741</v>
      </c>
      <c r="D5522" s="115" t="s">
        <v>1146</v>
      </c>
      <c r="E5522" s="115" t="s">
        <v>8742</v>
      </c>
    </row>
    <row r="5523" spans="1:5" x14ac:dyDescent="0.25">
      <c r="B5523" s="115" t="s">
        <v>1139</v>
      </c>
      <c r="D5523" s="115" t="s">
        <v>8743</v>
      </c>
      <c r="E5523" s="115" t="s">
        <v>1141</v>
      </c>
    </row>
    <row r="5524" spans="1:5" x14ac:dyDescent="0.25">
      <c r="B5524" s="115" t="s">
        <v>1139</v>
      </c>
      <c r="D5524" s="115" t="s">
        <v>1140</v>
      </c>
      <c r="E5524" s="115" t="s">
        <v>1141</v>
      </c>
    </row>
    <row r="5525" spans="1:5" x14ac:dyDescent="0.2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2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2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2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2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2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2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2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25">
      <c r="B5533" s="115" t="s">
        <v>1139</v>
      </c>
      <c r="D5533" s="115" t="s">
        <v>8766</v>
      </c>
      <c r="E5533" s="115" t="s">
        <v>1141</v>
      </c>
    </row>
    <row r="5534" spans="1:5" x14ac:dyDescent="0.25">
      <c r="B5534" s="115" t="s">
        <v>1139</v>
      </c>
      <c r="D5534" s="115" t="s">
        <v>8767</v>
      </c>
      <c r="E5534" s="115" t="s">
        <v>8768</v>
      </c>
    </row>
    <row r="5535" spans="1:5" x14ac:dyDescent="0.25">
      <c r="B5535" s="115" t="s">
        <v>8769</v>
      </c>
      <c r="D5535" s="115" t="s">
        <v>8770</v>
      </c>
      <c r="E5535" s="115" t="s">
        <v>8771</v>
      </c>
    </row>
    <row r="5536" spans="1:5" x14ac:dyDescent="0.2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25">
      <c r="B5537" s="115" t="s">
        <v>1139</v>
      </c>
      <c r="D5537" s="115" t="s">
        <v>8773</v>
      </c>
      <c r="E5537" s="115" t="s">
        <v>8774</v>
      </c>
    </row>
    <row r="5538" spans="1:5" x14ac:dyDescent="0.2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2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25">
      <c r="B5540" s="115" t="s">
        <v>1624</v>
      </c>
      <c r="D5540" s="115" t="s">
        <v>8778</v>
      </c>
      <c r="E5540" s="115" t="s">
        <v>8779</v>
      </c>
    </row>
    <row r="5541" spans="1:5" x14ac:dyDescent="0.2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25">
      <c r="B5542" s="115">
        <f>-33   -328</f>
        <v>-361</v>
      </c>
      <c r="D5542" s="115" t="s">
        <v>8783</v>
      </c>
      <c r="E5542" s="115" t="s">
        <v>8784</v>
      </c>
    </row>
    <row r="5543" spans="1:5" x14ac:dyDescent="0.25">
      <c r="B5543" s="115" t="s">
        <v>8785</v>
      </c>
      <c r="D5543" s="115" t="s">
        <v>8786</v>
      </c>
      <c r="E5543" s="115" t="s">
        <v>8787</v>
      </c>
    </row>
    <row r="5544" spans="1:5" x14ac:dyDescent="0.25">
      <c r="B5544" s="115" t="s">
        <v>8788</v>
      </c>
      <c r="D5544" s="115" t="s">
        <v>8789</v>
      </c>
      <c r="E5544" s="115" t="s">
        <v>8790</v>
      </c>
    </row>
    <row r="5545" spans="1:5" x14ac:dyDescent="0.25">
      <c r="B5545" s="115" t="s">
        <v>1139</v>
      </c>
      <c r="D5545" s="115" t="s">
        <v>8791</v>
      </c>
      <c r="E5545" s="115" t="s">
        <v>8792</v>
      </c>
    </row>
    <row r="5546" spans="1:5" x14ac:dyDescent="0.25">
      <c r="B5546" s="115" t="s">
        <v>8793</v>
      </c>
      <c r="D5546" s="115" t="s">
        <v>8794</v>
      </c>
      <c r="E5546" s="115" t="s">
        <v>8795</v>
      </c>
    </row>
    <row r="5547" spans="1:5" x14ac:dyDescent="0.2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25">
      <c r="B5548" s="115" t="s">
        <v>8798</v>
      </c>
      <c r="D5548" s="115" t="s">
        <v>8799</v>
      </c>
      <c r="E5548" s="115" t="s">
        <v>1141</v>
      </c>
    </row>
    <row r="5549" spans="1:5" x14ac:dyDescent="0.25">
      <c r="B5549" s="115" t="s">
        <v>8800</v>
      </c>
      <c r="D5549" s="115" t="s">
        <v>8801</v>
      </c>
      <c r="E5549" s="115" t="s">
        <v>1141</v>
      </c>
    </row>
    <row r="5550" spans="1:5" x14ac:dyDescent="0.2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25">
      <c r="B5551" s="115" t="s">
        <v>8805</v>
      </c>
      <c r="D5551" s="115" t="s">
        <v>8806</v>
      </c>
      <c r="E5551" s="115" t="s">
        <v>8807</v>
      </c>
    </row>
    <row r="5552" spans="1:5" x14ac:dyDescent="0.25">
      <c r="B5552" s="115" t="s">
        <v>8808</v>
      </c>
      <c r="D5552" s="115" t="s">
        <v>8809</v>
      </c>
      <c r="E5552" s="115" t="s">
        <v>8810</v>
      </c>
    </row>
    <row r="5553" spans="1:5" x14ac:dyDescent="0.25">
      <c r="B5553" s="115" t="s">
        <v>1139</v>
      </c>
      <c r="D5553" s="115" t="s">
        <v>1140</v>
      </c>
      <c r="E5553" s="115" t="s">
        <v>8811</v>
      </c>
    </row>
    <row r="5554" spans="1:5" x14ac:dyDescent="0.2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25">
      <c r="B5555" s="115" t="s">
        <v>1139</v>
      </c>
      <c r="D5555" s="115" t="s">
        <v>8815</v>
      </c>
      <c r="E5555" s="115" t="s">
        <v>2082</v>
      </c>
    </row>
    <row r="5556" spans="1:5" x14ac:dyDescent="0.25">
      <c r="B5556" s="115" t="s">
        <v>1139</v>
      </c>
      <c r="D5556" s="115" t="s">
        <v>1140</v>
      </c>
      <c r="E5556" s="115" t="s">
        <v>1141</v>
      </c>
    </row>
    <row r="5557" spans="1:5" x14ac:dyDescent="0.25">
      <c r="B5557" s="115" t="s">
        <v>3112</v>
      </c>
      <c r="D5557" s="115" t="s">
        <v>1140</v>
      </c>
      <c r="E5557" s="115" t="s">
        <v>8816</v>
      </c>
    </row>
    <row r="5558" spans="1:5" x14ac:dyDescent="0.2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2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2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2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2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25">
      <c r="B5563" s="115" t="s">
        <v>8832</v>
      </c>
      <c r="D5563" s="115" t="s">
        <v>8833</v>
      </c>
      <c r="E5563" s="115" t="s">
        <v>8834</v>
      </c>
    </row>
    <row r="5564" spans="1:5" x14ac:dyDescent="0.2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25">
      <c r="B5565" s="115" t="s">
        <v>1248</v>
      </c>
      <c r="D5565" s="115" t="s">
        <v>6816</v>
      </c>
      <c r="E5565" s="115" t="s">
        <v>8838</v>
      </c>
    </row>
    <row r="5566" spans="1:5" x14ac:dyDescent="0.25">
      <c r="B5566" s="115" t="s">
        <v>1139</v>
      </c>
      <c r="D5566" s="115" t="s">
        <v>2625</v>
      </c>
      <c r="E5566" s="115" t="s">
        <v>8839</v>
      </c>
    </row>
    <row r="5567" spans="1:5" x14ac:dyDescent="0.2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25">
      <c r="B5568" s="115" t="s">
        <v>1139</v>
      </c>
      <c r="D5568" s="115" t="s">
        <v>6619</v>
      </c>
      <c r="E5568" s="115" t="s">
        <v>1856</v>
      </c>
    </row>
    <row r="5569" spans="1:5" x14ac:dyDescent="0.25">
      <c r="B5569" s="115" t="s">
        <v>1139</v>
      </c>
      <c r="D5569" s="115" t="s">
        <v>1140</v>
      </c>
      <c r="E5569" s="115" t="s">
        <v>8842</v>
      </c>
    </row>
    <row r="5570" spans="1:5" x14ac:dyDescent="0.25">
      <c r="B5570" s="115" t="s">
        <v>1139</v>
      </c>
      <c r="D5570" s="115" t="s">
        <v>8843</v>
      </c>
      <c r="E5570" s="115" t="s">
        <v>8844</v>
      </c>
    </row>
    <row r="5571" spans="1:5" x14ac:dyDescent="0.2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25">
      <c r="B5572" s="115" t="s">
        <v>1139</v>
      </c>
      <c r="D5572" s="115" t="s">
        <v>8848</v>
      </c>
      <c r="E5572" s="115" t="s">
        <v>8849</v>
      </c>
    </row>
    <row r="5573" spans="1:5" x14ac:dyDescent="0.25">
      <c r="B5573" s="115" t="s">
        <v>8850</v>
      </c>
      <c r="D5573" s="115" t="s">
        <v>8851</v>
      </c>
      <c r="E5573" s="115" t="s">
        <v>8852</v>
      </c>
    </row>
    <row r="5574" spans="1:5" x14ac:dyDescent="0.2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25">
      <c r="B5575" s="115" t="s">
        <v>1139</v>
      </c>
      <c r="D5575" s="115" t="s">
        <v>8855</v>
      </c>
      <c r="E5575" s="115" t="s">
        <v>8856</v>
      </c>
    </row>
    <row r="5576" spans="1:5" x14ac:dyDescent="0.25">
      <c r="B5576" s="115" t="s">
        <v>8857</v>
      </c>
      <c r="D5576" s="115" t="s">
        <v>8858</v>
      </c>
      <c r="E5576" s="115" t="s">
        <v>8859</v>
      </c>
    </row>
    <row r="5577" spans="1:5" x14ac:dyDescent="0.25">
      <c r="B5577" s="115" t="s">
        <v>3491</v>
      </c>
      <c r="D5577" s="115" t="s">
        <v>8860</v>
      </c>
      <c r="E5577" s="115" t="s">
        <v>8861</v>
      </c>
    </row>
    <row r="5578" spans="1:5" x14ac:dyDescent="0.25">
      <c r="B5578" s="115" t="s">
        <v>1139</v>
      </c>
      <c r="D5578" s="115" t="s">
        <v>8862</v>
      </c>
      <c r="E5578" s="115" t="s">
        <v>8863</v>
      </c>
    </row>
    <row r="5579" spans="1:5" x14ac:dyDescent="0.25">
      <c r="B5579" s="115" t="s">
        <v>1139</v>
      </c>
      <c r="D5579" s="115" t="s">
        <v>8864</v>
      </c>
      <c r="E5579" s="115" t="s">
        <v>8865</v>
      </c>
    </row>
    <row r="5580" spans="1:5" x14ac:dyDescent="0.25">
      <c r="B5580" s="115" t="s">
        <v>5559</v>
      </c>
      <c r="D5580" s="115" t="s">
        <v>8866</v>
      </c>
      <c r="E5580" s="115" t="s">
        <v>2537</v>
      </c>
    </row>
    <row r="5581" spans="1:5" x14ac:dyDescent="0.25">
      <c r="B5581" s="115" t="s">
        <v>1139</v>
      </c>
      <c r="D5581" s="115" t="s">
        <v>8867</v>
      </c>
      <c r="E5581" s="115" t="s">
        <v>8868</v>
      </c>
    </row>
    <row r="5582" spans="1:5" x14ac:dyDescent="0.25">
      <c r="B5582" s="115" t="s">
        <v>1139</v>
      </c>
      <c r="D5582" s="115" t="s">
        <v>8869</v>
      </c>
      <c r="E5582" s="115" t="s">
        <v>8870</v>
      </c>
    </row>
    <row r="5583" spans="1:5" x14ac:dyDescent="0.25">
      <c r="B5583" s="115" t="s">
        <v>1139</v>
      </c>
      <c r="D5583" s="115" t="s">
        <v>8871</v>
      </c>
      <c r="E5583" s="115" t="s">
        <v>8872</v>
      </c>
    </row>
    <row r="5584" spans="1:5" x14ac:dyDescent="0.25">
      <c r="B5584" s="115" t="s">
        <v>1139</v>
      </c>
      <c r="D5584" s="115" t="s">
        <v>8873</v>
      </c>
      <c r="E5584" s="115" t="s">
        <v>8874</v>
      </c>
    </row>
    <row r="5585" spans="1:5" x14ac:dyDescent="0.2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25">
      <c r="B5586" s="115" t="s">
        <v>8877</v>
      </c>
      <c r="D5586" s="115" t="s">
        <v>8878</v>
      </c>
      <c r="E5586" s="115" t="s">
        <v>8879</v>
      </c>
    </row>
    <row r="5587" spans="1:5" x14ac:dyDescent="0.25">
      <c r="B5587" s="115" t="s">
        <v>1259</v>
      </c>
      <c r="D5587" s="115" t="s">
        <v>1140</v>
      </c>
      <c r="E5587" s="115" t="s">
        <v>8880</v>
      </c>
    </row>
    <row r="5588" spans="1:5" x14ac:dyDescent="0.25">
      <c r="B5588" s="115" t="s">
        <v>1139</v>
      </c>
      <c r="D5588" s="115" t="s">
        <v>1140</v>
      </c>
      <c r="E5588" s="115" t="s">
        <v>1141</v>
      </c>
    </row>
    <row r="5589" spans="1:5" x14ac:dyDescent="0.25">
      <c r="B5589" s="115" t="s">
        <v>1139</v>
      </c>
      <c r="D5589" s="115" t="s">
        <v>8881</v>
      </c>
      <c r="E5589" s="115" t="s">
        <v>8882</v>
      </c>
    </row>
    <row r="5590" spans="1:5" x14ac:dyDescent="0.2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2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2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25">
      <c r="B5593" s="115" t="s">
        <v>8892</v>
      </c>
      <c r="D5593" s="115" t="s">
        <v>8893</v>
      </c>
      <c r="E5593" s="115" t="s">
        <v>8894</v>
      </c>
    </row>
    <row r="5594" spans="1:5" x14ac:dyDescent="0.2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25">
      <c r="B5595" s="115" t="s">
        <v>8897</v>
      </c>
      <c r="D5595" s="115" t="s">
        <v>8898</v>
      </c>
      <c r="E5595" s="115" t="s">
        <v>8899</v>
      </c>
    </row>
    <row r="5596" spans="1:5" x14ac:dyDescent="0.2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25">
      <c r="B5597" s="115" t="s">
        <v>1139</v>
      </c>
      <c r="D5597" s="115" t="s">
        <v>8903</v>
      </c>
      <c r="E5597" s="115" t="s">
        <v>8904</v>
      </c>
    </row>
    <row r="5598" spans="1:5" x14ac:dyDescent="0.25">
      <c r="B5598" s="115" t="s">
        <v>1139</v>
      </c>
      <c r="D5598" s="115" t="s">
        <v>1140</v>
      </c>
      <c r="E5598" s="115" t="s">
        <v>8905</v>
      </c>
    </row>
    <row r="5599" spans="1:5" x14ac:dyDescent="0.25">
      <c r="B5599" s="115" t="s">
        <v>1139</v>
      </c>
      <c r="D5599" s="115" t="s">
        <v>8906</v>
      </c>
      <c r="E5599" s="115" t="s">
        <v>8907</v>
      </c>
    </row>
    <row r="5600" spans="1:5" x14ac:dyDescent="0.25">
      <c r="B5600" s="115" t="s">
        <v>1547</v>
      </c>
      <c r="D5600" s="115" t="s">
        <v>4124</v>
      </c>
      <c r="E5600" s="115" t="s">
        <v>1819</v>
      </c>
    </row>
    <row r="5601" spans="1:5" x14ac:dyDescent="0.25">
      <c r="B5601" s="115" t="s">
        <v>1873</v>
      </c>
      <c r="D5601" s="115" t="s">
        <v>1140</v>
      </c>
      <c r="E5601" s="115" t="s">
        <v>8908</v>
      </c>
    </row>
    <row r="5602" spans="1:5" x14ac:dyDescent="0.2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2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2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2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25">
      <c r="B5606" s="115">
        <f>-10   -774</f>
        <v>-784</v>
      </c>
      <c r="D5606" s="115" t="s">
        <v>8917</v>
      </c>
      <c r="E5606" s="115" t="s">
        <v>8918</v>
      </c>
    </row>
    <row r="5607" spans="1:5" x14ac:dyDescent="0.2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2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25">
      <c r="B5609" s="115" t="s">
        <v>8924</v>
      </c>
      <c r="D5609" s="115" t="s">
        <v>8925</v>
      </c>
      <c r="E5609" s="115" t="s">
        <v>8926</v>
      </c>
    </row>
    <row r="5610" spans="1:5" x14ac:dyDescent="0.2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2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25">
      <c r="B5612" s="115" t="s">
        <v>8931</v>
      </c>
      <c r="D5612" s="115" t="s">
        <v>8932</v>
      </c>
      <c r="E5612" s="115" t="s">
        <v>8933</v>
      </c>
    </row>
    <row r="5613" spans="1:5" x14ac:dyDescent="0.25">
      <c r="B5613" s="115" t="s">
        <v>1139</v>
      </c>
      <c r="D5613" s="115" t="s">
        <v>1140</v>
      </c>
      <c r="E5613" s="115" t="s">
        <v>8934</v>
      </c>
    </row>
    <row r="5614" spans="1:5" x14ac:dyDescent="0.2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25">
      <c r="B5615" s="115" t="s">
        <v>8936</v>
      </c>
      <c r="D5615" s="115" t="s">
        <v>8937</v>
      </c>
      <c r="E5615" s="115" t="s">
        <v>8938</v>
      </c>
    </row>
    <row r="5616" spans="1:5" x14ac:dyDescent="0.25">
      <c r="B5616" s="115" t="s">
        <v>8939</v>
      </c>
      <c r="D5616" s="115" t="s">
        <v>1140</v>
      </c>
      <c r="E5616" s="115" t="s">
        <v>8940</v>
      </c>
    </row>
    <row r="5617" spans="1:5" x14ac:dyDescent="0.25">
      <c r="B5617" s="115" t="s">
        <v>8941</v>
      </c>
      <c r="D5617" s="115" t="s">
        <v>8942</v>
      </c>
      <c r="E5617" s="115" t="s">
        <v>1141</v>
      </c>
    </row>
    <row r="5618" spans="1:5" x14ac:dyDescent="0.2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25">
      <c r="B5619" s="115" t="s">
        <v>1251</v>
      </c>
      <c r="D5619" s="115" t="s">
        <v>8945</v>
      </c>
      <c r="E5619" s="115" t="s">
        <v>8946</v>
      </c>
    </row>
    <row r="5620" spans="1:5" x14ac:dyDescent="0.2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25">
      <c r="B5621" s="115" t="s">
        <v>1139</v>
      </c>
      <c r="D5621" s="115" t="s">
        <v>1140</v>
      </c>
      <c r="E5621" s="115" t="s">
        <v>8947</v>
      </c>
    </row>
    <row r="5622" spans="1:5" x14ac:dyDescent="0.25">
      <c r="B5622" s="115" t="s">
        <v>1314</v>
      </c>
      <c r="D5622" s="115" t="s">
        <v>8948</v>
      </c>
      <c r="E5622" s="115" t="s">
        <v>8949</v>
      </c>
    </row>
    <row r="5623" spans="1:5" x14ac:dyDescent="0.25">
      <c r="B5623" s="115" t="s">
        <v>1139</v>
      </c>
      <c r="D5623" s="115" t="s">
        <v>8950</v>
      </c>
      <c r="E5623" s="115" t="s">
        <v>8951</v>
      </c>
    </row>
    <row r="5624" spans="1:5" x14ac:dyDescent="0.2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2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2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25">
      <c r="B5627" s="115" t="s">
        <v>8960</v>
      </c>
      <c r="D5627" s="115" t="s">
        <v>8961</v>
      </c>
      <c r="E5627" s="115" t="s">
        <v>8962</v>
      </c>
    </row>
    <row r="5628" spans="1:5" x14ac:dyDescent="0.2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25">
      <c r="B5629" s="115" t="s">
        <v>8966</v>
      </c>
      <c r="D5629" s="115" t="s">
        <v>8967</v>
      </c>
      <c r="E5629" s="115" t="s">
        <v>8968</v>
      </c>
    </row>
    <row r="5630" spans="1:5" x14ac:dyDescent="0.25">
      <c r="B5630" s="115" t="s">
        <v>1139</v>
      </c>
      <c r="D5630" s="115" t="s">
        <v>8969</v>
      </c>
      <c r="E5630" s="115" t="s">
        <v>1141</v>
      </c>
    </row>
    <row r="5631" spans="1:5" x14ac:dyDescent="0.25">
      <c r="B5631" s="115" t="s">
        <v>1139</v>
      </c>
      <c r="D5631" s="115" t="s">
        <v>8970</v>
      </c>
      <c r="E5631" s="115" t="s">
        <v>8971</v>
      </c>
    </row>
    <row r="5632" spans="1:5" x14ac:dyDescent="0.25">
      <c r="B5632" s="115" t="s">
        <v>8972</v>
      </c>
      <c r="D5632" s="115" t="s">
        <v>2893</v>
      </c>
      <c r="E5632" s="115" t="s">
        <v>8973</v>
      </c>
    </row>
    <row r="5633" spans="1:5" x14ac:dyDescent="0.25">
      <c r="B5633" s="115" t="s">
        <v>1139</v>
      </c>
      <c r="D5633" s="115" t="s">
        <v>2777</v>
      </c>
      <c r="E5633" s="115" t="s">
        <v>1141</v>
      </c>
    </row>
    <row r="5634" spans="1:5" x14ac:dyDescent="0.25">
      <c r="B5634" s="115" t="s">
        <v>1139</v>
      </c>
      <c r="D5634" s="115" t="s">
        <v>8974</v>
      </c>
      <c r="E5634" s="115" t="s">
        <v>5266</v>
      </c>
    </row>
    <row r="5635" spans="1:5" x14ac:dyDescent="0.25">
      <c r="B5635" s="115" t="s">
        <v>1420</v>
      </c>
      <c r="D5635" s="115" t="s">
        <v>8975</v>
      </c>
      <c r="E5635" s="115" t="s">
        <v>8976</v>
      </c>
    </row>
    <row r="5636" spans="1:5" x14ac:dyDescent="0.2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2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2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25">
      <c r="B5639" s="115" t="s">
        <v>5003</v>
      </c>
      <c r="D5639" s="115" t="s">
        <v>8984</v>
      </c>
      <c r="E5639" s="115" t="s">
        <v>1759</v>
      </c>
    </row>
    <row r="5640" spans="1:5" x14ac:dyDescent="0.25">
      <c r="B5640" s="115" t="s">
        <v>8985</v>
      </c>
      <c r="D5640" s="115" t="s">
        <v>8986</v>
      </c>
      <c r="E5640" s="115" t="s">
        <v>8987</v>
      </c>
    </row>
    <row r="5641" spans="1:5" x14ac:dyDescent="0.2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25">
      <c r="B5642" s="115" t="s">
        <v>8990</v>
      </c>
      <c r="D5642" s="115" t="s">
        <v>8991</v>
      </c>
      <c r="E5642" s="115" t="s">
        <v>1894</v>
      </c>
    </row>
    <row r="5643" spans="1:5" x14ac:dyDescent="0.25">
      <c r="B5643" s="115" t="s">
        <v>8992</v>
      </c>
      <c r="D5643" s="115" t="s">
        <v>8993</v>
      </c>
      <c r="E5643" s="115" t="s">
        <v>8994</v>
      </c>
    </row>
    <row r="5644" spans="1:5" x14ac:dyDescent="0.2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2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2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2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2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2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25">
      <c r="B5650" s="115" t="s">
        <v>1139</v>
      </c>
      <c r="D5650" s="115" t="s">
        <v>1140</v>
      </c>
      <c r="E5650" s="115" t="s">
        <v>9010</v>
      </c>
    </row>
    <row r="5651" spans="1:5" x14ac:dyDescent="0.25">
      <c r="B5651" s="115" t="s">
        <v>9011</v>
      </c>
      <c r="D5651" s="115" t="s">
        <v>9012</v>
      </c>
      <c r="E5651" s="115" t="s">
        <v>9013</v>
      </c>
    </row>
    <row r="5652" spans="1:5" x14ac:dyDescent="0.25">
      <c r="B5652" s="115" t="s">
        <v>1139</v>
      </c>
      <c r="D5652" s="115" t="s">
        <v>9014</v>
      </c>
      <c r="E5652" s="115" t="s">
        <v>1141</v>
      </c>
    </row>
    <row r="5653" spans="1:5" x14ac:dyDescent="0.25">
      <c r="B5653" s="115" t="s">
        <v>1139</v>
      </c>
      <c r="D5653" s="115" t="s">
        <v>1140</v>
      </c>
      <c r="E5653" s="115" t="s">
        <v>1141</v>
      </c>
    </row>
    <row r="5654" spans="1:5" x14ac:dyDescent="0.2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2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2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2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25">
      <c r="B5658" s="115" t="s">
        <v>9025</v>
      </c>
      <c r="D5658" s="115" t="s">
        <v>9026</v>
      </c>
      <c r="E5658" s="115" t="s">
        <v>9027</v>
      </c>
    </row>
    <row r="5659" spans="1:5" x14ac:dyDescent="0.2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25">
      <c r="B5660" s="115" t="s">
        <v>9031</v>
      </c>
      <c r="D5660" s="115" t="s">
        <v>9032</v>
      </c>
      <c r="E5660" s="115" t="s">
        <v>9033</v>
      </c>
    </row>
    <row r="5661" spans="1:5" x14ac:dyDescent="0.2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25">
      <c r="B5662" s="115" t="s">
        <v>1210</v>
      </c>
      <c r="D5662" s="115" t="s">
        <v>9037</v>
      </c>
      <c r="E5662" s="115" t="s">
        <v>9038</v>
      </c>
    </row>
    <row r="5663" spans="1:5" x14ac:dyDescent="0.25">
      <c r="B5663" s="115" t="s">
        <v>1139</v>
      </c>
      <c r="D5663" s="115" t="s">
        <v>1140</v>
      </c>
      <c r="E5663" s="115" t="s">
        <v>9039</v>
      </c>
    </row>
    <row r="5664" spans="1:5" x14ac:dyDescent="0.2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25">
      <c r="B5665" s="115" t="s">
        <v>1587</v>
      </c>
      <c r="D5665" s="115" t="s">
        <v>9043</v>
      </c>
      <c r="E5665" s="115" t="s">
        <v>1141</v>
      </c>
    </row>
    <row r="5666" spans="1:5" x14ac:dyDescent="0.25">
      <c r="B5666" s="115" t="s">
        <v>5067</v>
      </c>
      <c r="D5666" s="115" t="s">
        <v>1140</v>
      </c>
      <c r="E5666" s="115" t="s">
        <v>9044</v>
      </c>
    </row>
    <row r="5667" spans="1:5" x14ac:dyDescent="0.25">
      <c r="B5667" s="115" t="s">
        <v>9045</v>
      </c>
      <c r="D5667" s="115" t="s">
        <v>1140</v>
      </c>
      <c r="E5667" s="115" t="s">
        <v>9046</v>
      </c>
    </row>
    <row r="5668" spans="1:5" x14ac:dyDescent="0.25">
      <c r="B5668" s="115" t="s">
        <v>1376</v>
      </c>
      <c r="D5668" s="115" t="s">
        <v>9047</v>
      </c>
      <c r="E5668" s="115" t="s">
        <v>9048</v>
      </c>
    </row>
    <row r="5669" spans="1:5" x14ac:dyDescent="0.25">
      <c r="B5669" s="115" t="s">
        <v>1239</v>
      </c>
      <c r="D5669" s="115" t="s">
        <v>9049</v>
      </c>
      <c r="E5669" s="115" t="s">
        <v>9050</v>
      </c>
    </row>
    <row r="5670" spans="1:5" x14ac:dyDescent="0.25">
      <c r="B5670" s="115" t="s">
        <v>9051</v>
      </c>
      <c r="D5670" s="115" t="s">
        <v>9052</v>
      </c>
      <c r="E5670" s="115" t="s">
        <v>9053</v>
      </c>
    </row>
    <row r="5671" spans="1:5" x14ac:dyDescent="0.2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2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25">
      <c r="B5673" s="126">
        <v>12419</v>
      </c>
      <c r="D5673" s="115" t="s">
        <v>9059</v>
      </c>
      <c r="E5673" s="115" t="s">
        <v>9060</v>
      </c>
    </row>
    <row r="5674" spans="1:5" x14ac:dyDescent="0.2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25">
      <c r="B5675" s="115" t="s">
        <v>1675</v>
      </c>
      <c r="D5675" s="115" t="s">
        <v>3275</v>
      </c>
      <c r="E5675" s="115" t="s">
        <v>9064</v>
      </c>
    </row>
    <row r="5676" spans="1:5" x14ac:dyDescent="0.25">
      <c r="B5676" s="115" t="s">
        <v>1489</v>
      </c>
      <c r="D5676" s="115" t="s">
        <v>9065</v>
      </c>
      <c r="E5676" s="115" t="s">
        <v>9066</v>
      </c>
    </row>
    <row r="5677" spans="1:5" x14ac:dyDescent="0.25">
      <c r="B5677" s="115" t="s">
        <v>1144</v>
      </c>
      <c r="D5677" s="115" t="s">
        <v>9067</v>
      </c>
      <c r="E5677" s="115" t="s">
        <v>9068</v>
      </c>
    </row>
    <row r="5678" spans="1:5" x14ac:dyDescent="0.25">
      <c r="B5678" s="115" t="s">
        <v>1139</v>
      </c>
      <c r="D5678" s="115" t="s">
        <v>9069</v>
      </c>
      <c r="E5678" s="115" t="s">
        <v>9070</v>
      </c>
    </row>
    <row r="5679" spans="1:5" x14ac:dyDescent="0.25">
      <c r="B5679" s="115" t="s">
        <v>1139</v>
      </c>
      <c r="D5679" s="115" t="s">
        <v>9071</v>
      </c>
      <c r="E5679" s="115" t="s">
        <v>9072</v>
      </c>
    </row>
    <row r="5680" spans="1:5" x14ac:dyDescent="0.2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2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2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25">
      <c r="B5683" s="115" t="s">
        <v>9080</v>
      </c>
      <c r="D5683" s="115" t="s">
        <v>9081</v>
      </c>
      <c r="E5683" s="115" t="s">
        <v>9082</v>
      </c>
    </row>
    <row r="5684" spans="1:5" x14ac:dyDescent="0.25">
      <c r="B5684" s="115" t="s">
        <v>7798</v>
      </c>
      <c r="D5684" s="115" t="s">
        <v>1525</v>
      </c>
      <c r="E5684" s="115" t="s">
        <v>9083</v>
      </c>
    </row>
    <row r="5685" spans="1:5" x14ac:dyDescent="0.25">
      <c r="B5685" s="115" t="s">
        <v>1139</v>
      </c>
      <c r="D5685" s="115" t="s">
        <v>1140</v>
      </c>
      <c r="E5685" s="115" t="s">
        <v>1141</v>
      </c>
    </row>
    <row r="5686" spans="1:5" x14ac:dyDescent="0.25">
      <c r="B5686" s="115" t="s">
        <v>1139</v>
      </c>
      <c r="D5686" s="115" t="s">
        <v>2682</v>
      </c>
      <c r="E5686" s="115" t="s">
        <v>2537</v>
      </c>
    </row>
    <row r="5687" spans="1:5" x14ac:dyDescent="0.25">
      <c r="B5687" s="115" t="s">
        <v>9084</v>
      </c>
      <c r="D5687" s="115" t="s">
        <v>9085</v>
      </c>
      <c r="E5687" s="115" t="s">
        <v>9086</v>
      </c>
    </row>
    <row r="5688" spans="1:5" x14ac:dyDescent="0.25">
      <c r="B5688" s="115" t="s">
        <v>4491</v>
      </c>
      <c r="D5688" s="115" t="s">
        <v>9087</v>
      </c>
      <c r="E5688" s="115" t="s">
        <v>9088</v>
      </c>
    </row>
    <row r="5689" spans="1:5" x14ac:dyDescent="0.2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2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2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2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2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2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25">
      <c r="B5695" s="115" t="s">
        <v>1139</v>
      </c>
      <c r="D5695" s="115" t="s">
        <v>9107</v>
      </c>
      <c r="E5695" s="115" t="s">
        <v>1141</v>
      </c>
    </row>
    <row r="5696" spans="1:5" x14ac:dyDescent="0.25">
      <c r="B5696" s="115" t="s">
        <v>1139</v>
      </c>
      <c r="D5696" s="115" t="s">
        <v>9108</v>
      </c>
      <c r="E5696" s="115" t="s">
        <v>9109</v>
      </c>
    </row>
    <row r="5697" spans="1:5" x14ac:dyDescent="0.25">
      <c r="B5697" s="115" t="s">
        <v>9110</v>
      </c>
      <c r="D5697" s="115" t="s">
        <v>9111</v>
      </c>
      <c r="E5697" s="115" t="s">
        <v>9112</v>
      </c>
    </row>
    <row r="5698" spans="1:5" x14ac:dyDescent="0.25">
      <c r="B5698" s="115" t="s">
        <v>1157</v>
      </c>
      <c r="D5698" s="115" t="s">
        <v>1140</v>
      </c>
      <c r="E5698" s="115" t="s">
        <v>9113</v>
      </c>
    </row>
    <row r="5699" spans="1:5" x14ac:dyDescent="0.25">
      <c r="B5699" s="115" t="s">
        <v>1139</v>
      </c>
      <c r="D5699" s="115" t="s">
        <v>9114</v>
      </c>
      <c r="E5699" s="115" t="s">
        <v>9115</v>
      </c>
    </row>
    <row r="5700" spans="1:5" x14ac:dyDescent="0.25">
      <c r="B5700" s="115" t="s">
        <v>1139</v>
      </c>
      <c r="D5700" s="115" t="s">
        <v>9116</v>
      </c>
      <c r="E5700" s="115" t="s">
        <v>9117</v>
      </c>
    </row>
    <row r="5701" spans="1:5" x14ac:dyDescent="0.25">
      <c r="B5701" s="115" t="s">
        <v>9118</v>
      </c>
      <c r="D5701" s="115" t="s">
        <v>9119</v>
      </c>
      <c r="E5701" s="115" t="s">
        <v>9120</v>
      </c>
    </row>
    <row r="5702" spans="1:5" x14ac:dyDescent="0.25">
      <c r="B5702" s="115" t="s">
        <v>9121</v>
      </c>
      <c r="D5702" s="115" t="s">
        <v>9122</v>
      </c>
      <c r="E5702" s="115" t="s">
        <v>9123</v>
      </c>
    </row>
    <row r="5703" spans="1:5" x14ac:dyDescent="0.2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2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25">
      <c r="B5705" s="115" t="s">
        <v>1916</v>
      </c>
      <c r="D5705" s="115" t="s">
        <v>9130</v>
      </c>
      <c r="E5705" s="115" t="s">
        <v>9131</v>
      </c>
    </row>
    <row r="5706" spans="1:5" x14ac:dyDescent="0.25">
      <c r="B5706" s="115" t="s">
        <v>9132</v>
      </c>
      <c r="D5706" s="115" t="s">
        <v>9133</v>
      </c>
      <c r="E5706" s="115" t="s">
        <v>9134</v>
      </c>
    </row>
    <row r="5707" spans="1:5" x14ac:dyDescent="0.25">
      <c r="B5707" s="115" t="s">
        <v>1139</v>
      </c>
      <c r="D5707" s="115" t="s">
        <v>9135</v>
      </c>
      <c r="E5707" s="115" t="s">
        <v>9136</v>
      </c>
    </row>
    <row r="5708" spans="1:5" x14ac:dyDescent="0.25">
      <c r="B5708" s="115" t="s">
        <v>9137</v>
      </c>
      <c r="D5708" s="115" t="s">
        <v>9138</v>
      </c>
      <c r="E5708" s="115" t="s">
        <v>9139</v>
      </c>
    </row>
    <row r="5709" spans="1:5" x14ac:dyDescent="0.2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25">
      <c r="B5710" s="115" t="s">
        <v>8189</v>
      </c>
      <c r="D5710" s="115" t="s">
        <v>9143</v>
      </c>
      <c r="E5710" s="115" t="s">
        <v>1141</v>
      </c>
    </row>
    <row r="5711" spans="1:5" x14ac:dyDescent="0.25">
      <c r="B5711" s="115" t="s">
        <v>9144</v>
      </c>
      <c r="D5711" s="115" t="s">
        <v>9145</v>
      </c>
      <c r="E5711" s="115" t="s">
        <v>2537</v>
      </c>
    </row>
    <row r="5712" spans="1:5" x14ac:dyDescent="0.2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25">
      <c r="B5713" s="115" t="s">
        <v>9149</v>
      </c>
      <c r="D5713" s="115" t="s">
        <v>9150</v>
      </c>
      <c r="E5713" s="115" t="s">
        <v>9151</v>
      </c>
    </row>
    <row r="5714" spans="1:5" x14ac:dyDescent="0.2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25">
      <c r="B5715" s="115" t="s">
        <v>1139</v>
      </c>
      <c r="D5715" s="115" t="s">
        <v>1140</v>
      </c>
      <c r="E5715" s="115" t="s">
        <v>9155</v>
      </c>
    </row>
    <row r="5716" spans="1:5" x14ac:dyDescent="0.2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25">
      <c r="B5717" s="115" t="s">
        <v>1139</v>
      </c>
      <c r="D5717" s="115" t="s">
        <v>9159</v>
      </c>
      <c r="E5717" s="115" t="s">
        <v>1819</v>
      </c>
    </row>
    <row r="5718" spans="1:5" x14ac:dyDescent="0.25">
      <c r="B5718" s="115" t="s">
        <v>1139</v>
      </c>
      <c r="D5718" s="115" t="s">
        <v>1140</v>
      </c>
      <c r="E5718" s="115" t="s">
        <v>1141</v>
      </c>
    </row>
    <row r="5719" spans="1:5" x14ac:dyDescent="0.25">
      <c r="B5719" s="115" t="s">
        <v>9160</v>
      </c>
      <c r="D5719" s="115" t="s">
        <v>1140</v>
      </c>
      <c r="E5719" s="115" t="s">
        <v>9161</v>
      </c>
    </row>
    <row r="5720" spans="1:5" x14ac:dyDescent="0.2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2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2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25">
      <c r="B5723" s="115" t="s">
        <v>9171</v>
      </c>
      <c r="D5723" s="115" t="s">
        <v>9172</v>
      </c>
      <c r="E5723" s="115" t="s">
        <v>9173</v>
      </c>
    </row>
    <row r="5724" spans="1:5" x14ac:dyDescent="0.2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25">
      <c r="B5725" s="115" t="s">
        <v>9177</v>
      </c>
      <c r="D5725" s="115" t="s">
        <v>9178</v>
      </c>
      <c r="E5725" s="115" t="s">
        <v>9179</v>
      </c>
    </row>
    <row r="5726" spans="1:5" x14ac:dyDescent="0.2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25">
      <c r="B5727" s="127">
        <v>41545</v>
      </c>
      <c r="D5727" s="115" t="s">
        <v>4858</v>
      </c>
      <c r="E5727" s="115" t="s">
        <v>9183</v>
      </c>
    </row>
    <row r="5728" spans="1:5" x14ac:dyDescent="0.25">
      <c r="B5728" s="115" t="s">
        <v>9184</v>
      </c>
      <c r="D5728" s="115" t="s">
        <v>1140</v>
      </c>
      <c r="E5728" s="115" t="s">
        <v>1141</v>
      </c>
    </row>
    <row r="5729" spans="1:5" x14ac:dyDescent="0.25">
      <c r="B5729" s="115" t="s">
        <v>9185</v>
      </c>
      <c r="D5729" s="115" t="s">
        <v>9186</v>
      </c>
      <c r="E5729" s="115" t="s">
        <v>9187</v>
      </c>
    </row>
    <row r="5730" spans="1:5" x14ac:dyDescent="0.25">
      <c r="B5730" s="115" t="s">
        <v>1139</v>
      </c>
      <c r="D5730" s="115" t="s">
        <v>9188</v>
      </c>
      <c r="E5730" s="115" t="s">
        <v>9189</v>
      </c>
    </row>
    <row r="5731" spans="1:5" x14ac:dyDescent="0.25">
      <c r="B5731" s="115" t="s">
        <v>1139</v>
      </c>
      <c r="D5731" s="115" t="s">
        <v>9190</v>
      </c>
      <c r="E5731" s="115" t="s">
        <v>1141</v>
      </c>
    </row>
    <row r="5732" spans="1:5" x14ac:dyDescent="0.2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25">
      <c r="B5733" s="115" t="s">
        <v>9193</v>
      </c>
      <c r="D5733" s="115" t="s">
        <v>9194</v>
      </c>
      <c r="E5733" s="115" t="s">
        <v>9195</v>
      </c>
    </row>
    <row r="5734" spans="1:5" x14ac:dyDescent="0.2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2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2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2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2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25">
      <c r="B5739" s="115" t="s">
        <v>1363</v>
      </c>
      <c r="D5739" s="115" t="s">
        <v>9210</v>
      </c>
      <c r="E5739" s="115" t="s">
        <v>9211</v>
      </c>
    </row>
    <row r="5740" spans="1:5" x14ac:dyDescent="0.25">
      <c r="B5740" s="115" t="s">
        <v>1173</v>
      </c>
      <c r="D5740" s="115" t="s">
        <v>9212</v>
      </c>
      <c r="E5740" s="115" t="s">
        <v>9213</v>
      </c>
    </row>
    <row r="5741" spans="1:5" x14ac:dyDescent="0.2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2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2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2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2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2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2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25">
      <c r="B5748" s="115" t="s">
        <v>1139</v>
      </c>
      <c r="D5748" s="115" t="s">
        <v>9232</v>
      </c>
      <c r="E5748" s="115" t="s">
        <v>9233</v>
      </c>
    </row>
    <row r="5749" spans="1:5" x14ac:dyDescent="0.25">
      <c r="B5749" s="115" t="s">
        <v>1139</v>
      </c>
      <c r="D5749" s="115" t="s">
        <v>9234</v>
      </c>
      <c r="E5749" s="115" t="s">
        <v>1894</v>
      </c>
    </row>
    <row r="5750" spans="1:5" x14ac:dyDescent="0.25">
      <c r="B5750" s="115" t="s">
        <v>9235</v>
      </c>
      <c r="D5750" s="115" t="s">
        <v>9236</v>
      </c>
      <c r="E5750" s="115" t="s">
        <v>1141</v>
      </c>
    </row>
    <row r="5751" spans="1:5" x14ac:dyDescent="0.25">
      <c r="B5751" s="115" t="s">
        <v>1139</v>
      </c>
      <c r="D5751" s="115" t="s">
        <v>1140</v>
      </c>
      <c r="E5751" s="115" t="s">
        <v>9237</v>
      </c>
    </row>
    <row r="5752" spans="1:5" x14ac:dyDescent="0.25">
      <c r="B5752" s="115" t="s">
        <v>1139</v>
      </c>
      <c r="D5752" s="115" t="s">
        <v>9238</v>
      </c>
      <c r="E5752" s="115" t="s">
        <v>9239</v>
      </c>
    </row>
    <row r="5753" spans="1:5" x14ac:dyDescent="0.2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25">
      <c r="B5754" s="115" t="s">
        <v>9243</v>
      </c>
      <c r="D5754" s="115" t="s">
        <v>9244</v>
      </c>
      <c r="E5754" s="115" t="s">
        <v>9245</v>
      </c>
    </row>
    <row r="5755" spans="1:5" x14ac:dyDescent="0.2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25">
      <c r="B5756" s="115" t="s">
        <v>9249</v>
      </c>
      <c r="D5756" s="115" t="s">
        <v>9250</v>
      </c>
      <c r="E5756" s="115" t="s">
        <v>9251</v>
      </c>
    </row>
    <row r="5757" spans="1:5" x14ac:dyDescent="0.2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2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2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25">
      <c r="B5760" s="115" t="s">
        <v>1139</v>
      </c>
      <c r="D5760" s="115" t="s">
        <v>9261</v>
      </c>
      <c r="E5760" s="115" t="s">
        <v>9262</v>
      </c>
    </row>
    <row r="5761" spans="1:5" x14ac:dyDescent="0.25">
      <c r="B5761" s="115" t="s">
        <v>1139</v>
      </c>
      <c r="D5761" s="115" t="s">
        <v>1140</v>
      </c>
      <c r="E5761" s="115" t="s">
        <v>9263</v>
      </c>
    </row>
    <row r="5762" spans="1:5" x14ac:dyDescent="0.25">
      <c r="B5762" s="115" t="s">
        <v>1139</v>
      </c>
      <c r="D5762" s="115" t="s">
        <v>9264</v>
      </c>
      <c r="E5762" s="115" t="s">
        <v>9265</v>
      </c>
    </row>
    <row r="5763" spans="1:5" x14ac:dyDescent="0.25">
      <c r="B5763" s="115" t="s">
        <v>9266</v>
      </c>
      <c r="D5763" s="115" t="s">
        <v>3122</v>
      </c>
      <c r="E5763" s="115" t="s">
        <v>1759</v>
      </c>
    </row>
    <row r="5764" spans="1:5" x14ac:dyDescent="0.25">
      <c r="B5764" s="115" t="s">
        <v>5007</v>
      </c>
      <c r="D5764" s="115" t="s">
        <v>1140</v>
      </c>
      <c r="E5764" s="115" t="s">
        <v>9267</v>
      </c>
    </row>
    <row r="5765" spans="1:5" x14ac:dyDescent="0.2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25">
      <c r="B5766" s="115" t="s">
        <v>1139</v>
      </c>
      <c r="D5766" s="115" t="s">
        <v>9269</v>
      </c>
      <c r="E5766" s="115" t="s">
        <v>9270</v>
      </c>
    </row>
    <row r="5767" spans="1:5" x14ac:dyDescent="0.25">
      <c r="B5767" s="115">
        <f>-6    -50</f>
        <v>-56</v>
      </c>
      <c r="D5767" s="115" t="s">
        <v>1140</v>
      </c>
      <c r="E5767" s="115" t="s">
        <v>9271</v>
      </c>
    </row>
    <row r="5768" spans="1:5" x14ac:dyDescent="0.2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2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25">
      <c r="B5770" s="115" t="s">
        <v>9278</v>
      </c>
      <c r="D5770" s="115" t="s">
        <v>1140</v>
      </c>
      <c r="E5770" s="115" t="s">
        <v>9279</v>
      </c>
    </row>
    <row r="5771" spans="1:5" x14ac:dyDescent="0.2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25">
      <c r="B5772" s="115" t="s">
        <v>1665</v>
      </c>
      <c r="D5772" s="115" t="s">
        <v>9283</v>
      </c>
      <c r="E5772" s="115" t="s">
        <v>9284</v>
      </c>
    </row>
    <row r="5773" spans="1:5" x14ac:dyDescent="0.25">
      <c r="B5773" s="115" t="s">
        <v>9285</v>
      </c>
      <c r="D5773" s="115" t="s">
        <v>1140</v>
      </c>
      <c r="E5773" s="115" t="s">
        <v>9286</v>
      </c>
    </row>
    <row r="5774" spans="1:5" x14ac:dyDescent="0.2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25">
      <c r="B5775" s="115" t="s">
        <v>9289</v>
      </c>
      <c r="D5775" s="115" t="s">
        <v>9290</v>
      </c>
      <c r="E5775" s="115" t="s">
        <v>9291</v>
      </c>
    </row>
    <row r="5776" spans="1:5" x14ac:dyDescent="0.25">
      <c r="B5776" s="115" t="s">
        <v>1139</v>
      </c>
      <c r="D5776" s="115" t="s">
        <v>1140</v>
      </c>
      <c r="E5776" s="115" t="s">
        <v>9292</v>
      </c>
    </row>
    <row r="5777" spans="1:5" x14ac:dyDescent="0.2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2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25">
      <c r="B5779" s="115" t="s">
        <v>9297</v>
      </c>
      <c r="D5779" s="115" t="s">
        <v>1140</v>
      </c>
      <c r="E5779" s="115" t="s">
        <v>9298</v>
      </c>
    </row>
    <row r="5780" spans="1:5" x14ac:dyDescent="0.2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25">
      <c r="B5781" s="115" t="s">
        <v>1139</v>
      </c>
      <c r="D5781" s="115" t="s">
        <v>9301</v>
      </c>
      <c r="E5781" s="115" t="s">
        <v>9302</v>
      </c>
    </row>
    <row r="5782" spans="1:5" x14ac:dyDescent="0.25">
      <c r="B5782" s="115" t="s">
        <v>6731</v>
      </c>
      <c r="D5782" s="115" t="s">
        <v>9303</v>
      </c>
      <c r="E5782" s="115" t="s">
        <v>9304</v>
      </c>
    </row>
    <row r="5783" spans="1:5" x14ac:dyDescent="0.2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25">
      <c r="B5784" s="115" t="s">
        <v>1139</v>
      </c>
      <c r="D5784" s="115" t="s">
        <v>1140</v>
      </c>
      <c r="E5784" s="115" t="s">
        <v>9305</v>
      </c>
    </row>
    <row r="5785" spans="1:5" x14ac:dyDescent="0.25">
      <c r="B5785" s="115" t="s">
        <v>1611</v>
      </c>
      <c r="D5785" s="115" t="s">
        <v>9306</v>
      </c>
      <c r="E5785" s="115" t="s">
        <v>9307</v>
      </c>
    </row>
    <row r="5786" spans="1:5" x14ac:dyDescent="0.25">
      <c r="B5786" s="115" t="s">
        <v>1139</v>
      </c>
      <c r="D5786" s="115" t="s">
        <v>9308</v>
      </c>
      <c r="E5786" s="115" t="s">
        <v>9309</v>
      </c>
    </row>
    <row r="5787" spans="1:5" x14ac:dyDescent="0.2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2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25">
      <c r="B5789" s="115" t="s">
        <v>9316</v>
      </c>
      <c r="D5789" s="115" t="s">
        <v>9317</v>
      </c>
      <c r="E5789" s="115" t="s">
        <v>9318</v>
      </c>
    </row>
    <row r="5790" spans="1:5" x14ac:dyDescent="0.25">
      <c r="B5790" s="115" t="s">
        <v>9319</v>
      </c>
      <c r="D5790" s="115" t="s">
        <v>9320</v>
      </c>
      <c r="E5790" s="115" t="s">
        <v>9321</v>
      </c>
    </row>
    <row r="5791" spans="1:5" x14ac:dyDescent="0.2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2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25">
      <c r="B5793" s="115" t="s">
        <v>1369</v>
      </c>
      <c r="D5793" s="115" t="s">
        <v>9328</v>
      </c>
      <c r="E5793" s="115" t="s">
        <v>9329</v>
      </c>
    </row>
    <row r="5794" spans="1:5" x14ac:dyDescent="0.25">
      <c r="B5794" s="115" t="s">
        <v>1139</v>
      </c>
      <c r="D5794" s="115" t="s">
        <v>1140</v>
      </c>
      <c r="E5794" s="115" t="s">
        <v>9330</v>
      </c>
    </row>
    <row r="5795" spans="1:5" x14ac:dyDescent="0.2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25">
      <c r="B5796" s="115" t="s">
        <v>1252</v>
      </c>
      <c r="D5796" s="115" t="s">
        <v>1246</v>
      </c>
      <c r="E5796" s="115" t="s">
        <v>1141</v>
      </c>
    </row>
    <row r="5797" spans="1:5" x14ac:dyDescent="0.25">
      <c r="B5797" s="115" t="s">
        <v>1528</v>
      </c>
      <c r="D5797" s="115" t="s">
        <v>1140</v>
      </c>
      <c r="E5797" s="115" t="s">
        <v>9334</v>
      </c>
    </row>
    <row r="5798" spans="1:5" x14ac:dyDescent="0.25">
      <c r="B5798" s="115" t="s">
        <v>1216</v>
      </c>
      <c r="D5798" s="115" t="s">
        <v>1140</v>
      </c>
      <c r="E5798" s="115" t="s">
        <v>9335</v>
      </c>
    </row>
    <row r="5799" spans="1:5" x14ac:dyDescent="0.25">
      <c r="B5799" s="115" t="s">
        <v>9336</v>
      </c>
      <c r="D5799" s="115" t="s">
        <v>9337</v>
      </c>
      <c r="E5799" s="115" t="s">
        <v>9338</v>
      </c>
    </row>
    <row r="5800" spans="1:5" x14ac:dyDescent="0.2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25">
      <c r="B5801" s="115" t="s">
        <v>9340</v>
      </c>
      <c r="D5801" s="115" t="s">
        <v>9341</v>
      </c>
      <c r="E5801" s="115" t="s">
        <v>9342</v>
      </c>
    </row>
    <row r="5802" spans="1:5" x14ac:dyDescent="0.25">
      <c r="B5802" s="115" t="s">
        <v>9343</v>
      </c>
      <c r="D5802" s="115" t="s">
        <v>9344</v>
      </c>
      <c r="E5802" s="115" t="s">
        <v>9345</v>
      </c>
    </row>
    <row r="5803" spans="1:5" x14ac:dyDescent="0.25">
      <c r="B5803" s="115" t="s">
        <v>1321</v>
      </c>
      <c r="D5803" s="115" t="s">
        <v>1991</v>
      </c>
      <c r="E5803" s="115" t="s">
        <v>9346</v>
      </c>
    </row>
    <row r="5804" spans="1:5" x14ac:dyDescent="0.25">
      <c r="B5804" s="115" t="s">
        <v>9347</v>
      </c>
      <c r="D5804" s="115" t="s">
        <v>9348</v>
      </c>
      <c r="E5804" s="115" t="s">
        <v>9349</v>
      </c>
    </row>
    <row r="5805" spans="1:5" x14ac:dyDescent="0.2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2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2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2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25">
      <c r="B5809" s="115" t="s">
        <v>1139</v>
      </c>
      <c r="D5809" s="115" t="s">
        <v>9358</v>
      </c>
      <c r="E5809" s="115" t="s">
        <v>9359</v>
      </c>
    </row>
    <row r="5810" spans="1:5" x14ac:dyDescent="0.25">
      <c r="B5810" s="115" t="s">
        <v>1139</v>
      </c>
      <c r="D5810" s="115" t="s">
        <v>9360</v>
      </c>
      <c r="E5810" s="115" t="s">
        <v>9361</v>
      </c>
    </row>
    <row r="5811" spans="1:5" x14ac:dyDescent="0.2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2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25">
      <c r="B5813" s="115" t="s">
        <v>9367</v>
      </c>
      <c r="D5813" s="115" t="s">
        <v>9368</v>
      </c>
      <c r="E5813" s="115" t="s">
        <v>1141</v>
      </c>
    </row>
    <row r="5814" spans="1:5" x14ac:dyDescent="0.25">
      <c r="B5814" s="115" t="s">
        <v>9369</v>
      </c>
      <c r="D5814" s="115" t="s">
        <v>9370</v>
      </c>
      <c r="E5814" s="115" t="s">
        <v>9371</v>
      </c>
    </row>
    <row r="5815" spans="1:5" x14ac:dyDescent="0.25">
      <c r="B5815" s="115" t="s">
        <v>9372</v>
      </c>
      <c r="D5815" s="115" t="s">
        <v>9373</v>
      </c>
      <c r="E5815" s="115" t="s">
        <v>9374</v>
      </c>
    </row>
    <row r="5816" spans="1:5" x14ac:dyDescent="0.25">
      <c r="B5816" s="115" t="s">
        <v>1139</v>
      </c>
      <c r="D5816" s="115" t="s">
        <v>1140</v>
      </c>
      <c r="E5816" s="115" t="s">
        <v>1141</v>
      </c>
    </row>
    <row r="5817" spans="1:5" x14ac:dyDescent="0.25">
      <c r="B5817" s="115" t="s">
        <v>1139</v>
      </c>
      <c r="D5817" s="115" t="s">
        <v>9375</v>
      </c>
      <c r="E5817" s="115" t="s">
        <v>1819</v>
      </c>
    </row>
    <row r="5818" spans="1:5" x14ac:dyDescent="0.25">
      <c r="B5818" s="115" t="s">
        <v>9376</v>
      </c>
      <c r="D5818" s="115" t="s">
        <v>9377</v>
      </c>
      <c r="E5818" s="115" t="s">
        <v>9378</v>
      </c>
    </row>
    <row r="5819" spans="1:5" x14ac:dyDescent="0.25">
      <c r="B5819" s="115" t="s">
        <v>1384</v>
      </c>
      <c r="D5819" s="115" t="s">
        <v>9379</v>
      </c>
      <c r="E5819" s="115" t="s">
        <v>9380</v>
      </c>
    </row>
    <row r="5820" spans="1:5" x14ac:dyDescent="0.2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25">
      <c r="B5821" s="115" t="s">
        <v>9384</v>
      </c>
      <c r="D5821" s="115" t="s">
        <v>9385</v>
      </c>
      <c r="E5821" s="115" t="s">
        <v>9386</v>
      </c>
    </row>
    <row r="5822" spans="1:5" x14ac:dyDescent="0.2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25">
      <c r="B5823" s="115" t="s">
        <v>9389</v>
      </c>
      <c r="D5823" s="115" t="s">
        <v>9390</v>
      </c>
      <c r="E5823" s="115" t="s">
        <v>9391</v>
      </c>
    </row>
    <row r="5824" spans="1:5" x14ac:dyDescent="0.2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2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25">
      <c r="B5826" s="115" t="s">
        <v>1597</v>
      </c>
      <c r="D5826" s="115" t="s">
        <v>9398</v>
      </c>
      <c r="E5826" s="115" t="s">
        <v>9399</v>
      </c>
    </row>
    <row r="5827" spans="1:5" x14ac:dyDescent="0.25">
      <c r="B5827" s="115" t="s">
        <v>1139</v>
      </c>
      <c r="D5827" s="115" t="s">
        <v>1140</v>
      </c>
      <c r="E5827" s="115" t="s">
        <v>9400</v>
      </c>
    </row>
    <row r="5828" spans="1:5" x14ac:dyDescent="0.2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25">
      <c r="B5829" s="115" t="s">
        <v>1587</v>
      </c>
      <c r="D5829" s="115" t="s">
        <v>9403</v>
      </c>
      <c r="E5829" s="115" t="s">
        <v>1141</v>
      </c>
    </row>
    <row r="5830" spans="1:5" x14ac:dyDescent="0.25">
      <c r="B5830" s="115" t="s">
        <v>9404</v>
      </c>
      <c r="D5830" s="115" t="s">
        <v>1140</v>
      </c>
      <c r="E5830" s="115" t="s">
        <v>9405</v>
      </c>
    </row>
    <row r="5831" spans="1:5" x14ac:dyDescent="0.25">
      <c r="B5831" s="115" t="s">
        <v>1369</v>
      </c>
      <c r="D5831" s="115" t="s">
        <v>1140</v>
      </c>
      <c r="E5831" s="115" t="s">
        <v>9406</v>
      </c>
    </row>
    <row r="5832" spans="1:5" x14ac:dyDescent="0.25">
      <c r="B5832" s="115" t="s">
        <v>1269</v>
      </c>
      <c r="D5832" s="115" t="s">
        <v>9407</v>
      </c>
      <c r="E5832" s="115" t="s">
        <v>9408</v>
      </c>
    </row>
    <row r="5833" spans="1:5" x14ac:dyDescent="0.25">
      <c r="B5833" s="115" t="s">
        <v>9409</v>
      </c>
      <c r="D5833" s="115" t="s">
        <v>3822</v>
      </c>
      <c r="E5833" s="115" t="s">
        <v>9410</v>
      </c>
    </row>
    <row r="5834" spans="1:5" x14ac:dyDescent="0.2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2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25">
      <c r="B5836" s="115" t="s">
        <v>9417</v>
      </c>
      <c r="D5836" s="115" t="s">
        <v>2058</v>
      </c>
      <c r="E5836" s="115" t="s">
        <v>9418</v>
      </c>
    </row>
    <row r="5837" spans="1:5" x14ac:dyDescent="0.2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2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25">
      <c r="B5839" s="115" t="s">
        <v>7317</v>
      </c>
      <c r="D5839" s="115" t="s">
        <v>9425</v>
      </c>
      <c r="E5839" s="115" t="s">
        <v>9426</v>
      </c>
    </row>
    <row r="5840" spans="1:5" x14ac:dyDescent="0.25">
      <c r="B5840" s="115" t="s">
        <v>1339</v>
      </c>
      <c r="D5840" s="115" t="s">
        <v>9427</v>
      </c>
      <c r="E5840" s="115" t="s">
        <v>9428</v>
      </c>
    </row>
    <row r="5841" spans="1:5" x14ac:dyDescent="0.2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25">
      <c r="B5842" s="115" t="s">
        <v>1139</v>
      </c>
      <c r="D5842" s="115" t="s">
        <v>5595</v>
      </c>
      <c r="E5842" s="115" t="s">
        <v>9431</v>
      </c>
    </row>
    <row r="5843" spans="1:5" x14ac:dyDescent="0.25">
      <c r="B5843" s="115" t="s">
        <v>1139</v>
      </c>
      <c r="D5843" s="115" t="s">
        <v>9432</v>
      </c>
      <c r="E5843" s="115" t="s">
        <v>9433</v>
      </c>
    </row>
    <row r="5844" spans="1:5" x14ac:dyDescent="0.2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2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2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25">
      <c r="B5847" s="115" t="s">
        <v>1271</v>
      </c>
      <c r="D5847" s="115" t="s">
        <v>9442</v>
      </c>
      <c r="E5847" s="115" t="s">
        <v>9443</v>
      </c>
    </row>
    <row r="5848" spans="1:5" x14ac:dyDescent="0.25">
      <c r="B5848" s="115" t="s">
        <v>1543</v>
      </c>
      <c r="D5848" s="115" t="s">
        <v>9444</v>
      </c>
      <c r="E5848" s="115" t="s">
        <v>9445</v>
      </c>
    </row>
    <row r="5849" spans="1:5" x14ac:dyDescent="0.25">
      <c r="B5849" s="115" t="s">
        <v>1139</v>
      </c>
      <c r="D5849" s="115" t="s">
        <v>1140</v>
      </c>
      <c r="E5849" s="115" t="s">
        <v>1141</v>
      </c>
    </row>
    <row r="5850" spans="1:5" x14ac:dyDescent="0.25">
      <c r="B5850" s="115" t="s">
        <v>1139</v>
      </c>
      <c r="D5850" s="115" t="s">
        <v>3822</v>
      </c>
      <c r="E5850" s="115" t="s">
        <v>2260</v>
      </c>
    </row>
    <row r="5851" spans="1:5" x14ac:dyDescent="0.25">
      <c r="B5851" s="115" t="s">
        <v>9446</v>
      </c>
      <c r="D5851" s="115" t="s">
        <v>9447</v>
      </c>
      <c r="E5851" s="115" t="s">
        <v>9448</v>
      </c>
    </row>
    <row r="5852" spans="1:5" x14ac:dyDescent="0.25">
      <c r="B5852" s="115" t="s">
        <v>1327</v>
      </c>
      <c r="D5852" s="115" t="s">
        <v>9449</v>
      </c>
      <c r="E5852" s="115" t="s">
        <v>9450</v>
      </c>
    </row>
    <row r="5853" spans="1:5" x14ac:dyDescent="0.2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25">
      <c r="B5854" s="115" t="s">
        <v>9454</v>
      </c>
      <c r="D5854" s="115" t="s">
        <v>9455</v>
      </c>
      <c r="E5854" s="115" t="s">
        <v>9456</v>
      </c>
    </row>
    <row r="5855" spans="1:5" x14ac:dyDescent="0.2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25">
      <c r="B5856" s="115" t="s">
        <v>9459</v>
      </c>
      <c r="D5856" s="115" t="s">
        <v>9460</v>
      </c>
      <c r="E5856" s="115" t="s">
        <v>9461</v>
      </c>
    </row>
    <row r="5857" spans="1:5" x14ac:dyDescent="0.2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2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25">
      <c r="B5859" s="115" t="s">
        <v>1139</v>
      </c>
      <c r="D5859" s="115" t="s">
        <v>9468</v>
      </c>
      <c r="E5859" s="115" t="s">
        <v>9469</v>
      </c>
    </row>
    <row r="5860" spans="1:5" x14ac:dyDescent="0.25">
      <c r="B5860" s="115" t="s">
        <v>1139</v>
      </c>
      <c r="D5860" s="115" t="s">
        <v>1140</v>
      </c>
      <c r="E5860" s="115" t="s">
        <v>9470</v>
      </c>
    </row>
    <row r="5861" spans="1:5" x14ac:dyDescent="0.2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25">
      <c r="B5862" s="115" t="s">
        <v>9473</v>
      </c>
      <c r="D5862" s="115" t="s">
        <v>2682</v>
      </c>
      <c r="E5862" s="115" t="s">
        <v>1894</v>
      </c>
    </row>
    <row r="5863" spans="1:5" x14ac:dyDescent="0.25">
      <c r="B5863" s="115" t="s">
        <v>9474</v>
      </c>
      <c r="D5863" s="115" t="s">
        <v>1140</v>
      </c>
      <c r="E5863" s="115" t="s">
        <v>9475</v>
      </c>
    </row>
    <row r="5864" spans="1:5" x14ac:dyDescent="0.2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25">
      <c r="B5865" s="115" t="s">
        <v>1139</v>
      </c>
      <c r="D5865" s="115" t="s">
        <v>9479</v>
      </c>
      <c r="E5865" s="115" t="s">
        <v>9480</v>
      </c>
    </row>
    <row r="5866" spans="1:5" x14ac:dyDescent="0.25">
      <c r="B5866" s="115" t="s">
        <v>9481</v>
      </c>
      <c r="D5866" s="115" t="s">
        <v>1140</v>
      </c>
      <c r="E5866" s="115" t="s">
        <v>9482</v>
      </c>
    </row>
    <row r="5867" spans="1:5" x14ac:dyDescent="0.2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25">
      <c r="B5868" s="115" t="s">
        <v>9486</v>
      </c>
      <c r="D5868" s="115" t="s">
        <v>9487</v>
      </c>
      <c r="E5868" s="115" t="s">
        <v>9488</v>
      </c>
    </row>
    <row r="5869" spans="1:5" x14ac:dyDescent="0.25">
      <c r="B5869" s="115" t="s">
        <v>9489</v>
      </c>
      <c r="D5869" s="115" t="s">
        <v>1140</v>
      </c>
      <c r="E5869" s="115" t="s">
        <v>9490</v>
      </c>
    </row>
    <row r="5870" spans="1:5" x14ac:dyDescent="0.2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25">
      <c r="B5871" s="115" t="s">
        <v>9494</v>
      </c>
      <c r="D5871" s="115" t="s">
        <v>9495</v>
      </c>
      <c r="E5871" s="115" t="s">
        <v>9496</v>
      </c>
    </row>
    <row r="5872" spans="1:5" x14ac:dyDescent="0.2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2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25">
      <c r="B5874" s="115" t="s">
        <v>9501</v>
      </c>
      <c r="D5874" s="115" t="s">
        <v>9502</v>
      </c>
      <c r="E5874" s="115" t="s">
        <v>9503</v>
      </c>
    </row>
    <row r="5875" spans="1:5" x14ac:dyDescent="0.25">
      <c r="B5875" s="115" t="s">
        <v>1139</v>
      </c>
      <c r="D5875" s="115" t="s">
        <v>1140</v>
      </c>
      <c r="E5875" s="115" t="s">
        <v>9504</v>
      </c>
    </row>
    <row r="5876" spans="1:5" x14ac:dyDescent="0.2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25">
      <c r="B5877" s="115" t="s">
        <v>9506</v>
      </c>
      <c r="D5877" s="115" t="s">
        <v>9507</v>
      </c>
      <c r="E5877" s="115" t="s">
        <v>9508</v>
      </c>
    </row>
    <row r="5878" spans="1:5" x14ac:dyDescent="0.25">
      <c r="B5878" s="115" t="s">
        <v>9509</v>
      </c>
      <c r="D5878" s="115" t="s">
        <v>1140</v>
      </c>
      <c r="E5878" s="115" t="s">
        <v>9510</v>
      </c>
    </row>
    <row r="5879" spans="1:5" x14ac:dyDescent="0.25">
      <c r="B5879" s="115" t="s">
        <v>9511</v>
      </c>
      <c r="D5879" s="115" t="s">
        <v>9512</v>
      </c>
      <c r="E5879" s="115" t="s">
        <v>1141</v>
      </c>
    </row>
    <row r="5880" spans="1:5" x14ac:dyDescent="0.25">
      <c r="B5880" s="115" t="s">
        <v>1139</v>
      </c>
      <c r="D5880" s="115" t="s">
        <v>9513</v>
      </c>
      <c r="E5880" s="115" t="s">
        <v>9514</v>
      </c>
    </row>
    <row r="5881" spans="1:5" x14ac:dyDescent="0.25">
      <c r="B5881" s="115" t="s">
        <v>1564</v>
      </c>
      <c r="D5881" s="115" t="s">
        <v>9515</v>
      </c>
      <c r="E5881" s="115" t="s">
        <v>9516</v>
      </c>
    </row>
    <row r="5882" spans="1:5" x14ac:dyDescent="0.2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25">
      <c r="B5883" s="115" t="s">
        <v>1139</v>
      </c>
      <c r="D5883" s="115" t="s">
        <v>1140</v>
      </c>
      <c r="E5883" s="115" t="s">
        <v>9517</v>
      </c>
    </row>
    <row r="5884" spans="1:5" x14ac:dyDescent="0.25">
      <c r="B5884" s="115" t="s">
        <v>9518</v>
      </c>
      <c r="D5884" s="115" t="s">
        <v>9519</v>
      </c>
      <c r="E5884" s="115" t="s">
        <v>9520</v>
      </c>
    </row>
    <row r="5885" spans="1:5" x14ac:dyDescent="0.25">
      <c r="B5885" s="115" t="s">
        <v>1139</v>
      </c>
      <c r="D5885" s="115" t="s">
        <v>9521</v>
      </c>
      <c r="E5885" s="115" t="s">
        <v>9522</v>
      </c>
    </row>
    <row r="5886" spans="1:5" x14ac:dyDescent="0.2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2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2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25">
      <c r="B5889" s="115" t="s">
        <v>9532</v>
      </c>
      <c r="D5889" s="115" t="s">
        <v>9533</v>
      </c>
      <c r="E5889" s="115" t="s">
        <v>9534</v>
      </c>
    </row>
    <row r="5890" spans="1:5" x14ac:dyDescent="0.2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2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2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25">
      <c r="B5893" s="115">
        <f>-8   -434</f>
        <v>-442</v>
      </c>
      <c r="D5893" s="115" t="s">
        <v>1140</v>
      </c>
      <c r="E5893" s="115" t="s">
        <v>1141</v>
      </c>
    </row>
    <row r="5894" spans="1:5" x14ac:dyDescent="0.2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25">
      <c r="B5895" s="115" t="s">
        <v>1139</v>
      </c>
      <c r="D5895" s="115" t="s">
        <v>9545</v>
      </c>
      <c r="E5895" s="115" t="s">
        <v>9546</v>
      </c>
    </row>
    <row r="5896" spans="1:5" x14ac:dyDescent="0.25">
      <c r="B5896" s="115" t="s">
        <v>1139</v>
      </c>
      <c r="D5896" s="115" t="s">
        <v>9547</v>
      </c>
      <c r="E5896" s="115" t="s">
        <v>1141</v>
      </c>
    </row>
    <row r="5897" spans="1:5" x14ac:dyDescent="0.2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2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2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2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25">
      <c r="B5901" s="115" t="s">
        <v>9560</v>
      </c>
      <c r="D5901" s="115" t="s">
        <v>9561</v>
      </c>
      <c r="E5901" s="115" t="s">
        <v>9562</v>
      </c>
    </row>
    <row r="5902" spans="1:5" x14ac:dyDescent="0.2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2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2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25">
      <c r="B5905" s="115" t="s">
        <v>9571</v>
      </c>
      <c r="D5905" s="115" t="s">
        <v>9572</v>
      </c>
      <c r="E5905" s="115" t="s">
        <v>9573</v>
      </c>
    </row>
    <row r="5906" spans="1:5" x14ac:dyDescent="0.2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2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2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2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2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2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2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25">
      <c r="B5913" s="115" t="s">
        <v>1139</v>
      </c>
      <c r="D5913" s="115" t="s">
        <v>9591</v>
      </c>
      <c r="E5913" s="115" t="s">
        <v>9592</v>
      </c>
    </row>
    <row r="5914" spans="1:5" x14ac:dyDescent="0.25">
      <c r="B5914" s="115" t="s">
        <v>1139</v>
      </c>
      <c r="D5914" s="115" t="s">
        <v>9593</v>
      </c>
      <c r="E5914" s="115" t="s">
        <v>2260</v>
      </c>
    </row>
    <row r="5915" spans="1:5" x14ac:dyDescent="0.2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25">
      <c r="B5916" s="115" t="s">
        <v>1139</v>
      </c>
      <c r="D5916" s="115" t="s">
        <v>1140</v>
      </c>
      <c r="E5916" s="115" t="s">
        <v>9596</v>
      </c>
    </row>
    <row r="5917" spans="1:5" x14ac:dyDescent="0.25">
      <c r="B5917" s="115" t="s">
        <v>1139</v>
      </c>
      <c r="D5917" s="115" t="s">
        <v>9597</v>
      </c>
      <c r="E5917" s="115" t="s">
        <v>9598</v>
      </c>
    </row>
    <row r="5918" spans="1:5" x14ac:dyDescent="0.2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25">
      <c r="B5919" s="115" t="s">
        <v>9602</v>
      </c>
      <c r="D5919" s="115" t="s">
        <v>9603</v>
      </c>
      <c r="E5919" s="115" t="s">
        <v>9604</v>
      </c>
    </row>
    <row r="5920" spans="1:5" x14ac:dyDescent="0.2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2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25">
      <c r="B5922" s="115" t="s">
        <v>9610</v>
      </c>
      <c r="D5922" s="115" t="s">
        <v>9611</v>
      </c>
      <c r="E5922" s="115" t="s">
        <v>9612</v>
      </c>
    </row>
    <row r="5923" spans="1:5" x14ac:dyDescent="0.2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2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2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25">
      <c r="B5926" s="115" t="s">
        <v>1139</v>
      </c>
      <c r="D5926" s="115" t="s">
        <v>9622</v>
      </c>
      <c r="E5926" s="115" t="s">
        <v>1141</v>
      </c>
    </row>
    <row r="5927" spans="1:5" x14ac:dyDescent="0.25">
      <c r="B5927" s="115" t="s">
        <v>1139</v>
      </c>
      <c r="D5927" s="115" t="s">
        <v>9623</v>
      </c>
      <c r="E5927" s="115" t="s">
        <v>9624</v>
      </c>
    </row>
    <row r="5928" spans="1:5" x14ac:dyDescent="0.25">
      <c r="B5928" s="115" t="s">
        <v>9625</v>
      </c>
      <c r="D5928" s="115" t="s">
        <v>9626</v>
      </c>
      <c r="E5928" s="115" t="s">
        <v>9627</v>
      </c>
    </row>
    <row r="5929" spans="1:5" x14ac:dyDescent="0.25">
      <c r="B5929" s="115" t="s">
        <v>9628</v>
      </c>
      <c r="D5929" s="115" t="s">
        <v>1140</v>
      </c>
      <c r="E5929" s="115" t="s">
        <v>9629</v>
      </c>
    </row>
    <row r="5930" spans="1:5" x14ac:dyDescent="0.25">
      <c r="B5930" s="115" t="s">
        <v>1139</v>
      </c>
      <c r="D5930" s="115" t="s">
        <v>9630</v>
      </c>
      <c r="E5930" s="115" t="s">
        <v>9631</v>
      </c>
    </row>
    <row r="5931" spans="1:5" x14ac:dyDescent="0.2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25">
      <c r="B5932" s="115" t="s">
        <v>9633</v>
      </c>
      <c r="D5932" s="115" t="s">
        <v>9634</v>
      </c>
      <c r="E5932" s="115" t="s">
        <v>9635</v>
      </c>
    </row>
    <row r="5933" spans="1:5" x14ac:dyDescent="0.25">
      <c r="B5933" s="115" t="s">
        <v>9636</v>
      </c>
      <c r="D5933" s="115" t="s">
        <v>9637</v>
      </c>
      <c r="E5933" s="115" t="s">
        <v>9638</v>
      </c>
    </row>
    <row r="5934" spans="1:5" x14ac:dyDescent="0.25">
      <c r="B5934" s="115" t="s">
        <v>9639</v>
      </c>
      <c r="D5934" s="115" t="s">
        <v>9640</v>
      </c>
      <c r="E5934" s="115" t="s">
        <v>9641</v>
      </c>
    </row>
    <row r="5935" spans="1:5" x14ac:dyDescent="0.25">
      <c r="B5935" s="115">
        <f>-47   -622</f>
        <v>-669</v>
      </c>
      <c r="D5935" s="115" t="s">
        <v>9642</v>
      </c>
      <c r="E5935" s="115" t="s">
        <v>9643</v>
      </c>
    </row>
    <row r="5936" spans="1:5" x14ac:dyDescent="0.25">
      <c r="B5936" s="115" t="s">
        <v>9644</v>
      </c>
      <c r="D5936" s="115" t="s">
        <v>9645</v>
      </c>
      <c r="E5936" s="115" t="s">
        <v>9646</v>
      </c>
    </row>
    <row r="5937" spans="1:5" x14ac:dyDescent="0.25">
      <c r="B5937" s="115" t="s">
        <v>9647</v>
      </c>
      <c r="D5937" s="115" t="s">
        <v>1340</v>
      </c>
      <c r="E5937" s="115" t="s">
        <v>9648</v>
      </c>
    </row>
    <row r="5938" spans="1:5" x14ac:dyDescent="0.25">
      <c r="B5938" s="115" t="s">
        <v>1139</v>
      </c>
      <c r="D5938" s="115" t="s">
        <v>9649</v>
      </c>
      <c r="E5938" s="115" t="s">
        <v>9650</v>
      </c>
    </row>
    <row r="5939" spans="1:5" x14ac:dyDescent="0.25">
      <c r="B5939" s="115" t="s">
        <v>9651</v>
      </c>
      <c r="D5939" s="115" t="s">
        <v>9652</v>
      </c>
      <c r="E5939" s="115" t="s">
        <v>9653</v>
      </c>
    </row>
    <row r="5940" spans="1:5" x14ac:dyDescent="0.2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25">
      <c r="B5941" s="115" t="s">
        <v>9656</v>
      </c>
      <c r="D5941" s="115" t="s">
        <v>9657</v>
      </c>
      <c r="E5941" s="115" t="s">
        <v>1141</v>
      </c>
    </row>
    <row r="5942" spans="1:5" x14ac:dyDescent="0.25">
      <c r="B5942" s="115" t="s">
        <v>9658</v>
      </c>
      <c r="D5942" s="115" t="s">
        <v>9659</v>
      </c>
      <c r="E5942" s="115" t="s">
        <v>1702</v>
      </c>
    </row>
    <row r="5943" spans="1:5" x14ac:dyDescent="0.2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25">
      <c r="B5944" s="115" t="s">
        <v>9663</v>
      </c>
      <c r="D5944" s="115" t="s">
        <v>9664</v>
      </c>
      <c r="E5944" s="115" t="s">
        <v>9665</v>
      </c>
    </row>
    <row r="5945" spans="1:5" x14ac:dyDescent="0.2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25">
      <c r="B5946" s="115" t="s">
        <v>1139</v>
      </c>
      <c r="D5946" s="115" t="s">
        <v>1140</v>
      </c>
      <c r="E5946" s="115" t="s">
        <v>9669</v>
      </c>
    </row>
    <row r="5947" spans="1:5" x14ac:dyDescent="0.25">
      <c r="B5947" s="115" t="s">
        <v>7565</v>
      </c>
      <c r="D5947" s="115" t="s">
        <v>9670</v>
      </c>
      <c r="E5947" s="115" t="s">
        <v>9671</v>
      </c>
    </row>
    <row r="5948" spans="1:5" x14ac:dyDescent="0.25">
      <c r="B5948" s="115" t="s">
        <v>1139</v>
      </c>
      <c r="D5948" s="115" t="s">
        <v>9672</v>
      </c>
      <c r="E5948" s="115" t="s">
        <v>1702</v>
      </c>
    </row>
    <row r="5949" spans="1:5" x14ac:dyDescent="0.25">
      <c r="B5949" s="115" t="s">
        <v>1139</v>
      </c>
      <c r="D5949" s="115" t="s">
        <v>1140</v>
      </c>
      <c r="E5949" s="115" t="s">
        <v>1141</v>
      </c>
    </row>
    <row r="5950" spans="1:5" x14ac:dyDescent="0.25">
      <c r="B5950" s="115" t="s">
        <v>9673</v>
      </c>
      <c r="D5950" s="115" t="s">
        <v>1140</v>
      </c>
      <c r="E5950" s="115" t="s">
        <v>9674</v>
      </c>
    </row>
    <row r="5951" spans="1:5" x14ac:dyDescent="0.2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2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25">
      <c r="B5953" s="115" t="s">
        <v>9681</v>
      </c>
      <c r="D5953" s="115" t="s">
        <v>9682</v>
      </c>
      <c r="E5953" s="115" t="s">
        <v>9683</v>
      </c>
    </row>
    <row r="5954" spans="1:5" x14ac:dyDescent="0.25">
      <c r="B5954" s="115" t="s">
        <v>9684</v>
      </c>
      <c r="D5954" s="115" t="s">
        <v>9685</v>
      </c>
      <c r="E5954" s="115" t="s">
        <v>9686</v>
      </c>
    </row>
    <row r="5955" spans="1:5" x14ac:dyDescent="0.2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25">
      <c r="B5956" s="115" t="s">
        <v>9690</v>
      </c>
      <c r="D5956" s="115" t="s">
        <v>9691</v>
      </c>
      <c r="E5956" s="115" t="s">
        <v>9692</v>
      </c>
    </row>
    <row r="5957" spans="1:5" x14ac:dyDescent="0.2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2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25">
      <c r="B5959" s="115" t="s">
        <v>9699</v>
      </c>
      <c r="D5959" s="115" t="s">
        <v>9700</v>
      </c>
      <c r="E5959" s="115" t="s">
        <v>9701</v>
      </c>
    </row>
    <row r="5960" spans="1:5" x14ac:dyDescent="0.25">
      <c r="B5960" s="115" t="s">
        <v>1139</v>
      </c>
      <c r="D5960" s="115" t="s">
        <v>1140</v>
      </c>
      <c r="E5960" s="115" t="s">
        <v>9702</v>
      </c>
    </row>
    <row r="5961" spans="1:5" x14ac:dyDescent="0.2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2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2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25">
      <c r="B5964" s="115" t="s">
        <v>3380</v>
      </c>
      <c r="D5964" s="115" t="s">
        <v>1140</v>
      </c>
      <c r="E5964" s="115" t="s">
        <v>9707</v>
      </c>
    </row>
    <row r="5965" spans="1:5" x14ac:dyDescent="0.25">
      <c r="B5965" s="115" t="s">
        <v>9708</v>
      </c>
      <c r="D5965" s="115" t="s">
        <v>9709</v>
      </c>
      <c r="E5965" s="115" t="s">
        <v>9710</v>
      </c>
    </row>
    <row r="5966" spans="1:5" x14ac:dyDescent="0.25">
      <c r="B5966" s="115" t="s">
        <v>1273</v>
      </c>
      <c r="D5966" s="115" t="s">
        <v>4197</v>
      </c>
      <c r="E5966" s="115" t="s">
        <v>9711</v>
      </c>
    </row>
    <row r="5967" spans="1:5" x14ac:dyDescent="0.2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2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2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2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2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2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25">
      <c r="B5973" s="115" t="s">
        <v>1646</v>
      </c>
      <c r="D5973" s="115" t="s">
        <v>9728</v>
      </c>
      <c r="E5973" s="115" t="s">
        <v>9729</v>
      </c>
    </row>
    <row r="5974" spans="1:5" x14ac:dyDescent="0.2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25">
      <c r="B5975" s="115" t="s">
        <v>1139</v>
      </c>
      <c r="D5975" s="115" t="s">
        <v>9733</v>
      </c>
      <c r="E5975" s="115" t="s">
        <v>9734</v>
      </c>
    </row>
    <row r="5976" spans="1:5" x14ac:dyDescent="0.25">
      <c r="B5976" s="115" t="s">
        <v>1139</v>
      </c>
      <c r="D5976" s="115" t="s">
        <v>9735</v>
      </c>
      <c r="E5976" s="115" t="s">
        <v>9736</v>
      </c>
    </row>
    <row r="5977" spans="1:5" x14ac:dyDescent="0.2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2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2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25">
      <c r="B5980" s="115" t="s">
        <v>9744</v>
      </c>
      <c r="D5980" s="115" t="s">
        <v>9745</v>
      </c>
      <c r="E5980" s="115" t="s">
        <v>9746</v>
      </c>
    </row>
    <row r="5981" spans="1:5" x14ac:dyDescent="0.2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25">
      <c r="B5982" s="115" t="s">
        <v>1139</v>
      </c>
      <c r="D5982" s="115" t="s">
        <v>1140</v>
      </c>
      <c r="E5982" s="115" t="s">
        <v>1141</v>
      </c>
    </row>
    <row r="5983" spans="1:5" x14ac:dyDescent="0.25">
      <c r="B5983" s="115" t="s">
        <v>1139</v>
      </c>
      <c r="D5983" s="115" t="s">
        <v>7303</v>
      </c>
      <c r="E5983" s="115" t="s">
        <v>1859</v>
      </c>
    </row>
    <row r="5984" spans="1:5" x14ac:dyDescent="0.2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2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2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2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2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2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2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2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2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25">
      <c r="B5993" s="115" t="s">
        <v>1139</v>
      </c>
      <c r="D5993" s="115" t="s">
        <v>9777</v>
      </c>
      <c r="E5993" s="115" t="s">
        <v>1141</v>
      </c>
    </row>
    <row r="5994" spans="1:5" x14ac:dyDescent="0.25">
      <c r="B5994" s="115" t="s">
        <v>1139</v>
      </c>
      <c r="D5994" s="115" t="s">
        <v>9778</v>
      </c>
      <c r="E5994" s="115" t="s">
        <v>9779</v>
      </c>
    </row>
    <row r="5995" spans="1:5" x14ac:dyDescent="0.2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25">
      <c r="B5996" s="115" t="s">
        <v>1139</v>
      </c>
      <c r="D5996" s="115" t="s">
        <v>2127</v>
      </c>
      <c r="E5996" s="115" t="s">
        <v>1859</v>
      </c>
    </row>
    <row r="5997" spans="1:5" x14ac:dyDescent="0.25">
      <c r="B5997" s="115" t="s">
        <v>1139</v>
      </c>
      <c r="D5997" s="115" t="s">
        <v>9783</v>
      </c>
      <c r="E5997" s="115" t="s">
        <v>9784</v>
      </c>
    </row>
    <row r="5998" spans="1:5" x14ac:dyDescent="0.25">
      <c r="B5998" s="115" t="s">
        <v>9785</v>
      </c>
      <c r="D5998" s="115" t="s">
        <v>9786</v>
      </c>
      <c r="E5998" s="115" t="s">
        <v>9787</v>
      </c>
    </row>
    <row r="5999" spans="1:5" x14ac:dyDescent="0.2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25">
      <c r="B6000" s="115" t="s">
        <v>9790</v>
      </c>
      <c r="D6000" s="115" t="s">
        <v>9791</v>
      </c>
      <c r="E6000" s="115" t="s">
        <v>9792</v>
      </c>
    </row>
    <row r="6001" spans="1:5" x14ac:dyDescent="0.2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2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25">
      <c r="B6003" s="115" t="s">
        <v>9797</v>
      </c>
      <c r="D6003" s="115" t="s">
        <v>9798</v>
      </c>
      <c r="E6003" s="115" t="s">
        <v>9799</v>
      </c>
    </row>
    <row r="6004" spans="1:5" x14ac:dyDescent="0.25">
      <c r="B6004" s="115" t="s">
        <v>1360</v>
      </c>
      <c r="D6004" s="115" t="s">
        <v>9800</v>
      </c>
      <c r="E6004" s="115" t="s">
        <v>9801</v>
      </c>
    </row>
    <row r="6005" spans="1:5" x14ac:dyDescent="0.25">
      <c r="B6005" s="115" t="s">
        <v>9802</v>
      </c>
      <c r="D6005" s="115" t="s">
        <v>9803</v>
      </c>
      <c r="E6005" s="115" t="s">
        <v>1759</v>
      </c>
    </row>
    <row r="6006" spans="1:5" x14ac:dyDescent="0.25">
      <c r="B6006" s="115" t="s">
        <v>9804</v>
      </c>
      <c r="D6006" s="115" t="s">
        <v>9805</v>
      </c>
      <c r="E6006" s="115" t="s">
        <v>9806</v>
      </c>
    </row>
    <row r="6007" spans="1:5" x14ac:dyDescent="0.2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2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2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2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2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2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25">
      <c r="B6013" s="115" t="s">
        <v>1139</v>
      </c>
      <c r="D6013" s="115" t="s">
        <v>1140</v>
      </c>
      <c r="E6013" s="115" t="s">
        <v>9820</v>
      </c>
    </row>
    <row r="6014" spans="1:5" x14ac:dyDescent="0.2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25">
      <c r="B6015" s="115" t="s">
        <v>1139</v>
      </c>
      <c r="D6015" s="115" t="s">
        <v>9824</v>
      </c>
      <c r="E6015" s="115" t="s">
        <v>1141</v>
      </c>
    </row>
    <row r="6016" spans="1:5" x14ac:dyDescent="0.25">
      <c r="B6016" s="115" t="s">
        <v>1139</v>
      </c>
      <c r="D6016" s="115" t="s">
        <v>1140</v>
      </c>
      <c r="E6016" s="115" t="s">
        <v>1141</v>
      </c>
    </row>
    <row r="6017" spans="1:5" x14ac:dyDescent="0.2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2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2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2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2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2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2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2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2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25">
      <c r="B6026" s="115" t="s">
        <v>1139</v>
      </c>
      <c r="D6026" s="115" t="s">
        <v>9850</v>
      </c>
      <c r="E6026" s="115" t="s">
        <v>9851</v>
      </c>
    </row>
    <row r="6027" spans="1:5" x14ac:dyDescent="0.25">
      <c r="B6027" s="115" t="s">
        <v>1139</v>
      </c>
      <c r="D6027" s="115" t="s">
        <v>1140</v>
      </c>
      <c r="E6027" s="115" t="s">
        <v>9852</v>
      </c>
    </row>
    <row r="6028" spans="1:5" x14ac:dyDescent="0.25">
      <c r="B6028" s="115" t="s">
        <v>1139</v>
      </c>
      <c r="D6028" s="115" t="s">
        <v>9853</v>
      </c>
      <c r="E6028" s="115" t="s">
        <v>9854</v>
      </c>
    </row>
    <row r="6029" spans="1:5" x14ac:dyDescent="0.25">
      <c r="B6029" s="115" t="s">
        <v>9855</v>
      </c>
      <c r="D6029" s="115" t="s">
        <v>1848</v>
      </c>
      <c r="E6029" s="115" t="s">
        <v>2260</v>
      </c>
    </row>
    <row r="6030" spans="1:5" x14ac:dyDescent="0.25">
      <c r="B6030" s="115" t="s">
        <v>9856</v>
      </c>
      <c r="D6030" s="115" t="s">
        <v>1140</v>
      </c>
      <c r="E6030" s="115" t="s">
        <v>9857</v>
      </c>
    </row>
    <row r="6031" spans="1:5" x14ac:dyDescent="0.2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25">
      <c r="B6032" s="115" t="s">
        <v>1139</v>
      </c>
      <c r="D6032" s="115" t="s">
        <v>9860</v>
      </c>
      <c r="E6032" s="115" t="s">
        <v>9861</v>
      </c>
    </row>
    <row r="6033" spans="1:5" x14ac:dyDescent="0.25">
      <c r="B6033" s="115" t="s">
        <v>9862</v>
      </c>
      <c r="D6033" s="115" t="s">
        <v>1140</v>
      </c>
      <c r="E6033" s="115" t="s">
        <v>9863</v>
      </c>
    </row>
    <row r="6034" spans="1:5" x14ac:dyDescent="0.2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25">
      <c r="B6035" s="115" t="s">
        <v>9867</v>
      </c>
      <c r="D6035" s="115" t="s">
        <v>9868</v>
      </c>
      <c r="E6035" s="115" t="s">
        <v>9869</v>
      </c>
    </row>
    <row r="6036" spans="1:5" x14ac:dyDescent="0.25">
      <c r="B6036" s="115" t="s">
        <v>9870</v>
      </c>
      <c r="D6036" s="115" t="s">
        <v>1140</v>
      </c>
      <c r="E6036" s="115" t="s">
        <v>9871</v>
      </c>
    </row>
    <row r="6037" spans="1:5" x14ac:dyDescent="0.2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25">
      <c r="B6038" s="115" t="s">
        <v>9875</v>
      </c>
      <c r="D6038" s="115" t="s">
        <v>9876</v>
      </c>
      <c r="E6038" s="115" t="s">
        <v>9877</v>
      </c>
    </row>
    <row r="6039" spans="1:5" x14ac:dyDescent="0.25">
      <c r="B6039" s="126" t="s">
        <v>9878</v>
      </c>
      <c r="D6039" s="115" t="s">
        <v>1140</v>
      </c>
      <c r="E6039" s="115" t="s">
        <v>9879</v>
      </c>
    </row>
    <row r="6040" spans="1:5" x14ac:dyDescent="0.2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25">
      <c r="B6041" s="115" t="s">
        <v>9882</v>
      </c>
      <c r="D6041" s="115" t="s">
        <v>1506</v>
      </c>
      <c r="E6041" s="115" t="s">
        <v>9883</v>
      </c>
    </row>
    <row r="6042" spans="1:5" x14ac:dyDescent="0.25">
      <c r="B6042" s="115" t="s">
        <v>1139</v>
      </c>
      <c r="D6042" s="115" t="s">
        <v>1140</v>
      </c>
      <c r="E6042" s="115" t="s">
        <v>9884</v>
      </c>
    </row>
    <row r="6043" spans="1:5" x14ac:dyDescent="0.2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2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25">
      <c r="B6045" s="115" t="s">
        <v>9890</v>
      </c>
      <c r="D6045" s="115" t="s">
        <v>1140</v>
      </c>
      <c r="E6045" s="115" t="s">
        <v>9891</v>
      </c>
    </row>
    <row r="6046" spans="1:5" x14ac:dyDescent="0.25">
      <c r="B6046" s="115" t="s">
        <v>9892</v>
      </c>
      <c r="D6046" s="115" t="s">
        <v>9893</v>
      </c>
      <c r="E6046" s="115" t="s">
        <v>1141</v>
      </c>
    </row>
    <row r="6047" spans="1:5" x14ac:dyDescent="0.25">
      <c r="B6047" s="115" t="s">
        <v>1139</v>
      </c>
      <c r="D6047" s="115" t="s">
        <v>9894</v>
      </c>
      <c r="E6047" s="115" t="s">
        <v>9895</v>
      </c>
    </row>
    <row r="6048" spans="1:5" x14ac:dyDescent="0.25">
      <c r="B6048" s="115" t="s">
        <v>9896</v>
      </c>
      <c r="D6048" s="115" t="s">
        <v>9897</v>
      </c>
      <c r="E6048" s="115" t="s">
        <v>9898</v>
      </c>
    </row>
    <row r="6049" spans="1:5" x14ac:dyDescent="0.2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25">
      <c r="B6050" s="115" t="s">
        <v>1139</v>
      </c>
      <c r="D6050" s="115" t="s">
        <v>1140</v>
      </c>
      <c r="E6050" s="115" t="s">
        <v>9899</v>
      </c>
    </row>
    <row r="6051" spans="1:5" x14ac:dyDescent="0.25">
      <c r="B6051" s="115" t="s">
        <v>9900</v>
      </c>
      <c r="D6051" s="115" t="s">
        <v>9901</v>
      </c>
      <c r="E6051" s="115" t="s">
        <v>9902</v>
      </c>
    </row>
    <row r="6052" spans="1:5" x14ac:dyDescent="0.25">
      <c r="B6052" s="115" t="s">
        <v>1139</v>
      </c>
      <c r="D6052" s="115" t="s">
        <v>9903</v>
      </c>
      <c r="E6052" s="115" t="s">
        <v>9904</v>
      </c>
    </row>
    <row r="6053" spans="1:5" x14ac:dyDescent="0.2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2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2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2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2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2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2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25">
      <c r="B6060" s="115" t="s">
        <v>1391</v>
      </c>
      <c r="D6060" s="115" t="s">
        <v>3621</v>
      </c>
      <c r="E6060" s="115" t="s">
        <v>9924</v>
      </c>
    </row>
    <row r="6061" spans="1:5" x14ac:dyDescent="0.25">
      <c r="B6061" s="115" t="s">
        <v>1139</v>
      </c>
      <c r="D6061" s="115" t="s">
        <v>1816</v>
      </c>
      <c r="E6061" s="115" t="s">
        <v>9925</v>
      </c>
    </row>
    <row r="6062" spans="1:5" x14ac:dyDescent="0.2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25">
      <c r="B6063" s="115" t="s">
        <v>1139</v>
      </c>
      <c r="D6063" s="115" t="s">
        <v>1231</v>
      </c>
      <c r="E6063" s="115" t="s">
        <v>9928</v>
      </c>
    </row>
    <row r="6064" spans="1:5" x14ac:dyDescent="0.25">
      <c r="B6064" s="115" t="s">
        <v>1139</v>
      </c>
      <c r="D6064" s="115" t="s">
        <v>1140</v>
      </c>
      <c r="E6064" s="115" t="s">
        <v>9929</v>
      </c>
    </row>
    <row r="6065" spans="1:5" x14ac:dyDescent="0.25">
      <c r="B6065" s="115" t="s">
        <v>1139</v>
      </c>
      <c r="D6065" s="115" t="s">
        <v>9930</v>
      </c>
      <c r="E6065" s="115" t="s">
        <v>9931</v>
      </c>
    </row>
    <row r="6066" spans="1:5" x14ac:dyDescent="0.2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25">
      <c r="B6067" s="115" t="s">
        <v>1139</v>
      </c>
      <c r="D6067" s="115" t="s">
        <v>9933</v>
      </c>
      <c r="E6067" s="115" t="s">
        <v>9934</v>
      </c>
    </row>
    <row r="6068" spans="1:5" x14ac:dyDescent="0.2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25">
      <c r="B6069" s="115" t="s">
        <v>1139</v>
      </c>
      <c r="D6069" s="115" t="s">
        <v>9937</v>
      </c>
      <c r="E6069" s="115" t="s">
        <v>9938</v>
      </c>
    </row>
    <row r="6070" spans="1:5" x14ac:dyDescent="0.25">
      <c r="B6070" s="115" t="s">
        <v>1139</v>
      </c>
      <c r="D6070" s="115" t="s">
        <v>9939</v>
      </c>
      <c r="E6070" s="115" t="s">
        <v>9940</v>
      </c>
    </row>
    <row r="6071" spans="1:5" x14ac:dyDescent="0.2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25">
      <c r="B6072" s="115" t="s">
        <v>1518</v>
      </c>
      <c r="D6072" s="115" t="s">
        <v>9944</v>
      </c>
      <c r="E6072" s="115" t="s">
        <v>9945</v>
      </c>
    </row>
    <row r="6073" spans="1:5" x14ac:dyDescent="0.25">
      <c r="B6073" s="115" t="s">
        <v>1139</v>
      </c>
      <c r="D6073" s="115" t="s">
        <v>9946</v>
      </c>
      <c r="E6073" s="115" t="s">
        <v>9947</v>
      </c>
    </row>
    <row r="6074" spans="1:5" x14ac:dyDescent="0.2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25">
      <c r="B6075" s="115" t="s">
        <v>9949</v>
      </c>
      <c r="D6075" s="115" t="s">
        <v>9950</v>
      </c>
      <c r="E6075" s="115" t="s">
        <v>1819</v>
      </c>
    </row>
    <row r="6076" spans="1:5" x14ac:dyDescent="0.25">
      <c r="B6076" s="115" t="s">
        <v>1139</v>
      </c>
      <c r="D6076" s="115" t="s">
        <v>9951</v>
      </c>
      <c r="E6076" s="115" t="s">
        <v>9952</v>
      </c>
    </row>
    <row r="6077" spans="1:5" x14ac:dyDescent="0.25">
      <c r="B6077" s="115" t="s">
        <v>1139</v>
      </c>
      <c r="D6077" s="115" t="s">
        <v>9953</v>
      </c>
      <c r="E6077" s="115" t="s">
        <v>9954</v>
      </c>
    </row>
    <row r="6078" spans="1:5" x14ac:dyDescent="0.25">
      <c r="B6078" s="115" t="s">
        <v>1139</v>
      </c>
      <c r="D6078" s="115" t="s">
        <v>9955</v>
      </c>
      <c r="E6078" s="115" t="s">
        <v>9956</v>
      </c>
    </row>
    <row r="6079" spans="1:5" x14ac:dyDescent="0.25">
      <c r="B6079" s="115" t="s">
        <v>1139</v>
      </c>
      <c r="D6079" s="115" t="s">
        <v>9957</v>
      </c>
      <c r="E6079" s="115" t="s">
        <v>9958</v>
      </c>
    </row>
    <row r="6080" spans="1:5" x14ac:dyDescent="0.2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25">
      <c r="B6081" s="115" t="s">
        <v>9961</v>
      </c>
      <c r="D6081" s="115" t="s">
        <v>9962</v>
      </c>
      <c r="E6081" s="115" t="s">
        <v>9963</v>
      </c>
    </row>
    <row r="6082" spans="1:5" x14ac:dyDescent="0.2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25">
      <c r="B6083" s="115" t="s">
        <v>1139</v>
      </c>
      <c r="D6083" s="115" t="s">
        <v>1140</v>
      </c>
      <c r="E6083" s="115" t="s">
        <v>1141</v>
      </c>
    </row>
    <row r="6084" spans="1:5" x14ac:dyDescent="0.25">
      <c r="B6084" s="115" t="s">
        <v>1139</v>
      </c>
      <c r="D6084" s="115" t="s">
        <v>9965</v>
      </c>
      <c r="E6084" s="115" t="s">
        <v>9966</v>
      </c>
    </row>
    <row r="6085" spans="1:5" x14ac:dyDescent="0.2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2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2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2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2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2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2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2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2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25">
      <c r="B6094" s="115" t="s">
        <v>1139</v>
      </c>
      <c r="D6094" s="115" t="s">
        <v>9994</v>
      </c>
      <c r="E6094" s="115" t="s">
        <v>1141</v>
      </c>
    </row>
    <row r="6095" spans="1:5" x14ac:dyDescent="0.25">
      <c r="B6095" s="115" t="s">
        <v>1139</v>
      </c>
      <c r="D6095" s="115" t="s">
        <v>9995</v>
      </c>
      <c r="E6095" s="115" t="s">
        <v>9996</v>
      </c>
    </row>
    <row r="6096" spans="1:5" x14ac:dyDescent="0.25">
      <c r="B6096" s="115" t="s">
        <v>9997</v>
      </c>
      <c r="D6096" s="115" t="s">
        <v>9998</v>
      </c>
      <c r="E6096" s="115" t="s">
        <v>9999</v>
      </c>
    </row>
    <row r="6097" spans="1:5" x14ac:dyDescent="0.25">
      <c r="B6097" s="115" t="s">
        <v>1476</v>
      </c>
      <c r="D6097" s="115" t="s">
        <v>1140</v>
      </c>
      <c r="E6097" s="115" t="s">
        <v>3905</v>
      </c>
    </row>
    <row r="6098" spans="1:5" x14ac:dyDescent="0.25">
      <c r="B6098" s="115" t="s">
        <v>1139</v>
      </c>
      <c r="D6098" s="115" t="s">
        <v>10000</v>
      </c>
      <c r="E6098" s="115" t="s">
        <v>10001</v>
      </c>
    </row>
    <row r="6099" spans="1:5" x14ac:dyDescent="0.25">
      <c r="B6099" s="115" t="s">
        <v>1139</v>
      </c>
      <c r="D6099" s="115" t="s">
        <v>10002</v>
      </c>
      <c r="E6099" s="115" t="s">
        <v>10003</v>
      </c>
    </row>
    <row r="6100" spans="1:5" x14ac:dyDescent="0.2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25">
      <c r="B6101" s="115" t="s">
        <v>1571</v>
      </c>
      <c r="D6101" s="115" t="s">
        <v>10005</v>
      </c>
      <c r="E6101" s="115" t="s">
        <v>10006</v>
      </c>
    </row>
    <row r="6102" spans="1:5" x14ac:dyDescent="0.25">
      <c r="B6102" s="115" t="s">
        <v>10007</v>
      </c>
      <c r="D6102" s="115" t="s">
        <v>10008</v>
      </c>
      <c r="E6102" s="115" t="s">
        <v>10009</v>
      </c>
    </row>
    <row r="6103" spans="1:5" x14ac:dyDescent="0.2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25">
      <c r="B6104" s="115" t="s">
        <v>10013</v>
      </c>
      <c r="D6104" s="115" t="s">
        <v>10014</v>
      </c>
      <c r="E6104" s="115" t="s">
        <v>10015</v>
      </c>
    </row>
    <row r="6105" spans="1:5" x14ac:dyDescent="0.25">
      <c r="B6105" s="115" t="s">
        <v>10016</v>
      </c>
      <c r="D6105" s="115" t="s">
        <v>10017</v>
      </c>
      <c r="E6105" s="115" t="s">
        <v>10018</v>
      </c>
    </row>
    <row r="6106" spans="1:5" x14ac:dyDescent="0.25">
      <c r="B6106" s="115" t="s">
        <v>1139</v>
      </c>
      <c r="D6106" s="115" t="s">
        <v>10019</v>
      </c>
      <c r="E6106" s="115" t="s">
        <v>10020</v>
      </c>
    </row>
    <row r="6107" spans="1:5" x14ac:dyDescent="0.2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2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25">
      <c r="B6109" s="115" t="s">
        <v>10025</v>
      </c>
      <c r="D6109" s="115" t="s">
        <v>10026</v>
      </c>
      <c r="E6109" s="115" t="s">
        <v>1141</v>
      </c>
    </row>
    <row r="6110" spans="1:5" x14ac:dyDescent="0.2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25">
      <c r="B6111" s="115" t="s">
        <v>5563</v>
      </c>
      <c r="D6111" s="115" t="s">
        <v>10029</v>
      </c>
      <c r="E6111" s="115" t="s">
        <v>10030</v>
      </c>
    </row>
    <row r="6112" spans="1:5" x14ac:dyDescent="0.25">
      <c r="B6112" s="115" t="s">
        <v>10031</v>
      </c>
      <c r="D6112" s="115" t="s">
        <v>10032</v>
      </c>
      <c r="E6112" s="115" t="s">
        <v>10033</v>
      </c>
    </row>
    <row r="6113" spans="1:5" x14ac:dyDescent="0.2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25">
      <c r="B6114" s="115" t="s">
        <v>1139</v>
      </c>
      <c r="D6114" s="115" t="s">
        <v>1140</v>
      </c>
      <c r="E6114" s="115" t="s">
        <v>10037</v>
      </c>
    </row>
    <row r="6115" spans="1:5" x14ac:dyDescent="0.25">
      <c r="B6115" s="115" t="s">
        <v>10038</v>
      </c>
      <c r="D6115" s="115" t="s">
        <v>10039</v>
      </c>
      <c r="E6115" s="115" t="s">
        <v>10040</v>
      </c>
    </row>
    <row r="6116" spans="1:5" x14ac:dyDescent="0.25">
      <c r="B6116" s="115" t="s">
        <v>1139</v>
      </c>
      <c r="D6116" s="115" t="s">
        <v>10041</v>
      </c>
      <c r="E6116" s="115" t="s">
        <v>1819</v>
      </c>
    </row>
    <row r="6117" spans="1:5" x14ac:dyDescent="0.25">
      <c r="B6117" s="115" t="s">
        <v>1139</v>
      </c>
      <c r="D6117" s="115" t="s">
        <v>1140</v>
      </c>
      <c r="E6117" s="115" t="s">
        <v>1141</v>
      </c>
    </row>
    <row r="6118" spans="1:5" x14ac:dyDescent="0.25">
      <c r="B6118" s="115" t="s">
        <v>1349</v>
      </c>
      <c r="D6118" s="115" t="s">
        <v>1140</v>
      </c>
      <c r="E6118" s="115" t="s">
        <v>10042</v>
      </c>
    </row>
    <row r="6119" spans="1:5" x14ac:dyDescent="0.2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2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2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2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2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2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2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2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2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25">
      <c r="B6128" s="115" t="s">
        <v>1139</v>
      </c>
      <c r="D6128" s="115" t="s">
        <v>10070</v>
      </c>
      <c r="E6128" s="115" t="s">
        <v>1141</v>
      </c>
    </row>
    <row r="6129" spans="1:5" x14ac:dyDescent="0.25">
      <c r="B6129" s="115" t="s">
        <v>1139</v>
      </c>
      <c r="D6129" s="115" t="s">
        <v>10071</v>
      </c>
      <c r="E6129" s="115" t="s">
        <v>10072</v>
      </c>
    </row>
    <row r="6130" spans="1:5" x14ac:dyDescent="0.2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25">
      <c r="B6131" s="115" t="s">
        <v>1139</v>
      </c>
      <c r="D6131" s="115" t="s">
        <v>10076</v>
      </c>
      <c r="E6131" s="115" t="s">
        <v>2260</v>
      </c>
    </row>
    <row r="6132" spans="1:5" x14ac:dyDescent="0.25">
      <c r="B6132" s="115" t="s">
        <v>1139</v>
      </c>
      <c r="D6132" s="115" t="s">
        <v>10077</v>
      </c>
      <c r="E6132" s="115" t="s">
        <v>10078</v>
      </c>
    </row>
    <row r="6133" spans="1:5" x14ac:dyDescent="0.25">
      <c r="B6133" s="115" t="s">
        <v>10079</v>
      </c>
      <c r="D6133" s="115" t="s">
        <v>10080</v>
      </c>
      <c r="E6133" s="115" t="s">
        <v>10081</v>
      </c>
    </row>
    <row r="6134" spans="1:5" x14ac:dyDescent="0.25">
      <c r="B6134" s="115" t="s">
        <v>10082</v>
      </c>
      <c r="D6134" s="115" t="s">
        <v>10083</v>
      </c>
      <c r="E6134" s="115" t="s">
        <v>2082</v>
      </c>
    </row>
    <row r="6135" spans="1:5" x14ac:dyDescent="0.2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2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25">
      <c r="B6137" s="115" t="s">
        <v>10089</v>
      </c>
      <c r="D6137" s="115" t="s">
        <v>10090</v>
      </c>
      <c r="E6137" s="115" t="s">
        <v>2537</v>
      </c>
    </row>
    <row r="6138" spans="1:5" x14ac:dyDescent="0.2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2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25">
      <c r="B6140" s="115" t="s">
        <v>1592</v>
      </c>
      <c r="D6140" s="115" t="s">
        <v>10096</v>
      </c>
      <c r="E6140" s="115" t="s">
        <v>1894</v>
      </c>
    </row>
    <row r="6141" spans="1:5" x14ac:dyDescent="0.2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2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25">
      <c r="B6143" s="115" t="s">
        <v>1550</v>
      </c>
      <c r="D6143" s="115" t="s">
        <v>10103</v>
      </c>
      <c r="E6143" s="115" t="s">
        <v>1141</v>
      </c>
    </row>
    <row r="6144" spans="1:5" x14ac:dyDescent="0.25">
      <c r="B6144" s="115" t="s">
        <v>10104</v>
      </c>
      <c r="D6144" s="115" t="s">
        <v>10105</v>
      </c>
      <c r="E6144" s="115" t="s">
        <v>1141</v>
      </c>
    </row>
    <row r="6145" spans="1:5" x14ac:dyDescent="0.2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2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2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25">
      <c r="B6148" s="115" t="s">
        <v>1139</v>
      </c>
      <c r="D6148" s="115" t="s">
        <v>1140</v>
      </c>
      <c r="E6148" s="115" t="s">
        <v>10114</v>
      </c>
    </row>
    <row r="6149" spans="1:5" x14ac:dyDescent="0.2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25">
      <c r="B6150" s="115" t="s">
        <v>1139</v>
      </c>
      <c r="D6150" s="115" t="s">
        <v>10118</v>
      </c>
      <c r="E6150" s="115" t="s">
        <v>1141</v>
      </c>
    </row>
    <row r="6151" spans="1:5" x14ac:dyDescent="0.25">
      <c r="B6151" s="115" t="s">
        <v>1139</v>
      </c>
      <c r="D6151" s="115" t="s">
        <v>1140</v>
      </c>
      <c r="E6151" s="115" t="s">
        <v>1141</v>
      </c>
    </row>
    <row r="6152" spans="1:5" x14ac:dyDescent="0.25">
      <c r="B6152" s="115" t="s">
        <v>1166</v>
      </c>
      <c r="D6152" s="115" t="s">
        <v>4122</v>
      </c>
      <c r="E6152" s="115" t="s">
        <v>10119</v>
      </c>
    </row>
    <row r="6153" spans="1:5" x14ac:dyDescent="0.2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25">
      <c r="B6154" s="115" t="s">
        <v>10123</v>
      </c>
      <c r="D6154" s="115" t="s">
        <v>10124</v>
      </c>
      <c r="E6154" s="115" t="s">
        <v>10125</v>
      </c>
    </row>
    <row r="6155" spans="1:5" x14ac:dyDescent="0.2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2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2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2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2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2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2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25">
      <c r="B6162" s="115" t="s">
        <v>1139</v>
      </c>
      <c r="D6162" s="115" t="s">
        <v>10147</v>
      </c>
      <c r="E6162" s="115" t="s">
        <v>1141</v>
      </c>
    </row>
    <row r="6163" spans="1:5" x14ac:dyDescent="0.25">
      <c r="B6163" s="115" t="s">
        <v>1139</v>
      </c>
      <c r="D6163" s="115" t="s">
        <v>10148</v>
      </c>
      <c r="E6163" s="115" t="s">
        <v>10149</v>
      </c>
    </row>
    <row r="6164" spans="1:5" x14ac:dyDescent="0.25">
      <c r="B6164" s="115" t="s">
        <v>10150</v>
      </c>
      <c r="D6164" s="115" t="s">
        <v>1991</v>
      </c>
      <c r="E6164" s="115" t="s">
        <v>10151</v>
      </c>
    </row>
    <row r="6165" spans="1:5" x14ac:dyDescent="0.25">
      <c r="B6165" s="115" t="s">
        <v>1139</v>
      </c>
      <c r="D6165" s="115" t="s">
        <v>1850</v>
      </c>
      <c r="E6165" s="115" t="s">
        <v>1859</v>
      </c>
    </row>
    <row r="6166" spans="1:5" x14ac:dyDescent="0.25">
      <c r="B6166" s="115" t="s">
        <v>1139</v>
      </c>
      <c r="D6166" s="115" t="s">
        <v>10152</v>
      </c>
      <c r="E6166" s="115" t="s">
        <v>10153</v>
      </c>
    </row>
    <row r="6167" spans="1:5" x14ac:dyDescent="0.25">
      <c r="B6167" s="115" t="s">
        <v>6470</v>
      </c>
      <c r="D6167" s="115" t="s">
        <v>10154</v>
      </c>
      <c r="E6167" s="115" t="s">
        <v>10155</v>
      </c>
    </row>
    <row r="6168" spans="1:5" x14ac:dyDescent="0.25">
      <c r="B6168" s="115" t="s">
        <v>10156</v>
      </c>
      <c r="D6168" s="115" t="s">
        <v>10157</v>
      </c>
      <c r="E6168" s="115" t="s">
        <v>1141</v>
      </c>
    </row>
    <row r="6169" spans="1:5" x14ac:dyDescent="0.2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2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25">
      <c r="B6171" s="115" t="s">
        <v>1186</v>
      </c>
      <c r="D6171" s="115" t="s">
        <v>10162</v>
      </c>
      <c r="E6171" s="115" t="s">
        <v>1859</v>
      </c>
    </row>
    <row r="6172" spans="1:5" x14ac:dyDescent="0.25">
      <c r="B6172" s="115" t="s">
        <v>10163</v>
      </c>
      <c r="D6172" s="115" t="s">
        <v>10164</v>
      </c>
      <c r="E6172" s="115" t="s">
        <v>10165</v>
      </c>
    </row>
    <row r="6173" spans="1:5" x14ac:dyDescent="0.25">
      <c r="B6173" s="115" t="s">
        <v>10166</v>
      </c>
      <c r="D6173" s="115" t="s">
        <v>10167</v>
      </c>
      <c r="E6173" s="115" t="s">
        <v>10168</v>
      </c>
    </row>
    <row r="6174" spans="1:5" x14ac:dyDescent="0.25">
      <c r="B6174" s="115" t="s">
        <v>10169</v>
      </c>
      <c r="D6174" s="115" t="s">
        <v>10170</v>
      </c>
      <c r="E6174" s="115" t="s">
        <v>2690</v>
      </c>
    </row>
    <row r="6175" spans="1:5" x14ac:dyDescent="0.25">
      <c r="B6175" s="115" t="s">
        <v>10171</v>
      </c>
      <c r="D6175" s="115" t="s">
        <v>10172</v>
      </c>
      <c r="E6175" s="115" t="s">
        <v>10173</v>
      </c>
    </row>
    <row r="6176" spans="1:5" x14ac:dyDescent="0.25">
      <c r="B6176" s="115" t="s">
        <v>10174</v>
      </c>
      <c r="D6176" s="115" t="s">
        <v>10175</v>
      </c>
      <c r="E6176" s="115" t="s">
        <v>10176</v>
      </c>
    </row>
    <row r="6177" spans="1:5" x14ac:dyDescent="0.25">
      <c r="B6177" s="115" t="s">
        <v>10177</v>
      </c>
      <c r="D6177" s="115" t="s">
        <v>10178</v>
      </c>
      <c r="E6177" s="115" t="s">
        <v>1141</v>
      </c>
    </row>
    <row r="6178" spans="1:5" x14ac:dyDescent="0.25">
      <c r="B6178" s="115" t="s">
        <v>10179</v>
      </c>
      <c r="D6178" s="115" t="s">
        <v>10180</v>
      </c>
      <c r="E6178" s="115" t="s">
        <v>1141</v>
      </c>
    </row>
    <row r="6179" spans="1:5" x14ac:dyDescent="0.2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25">
      <c r="B6180" s="115" t="s">
        <v>1256</v>
      </c>
      <c r="D6180" s="115" t="s">
        <v>10184</v>
      </c>
      <c r="E6180" s="115" t="s">
        <v>1859</v>
      </c>
    </row>
    <row r="6181" spans="1:5" x14ac:dyDescent="0.25">
      <c r="B6181" s="115" t="s">
        <v>10185</v>
      </c>
      <c r="D6181" s="115" t="s">
        <v>10186</v>
      </c>
      <c r="E6181" s="115" t="s">
        <v>10187</v>
      </c>
    </row>
    <row r="6182" spans="1:5" x14ac:dyDescent="0.25">
      <c r="B6182" s="115" t="s">
        <v>1139</v>
      </c>
      <c r="D6182" s="115" t="s">
        <v>1140</v>
      </c>
      <c r="E6182" s="115" t="s">
        <v>10188</v>
      </c>
    </row>
    <row r="6183" spans="1:5" x14ac:dyDescent="0.2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25">
      <c r="B6184" s="115" t="s">
        <v>1139</v>
      </c>
      <c r="D6184" s="115" t="s">
        <v>10192</v>
      </c>
      <c r="E6184" s="115" t="s">
        <v>1141</v>
      </c>
    </row>
    <row r="6185" spans="1:5" x14ac:dyDescent="0.25">
      <c r="B6185" s="115" t="s">
        <v>1139</v>
      </c>
      <c r="D6185" s="115" t="s">
        <v>1140</v>
      </c>
      <c r="E6185" s="115" t="s">
        <v>1141</v>
      </c>
    </row>
    <row r="6186" spans="1:5" x14ac:dyDescent="0.2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2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25">
      <c r="B6188" s="115" t="s">
        <v>10197</v>
      </c>
      <c r="D6188" s="115" t="s">
        <v>10198</v>
      </c>
      <c r="E6188" s="115" t="s">
        <v>10199</v>
      </c>
    </row>
    <row r="6189" spans="1:5" x14ac:dyDescent="0.25">
      <c r="B6189" s="115" t="s">
        <v>10200</v>
      </c>
      <c r="D6189" s="115" t="s">
        <v>10201</v>
      </c>
      <c r="E6189" s="115" t="s">
        <v>10202</v>
      </c>
    </row>
    <row r="6190" spans="1:5" x14ac:dyDescent="0.25">
      <c r="B6190" s="115" t="s">
        <v>10203</v>
      </c>
      <c r="D6190" s="115" t="s">
        <v>10204</v>
      </c>
      <c r="E6190" s="115" t="s">
        <v>10205</v>
      </c>
    </row>
    <row r="6191" spans="1:5" x14ac:dyDescent="0.25">
      <c r="B6191" s="115" t="s">
        <v>10206</v>
      </c>
      <c r="D6191" s="115" t="s">
        <v>10207</v>
      </c>
      <c r="E6191" s="115" t="s">
        <v>10208</v>
      </c>
    </row>
    <row r="6192" spans="1:5" x14ac:dyDescent="0.25">
      <c r="B6192" s="115" t="s">
        <v>10209</v>
      </c>
      <c r="D6192" s="115" t="s">
        <v>10210</v>
      </c>
      <c r="E6192" s="115" t="s">
        <v>10211</v>
      </c>
    </row>
    <row r="6193" spans="1:5" x14ac:dyDescent="0.2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25">
      <c r="B6194" s="115" t="s">
        <v>10214</v>
      </c>
      <c r="D6194" s="115" t="s">
        <v>10215</v>
      </c>
      <c r="E6194" s="115" t="s">
        <v>10216</v>
      </c>
    </row>
    <row r="6195" spans="1:5" x14ac:dyDescent="0.2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25">
      <c r="B6196" s="115" t="s">
        <v>1139</v>
      </c>
      <c r="D6196" s="115" t="s">
        <v>10220</v>
      </c>
      <c r="E6196" s="115" t="s">
        <v>1141</v>
      </c>
    </row>
    <row r="6197" spans="1:5" x14ac:dyDescent="0.25">
      <c r="B6197" s="115" t="s">
        <v>1139</v>
      </c>
      <c r="D6197" s="115" t="s">
        <v>10221</v>
      </c>
      <c r="E6197" s="115" t="s">
        <v>10222</v>
      </c>
    </row>
    <row r="6198" spans="1:5" x14ac:dyDescent="0.2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2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25">
      <c r="B6200" s="115" t="s">
        <v>1139</v>
      </c>
      <c r="D6200" s="115" t="s">
        <v>10227</v>
      </c>
      <c r="E6200" s="115" t="s">
        <v>10228</v>
      </c>
    </row>
    <row r="6201" spans="1:5" x14ac:dyDescent="0.2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25">
      <c r="B6202" s="115" t="s">
        <v>10231</v>
      </c>
      <c r="D6202" s="115" t="s">
        <v>10232</v>
      </c>
      <c r="E6202" s="115" t="s">
        <v>10233</v>
      </c>
    </row>
    <row r="6203" spans="1:5" x14ac:dyDescent="0.25">
      <c r="B6203" s="115" t="s">
        <v>10234</v>
      </c>
      <c r="D6203" s="115" t="s">
        <v>10235</v>
      </c>
      <c r="E6203" s="115" t="s">
        <v>10236</v>
      </c>
    </row>
    <row r="6204" spans="1:5" x14ac:dyDescent="0.2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2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2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25">
      <c r="B6207" s="115" t="s">
        <v>10244</v>
      </c>
      <c r="D6207" s="115" t="s">
        <v>10245</v>
      </c>
      <c r="E6207" s="115" t="s">
        <v>10246</v>
      </c>
    </row>
    <row r="6208" spans="1:5" x14ac:dyDescent="0.25">
      <c r="B6208" s="115" t="s">
        <v>1139</v>
      </c>
      <c r="D6208" s="115" t="s">
        <v>10247</v>
      </c>
      <c r="E6208" s="115" t="s">
        <v>10248</v>
      </c>
    </row>
    <row r="6209" spans="1:5" x14ac:dyDescent="0.25">
      <c r="B6209" s="115" t="s">
        <v>3061</v>
      </c>
      <c r="D6209" s="115" t="s">
        <v>10249</v>
      </c>
      <c r="E6209" s="115" t="s">
        <v>10250</v>
      </c>
    </row>
    <row r="6210" spans="1:5" x14ac:dyDescent="0.2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25">
      <c r="B6211" s="115" t="s">
        <v>1306</v>
      </c>
      <c r="D6211" s="115" t="s">
        <v>10253</v>
      </c>
      <c r="E6211" s="115" t="s">
        <v>1141</v>
      </c>
    </row>
    <row r="6212" spans="1:5" x14ac:dyDescent="0.2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2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25">
      <c r="B6214" s="115" t="s">
        <v>10258</v>
      </c>
      <c r="D6214" s="115" t="s">
        <v>1399</v>
      </c>
      <c r="E6214" s="115" t="s">
        <v>10259</v>
      </c>
    </row>
    <row r="6215" spans="1:5" x14ac:dyDescent="0.25">
      <c r="B6215" s="115" t="s">
        <v>10260</v>
      </c>
      <c r="D6215" s="115" t="s">
        <v>10261</v>
      </c>
      <c r="E6215" s="115" t="s">
        <v>10262</v>
      </c>
    </row>
    <row r="6216" spans="1:5" x14ac:dyDescent="0.25">
      <c r="B6216" s="115" t="s">
        <v>1139</v>
      </c>
      <c r="D6216" s="115" t="s">
        <v>1140</v>
      </c>
      <c r="E6216" s="115" t="s">
        <v>10263</v>
      </c>
    </row>
    <row r="6217" spans="1:5" x14ac:dyDescent="0.2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25">
      <c r="B6218" s="115" t="s">
        <v>1139</v>
      </c>
      <c r="D6218" s="115" t="s">
        <v>10267</v>
      </c>
      <c r="E6218" s="115" t="s">
        <v>1141</v>
      </c>
    </row>
    <row r="6219" spans="1:5" x14ac:dyDescent="0.25">
      <c r="B6219" s="115" t="s">
        <v>1139</v>
      </c>
      <c r="D6219" s="115" t="s">
        <v>1140</v>
      </c>
      <c r="E6219" s="115" t="s">
        <v>1141</v>
      </c>
    </row>
    <row r="6220" spans="1:5" x14ac:dyDescent="0.25">
      <c r="B6220" s="115" t="s">
        <v>10169</v>
      </c>
      <c r="D6220" s="115" t="s">
        <v>1140</v>
      </c>
      <c r="E6220" s="115" t="s">
        <v>10268</v>
      </c>
    </row>
    <row r="6221" spans="1:5" x14ac:dyDescent="0.2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25">
      <c r="B6222" s="115" t="s">
        <v>10272</v>
      </c>
      <c r="D6222" s="115" t="s">
        <v>10273</v>
      </c>
      <c r="E6222" s="115" t="s">
        <v>10274</v>
      </c>
    </row>
    <row r="6223" spans="1:5" x14ac:dyDescent="0.25">
      <c r="B6223" s="115" t="s">
        <v>10275</v>
      </c>
      <c r="D6223" s="115" t="s">
        <v>10276</v>
      </c>
      <c r="E6223" s="115" t="s">
        <v>10277</v>
      </c>
    </row>
    <row r="6224" spans="1:5" x14ac:dyDescent="0.25">
      <c r="B6224" s="115" t="s">
        <v>10278</v>
      </c>
      <c r="D6224" s="115" t="s">
        <v>10279</v>
      </c>
      <c r="E6224" s="115" t="s">
        <v>10280</v>
      </c>
    </row>
    <row r="6225" spans="1:5" x14ac:dyDescent="0.2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2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2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2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2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25">
      <c r="B6230" s="115" t="s">
        <v>10292</v>
      </c>
      <c r="D6230" s="115" t="s">
        <v>4208</v>
      </c>
      <c r="E6230" s="115" t="s">
        <v>10293</v>
      </c>
    </row>
    <row r="6231" spans="1:5" x14ac:dyDescent="0.25">
      <c r="B6231" s="115" t="s">
        <v>1139</v>
      </c>
      <c r="D6231" s="115" t="s">
        <v>10294</v>
      </c>
      <c r="E6231" s="115" t="s">
        <v>10295</v>
      </c>
    </row>
    <row r="6232" spans="1:5" x14ac:dyDescent="0.2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25">
      <c r="B6233" s="115" t="s">
        <v>1139</v>
      </c>
      <c r="D6233" s="115" t="s">
        <v>10299</v>
      </c>
      <c r="E6233" s="115" t="s">
        <v>10300</v>
      </c>
    </row>
    <row r="6234" spans="1:5" x14ac:dyDescent="0.25">
      <c r="B6234" s="115" t="s">
        <v>1139</v>
      </c>
      <c r="D6234" s="115" t="s">
        <v>1140</v>
      </c>
      <c r="E6234" s="115" t="s">
        <v>10301</v>
      </c>
    </row>
    <row r="6235" spans="1:5" x14ac:dyDescent="0.25">
      <c r="B6235" s="115" t="s">
        <v>1139</v>
      </c>
      <c r="D6235" s="115" t="s">
        <v>10302</v>
      </c>
      <c r="E6235" s="115" t="s">
        <v>10303</v>
      </c>
    </row>
    <row r="6236" spans="1:5" x14ac:dyDescent="0.2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25">
      <c r="B6237" s="115" t="s">
        <v>1139</v>
      </c>
      <c r="D6237" s="115" t="s">
        <v>10307</v>
      </c>
      <c r="E6237" s="115" t="s">
        <v>10308</v>
      </c>
    </row>
    <row r="6238" spans="1:5" x14ac:dyDescent="0.2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25">
      <c r="B6239" s="115" t="s">
        <v>1139</v>
      </c>
      <c r="D6239" s="115" t="s">
        <v>10311</v>
      </c>
      <c r="E6239" s="115" t="s">
        <v>10312</v>
      </c>
    </row>
    <row r="6240" spans="1:5" x14ac:dyDescent="0.25">
      <c r="B6240" s="115" t="s">
        <v>1139</v>
      </c>
      <c r="D6240" s="115" t="s">
        <v>10313</v>
      </c>
      <c r="E6240" s="115" t="s">
        <v>10314</v>
      </c>
    </row>
    <row r="6241" spans="1:5" x14ac:dyDescent="0.25">
      <c r="B6241" s="115" t="s">
        <v>10315</v>
      </c>
      <c r="D6241" s="115" t="s">
        <v>10316</v>
      </c>
      <c r="E6241" s="115" t="s">
        <v>10317</v>
      </c>
    </row>
    <row r="6242" spans="1:5" x14ac:dyDescent="0.25">
      <c r="B6242" s="115" t="s">
        <v>1310</v>
      </c>
      <c r="D6242" s="115" t="s">
        <v>1580</v>
      </c>
      <c r="E6242" s="115" t="s">
        <v>10318</v>
      </c>
    </row>
    <row r="6243" spans="1:5" x14ac:dyDescent="0.25">
      <c r="B6243" s="115" t="s">
        <v>1139</v>
      </c>
      <c r="D6243" s="115" t="s">
        <v>10319</v>
      </c>
      <c r="E6243" s="115" t="s">
        <v>10320</v>
      </c>
    </row>
    <row r="6244" spans="1:5" x14ac:dyDescent="0.25">
      <c r="B6244" s="115" t="s">
        <v>1139</v>
      </c>
      <c r="D6244" s="115" t="s">
        <v>10321</v>
      </c>
      <c r="E6244" s="115" t="s">
        <v>10322</v>
      </c>
    </row>
    <row r="6245" spans="1:5" x14ac:dyDescent="0.25">
      <c r="B6245" s="115" t="s">
        <v>10323</v>
      </c>
      <c r="D6245" s="115" t="s">
        <v>10324</v>
      </c>
      <c r="E6245" s="115" t="s">
        <v>1859</v>
      </c>
    </row>
    <row r="6246" spans="1:5" x14ac:dyDescent="0.25">
      <c r="B6246" s="115" t="s">
        <v>1139</v>
      </c>
      <c r="D6246" s="115" t="s">
        <v>10325</v>
      </c>
      <c r="E6246" s="115" t="s">
        <v>10326</v>
      </c>
    </row>
    <row r="6247" spans="1:5" x14ac:dyDescent="0.25">
      <c r="B6247" s="115" t="s">
        <v>1139</v>
      </c>
      <c r="D6247" s="115" t="s">
        <v>10327</v>
      </c>
      <c r="E6247" s="115" t="s">
        <v>10328</v>
      </c>
    </row>
    <row r="6248" spans="1:5" x14ac:dyDescent="0.25">
      <c r="B6248" s="115" t="s">
        <v>1139</v>
      </c>
      <c r="D6248" s="115" t="s">
        <v>10329</v>
      </c>
      <c r="E6248" s="115" t="s">
        <v>10330</v>
      </c>
    </row>
    <row r="6249" spans="1:5" x14ac:dyDescent="0.25">
      <c r="B6249" s="115" t="s">
        <v>1139</v>
      </c>
      <c r="D6249" s="115" t="s">
        <v>10331</v>
      </c>
      <c r="E6249" s="115" t="s">
        <v>10332</v>
      </c>
    </row>
    <row r="6250" spans="1:5" x14ac:dyDescent="0.2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2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2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25">
      <c r="B6253" s="115" t="s">
        <v>1139</v>
      </c>
      <c r="D6253" s="115" t="s">
        <v>1140</v>
      </c>
      <c r="E6253" s="115" t="s">
        <v>1141</v>
      </c>
    </row>
    <row r="6254" spans="1:5" x14ac:dyDescent="0.25">
      <c r="B6254" s="115" t="s">
        <v>1139</v>
      </c>
      <c r="D6254" s="115" t="s">
        <v>10339</v>
      </c>
      <c r="E6254" s="115" t="s">
        <v>10340</v>
      </c>
    </row>
    <row r="6255" spans="1:5" x14ac:dyDescent="0.25">
      <c r="B6255" s="115" t="s">
        <v>1680</v>
      </c>
      <c r="D6255" s="115" t="s">
        <v>10341</v>
      </c>
      <c r="E6255" s="115" t="s">
        <v>10342</v>
      </c>
    </row>
    <row r="6256" spans="1:5" x14ac:dyDescent="0.2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25">
      <c r="B6257" s="115" t="s">
        <v>10346</v>
      </c>
      <c r="D6257" s="115" t="s">
        <v>10347</v>
      </c>
      <c r="E6257" s="115" t="s">
        <v>10348</v>
      </c>
    </row>
    <row r="6258" spans="1:5" x14ac:dyDescent="0.2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2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2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25">
      <c r="B6261" s="115" t="s">
        <v>10358</v>
      </c>
      <c r="D6261" s="115" t="s">
        <v>10359</v>
      </c>
      <c r="E6261" s="115" t="s">
        <v>10360</v>
      </c>
    </row>
    <row r="6262" spans="1:5" x14ac:dyDescent="0.25">
      <c r="B6262" s="115" t="s">
        <v>10361</v>
      </c>
      <c r="D6262" s="115" t="s">
        <v>10362</v>
      </c>
      <c r="E6262" s="115" t="s">
        <v>10363</v>
      </c>
    </row>
    <row r="6263" spans="1:5" x14ac:dyDescent="0.2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2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25">
      <c r="B6265" s="115" t="s">
        <v>1139</v>
      </c>
      <c r="D6265" s="115" t="s">
        <v>1140</v>
      </c>
      <c r="E6265" s="115" t="s">
        <v>10369</v>
      </c>
    </row>
    <row r="6266" spans="1:5" x14ac:dyDescent="0.25">
      <c r="B6266" s="115" t="s">
        <v>1139</v>
      </c>
      <c r="D6266" s="115" t="s">
        <v>10370</v>
      </c>
      <c r="E6266" s="115" t="s">
        <v>10371</v>
      </c>
    </row>
    <row r="6267" spans="1:5" x14ac:dyDescent="0.25">
      <c r="B6267" s="115" t="s">
        <v>10372</v>
      </c>
      <c r="D6267" s="115" t="s">
        <v>5010</v>
      </c>
      <c r="E6267" s="115" t="s">
        <v>2082</v>
      </c>
    </row>
    <row r="6268" spans="1:5" x14ac:dyDescent="0.25">
      <c r="B6268" s="115" t="s">
        <v>2982</v>
      </c>
      <c r="D6268" s="115" t="s">
        <v>1140</v>
      </c>
      <c r="E6268" s="115" t="s">
        <v>10373</v>
      </c>
    </row>
    <row r="6269" spans="1:5" x14ac:dyDescent="0.2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25">
      <c r="B6270" s="115" t="s">
        <v>1139</v>
      </c>
      <c r="D6270" s="115" t="s">
        <v>10377</v>
      </c>
      <c r="E6270" s="115" t="s">
        <v>10378</v>
      </c>
    </row>
    <row r="6271" spans="1:5" x14ac:dyDescent="0.2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2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25">
      <c r="B6273" s="115" t="s">
        <v>10384</v>
      </c>
      <c r="D6273" s="115" t="s">
        <v>10385</v>
      </c>
      <c r="E6273" s="115" t="s">
        <v>10386</v>
      </c>
    </row>
    <row r="6274" spans="1:5" x14ac:dyDescent="0.25">
      <c r="B6274" s="115" t="s">
        <v>10387</v>
      </c>
      <c r="D6274" s="115" t="s">
        <v>1140</v>
      </c>
      <c r="E6274" s="115" t="s">
        <v>10388</v>
      </c>
    </row>
    <row r="6275" spans="1:5" x14ac:dyDescent="0.2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25">
      <c r="B6276" s="115" t="s">
        <v>10392</v>
      </c>
      <c r="D6276" s="115" t="s">
        <v>10393</v>
      </c>
      <c r="E6276" s="115" t="s">
        <v>10394</v>
      </c>
    </row>
    <row r="6277" spans="1:5" x14ac:dyDescent="0.25">
      <c r="B6277" s="115" t="s">
        <v>10395</v>
      </c>
      <c r="D6277" s="115" t="s">
        <v>1140</v>
      </c>
      <c r="E6277" s="115" t="s">
        <v>10396</v>
      </c>
    </row>
    <row r="6278" spans="1:5" x14ac:dyDescent="0.2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25">
      <c r="B6279" s="115" t="s">
        <v>10399</v>
      </c>
      <c r="D6279" s="115" t="s">
        <v>10400</v>
      </c>
      <c r="E6279" s="115" t="s">
        <v>10401</v>
      </c>
    </row>
    <row r="6280" spans="1:5" x14ac:dyDescent="0.25">
      <c r="B6280" s="115" t="s">
        <v>1139</v>
      </c>
      <c r="D6280" s="115" t="s">
        <v>1140</v>
      </c>
      <c r="E6280" s="115" t="s">
        <v>10402</v>
      </c>
    </row>
    <row r="6281" spans="1:5" x14ac:dyDescent="0.2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2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25">
      <c r="B6283" s="115" t="s">
        <v>10408</v>
      </c>
      <c r="D6283" s="115" t="s">
        <v>1140</v>
      </c>
      <c r="E6283" s="115" t="s">
        <v>10409</v>
      </c>
    </row>
    <row r="6284" spans="1:5" x14ac:dyDescent="0.2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25">
      <c r="B6285" s="115" t="s">
        <v>1139</v>
      </c>
      <c r="D6285" s="115" t="s">
        <v>10412</v>
      </c>
      <c r="E6285" s="115" t="s">
        <v>10413</v>
      </c>
    </row>
    <row r="6286" spans="1:5" x14ac:dyDescent="0.25">
      <c r="B6286" s="115" t="s">
        <v>10414</v>
      </c>
      <c r="D6286" s="115" t="s">
        <v>10415</v>
      </c>
      <c r="E6286" s="115" t="s">
        <v>10416</v>
      </c>
    </row>
    <row r="6287" spans="1:5" x14ac:dyDescent="0.2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25">
      <c r="B6288" s="115" t="s">
        <v>1139</v>
      </c>
      <c r="D6288" s="115" t="s">
        <v>1140</v>
      </c>
      <c r="E6288" s="115" t="s">
        <v>10417</v>
      </c>
    </row>
    <row r="6289" spans="1:5" x14ac:dyDescent="0.25">
      <c r="B6289" s="115" t="s">
        <v>10418</v>
      </c>
      <c r="D6289" s="115" t="s">
        <v>10419</v>
      </c>
      <c r="E6289" s="115" t="s">
        <v>10420</v>
      </c>
    </row>
    <row r="6290" spans="1:5" x14ac:dyDescent="0.25">
      <c r="B6290" s="115" t="s">
        <v>1139</v>
      </c>
      <c r="D6290" s="115" t="s">
        <v>10421</v>
      </c>
      <c r="E6290" s="115" t="s">
        <v>10422</v>
      </c>
    </row>
    <row r="6291" spans="1:5" x14ac:dyDescent="0.2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2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2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2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2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25">
      <c r="B6296" s="115" t="s">
        <v>10437</v>
      </c>
      <c r="D6296" s="115" t="s">
        <v>10438</v>
      </c>
      <c r="E6296" s="115" t="s">
        <v>10439</v>
      </c>
    </row>
    <row r="6297" spans="1:5" x14ac:dyDescent="0.2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2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25">
      <c r="B6299" s="115" t="s">
        <v>1139</v>
      </c>
      <c r="D6299" s="115" t="s">
        <v>10446</v>
      </c>
      <c r="E6299" s="115" t="s">
        <v>1141</v>
      </c>
    </row>
    <row r="6300" spans="1:5" x14ac:dyDescent="0.25">
      <c r="B6300" s="115" t="s">
        <v>1139</v>
      </c>
      <c r="D6300" s="115" t="s">
        <v>10447</v>
      </c>
      <c r="E6300" s="115" t="s">
        <v>10448</v>
      </c>
    </row>
    <row r="6301" spans="1:5" x14ac:dyDescent="0.2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25">
      <c r="B6302" s="115" t="s">
        <v>1139</v>
      </c>
      <c r="D6302" s="115" t="s">
        <v>2127</v>
      </c>
      <c r="E6302" s="115" t="s">
        <v>1759</v>
      </c>
    </row>
    <row r="6303" spans="1:5" x14ac:dyDescent="0.25">
      <c r="B6303" s="115" t="s">
        <v>1139</v>
      </c>
      <c r="D6303" s="115" t="s">
        <v>10452</v>
      </c>
      <c r="E6303" s="115" t="s">
        <v>1245</v>
      </c>
    </row>
    <row r="6304" spans="1:5" x14ac:dyDescent="0.25">
      <c r="B6304" s="115" t="s">
        <v>10453</v>
      </c>
      <c r="D6304" s="115" t="s">
        <v>10454</v>
      </c>
      <c r="E6304" s="115" t="s">
        <v>10455</v>
      </c>
    </row>
    <row r="6305" spans="1:5" x14ac:dyDescent="0.2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2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2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25">
      <c r="B6308" s="115" t="s">
        <v>1338</v>
      </c>
      <c r="D6308" s="115" t="s">
        <v>10464</v>
      </c>
      <c r="E6308" s="115" t="s">
        <v>2537</v>
      </c>
    </row>
    <row r="6309" spans="1:5" x14ac:dyDescent="0.25">
      <c r="B6309" s="115" t="s">
        <v>10465</v>
      </c>
      <c r="D6309" s="115" t="s">
        <v>10466</v>
      </c>
      <c r="E6309" s="115" t="s">
        <v>10467</v>
      </c>
    </row>
    <row r="6310" spans="1:5" x14ac:dyDescent="0.2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25">
      <c r="B6311" s="115" t="s">
        <v>2660</v>
      </c>
      <c r="D6311" s="115" t="s">
        <v>10470</v>
      </c>
      <c r="E6311" s="115" t="s">
        <v>1894</v>
      </c>
    </row>
    <row r="6312" spans="1:5" x14ac:dyDescent="0.25">
      <c r="B6312" s="115" t="s">
        <v>10471</v>
      </c>
      <c r="D6312" s="115" t="s">
        <v>10472</v>
      </c>
      <c r="E6312" s="115" t="s">
        <v>10473</v>
      </c>
    </row>
    <row r="6313" spans="1:5" x14ac:dyDescent="0.2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25">
      <c r="B6314" s="115" t="s">
        <v>1478</v>
      </c>
      <c r="D6314" s="115" t="s">
        <v>1519</v>
      </c>
      <c r="E6314" s="115" t="s">
        <v>1141</v>
      </c>
    </row>
    <row r="6315" spans="1:5" x14ac:dyDescent="0.25">
      <c r="B6315" s="115" t="s">
        <v>10477</v>
      </c>
      <c r="D6315" s="115" t="s">
        <v>10478</v>
      </c>
      <c r="E6315" s="115" t="s">
        <v>1141</v>
      </c>
    </row>
    <row r="6316" spans="1:5" x14ac:dyDescent="0.2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2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2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25">
      <c r="B6319" s="115" t="s">
        <v>1139</v>
      </c>
      <c r="D6319" s="115" t="s">
        <v>1140</v>
      </c>
      <c r="E6319" s="115" t="s">
        <v>10486</v>
      </c>
    </row>
    <row r="6320" spans="1:5" x14ac:dyDescent="0.2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25">
      <c r="B6321" s="115" t="s">
        <v>1139</v>
      </c>
      <c r="D6321" s="115" t="s">
        <v>10490</v>
      </c>
      <c r="E6321" s="115" t="s">
        <v>1141</v>
      </c>
    </row>
    <row r="6322" spans="1:5" x14ac:dyDescent="0.25">
      <c r="B6322" s="115" t="s">
        <v>1139</v>
      </c>
      <c r="D6322" s="115" t="s">
        <v>1140</v>
      </c>
      <c r="E6322" s="115" t="s">
        <v>1141</v>
      </c>
    </row>
    <row r="6323" spans="1:5" x14ac:dyDescent="0.25">
      <c r="B6323" s="115" t="s">
        <v>1441</v>
      </c>
      <c r="D6323" s="115" t="s">
        <v>8316</v>
      </c>
      <c r="E6323" s="115" t="s">
        <v>10491</v>
      </c>
    </row>
    <row r="6324" spans="1:5" x14ac:dyDescent="0.25">
      <c r="B6324" s="115" t="s">
        <v>10492</v>
      </c>
      <c r="D6324" s="115" t="s">
        <v>10493</v>
      </c>
      <c r="E6324" s="115" t="s">
        <v>10494</v>
      </c>
    </row>
    <row r="6325" spans="1:5" x14ac:dyDescent="0.2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2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2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2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2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2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2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2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25">
      <c r="B6333" s="115" t="s">
        <v>10519</v>
      </c>
      <c r="D6333" s="115" t="s">
        <v>10520</v>
      </c>
      <c r="E6333" s="115" t="s">
        <v>10521</v>
      </c>
    </row>
    <row r="6334" spans="1:5" x14ac:dyDescent="0.25">
      <c r="B6334" s="115" t="s">
        <v>1139</v>
      </c>
      <c r="D6334" s="115" t="s">
        <v>1140</v>
      </c>
      <c r="E6334" s="115" t="s">
        <v>10522</v>
      </c>
    </row>
    <row r="6335" spans="1:5" x14ac:dyDescent="0.25">
      <c r="B6335" s="115" t="s">
        <v>3615</v>
      </c>
      <c r="D6335" s="115" t="s">
        <v>10523</v>
      </c>
      <c r="E6335" s="115" t="s">
        <v>10524</v>
      </c>
    </row>
    <row r="6336" spans="1:5" x14ac:dyDescent="0.2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25">
      <c r="B6337" s="115" t="s">
        <v>1161</v>
      </c>
      <c r="D6337" s="115" t="s">
        <v>1140</v>
      </c>
      <c r="E6337" s="115" t="s">
        <v>10526</v>
      </c>
    </row>
    <row r="6338" spans="1:5" x14ac:dyDescent="0.25">
      <c r="B6338" s="115" t="s">
        <v>1656</v>
      </c>
      <c r="D6338" s="115" t="s">
        <v>1140</v>
      </c>
      <c r="E6338" s="115" t="s">
        <v>10527</v>
      </c>
    </row>
    <row r="6339" spans="1:5" x14ac:dyDescent="0.25">
      <c r="B6339" s="115" t="s">
        <v>1570</v>
      </c>
      <c r="D6339" s="115" t="s">
        <v>10528</v>
      </c>
      <c r="E6339" s="115" t="s">
        <v>10529</v>
      </c>
    </row>
    <row r="6340" spans="1:5" x14ac:dyDescent="0.25">
      <c r="B6340" s="115" t="s">
        <v>1450</v>
      </c>
      <c r="D6340" s="115" t="s">
        <v>2893</v>
      </c>
      <c r="E6340" s="115" t="s">
        <v>10530</v>
      </c>
    </row>
    <row r="6341" spans="1:5" x14ac:dyDescent="0.2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25">
      <c r="B6342" s="115" t="s">
        <v>10534</v>
      </c>
      <c r="D6342" s="115" t="s">
        <v>10535</v>
      </c>
      <c r="E6342" s="115" t="s">
        <v>10536</v>
      </c>
    </row>
    <row r="6343" spans="1:5" x14ac:dyDescent="0.25">
      <c r="B6343" s="115" t="s">
        <v>1645</v>
      </c>
      <c r="D6343" s="115" t="s">
        <v>3014</v>
      </c>
      <c r="E6343" s="115" t="s">
        <v>10537</v>
      </c>
    </row>
    <row r="6344" spans="1:5" x14ac:dyDescent="0.2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25">
      <c r="B6345" s="115" t="s">
        <v>10541</v>
      </c>
      <c r="D6345" s="115" t="s">
        <v>1167</v>
      </c>
      <c r="E6345" s="115" t="s">
        <v>10542</v>
      </c>
    </row>
    <row r="6346" spans="1:5" x14ac:dyDescent="0.25">
      <c r="B6346" s="115" t="s">
        <v>1335</v>
      </c>
      <c r="D6346" s="115" t="s">
        <v>2574</v>
      </c>
      <c r="E6346" s="115" t="s">
        <v>10543</v>
      </c>
    </row>
    <row r="6347" spans="1:5" x14ac:dyDescent="0.25">
      <c r="B6347" s="115" t="s">
        <v>1298</v>
      </c>
      <c r="D6347" s="115" t="s">
        <v>10544</v>
      </c>
      <c r="E6347" s="115" t="s">
        <v>10545</v>
      </c>
    </row>
    <row r="6348" spans="1:5" x14ac:dyDescent="0.25">
      <c r="B6348" s="115" t="s">
        <v>1270</v>
      </c>
      <c r="D6348" s="115" t="s">
        <v>10546</v>
      </c>
      <c r="E6348" s="115" t="s">
        <v>10547</v>
      </c>
    </row>
    <row r="6349" spans="1:5" x14ac:dyDescent="0.25">
      <c r="B6349" s="115" t="s">
        <v>1139</v>
      </c>
      <c r="D6349" s="115" t="s">
        <v>1932</v>
      </c>
      <c r="E6349" s="115" t="s">
        <v>10548</v>
      </c>
    </row>
    <row r="6350" spans="1:5" x14ac:dyDescent="0.25">
      <c r="B6350" s="115" t="s">
        <v>1139</v>
      </c>
      <c r="D6350" s="115" t="s">
        <v>1828</v>
      </c>
      <c r="E6350" s="115" t="s">
        <v>10549</v>
      </c>
    </row>
    <row r="6351" spans="1:5" x14ac:dyDescent="0.25">
      <c r="B6351" s="115" t="s">
        <v>10550</v>
      </c>
      <c r="D6351" s="115" t="s">
        <v>1989</v>
      </c>
      <c r="E6351" s="115" t="s">
        <v>10551</v>
      </c>
    </row>
    <row r="6352" spans="1:5" x14ac:dyDescent="0.25">
      <c r="B6352" s="115" t="s">
        <v>2769</v>
      </c>
      <c r="D6352" s="115" t="s">
        <v>2682</v>
      </c>
      <c r="E6352" s="115" t="s">
        <v>10552</v>
      </c>
    </row>
    <row r="6353" spans="1:5" x14ac:dyDescent="0.25">
      <c r="B6353" s="115" t="s">
        <v>10553</v>
      </c>
      <c r="D6353" s="115" t="s">
        <v>10554</v>
      </c>
      <c r="E6353" s="115" t="s">
        <v>1141</v>
      </c>
    </row>
    <row r="6354" spans="1:5" x14ac:dyDescent="0.25">
      <c r="B6354" s="115" t="s">
        <v>1516</v>
      </c>
      <c r="D6354" s="115" t="s">
        <v>10555</v>
      </c>
      <c r="E6354" s="115" t="s">
        <v>10556</v>
      </c>
    </row>
    <row r="6355" spans="1:5" x14ac:dyDescent="0.25">
      <c r="B6355" s="115" t="s">
        <v>1656</v>
      </c>
      <c r="D6355" s="115" t="s">
        <v>10557</v>
      </c>
      <c r="E6355" s="115" t="s">
        <v>10558</v>
      </c>
    </row>
    <row r="6356" spans="1:5" x14ac:dyDescent="0.25">
      <c r="B6356" s="115" t="s">
        <v>1139</v>
      </c>
      <c r="D6356" s="115" t="s">
        <v>1140</v>
      </c>
      <c r="E6356" s="115" t="s">
        <v>1141</v>
      </c>
    </row>
    <row r="6357" spans="1:5" x14ac:dyDescent="0.25">
      <c r="B6357" s="115" t="s">
        <v>1139</v>
      </c>
      <c r="D6357" s="115" t="s">
        <v>10559</v>
      </c>
      <c r="E6357" s="115" t="s">
        <v>1702</v>
      </c>
    </row>
    <row r="6358" spans="1:5" x14ac:dyDescent="0.2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25">
      <c r="B6359" s="115" t="s">
        <v>10562</v>
      </c>
      <c r="D6359" s="115" t="s">
        <v>10563</v>
      </c>
      <c r="E6359" s="115" t="s">
        <v>10564</v>
      </c>
    </row>
    <row r="6360" spans="1:5" x14ac:dyDescent="0.25">
      <c r="B6360" s="115" t="s">
        <v>10565</v>
      </c>
      <c r="D6360" s="115" t="s">
        <v>10566</v>
      </c>
      <c r="E6360" s="115" t="s">
        <v>10567</v>
      </c>
    </row>
    <row r="6361" spans="1:5" x14ac:dyDescent="0.25">
      <c r="B6361" s="115" t="s">
        <v>10568</v>
      </c>
      <c r="D6361" s="115" t="s">
        <v>10569</v>
      </c>
      <c r="E6361" s="115" t="s">
        <v>10570</v>
      </c>
    </row>
    <row r="6362" spans="1:5" x14ac:dyDescent="0.25">
      <c r="B6362" s="115" t="s">
        <v>10571</v>
      </c>
      <c r="D6362" s="115" t="s">
        <v>10572</v>
      </c>
      <c r="E6362" s="115" t="s">
        <v>10573</v>
      </c>
    </row>
    <row r="6363" spans="1:5" x14ac:dyDescent="0.2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25">
      <c r="B6364" s="115" t="s">
        <v>10576</v>
      </c>
      <c r="D6364" s="115" t="s">
        <v>10577</v>
      </c>
      <c r="E6364" s="115" t="s">
        <v>10578</v>
      </c>
    </row>
    <row r="6365" spans="1:5" x14ac:dyDescent="0.25">
      <c r="B6365" s="115" t="s">
        <v>10579</v>
      </c>
      <c r="D6365" s="115" t="s">
        <v>10580</v>
      </c>
      <c r="E6365" s="115" t="s">
        <v>10581</v>
      </c>
    </row>
    <row r="6366" spans="1:5" x14ac:dyDescent="0.2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2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25">
      <c r="B6368" s="115" t="s">
        <v>1139</v>
      </c>
      <c r="D6368" s="115" t="s">
        <v>10588</v>
      </c>
      <c r="E6368" s="115" t="s">
        <v>1141</v>
      </c>
    </row>
    <row r="6369" spans="1:5" x14ac:dyDescent="0.25">
      <c r="B6369" s="115" t="s">
        <v>1139</v>
      </c>
      <c r="D6369" s="115" t="s">
        <v>10589</v>
      </c>
      <c r="E6369" s="115" t="s">
        <v>10590</v>
      </c>
    </row>
    <row r="6370" spans="1:5" x14ac:dyDescent="0.25">
      <c r="B6370" s="115" t="s">
        <v>10591</v>
      </c>
      <c r="D6370" s="115" t="s">
        <v>10592</v>
      </c>
      <c r="E6370" s="115" t="s">
        <v>10593</v>
      </c>
    </row>
    <row r="6371" spans="1:5" x14ac:dyDescent="0.25">
      <c r="B6371" s="115" t="s">
        <v>10594</v>
      </c>
      <c r="D6371" s="115" t="s">
        <v>1140</v>
      </c>
      <c r="E6371" s="115" t="s">
        <v>10595</v>
      </c>
    </row>
    <row r="6372" spans="1:5" x14ac:dyDescent="0.25">
      <c r="B6372" s="115" t="s">
        <v>1139</v>
      </c>
      <c r="D6372" s="115" t="s">
        <v>10596</v>
      </c>
      <c r="E6372" s="115" t="s">
        <v>10597</v>
      </c>
    </row>
    <row r="6373" spans="1:5" x14ac:dyDescent="0.2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25">
      <c r="B6374" s="115" t="s">
        <v>10600</v>
      </c>
      <c r="D6374" s="115" t="s">
        <v>10601</v>
      </c>
      <c r="E6374" s="115" t="s">
        <v>10602</v>
      </c>
    </row>
    <row r="6375" spans="1:5" x14ac:dyDescent="0.25">
      <c r="B6375" s="115" t="s">
        <v>10603</v>
      </c>
      <c r="D6375" s="115" t="s">
        <v>10604</v>
      </c>
      <c r="E6375" s="115" t="s">
        <v>10605</v>
      </c>
    </row>
    <row r="6376" spans="1:5" x14ac:dyDescent="0.2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25">
      <c r="B6377" s="115" t="s">
        <v>10609</v>
      </c>
      <c r="D6377" s="115" t="s">
        <v>10610</v>
      </c>
      <c r="E6377" s="115" t="s">
        <v>10611</v>
      </c>
    </row>
    <row r="6378" spans="1:5" x14ac:dyDescent="0.25">
      <c r="B6378" s="115" t="s">
        <v>10612</v>
      </c>
      <c r="D6378" s="115" t="s">
        <v>10613</v>
      </c>
      <c r="E6378" s="115" t="s">
        <v>10614</v>
      </c>
    </row>
    <row r="6379" spans="1:5" x14ac:dyDescent="0.25">
      <c r="B6379" s="115" t="s">
        <v>10615</v>
      </c>
      <c r="D6379" s="115" t="s">
        <v>10616</v>
      </c>
      <c r="E6379" s="115" t="s">
        <v>10617</v>
      </c>
    </row>
    <row r="6380" spans="1:5" x14ac:dyDescent="0.25">
      <c r="B6380" s="115" t="s">
        <v>1139</v>
      </c>
      <c r="D6380" s="115" t="s">
        <v>10618</v>
      </c>
      <c r="E6380" s="115" t="s">
        <v>10619</v>
      </c>
    </row>
    <row r="6381" spans="1:5" x14ac:dyDescent="0.25">
      <c r="B6381" s="115" t="s">
        <v>10620</v>
      </c>
      <c r="D6381" s="115" t="s">
        <v>10621</v>
      </c>
      <c r="E6381" s="115" t="s">
        <v>10622</v>
      </c>
    </row>
    <row r="6382" spans="1:5" x14ac:dyDescent="0.2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25">
      <c r="B6383" s="115" t="s">
        <v>10626</v>
      </c>
      <c r="D6383" s="115" t="s">
        <v>10627</v>
      </c>
      <c r="E6383" s="115" t="s">
        <v>1141</v>
      </c>
    </row>
    <row r="6384" spans="1:5" x14ac:dyDescent="0.25">
      <c r="B6384" s="115" t="s">
        <v>10628</v>
      </c>
      <c r="D6384" s="115" t="s">
        <v>10629</v>
      </c>
      <c r="E6384" s="115" t="s">
        <v>2082</v>
      </c>
    </row>
    <row r="6385" spans="1:5" x14ac:dyDescent="0.2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25">
      <c r="B6386" s="115" t="s">
        <v>10633</v>
      </c>
      <c r="D6386" s="115" t="s">
        <v>10634</v>
      </c>
      <c r="E6386" s="115" t="s">
        <v>10635</v>
      </c>
    </row>
    <row r="6387" spans="1:5" x14ac:dyDescent="0.25">
      <c r="B6387" s="115" t="s">
        <v>10636</v>
      </c>
      <c r="D6387" s="115" t="s">
        <v>10637</v>
      </c>
      <c r="E6387" s="115" t="s">
        <v>10638</v>
      </c>
    </row>
    <row r="6388" spans="1:5" x14ac:dyDescent="0.25">
      <c r="B6388" s="115" t="s">
        <v>1139</v>
      </c>
      <c r="D6388" s="115" t="s">
        <v>1140</v>
      </c>
      <c r="E6388" s="115" t="s">
        <v>10639</v>
      </c>
    </row>
    <row r="6389" spans="1:5" x14ac:dyDescent="0.2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25">
      <c r="B6390" s="115" t="s">
        <v>1139</v>
      </c>
      <c r="D6390" s="115" t="s">
        <v>10642</v>
      </c>
      <c r="E6390" s="115" t="s">
        <v>1859</v>
      </c>
    </row>
    <row r="6391" spans="1:5" x14ac:dyDescent="0.25">
      <c r="B6391" s="115" t="s">
        <v>1139</v>
      </c>
      <c r="D6391" s="115" t="s">
        <v>1140</v>
      </c>
      <c r="E6391" s="115" t="s">
        <v>1141</v>
      </c>
    </row>
    <row r="6392" spans="1:5" x14ac:dyDescent="0.25">
      <c r="B6392" s="115" t="s">
        <v>10643</v>
      </c>
      <c r="D6392" s="115" t="s">
        <v>1140</v>
      </c>
      <c r="E6392" s="115" t="s">
        <v>10644</v>
      </c>
    </row>
    <row r="6393" spans="1:5" x14ac:dyDescent="0.25">
      <c r="B6393" s="115" t="s">
        <v>10645</v>
      </c>
      <c r="D6393" s="115" t="s">
        <v>10646</v>
      </c>
      <c r="E6393" s="115" t="s">
        <v>10647</v>
      </c>
    </row>
    <row r="6394" spans="1:5" x14ac:dyDescent="0.2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2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2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2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25">
      <c r="B6398" s="115" t="s">
        <v>10659</v>
      </c>
      <c r="D6398" s="115" t="s">
        <v>10660</v>
      </c>
      <c r="E6398" s="115" t="s">
        <v>10661</v>
      </c>
    </row>
    <row r="6399" spans="1:5" x14ac:dyDescent="0.2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25">
      <c r="B6400" s="115" t="s">
        <v>10665</v>
      </c>
      <c r="D6400" s="115" t="s">
        <v>10666</v>
      </c>
      <c r="E6400" s="115" t="s">
        <v>10667</v>
      </c>
    </row>
    <row r="6401" spans="1:5" x14ac:dyDescent="0.2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25">
      <c r="B6402" s="115" t="s">
        <v>10671</v>
      </c>
      <c r="D6402" s="115" t="s">
        <v>1326</v>
      </c>
      <c r="E6402" s="115" t="s">
        <v>10672</v>
      </c>
    </row>
    <row r="6403" spans="1:5" x14ac:dyDescent="0.2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2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25">
      <c r="B6405" s="115" t="s">
        <v>1139</v>
      </c>
      <c r="D6405" s="115" t="s">
        <v>10677</v>
      </c>
      <c r="E6405" s="115" t="s">
        <v>10678</v>
      </c>
    </row>
    <row r="6406" spans="1:5" x14ac:dyDescent="0.25">
      <c r="B6406" s="115" t="s">
        <v>1139</v>
      </c>
      <c r="D6406" s="115" t="s">
        <v>3888</v>
      </c>
      <c r="E6406" s="115" t="s">
        <v>1141</v>
      </c>
    </row>
    <row r="6407" spans="1:5" x14ac:dyDescent="0.2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2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2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2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2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2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25">
      <c r="B6413" s="115" t="s">
        <v>10697</v>
      </c>
      <c r="D6413" s="115" t="s">
        <v>10698</v>
      </c>
      <c r="E6413" s="115" t="s">
        <v>10699</v>
      </c>
    </row>
    <row r="6414" spans="1:5" x14ac:dyDescent="0.25">
      <c r="B6414" s="115" t="s">
        <v>10700</v>
      </c>
      <c r="D6414" s="115" t="s">
        <v>10701</v>
      </c>
      <c r="E6414" s="115" t="s">
        <v>10702</v>
      </c>
    </row>
    <row r="6415" spans="1:5" x14ac:dyDescent="0.25">
      <c r="B6415" s="115" t="s">
        <v>10703</v>
      </c>
      <c r="D6415" s="115" t="s">
        <v>10704</v>
      </c>
      <c r="E6415" s="115" t="s">
        <v>10705</v>
      </c>
    </row>
    <row r="6416" spans="1:5" x14ac:dyDescent="0.25">
      <c r="B6416" s="115" t="s">
        <v>10706</v>
      </c>
      <c r="D6416" s="115" t="s">
        <v>10707</v>
      </c>
      <c r="E6416" s="115" t="s">
        <v>10708</v>
      </c>
    </row>
    <row r="6417" spans="1:5" x14ac:dyDescent="0.25">
      <c r="B6417" s="115" t="s">
        <v>10709</v>
      </c>
      <c r="D6417" s="115" t="s">
        <v>10710</v>
      </c>
      <c r="E6417" s="115" t="s">
        <v>10711</v>
      </c>
    </row>
    <row r="6418" spans="1:5" x14ac:dyDescent="0.2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25">
      <c r="B6419" s="115" t="s">
        <v>10713</v>
      </c>
      <c r="D6419" s="115" t="s">
        <v>10714</v>
      </c>
      <c r="E6419" s="115" t="s">
        <v>10715</v>
      </c>
    </row>
    <row r="6420" spans="1:5" x14ac:dyDescent="0.2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2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2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25">
      <c r="B6423" s="115" t="s">
        <v>1139</v>
      </c>
      <c r="D6423" s="115" t="s">
        <v>10724</v>
      </c>
      <c r="E6423" s="115" t="s">
        <v>10725</v>
      </c>
    </row>
    <row r="6424" spans="1:5" x14ac:dyDescent="0.25">
      <c r="B6424" s="115" t="s">
        <v>1139</v>
      </c>
      <c r="D6424" s="115" t="s">
        <v>10726</v>
      </c>
      <c r="E6424" s="115" t="s">
        <v>1702</v>
      </c>
    </row>
    <row r="6425" spans="1:5" x14ac:dyDescent="0.2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25">
      <c r="B6426" s="115" t="s">
        <v>1139</v>
      </c>
      <c r="D6426" s="115" t="s">
        <v>1140</v>
      </c>
      <c r="E6426" s="115" t="s">
        <v>10729</v>
      </c>
    </row>
    <row r="6427" spans="1:5" x14ac:dyDescent="0.25">
      <c r="B6427" s="115" t="s">
        <v>1139</v>
      </c>
      <c r="D6427" s="115" t="s">
        <v>10730</v>
      </c>
      <c r="E6427" s="115" t="s">
        <v>10731</v>
      </c>
    </row>
    <row r="6428" spans="1:5" x14ac:dyDescent="0.2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25">
      <c r="B6429" s="115" t="s">
        <v>10735</v>
      </c>
      <c r="D6429" s="115" t="s">
        <v>10736</v>
      </c>
      <c r="E6429" s="115" t="s">
        <v>10737</v>
      </c>
    </row>
    <row r="6430" spans="1:5" x14ac:dyDescent="0.2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2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2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2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2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2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2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25">
      <c r="B6437" s="115" t="s">
        <v>1139</v>
      </c>
      <c r="D6437" s="115" t="s">
        <v>10757</v>
      </c>
      <c r="E6437" s="115" t="s">
        <v>10758</v>
      </c>
    </row>
    <row r="6438" spans="1:5" x14ac:dyDescent="0.25">
      <c r="B6438" s="115" t="s">
        <v>1139</v>
      </c>
      <c r="D6438" s="115" t="s">
        <v>1140</v>
      </c>
      <c r="E6438" s="115" t="s">
        <v>10759</v>
      </c>
    </row>
    <row r="6439" spans="1:5" x14ac:dyDescent="0.25">
      <c r="B6439" s="115" t="s">
        <v>1139</v>
      </c>
      <c r="D6439" s="115" t="s">
        <v>10760</v>
      </c>
      <c r="E6439" s="115" t="s">
        <v>10761</v>
      </c>
    </row>
    <row r="6440" spans="1:5" x14ac:dyDescent="0.25">
      <c r="B6440" s="115" t="s">
        <v>6224</v>
      </c>
      <c r="D6440" s="115" t="s">
        <v>4124</v>
      </c>
      <c r="E6440" s="115" t="s">
        <v>1859</v>
      </c>
    </row>
    <row r="6441" spans="1:5" x14ac:dyDescent="0.25">
      <c r="B6441" s="115" t="s">
        <v>10762</v>
      </c>
      <c r="D6441" s="115" t="s">
        <v>1140</v>
      </c>
      <c r="E6441" s="115" t="s">
        <v>10763</v>
      </c>
    </row>
    <row r="6442" spans="1:5" x14ac:dyDescent="0.2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25">
      <c r="B6443" s="115" t="s">
        <v>1139</v>
      </c>
      <c r="D6443" s="115" t="s">
        <v>10767</v>
      </c>
      <c r="E6443" s="115" t="s">
        <v>10768</v>
      </c>
    </row>
    <row r="6444" spans="1:5" x14ac:dyDescent="0.2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2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2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2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2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25">
      <c r="B6449" s="115" t="s">
        <v>10781</v>
      </c>
      <c r="D6449" s="115" t="s">
        <v>10782</v>
      </c>
      <c r="E6449" s="115" t="s">
        <v>10783</v>
      </c>
    </row>
    <row r="6450" spans="1:5" x14ac:dyDescent="0.2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2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25">
      <c r="B6452" s="115" t="s">
        <v>10789</v>
      </c>
      <c r="D6452" s="115" t="s">
        <v>1346</v>
      </c>
      <c r="E6452" s="115" t="s">
        <v>10790</v>
      </c>
    </row>
    <row r="6453" spans="1:5" x14ac:dyDescent="0.25">
      <c r="B6453" s="115" t="s">
        <v>1139</v>
      </c>
      <c r="D6453" s="115" t="s">
        <v>1140</v>
      </c>
      <c r="E6453" s="115" t="s">
        <v>10791</v>
      </c>
    </row>
    <row r="6454" spans="1:5" x14ac:dyDescent="0.2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2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25">
      <c r="B6456" s="115" t="s">
        <v>1523</v>
      </c>
      <c r="D6456" s="115" t="s">
        <v>1140</v>
      </c>
      <c r="E6456" s="115" t="s">
        <v>10797</v>
      </c>
    </row>
    <row r="6457" spans="1:5" x14ac:dyDescent="0.2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25">
      <c r="B6458" s="115" t="s">
        <v>1139</v>
      </c>
      <c r="D6458" s="115" t="s">
        <v>10800</v>
      </c>
      <c r="E6458" s="115" t="s">
        <v>10801</v>
      </c>
    </row>
    <row r="6459" spans="1:5" x14ac:dyDescent="0.2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2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25">
      <c r="B6461" s="115" t="s">
        <v>1139</v>
      </c>
      <c r="D6461" s="115" t="s">
        <v>1140</v>
      </c>
      <c r="E6461" s="115" t="s">
        <v>10805</v>
      </c>
    </row>
    <row r="6462" spans="1:5" x14ac:dyDescent="0.25">
      <c r="B6462" s="115" t="s">
        <v>10806</v>
      </c>
      <c r="D6462" s="115" t="s">
        <v>10807</v>
      </c>
      <c r="E6462" s="115" t="s">
        <v>10808</v>
      </c>
    </row>
    <row r="6463" spans="1:5" x14ac:dyDescent="0.25">
      <c r="B6463" s="115" t="s">
        <v>1139</v>
      </c>
      <c r="D6463" s="115" t="s">
        <v>10809</v>
      </c>
      <c r="E6463" s="115" t="s">
        <v>10810</v>
      </c>
    </row>
    <row r="6464" spans="1:5" x14ac:dyDescent="0.25">
      <c r="B6464" s="115" t="s">
        <v>10811</v>
      </c>
      <c r="D6464" s="115" t="s">
        <v>10812</v>
      </c>
      <c r="E6464" s="115" t="s">
        <v>10813</v>
      </c>
    </row>
    <row r="6465" spans="1:5" x14ac:dyDescent="0.25">
      <c r="B6465" s="115" t="s">
        <v>10814</v>
      </c>
      <c r="D6465" s="115" t="s">
        <v>10815</v>
      </c>
      <c r="E6465" s="115" t="s">
        <v>10816</v>
      </c>
    </row>
    <row r="6466" spans="1:5" x14ac:dyDescent="0.2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2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2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2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2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25">
      <c r="A6471" s="115">
        <v>-11</v>
      </c>
      <c r="B6471" s="115" t="s">
        <v>10832</v>
      </c>
      <c r="D6471" s="115" t="s">
        <v>10833</v>
      </c>
    </row>
    <row r="6691" spans="2:2" x14ac:dyDescent="0.25">
      <c r="B6691" s="126"/>
    </row>
    <row r="6811" spans="2:2" x14ac:dyDescent="0.25">
      <c r="B6811" s="126"/>
    </row>
    <row r="7294" spans="2:2" x14ac:dyDescent="0.25">
      <c r="B7294" s="127"/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M40"/>
  <sheetViews>
    <sheetView workbookViewId="0">
      <selection activeCell="J14" sqref="J14"/>
    </sheetView>
  </sheetViews>
  <sheetFormatPr defaultRowHeight="12.75" x14ac:dyDescent="0.2"/>
  <sheetData>
    <row r="1" spans="1:13" ht="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r="2" spans="1:13" ht="15" x14ac:dyDescent="0.2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r="3" spans="1:13" ht="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r="4" spans="1:13" ht="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r="5" spans="1:13" ht="15" x14ac:dyDescent="0.2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r="6" spans="1:13" ht="15" x14ac:dyDescent="0.2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r="7" spans="1:13" ht="15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ht="15" x14ac:dyDescent="0.2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r="9" spans="1:13" ht="15" x14ac:dyDescent="0.2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r="10" spans="1:13" ht="15" x14ac:dyDescent="0.2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ht="15" x14ac:dyDescent="0.2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r="12" spans="1:13" ht="15" x14ac:dyDescent="0.2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r="13" spans="1:13" ht="15" x14ac:dyDescent="0.2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r="14" spans="1:13" ht="15" x14ac:dyDescent="0.2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r="15" spans="1:13" ht="15" x14ac:dyDescent="0.2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r="16" spans="1:13" ht="15" x14ac:dyDescent="0.2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r="17" spans="1:13" ht="15" x14ac:dyDescent="0.2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r="18" spans="1:13" ht="15" x14ac:dyDescent="0.2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r="19" spans="1:13" ht="15" x14ac:dyDescent="0.2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r="20" spans="1:13" ht="15" x14ac:dyDescent="0.2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r="21" spans="1:13" ht="15" x14ac:dyDescent="0.2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r="22" spans="1:13" ht="15" x14ac:dyDescent="0.2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r="23" spans="1:13" ht="15" x14ac:dyDescent="0.2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r="24" spans="1:13" ht="15" x14ac:dyDescent="0.2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r="25" spans="1:13" ht="15" x14ac:dyDescent="0.2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r="26" spans="1:13" ht="15" x14ac:dyDescent="0.2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15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r="28" spans="1:13" ht="15" x14ac:dyDescent="0.2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r="29" spans="1:13" ht="15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r="30" spans="1:13" ht="15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r="31" spans="1:13" ht="15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r="32" spans="1:13" ht="15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r="33" spans="1:13" ht="15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r="34" spans="1:13" ht="15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r="35" spans="1:13" ht="15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r="36" spans="1:13" ht="15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r="37" spans="1:13" ht="15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r="38" spans="1:13" ht="15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r="39" spans="1:13" ht="15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r="40" spans="1:13" ht="15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AI384"/>
  <sheetViews>
    <sheetView topLeftCell="U1" zoomScaleNormal="100" workbookViewId="0">
      <selection activeCell="AI23" sqref="AI23"/>
    </sheetView>
  </sheetViews>
  <sheetFormatPr defaultColWidth="9" defaultRowHeight="15" x14ac:dyDescent="0.25"/>
  <cols>
    <col min="1" max="1" width="9" style="115" collapsed="1"/>
    <col min="2" max="2" width="12" style="115" bestFit="1" customWidth="1" collapsed="1"/>
    <col min="3" max="7" width="9.25" style="115" bestFit="1" customWidth="1" collapsed="1"/>
    <col min="8" max="8" width="12.625" style="115" bestFit="1" customWidth="1" collapsed="1"/>
    <col min="9" max="9" width="9" style="115" collapsed="1"/>
    <col min="10" max="11" width="12.5" style="115" bestFit="1" customWidth="1" collapsed="1"/>
    <col min="12" max="12" width="12.75" style="115" customWidth="1" collapsed="1"/>
    <col min="13" max="13" width="12.5" style="115" bestFit="1" customWidth="1" collapsed="1"/>
    <col min="14" max="17" width="9" style="115" collapsed="1"/>
    <col min="18" max="18" width="27.5" style="115" customWidth="1" collapsed="1"/>
    <col min="19" max="20" width="9" style="115" collapsed="1"/>
    <col min="21" max="22" width="12.5" style="115" bestFit="1" customWidth="1" collapsed="1"/>
    <col min="23" max="25" width="9" style="115" collapsed="1"/>
    <col min="26" max="27" width="13.5" style="115" bestFit="1" customWidth="1" collapsed="1"/>
    <col min="28" max="31" width="9" style="115" collapsed="1"/>
    <col min="32" max="32" width="78.125" style="115" bestFit="1" customWidth="1" collapsed="1"/>
    <col min="33" max="16384" width="9" style="115" collapsed="1"/>
  </cols>
  <sheetData>
    <row r="1" spans="1:35" x14ac:dyDescent="0.2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2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r="3" spans="1:35" ht="15.75" thickBot="1" x14ac:dyDescent="0.3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0.19678462792035822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0.29318404369819007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2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t="shared" ref="V4:V67" si="0">_xlfn.IFNA(VLOOKUP(S4,$J$49:$L$91,3,FALSE),_xlfn.IFNA(VLOOKUP(S4,$F$5:$J$11,5,FALSE),_xlfn.IFNA(VLOOKUP(S4,$F$19:$J$25,5,FALSE),U4)))</f>
        <v>-1.2428658052781909</v>
      </c>
      <c r="X4" s="146">
        <v>3</v>
      </c>
      <c r="Y4" s="146" t="s">
        <v>1106</v>
      </c>
      <c r="Z4" s="158">
        <f>WorkbasedSubtourGenerationCoeff!E12</f>
        <v>0.58949163187999998</v>
      </c>
      <c r="AA4" s="177" t="e">
        <f>J102</f>
        <v>#NUM!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25">
      <c r="A5" s="115" t="str">
        <f>Summary!A33</f>
        <v>work</v>
      </c>
      <c r="B5" s="125">
        <f>ToursByTourPurpose!F74</f>
        <v>206337.46812649909</v>
      </c>
      <c r="C5" s="125">
        <f>ToursByTourPurpose!R74</f>
        <v>635173</v>
      </c>
      <c r="D5" s="118">
        <f>B5/C5</f>
        <v>0.32485239159488688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-0.56219218976564178</v>
      </c>
      <c r="J5" s="194">
        <f>H5+I5</f>
        <v>0.19678462792035822</v>
      </c>
      <c r="K5" s="196">
        <f>VLOOKUP(F5,$S$3:$V$352,4,FALSE)</f>
        <v>0.19678462792035822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t="shared" si="0"/>
        <v>-1.7019485064435003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t="shared" ref="AA5:AA9" si="1">J103</f>
        <v>-0.58474899493290078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25">
      <c r="A6" s="115" t="str">
        <f>Summary!A34</f>
        <v>school</v>
      </c>
      <c r="B6" s="125">
        <f>ToursByTourPurpose!F75</f>
        <v>98905.775280479778</v>
      </c>
      <c r="C6" s="125">
        <f>ToursByTourPurpose!R75</f>
        <v>231312</v>
      </c>
      <c r="D6" s="118">
        <f t="shared" ref="D6:D13" si="2">B6/C6</f>
        <v>0.4275860105851827</v>
      </c>
      <c r="E6" s="123"/>
      <c r="F6" s="133">
        <v>200</v>
      </c>
      <c r="G6" s="129" t="s">
        <v>373</v>
      </c>
      <c r="H6" s="138">
        <f t="shared" ref="H6:H11" si="3">VLOOKUP(F6,$S$3:$U$352,3,FALSE)</f>
        <v>0.29382413067099999</v>
      </c>
      <c r="I6" s="135">
        <f t="shared" ref="I6:I11" si="4">$H$2*LN(D6)</f>
        <v>-0.42479990824544339</v>
      </c>
      <c r="J6" s="194">
        <f t="shared" ref="J6:J11" si="5">H6+I6</f>
        <v>-0.1309757775744434</v>
      </c>
      <c r="K6" s="196">
        <f t="shared" ref="K6:K11" si="6">VLOOKUP(F6,$S$3:$V$352,4,FALSE)</f>
        <v>-0.1309757775744434</v>
      </c>
      <c r="L6" s="168">
        <f t="shared" ref="L6:L11" si="7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t="shared" si="0"/>
        <v>8.3360868437351847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t="shared" si="1"/>
        <v>-0.66184274725670034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25">
      <c r="A7" s="115" t="str">
        <f>Summary!A35</f>
        <v>escort</v>
      </c>
      <c r="B7" s="125">
        <f>ToursByTourPurpose!F76</f>
        <v>100972.3972377748</v>
      </c>
      <c r="C7" s="125">
        <f>ToursByTourPurpose!R76</f>
        <v>212242</v>
      </c>
      <c r="D7" s="118">
        <f t="shared" si="2"/>
        <v>0.4757418288452559</v>
      </c>
      <c r="E7" s="123"/>
      <c r="F7" s="133">
        <v>300</v>
      </c>
      <c r="G7" s="129" t="s">
        <v>429</v>
      </c>
      <c r="H7" s="138">
        <f t="shared" si="3"/>
        <v>-2.8</v>
      </c>
      <c r="I7" s="135">
        <f t="shared" si="4"/>
        <v>-0.37143997413275093</v>
      </c>
      <c r="J7" s="194">
        <f t="shared" si="5"/>
        <v>-3.1714399741327508</v>
      </c>
      <c r="K7" s="196">
        <f t="shared" si="6"/>
        <v>-3.1714399741327508</v>
      </c>
      <c r="L7" s="168">
        <f t="shared" si="7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 t="e">
        <f t="shared" si="0"/>
        <v>#NUM!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t="shared" si="1"/>
        <v>0.21650737555360439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25">
      <c r="A8" s="115" t="str">
        <f>Summary!A36</f>
        <v>pers.bus</v>
      </c>
      <c r="B8" s="125">
        <f>ToursByTourPurpose!F77</f>
        <v>80348.139497808108</v>
      </c>
      <c r="C8" s="125">
        <f>ToursByTourPurpose!R77</f>
        <v>199299</v>
      </c>
      <c r="D8" s="118">
        <f t="shared" si="2"/>
        <v>0.40315375138765425</v>
      </c>
      <c r="E8" s="123"/>
      <c r="F8" s="133">
        <v>400</v>
      </c>
      <c r="G8" s="129" t="s">
        <v>488</v>
      </c>
      <c r="H8" s="138">
        <f t="shared" si="3"/>
        <v>-2.0654832970500001</v>
      </c>
      <c r="I8" s="135">
        <f t="shared" si="4"/>
        <v>-0.4542186363518203</v>
      </c>
      <c r="J8" s="194">
        <f t="shared" si="5"/>
        <v>-2.5197019334018202</v>
      </c>
      <c r="K8" s="196">
        <f t="shared" si="6"/>
        <v>-2.5197019334018202</v>
      </c>
      <c r="L8" s="168">
        <f t="shared" si="7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t="shared" si="0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t="shared" si="1"/>
        <v>-5.5114443968076632E-2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25">
      <c r="A9" s="115" t="str">
        <f>Summary!A37</f>
        <v>shop</v>
      </c>
      <c r="B9" s="125">
        <f>ToursByTourPurpose!F78</f>
        <v>60205.388111098</v>
      </c>
      <c r="C9" s="125">
        <f>ToursByTourPurpose!R78</f>
        <v>165928</v>
      </c>
      <c r="D9" s="118">
        <f t="shared" si="2"/>
        <v>0.36284043748552386</v>
      </c>
      <c r="E9" s="123"/>
      <c r="F9" s="133">
        <v>500</v>
      </c>
      <c r="G9" s="129" t="s">
        <v>547</v>
      </c>
      <c r="H9" s="138">
        <f t="shared" si="3"/>
        <v>-1.8648554903800001</v>
      </c>
      <c r="I9" s="135">
        <f t="shared" si="4"/>
        <v>-0.50689605375519531</v>
      </c>
      <c r="J9" s="194">
        <f t="shared" si="5"/>
        <v>-2.3717515441351953</v>
      </c>
      <c r="K9" s="196">
        <f t="shared" si="6"/>
        <v>-2.3717515441351953</v>
      </c>
      <c r="L9" s="168">
        <f t="shared" si="7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t="shared" si="0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t="shared" si="1"/>
        <v>-0.50678723289055561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25">
      <c r="A10" s="115" t="str">
        <f>Summary!A38</f>
        <v>meal</v>
      </c>
      <c r="B10" s="125">
        <f>ToursByTourPurpose!F79</f>
        <v>28661.441365176797</v>
      </c>
      <c r="C10" s="125">
        <f>ToursByTourPurpose!R79</f>
        <v>73398</v>
      </c>
      <c r="D10" s="118">
        <f t="shared" si="2"/>
        <v>0.39049349253626525</v>
      </c>
      <c r="E10" s="123"/>
      <c r="F10" s="133">
        <v>600</v>
      </c>
      <c r="G10" s="129" t="s">
        <v>606</v>
      </c>
      <c r="H10" s="138">
        <f t="shared" si="3"/>
        <v>-3.1650076478</v>
      </c>
      <c r="I10" s="135">
        <f t="shared" si="4"/>
        <v>-0.47017198714051572</v>
      </c>
      <c r="J10" s="194">
        <f t="shared" si="5"/>
        <v>-3.6351796349405157</v>
      </c>
      <c r="K10" s="196">
        <f t="shared" si="6"/>
        <v>-3.6351796349405157</v>
      </c>
      <c r="L10" s="168">
        <f t="shared" si="7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t="shared" si="0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r="11" spans="1:35" ht="15.75" thickBot="1" x14ac:dyDescent="0.3">
      <c r="A11" s="115" t="str">
        <f>Summary!A39</f>
        <v>soc/rec</v>
      </c>
      <c r="B11" s="125">
        <f>ToursByTourPurpose!F80</f>
        <v>120009.561827411</v>
      </c>
      <c r="C11" s="125">
        <f>ToursByTourPurpose!R80</f>
        <v>347776</v>
      </c>
      <c r="D11" s="118">
        <f t="shared" si="2"/>
        <v>0.34507718136792359</v>
      </c>
      <c r="E11" s="123"/>
      <c r="F11" s="134">
        <v>700</v>
      </c>
      <c r="G11" s="132" t="s">
        <v>665</v>
      </c>
      <c r="H11" s="169">
        <f t="shared" si="3"/>
        <v>-2.1192921546600001</v>
      </c>
      <c r="I11" s="136">
        <f t="shared" si="4"/>
        <v>-0.53199358643056194</v>
      </c>
      <c r="J11" s="195">
        <f t="shared" si="5"/>
        <v>-2.6512857410905619</v>
      </c>
      <c r="K11" s="197">
        <f t="shared" si="6"/>
        <v>-2.6512857410905619</v>
      </c>
      <c r="L11" s="171">
        <f t="shared" si="7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t="shared" si="0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t="shared" ref="AA11:AA17" si="8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25">
      <c r="A12" s="121" t="str">
        <f>Summary!A40</f>
        <v>workbased</v>
      </c>
      <c r="B12" s="141">
        <f>ToursByTourPurpose!F81</f>
        <v>22362.4894044785</v>
      </c>
      <c r="C12" s="141">
        <f>ToursByTourPurpose!R81</f>
        <v>79556</v>
      </c>
      <c r="D12" s="122">
        <f t="shared" si="2"/>
        <v>0.28109117356929081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t="shared" si="0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t="shared" si="8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r="13" spans="1:35" ht="15.75" thickBot="1" x14ac:dyDescent="0.3">
      <c r="A13" s="124" t="str">
        <f>Summary!A41</f>
        <v>Total</v>
      </c>
      <c r="B13" s="139">
        <f>SUM(B5:B12)</f>
        <v>717802.66085072618</v>
      </c>
      <c r="C13" s="139">
        <f>SUM(C5:C12)</f>
        <v>1944684</v>
      </c>
      <c r="D13" s="140">
        <f t="shared" si="2"/>
        <v>0.36911017977765342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t="shared" si="0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t="shared" si="8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2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t="shared" si="0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t="shared" si="8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2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t="shared" si="0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t="shared" si="8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2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t="shared" si="0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t="shared" si="8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r="17" spans="1:35" ht="15.75" thickBot="1" x14ac:dyDescent="0.3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t="shared" si="0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t="shared" si="8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25">
      <c r="A18" s="120" t="str">
        <f>A4</f>
        <v>Purpose</v>
      </c>
      <c r="B18" s="120" t="str">
        <f t="shared" ref="B18:D18" si="9">B4</f>
        <v>ExpandSurv</v>
      </c>
      <c r="C18" s="120" t="str">
        <f t="shared" si="9"/>
        <v>SynthPop</v>
      </c>
      <c r="D18" s="120" t="str">
        <f t="shared" si="9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t="shared" si="0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25">
      <c r="A19" s="115" t="str">
        <f>A5</f>
        <v>work</v>
      </c>
      <c r="B19" s="125">
        <f>output_NHTS!W222</f>
        <v>26033.943399999996</v>
      </c>
      <c r="C19" s="125">
        <f>output!W222</f>
        <v>104928</v>
      </c>
      <c r="D19" s="118">
        <f>B19/C19</f>
        <v>0.24811245234827689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-0.69693659935019081</v>
      </c>
      <c r="J19" s="194">
        <f>H19+I19</f>
        <v>-1.2428658052781909</v>
      </c>
      <c r="K19" s="196">
        <f>VLOOKUP(F19,$S$3:$V$352,4,FALSE)</f>
        <v>-1.2428658052781909</v>
      </c>
      <c r="L19" s="168">
        <f t="shared" ref="L19:L25" si="10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t="shared" si="0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25">
      <c r="A20" s="115" t="str">
        <f t="shared" ref="A20:A27" si="11">A6</f>
        <v>school</v>
      </c>
      <c r="B20" s="125">
        <f>output_NHTS!W223</f>
        <v>4366.6785</v>
      </c>
      <c r="C20" s="125">
        <f>output!W223</f>
        <v>32855</v>
      </c>
      <c r="D20" s="118">
        <f t="shared" ref="D20:D27" si="12">B20/C20</f>
        <v>0.1329075787551362</v>
      </c>
      <c r="E20" s="123"/>
      <c r="F20" s="133">
        <v>201</v>
      </c>
      <c r="G20" s="129" t="s">
        <v>375</v>
      </c>
      <c r="H20" s="138">
        <f t="shared" ref="H20:H25" si="13">VLOOKUP(F20,$S$3:$U$352,3,FALSE)</f>
        <v>0.25052747176099999</v>
      </c>
      <c r="I20" s="135">
        <f t="shared" ref="I20:I25" si="14">$H$16*LN(D20)</f>
        <v>-1.0090506444454215</v>
      </c>
      <c r="J20" s="194">
        <f t="shared" ref="J20:J25" si="15">H20+I20</f>
        <v>-0.75852317268442149</v>
      </c>
      <c r="K20" s="196">
        <f t="shared" ref="K20:K25" si="16">VLOOKUP(F20,$S$3:$V$352,4,FALSE)</f>
        <v>-0.75852317268442149</v>
      </c>
      <c r="L20" s="168">
        <f t="shared" si="10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t="shared" si="0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25">
      <c r="A21" s="115" t="str">
        <f t="shared" si="11"/>
        <v>escort</v>
      </c>
      <c r="B21" s="125">
        <f>output_NHTS!W224</f>
        <v>68614.638899999991</v>
      </c>
      <c r="C21" s="125">
        <f>output!W224</f>
        <v>204687</v>
      </c>
      <c r="D21" s="118">
        <f t="shared" si="12"/>
        <v>0.33521737530961904</v>
      </c>
      <c r="E21" s="123"/>
      <c r="F21" s="133">
        <v>301</v>
      </c>
      <c r="G21" s="129" t="s">
        <v>431</v>
      </c>
      <c r="H21" s="138">
        <f t="shared" si="13"/>
        <v>-2</v>
      </c>
      <c r="I21" s="135">
        <f t="shared" si="14"/>
        <v>-0.5464880380342042</v>
      </c>
      <c r="J21" s="194">
        <f t="shared" si="15"/>
        <v>-2.5464880380342043</v>
      </c>
      <c r="K21" s="196">
        <f t="shared" si="16"/>
        <v>-2.5464880380342043</v>
      </c>
      <c r="L21" s="168">
        <f t="shared" si="10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t="shared" si="0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25">
      <c r="A22" s="115" t="str">
        <f t="shared" si="11"/>
        <v>pers.bus</v>
      </c>
      <c r="B22" s="125">
        <f>output_NHTS!W225</f>
        <v>73989.301800000001</v>
      </c>
      <c r="C22" s="125">
        <f>output!W225</f>
        <v>361674</v>
      </c>
      <c r="D22" s="118">
        <f t="shared" si="12"/>
        <v>0.20457456659864962</v>
      </c>
      <c r="E22" s="123"/>
      <c r="F22" s="133">
        <v>401</v>
      </c>
      <c r="G22" s="129" t="s">
        <v>490</v>
      </c>
      <c r="H22" s="138">
        <f t="shared" si="13"/>
        <v>-0.04</v>
      </c>
      <c r="I22" s="135">
        <f t="shared" si="14"/>
        <v>-0.79341137055798505</v>
      </c>
      <c r="J22" s="194">
        <f t="shared" si="15"/>
        <v>-0.83341137055798509</v>
      </c>
      <c r="K22" s="196">
        <f t="shared" si="16"/>
        <v>-0.83341137055798509</v>
      </c>
      <c r="L22" s="168">
        <f t="shared" si="10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t="shared" si="0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25">
      <c r="A23" s="115" t="str">
        <f t="shared" si="11"/>
        <v>shop</v>
      </c>
      <c r="B23" s="125">
        <f>output_NHTS!W226</f>
        <v>108083.577</v>
      </c>
      <c r="C23" s="125">
        <f>output!W226</f>
        <v>483890</v>
      </c>
      <c r="D23" s="118">
        <f t="shared" si="12"/>
        <v>0.22336394015168737</v>
      </c>
      <c r="E23" s="123"/>
      <c r="F23" s="133">
        <v>501</v>
      </c>
      <c r="G23" s="129" t="s">
        <v>549</v>
      </c>
      <c r="H23" s="138">
        <f t="shared" si="13"/>
        <v>0.68463974939799999</v>
      </c>
      <c r="I23" s="135">
        <f t="shared" si="14"/>
        <v>-0.74947640959989448</v>
      </c>
      <c r="J23" s="194">
        <f t="shared" si="15"/>
        <v>-6.4836660201894492E-2</v>
      </c>
      <c r="K23" s="196">
        <f t="shared" si="16"/>
        <v>-6.4836660201894492E-2</v>
      </c>
      <c r="L23" s="168">
        <f t="shared" si="10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t="shared" si="0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25">
      <c r="A24" s="115" t="str">
        <f t="shared" si="11"/>
        <v>meal</v>
      </c>
      <c r="B24" s="125">
        <f>output_NHTS!W227</f>
        <v>51849.627800000002</v>
      </c>
      <c r="C24" s="125">
        <f>output!W227</f>
        <v>258168</v>
      </c>
      <c r="D24" s="118">
        <f t="shared" si="12"/>
        <v>0.20083677217935608</v>
      </c>
      <c r="E24" s="123"/>
      <c r="F24" s="133">
        <v>601</v>
      </c>
      <c r="G24" s="129" t="s">
        <v>608</v>
      </c>
      <c r="H24" s="138">
        <f t="shared" si="13"/>
        <v>-0.71412970660499997</v>
      </c>
      <c r="I24" s="135">
        <f t="shared" si="14"/>
        <v>-0.80263138977363546</v>
      </c>
      <c r="J24" s="194">
        <f t="shared" si="15"/>
        <v>-1.5167610963786355</v>
      </c>
      <c r="K24" s="196">
        <f t="shared" si="16"/>
        <v>-1.5167610963786355</v>
      </c>
      <c r="L24" s="168">
        <f t="shared" si="10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t="shared" si="0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r="25" spans="1:35" ht="15.75" thickBot="1" x14ac:dyDescent="0.3">
      <c r="A25" s="115" t="str">
        <f t="shared" si="11"/>
        <v>soc/rec</v>
      </c>
      <c r="B25" s="125">
        <f>output_NHTS!W228</f>
        <v>61800.771300000008</v>
      </c>
      <c r="C25" s="125">
        <f>output!W228</f>
        <v>274607</v>
      </c>
      <c r="D25" s="118">
        <f t="shared" si="12"/>
        <v>0.22505169678850143</v>
      </c>
      <c r="E25" s="123"/>
      <c r="F25" s="134">
        <v>701</v>
      </c>
      <c r="G25" s="132" t="s">
        <v>667</v>
      </c>
      <c r="H25" s="169">
        <f t="shared" si="13"/>
        <v>-0.4</v>
      </c>
      <c r="I25" s="136">
        <f t="shared" si="14"/>
        <v>-0.74571256983242884</v>
      </c>
      <c r="J25" s="195">
        <f t="shared" si="15"/>
        <v>-1.1457125698324289</v>
      </c>
      <c r="K25" s="197">
        <f t="shared" si="16"/>
        <v>-1.1457125698324289</v>
      </c>
      <c r="L25" s="171">
        <f t="shared" si="10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t="shared" si="0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25">
      <c r="A26" s="121" t="str">
        <f t="shared" si="11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t="shared" si="0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r="27" spans="1:35" ht="15.75" thickBot="1" x14ac:dyDescent="0.3">
      <c r="A27" s="124" t="str">
        <f t="shared" si="11"/>
        <v>Total</v>
      </c>
      <c r="B27" s="139">
        <f>SUM(B19:B25)</f>
        <v>394738.53870000003</v>
      </c>
      <c r="C27" s="139">
        <f>SUM(C19:C25)</f>
        <v>1720809</v>
      </c>
      <c r="D27" s="140">
        <f t="shared" si="12"/>
        <v>0.22939125649621778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t="shared" si="0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2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t="shared" si="0"/>
        <v>0.55955581291324386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2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t="shared" si="0"/>
        <v>-0.1309757775744434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2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t="shared" si="0"/>
        <v>-0.75852317268442149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2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t="shared" si="0"/>
        <v>-1.2174199997081203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r="32" spans="1:35" ht="15.7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t="shared" si="0"/>
        <v>-0.32722116334259643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t="shared" si="0"/>
        <v>-0.25422089681979088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25">
      <c r="A34" s="3" t="str">
        <f>ToursByTourPurpose!A5</f>
        <v>work</v>
      </c>
      <c r="B34" s="7">
        <f>ToursByTourPurpose!B5</f>
        <v>178023.11724733349</v>
      </c>
      <c r="C34" s="7">
        <f>ToursByTourPurpose!C5</f>
        <v>18640.379403565399</v>
      </c>
      <c r="D34" s="7">
        <f>ToursByTourPurpose!D5</f>
        <v>2881.1716124157001</v>
      </c>
      <c r="E34" s="7">
        <f>ToursByTourPurpose!E5</f>
        <v>2581.6362792660002</v>
      </c>
      <c r="F34" s="7">
        <f>ToursByTourPurpose!F5</f>
        <v>3055.3013339184999</v>
      </c>
      <c r="G34" s="7">
        <f>ToursByTourPurpose!G5</f>
        <v>0</v>
      </c>
      <c r="H34" s="7">
        <f>ToursByTourPurpose!I5</f>
        <v>1155.8622499999999</v>
      </c>
      <c r="I34" s="33"/>
      <c r="J34" s="3" t="str">
        <f>ToursByTourPurpose!M5</f>
        <v>work</v>
      </c>
      <c r="K34" s="7">
        <f>ToursByTourPurpose!N5</f>
        <v>505220</v>
      </c>
      <c r="L34" s="7">
        <f>ToursByTourPurpose!O5</f>
        <v>72161</v>
      </c>
      <c r="M34" s="7">
        <f>ToursByTourPurpose!P5</f>
        <v>0</v>
      </c>
      <c r="N34" s="7">
        <f>ToursByTourPurpose!Q5</f>
        <v>0</v>
      </c>
      <c r="O34" s="7">
        <f>ToursByTourPurpose!R5</f>
        <v>54976</v>
      </c>
      <c r="P34" s="7">
        <f>ToursByTourPurpose!S5</f>
        <v>1280</v>
      </c>
      <c r="Q34" s="7">
        <f>ToursByTourPurpose!U5</f>
        <v>1536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t="shared" si="0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25">
      <c r="A35" s="3" t="str">
        <f>ToursByTourPurpose!A6</f>
        <v>school</v>
      </c>
      <c r="B35" s="7">
        <f>ToursByTourPurpose!B6</f>
        <v>3834.0755676137001</v>
      </c>
      <c r="C35" s="7">
        <f>ToursByTourPurpose!C6</f>
        <v>4638.6656048349996</v>
      </c>
      <c r="D35" s="7">
        <f>ToursByTourPurpose!D6</f>
        <v>539.18334384299999</v>
      </c>
      <c r="E35" s="7">
        <f>ToursByTourPurpose!E6</f>
        <v>4556.7887150310999</v>
      </c>
      <c r="F35" s="7">
        <f>ToursByTourPurpose!F6</f>
        <v>2741.0106741570003</v>
      </c>
      <c r="G35" s="7">
        <f>ToursByTourPurpose!G6</f>
        <v>9919.2882499999996</v>
      </c>
      <c r="H35" s="7">
        <f>ToursByTourPurpose!I6</f>
        <v>60674.737874999999</v>
      </c>
      <c r="I35" s="33"/>
      <c r="J35" s="3" t="str">
        <f>ToursByTourPurpose!M6</f>
        <v>school</v>
      </c>
      <c r="K35" s="7">
        <f>ToursByTourPurpose!N6</f>
        <v>0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47845</v>
      </c>
      <c r="P35" s="7">
        <f>ToursByTourPurpose!S6</f>
        <v>29187</v>
      </c>
      <c r="Q35" s="7">
        <f>ToursByTourPurpose!U6</f>
        <v>154280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t="shared" si="0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25">
      <c r="A36" s="3" t="str">
        <f>ToursByTourPurpose!A7</f>
        <v>escort</v>
      </c>
      <c r="B36" s="7">
        <f>ToursByTourPurpose!B7</f>
        <v>22488.596239990202</v>
      </c>
      <c r="C36" s="7">
        <f>ToursByTourPurpose!C7</f>
        <v>12740.073806155</v>
      </c>
      <c r="D36" s="7">
        <f>ToursByTourPurpose!D7</f>
        <v>8120.4655404935002</v>
      </c>
      <c r="E36" s="7">
        <f>ToursByTourPurpose!E7</f>
        <v>44137.714797544897</v>
      </c>
      <c r="F36" s="7">
        <f>ToursByTourPurpose!F7</f>
        <v>1519.0281035912001</v>
      </c>
      <c r="G36" s="7">
        <f>ToursByTourPurpose!G7</f>
        <v>1418.6745000000001</v>
      </c>
      <c r="H36" s="7">
        <f>ToursByTourPurpose!I7</f>
        <v>4024.2213750000001</v>
      </c>
      <c r="I36" s="33"/>
      <c r="J36" s="3" t="str">
        <f>ToursByTourPurpose!M7</f>
        <v>escort</v>
      </c>
      <c r="K36" s="7">
        <f>ToursByTourPurpose!N7</f>
        <v>75363</v>
      </c>
      <c r="L36" s="7">
        <f>ToursByTourPurpose!O7</f>
        <v>27542</v>
      </c>
      <c r="M36" s="7">
        <f>ToursByTourPurpose!P7</f>
        <v>17138</v>
      </c>
      <c r="N36" s="7">
        <f>ToursByTourPurpose!Q7</f>
        <v>53498</v>
      </c>
      <c r="O36" s="7">
        <f>ToursByTourPurpose!R7</f>
        <v>3041</v>
      </c>
      <c r="P36" s="7">
        <f>ToursByTourPurpose!S7</f>
        <v>1486</v>
      </c>
      <c r="Q36" s="7">
        <f>ToursByTourPurpose!U7</f>
        <v>9367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t="shared" si="0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25">
      <c r="A37" s="3" t="str">
        <f>ToursByTourPurpose!A8</f>
        <v>pers.bus</v>
      </c>
      <c r="B37" s="7">
        <f>ToursByTourPurpose!B8</f>
        <v>17775.134653696601</v>
      </c>
      <c r="C37" s="7">
        <f>ToursByTourPurpose!C8</f>
        <v>5094.7862598720003</v>
      </c>
      <c r="D37" s="7">
        <f>ToursByTourPurpose!D8</f>
        <v>13285.7380068985</v>
      </c>
      <c r="E37" s="7">
        <f>ToursByTourPurpose!E8</f>
        <v>20103.407934487001</v>
      </c>
      <c r="F37" s="7">
        <f>ToursByTourPurpose!F8</f>
        <v>625.52589285399995</v>
      </c>
      <c r="G37" s="7">
        <f>ToursByTourPurpose!G8</f>
        <v>773.43762500000003</v>
      </c>
      <c r="H37" s="7">
        <f>ToursByTourPurpose!I8</f>
        <v>12202.651750000001</v>
      </c>
      <c r="I37" s="33"/>
      <c r="J37" s="3" t="str">
        <f>ToursByTourPurpose!M8</f>
        <v>pers.bus</v>
      </c>
      <c r="K37" s="7">
        <f>ToursByTourPurpose!N8</f>
        <v>46434</v>
      </c>
      <c r="L37" s="7">
        <f>ToursByTourPurpose!O8</f>
        <v>23104</v>
      </c>
      <c r="M37" s="7">
        <f>ToursByTourPurpose!P8</f>
        <v>36714</v>
      </c>
      <c r="N37" s="7">
        <f>ToursByTourPurpose!Q8</f>
        <v>34511</v>
      </c>
      <c r="O37" s="7">
        <f>ToursByTourPurpose!R8</f>
        <v>3420</v>
      </c>
      <c r="P37" s="7">
        <f>ToursByTourPurpose!S8</f>
        <v>1542</v>
      </c>
      <c r="Q37" s="7">
        <f>ToursByTourPurpose!U8</f>
        <v>23611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t="shared" si="0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25">
      <c r="A38" s="3" t="str">
        <f>ToursByTourPurpose!A9</f>
        <v>shop</v>
      </c>
      <c r="B38" s="7">
        <f>ToursByTourPurpose!B9</f>
        <v>10066.8121117022</v>
      </c>
      <c r="C38" s="7">
        <f>ToursByTourPurpose!C9</f>
        <v>8569.9753624388995</v>
      </c>
      <c r="D38" s="7">
        <f>ToursByTourPurpose!D9</f>
        <v>14236.4776564657</v>
      </c>
      <c r="E38" s="7">
        <f>ToursByTourPurpose!E9</f>
        <v>18340.389329583199</v>
      </c>
      <c r="F38" s="7">
        <f>ToursByTourPurpose!F9</f>
        <v>612.86627590800003</v>
      </c>
      <c r="G38" s="7">
        <f>ToursByTourPurpose!G9</f>
        <v>0</v>
      </c>
      <c r="H38" s="7">
        <f>ToursByTourPurpose!I9</f>
        <v>2367.3788749999999</v>
      </c>
      <c r="I38" s="33"/>
      <c r="J38" s="3" t="str">
        <f>ToursByTourPurpose!M9</f>
        <v>shop</v>
      </c>
      <c r="K38" s="7">
        <f>ToursByTourPurpose!N9</f>
        <v>53525</v>
      </c>
      <c r="L38" s="7">
        <f>ToursByTourPurpose!O9</f>
        <v>17590</v>
      </c>
      <c r="M38" s="7">
        <f>ToursByTourPurpose!P9</f>
        <v>27586</v>
      </c>
      <c r="N38" s="7">
        <f>ToursByTourPurpose!Q9</f>
        <v>36154</v>
      </c>
      <c r="O38" s="7">
        <f>ToursByTourPurpose!R9</f>
        <v>3711</v>
      </c>
      <c r="P38" s="7">
        <f>ToursByTourPurpose!S9</f>
        <v>441</v>
      </c>
      <c r="Q38" s="7">
        <f>ToursByTourPurpose!U9</f>
        <v>4800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t="shared" si="0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25">
      <c r="A39" s="3" t="str">
        <f>ToursByTourPurpose!A10</f>
        <v>meal</v>
      </c>
      <c r="B39" s="7">
        <f>ToursByTourPurpose!B10</f>
        <v>7442.9439695050005</v>
      </c>
      <c r="C39" s="7">
        <f>ToursByTourPurpose!C10</f>
        <v>2031.240603749</v>
      </c>
      <c r="D39" s="7">
        <f>ToursByTourPurpose!D10</f>
        <v>6409.2037592037996</v>
      </c>
      <c r="E39" s="7">
        <f>ToursByTourPurpose!E10</f>
        <v>7642.9230883460004</v>
      </c>
      <c r="F39" s="7">
        <f>ToursByTourPurpose!F10</f>
        <v>712.40631937300009</v>
      </c>
      <c r="G39" s="7">
        <f>ToursByTourPurpose!G10</f>
        <v>0</v>
      </c>
      <c r="H39" s="7">
        <f>ToursByTourPurpose!I10</f>
        <v>3507.426375</v>
      </c>
      <c r="I39" s="33"/>
      <c r="J39" s="3" t="str">
        <f>ToursByTourPurpose!M10</f>
        <v>meal</v>
      </c>
      <c r="K39" s="7">
        <f>ToursByTourPurpose!N10</f>
        <v>26428</v>
      </c>
      <c r="L39" s="7">
        <f>ToursByTourPurpose!O10</f>
        <v>7315</v>
      </c>
      <c r="M39" s="7">
        <f>ToursByTourPurpose!P10</f>
        <v>10494</v>
      </c>
      <c r="N39" s="7">
        <f>ToursByTourPurpose!Q10</f>
        <v>12651</v>
      </c>
      <c r="O39" s="7">
        <f>ToursByTourPurpose!R10</f>
        <v>2022</v>
      </c>
      <c r="P39" s="7">
        <f>ToursByTourPurpose!S10</f>
        <v>2028</v>
      </c>
      <c r="Q39" s="7">
        <f>ToursByTourPurpose!U10</f>
        <v>7584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t="shared" si="0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25">
      <c r="A40" s="25" t="str">
        <f>ToursByTourPurpose!A11</f>
        <v>soc/rec</v>
      </c>
      <c r="B40" s="7">
        <f>ToursByTourPurpose!B11</f>
        <v>33560.508327229501</v>
      </c>
      <c r="C40" s="7">
        <f>ToursByTourPurpose!C11</f>
        <v>8901.6961035390996</v>
      </c>
      <c r="D40" s="7">
        <f>ToursByTourPurpose!D11</f>
        <v>12667.7773240797</v>
      </c>
      <c r="E40" s="7">
        <f>ToursByTourPurpose!E11</f>
        <v>32210.340660853901</v>
      </c>
      <c r="F40" s="7">
        <f>ToursByTourPurpose!F11</f>
        <v>2682.2210367088001</v>
      </c>
      <c r="G40" s="7">
        <f>ToursByTourPurpose!G11</f>
        <v>328.48837500000002</v>
      </c>
      <c r="H40" s="7">
        <f>ToursByTourPurpose!I11</f>
        <v>19508.368125000001</v>
      </c>
      <c r="I40" s="33"/>
      <c r="J40" s="25" t="str">
        <f>ToursByTourPurpose!M11</f>
        <v>soc/rec</v>
      </c>
      <c r="K40" s="7">
        <f>ToursByTourPurpose!N11</f>
        <v>106969</v>
      </c>
      <c r="L40" s="7">
        <f>ToursByTourPurpose!O11</f>
        <v>38295</v>
      </c>
      <c r="M40" s="7">
        <f>ToursByTourPurpose!P11</f>
        <v>35367</v>
      </c>
      <c r="N40" s="7">
        <f>ToursByTourPurpose!Q11</f>
        <v>47576</v>
      </c>
      <c r="O40" s="7">
        <f>ToursByTourPurpose!R11</f>
        <v>8790</v>
      </c>
      <c r="P40" s="7">
        <f>ToursByTourPurpose!S11</f>
        <v>5213</v>
      </c>
      <c r="Q40" s="7">
        <f>ToursByTourPurpose!U11</f>
        <v>59288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t="shared" si="0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25">
      <c r="A41" s="25" t="str">
        <f>ToursByTourPurpose!A12</f>
        <v>workbased</v>
      </c>
      <c r="B41" s="7">
        <f>ToursByTourPurpose!B12</f>
        <v>21670.069724729601</v>
      </c>
      <c r="C41" s="7">
        <f>ToursByTourPurpose!C12</f>
        <v>692.41967974889997</v>
      </c>
      <c r="D41" s="7">
        <f>ToursByTourPurpose!D12</f>
        <v>0</v>
      </c>
      <c r="E41" s="7">
        <f>ToursByTourPurpose!E12</f>
        <v>0</v>
      </c>
      <c r="F41" s="7">
        <f>ToursByTourPurpose!F12</f>
        <v>0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66702</v>
      </c>
      <c r="L41" s="7">
        <f>ToursByTourPurpose!O12</f>
        <v>6438</v>
      </c>
      <c r="M41" s="7">
        <f>ToursByTourPurpose!P12</f>
        <v>0</v>
      </c>
      <c r="N41" s="7">
        <f>ToursByTourPurpose!Q12</f>
        <v>0</v>
      </c>
      <c r="O41" s="7">
        <f>ToursByTourPurpose!R12</f>
        <v>6232</v>
      </c>
      <c r="P41" s="7">
        <f>ToursByTourPurpose!S12</f>
        <v>104</v>
      </c>
      <c r="Q41" s="7">
        <f>ToursByTourPurpose!U12</f>
        <v>80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t="shared" si="0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r="42" spans="1:35" ht="15.75" thickBot="1" x14ac:dyDescent="0.3">
      <c r="A42" s="10" t="str">
        <f>ToursByTourPurpose!A13</f>
        <v>Total</v>
      </c>
      <c r="B42" s="55">
        <f>ToursByTourPurpose!B13</f>
        <v>294861.25784180028</v>
      </c>
      <c r="C42" s="55">
        <f>ToursByTourPurpose!C13</f>
        <v>61309.236823903295</v>
      </c>
      <c r="D42" s="55">
        <f>ToursByTourPurpose!D13</f>
        <v>58140.017243399896</v>
      </c>
      <c r="E42" s="55">
        <f>ToursByTourPurpose!E13</f>
        <v>129573.20080511208</v>
      </c>
      <c r="F42" s="55">
        <f>ToursByTourPurpose!F13</f>
        <v>11948.3596365105</v>
      </c>
      <c r="G42" s="55">
        <f>ToursByTourPurpose!G13</f>
        <v>12439.88875</v>
      </c>
      <c r="H42" s="55">
        <f>ToursByTourPurpose!I13</f>
        <v>103440.64662499999</v>
      </c>
      <c r="I42" s="54"/>
      <c r="J42" s="10" t="str">
        <f>ToursByTourPurpose!M13</f>
        <v>Total</v>
      </c>
      <c r="K42" s="55">
        <f>ToursByTourPurpose!N13</f>
        <v>880641</v>
      </c>
      <c r="L42" s="55">
        <f>ToursByTourPurpose!O13</f>
        <v>192445</v>
      </c>
      <c r="M42" s="55">
        <f>ToursByTourPurpose!P13</f>
        <v>127299</v>
      </c>
      <c r="N42" s="55">
        <f>ToursByTourPurpose!Q13</f>
        <v>184390</v>
      </c>
      <c r="O42" s="55">
        <f>ToursByTourPurpose!R13</f>
        <v>130037</v>
      </c>
      <c r="P42" s="55">
        <f>ToursByTourPurpose!S13</f>
        <v>41281</v>
      </c>
      <c r="Q42" s="55">
        <f>ToursByTourPurpose!U13</f>
        <v>260546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t="shared" si="0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2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t="shared" si="0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2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t="shared" si="0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2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t="shared" si="0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2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t="shared" si="0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r="47" spans="1:35" ht="15.75" thickBot="1" x14ac:dyDescent="0.3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t="shared" si="0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t="shared" si="0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2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0.55955581291324386</v>
      </c>
      <c r="M49" s="193">
        <f>VLOOKUP(J49,$S$3:$V$352,4,FALSE)</f>
        <v>0.55955581291324386</v>
      </c>
      <c r="N49" s="174">
        <f t="shared" ref="N49:N91" si="17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t="shared" si="0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2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t="shared" ref="K50:K91" si="18">VLOOKUP(J50,$S$3:$U$352,2,FALSE)</f>
        <v>S-FTW</v>
      </c>
      <c r="L50" s="181" t="e">
        <f t="shared" ref="L50:L55" si="19">B89</f>
        <v>#DIV/0!</v>
      </c>
      <c r="M50" s="193" t="e">
        <f t="shared" ref="M50:M91" si="20">VLOOKUP(J50,$S$3:$V$352,4,FALSE)</f>
        <v>#DIV/0!</v>
      </c>
      <c r="N50" s="174" t="e">
        <f t="shared" si="17"/>
        <v>#DIV/0!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t="shared" si="0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2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t="shared" si="18"/>
        <v>E-FTW</v>
      </c>
      <c r="L51" s="181">
        <f t="shared" si="19"/>
        <v>-0.47304407884124677</v>
      </c>
      <c r="M51" s="193">
        <f t="shared" si="20"/>
        <v>-0.47304407884124677</v>
      </c>
      <c r="N51" s="174">
        <f t="shared" si="17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t="shared" si="0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2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t="shared" si="18"/>
        <v>P-FTW</v>
      </c>
      <c r="L52" s="181">
        <f t="shared" si="19"/>
        <v>-0.10749726929092357</v>
      </c>
      <c r="M52" s="193">
        <f t="shared" si="20"/>
        <v>-0.10749726929092357</v>
      </c>
      <c r="N52" s="174">
        <f t="shared" si="17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t="shared" si="0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2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t="shared" si="18"/>
        <v>H-FTW</v>
      </c>
      <c r="L53" s="181">
        <f t="shared" si="19"/>
        <v>-1.0628056004759365</v>
      </c>
      <c r="M53" s="193">
        <f t="shared" si="20"/>
        <v>-1.0628056004759365</v>
      </c>
      <c r="N53" s="174">
        <f t="shared" si="17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t="shared" si="0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t="shared" si="18"/>
        <v>M-FTW</v>
      </c>
      <c r="L54" s="181">
        <f t="shared" si="19"/>
        <v>-5.3984928008113666</v>
      </c>
      <c r="M54" s="193">
        <f t="shared" si="20"/>
        <v>-5.3984928008113666</v>
      </c>
      <c r="N54" s="174">
        <f t="shared" si="17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t="shared" si="0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r="55" spans="1:35" ht="15.7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t="shared" si="18"/>
        <v>D-FTW</v>
      </c>
      <c r="L55" s="181">
        <f t="shared" si="19"/>
        <v>-0.31359772906276223</v>
      </c>
      <c r="M55" s="193">
        <f t="shared" si="20"/>
        <v>-0.31359772906276223</v>
      </c>
      <c r="N55" s="174">
        <f t="shared" si="17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 t="e">
        <f t="shared" si="0"/>
        <v>#DIV/0!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25">
      <c r="J56" s="166">
        <v>102</v>
      </c>
      <c r="K56" s="129" t="str">
        <f t="shared" si="18"/>
        <v>W-PTW</v>
      </c>
      <c r="L56" s="182">
        <f>C88</f>
        <v>-1.7019485064435003</v>
      </c>
      <c r="M56" s="193">
        <f t="shared" si="20"/>
        <v>-1.7019485064435003</v>
      </c>
      <c r="N56" s="174">
        <f t="shared" si="17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t="shared" si="0"/>
        <v>-3.1714399741327508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25">
      <c r="J57" s="166">
        <v>302</v>
      </c>
      <c r="K57" s="129" t="str">
        <f t="shared" si="18"/>
        <v>E-PTW</v>
      </c>
      <c r="L57" s="182">
        <f>C90</f>
        <v>-0.4990109908015864</v>
      </c>
      <c r="M57" s="193">
        <f t="shared" si="20"/>
        <v>-0.4990109908015864</v>
      </c>
      <c r="N57" s="174">
        <f t="shared" si="17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t="shared" si="0"/>
        <v>-2.5464880380342043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2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t="shared" si="18"/>
        <v>P-PTW</v>
      </c>
      <c r="L58" s="182">
        <f t="shared" ref="L58:L61" si="21">C91</f>
        <v>-0.52878470576064129</v>
      </c>
      <c r="M58" s="193">
        <f t="shared" si="20"/>
        <v>-0.52878470576064129</v>
      </c>
      <c r="N58" s="174">
        <f t="shared" si="17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t="shared" si="0"/>
        <v>-0.4990109908015864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2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t="shared" si="18"/>
        <v>H-PTW</v>
      </c>
      <c r="L59" s="182">
        <f t="shared" si="21"/>
        <v>-0.49627904066599371</v>
      </c>
      <c r="M59" s="193">
        <f t="shared" si="20"/>
        <v>-0.49627904066599371</v>
      </c>
      <c r="N59" s="174">
        <f t="shared" si="17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t="shared" si="0"/>
        <v>-0.18773538050547375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r="60" spans="1:35" ht="15.75" thickBot="1" x14ac:dyDescent="0.3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t="shared" si="18"/>
        <v>M-PTW</v>
      </c>
      <c r="L60" s="182">
        <f t="shared" si="21"/>
        <v>-0.40555415304650344</v>
      </c>
      <c r="M60" s="193">
        <f t="shared" si="20"/>
        <v>-0.40555415304650344</v>
      </c>
      <c r="N60" s="174">
        <f t="shared" si="17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t="shared" si="0"/>
        <v>8.9555165952096588E-2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t="shared" si="18"/>
        <v>D-PTW</v>
      </c>
      <c r="L61" s="182">
        <f t="shared" si="21"/>
        <v>-0.46354196045917545</v>
      </c>
      <c r="M61" s="193">
        <f t="shared" si="20"/>
        <v>-0.46354196045917545</v>
      </c>
      <c r="N61" s="174">
        <f t="shared" si="17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t="shared" si="0"/>
        <v>-0.48017086497864703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2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t="shared" si="18"/>
        <v>E-RET</v>
      </c>
      <c r="L62" s="182">
        <f>D90</f>
        <v>-0.18773538050547375</v>
      </c>
      <c r="M62" s="193">
        <f t="shared" si="20"/>
        <v>-0.18773538050547375</v>
      </c>
      <c r="N62" s="174">
        <f t="shared" si="17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t="shared" si="0"/>
        <v>-0.3854080252771428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2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t="shared" si="18"/>
        <v>P-RET</v>
      </c>
      <c r="L63" s="182">
        <f t="shared" ref="L63:L66" si="22">D91</f>
        <v>-0.28112419389740539</v>
      </c>
      <c r="M63" s="193">
        <f t="shared" si="20"/>
        <v>-0.28112419389740539</v>
      </c>
      <c r="N63" s="174">
        <f t="shared" si="17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t="shared" si="0"/>
        <v>-0.23671072757100439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2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t="shared" si="18"/>
        <v>H-RET</v>
      </c>
      <c r="L64" s="182">
        <f t="shared" si="22"/>
        <v>-7.7302412048507796E-2</v>
      </c>
      <c r="M64" s="193">
        <f t="shared" si="20"/>
        <v>-7.7302412048507796E-2</v>
      </c>
      <c r="N64" s="174">
        <f t="shared" si="17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t="shared" si="0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2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t="shared" si="18"/>
        <v>M-RET</v>
      </c>
      <c r="L65" s="182">
        <f t="shared" si="22"/>
        <v>-1.1448316720067547E-2</v>
      </c>
      <c r="M65" s="193">
        <f t="shared" si="20"/>
        <v>-1.1448316720067547E-2</v>
      </c>
      <c r="N65" s="174">
        <f t="shared" si="17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t="shared" si="0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2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t="shared" si="18"/>
        <v>D-RET</v>
      </c>
      <c r="L66" s="182">
        <f t="shared" si="22"/>
        <v>-0.2002608859401287</v>
      </c>
      <c r="M66" s="193">
        <f t="shared" si="20"/>
        <v>-0.2002608859401287</v>
      </c>
      <c r="N66" s="174">
        <f t="shared" si="17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t="shared" si="0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2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t="shared" si="18"/>
        <v>E-NWA</v>
      </c>
      <c r="L67" s="182">
        <f>E90</f>
        <v>8.9555165952096588E-2</v>
      </c>
      <c r="M67" s="193">
        <f t="shared" si="20"/>
        <v>8.9555165952096588E-2</v>
      </c>
      <c r="N67" s="174">
        <f t="shared" si="17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t="shared" si="0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r="68" spans="1:35" ht="15.75" thickBot="1" x14ac:dyDescent="0.3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t="shared" si="18"/>
        <v>P-NWA</v>
      </c>
      <c r="L68" s="182">
        <f t="shared" ref="L68:L71" si="23">E91</f>
        <v>-0.1828660394378345</v>
      </c>
      <c r="M68" s="193">
        <f t="shared" si="20"/>
        <v>-0.1828660394378345</v>
      </c>
      <c r="N68" s="174">
        <f t="shared" si="17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t="shared" ref="V68:V131" si="24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25">
      <c r="J69" s="166">
        <v>504</v>
      </c>
      <c r="K69" s="129" t="str">
        <f t="shared" si="18"/>
        <v>H-NWA</v>
      </c>
      <c r="L69" s="182">
        <f t="shared" si="23"/>
        <v>-0.75073537220240882</v>
      </c>
      <c r="M69" s="193">
        <f t="shared" si="20"/>
        <v>-0.75073537220240882</v>
      </c>
      <c r="N69" s="174">
        <f t="shared" si="17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t="shared" si="24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25">
      <c r="J70" s="166">
        <v>604</v>
      </c>
      <c r="K70" s="129" t="str">
        <f t="shared" si="18"/>
        <v>M-NWA</v>
      </c>
      <c r="L70" s="182">
        <f t="shared" si="23"/>
        <v>-1.6892071550436899E-2</v>
      </c>
      <c r="M70" s="193">
        <f t="shared" si="20"/>
        <v>-1.6892071550436899E-2</v>
      </c>
      <c r="N70" s="174">
        <f t="shared" si="17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t="shared" si="24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2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t="shared" si="18"/>
        <v>D-NWA</v>
      </c>
      <c r="L71" s="182">
        <f t="shared" si="23"/>
        <v>0.10401949498726246</v>
      </c>
      <c r="M71" s="193">
        <f t="shared" si="20"/>
        <v>0.10401949498726246</v>
      </c>
      <c r="N71" s="174">
        <f t="shared" si="17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t="shared" si="24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2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t="shared" si="18"/>
        <v>W-UNI</v>
      </c>
      <c r="L72" s="182">
        <f>F88</f>
        <v>8.3360868437351847</v>
      </c>
      <c r="M72" s="193">
        <f t="shared" si="20"/>
        <v>8.3360868437351847</v>
      </c>
      <c r="N72" s="174">
        <f t="shared" si="17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t="shared" si="24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r="73" spans="1:35" ht="15.75" thickBot="1" x14ac:dyDescent="0.3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t="shared" si="18"/>
        <v>S-UNI</v>
      </c>
      <c r="L73" s="182">
        <f t="shared" ref="L73:L78" si="25">F89</f>
        <v>-1.2174199997081203</v>
      </c>
      <c r="M73" s="193">
        <f t="shared" si="20"/>
        <v>-1.2174199997081203</v>
      </c>
      <c r="N73" s="174">
        <f t="shared" si="17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t="shared" si="24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t="shared" si="18"/>
        <v>E-UNI</v>
      </c>
      <c r="L74" s="182">
        <f t="shared" si="25"/>
        <v>-0.48017086497864703</v>
      </c>
      <c r="M74" s="193">
        <f t="shared" si="20"/>
        <v>-0.48017086497864703</v>
      </c>
      <c r="N74" s="174">
        <f t="shared" si="17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t="shared" si="24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25">
      <c r="A75" s="3" t="s">
        <v>210</v>
      </c>
      <c r="B75" s="144">
        <f>D72*(LN(B34/K34)-$I5)</f>
        <v>-0.24044418708675613</v>
      </c>
      <c r="C75" s="144">
        <f>D72*(LN(C34/L34)-$I5)</f>
        <v>-0.39568869033350024</v>
      </c>
      <c r="D75" s="210" t="s">
        <v>1031</v>
      </c>
      <c r="E75" s="210" t="s">
        <v>1031</v>
      </c>
      <c r="F75" s="144">
        <f>D72*(LN(F34/O34)-$I5)</f>
        <v>-1.1639131562648144</v>
      </c>
      <c r="G75" s="144" t="e">
        <f>D72*(LN(G34/P34)-$I5)</f>
        <v>#NUM!</v>
      </c>
      <c r="H75" s="210" t="s">
        <v>1031</v>
      </c>
      <c r="J75" s="166">
        <v>405</v>
      </c>
      <c r="K75" s="129" t="str">
        <f t="shared" si="18"/>
        <v>P-UNI</v>
      </c>
      <c r="L75" s="182">
        <f t="shared" si="25"/>
        <v>-0.80797095976929634</v>
      </c>
      <c r="M75" s="193">
        <f t="shared" si="20"/>
        <v>-0.80797095976929634</v>
      </c>
      <c r="N75" s="174">
        <f t="shared" si="17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t="shared" si="24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25">
      <c r="A76" s="3" t="s">
        <v>211</v>
      </c>
      <c r="B76" s="144" t="e">
        <f>D72*(LN(B35/K35)-$I6)</f>
        <v>#DIV/0!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-1.2174199997081203</v>
      </c>
      <c r="G76" s="144">
        <f>D72*(LN(G35/P35)-$I6)</f>
        <v>-0.32722116334259643</v>
      </c>
      <c r="H76" s="144">
        <f>D72*(LN(H35/Q35)-$I6)</f>
        <v>-0.25422089681979088</v>
      </c>
      <c r="J76" s="166">
        <v>505</v>
      </c>
      <c r="K76" s="129" t="str">
        <f t="shared" si="18"/>
        <v>H-UNI</v>
      </c>
      <c r="L76" s="182">
        <f t="shared" si="25"/>
        <v>-0.77521305044685329</v>
      </c>
      <c r="M76" s="193">
        <f t="shared" si="20"/>
        <v>-0.77521305044685329</v>
      </c>
      <c r="N76" s="174">
        <f t="shared" si="17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t="shared" si="24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25">
      <c r="A77" s="3" t="s">
        <v>212</v>
      </c>
      <c r="B77" s="144">
        <f>D72*(LN(B36/K36)-$I7)</f>
        <v>-0.41893405865584676</v>
      </c>
      <c r="C77" s="144">
        <f>D72*(LN(C36/L36)-$I7)</f>
        <v>-0.19975984739158645</v>
      </c>
      <c r="D77" s="144">
        <f>D72*(LN(D36/M36)-$I7)</f>
        <v>-0.18773538050547375</v>
      </c>
      <c r="E77" s="144">
        <f>D72*(LN(E36/N36)-$I7)</f>
        <v>8.9555165952096588E-2</v>
      </c>
      <c r="F77" s="144">
        <f>D72*(LN(F36/O36)-$I7)</f>
        <v>-0.16133785487164701</v>
      </c>
      <c r="G77" s="144">
        <f>D72*(LN(G36/P36)-$I7)</f>
        <v>0.1625375064048572</v>
      </c>
      <c r="H77" s="144">
        <f>D72*(LN(H36/Q36)-$I7)</f>
        <v>-0.23671072757100439</v>
      </c>
      <c r="J77" s="166">
        <v>605</v>
      </c>
      <c r="K77" s="129" t="str">
        <f t="shared" si="18"/>
        <v>M-UNI</v>
      </c>
      <c r="L77" s="182">
        <f t="shared" si="25"/>
        <v>-0.28651099526165535</v>
      </c>
      <c r="M77" s="193">
        <f t="shared" si="20"/>
        <v>-0.28651099526165535</v>
      </c>
      <c r="N77" s="174">
        <f t="shared" si="17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t="shared" si="24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25">
      <c r="A78" s="3" t="s">
        <v>213</v>
      </c>
      <c r="B78" s="144">
        <f>D72*(LN(B37/K37)-$I8)</f>
        <v>-0.25300638102492357</v>
      </c>
      <c r="C78" s="144">
        <f>D72*(LN(C37/L37)-$I8)</f>
        <v>-0.52878470576064129</v>
      </c>
      <c r="D78" s="144">
        <f>D72*(LN(D37/M37)-$I8)</f>
        <v>-0.28112419389740539</v>
      </c>
      <c r="E78" s="144">
        <f>D72*(LN(E37/N37)-$I8)</f>
        <v>-4.3085063886834502E-2</v>
      </c>
      <c r="F78" s="144">
        <f>D72*(LN(F37/O37)-$I8)</f>
        <v>-0.62229223460229632</v>
      </c>
      <c r="G78" s="144">
        <f>D72*(LN(G37/P37)-$I8)</f>
        <v>-0.117885945479098</v>
      </c>
      <c r="H78" s="144">
        <f>D72*(LN(H37/Q37)-$I8)</f>
        <v>-0.10292039205246614</v>
      </c>
      <c r="J78" s="166">
        <v>705</v>
      </c>
      <c r="K78" s="129" t="str">
        <f t="shared" si="18"/>
        <v>D-UNI</v>
      </c>
      <c r="L78" s="182">
        <f t="shared" si="25"/>
        <v>-0.50948715913535902</v>
      </c>
      <c r="M78" s="193">
        <f t="shared" si="20"/>
        <v>-0.50948715913535902</v>
      </c>
      <c r="N78" s="174">
        <f t="shared" si="17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t="shared" si="24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25">
      <c r="A79" s="3" t="s">
        <v>214</v>
      </c>
      <c r="B79" s="144">
        <f>D72*(LN(B38/K38)-$I9)</f>
        <v>-0.58200434846493665</v>
      </c>
      <c r="C79" s="144">
        <f>D72*(LN(C38/L38)-$I9)</f>
        <v>-0.10608482362499372</v>
      </c>
      <c r="D79" s="144">
        <f>D72*(LN(D38/M38)-$I9)</f>
        <v>-7.7302412048507796E-2</v>
      </c>
      <c r="E79" s="144">
        <f>D72*(LN(E38/N38)-$I9)</f>
        <v>-8.5892921877408879E-2</v>
      </c>
      <c r="F79" s="144">
        <f>D72*(LN(F38/O38)-$I9)</f>
        <v>-0.64700692106785329</v>
      </c>
      <c r="G79" s="144" t="e">
        <f>D72*(LN(G38/P38)-$I9)</f>
        <v>#NUM!</v>
      </c>
      <c r="H79" s="144">
        <f>D72*(LN(H38/Q38)-$I9)</f>
        <v>-9.9968240476090542E-2</v>
      </c>
      <c r="J79" s="166">
        <v>106</v>
      </c>
      <c r="K79" s="129" t="str">
        <f t="shared" si="18"/>
        <v>W-DAS</v>
      </c>
      <c r="L79" s="182" t="e">
        <f>G88</f>
        <v>#NUM!</v>
      </c>
      <c r="M79" s="193" t="e">
        <f t="shared" si="20"/>
        <v>#NUM!</v>
      </c>
      <c r="N79" s="174" t="e">
        <f t="shared" si="17"/>
        <v>#NUM!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t="shared" si="24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25">
      <c r="A80" s="3" t="s">
        <v>129</v>
      </c>
      <c r="B80" s="144">
        <f>D72*(LN(B39/K39)-$I10)</f>
        <v>-0.39849280081136706</v>
      </c>
      <c r="C80" s="144">
        <f>D72*(LN(C39/L39)-$I10)</f>
        <v>-0.40555415304650344</v>
      </c>
      <c r="D80" s="144">
        <f>D72*(LN(D39/M39)-$I10)</f>
        <v>-1.1448316720067547E-2</v>
      </c>
      <c r="E80" s="144">
        <f>D72*(LN(E39/N39)-$I10)</f>
        <v>-1.6892071550436899E-2</v>
      </c>
      <c r="F80" s="144">
        <f>D72*(LN(F39/O39)-$I10)</f>
        <v>-0.28651099526165535</v>
      </c>
      <c r="G80" s="144">
        <f>IF(G39&gt;0,D72*(LN(G39/P39)-$I10),0)</f>
        <v>0</v>
      </c>
      <c r="H80" s="144">
        <f>D72*(LN(H39/Q39)-$I10)</f>
        <v>-0.1504931178860878</v>
      </c>
      <c r="J80" s="166">
        <v>206</v>
      </c>
      <c r="K80" s="129" t="str">
        <f t="shared" si="18"/>
        <v>S-DAS</v>
      </c>
      <c r="L80" s="182">
        <f t="shared" ref="L80:L85" si="26">G89</f>
        <v>-0.32722116334259643</v>
      </c>
      <c r="M80" s="193">
        <f t="shared" si="20"/>
        <v>-0.32722116334259643</v>
      </c>
      <c r="N80" s="174">
        <f t="shared" si="17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t="shared" si="24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r="81" spans="1:35" ht="15.75" thickBot="1" x14ac:dyDescent="0.3">
      <c r="A81" s="15" t="s">
        <v>130</v>
      </c>
      <c r="B81" s="145">
        <f>D72*(LN(B40/K40)-$I11)</f>
        <v>-0.31359772906276223</v>
      </c>
      <c r="C81" s="145">
        <f>D72*(LN(C40/L40)-$I11)</f>
        <v>-0.46354196045917545</v>
      </c>
      <c r="D81" s="145">
        <f>D72*(LN(D40/M40)-$I11)</f>
        <v>-0.24736202242662869</v>
      </c>
      <c r="E81" s="145">
        <f>D72*(LN(E40/N40)-$I11)</f>
        <v>7.0976346779262456E-2</v>
      </c>
      <c r="F81" s="145">
        <f>D72*(LN(F40/O40)-$I11)</f>
        <v>-0.32748796446135903</v>
      </c>
      <c r="G81" s="145">
        <f>D72*(LN(G40/P40)-$I11)</f>
        <v>-1.1162078745834536</v>
      </c>
      <c r="H81" s="145">
        <f>D72*(LN(H40/Q40)-$I11)</f>
        <v>-0.2897849150426674</v>
      </c>
      <c r="J81" s="166">
        <v>306</v>
      </c>
      <c r="K81" s="129" t="str">
        <f t="shared" si="18"/>
        <v>E-DAS</v>
      </c>
      <c r="L81" s="182">
        <f t="shared" si="26"/>
        <v>-0.3854080252771428</v>
      </c>
      <c r="M81" s="193">
        <f t="shared" si="20"/>
        <v>-0.3854080252771428</v>
      </c>
      <c r="N81" s="174">
        <f t="shared" si="17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t="shared" si="24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25">
      <c r="J82" s="166">
        <v>406</v>
      </c>
      <c r="K82" s="129" t="str">
        <f t="shared" si="18"/>
        <v>P-DAS</v>
      </c>
      <c r="L82" s="182">
        <f t="shared" si="26"/>
        <v>-0.117885945479098</v>
      </c>
      <c r="M82" s="193">
        <f t="shared" si="20"/>
        <v>-0.117885945479098</v>
      </c>
      <c r="N82" s="174">
        <f t="shared" si="17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t="shared" si="24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25">
      <c r="J83" s="166">
        <v>506</v>
      </c>
      <c r="K83" s="129" t="str">
        <f t="shared" si="18"/>
        <v>H-DAS</v>
      </c>
      <c r="L83" s="182" t="e">
        <f t="shared" si="26"/>
        <v>#NUM!</v>
      </c>
      <c r="M83" s="193" t="e">
        <f t="shared" si="20"/>
        <v>#NUM!</v>
      </c>
      <c r="N83" s="174" t="e">
        <f t="shared" si="17"/>
        <v>#NUM!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t="shared" si="24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2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t="shared" si="18"/>
        <v>M-DAS</v>
      </c>
      <c r="L84" s="182">
        <f t="shared" si="26"/>
        <v>0.1</v>
      </c>
      <c r="M84" s="193">
        <f t="shared" si="20"/>
        <v>0.1</v>
      </c>
      <c r="N84" s="174">
        <f t="shared" si="17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t="shared" si="24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2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t="shared" si="18"/>
        <v>D-DAS</v>
      </c>
      <c r="L85" s="182">
        <f t="shared" si="26"/>
        <v>-0.63404671250145361</v>
      </c>
      <c r="M85" s="193">
        <f t="shared" si="20"/>
        <v>-0.63404671250145361</v>
      </c>
      <c r="N85" s="174">
        <f t="shared" si="17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t="shared" si="24"/>
        <v>-0.47304407884124677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r="86" spans="1:35" ht="15.75" thickBot="1" x14ac:dyDescent="0.3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t="shared" si="18"/>
        <v>S-PAS</v>
      </c>
      <c r="L86" s="183">
        <f>H89</f>
        <v>-0.25422089681979088</v>
      </c>
      <c r="M86" s="193">
        <f t="shared" si="20"/>
        <v>-0.25422089681979088</v>
      </c>
      <c r="N86" s="174">
        <f t="shared" si="17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t="shared" si="24"/>
        <v>-2.5197019334018202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t="shared" si="18"/>
        <v>E-PAS</v>
      </c>
      <c r="L87" s="183">
        <f t="shared" ref="L87:L91" si="27">H90</f>
        <v>-0.23671072757100439</v>
      </c>
      <c r="M87" s="193">
        <f t="shared" si="20"/>
        <v>-0.23671072757100439</v>
      </c>
      <c r="N87" s="174">
        <f t="shared" si="17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t="shared" si="24"/>
        <v>-0.83341137055798509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25">
      <c r="A88" s="3" t="s">
        <v>210</v>
      </c>
      <c r="B88" s="144">
        <f>B62+B75</f>
        <v>0.55955581291324386</v>
      </c>
      <c r="C88" s="144">
        <f>C62+C75</f>
        <v>-1.7019485064435003</v>
      </c>
      <c r="D88" s="210" t="s">
        <v>1031</v>
      </c>
      <c r="E88" s="210" t="s">
        <v>1031</v>
      </c>
      <c r="F88" s="144">
        <f>F62+F75</f>
        <v>8.3360868437351847</v>
      </c>
      <c r="G88" s="144" t="e">
        <f>G62+G75</f>
        <v>#NUM!</v>
      </c>
      <c r="H88" s="210" t="s">
        <v>1031</v>
      </c>
      <c r="J88" s="166">
        <v>407</v>
      </c>
      <c r="K88" s="129" t="str">
        <f t="shared" si="18"/>
        <v>P-PAS</v>
      </c>
      <c r="L88" s="183">
        <f t="shared" si="27"/>
        <v>-0.49285027863646613</v>
      </c>
      <c r="M88" s="193">
        <f t="shared" si="20"/>
        <v>-0.49285027863646613</v>
      </c>
      <c r="N88" s="174">
        <f t="shared" si="17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t="shared" si="24"/>
        <v>-0.52878470576064129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25">
      <c r="A89" s="3" t="s">
        <v>211</v>
      </c>
      <c r="B89" s="144" t="e">
        <f>B63+B76</f>
        <v>#DIV/0!</v>
      </c>
      <c r="C89" s="210" t="s">
        <v>1031</v>
      </c>
      <c r="D89" s="210" t="s">
        <v>1031</v>
      </c>
      <c r="E89" s="210" t="s">
        <v>1031</v>
      </c>
      <c r="F89" s="144">
        <f t="shared" ref="F89:H89" si="28">F63+F76</f>
        <v>-1.2174199997081203</v>
      </c>
      <c r="G89" s="144">
        <f t="shared" si="28"/>
        <v>-0.32722116334259643</v>
      </c>
      <c r="H89" s="144">
        <f t="shared" si="28"/>
        <v>-0.25422089681979088</v>
      </c>
      <c r="J89" s="166">
        <v>507</v>
      </c>
      <c r="K89" s="129" t="str">
        <f t="shared" si="18"/>
        <v>H-PAS</v>
      </c>
      <c r="L89" s="183">
        <f t="shared" si="27"/>
        <v>-9.9968240476090542E-2</v>
      </c>
      <c r="M89" s="193">
        <f t="shared" si="20"/>
        <v>-9.9968240476090542E-2</v>
      </c>
      <c r="N89" s="174">
        <f t="shared" si="17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t="shared" si="24"/>
        <v>-0.28112419389740539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25">
      <c r="A90" s="3" t="s">
        <v>212</v>
      </c>
      <c r="B90" s="144">
        <f t="shared" ref="B90:H90" si="29">B64+B77</f>
        <v>-0.47304407884124677</v>
      </c>
      <c r="C90" s="144">
        <f t="shared" si="29"/>
        <v>-0.4990109908015864</v>
      </c>
      <c r="D90" s="144">
        <f t="shared" si="29"/>
        <v>-0.18773538050547375</v>
      </c>
      <c r="E90" s="144">
        <f t="shared" si="29"/>
        <v>8.9555165952096588E-2</v>
      </c>
      <c r="F90" s="144">
        <f t="shared" si="29"/>
        <v>-0.48017086497864703</v>
      </c>
      <c r="G90" s="144">
        <f t="shared" si="29"/>
        <v>-0.3854080252771428</v>
      </c>
      <c r="H90" s="144">
        <f t="shared" si="29"/>
        <v>-0.23671072757100439</v>
      </c>
      <c r="J90" s="166">
        <v>607</v>
      </c>
      <c r="K90" s="129" t="str">
        <f t="shared" si="18"/>
        <v>M-PAS</v>
      </c>
      <c r="L90" s="183">
        <f t="shared" si="27"/>
        <v>-0.1234278339071878</v>
      </c>
      <c r="M90" s="193">
        <f t="shared" si="20"/>
        <v>-0.1234278339071878</v>
      </c>
      <c r="N90" s="174">
        <f t="shared" si="17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t="shared" si="24"/>
        <v>-0.1828660394378345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r="91" spans="1:35" ht="15.75" thickBot="1" x14ac:dyDescent="0.3">
      <c r="A91" s="3" t="s">
        <v>213</v>
      </c>
      <c r="B91" s="144">
        <f t="shared" ref="B91:H91" si="30">B65+B78</f>
        <v>-0.10749726929092357</v>
      </c>
      <c r="C91" s="144">
        <f t="shared" si="30"/>
        <v>-0.52878470576064129</v>
      </c>
      <c r="D91" s="144">
        <f t="shared" si="30"/>
        <v>-0.28112419389740539</v>
      </c>
      <c r="E91" s="144">
        <f t="shared" si="30"/>
        <v>-0.1828660394378345</v>
      </c>
      <c r="F91" s="144">
        <f t="shared" si="30"/>
        <v>-0.80797095976929634</v>
      </c>
      <c r="G91" s="144">
        <f t="shared" si="30"/>
        <v>-0.117885945479098</v>
      </c>
      <c r="H91" s="144">
        <f t="shared" si="30"/>
        <v>-0.49285027863646613</v>
      </c>
      <c r="J91" s="170">
        <v>707</v>
      </c>
      <c r="K91" s="132" t="str">
        <f t="shared" si="18"/>
        <v>D-PAS</v>
      </c>
      <c r="L91" s="184">
        <f t="shared" si="27"/>
        <v>-0.24834545033436739</v>
      </c>
      <c r="M91" s="192">
        <f t="shared" si="20"/>
        <v>-0.24834545033436739</v>
      </c>
      <c r="N91" s="171">
        <f t="shared" si="17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t="shared" si="24"/>
        <v>-0.80797095976929634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25">
      <c r="A92" s="3" t="s">
        <v>214</v>
      </c>
      <c r="B92" s="144">
        <f t="shared" ref="B92:H92" si="31">B66+B79</f>
        <v>-1.0628056004759365</v>
      </c>
      <c r="C92" s="144">
        <f t="shared" si="31"/>
        <v>-0.49627904066599371</v>
      </c>
      <c r="D92" s="144">
        <f t="shared" si="31"/>
        <v>-7.7302412048507796E-2</v>
      </c>
      <c r="E92" s="144">
        <f t="shared" si="31"/>
        <v>-0.75073537220240882</v>
      </c>
      <c r="F92" s="144">
        <f t="shared" si="31"/>
        <v>-0.77521305044685329</v>
      </c>
      <c r="G92" s="144" t="e">
        <f t="shared" si="31"/>
        <v>#NUM!</v>
      </c>
      <c r="H92" s="144">
        <f t="shared" si="31"/>
        <v>-9.9968240476090542E-2</v>
      </c>
      <c r="J92" s="149"/>
      <c r="K92" s="149"/>
      <c r="L92" s="149"/>
      <c r="M92" s="149"/>
      <c r="N92" s="148" t="e">
        <f>SUM(N49:N91)</f>
        <v>#DIV/0!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t="shared" si="24"/>
        <v>-0.117885945479098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25">
      <c r="A93" s="3" t="s">
        <v>129</v>
      </c>
      <c r="B93" s="144">
        <f t="shared" ref="B93:H93" si="32">B67+B80</f>
        <v>-5.3984928008113666</v>
      </c>
      <c r="C93" s="144">
        <f t="shared" si="32"/>
        <v>-0.40555415304650344</v>
      </c>
      <c r="D93" s="144">
        <f t="shared" si="32"/>
        <v>-1.1448316720067547E-2</v>
      </c>
      <c r="E93" s="144">
        <f t="shared" si="32"/>
        <v>-1.6892071550436899E-2</v>
      </c>
      <c r="F93" s="144">
        <f t="shared" si="32"/>
        <v>-0.28651099526165535</v>
      </c>
      <c r="G93" s="144">
        <f t="shared" si="32"/>
        <v>0.1</v>
      </c>
      <c r="H93" s="144">
        <f t="shared" si="32"/>
        <v>-0.1234278339071878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t="shared" si="24"/>
        <v>-0.49285027863646613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r="94" spans="1:35" ht="15.75" thickBot="1" x14ac:dyDescent="0.3">
      <c r="A94" s="15" t="s">
        <v>130</v>
      </c>
      <c r="B94" s="145">
        <f t="shared" ref="B94:H94" si="33">B68+B81</f>
        <v>-0.31359772906276223</v>
      </c>
      <c r="C94" s="145">
        <f t="shared" si="33"/>
        <v>-0.46354196045917545</v>
      </c>
      <c r="D94" s="145">
        <f t="shared" si="33"/>
        <v>-0.2002608859401287</v>
      </c>
      <c r="E94" s="145">
        <f t="shared" si="33"/>
        <v>0.10401949498726246</v>
      </c>
      <c r="F94" s="145">
        <f t="shared" si="33"/>
        <v>-0.50948715913535902</v>
      </c>
      <c r="G94" s="145">
        <f t="shared" si="33"/>
        <v>-0.63404671250145361</v>
      </c>
      <c r="H94" s="145">
        <f t="shared" si="33"/>
        <v>-0.24834545033436739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t="shared" si="24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2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t="shared" si="24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2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t="shared" si="24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2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t="shared" si="24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2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t="shared" si="24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r="99" spans="1:35" ht="15.75" thickBot="1" x14ac:dyDescent="0.3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t="shared" si="24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2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t="shared" si="24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25">
      <c r="A101" s="3" t="s">
        <v>117</v>
      </c>
      <c r="B101" s="7">
        <f>output_NHTS!D136</f>
        <v>2686.7596185446</v>
      </c>
      <c r="C101" s="7">
        <f>output!D136</f>
        <v>17357</v>
      </c>
      <c r="D101" s="153">
        <f>B101/C101</f>
        <v>0.15479400924955924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-0.93283000925681003</v>
      </c>
      <c r="J101" s="187">
        <f>H101+I101</f>
        <v>0.29318404369819007</v>
      </c>
      <c r="K101" s="191">
        <f>VLOOKUP(F101,$X$3:$AA$17,4,FALSE)</f>
        <v>0.29318404369819007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t="shared" si="24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25">
      <c r="A102" s="3" t="s">
        <v>118</v>
      </c>
      <c r="B102" s="7">
        <f>output_NHTS!D137</f>
        <v>0</v>
      </c>
      <c r="C102" s="7">
        <f>output!D137</f>
        <v>397</v>
      </c>
      <c r="D102" s="153">
        <f t="shared" ref="D102:D107" si="34">B102/C102</f>
        <v>0</v>
      </c>
      <c r="E102" s="3"/>
      <c r="F102" s="3">
        <v>3</v>
      </c>
      <c r="G102" s="3" t="s">
        <v>118</v>
      </c>
      <c r="H102" s="189">
        <f t="shared" ref="H102:H107" si="35">VLOOKUP(F102,$X$3:$Z$17,3,FALSE)</f>
        <v>0.58949163187999998</v>
      </c>
      <c r="I102" s="154" t="e">
        <f>$H$98*LN(D102)</f>
        <v>#NUM!</v>
      </c>
      <c r="J102" s="187" t="e">
        <f t="shared" ref="J102:J107" si="36">H102+I102</f>
        <v>#NUM!</v>
      </c>
      <c r="K102" s="191" t="e">
        <f t="shared" ref="K102:K107" si="37">VLOOKUP(F102,$X$3:$AA$17,4,FALSE)</f>
        <v>#NUM!</v>
      </c>
      <c r="L102" s="168" t="e">
        <f t="shared" ref="L102:L107" si="38">IF(J102=K102,0,1)</f>
        <v>#NUM!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t="shared" si="24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25">
      <c r="A103" s="3" t="s">
        <v>4</v>
      </c>
      <c r="B103" s="7">
        <f>output_NHTS!D138</f>
        <v>647.7735073609</v>
      </c>
      <c r="C103" s="7">
        <f>output!D138</f>
        <v>2740</v>
      </c>
      <c r="D103" s="153">
        <f t="shared" si="34"/>
        <v>0.23641368881784672</v>
      </c>
      <c r="E103" s="3"/>
      <c r="F103" s="3">
        <v>4</v>
      </c>
      <c r="G103" s="3" t="s">
        <v>4</v>
      </c>
      <c r="H103" s="189">
        <f t="shared" si="35"/>
        <v>0.13633704997000001</v>
      </c>
      <c r="I103" s="154">
        <f t="shared" ref="I103:I107" si="39">$H$98*LN(D103)</f>
        <v>-0.72108604490290085</v>
      </c>
      <c r="J103" s="187">
        <f t="shared" si="36"/>
        <v>-0.58474899493290078</v>
      </c>
      <c r="K103" s="191">
        <f t="shared" si="37"/>
        <v>-0.58474899493290078</v>
      </c>
      <c r="L103" s="168">
        <f t="shared" si="38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t="shared" si="24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25">
      <c r="A104" s="3" t="s">
        <v>5</v>
      </c>
      <c r="B104" s="7">
        <f>output_NHTS!D139</f>
        <v>1235.4037437901</v>
      </c>
      <c r="C104" s="7">
        <f>output!D139</f>
        <v>8464</v>
      </c>
      <c r="D104" s="153">
        <f t="shared" si="34"/>
        <v>0.14595979959712901</v>
      </c>
      <c r="E104" s="3"/>
      <c r="F104" s="3">
        <v>6</v>
      </c>
      <c r="G104" s="3" t="s">
        <v>5</v>
      </c>
      <c r="H104" s="189">
        <f t="shared" si="35"/>
        <v>0.30036927294999999</v>
      </c>
      <c r="I104" s="154">
        <f t="shared" si="39"/>
        <v>-0.96221202020670038</v>
      </c>
      <c r="J104" s="187">
        <f t="shared" si="36"/>
        <v>-0.66184274725670034</v>
      </c>
      <c r="K104" s="191">
        <f t="shared" si="37"/>
        <v>-0.66184274725670034</v>
      </c>
      <c r="L104" s="168">
        <f t="shared" si="38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t="shared" si="24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25">
      <c r="A105" s="3" t="s">
        <v>6</v>
      </c>
      <c r="B105" s="7">
        <f>output_NHTS!D140</f>
        <v>5739.3796429929998</v>
      </c>
      <c r="C105" s="7">
        <f>output!D140</f>
        <v>8221</v>
      </c>
      <c r="D105" s="153">
        <f t="shared" si="34"/>
        <v>0.69813643632076383</v>
      </c>
      <c r="E105" s="3"/>
      <c r="F105" s="3">
        <v>8</v>
      </c>
      <c r="G105" s="3" t="s">
        <v>6</v>
      </c>
      <c r="H105" s="189">
        <f t="shared" si="35"/>
        <v>0.39617773946000001</v>
      </c>
      <c r="I105" s="154">
        <f t="shared" si="39"/>
        <v>-0.17967036390639562</v>
      </c>
      <c r="J105" s="187">
        <f t="shared" si="36"/>
        <v>0.21650737555360439</v>
      </c>
      <c r="K105" s="191">
        <f t="shared" si="37"/>
        <v>0.21650737555360439</v>
      </c>
      <c r="L105" s="168">
        <f t="shared" si="38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t="shared" si="24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25">
      <c r="A106" s="3" t="s">
        <v>7</v>
      </c>
      <c r="B106" s="7">
        <f>output_NHTS!D141</f>
        <v>9584.1145185034002</v>
      </c>
      <c r="C106" s="7">
        <f>output!D141</f>
        <v>33558</v>
      </c>
      <c r="D106" s="153">
        <f t="shared" si="34"/>
        <v>0.28559850165395434</v>
      </c>
      <c r="E106" s="3"/>
      <c r="F106" s="3">
        <v>10</v>
      </c>
      <c r="G106" s="3" t="s">
        <v>7</v>
      </c>
      <c r="H106" s="189">
        <f t="shared" si="35"/>
        <v>0.57146970345199999</v>
      </c>
      <c r="I106" s="154">
        <f t="shared" si="39"/>
        <v>-0.62658414742007662</v>
      </c>
      <c r="J106" s="187">
        <f t="shared" si="36"/>
        <v>-5.5114443968076632E-2</v>
      </c>
      <c r="K106" s="191">
        <f t="shared" si="37"/>
        <v>-5.5114443968076632E-2</v>
      </c>
      <c r="L106" s="168">
        <f t="shared" si="38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t="shared" si="24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r="107" spans="1:35" ht="15.75" thickBot="1" x14ac:dyDescent="0.3">
      <c r="A107" s="15" t="s">
        <v>8</v>
      </c>
      <c r="B107" s="22">
        <f>output_NHTS!D142</f>
        <v>2469.0583732865002</v>
      </c>
      <c r="C107" s="22">
        <f>output!D142</f>
        <v>8819</v>
      </c>
      <c r="D107" s="155">
        <f t="shared" si="34"/>
        <v>0.27997033374379182</v>
      </c>
      <c r="E107" s="3"/>
      <c r="F107" s="15">
        <v>13</v>
      </c>
      <c r="G107" s="15" t="s">
        <v>8</v>
      </c>
      <c r="H107" s="190">
        <f t="shared" si="35"/>
        <v>0.12974858328</v>
      </c>
      <c r="I107" s="145">
        <f t="shared" si="39"/>
        <v>-0.63653581617055566</v>
      </c>
      <c r="J107" s="188">
        <f t="shared" si="36"/>
        <v>-0.50678723289055561</v>
      </c>
      <c r="K107" s="192">
        <f t="shared" si="37"/>
        <v>-0.50678723289055561</v>
      </c>
      <c r="L107" s="171">
        <f t="shared" si="38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t="shared" si="24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25">
      <c r="L108" s="119" t="e">
        <f>SUM(L101:L107)</f>
        <v>#NUM!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t="shared" si="24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2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t="shared" si="24"/>
        <v>0</v>
      </c>
    </row>
    <row r="110" spans="1:35" x14ac:dyDescent="0.2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t="shared" si="24"/>
        <v>0</v>
      </c>
    </row>
    <row r="111" spans="1:35" x14ac:dyDescent="0.2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t="shared" si="24"/>
        <v>0</v>
      </c>
    </row>
    <row r="112" spans="1:35" x14ac:dyDescent="0.2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t="shared" si="24"/>
        <v>0</v>
      </c>
    </row>
    <row r="113" spans="19:22" x14ac:dyDescent="0.2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t="shared" si="24"/>
        <v>-3.0323782283900001E-2</v>
      </c>
    </row>
    <row r="114" spans="19:22" x14ac:dyDescent="0.2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t="shared" si="24"/>
        <v>-3.3157486963999998E-2</v>
      </c>
    </row>
    <row r="115" spans="19:22" x14ac:dyDescent="0.2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t="shared" si="24"/>
        <v>-0.10749726929092357</v>
      </c>
    </row>
    <row r="116" spans="19:22" x14ac:dyDescent="0.2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t="shared" si="24"/>
        <v>-2.3717515441351953</v>
      </c>
    </row>
    <row r="117" spans="19:22" x14ac:dyDescent="0.2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t="shared" si="24"/>
        <v>-6.4836660201894492E-2</v>
      </c>
    </row>
    <row r="118" spans="19:22" x14ac:dyDescent="0.2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t="shared" si="24"/>
        <v>-0.49627904066599371</v>
      </c>
    </row>
    <row r="119" spans="19:22" x14ac:dyDescent="0.2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t="shared" si="24"/>
        <v>-7.7302412048507796E-2</v>
      </c>
    </row>
    <row r="120" spans="19:22" x14ac:dyDescent="0.2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t="shared" si="24"/>
        <v>-0.75073537220240882</v>
      </c>
    </row>
    <row r="121" spans="19:22" x14ac:dyDescent="0.2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t="shared" si="24"/>
        <v>-0.77521305044685329</v>
      </c>
    </row>
    <row r="122" spans="19:22" x14ac:dyDescent="0.2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 t="e">
        <f t="shared" si="24"/>
        <v>#NUM!</v>
      </c>
    </row>
    <row r="123" spans="19:22" x14ac:dyDescent="0.2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t="shared" si="24"/>
        <v>-9.9968240476090542E-2</v>
      </c>
    </row>
    <row r="124" spans="19:22" x14ac:dyDescent="0.2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t="shared" si="24"/>
        <v>-0.2</v>
      </c>
    </row>
    <row r="125" spans="19:22" x14ac:dyDescent="0.2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t="shared" si="24"/>
        <v>0.19765755271499999</v>
      </c>
    </row>
    <row r="126" spans="19:22" x14ac:dyDescent="0.2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t="shared" si="24"/>
        <v>0</v>
      </c>
    </row>
    <row r="127" spans="19:22" x14ac:dyDescent="0.2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t="shared" si="24"/>
        <v>0</v>
      </c>
    </row>
    <row r="128" spans="19:22" x14ac:dyDescent="0.2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t="shared" si="24"/>
        <v>-9.62795835993E-2</v>
      </c>
    </row>
    <row r="129" spans="19:22" x14ac:dyDescent="0.2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t="shared" si="24"/>
        <v>0.31837119660899998</v>
      </c>
    </row>
    <row r="130" spans="19:22" x14ac:dyDescent="0.2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t="shared" si="24"/>
        <v>0</v>
      </c>
    </row>
    <row r="131" spans="19:22" x14ac:dyDescent="0.2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t="shared" si="24"/>
        <v>0.145509111734</v>
      </c>
    </row>
    <row r="132" spans="19:22" x14ac:dyDescent="0.2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t="shared" ref="V132:V195" si="40">_xlfn.IFNA(VLOOKUP(S132,$J$49:$L$91,3,FALSE),_xlfn.IFNA(VLOOKUP(S132,$F$5:$J$11,5,FALSE),_xlfn.IFNA(VLOOKUP(S132,$F$19:$J$25,5,FALSE),U132)))</f>
        <v>0</v>
      </c>
    </row>
    <row r="133" spans="19:22" x14ac:dyDescent="0.2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t="shared" si="40"/>
        <v>0</v>
      </c>
    </row>
    <row r="134" spans="19:22" x14ac:dyDescent="0.2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t="shared" si="40"/>
        <v>-0.39019421704099999</v>
      </c>
    </row>
    <row r="135" spans="19:22" x14ac:dyDescent="0.2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t="shared" si="40"/>
        <v>0</v>
      </c>
    </row>
    <row r="136" spans="19:22" x14ac:dyDescent="0.2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t="shared" si="40"/>
        <v>-0.664842450325</v>
      </c>
    </row>
    <row r="137" spans="19:22" x14ac:dyDescent="0.2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t="shared" si="40"/>
        <v>-0.128206129379</v>
      </c>
    </row>
    <row r="138" spans="19:22" x14ac:dyDescent="0.2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t="shared" si="40"/>
        <v>0.109643763442</v>
      </c>
    </row>
    <row r="139" spans="19:22" x14ac:dyDescent="0.2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t="shared" si="40"/>
        <v>0</v>
      </c>
    </row>
    <row r="140" spans="19:22" x14ac:dyDescent="0.2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t="shared" si="40"/>
        <v>0</v>
      </c>
    </row>
    <row r="141" spans="19:22" x14ac:dyDescent="0.2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t="shared" si="40"/>
        <v>0</v>
      </c>
    </row>
    <row r="142" spans="19:22" x14ac:dyDescent="0.2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t="shared" si="40"/>
        <v>0</v>
      </c>
    </row>
    <row r="143" spans="19:22" x14ac:dyDescent="0.2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t="shared" si="40"/>
        <v>-9.9077299202899993E-3</v>
      </c>
    </row>
    <row r="144" spans="19:22" x14ac:dyDescent="0.2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t="shared" si="40"/>
        <v>-3.40075996586E-2</v>
      </c>
    </row>
    <row r="145" spans="19:22" x14ac:dyDescent="0.2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t="shared" si="40"/>
        <v>-1.0628056004759365</v>
      </c>
    </row>
    <row r="146" spans="19:22" x14ac:dyDescent="0.2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t="shared" si="40"/>
        <v>-3.6351796349405157</v>
      </c>
    </row>
    <row r="147" spans="19:22" x14ac:dyDescent="0.2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t="shared" si="40"/>
        <v>-1.5167610963786355</v>
      </c>
    </row>
    <row r="148" spans="19:22" x14ac:dyDescent="0.2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t="shared" si="40"/>
        <v>-0.40555415304650344</v>
      </c>
    </row>
    <row r="149" spans="19:22" x14ac:dyDescent="0.2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t="shared" si="40"/>
        <v>-1.1448316720067547E-2</v>
      </c>
    </row>
    <row r="150" spans="19:22" x14ac:dyDescent="0.2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t="shared" si="40"/>
        <v>-1.6892071550436899E-2</v>
      </c>
    </row>
    <row r="151" spans="19:22" x14ac:dyDescent="0.2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t="shared" si="40"/>
        <v>-0.28651099526165535</v>
      </c>
    </row>
    <row r="152" spans="19:22" x14ac:dyDescent="0.2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t="shared" si="40"/>
        <v>0.1</v>
      </c>
    </row>
    <row r="153" spans="19:22" x14ac:dyDescent="0.2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t="shared" si="40"/>
        <v>-0.1234278339071878</v>
      </c>
    </row>
    <row r="154" spans="19:22" x14ac:dyDescent="0.2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t="shared" si="40"/>
        <v>-0.691459195676</v>
      </c>
    </row>
    <row r="155" spans="19:22" x14ac:dyDescent="0.2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t="shared" si="40"/>
        <v>-0.29980229741199999</v>
      </c>
    </row>
    <row r="156" spans="19:22" x14ac:dyDescent="0.2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t="shared" si="40"/>
        <v>1.67667697238E-2</v>
      </c>
    </row>
    <row r="157" spans="19:22" x14ac:dyDescent="0.2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t="shared" si="40"/>
        <v>0</v>
      </c>
    </row>
    <row r="158" spans="19:22" x14ac:dyDescent="0.2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t="shared" si="40"/>
        <v>-0.22841745929999999</v>
      </c>
    </row>
    <row r="159" spans="19:22" x14ac:dyDescent="0.2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t="shared" si="40"/>
        <v>0</v>
      </c>
    </row>
    <row r="160" spans="19:22" x14ac:dyDescent="0.2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t="shared" si="40"/>
        <v>0</v>
      </c>
    </row>
    <row r="161" spans="19:22" x14ac:dyDescent="0.2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t="shared" si="40"/>
        <v>-5.8983816757300002E-2</v>
      </c>
    </row>
    <row r="162" spans="19:22" x14ac:dyDescent="0.2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t="shared" si="40"/>
        <v>0</v>
      </c>
    </row>
    <row r="163" spans="19:22" x14ac:dyDescent="0.2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t="shared" si="40"/>
        <v>-0.59216940411100005</v>
      </c>
    </row>
    <row r="164" spans="19:22" x14ac:dyDescent="0.2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t="shared" si="40"/>
        <v>0</v>
      </c>
    </row>
    <row r="165" spans="19:22" x14ac:dyDescent="0.2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t="shared" si="40"/>
        <v>-0.48080125201099999</v>
      </c>
    </row>
    <row r="166" spans="19:22" x14ac:dyDescent="0.2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t="shared" si="40"/>
        <v>0</v>
      </c>
    </row>
    <row r="167" spans="19:22" x14ac:dyDescent="0.2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t="shared" si="40"/>
        <v>0</v>
      </c>
    </row>
    <row r="168" spans="19:22" x14ac:dyDescent="0.2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t="shared" si="40"/>
        <v>0</v>
      </c>
    </row>
    <row r="169" spans="19:22" x14ac:dyDescent="0.2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t="shared" si="40"/>
        <v>0</v>
      </c>
    </row>
    <row r="170" spans="19:22" x14ac:dyDescent="0.2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t="shared" si="40"/>
        <v>0</v>
      </c>
    </row>
    <row r="171" spans="19:22" x14ac:dyDescent="0.2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t="shared" si="40"/>
        <v>0</v>
      </c>
    </row>
    <row r="172" spans="19:22" x14ac:dyDescent="0.2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t="shared" si="40"/>
        <v>0.1</v>
      </c>
    </row>
    <row r="173" spans="19:22" x14ac:dyDescent="0.2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t="shared" si="40"/>
        <v>2.7065283978900002E-2</v>
      </c>
    </row>
    <row r="174" spans="19:22" x14ac:dyDescent="0.2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t="shared" si="40"/>
        <v>-2.37266979579E-2</v>
      </c>
    </row>
    <row r="175" spans="19:22" x14ac:dyDescent="0.2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t="shared" si="40"/>
        <v>-5.3984928008113666</v>
      </c>
    </row>
    <row r="176" spans="19:22" x14ac:dyDescent="0.2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t="shared" si="40"/>
        <v>-2.6512857410905619</v>
      </c>
    </row>
    <row r="177" spans="19:22" x14ac:dyDescent="0.2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t="shared" si="40"/>
        <v>-1.1457125698324289</v>
      </c>
    </row>
    <row r="178" spans="19:22" x14ac:dyDescent="0.2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t="shared" si="40"/>
        <v>-0.46354196045917545</v>
      </c>
    </row>
    <row r="179" spans="19:22" x14ac:dyDescent="0.2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t="shared" si="40"/>
        <v>-0.2002608859401287</v>
      </c>
    </row>
    <row r="180" spans="19:22" x14ac:dyDescent="0.2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t="shared" si="40"/>
        <v>0.10401949498726246</v>
      </c>
    </row>
    <row r="181" spans="19:22" x14ac:dyDescent="0.2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t="shared" si="40"/>
        <v>-0.50948715913535902</v>
      </c>
    </row>
    <row r="182" spans="19:22" x14ac:dyDescent="0.2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t="shared" si="40"/>
        <v>-0.63404671250145361</v>
      </c>
    </row>
    <row r="183" spans="19:22" x14ac:dyDescent="0.2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t="shared" si="40"/>
        <v>-0.24834545033436739</v>
      </c>
    </row>
    <row r="184" spans="19:22" x14ac:dyDescent="0.2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t="shared" si="40"/>
        <v>0.116602358763</v>
      </c>
    </row>
    <row r="185" spans="19:22" x14ac:dyDescent="0.2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t="shared" si="40"/>
        <v>-0.37024939587599998</v>
      </c>
    </row>
    <row r="186" spans="19:22" x14ac:dyDescent="0.2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t="shared" si="40"/>
        <v>-2.8143568197899999E-2</v>
      </c>
    </row>
    <row r="187" spans="19:22" x14ac:dyDescent="0.2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t="shared" si="40"/>
        <v>0.11288399086799999</v>
      </c>
    </row>
    <row r="188" spans="19:22" x14ac:dyDescent="0.2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t="shared" si="40"/>
        <v>0.19420487187800001</v>
      </c>
    </row>
    <row r="189" spans="19:22" x14ac:dyDescent="0.2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t="shared" si="40"/>
        <v>-5.0667690583899999E-2</v>
      </c>
    </row>
    <row r="190" spans="19:22" x14ac:dyDescent="0.2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t="shared" si="40"/>
        <v>0</v>
      </c>
    </row>
    <row r="191" spans="19:22" x14ac:dyDescent="0.2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t="shared" si="40"/>
        <v>0</v>
      </c>
    </row>
    <row r="192" spans="19:22" x14ac:dyDescent="0.2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t="shared" si="40"/>
        <v>0</v>
      </c>
    </row>
    <row r="193" spans="19:22" x14ac:dyDescent="0.2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t="shared" si="40"/>
        <v>-0.24386623187299999</v>
      </c>
    </row>
    <row r="194" spans="19:22" x14ac:dyDescent="0.2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t="shared" si="40"/>
        <v>0</v>
      </c>
    </row>
    <row r="195" spans="19:22" x14ac:dyDescent="0.2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t="shared" si="40"/>
        <v>-0.50528967094099997</v>
      </c>
    </row>
    <row r="196" spans="19:22" x14ac:dyDescent="0.2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t="shared" ref="V196:V259" si="41">_xlfn.IFNA(VLOOKUP(S196,$J$49:$L$91,3,FALSE),_xlfn.IFNA(VLOOKUP(S196,$F$5:$J$11,5,FALSE),_xlfn.IFNA(VLOOKUP(S196,$F$19:$J$25,5,FALSE),U196)))</f>
        <v>0</v>
      </c>
    </row>
    <row r="197" spans="19:22" x14ac:dyDescent="0.2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t="shared" si="41"/>
        <v>0</v>
      </c>
    </row>
    <row r="198" spans="19:22" x14ac:dyDescent="0.2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t="shared" si="41"/>
        <v>-9.4417426909799998E-2</v>
      </c>
    </row>
    <row r="199" spans="19:22" x14ac:dyDescent="0.2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t="shared" si="41"/>
        <v>-5</v>
      </c>
    </row>
    <row r="200" spans="19:22" x14ac:dyDescent="0.2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t="shared" si="41"/>
        <v>0</v>
      </c>
    </row>
    <row r="201" spans="19:22" x14ac:dyDescent="0.2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t="shared" si="41"/>
        <v>0</v>
      </c>
    </row>
    <row r="202" spans="19:22" x14ac:dyDescent="0.2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t="shared" si="41"/>
        <v>0</v>
      </c>
    </row>
    <row r="203" spans="19:22" x14ac:dyDescent="0.2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t="shared" si="41"/>
        <v>4.7101136486500002E-2</v>
      </c>
    </row>
    <row r="204" spans="19:22" x14ac:dyDescent="0.2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t="shared" si="41"/>
        <v>3.3043148208000001E-2</v>
      </c>
    </row>
    <row r="205" spans="19:22" x14ac:dyDescent="0.2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t="shared" si="41"/>
        <v>-0.31359772906276223</v>
      </c>
    </row>
    <row r="206" spans="19:22" x14ac:dyDescent="0.2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t="shared" si="41"/>
        <v>0.48216116208199999</v>
      </c>
    </row>
    <row r="207" spans="19:22" x14ac:dyDescent="0.2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t="shared" si="41"/>
        <v>4.1439464708299997E-2</v>
      </c>
    </row>
    <row r="208" spans="19:22" x14ac:dyDescent="0.2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t="shared" si="41"/>
        <v>6.9579968419499996E-2</v>
      </c>
    </row>
    <row r="209" spans="19:22" x14ac:dyDescent="0.2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t="shared" si="41"/>
        <v>-0.43103620622200001</v>
      </c>
    </row>
    <row r="210" spans="19:22" x14ac:dyDescent="0.2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t="shared" si="41"/>
        <v>0.18339092563000001</v>
      </c>
    </row>
    <row r="211" spans="19:22" x14ac:dyDescent="0.2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t="shared" si="41"/>
        <v>0.66879116640400005</v>
      </c>
    </row>
    <row r="212" spans="19:22" x14ac:dyDescent="0.2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t="shared" si="41"/>
        <v>0</v>
      </c>
    </row>
    <row r="213" spans="19:22" x14ac:dyDescent="0.2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t="shared" si="41"/>
        <v>0</v>
      </c>
    </row>
    <row r="214" spans="19:22" x14ac:dyDescent="0.2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t="shared" si="41"/>
        <v>0</v>
      </c>
    </row>
    <row r="215" spans="19:22" x14ac:dyDescent="0.2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t="shared" si="41"/>
        <v>0</v>
      </c>
    </row>
    <row r="216" spans="19:22" x14ac:dyDescent="0.2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t="shared" si="41"/>
        <v>0</v>
      </c>
    </row>
    <row r="217" spans="19:22" x14ac:dyDescent="0.2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t="shared" si="41"/>
        <v>0.2</v>
      </c>
    </row>
    <row r="218" spans="19:22" x14ac:dyDescent="0.2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t="shared" si="41"/>
        <v>0.2</v>
      </c>
    </row>
    <row r="219" spans="19:22" x14ac:dyDescent="0.2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t="shared" si="41"/>
        <v>-0.133527374536</v>
      </c>
    </row>
    <row r="220" spans="19:22" x14ac:dyDescent="0.2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t="shared" si="41"/>
        <v>-0.19409057072399999</v>
      </c>
    </row>
    <row r="221" spans="19:22" x14ac:dyDescent="0.2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t="shared" si="41"/>
        <v>0.3240162721</v>
      </c>
    </row>
    <row r="222" spans="19:22" x14ac:dyDescent="0.2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t="shared" si="41"/>
        <v>-0.30256536065299999</v>
      </c>
    </row>
    <row r="223" spans="19:22" x14ac:dyDescent="0.2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t="shared" si="41"/>
        <v>0.46909146537899998</v>
      </c>
    </row>
    <row r="224" spans="19:22" x14ac:dyDescent="0.2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t="shared" si="41"/>
        <v>9.8106343641299998E-2</v>
      </c>
    </row>
    <row r="225" spans="19:22" x14ac:dyDescent="0.2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t="shared" si="41"/>
        <v>0.2</v>
      </c>
    </row>
    <row r="226" spans="19:22" x14ac:dyDescent="0.2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t="shared" si="41"/>
        <v>0</v>
      </c>
    </row>
    <row r="227" spans="19:22" x14ac:dyDescent="0.2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t="shared" si="41"/>
        <v>1.7061575260799999</v>
      </c>
    </row>
    <row r="228" spans="19:22" x14ac:dyDescent="0.2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t="shared" si="41"/>
        <v>0</v>
      </c>
    </row>
    <row r="229" spans="19:22" x14ac:dyDescent="0.2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t="shared" si="41"/>
        <v>7.7639467671599999E-4</v>
      </c>
    </row>
    <row r="230" spans="19:22" x14ac:dyDescent="0.2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t="shared" si="41"/>
        <v>6.0680986142000001E-2</v>
      </c>
    </row>
    <row r="231" spans="19:22" x14ac:dyDescent="0.2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t="shared" si="41"/>
        <v>0.1</v>
      </c>
    </row>
    <row r="232" spans="19:22" x14ac:dyDescent="0.2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t="shared" si="41"/>
        <v>0</v>
      </c>
    </row>
    <row r="233" spans="19:22" x14ac:dyDescent="0.2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t="shared" si="41"/>
        <v>0</v>
      </c>
    </row>
    <row r="234" spans="19:22" x14ac:dyDescent="0.2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t="shared" si="41"/>
        <v>0</v>
      </c>
    </row>
    <row r="235" spans="19:22" x14ac:dyDescent="0.2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t="shared" si="41"/>
        <v>0.1</v>
      </c>
    </row>
    <row r="236" spans="19:22" x14ac:dyDescent="0.2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t="shared" si="41"/>
        <v>-0.74970232918900004</v>
      </c>
    </row>
    <row r="237" spans="19:22" x14ac:dyDescent="0.2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t="shared" si="41"/>
        <v>-0.45273598904899998</v>
      </c>
    </row>
    <row r="238" spans="19:22" x14ac:dyDescent="0.2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t="shared" si="41"/>
        <v>0</v>
      </c>
    </row>
    <row r="239" spans="19:22" x14ac:dyDescent="0.2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t="shared" si="41"/>
        <v>0</v>
      </c>
    </row>
    <row r="240" spans="19:22" x14ac:dyDescent="0.2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t="shared" si="41"/>
        <v>0</v>
      </c>
    </row>
    <row r="241" spans="19:22" x14ac:dyDescent="0.2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t="shared" si="41"/>
        <v>0.1</v>
      </c>
    </row>
    <row r="242" spans="19:22" x14ac:dyDescent="0.2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t="shared" si="41"/>
        <v>0</v>
      </c>
    </row>
    <row r="243" spans="19:22" x14ac:dyDescent="0.2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t="shared" si="41"/>
        <v>0</v>
      </c>
    </row>
    <row r="244" spans="19:22" x14ac:dyDescent="0.2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t="shared" si="41"/>
        <v>0</v>
      </c>
    </row>
    <row r="245" spans="19:22" x14ac:dyDescent="0.2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t="shared" si="41"/>
        <v>0</v>
      </c>
    </row>
    <row r="246" spans="19:22" x14ac:dyDescent="0.2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t="shared" si="41"/>
        <v>0.1</v>
      </c>
    </row>
    <row r="247" spans="19:22" x14ac:dyDescent="0.2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t="shared" si="41"/>
        <v>0.1</v>
      </c>
    </row>
    <row r="248" spans="19:22" x14ac:dyDescent="0.2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t="shared" si="41"/>
        <v>0.1</v>
      </c>
    </row>
    <row r="249" spans="19:22" x14ac:dyDescent="0.2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t="shared" si="41"/>
        <v>0.1</v>
      </c>
    </row>
    <row r="250" spans="19:22" x14ac:dyDescent="0.2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t="shared" si="41"/>
        <v>0</v>
      </c>
    </row>
    <row r="251" spans="19:22" x14ac:dyDescent="0.2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t="shared" si="41"/>
        <v>0</v>
      </c>
    </row>
    <row r="252" spans="19:22" x14ac:dyDescent="0.2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t="shared" si="41"/>
        <v>0</v>
      </c>
    </row>
    <row r="253" spans="19:22" x14ac:dyDescent="0.2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t="shared" si="41"/>
        <v>1.0089226032800001</v>
      </c>
    </row>
    <row r="254" spans="19:22" x14ac:dyDescent="0.2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t="shared" si="41"/>
        <v>0</v>
      </c>
    </row>
    <row r="255" spans="19:22" x14ac:dyDescent="0.2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t="shared" si="41"/>
        <v>0</v>
      </c>
    </row>
    <row r="256" spans="19:22" x14ac:dyDescent="0.2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t="shared" si="41"/>
        <v>0</v>
      </c>
    </row>
    <row r="257" spans="19:22" x14ac:dyDescent="0.2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t="shared" si="41"/>
        <v>0</v>
      </c>
    </row>
    <row r="258" spans="19:22" x14ac:dyDescent="0.2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t="shared" si="41"/>
        <v>0.46702494856799998</v>
      </c>
    </row>
    <row r="259" spans="19:22" x14ac:dyDescent="0.2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t="shared" si="41"/>
        <v>0.35627106766599997</v>
      </c>
    </row>
    <row r="260" spans="19:22" x14ac:dyDescent="0.2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t="shared" ref="V260:V323" si="42">_xlfn.IFNA(VLOOKUP(S260,$J$49:$L$91,3,FALSE),_xlfn.IFNA(VLOOKUP(S260,$F$5:$J$11,5,FALSE),_xlfn.IFNA(VLOOKUP(S260,$F$19:$J$25,5,FALSE),U260)))</f>
        <v>0</v>
      </c>
    </row>
    <row r="261" spans="19:22" x14ac:dyDescent="0.2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t="shared" si="42"/>
        <v>1.31138129947</v>
      </c>
    </row>
    <row r="262" spans="19:22" x14ac:dyDescent="0.2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t="shared" si="42"/>
        <v>-0.22715085959799999</v>
      </c>
    </row>
    <row r="263" spans="19:22" x14ac:dyDescent="0.2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t="shared" si="42"/>
        <v>-0.38633537797900003</v>
      </c>
    </row>
    <row r="264" spans="19:22" x14ac:dyDescent="0.2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t="shared" si="42"/>
        <v>8.8964159717400002E-2</v>
      </c>
    </row>
    <row r="265" spans="19:22" x14ac:dyDescent="0.2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t="shared" si="42"/>
        <v>-7.9538981434700007E-2</v>
      </c>
    </row>
    <row r="266" spans="19:22" x14ac:dyDescent="0.2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t="shared" si="42"/>
        <v>7.9494235797800003E-2</v>
      </c>
    </row>
    <row r="267" spans="19:22" x14ac:dyDescent="0.2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t="shared" si="42"/>
        <v>0</v>
      </c>
    </row>
    <row r="268" spans="19:22" x14ac:dyDescent="0.2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t="shared" si="42"/>
        <v>0</v>
      </c>
    </row>
    <row r="269" spans="19:22" x14ac:dyDescent="0.2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t="shared" si="42"/>
        <v>3.1456067642599998E-2</v>
      </c>
    </row>
    <row r="270" spans="19:22" x14ac:dyDescent="0.2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t="shared" si="42"/>
        <v>1.4072425159899999</v>
      </c>
    </row>
    <row r="271" spans="19:22" x14ac:dyDescent="0.2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t="shared" si="42"/>
        <v>-0.26026898348499999</v>
      </c>
    </row>
    <row r="272" spans="19:22" x14ac:dyDescent="0.2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t="shared" si="42"/>
        <v>-0.32971865148700003</v>
      </c>
    </row>
    <row r="273" spans="19:22" x14ac:dyDescent="0.2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t="shared" si="42"/>
        <v>6.50875202667E-3</v>
      </c>
    </row>
    <row r="274" spans="19:22" x14ac:dyDescent="0.2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t="shared" si="42"/>
        <v>1.13927128862E-2</v>
      </c>
    </row>
    <row r="275" spans="19:22" x14ac:dyDescent="0.2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t="shared" si="42"/>
        <v>0</v>
      </c>
    </row>
    <row r="276" spans="19:22" x14ac:dyDescent="0.2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t="shared" si="42"/>
        <v>2.4989891222699998</v>
      </c>
    </row>
    <row r="277" spans="19:22" x14ac:dyDescent="0.2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t="shared" si="42"/>
        <v>0.42155755741200002</v>
      </c>
    </row>
    <row r="278" spans="19:22" x14ac:dyDescent="0.2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t="shared" si="42"/>
        <v>0.188249465196</v>
      </c>
    </row>
    <row r="279" spans="19:22" x14ac:dyDescent="0.2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t="shared" si="42"/>
        <v>0.23932223079699999</v>
      </c>
    </row>
    <row r="280" spans="19:22" x14ac:dyDescent="0.2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t="shared" si="42"/>
        <v>-0.31733811965499997</v>
      </c>
    </row>
    <row r="281" spans="19:22" x14ac:dyDescent="0.2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t="shared" si="42"/>
        <v>0.852308722982</v>
      </c>
    </row>
    <row r="282" spans="19:22" x14ac:dyDescent="0.2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t="shared" si="42"/>
        <v>7.7300054790300004E-3</v>
      </c>
    </row>
    <row r="283" spans="19:22" x14ac:dyDescent="0.2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t="shared" si="42"/>
        <v>-0.17096234816700001</v>
      </c>
    </row>
    <row r="284" spans="19:22" x14ac:dyDescent="0.2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t="shared" si="42"/>
        <v>-0.32416023566300001</v>
      </c>
    </row>
    <row r="285" spans="19:22" x14ac:dyDescent="0.2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t="shared" si="42"/>
        <v>0.19022174198299999</v>
      </c>
    </row>
    <row r="286" spans="19:22" x14ac:dyDescent="0.2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t="shared" si="42"/>
        <v>0.34703104835999998</v>
      </c>
    </row>
    <row r="287" spans="19:22" x14ac:dyDescent="0.2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t="shared" si="42"/>
        <v>-9.1791021150699995E-2</v>
      </c>
    </row>
    <row r="288" spans="19:22" x14ac:dyDescent="0.2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t="shared" si="42"/>
        <v>-4.4033147256099997E-2</v>
      </c>
    </row>
    <row r="289" spans="19:22" x14ac:dyDescent="0.2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t="shared" si="42"/>
        <v>0.13328175857800001</v>
      </c>
    </row>
    <row r="290" spans="19:22" x14ac:dyDescent="0.2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t="shared" si="42"/>
        <v>-9.9638367623800003E-2</v>
      </c>
    </row>
    <row r="291" spans="19:22" x14ac:dyDescent="0.2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t="shared" si="42"/>
        <v>0.45879604656799999</v>
      </c>
    </row>
    <row r="292" spans="19:22" x14ac:dyDescent="0.2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t="shared" si="42"/>
        <v>-0.18955960247199999</v>
      </c>
    </row>
    <row r="293" spans="19:22" x14ac:dyDescent="0.2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t="shared" si="42"/>
        <v>-9.7610811434499997E-3</v>
      </c>
    </row>
    <row r="294" spans="19:22" x14ac:dyDescent="0.2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t="shared" si="42"/>
        <v>7.1526049743299999E-2</v>
      </c>
    </row>
    <row r="295" spans="19:22" x14ac:dyDescent="0.2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t="shared" si="42"/>
        <v>0.13756738340899999</v>
      </c>
    </row>
    <row r="296" spans="19:22" x14ac:dyDescent="0.2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t="shared" si="42"/>
        <v>-2.5994126514599998</v>
      </c>
    </row>
    <row r="297" spans="19:22" x14ac:dyDescent="0.2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t="shared" si="42"/>
        <v>-1.71754382306</v>
      </c>
    </row>
    <row r="298" spans="19:22" x14ac:dyDescent="0.2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t="shared" si="42"/>
        <v>-1.26550258109</v>
      </c>
    </row>
    <row r="299" spans="19:22" x14ac:dyDescent="0.2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t="shared" si="42"/>
        <v>-1.2119912740300001</v>
      </c>
    </row>
    <row r="300" spans="19:22" x14ac:dyDescent="0.2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t="shared" si="42"/>
        <v>-0.79329386713299999</v>
      </c>
    </row>
    <row r="301" spans="19:22" x14ac:dyDescent="0.2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t="shared" si="42"/>
        <v>-0.52349938843999999</v>
      </c>
    </row>
    <row r="302" spans="19:22" x14ac:dyDescent="0.2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t="shared" si="42"/>
        <v>-1.3733550834799999</v>
      </c>
    </row>
    <row r="303" spans="19:22" x14ac:dyDescent="0.2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t="shared" si="42"/>
        <v>-1.06502176181</v>
      </c>
    </row>
    <row r="304" spans="19:22" x14ac:dyDescent="0.2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t="shared" si="42"/>
        <v>-1.1892653198600001</v>
      </c>
    </row>
    <row r="305" spans="19:22" x14ac:dyDescent="0.2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t="shared" si="42"/>
        <v>-0.74621794669599995</v>
      </c>
    </row>
    <row r="306" spans="19:22" x14ac:dyDescent="0.2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t="shared" si="42"/>
        <v>-0.72968899023</v>
      </c>
    </row>
    <row r="307" spans="19:22" x14ac:dyDescent="0.2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t="shared" si="42"/>
        <v>5.4528016064599998E-2</v>
      </c>
    </row>
    <row r="308" spans="19:22" x14ac:dyDescent="0.2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t="shared" si="42"/>
        <v>-7.8362597510999998E-2</v>
      </c>
    </row>
    <row r="309" spans="19:22" x14ac:dyDescent="0.2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t="shared" si="42"/>
        <v>8.58579439458E-2</v>
      </c>
    </row>
    <row r="310" spans="19:22" x14ac:dyDescent="0.2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t="shared" si="42"/>
        <v>0.40109888872799998</v>
      </c>
    </row>
    <row r="311" spans="19:22" x14ac:dyDescent="0.2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t="shared" si="42"/>
        <v>-0.131395429753</v>
      </c>
    </row>
    <row r="312" spans="19:22" x14ac:dyDescent="0.2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t="shared" si="42"/>
        <v>-1.4362851378E-2</v>
      </c>
    </row>
    <row r="313" spans="19:22" x14ac:dyDescent="0.2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t="shared" si="42"/>
        <v>5.4348679202199997E-2</v>
      </c>
    </row>
    <row r="314" spans="19:22" x14ac:dyDescent="0.2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t="shared" si="42"/>
        <v>-2.98287847052E-2</v>
      </c>
    </row>
    <row r="315" spans="19:22" x14ac:dyDescent="0.2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t="shared" si="42"/>
        <v>0.163451916709</v>
      </c>
    </row>
    <row r="316" spans="19:22" x14ac:dyDescent="0.2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t="shared" si="42"/>
        <v>-0.58856263239899997</v>
      </c>
    </row>
    <row r="317" spans="19:22" x14ac:dyDescent="0.2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t="shared" si="42"/>
        <v>-0.24210518212900001</v>
      </c>
    </row>
    <row r="318" spans="19:22" x14ac:dyDescent="0.2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t="shared" si="42"/>
        <v>-0.44236569695599998</v>
      </c>
    </row>
    <row r="319" spans="19:22" x14ac:dyDescent="0.2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t="shared" si="42"/>
        <v>0.30457547522900003</v>
      </c>
    </row>
    <row r="320" spans="19:22" x14ac:dyDescent="0.2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t="shared" si="42"/>
        <v>-0.38276467722899998</v>
      </c>
    </row>
    <row r="321" spans="19:22" x14ac:dyDescent="0.2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t="shared" si="42"/>
        <v>-1.4817002100900001</v>
      </c>
    </row>
    <row r="322" spans="19:22" x14ac:dyDescent="0.2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t="shared" si="42"/>
        <v>-0.33988648641800001</v>
      </c>
    </row>
    <row r="323" spans="19:22" x14ac:dyDescent="0.2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t="shared" si="42"/>
        <v>-0.68291840383500002</v>
      </c>
    </row>
    <row r="324" spans="19:22" x14ac:dyDescent="0.2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t="shared" ref="V324:V352" si="43">_xlfn.IFNA(VLOOKUP(S324,$J$49:$L$91,3,FALSE),_xlfn.IFNA(VLOOKUP(S324,$F$5:$J$11,5,FALSE),_xlfn.IFNA(VLOOKUP(S324,$F$19:$J$25,5,FALSE),U324)))</f>
        <v>0.99448337865199998</v>
      </c>
    </row>
    <row r="325" spans="19:22" x14ac:dyDescent="0.2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t="shared" si="43"/>
        <v>-0.24271310233000001</v>
      </c>
    </row>
    <row r="326" spans="19:22" x14ac:dyDescent="0.2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t="shared" si="43"/>
        <v>-0.20743183744900001</v>
      </c>
    </row>
    <row r="327" spans="19:22" x14ac:dyDescent="0.2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t="shared" si="43"/>
        <v>-0.362858881134</v>
      </c>
    </row>
    <row r="328" spans="19:22" x14ac:dyDescent="0.2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t="shared" si="43"/>
        <v>-0.22587769484799999</v>
      </c>
    </row>
    <row r="329" spans="19:22" x14ac:dyDescent="0.2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t="shared" si="43"/>
        <v>2.8313275662500002E-2</v>
      </c>
    </row>
    <row r="330" spans="19:22" x14ac:dyDescent="0.2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t="shared" si="43"/>
        <v>-0.132943375374</v>
      </c>
    </row>
    <row r="331" spans="19:22" x14ac:dyDescent="0.2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t="shared" si="43"/>
        <v>-6.1171239687499997E-2</v>
      </c>
    </row>
    <row r="332" spans="19:22" x14ac:dyDescent="0.2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t="shared" si="43"/>
        <v>-0.28246371089900002</v>
      </c>
    </row>
    <row r="333" spans="19:22" x14ac:dyDescent="0.2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t="shared" si="43"/>
        <v>-0.42730825529100003</v>
      </c>
    </row>
    <row r="334" spans="19:22" x14ac:dyDescent="0.2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t="shared" si="43"/>
        <v>-0.39541284004499999</v>
      </c>
    </row>
    <row r="335" spans="19:22" x14ac:dyDescent="0.2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t="shared" si="43"/>
        <v>-2.3636261105099998</v>
      </c>
    </row>
    <row r="336" spans="19:22" x14ac:dyDescent="0.2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t="shared" si="43"/>
        <v>-3.3984471460900001</v>
      </c>
    </row>
    <row r="337" spans="19:22" x14ac:dyDescent="0.2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t="shared" si="43"/>
        <v>-4.0690844656999996</v>
      </c>
    </row>
    <row r="338" spans="19:22" x14ac:dyDescent="0.2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t="shared" si="43"/>
        <v>-2.3291602995099998</v>
      </c>
    </row>
    <row r="339" spans="19:22" x14ac:dyDescent="0.2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t="shared" si="43"/>
        <v>-3.3320340260300001</v>
      </c>
    </row>
    <row r="340" spans="19:22" x14ac:dyDescent="0.2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t="shared" si="43"/>
        <v>-3.9915902374400001</v>
      </c>
    </row>
    <row r="341" spans="19:22" x14ac:dyDescent="0.2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t="shared" si="43"/>
        <v>-2.2118895961699998</v>
      </c>
    </row>
    <row r="342" spans="19:22" x14ac:dyDescent="0.2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t="shared" si="43"/>
        <v>-3.4027467696499998</v>
      </c>
    </row>
    <row r="343" spans="19:22" x14ac:dyDescent="0.2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t="shared" si="43"/>
        <v>0.105372392743</v>
      </c>
    </row>
    <row r="344" spans="19:22" x14ac:dyDescent="0.2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t="shared" si="43"/>
        <v>-1.9733408504600001</v>
      </c>
    </row>
    <row r="345" spans="19:22" x14ac:dyDescent="0.2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t="shared" si="43"/>
        <v>-9.4848733646700004E-2</v>
      </c>
    </row>
    <row r="346" spans="19:22" x14ac:dyDescent="0.2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t="shared" si="43"/>
        <v>-0.32757978397600002</v>
      </c>
    </row>
    <row r="347" spans="19:22" x14ac:dyDescent="0.2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t="shared" si="43"/>
        <v>5.1200790919799996E-4</v>
      </c>
    </row>
    <row r="348" spans="19:22" x14ac:dyDescent="0.2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t="shared" si="43"/>
        <v>0.12070867719099999</v>
      </c>
    </row>
    <row r="349" spans="19:22" x14ac:dyDescent="0.2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t="shared" si="43"/>
        <v>1.43935300972</v>
      </c>
    </row>
    <row r="350" spans="19:22" x14ac:dyDescent="0.2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t="shared" si="43"/>
        <v>5.8889368276700001E-2</v>
      </c>
    </row>
    <row r="351" spans="19:22" x14ac:dyDescent="0.2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t="shared" si="43"/>
        <v>-0.41526082283299998</v>
      </c>
    </row>
    <row r="352" spans="19:22" x14ac:dyDescent="0.2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t="shared" si="43"/>
        <v>1.2275638646799999E-2</v>
      </c>
    </row>
    <row r="353" spans="19:22" x14ac:dyDescent="0.25">
      <c r="S353" s="163"/>
      <c r="T353" s="163"/>
      <c r="U353" s="157"/>
      <c r="V353" s="157"/>
    </row>
    <row r="354" spans="19:22" x14ac:dyDescent="0.25">
      <c r="S354" s="163"/>
      <c r="T354" s="163"/>
      <c r="U354" s="157"/>
      <c r="V354" s="157"/>
    </row>
    <row r="355" spans="19:22" x14ac:dyDescent="0.25">
      <c r="S355" s="163"/>
      <c r="T355" s="163"/>
      <c r="U355" s="157"/>
      <c r="V355" s="157"/>
    </row>
    <row r="356" spans="19:22" x14ac:dyDescent="0.25">
      <c r="S356" s="163"/>
      <c r="T356" s="163"/>
      <c r="U356" s="157"/>
      <c r="V356" s="157"/>
    </row>
    <row r="357" spans="19:22" x14ac:dyDescent="0.25">
      <c r="S357" s="163"/>
      <c r="T357" s="163"/>
      <c r="U357" s="157"/>
      <c r="V357" s="157"/>
    </row>
    <row r="358" spans="19:22" x14ac:dyDescent="0.25">
      <c r="S358" s="163"/>
      <c r="T358" s="163"/>
      <c r="U358" s="157"/>
      <c r="V358" s="157"/>
    </row>
    <row r="359" spans="19:22" x14ac:dyDescent="0.25">
      <c r="S359" s="163"/>
      <c r="T359" s="163"/>
      <c r="U359" s="157"/>
      <c r="V359" s="157"/>
    </row>
    <row r="360" spans="19:22" x14ac:dyDescent="0.25">
      <c r="S360" s="163"/>
      <c r="T360" s="163"/>
      <c r="U360" s="157"/>
      <c r="V360" s="157"/>
    </row>
    <row r="361" spans="19:22" x14ac:dyDescent="0.25">
      <c r="S361" s="163"/>
      <c r="T361" s="163"/>
      <c r="U361" s="157"/>
      <c r="V361" s="157"/>
    </row>
    <row r="362" spans="19:22" x14ac:dyDescent="0.25">
      <c r="S362" s="163"/>
      <c r="T362" s="163"/>
      <c r="U362" s="157"/>
      <c r="V362" s="157"/>
    </row>
    <row r="363" spans="19:22" x14ac:dyDescent="0.25">
      <c r="S363" s="163"/>
      <c r="T363" s="163"/>
      <c r="U363" s="157"/>
      <c r="V363" s="157"/>
    </row>
    <row r="364" spans="19:22" x14ac:dyDescent="0.25">
      <c r="S364" s="163"/>
      <c r="T364" s="163"/>
      <c r="U364" s="157"/>
      <c r="V364" s="157"/>
    </row>
    <row r="365" spans="19:22" x14ac:dyDescent="0.25">
      <c r="S365" s="163"/>
      <c r="T365" s="163"/>
      <c r="U365" s="157"/>
      <c r="V365" s="157"/>
    </row>
    <row r="366" spans="19:22" x14ac:dyDescent="0.25">
      <c r="S366" s="163"/>
      <c r="T366" s="163"/>
      <c r="U366" s="157"/>
      <c r="V366" s="157"/>
    </row>
    <row r="367" spans="19:22" x14ac:dyDescent="0.25">
      <c r="S367" s="163"/>
      <c r="T367" s="163"/>
      <c r="U367" s="157"/>
      <c r="V367" s="157"/>
    </row>
    <row r="368" spans="19:22" x14ac:dyDescent="0.25">
      <c r="S368" s="163"/>
      <c r="T368" s="163"/>
      <c r="U368" s="157"/>
      <c r="V368" s="157"/>
    </row>
    <row r="369" spans="19:22" x14ac:dyDescent="0.25">
      <c r="S369" s="163"/>
      <c r="T369" s="163"/>
      <c r="U369" s="157"/>
      <c r="V369" s="157"/>
    </row>
    <row r="370" spans="19:22" x14ac:dyDescent="0.25">
      <c r="S370" s="163"/>
      <c r="T370" s="163"/>
      <c r="U370" s="157"/>
      <c r="V370" s="157"/>
    </row>
    <row r="371" spans="19:22" x14ac:dyDescent="0.25">
      <c r="S371" s="163"/>
      <c r="T371" s="163"/>
      <c r="U371" s="157"/>
      <c r="V371" s="157"/>
    </row>
    <row r="372" spans="19:22" x14ac:dyDescent="0.25">
      <c r="S372" s="163"/>
      <c r="T372" s="163"/>
      <c r="U372" s="157"/>
      <c r="V372" s="157"/>
    </row>
    <row r="373" spans="19:22" x14ac:dyDescent="0.25">
      <c r="S373" s="163"/>
      <c r="T373" s="163"/>
      <c r="U373" s="157"/>
      <c r="V373" s="157"/>
    </row>
    <row r="374" spans="19:22" x14ac:dyDescent="0.25">
      <c r="S374" s="163"/>
      <c r="T374" s="163"/>
      <c r="U374" s="157"/>
      <c r="V374" s="157"/>
    </row>
    <row r="375" spans="19:22" x14ac:dyDescent="0.25">
      <c r="S375" s="163"/>
      <c r="T375" s="163"/>
      <c r="U375" s="157"/>
      <c r="V375" s="157"/>
    </row>
    <row r="376" spans="19:22" x14ac:dyDescent="0.25">
      <c r="S376" s="163"/>
      <c r="T376" s="163"/>
      <c r="U376" s="157"/>
      <c r="V376" s="157"/>
    </row>
    <row r="377" spans="19:22" x14ac:dyDescent="0.25">
      <c r="S377" s="163"/>
      <c r="T377" s="163"/>
      <c r="U377" s="157"/>
      <c r="V377" s="157"/>
    </row>
    <row r="378" spans="19:22" x14ac:dyDescent="0.25">
      <c r="S378" s="163"/>
      <c r="T378" s="163"/>
      <c r="U378" s="157"/>
      <c r="V378" s="157"/>
    </row>
    <row r="379" spans="19:22" x14ac:dyDescent="0.25">
      <c r="S379" s="163"/>
      <c r="T379" s="163"/>
      <c r="U379" s="157"/>
      <c r="V379" s="157"/>
    </row>
    <row r="380" spans="19:22" x14ac:dyDescent="0.25">
      <c r="S380" s="163"/>
      <c r="T380" s="163"/>
      <c r="U380" s="157"/>
      <c r="V380" s="157"/>
    </row>
    <row r="381" spans="19:22" x14ac:dyDescent="0.25">
      <c r="S381" s="163"/>
      <c r="T381" s="163"/>
      <c r="U381" s="157"/>
      <c r="V381" s="157"/>
    </row>
    <row r="382" spans="19:22" x14ac:dyDescent="0.25">
      <c r="S382" s="163"/>
      <c r="T382" s="163"/>
      <c r="U382" s="157"/>
      <c r="V382" s="157"/>
    </row>
    <row r="383" spans="19:22" x14ac:dyDescent="0.25">
      <c r="S383" s="163"/>
      <c r="T383" s="163"/>
      <c r="U383" s="157"/>
      <c r="V383" s="157"/>
    </row>
    <row r="384" spans="19:22" x14ac:dyDescent="0.25">
      <c r="S384" s="163"/>
      <c r="T384" s="163"/>
      <c r="U384" s="157"/>
      <c r="V384" s="1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229</vt:i4>
      </vt:variant>
    </vt:vector>
  </HeadingPairs>
  <TitlesOfParts>
    <vt:vector size="246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Castiglione</dc:creator>
  <cp:lastModifiedBy>Dong, Hu</cp:lastModifiedBy>
  <dcterms:created xsi:type="dcterms:W3CDTF">2008-04-30T13:33:45Z</dcterms:created>
  <dcterms:modified xsi:type="dcterms:W3CDTF">2019-11-04T22:15:58Z</dcterms:modified>
</cp:coreProperties>
</file>