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inbkr\output\"/>
    </mc:Choice>
  </mc:AlternateContent>
  <xr:revisionPtr documentId="13_ncr:1_{D15B129A-A221-431B-B701-CF92CEBC4C79}" revIDLastSave="0" xr10:uidLastSave="{00000000-0000-0000-0000-000000000000}" xr6:coauthVersionLast="41" xr6:coauthVersionMax="41"/>
  <bookViews>
    <workbookView activeTab="4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B36"/>
  <c i="6" r="B46" s="1"/>
  <c i="6" r="B34"/>
  <c i="6" r="B44" s="1"/>
  <c i="6" r="B35"/>
  <c i="6" r="B45" s="1"/>
  <c i="6" r="B33"/>
  <c i="6" r="B43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N104"/>
  <c i="6" r="M104" s="1"/>
  <c i="6" r="O104"/>
  <c i="6" r="P104"/>
  <c i="6" r="P3"/>
  <c i="6" r="O3"/>
  <c i="6" r="N3"/>
  <c i="6" r="M3" s="1"/>
  <c i="6" l="1" r="Q8"/>
  <c i="6" r="R23"/>
  <c i="6" r="Q34"/>
  <c i="6" r="Q19"/>
  <c i="6" r="Q16"/>
  <c i="6" r="Q63"/>
  <c i="6" r="Q47"/>
  <c i="6" r="Q83"/>
  <c i="6" r="R25"/>
  <c i="6" r="Q35"/>
  <c i="6" r="Q33"/>
  <c i="6" r="Q88"/>
  <c i="6" r="R24"/>
  <c i="6" r="Q49"/>
  <c i="6" r="Q44"/>
  <c i="6" r="Q22"/>
  <c i="6" r="Q62"/>
  <c i="6" r="M33"/>
  <c i="6" r="M34"/>
  <c i="6" r="M35"/>
  <c i="6" r="M47"/>
  <c i="6" r="M83"/>
  <c i="6" r="Q60"/>
  <c i="6" r="Q84"/>
  <c i="6" r="M88"/>
  <c i="6" r="Q3"/>
  <c i="6" r="Q36"/>
  <c i="6" r="Q48"/>
  <c i="6" r="Q50"/>
  <c i="6" r="Q51"/>
  <c i="6" r="Q56"/>
  <c i="6" r="Q57"/>
  <c i="6" r="M16"/>
  <c i="6" r="M19"/>
  <c i="6" r="Q90"/>
  <c i="6" r="Q80"/>
  <c i="6" r="M62"/>
  <c i="6" r="Q81"/>
  <c i="6" r="M63"/>
  <c i="6" r="Q82"/>
  <c i="6" r="Q45"/>
  <c i="6" r="Q85"/>
  <c i="6" r="Q46"/>
  <c i="6" r="Q86"/>
  <c i="6" r="Q87"/>
  <c i="6" r="M22"/>
  <c i="6" r="D23"/>
  <c i="6" r="Q58"/>
  <c i="6" r="D25"/>
  <c i="6" r="Q17"/>
  <c i="6" r="Q59"/>
  <c i="6" r="D24"/>
  <c i="6" r="Q104"/>
  <c i="6" r="Q18"/>
  <c i="6" r="D26"/>
  <c i="6" r="Q61"/>
  <c i="6" r="Q20"/>
  <c i="6" r="Q72"/>
  <c i="6" r="Q26"/>
  <c i="6" r="Q73"/>
  <c i="6" r="Q27"/>
  <c i="6" r="Q74"/>
  <c i="6" r="Q21"/>
  <c i="6" r="Q32"/>
  <c i="6" r="Q75"/>
  <c i="6" r="Q89"/>
  <c i="6" r="Q91"/>
  <c i="6" r="Q64"/>
  <c i="6" r="Q92"/>
  <c i="6" r="Q9"/>
  <c i="6" r="Q37"/>
  <c i="6" r="Q65"/>
  <c i="6" r="Q93"/>
  <c i="6" r="Q10"/>
  <c i="6" r="Q38"/>
  <c i="6" r="Q66"/>
  <c i="6" r="Q94"/>
  <c i="6" r="Q11"/>
  <c i="6" r="Q39"/>
  <c i="6" r="Q67"/>
  <c i="6" r="Q95"/>
  <c i="6" r="Q12"/>
  <c i="6" r="Q40"/>
  <c i="6" r="Q68"/>
  <c i="6" r="Q96"/>
  <c i="6" r="Q13"/>
  <c i="6" r="Q41"/>
  <c i="6" r="Q69"/>
  <c i="6" r="Q97"/>
  <c i="6" r="Q14"/>
  <c i="6" r="Q42"/>
  <c i="6" r="Q70"/>
  <c i="6" r="Q98"/>
  <c i="6" r="Q15"/>
  <c i="6" r="Q43"/>
  <c i="6" r="Q71"/>
  <c i="6" r="Q99"/>
  <c i="6" r="Q4"/>
  <c i="6" r="Q28"/>
  <c i="6" r="Q52"/>
  <c i="6" r="Q76"/>
  <c i="6" r="Q100"/>
  <c i="6" r="Q5"/>
  <c i="6" r="Q29"/>
  <c i="6" r="Q53"/>
  <c i="6" r="Q77"/>
  <c i="6" r="Q101"/>
  <c i="6" r="Q6"/>
  <c i="6" r="Q30"/>
  <c i="6" r="Q54"/>
  <c i="6" r="Q78"/>
  <c i="6" r="Q102"/>
  <c i="6" r="Q7"/>
  <c i="6" r="Q31"/>
  <c i="6" r="Q55"/>
  <c i="6" r="Q79"/>
  <c i="6" r="Q103"/>
  <c i="1" r="S20"/>
  <c i="1" r="S21"/>
  <c i="1" r="S22"/>
  <c i="1" r="S23"/>
  <c i="1" r="S24"/>
  <c i="1" r="S25"/>
  <c i="1" r="S26"/>
  <c i="1" r="L13"/>
  <c i="1" r="H6"/>
  <c i="6" l="1" r="G7"/>
  <c i="6" r="D7"/>
  <c i="6" r="G6"/>
  <c i="6" r="D6"/>
  <c i="6" r="G5"/>
  <c i="6" r="D5"/>
  <c i="6" r="G4"/>
  <c i="6" r="D4"/>
  <c i="6" l="1" r="G8"/>
  <c i="6" r="G12" s="1"/>
  <c i="6" r="D8"/>
  <c i="6" r="D14" s="1"/>
  <c i="1" r="J13"/>
  <c i="1" r="H15"/>
  <c i="1" r="U13"/>
  <c i="1" r="S15"/>
  <c i="6" l="1" r="G13"/>
  <c i="6" r="G15"/>
  <c i="6" r="G14"/>
  <c i="6" r="I14" s="1"/>
  <c i="6" r="J14" s="1"/>
  <c i="6" r="G16"/>
  <c i="1" r="D26"/>
  <c i="1" r="H26"/>
  <c i="1" r="B26"/>
  <c i="1" r="E26"/>
  <c i="1" r="F26"/>
  <c i="1" r="C26"/>
  <c i="1" r="G26"/>
  <c i="6" r="D16"/>
  <c i="6" r="D13"/>
  <c i="6" r="D12"/>
  <c i="6" r="I12" s="1"/>
  <c i="6" r="J12" s="1"/>
  <c i="6" r="K12" s="1"/>
  <c i="6" r="D33" s="1"/>
  <c i="6" r="D15"/>
  <c i="1" r="U26"/>
  <c i="1" r="S28"/>
  <c i="1" r="N26"/>
  <c i="1" r="O26"/>
  <c i="1" r="P26"/>
  <c i="1" r="Q26"/>
  <c i="1" r="R26"/>
  <c i="1" r="M26"/>
  <c i="1" r="W39"/>
  <c i="1" r="L39"/>
  <c i="1" r="A39"/>
  <c i="1" r="L26"/>
  <c i="1" r="A26"/>
  <c i="1" r="AD32"/>
  <c i="1" r="S32"/>
  <c i="1" r="H32"/>
  <c i="1" r="S19"/>
  <c i="1" r="H19"/>
  <c i="1" r="S6"/>
  <c i="6" l="1" r="I13"/>
  <c i="6" r="J13" s="1"/>
  <c i="6" r="K13" s="1"/>
  <c i="6" r="D34" s="1"/>
  <c i="6" r="D44" s="1"/>
  <c i="6" r="Q24" s="1"/>
  <c i="6" r="I15"/>
  <c i="6" r="J15" s="1"/>
  <c i="6" r="D43"/>
  <c i="6" r="Q2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5"/>
  <c i="6" r="D36" s="1"/>
  <c i="6" r="D46" s="1"/>
  <c i="6" r="K14"/>
  <c i="6" r="D35" s="1"/>
  <c i="6" r="D45" s="1"/>
  <c i="6" r="Q25" s="1"/>
  <c i="1" r="Q15"/>
  <c i="1" r="Q28" s="1"/>
  <c i="1" r="R15"/>
  <c i="1" r="R28" s="1"/>
  <c i="1" r="U10"/>
  <c i="1" r="U11"/>
  <c i="1" r="U12"/>
  <c i="1" r="J10"/>
  <c i="1" r="J11"/>
  <c i="1" r="J12"/>
  <c i="1" r="F15"/>
  <c i="1" r="G15"/>
  <c i="1" l="1" r="G23"/>
  <c i="1" r="H24"/>
  <c i="1" r="H25"/>
  <c i="1" r="H23"/>
  <c i="1" r="G25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2"/>
  <c i="1" r="H20"/>
  <c i="1" r="H21"/>
  <c i="1" r="J23"/>
  <c i="1" r="J25"/>
  <c i="1" r="J24"/>
  <c i="1" r="U20"/>
  <c i="1" r="U21"/>
  <c i="1" r="G21"/>
  <c i="1" r="J27"/>
  <c i="1" r="G22"/>
  <c i="1" r="F21"/>
  <c i="1" r="G20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G28"/>
  <c i="1" r="S33"/>
  <c i="1" r="S34"/>
  <c i="1" r="S35"/>
  <c i="1" r="S36"/>
  <c i="1" r="S38"/>
  <c i="1" r="S39"/>
  <c i="1" r="S37"/>
  <c i="1" r="P39"/>
  <c i="1" r="Q39"/>
  <c i="1" r="N39"/>
  <c i="1" r="R39"/>
  <c i="1" r="M39"/>
  <c i="1" r="O39"/>
  <c i="1" r="J20"/>
  <c i="1" r="H28"/>
  <c i="1" r="I28"/>
  <c i="1" r="S41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35" s="1"/>
  <c i="1" r="Y35" s="1"/>
  <c i="1" l="1" r="E38"/>
  <c i="1" r="AA38" s="1"/>
  <c i="1" r="C33"/>
  <c i="1" r="Y33" s="1"/>
  <c i="1" r="E33"/>
  <c i="1" r="AA33" s="1"/>
  <c i="1" r="I41"/>
  <c i="1" r="AE41" s="1"/>
  <c i="1" r="J37"/>
  <c i="1" r="AF37" s="1"/>
  <c i="1" r="D34"/>
  <c i="1" r="Z34" s="1"/>
  <c i="1" r="C39"/>
  <c i="1" r="Y39" s="1"/>
  <c i="1" r="F39"/>
  <c i="1" r="AB39" s="1"/>
  <c i="1" r="D39"/>
  <c i="1" r="Z39" s="1"/>
  <c i="1" r="E39"/>
  <c i="1" r="AA39" s="1"/>
  <c i="1" r="H39"/>
  <c i="1" r="AD39" s="1"/>
  <c i="1" r="B39"/>
  <c i="1" r="X39" s="1"/>
  <c i="1" r="G39"/>
  <c i="1" r="AC39" s="1"/>
  <c i="1" r="H35"/>
  <c i="1" r="AD35" s="1"/>
  <c i="1" r="H36"/>
  <c i="1" r="AD36" s="1"/>
  <c i="1" r="H38"/>
  <c i="1" r="AD38" s="1"/>
  <c i="1" r="H37"/>
  <c i="1" r="AD37" s="1"/>
  <c i="1" r="H34"/>
  <c i="1" r="AD34" s="1"/>
  <c i="1" r="H33"/>
  <c i="1" r="AD33" s="1"/>
  <c i="1" r="G36"/>
  <c i="1" r="AC36" s="1"/>
  <c i="1" r="D33"/>
  <c i="1" r="Z33" s="1"/>
  <c i="1" r="E35"/>
  <c i="1" r="AA35" s="1"/>
  <c i="1" r="B33"/>
  <c i="1" r="X33" s="1"/>
  <c i="1" r="G33"/>
  <c i="1" r="AC33" s="1"/>
  <c i="1" r="C34"/>
  <c i="1" r="Y34" s="1"/>
  <c i="1" r="G38"/>
  <c i="1" r="AC38" s="1"/>
  <c i="1" r="E41"/>
  <c i="1" r="AA41" s="1"/>
  <c i="1" r="F33"/>
  <c i="1" r="AB33" s="1"/>
  <c i="1" r="G41"/>
  <c i="1" r="AC41" s="1"/>
  <c i="1" r="D35"/>
  <c i="1" r="Z35" s="1"/>
  <c i="1" r="G35"/>
  <c i="1" r="AC35" s="1"/>
  <c i="1" r="F41"/>
  <c i="1" r="AB41" s="1"/>
  <c i="1" r="B41"/>
  <c i="1" r="X41" s="1"/>
  <c i="1" r="J34"/>
  <c i="1" r="AF34" s="1"/>
  <c i="1" r="F35"/>
  <c i="1" r="AB35" s="1"/>
  <c i="1" r="C37"/>
  <c i="1" r="Y37" s="1"/>
  <c i="1" r="B37"/>
  <c i="1" r="X37" s="1"/>
  <c i="1" r="D41"/>
  <c i="1" r="Z41" s="1"/>
  <c i="1" r="B35"/>
  <c i="1" r="X35" s="1"/>
  <c i="1" r="B36"/>
  <c i="1" r="X36" s="1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J39"/>
  <c i="1" r="AF39" s="1"/>
  <c i="1" r="E37"/>
  <c i="1" r="AA37" s="1"/>
  <c i="1" r="J38"/>
  <c i="1" r="AF38" s="1"/>
  <c i="1" r="D36"/>
  <c i="1" r="Z36" s="1"/>
  <c i="1" r="H41"/>
  <c i="1" r="AD41" s="1"/>
  <c i="1" r="B34"/>
  <c i="1" r="X34" s="1"/>
  <c i="1" r="D38"/>
  <c i="1" r="Z38" s="1"/>
  <c i="1" r="J36"/>
  <c i="1" r="AF36" s="1"/>
  <c i="1" r="E34"/>
  <c i="1" r="AA34" s="1"/>
  <c i="1" r="G37"/>
  <c i="1" r="AC37" s="1"/>
</calcChain>
</file>

<file path=xl/sharedStrings.xml><?xml version="1.0" encoding="utf-8"?>
<sst xmlns="http://schemas.openxmlformats.org/spreadsheetml/2006/main" count="717" uniqueCount="285">
  <si>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</si>
  <si>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</si>
  <si>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</si>
  <si>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</si>
  <si>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</si>
  <si>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</si>
  <si>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</si>
  <si>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</si>
  <si>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</si>
  <si>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</si>
  <si>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</si>
  <si>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</si>
  <si>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</si>
  <si>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</si>
  <si>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</si>
  <si>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</si>
  <si>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</si>
  <si>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</si>
  <si>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</si>
  <si>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</si>
  <si>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</si>
  <si>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</si>
  <si>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</si>
  <si>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</si>
  <si>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</si>
  <si>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</si>
  <si>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</si>
  <si>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</si>
  <si>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</si>
  <si>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</si>
  <si>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</si>
  <si>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</si>
  <si>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</si>
  <si>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</si>
  <si>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</si>
  <si>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</si>
  <si>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</si>
  <si>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</si>
  <si>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</si>
  <si>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</si>
  <si>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</si>
  <si>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</si>
  <si>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</si>
  <si>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</si>
  <si>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</si>
  <si>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</si>
  <si>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</si>
  <si>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</si>
  <si>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</si>
  <si>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</si>
  <si>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</si>
  <si>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</si>
  <si>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</si>
  <si>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</si>
  <si>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</si>
  <si>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</si>
  <si>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</si>
  <si>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</si>
  <si>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</si>
  <si>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</si>
  <si>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</si>
  <si>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</si>
  <si>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</si>
  <si>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</si>
  <si>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</si>
  <si>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</si>
  <si>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</si>
  <si>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</si>
  <si>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</si>
  <si>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</si>
  <si>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</si>
  <si>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</si>
  <si>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</si>
  <si>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</si>
  <si>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</si>
  <si>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</si>
  <si>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</si>
  <si>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</si>
  <si>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</si>
  <si>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</si>
  <si>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</si>
  <si>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</si>
  <si>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</si>
  <si>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</si>
  <si>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</si>
  <si>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</si>
  <si>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</si>
  <si>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</si>
  <si>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</si>
  <si>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</si>
  <si>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</si>
  <si>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</si>
  <si>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</si>
  <si>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</si>
  <si>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</si>
  <si>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</si>
  <si>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</si>
  <si>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</si>
  <si>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</si>
  <si>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</si>
  <si>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</si>
  <si>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</si>
  <si>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</si>
  <si>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</si>
  <si>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</si>
  <si>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</si>
  <si>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</si>
  <si>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</si>
  <si>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</si>
  <si>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</si>
  <si>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</si>
  <si>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</si>
  <si>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</si>
  <si>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</si>
  <si>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</si>
  <si>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</si>
  <si>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</si>
  <si>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</si>
  <si>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</si>
  <si>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</si>
  <si>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</si>
  <si>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</si>
  <si>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</si>
  <si>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</si>
  <si>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</si>
  <si>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</si>
  <si>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</si>
  <si>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</si>
  <si>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</si>
  <si>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</si>
  <si>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</si>
  <si>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</si>
  <si>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</si>
  <si>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</si>
  <si>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</si>
  <si>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</si>
  <si>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</si>
  <si>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</si>
  <si>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</si>
  <si>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</si>
  <si>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</si>
  <si>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</si>
  <si>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</si>
  <si>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</si>
  <si>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</si>
  <si>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</si>
  <si>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</si>
  <si>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</si>
  <si>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</si>
  <si>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</si>
  <si>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</si>
  <si>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</si>
  <si>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</si>
  <si>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</si>
  <si>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</si>
  <si>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</si>
  <si>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</si>
  <si>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</si>
  <si>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</si>
  <si>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</si>
  <si>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</si>
  <si>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</si>
  <si>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</si>
  <si>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</si>
  <si>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</si>
  <si>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</si>
  <si>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</si>
  <si>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</si>
  <si>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</si>
  <si>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</si>
  <si>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</si>
  <si>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</si>
  <si>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</si>
  <si>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</si>
  <si>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</si>
  <si>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</si>
  <si>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</si>
  <si>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</si>
  <si>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</si>
  <si>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</si>
  <si>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</si>
  <si>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</si>
  <si>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</si>
  <si>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</si>
  <si>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</si>
  <si>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</si>
  <si>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</si>
  <si>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</si>
  <si>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</si>
  <si>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</si>
  <si>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</si>
  <si>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</si>
  <si>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</si>
  <si>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</si>
  <si>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</si>
  <si>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</si>
  <si>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</si>
  <si>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</si>
  <si>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</si>
  <si>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</si>
  <si>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</si>
  <si>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</si>
  <si>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</si>
  <si>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</si>
  <si>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</si>
  <si>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</si>
  <si>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</si>
  <si>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</si>
  <si>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</si>
  <si>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</si>
  <si>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</si>
  <si>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</si>
  <si>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</si>
  <si>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</si>
  <si>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</si>
  <si>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</si>
  <si>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</si>
  <si>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</si>
  <si>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</si>
  <si>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</si>
  <si>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</si>
  <si>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</si>
  <si>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</si>
  <si>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</si>
  <si>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</si>
  <si>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</si>
  <si>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</si>
  <si>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</si>
  <si>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</si>
  <si>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</si>
  <si>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</si>
  <si>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</si>
  <si>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</si>
  <si>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</si>
  <si>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</si>
  <si>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</si>
  <si>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</si>
  <si>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</si>
  <si>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</si>
  <si>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</si>
  <si>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</si>
  <si>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</si>
  <si>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</si>
  <si>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</si>
  <si>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</si>
  <si>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</si>
  <si>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</si>
  <si>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</si>
  <si>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</si>
  <si>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</si>
  <si>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</si>
  <si>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</si>
  <si>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</si>
  <si>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</si>
  <si>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</si>
  <si>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</si>
  <si>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</si>
  <si>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</si>
  <si>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</si>
  <si>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</si>
  <si>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</si>
  <si>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</si>
  <si>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</si>
  <si>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</si>
  <si>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</si>
  <si>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</si>
  <si>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</si>
  <si>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</si>
  <si>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</si>
  <si>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</si>
  <si>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</si>
  <si>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</si>
  <si>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</si>
  <si>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</si>
  <si>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</si>
  <si>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</si>
  <si>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</si>
  <si>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</si>
  <si>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</si>
  <si>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</si>
  <si>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</si>
  <si>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</si>
  <si>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</si>
  <si>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Copy (Ctrl-c) cells Q3:Q104</t>
  </si>
  <si>
    <t>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</si>
</sst>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0.21505241768014433</c:v>
                </c:pt>
                <c:pt idx="1">
                  <c:v>0.17363293978602648</c:v>
                </c:pt>
                <c:pt idx="2">
                  <c:v>8.3383317247886557E-2</c:v>
                </c:pt>
                <c:pt idx="3">
                  <c:v>0.11695617380350661</c:v>
                </c:pt>
                <c:pt idx="4">
                  <c:v>0.13389207632285621</c:v>
                </c:pt>
                <c:pt idx="5">
                  <c:v>1.8319686825371096E-2</c:v>
                </c:pt>
                <c:pt idx="6">
                  <c:v>9.8730925462770514E-3</c:v>
                </c:pt>
                <c:pt idx="7">
                  <c:v>3.3417785088087917E-2</c:v>
                </c:pt>
                <c:pt idx="8">
                  <c:v>2.0544876482965404E-2</c:v>
                </c:pt>
                <c:pt idx="9">
                  <c:v>1.1958382573373968E-2</c:v>
                </c:pt>
                <c:pt idx="10">
                  <c:v>8.7158031199814114E-3</c:v>
                </c:pt>
                <c:pt idx="11">
                  <c:v>1.1013997453770944E-2</c:v>
                </c:pt>
                <c:pt idx="12">
                  <c:v>9.3315792032765705E-3</c:v>
                </c:pt>
                <c:pt idx="13">
                  <c:v>1.1303060482791323E-2</c:v>
                </c:pt>
                <c:pt idx="14">
                  <c:v>0</c:v>
                </c:pt>
                <c:pt idx="15">
                  <c:v>1.1967829291877183E-2</c:v>
                </c:pt>
                <c:pt idx="16">
                  <c:v>7.2547746449556652E-2</c:v>
                </c:pt>
                <c:pt idx="17">
                  <c:v>0</c:v>
                </c:pt>
                <c:pt idx="18">
                  <c:v>3.5100383711094953E-2</c:v>
                </c:pt>
                <c:pt idx="19">
                  <c:v>7.6832420666226101E-3</c:v>
                </c:pt>
                <c:pt idx="20">
                  <c:v>0</c:v>
                </c:pt>
                <c:pt idx="21">
                  <c:v>2.780213987748901E-3</c:v>
                </c:pt>
                <c:pt idx="22">
                  <c:v>1.4448723692520222E-3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5.3798965927073731E-3</c:v>
                </c:pt>
                <c:pt idx="30">
                  <c:v>0</c:v>
                </c:pt>
                <c:pt idx="31">
                  <c:v>3.6465851682112088E-3</c:v>
                </c:pt>
                <c:pt idx="32">
                  <c:v>0</c:v>
                </c:pt>
                <c:pt idx="33">
                  <c:v>2.0540417466131918E-3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0.12955465587044535</c:v>
                </c:pt>
                <c:pt idx="1">
                  <c:v>0.12510906245527861</c:v>
                </c:pt>
                <c:pt idx="2">
                  <c:v>8.7079157414631223E-2</c:v>
                </c:pt>
                <c:pt idx="3">
                  <c:v>7.1660380668362431E-2</c:v>
                </c:pt>
                <c:pt idx="4">
                  <c:v>0.14760016434384796</c:v>
                </c:pt>
                <c:pt idx="5">
                  <c:v>7.8381859393681988E-2</c:v>
                </c:pt>
                <c:pt idx="6">
                  <c:v>7.846033819748037E-2</c:v>
                </c:pt>
                <c:pt idx="7">
                  <c:v>3.3755118433747733E-2</c:v>
                </c:pt>
                <c:pt idx="8">
                  <c:v>3.1876243542810184E-2</c:v>
                </c:pt>
                <c:pt idx="9">
                  <c:v>1.7773140860220017E-2</c:v>
                </c:pt>
                <c:pt idx="10">
                  <c:v>1.3082878233211307E-2</c:v>
                </c:pt>
                <c:pt idx="11">
                  <c:v>1.4712467512083428E-2</c:v>
                </c:pt>
                <c:pt idx="12">
                  <c:v>1.4033856679238663E-2</c:v>
                </c:pt>
                <c:pt idx="13">
                  <c:v>1.4467798300241438E-2</c:v>
                </c:pt>
                <c:pt idx="14">
                  <c:v>1.2381185399249373E-2</c:v>
                </c:pt>
                <c:pt idx="15">
                  <c:v>1.4218512688176014E-2</c:v>
                </c:pt>
                <c:pt idx="16">
                  <c:v>1.1836450172884188E-2</c:v>
                </c:pt>
                <c:pt idx="17">
                  <c:v>1.1411741352328281E-2</c:v>
                </c:pt>
                <c:pt idx="18">
                  <c:v>1.0248408496022971E-2</c:v>
                </c:pt>
                <c:pt idx="19">
                  <c:v>8.1802611959246423E-3</c:v>
                </c:pt>
                <c:pt idx="20">
                  <c:v>7.6770735715703609E-3</c:v>
                </c:pt>
                <c:pt idx="21">
                  <c:v>7.2015843485566822E-3</c:v>
                </c:pt>
                <c:pt idx="22">
                  <c:v>6.7214787253195704E-3</c:v>
                </c:pt>
                <c:pt idx="23">
                  <c:v>6.1721270987309517E-3</c:v>
                </c:pt>
                <c:pt idx="24">
                  <c:v>6.7537935268836063E-3</c:v>
                </c:pt>
                <c:pt idx="25">
                  <c:v>4.722577428572748E-3</c:v>
                </c:pt>
                <c:pt idx="26">
                  <c:v>4.1501438008669598E-3</c:v>
                </c:pt>
                <c:pt idx="27">
                  <c:v>3.6192577751720761E-3</c:v>
                </c:pt>
                <c:pt idx="28">
                  <c:v>3.3053425599785797E-3</c:v>
                </c:pt>
                <c:pt idx="29">
                  <c:v>3.7762153827688243E-3</c:v>
                </c:pt>
                <c:pt idx="30">
                  <c:v>2.903715740539842E-3</c:v>
                </c:pt>
                <c:pt idx="31">
                  <c:v>2.3174329121637529E-3</c:v>
                </c:pt>
                <c:pt idx="32">
                  <c:v>1.9019568920547135E-3</c:v>
                </c:pt>
                <c:pt idx="33">
                  <c:v>1.7819304862454356E-3</c:v>
                </c:pt>
                <c:pt idx="34">
                  <c:v>1.509562873062843E-3</c:v>
                </c:pt>
                <c:pt idx="35">
                  <c:v>1.1264016545178401E-3</c:v>
                </c:pt>
                <c:pt idx="36">
                  <c:v>1.3249068641254921E-3</c:v>
                </c:pt>
                <c:pt idx="37">
                  <c:v>1.1587164560818764E-3</c:v>
                </c:pt>
                <c:pt idx="38">
                  <c:v>1.0894704527303698E-3</c:v>
                </c:pt>
                <c:pt idx="39">
                  <c:v>6.8784363329163186E-4</c:v>
                </c:pt>
                <c:pt idx="40">
                  <c:v>7.2939123530253583E-4</c:v>
                </c:pt>
                <c:pt idx="41">
                  <c:v>5.2165322524801605E-4</c:v>
                </c:pt>
                <c:pt idx="42">
                  <c:v>3.462300167575328E-4</c:v>
                </c:pt>
                <c:pt idx="43">
                  <c:v>2.3543641139512231E-4</c:v>
                </c:pt>
                <c:pt idx="44">
                  <c:v>3.0929881497006263E-4</c:v>
                </c:pt>
                <c:pt idx="45">
                  <c:v>4.5702362211994332E-4</c:v>
                </c:pt>
                <c:pt idx="46">
                  <c:v>2.6313481273572496E-4</c:v>
                </c:pt>
                <c:pt idx="47">
                  <c:v>2.7236761318259246E-4</c:v>
                </c:pt>
                <c:pt idx="48">
                  <c:v>1.5234120737331444E-4</c:v>
                </c:pt>
                <c:pt idx="49">
                  <c:v>7.8478803798374109E-5</c:v>
                </c:pt>
                <c:pt idx="50">
                  <c:v>1.5234120737331444E-4</c:v>
                </c:pt>
                <c:pt idx="51">
                  <c:v>1.8465600893735083E-4</c:v>
                </c:pt>
                <c:pt idx="52">
                  <c:v>8.7711604245241639E-5</c:v>
                </c:pt>
                <c:pt idx="53">
                  <c:v>5.078040245777148E-5</c:v>
                </c:pt>
                <c:pt idx="54">
                  <c:v>6.4629603128072788E-5</c:v>
                </c:pt>
                <c:pt idx="55">
                  <c:v>6.4629603128072788E-5</c:v>
                </c:pt>
                <c:pt idx="56">
                  <c:v>3.2314801564036394E-5</c:v>
                </c:pt>
                <c:pt idx="57">
                  <c:v>5.5396802681205252E-5</c:v>
                </c:pt>
                <c:pt idx="58">
                  <c:v>3.6931201787470165E-5</c:v>
                </c:pt>
                <c:pt idx="59">
                  <c:v>4.6164002234337707E-6</c:v>
                </c:pt>
                <c:pt idx="60">
                  <c:v>3.6931201787470165E-5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49824"/>
        <c:axId val="116850216"/>
      </c:lineChart>
      <c:catAx>
        <c:axId val="11684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6850216"/>
        <c:crosses val="autoZero"/>
        <c:auto val="1"/>
        <c:lblAlgn val="ctr"/>
        <c:lblOffset val="100"/>
        <c:tickLblSkip val="10"/>
        <c:noMultiLvlLbl val="0"/>
      </c:catAx>
      <c:valAx>
        <c:axId val="116850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84982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5.0567531503865511E-2</c:v>
                </c:pt>
                <c:pt idx="1">
                  <c:v>5.3607634685843453E-2</c:v>
                </c:pt>
                <c:pt idx="2">
                  <c:v>5.3704942140358598E-2</c:v>
                </c:pt>
                <c:pt idx="3">
                  <c:v>8.9092916125804653E-2</c:v>
                </c:pt>
                <c:pt idx="4">
                  <c:v>6.2324860073383413E-2</c:v>
                </c:pt>
                <c:pt idx="5">
                  <c:v>6.4322185786961208E-2</c:v>
                </c:pt>
                <c:pt idx="6">
                  <c:v>7.7438388428972355E-2</c:v>
                </c:pt>
                <c:pt idx="7">
                  <c:v>8.1484458751940381E-2</c:v>
                </c:pt>
                <c:pt idx="8">
                  <c:v>6.133630713684822E-2</c:v>
                </c:pt>
                <c:pt idx="9">
                  <c:v>4.4245642100578249E-2</c:v>
                </c:pt>
                <c:pt idx="10">
                  <c:v>3.6794180203396296E-2</c:v>
                </c:pt>
                <c:pt idx="11">
                  <c:v>5.5856536018432081E-2</c:v>
                </c:pt>
                <c:pt idx="12">
                  <c:v>1.2779917233432201E-2</c:v>
                </c:pt>
                <c:pt idx="13">
                  <c:v>9.0543576930445843E-3</c:v>
                </c:pt>
                <c:pt idx="14">
                  <c:v>1.5194069770030648E-2</c:v>
                </c:pt>
                <c:pt idx="15">
                  <c:v>1.3772459564025763E-3</c:v>
                </c:pt>
                <c:pt idx="16">
                  <c:v>1.6703476527226882E-2</c:v>
                </c:pt>
                <c:pt idx="17">
                  <c:v>1.9755435812558311E-2</c:v>
                </c:pt>
                <c:pt idx="18">
                  <c:v>8.2833033866714994E-4</c:v>
                </c:pt>
                <c:pt idx="19">
                  <c:v>1.3398431365754252E-2</c:v>
                </c:pt>
                <c:pt idx="20">
                  <c:v>1.6996904858251156E-3</c:v>
                </c:pt>
                <c:pt idx="21">
                  <c:v>3.319410531303202E-3</c:v>
                </c:pt>
                <c:pt idx="22">
                  <c:v>9.2497409365595709E-2</c:v>
                </c:pt>
                <c:pt idx="23">
                  <c:v>0</c:v>
                </c:pt>
                <c:pt idx="24">
                  <c:v>0</c:v>
                </c:pt>
                <c:pt idx="25">
                  <c:v>2.901147316678837E-3</c:v>
                </c:pt>
                <c:pt idx="26">
                  <c:v>9.6584297129686716E-3</c:v>
                </c:pt>
                <c:pt idx="27">
                  <c:v>0</c:v>
                </c:pt>
                <c:pt idx="28">
                  <c:v>0</c:v>
                </c:pt>
                <c:pt idx="29">
                  <c:v>1.4131010199648938E-3</c:v>
                </c:pt>
                <c:pt idx="30">
                  <c:v>9.4433409923665721E-4</c:v>
                </c:pt>
                <c:pt idx="31">
                  <c:v>0</c:v>
                </c:pt>
                <c:pt idx="32">
                  <c:v>1.1283544185794237E-2</c:v>
                </c:pt>
                <c:pt idx="33">
                  <c:v>2.8127898372481884E-2</c:v>
                </c:pt>
                <c:pt idx="34">
                  <c:v>0</c:v>
                </c:pt>
                <c:pt idx="35">
                  <c:v>0</c:v>
                </c:pt>
                <c:pt idx="36">
                  <c:v>2.780213987748901E-3</c:v>
                </c:pt>
                <c:pt idx="37">
                  <c:v>0</c:v>
                </c:pt>
                <c:pt idx="38">
                  <c:v>1.1023495192640526E-2</c:v>
                </c:pt>
                <c:pt idx="39">
                  <c:v>0</c:v>
                </c:pt>
                <c:pt idx="40">
                  <c:v>1.959082199476552E-3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5.3798965927073731E-3</c:v>
                </c:pt>
                <c:pt idx="45">
                  <c:v>0</c:v>
                </c:pt>
                <c:pt idx="46">
                  <c:v>2.0540417466131918E-3</c:v>
                </c:pt>
                <c:pt idx="47">
                  <c:v>5.0914575374632317E-3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6.9476823362678254E-3</c:v>
                </c:pt>
                <c:pt idx="1">
                  <c:v>2.7536827332782444E-2</c:v>
                </c:pt>
                <c:pt idx="2">
                  <c:v>3.6903503386129563E-2</c:v>
                </c:pt>
                <c:pt idx="3">
                  <c:v>4.5983962625623792E-2</c:v>
                </c:pt>
                <c:pt idx="4">
                  <c:v>4.8375257941362486E-2</c:v>
                </c:pt>
                <c:pt idx="5">
                  <c:v>4.5296118992332157E-2</c:v>
                </c:pt>
                <c:pt idx="6">
                  <c:v>4.3011000881732445E-2</c:v>
                </c:pt>
                <c:pt idx="7">
                  <c:v>4.2355472050004846E-2</c:v>
                </c:pt>
                <c:pt idx="8">
                  <c:v>3.7535950216739992E-2</c:v>
                </c:pt>
                <c:pt idx="9">
                  <c:v>3.3487367220788572E-2</c:v>
                </c:pt>
                <c:pt idx="10">
                  <c:v>2.9438784224837155E-2</c:v>
                </c:pt>
                <c:pt idx="11">
                  <c:v>2.5196312419501522E-2</c:v>
                </c:pt>
                <c:pt idx="12">
                  <c:v>2.196483226309788E-2</c:v>
                </c:pt>
                <c:pt idx="13">
                  <c:v>1.8733352106694242E-2</c:v>
                </c:pt>
                <c:pt idx="14">
                  <c:v>1.560804915542958E-2</c:v>
                </c:pt>
                <c:pt idx="15">
                  <c:v>1.8507148495745987E-2</c:v>
                </c:pt>
                <c:pt idx="16">
                  <c:v>1.7343815639440676E-2</c:v>
                </c:pt>
                <c:pt idx="17">
                  <c:v>1.5603432755206145E-2</c:v>
                </c:pt>
                <c:pt idx="18">
                  <c:v>6.7210170852972276E-2</c:v>
                </c:pt>
                <c:pt idx="19">
                  <c:v>3.9788753525775669E-2</c:v>
                </c:pt>
                <c:pt idx="20">
                  <c:v>3.4595303274412681E-2</c:v>
                </c:pt>
                <c:pt idx="21">
                  <c:v>3.3048809199562365E-2</c:v>
                </c:pt>
                <c:pt idx="22">
                  <c:v>3.8066836242434877E-2</c:v>
                </c:pt>
                <c:pt idx="23">
                  <c:v>2.2560347891920837E-2</c:v>
                </c:pt>
                <c:pt idx="24">
                  <c:v>2.0404488987577268E-2</c:v>
                </c:pt>
                <c:pt idx="25">
                  <c:v>1.763003245329357E-2</c:v>
                </c:pt>
                <c:pt idx="26">
                  <c:v>1.2847441821816184E-2</c:v>
                </c:pt>
                <c:pt idx="27">
                  <c:v>1.1804135371320152E-2</c:v>
                </c:pt>
                <c:pt idx="28">
                  <c:v>1.1185537741380027E-2</c:v>
                </c:pt>
                <c:pt idx="29">
                  <c:v>1.1204003342273762E-2</c:v>
                </c:pt>
                <c:pt idx="30">
                  <c:v>1.1042429334453581E-2</c:v>
                </c:pt>
                <c:pt idx="31">
                  <c:v>9.6067288649656774E-3</c:v>
                </c:pt>
                <c:pt idx="32">
                  <c:v>1.0700815717919481E-2</c:v>
                </c:pt>
                <c:pt idx="33">
                  <c:v>1.0036054085745018E-2</c:v>
                </c:pt>
                <c:pt idx="34">
                  <c:v>8.3279860030745223E-3</c:v>
                </c:pt>
                <c:pt idx="35">
                  <c:v>8.2125759974886782E-3</c:v>
                </c:pt>
                <c:pt idx="36">
                  <c:v>7.4047059583877686E-3</c:v>
                </c:pt>
                <c:pt idx="37">
                  <c:v>6.9753807376084281E-3</c:v>
                </c:pt>
                <c:pt idx="38">
                  <c:v>6.3013863049870972E-3</c:v>
                </c:pt>
                <c:pt idx="39">
                  <c:v>5.9320742871123953E-3</c:v>
                </c:pt>
                <c:pt idx="40">
                  <c:v>5.5027490663330549E-3</c:v>
                </c:pt>
                <c:pt idx="41">
                  <c:v>5.4565850640987167E-3</c:v>
                </c:pt>
                <c:pt idx="42">
                  <c:v>4.7410430294664825E-3</c:v>
                </c:pt>
                <c:pt idx="43">
                  <c:v>3.9931861932702116E-3</c:v>
                </c:pt>
                <c:pt idx="44">
                  <c:v>4.011651794163947E-3</c:v>
                </c:pt>
                <c:pt idx="45">
                  <c:v>4.0624321966217184E-3</c:v>
                </c:pt>
                <c:pt idx="46">
                  <c:v>3.4946149691393643E-3</c:v>
                </c:pt>
                <c:pt idx="47">
                  <c:v>3.7439005812047879E-3</c:v>
                </c:pt>
                <c:pt idx="48">
                  <c:v>2.4790069199839351E-3</c:v>
                </c:pt>
                <c:pt idx="49">
                  <c:v>2.7236761318259247E-3</c:v>
                </c:pt>
                <c:pt idx="50">
                  <c:v>2.414377316855862E-3</c:v>
                </c:pt>
                <c:pt idx="51">
                  <c:v>2.6082661262400806E-3</c:v>
                </c:pt>
                <c:pt idx="52">
                  <c:v>2.3451313135043556E-3</c:v>
                </c:pt>
                <c:pt idx="53">
                  <c:v>2.1143113023326669E-3</c:v>
                </c:pt>
                <c:pt idx="54">
                  <c:v>1.592658077084651E-3</c:v>
                </c:pt>
                <c:pt idx="55">
                  <c:v>1.6572876802127237E-3</c:v>
                </c:pt>
                <c:pt idx="56">
                  <c:v>1.2741264616677208E-3</c:v>
                </c:pt>
                <c:pt idx="57">
                  <c:v>1.2556608607739857E-3</c:v>
                </c:pt>
                <c:pt idx="58">
                  <c:v>1.1171688540709726E-3</c:v>
                </c:pt>
                <c:pt idx="59">
                  <c:v>1.0109916489319957E-3</c:v>
                </c:pt>
                <c:pt idx="60">
                  <c:v>8.7711604245241642E-4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51000"/>
        <c:axId val="116847472"/>
      </c:lineChart>
      <c:catAx>
        <c:axId val="116851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16847472"/>
        <c:crosses val="autoZero"/>
        <c:auto val="1"/>
        <c:lblAlgn val="ctr"/>
        <c:lblOffset val="100"/>
        <c:tickLblSkip val="10"/>
        <c:noMultiLvlLbl val="0"/>
      </c:catAx>
      <c:valAx>
        <c:axId val="11684747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68510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workbookViewId="0">
      <selection activeCell="M31" sqref="M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6" t="n">
        <v>21714.3581449434</v>
      </c>
      <c r="C11" s="11">
        <f>B11/B$102</f>
        <v>0.21505241768014433</v>
      </c>
      <c r="E11" s="19">
        <v>0</v>
      </c>
      <c r="F11" s="338" t="n">
        <v>27911.0</v>
      </c>
      <c r="G11" s="11">
        <f>F11/F$102</f>
        <v>0.12955465587044535</v>
      </c>
      <c r="K11" s="8" t="n">
        <v>4.895899174480038</v>
      </c>
      <c r="L11" s="8" t="n">
        <v>6.845894077322244</v>
      </c>
    </row>
    <row r="12" spans="1:12" x14ac:dyDescent="0.25">
      <c r="A12">
        <v>1</v>
      </c>
      <c r="B12" s="336" t="n">
        <v>17532.1341696373</v>
      </c>
      <c r="C12" s="11">
        <f>B12/B$102</f>
        <v>0.17363293978602648</v>
      </c>
      <c r="E12" s="20">
        <v>1</v>
      </c>
      <c r="F12" s="338" t="n">
        <v>26910.0</v>
      </c>
      <c r="G12" s="11">
        <f>F12/F$102</f>
        <v>0.12510906245527861</v>
      </c>
      <c r="K12" s="8"/>
      <c r="L12" s="289"/>
    </row>
    <row r="13" spans="1:12" x14ac:dyDescent="0.25">
      <c r="A13">
        <v>2</v>
      </c>
      <c r="B13" s="336" t="n">
        <v>8419.413432157</v>
      </c>
      <c r="C13" s="11">
        <f ref="C13:C76" si="0" t="shared">B13/B$102</f>
        <v>8.3383317247886557E-2</v>
      </c>
      <c r="E13" s="21">
        <v>2</v>
      </c>
      <c r="F13" s="338" t="n">
        <v>18205.0</v>
      </c>
      <c r="G13" s="11">
        <f ref="G13:G76" si="1" t="shared">F13/F$102</f>
        <v>8.7079157414631223E-2</v>
      </c>
    </row>
    <row r="14" spans="1:12" x14ac:dyDescent="0.25">
      <c r="A14">
        <v>3</v>
      </c>
      <c r="B14" s="336" t="n">
        <v>11809.3452406979</v>
      </c>
      <c r="C14" s="11">
        <f si="0" t="shared"/>
        <v>0.11695617380350661</v>
      </c>
      <c r="E14" s="22">
        <v>3</v>
      </c>
      <c r="F14" s="338" t="n">
        <v>15465.0</v>
      </c>
      <c r="G14" s="11">
        <f si="1" t="shared"/>
        <v>7.1660380668362431E-2</v>
      </c>
    </row>
    <row r="15" spans="1:12" x14ac:dyDescent="0.25">
      <c r="A15">
        <v>4</v>
      </c>
      <c r="B15" s="336" t="n">
        <v>13519.4039174619</v>
      </c>
      <c r="C15" s="11">
        <f si="0" t="shared"/>
        <v>0.13389207632285621</v>
      </c>
      <c r="E15" s="23">
        <v>4</v>
      </c>
      <c r="F15" s="338" t="n">
        <v>31674.0</v>
      </c>
      <c r="G15" s="11">
        <f si="1" t="shared"/>
        <v>0.14760016434384796</v>
      </c>
    </row>
    <row r="16" spans="1:12" x14ac:dyDescent="0.25">
      <c r="A16">
        <v>5</v>
      </c>
      <c r="B16" s="336" t="n">
        <v>1849.782695403</v>
      </c>
      <c r="C16" s="11">
        <f si="0" t="shared"/>
        <v>1.8319686825371096E-2</v>
      </c>
      <c r="E16" s="24">
        <v>5</v>
      </c>
      <c r="F16" s="338" t="n">
        <v>15761.0</v>
      </c>
      <c r="G16" s="11">
        <f si="1" t="shared"/>
        <v>7.8381859393681988E-2</v>
      </c>
    </row>
    <row r="17" spans="1:7" x14ac:dyDescent="0.25">
      <c r="A17">
        <v>6</v>
      </c>
      <c r="B17" s="336" t="n">
        <v>996.909822548</v>
      </c>
      <c r="C17" s="11">
        <f si="0" t="shared"/>
        <v>9.8730925462770514E-3</v>
      </c>
      <c r="E17" s="25">
        <v>6</v>
      </c>
      <c r="F17" s="338" t="n">
        <v>17186.0</v>
      </c>
      <c r="G17" s="11">
        <f si="1" t="shared"/>
        <v>7.846033819748037E-2</v>
      </c>
    </row>
    <row r="18" spans="1:7" x14ac:dyDescent="0.25">
      <c r="A18">
        <v>7</v>
      </c>
      <c r="B18" s="336" t="n">
        <v>3374.273870721</v>
      </c>
      <c r="C18" s="11">
        <f si="0" t="shared"/>
        <v>3.3417785088087917E-2</v>
      </c>
      <c r="E18" s="26">
        <v>7</v>
      </c>
      <c r="F18" s="338" t="n">
        <v>7148.0</v>
      </c>
      <c r="G18" s="11">
        <f si="1" t="shared"/>
        <v>3.3755118433747733E-2</v>
      </c>
    </row>
    <row r="19" spans="1:7" x14ac:dyDescent="0.25">
      <c r="A19">
        <v>8</v>
      </c>
      <c r="B19" s="336" t="n">
        <v>2074.465429439</v>
      </c>
      <c r="C19" s="11">
        <f si="0" t="shared"/>
        <v>2.0544876482965404E-2</v>
      </c>
      <c r="E19" s="27">
        <v>8</v>
      </c>
      <c r="F19" s="338" t="n">
        <v>6171.0</v>
      </c>
      <c r="G19" s="11">
        <f si="1" t="shared"/>
        <v>3.1876243542810184E-2</v>
      </c>
    </row>
    <row r="20" spans="1:7" x14ac:dyDescent="0.25">
      <c r="A20">
        <v>9</v>
      </c>
      <c r="B20" s="336" t="n">
        <v>1207.46655552</v>
      </c>
      <c r="C20" s="11">
        <f si="0" t="shared"/>
        <v>1.1958382573373968E-2</v>
      </c>
      <c r="E20" s="28">
        <v>9</v>
      </c>
      <c r="F20" s="338" t="n">
        <v>3651.0</v>
      </c>
      <c r="G20" s="11">
        <f si="1" t="shared"/>
        <v>1.7773140860220017E-2</v>
      </c>
    </row>
    <row r="21" spans="1:7" x14ac:dyDescent="0.25">
      <c r="A21">
        <v>10</v>
      </c>
      <c r="B21" s="336" t="n">
        <v>880.055534877</v>
      </c>
      <c r="C21" s="11">
        <f si="0" t="shared"/>
        <v>8.7158031199814114E-3</v>
      </c>
      <c r="E21" s="29">
        <v>10</v>
      </c>
      <c r="F21" s="338" t="n">
        <v>2867.0</v>
      </c>
      <c r="G21" s="11">
        <f si="1" t="shared"/>
        <v>1.3082878233211307E-2</v>
      </c>
    </row>
    <row r="22" spans="1:7" x14ac:dyDescent="0.25">
      <c r="A22">
        <v>11</v>
      </c>
      <c r="B22" s="336" t="n">
        <v>1112.109726078</v>
      </c>
      <c r="C22" s="11">
        <f si="0" t="shared"/>
        <v>1.1013997453770944E-2</v>
      </c>
      <c r="E22" s="30">
        <v>11</v>
      </c>
      <c r="F22" s="338" t="n">
        <v>3145.0</v>
      </c>
      <c r="G22" s="11">
        <f si="1" t="shared"/>
        <v>1.4712467512083428E-2</v>
      </c>
    </row>
    <row r="23" spans="1:7" x14ac:dyDescent="0.25">
      <c r="A23">
        <v>12</v>
      </c>
      <c r="B23" s="336" t="n">
        <v>942.231922169</v>
      </c>
      <c r="C23" s="11">
        <f si="0" t="shared"/>
        <v>9.3315792032765705E-3</v>
      </c>
      <c r="E23" s="31">
        <v>12</v>
      </c>
      <c r="F23" s="338" t="n">
        <v>2819.0</v>
      </c>
      <c r="G23" s="11">
        <f si="1" t="shared"/>
        <v>1.4033856679238663E-2</v>
      </c>
    </row>
    <row r="24" spans="1:7" x14ac:dyDescent="0.25">
      <c r="A24">
        <v>13</v>
      </c>
      <c r="B24" s="336" t="n">
        <v>1141.297113071</v>
      </c>
      <c r="C24" s="11">
        <f si="0" t="shared"/>
        <v>1.1303060482791323E-2</v>
      </c>
      <c r="E24" s="32">
        <v>13</v>
      </c>
      <c r="F24" s="338" t="n">
        <v>2849.0</v>
      </c>
      <c r="G24" s="11">
        <f si="1" t="shared"/>
        <v>1.4467798300241438E-2</v>
      </c>
    </row>
    <row r="25" spans="1:7" x14ac:dyDescent="0.25">
      <c r="A25">
        <v>14</v>
      </c>
      <c r="B25" s="336" t="n">
        <v>0.0</v>
      </c>
      <c r="C25" s="11">
        <f si="0" t="shared"/>
        <v>0</v>
      </c>
      <c r="E25" s="33">
        <v>14</v>
      </c>
      <c r="F25" s="338" t="n">
        <v>2507.0</v>
      </c>
      <c r="G25" s="11">
        <f si="1" t="shared"/>
        <v>1.2381185399249373E-2</v>
      </c>
    </row>
    <row r="26" spans="1:7" x14ac:dyDescent="0.25">
      <c r="A26">
        <v>15</v>
      </c>
      <c r="B26" s="336" t="n">
        <v>1208.4204133333</v>
      </c>
      <c r="C26" s="11">
        <f si="0" t="shared"/>
        <v>1.1967829291877183E-2</v>
      </c>
      <c r="E26" s="34">
        <v>15</v>
      </c>
      <c r="F26" s="338" t="n">
        <v>2945.0</v>
      </c>
      <c r="G26" s="11">
        <f si="1" t="shared"/>
        <v>1.4218512688176014E-2</v>
      </c>
    </row>
    <row r="27" spans="1:7" x14ac:dyDescent="0.25">
      <c r="A27">
        <v>16</v>
      </c>
      <c r="B27" s="336" t="n">
        <v>7325.31987321</v>
      </c>
      <c r="C27" s="11">
        <f si="0" t="shared"/>
        <v>7.2547746449556652E-2</v>
      </c>
      <c r="E27" s="35">
        <v>16</v>
      </c>
      <c r="F27" s="338" t="n">
        <v>2386.0</v>
      </c>
      <c r="G27" s="11">
        <f si="1" t="shared"/>
        <v>1.1836450172884188E-2</v>
      </c>
    </row>
    <row r="28" spans="1:7" x14ac:dyDescent="0.25">
      <c r="A28">
        <v>17</v>
      </c>
      <c r="B28" s="336" t="n">
        <v>0.0</v>
      </c>
      <c r="C28" s="11">
        <f si="0" t="shared"/>
        <v>0</v>
      </c>
      <c r="E28" s="36">
        <v>17</v>
      </c>
      <c r="F28" s="338" t="n">
        <v>2506.0</v>
      </c>
      <c r="G28" s="11">
        <f si="1" t="shared"/>
        <v>1.1411741352328281E-2</v>
      </c>
    </row>
    <row r="29" spans="1:7" x14ac:dyDescent="0.25">
      <c r="A29">
        <v>18</v>
      </c>
      <c r="B29" s="336" t="n">
        <v>3544.169887275</v>
      </c>
      <c r="C29" s="11">
        <f si="0" t="shared"/>
        <v>3.5100383711094953E-2</v>
      </c>
      <c r="E29" s="37">
        <v>18</v>
      </c>
      <c r="F29" s="338" t="n">
        <v>2165.0</v>
      </c>
      <c r="G29" s="11">
        <f si="1" t="shared"/>
        <v>1.0248408496022971E-2</v>
      </c>
    </row>
    <row r="30" spans="1:7" x14ac:dyDescent="0.25">
      <c r="A30">
        <v>19</v>
      </c>
      <c r="B30" s="336" t="n">
        <v>775.795370025</v>
      </c>
      <c r="C30" s="11">
        <f si="0" t="shared"/>
        <v>7.6832420666226101E-3</v>
      </c>
      <c r="E30" s="38">
        <v>19</v>
      </c>
      <c r="F30" s="338" t="n">
        <v>1856.0</v>
      </c>
      <c r="G30" s="11">
        <f si="1" t="shared"/>
        <v>8.1802611959246423E-3</v>
      </c>
    </row>
    <row r="31" spans="1:7" x14ac:dyDescent="0.25">
      <c r="A31">
        <v>20</v>
      </c>
      <c r="B31" s="336" t="n">
        <v>0.0</v>
      </c>
      <c r="C31" s="11">
        <f si="0" t="shared"/>
        <v>0</v>
      </c>
      <c r="E31" s="39">
        <v>20</v>
      </c>
      <c r="F31" s="338" t="n">
        <v>1794.0</v>
      </c>
      <c r="G31" s="11">
        <f si="1" t="shared"/>
        <v>7.6770735715703609E-3</v>
      </c>
    </row>
    <row r="32" spans="1:7" x14ac:dyDescent="0.25">
      <c r="A32">
        <v>21</v>
      </c>
      <c r="B32" s="336" t="n">
        <v>280.724871177</v>
      </c>
      <c r="C32" s="11">
        <f si="0" t="shared"/>
        <v>2.780213987748901E-3</v>
      </c>
      <c r="E32" s="40">
        <v>21</v>
      </c>
      <c r="F32" s="338" t="n">
        <v>1494.0</v>
      </c>
      <c r="G32" s="11">
        <f si="1" t="shared"/>
        <v>7.2015843485566822E-3</v>
      </c>
    </row>
    <row r="33" spans="1:7" x14ac:dyDescent="0.25">
      <c r="A33">
        <v>22</v>
      </c>
      <c r="B33" s="336" t="n">
        <v>145.892226826</v>
      </c>
      <c r="C33" s="11">
        <f si="0" t="shared"/>
        <v>1.4448723692520222E-3</v>
      </c>
      <c r="E33" s="41">
        <v>22</v>
      </c>
      <c r="F33" s="338" t="n">
        <v>1482.0</v>
      </c>
      <c r="G33" s="11">
        <f si="1" t="shared"/>
        <v>6.7214787253195704E-3</v>
      </c>
    </row>
    <row r="34" spans="1:7" x14ac:dyDescent="0.25">
      <c r="A34">
        <v>23</v>
      </c>
      <c r="B34" s="336" t="n">
        <v>0.0</v>
      </c>
      <c r="C34" s="11">
        <f si="0" t="shared"/>
        <v>0</v>
      </c>
      <c r="E34" s="42">
        <v>23</v>
      </c>
      <c r="F34" s="338" t="n">
        <v>1443.0</v>
      </c>
      <c r="G34" s="11">
        <f si="1" t="shared"/>
        <v>6.1721270987309517E-3</v>
      </c>
    </row>
    <row r="35" spans="1:7" x14ac:dyDescent="0.25">
      <c r="A35">
        <v>24</v>
      </c>
      <c r="B35" s="336" t="n">
        <v>0.0</v>
      </c>
      <c r="C35" s="11">
        <f si="0" t="shared"/>
        <v>0</v>
      </c>
      <c r="E35" s="43">
        <v>24</v>
      </c>
      <c r="F35" s="338" t="n">
        <v>1297.0</v>
      </c>
      <c r="G35" s="11">
        <f si="1" t="shared"/>
        <v>6.7537935268836063E-3</v>
      </c>
    </row>
    <row r="36" spans="1:7" x14ac:dyDescent="0.25">
      <c r="A36">
        <v>25</v>
      </c>
      <c r="B36" s="336" t="n">
        <v>0.0</v>
      </c>
      <c r="C36" s="11">
        <f si="0" t="shared"/>
        <v>0</v>
      </c>
      <c r="E36" s="44">
        <v>25</v>
      </c>
      <c r="F36" s="338" t="n">
        <v>1209.0</v>
      </c>
      <c r="G36" s="11">
        <f si="1" t="shared"/>
        <v>4.722577428572748E-3</v>
      </c>
    </row>
    <row r="37" spans="1:7" x14ac:dyDescent="0.25">
      <c r="A37">
        <v>26</v>
      </c>
      <c r="B37" s="336" t="n">
        <v>0.0</v>
      </c>
      <c r="C37" s="11">
        <f si="0" t="shared"/>
        <v>0</v>
      </c>
      <c r="E37" s="45">
        <v>26</v>
      </c>
      <c r="F37" s="338" t="n">
        <v>891.0</v>
      </c>
      <c r="G37" s="11">
        <f si="1" t="shared"/>
        <v>4.1501438008669598E-3</v>
      </c>
    </row>
    <row r="38" spans="1:7" x14ac:dyDescent="0.25">
      <c r="A38">
        <v>27</v>
      </c>
      <c r="B38" s="336" t="n">
        <v>0.0</v>
      </c>
      <c r="C38" s="11">
        <f si="0" t="shared"/>
        <v>0</v>
      </c>
      <c r="E38" s="46">
        <v>27</v>
      </c>
      <c r="F38" s="338" t="n">
        <v>822.0</v>
      </c>
      <c r="G38" s="11">
        <f si="1" t="shared"/>
        <v>3.6192577751720761E-3</v>
      </c>
    </row>
    <row r="39" spans="1:7" x14ac:dyDescent="0.25">
      <c r="A39">
        <v>28</v>
      </c>
      <c r="B39" s="336" t="n">
        <v>0.0</v>
      </c>
      <c r="C39" s="11">
        <f si="0" t="shared"/>
        <v>0</v>
      </c>
      <c r="E39" s="47">
        <v>28</v>
      </c>
      <c r="F39" s="338" t="n">
        <v>755.0</v>
      </c>
      <c r="G39" s="11">
        <f si="1" t="shared"/>
        <v>3.3053425599785797E-3</v>
      </c>
    </row>
    <row r="40" spans="1:7" x14ac:dyDescent="0.25">
      <c r="A40">
        <v>29</v>
      </c>
      <c r="B40" s="336" t="n">
        <v>543.221055857</v>
      </c>
      <c r="C40" s="11">
        <f si="0" t="shared"/>
        <v>5.3798965927073731E-3</v>
      </c>
      <c r="E40" s="48">
        <v>29</v>
      </c>
      <c r="F40" s="338" t="n">
        <v>652.0</v>
      </c>
      <c r="G40" s="11">
        <f si="1" t="shared"/>
        <v>3.7762153827688243E-3</v>
      </c>
    </row>
    <row r="41" spans="1:7" x14ac:dyDescent="0.25">
      <c r="A41">
        <v>30</v>
      </c>
      <c r="B41" s="336" t="n">
        <v>0.0</v>
      </c>
      <c r="C41" s="11">
        <f si="0" t="shared"/>
        <v>0</v>
      </c>
      <c r="E41" s="49">
        <v>30</v>
      </c>
      <c r="F41" s="338" t="n">
        <v>585.0</v>
      </c>
      <c r="G41" s="11">
        <f si="1" t="shared"/>
        <v>2.903715740539842E-3</v>
      </c>
    </row>
    <row r="42" spans="1:7" x14ac:dyDescent="0.25">
      <c r="A42">
        <v>31</v>
      </c>
      <c r="B42" s="336" t="n">
        <v>368.204446166</v>
      </c>
      <c r="C42" s="11">
        <f si="0" t="shared"/>
        <v>3.6465851682112088E-3</v>
      </c>
      <c r="E42" s="50">
        <v>31</v>
      </c>
      <c r="F42" s="338" t="n">
        <v>476.0</v>
      </c>
      <c r="G42" s="11">
        <f si="1" t="shared"/>
        <v>2.3174329121637529E-3</v>
      </c>
    </row>
    <row r="43" spans="1:7" x14ac:dyDescent="0.25">
      <c r="A43">
        <v>32</v>
      </c>
      <c r="B43" s="336" t="n">
        <v>0.0</v>
      </c>
      <c r="C43" s="11">
        <f si="0" t="shared"/>
        <v>0</v>
      </c>
      <c r="E43" s="51">
        <v>32</v>
      </c>
      <c r="F43" s="338" t="n">
        <v>474.0</v>
      </c>
      <c r="G43" s="11">
        <f si="1" t="shared"/>
        <v>1.9019568920547135E-3</v>
      </c>
    </row>
    <row r="44" spans="1:7" x14ac:dyDescent="0.25">
      <c r="A44">
        <v>33</v>
      </c>
      <c r="B44" s="336" t="n">
        <v>207.401519182</v>
      </c>
      <c r="C44" s="11">
        <f si="0" t="shared"/>
        <v>2.0540417466131918E-3</v>
      </c>
      <c r="E44" s="52">
        <v>33</v>
      </c>
      <c r="F44" s="338" t="n">
        <v>433.0</v>
      </c>
      <c r="G44" s="11">
        <f si="1" t="shared"/>
        <v>1.7819304862454356E-3</v>
      </c>
    </row>
    <row r="45" spans="1:7" x14ac:dyDescent="0.25">
      <c r="A45">
        <v>34</v>
      </c>
      <c r="B45" s="336" t="n">
        <v>0.0</v>
      </c>
      <c r="C45" s="11">
        <f si="0" t="shared"/>
        <v>0</v>
      </c>
      <c r="E45" s="53">
        <v>34</v>
      </c>
      <c r="F45" s="338" t="n">
        <v>279.0</v>
      </c>
      <c r="G45" s="11">
        <f si="1" t="shared"/>
        <v>1.509562873062843E-3</v>
      </c>
    </row>
    <row r="46" spans="1:7" x14ac:dyDescent="0.25">
      <c r="A46">
        <v>35</v>
      </c>
      <c r="B46" s="336" t="n">
        <v>0.0</v>
      </c>
      <c r="C46" s="11">
        <f si="0" t="shared"/>
        <v>0</v>
      </c>
      <c r="E46" s="54">
        <v>35</v>
      </c>
      <c r="F46" s="338" t="n">
        <v>228.0</v>
      </c>
      <c r="G46" s="11">
        <f si="1" t="shared"/>
        <v>1.1264016545178401E-3</v>
      </c>
    </row>
    <row r="47" spans="1:7" x14ac:dyDescent="0.25">
      <c r="A47">
        <v>36</v>
      </c>
      <c r="B47" s="336" t="n">
        <v>0.0</v>
      </c>
      <c r="C47" s="11">
        <f si="0" t="shared"/>
        <v>0</v>
      </c>
      <c r="E47" s="55">
        <v>36</v>
      </c>
      <c r="F47" s="338" t="n">
        <v>343.0</v>
      </c>
      <c r="G47" s="11">
        <f si="1" t="shared"/>
        <v>1.3249068641254921E-3</v>
      </c>
    </row>
    <row r="48" spans="1:7" x14ac:dyDescent="0.25">
      <c r="A48">
        <v>37</v>
      </c>
      <c r="B48" s="336" t="n">
        <v>0.0</v>
      </c>
      <c r="C48" s="11">
        <f si="0" t="shared"/>
        <v>0</v>
      </c>
      <c r="E48" s="56">
        <v>37</v>
      </c>
      <c r="F48" s="338" t="n">
        <v>230.0</v>
      </c>
      <c r="G48" s="11">
        <f si="1" t="shared"/>
        <v>1.1587164560818764E-3</v>
      </c>
    </row>
    <row r="49" spans="1:7" x14ac:dyDescent="0.25">
      <c r="A49">
        <v>38</v>
      </c>
      <c r="B49" s="336" t="n">
        <v>0.0</v>
      </c>
      <c r="C49" s="11">
        <f si="0" t="shared"/>
        <v>0</v>
      </c>
      <c r="E49" s="57">
        <v>38</v>
      </c>
      <c r="F49" s="338" t="n">
        <v>172.0</v>
      </c>
      <c r="G49" s="11">
        <f si="1" t="shared"/>
        <v>1.0894704527303698E-3</v>
      </c>
    </row>
    <row r="50" spans="1:7" x14ac:dyDescent="0.25">
      <c r="A50">
        <v>39</v>
      </c>
      <c r="B50" s="336" t="n">
        <v>0.0</v>
      </c>
      <c r="C50" s="11">
        <f si="0" t="shared"/>
        <v>0</v>
      </c>
      <c r="E50" s="58">
        <v>39</v>
      </c>
      <c r="F50" s="338" t="n">
        <v>166.0</v>
      </c>
      <c r="G50" s="11">
        <f si="1" t="shared"/>
        <v>6.8784363329163186E-4</v>
      </c>
    </row>
    <row r="51" spans="1:7" x14ac:dyDescent="0.25">
      <c r="A51">
        <v>40</v>
      </c>
      <c r="B51" s="336" t="n">
        <v>0.0</v>
      </c>
      <c r="C51" s="11">
        <f si="0" t="shared"/>
        <v>0</v>
      </c>
      <c r="E51" s="59">
        <v>40</v>
      </c>
      <c r="F51" s="338" t="n">
        <v>128.0</v>
      </c>
      <c r="G51" s="11">
        <f si="1" t="shared"/>
        <v>7.2939123530253583E-4</v>
      </c>
    </row>
    <row r="52" spans="1:7" x14ac:dyDescent="0.25">
      <c r="A52">
        <v>41</v>
      </c>
      <c r="B52" s="336" t="n">
        <v>0.0</v>
      </c>
      <c r="C52" s="11">
        <f si="0" t="shared"/>
        <v>0</v>
      </c>
      <c r="E52" s="60">
        <v>41</v>
      </c>
      <c r="F52" s="338" t="n">
        <v>113.0</v>
      </c>
      <c r="G52" s="11">
        <f si="1" t="shared"/>
        <v>5.2165322524801605E-4</v>
      </c>
    </row>
    <row r="53" spans="1:7" x14ac:dyDescent="0.25">
      <c r="A53">
        <v>42</v>
      </c>
      <c r="B53" s="336" t="n">
        <v>0.0</v>
      </c>
      <c r="C53" s="11">
        <f si="0" t="shared"/>
        <v>0</v>
      </c>
      <c r="E53" s="61">
        <v>42</v>
      </c>
      <c r="F53" s="338" t="n">
        <v>82.0</v>
      </c>
      <c r="G53" s="11">
        <f si="1" t="shared"/>
        <v>3.462300167575328E-4</v>
      </c>
    </row>
    <row r="54" spans="1:7" x14ac:dyDescent="0.25">
      <c r="A54">
        <v>43</v>
      </c>
      <c r="B54" s="336" t="n">
        <v>0.0</v>
      </c>
      <c r="C54" s="11">
        <f si="0" t="shared"/>
        <v>0</v>
      </c>
      <c r="E54" s="62">
        <v>43</v>
      </c>
      <c r="F54" s="338" t="n">
        <v>67.0</v>
      </c>
      <c r="G54" s="11">
        <f si="1" t="shared"/>
        <v>2.3543641139512231E-4</v>
      </c>
    </row>
    <row r="55" spans="1:7" x14ac:dyDescent="0.25">
      <c r="A55">
        <v>44</v>
      </c>
      <c r="B55" s="336" t="n">
        <v>0.0</v>
      </c>
      <c r="C55" s="11">
        <f si="0" t="shared"/>
        <v>0</v>
      </c>
      <c r="E55" s="63">
        <v>44</v>
      </c>
      <c r="F55" s="338" t="n">
        <v>79.0</v>
      </c>
      <c r="G55" s="11">
        <f si="1" t="shared"/>
        <v>3.0929881497006263E-4</v>
      </c>
    </row>
    <row r="56" spans="1:7" x14ac:dyDescent="0.25">
      <c r="A56">
        <v>45</v>
      </c>
      <c r="B56" s="336" t="n">
        <v>0.0</v>
      </c>
      <c r="C56" s="11">
        <f si="0" t="shared"/>
        <v>0</v>
      </c>
      <c r="E56" s="64">
        <v>45</v>
      </c>
      <c r="F56" s="338" t="n">
        <v>62.0</v>
      </c>
      <c r="G56" s="11">
        <f si="1" t="shared"/>
        <v>4.5702362211994332E-4</v>
      </c>
    </row>
    <row r="57" spans="1:7" x14ac:dyDescent="0.25">
      <c r="A57">
        <v>46</v>
      </c>
      <c r="B57" s="336" t="n">
        <v>0.0</v>
      </c>
      <c r="C57" s="11">
        <f si="0" t="shared"/>
        <v>0</v>
      </c>
      <c r="E57" s="65">
        <v>46</v>
      </c>
      <c r="F57" s="338" t="n">
        <v>64.0</v>
      </c>
      <c r="G57" s="11">
        <f si="1" t="shared"/>
        <v>2.6313481273572496E-4</v>
      </c>
    </row>
    <row r="58" spans="1:7" x14ac:dyDescent="0.25">
      <c r="A58">
        <v>47</v>
      </c>
      <c r="B58" s="336" t="n">
        <v>0.0</v>
      </c>
      <c r="C58" s="11">
        <f si="0" t="shared"/>
        <v>0</v>
      </c>
      <c r="E58" s="66">
        <v>47</v>
      </c>
      <c r="F58" s="338" t="n">
        <v>52.0</v>
      </c>
      <c r="G58" s="11">
        <f si="1" t="shared"/>
        <v>2.7236761318259246E-4</v>
      </c>
    </row>
    <row r="59" spans="1:7" x14ac:dyDescent="0.25">
      <c r="A59">
        <v>48</v>
      </c>
      <c r="B59" s="336" t="n">
        <v>0.0</v>
      </c>
      <c r="C59" s="11">
        <f si="0" t="shared"/>
        <v>0</v>
      </c>
      <c r="E59" s="67">
        <v>48</v>
      </c>
      <c r="F59" s="338" t="n">
        <v>30.0</v>
      </c>
      <c r="G59" s="11">
        <f si="1" t="shared"/>
        <v>1.5234120737331444E-4</v>
      </c>
    </row>
    <row r="60" spans="1:7" x14ac:dyDescent="0.25">
      <c r="A60">
        <v>49</v>
      </c>
      <c r="B60" s="336" t="n">
        <v>0.0</v>
      </c>
      <c r="C60" s="11">
        <f si="0" t="shared"/>
        <v>0</v>
      </c>
      <c r="E60" s="68">
        <v>49</v>
      </c>
      <c r="F60" s="338" t="n">
        <v>34.0</v>
      </c>
      <c r="G60" s="11">
        <f si="1" t="shared"/>
        <v>7.8478803798374109E-5</v>
      </c>
    </row>
    <row r="61" spans="1:7" x14ac:dyDescent="0.25">
      <c r="A61">
        <v>50</v>
      </c>
      <c r="B61" s="336" t="n">
        <v>0.0</v>
      </c>
      <c r="C61" s="11">
        <f si="0" t="shared"/>
        <v>0</v>
      </c>
      <c r="E61" s="69">
        <v>50</v>
      </c>
      <c r="F61" s="338" t="n">
        <v>39.0</v>
      </c>
      <c r="G61" s="11">
        <f si="1" t="shared"/>
        <v>1.5234120737331444E-4</v>
      </c>
    </row>
    <row r="62" spans="1:7" x14ac:dyDescent="0.25">
      <c r="A62">
        <v>51</v>
      </c>
      <c r="B62" s="336" t="n">
        <v>0.0</v>
      </c>
      <c r="C62" s="11">
        <f si="0" t="shared"/>
        <v>0</v>
      </c>
      <c r="E62" s="70">
        <v>51</v>
      </c>
      <c r="F62" s="338" t="n">
        <v>29.0</v>
      </c>
      <c r="G62" s="11">
        <f si="1" t="shared"/>
        <v>1.8465600893735083E-4</v>
      </c>
    </row>
    <row r="63" spans="1:7" x14ac:dyDescent="0.25">
      <c r="A63">
        <v>52</v>
      </c>
      <c r="B63" s="336" t="n">
        <v>0.0</v>
      </c>
      <c r="C63" s="11">
        <f si="0" t="shared"/>
        <v>0</v>
      </c>
      <c r="E63" s="71">
        <v>52</v>
      </c>
      <c r="F63" s="338" t="n">
        <v>25.0</v>
      </c>
      <c r="G63" s="11">
        <f si="1" t="shared"/>
        <v>8.7711604245241639E-5</v>
      </c>
    </row>
    <row r="64" spans="1:7" x14ac:dyDescent="0.25">
      <c r="A64">
        <v>53</v>
      </c>
      <c r="B64" s="336" t="n">
        <v>0.0</v>
      </c>
      <c r="C64" s="11">
        <f si="0" t="shared"/>
        <v>0</v>
      </c>
      <c r="E64" s="72">
        <v>53</v>
      </c>
      <c r="F64" s="338" t="n">
        <v>18.0</v>
      </c>
      <c r="G64" s="11">
        <f si="1" t="shared"/>
        <v>5.078040245777148E-5</v>
      </c>
    </row>
    <row r="65" spans="1:7" x14ac:dyDescent="0.25">
      <c r="A65">
        <v>54</v>
      </c>
      <c r="B65" s="336" t="n">
        <v>0.0</v>
      </c>
      <c r="C65" s="11">
        <f si="0" t="shared"/>
        <v>0</v>
      </c>
      <c r="E65" s="73">
        <v>54</v>
      </c>
      <c r="F65" s="338" t="n">
        <v>14.0</v>
      </c>
      <c r="G65" s="11">
        <f si="1" t="shared"/>
        <v>6.4629603128072788E-5</v>
      </c>
    </row>
    <row r="66" spans="1:7" x14ac:dyDescent="0.25">
      <c r="A66">
        <v>55</v>
      </c>
      <c r="B66" s="336" t="n">
        <v>0.0</v>
      </c>
      <c r="C66" s="11">
        <f si="0" t="shared"/>
        <v>0</v>
      </c>
      <c r="E66" s="74">
        <v>55</v>
      </c>
      <c r="F66" s="338" t="n">
        <v>11.0</v>
      </c>
      <c r="G66" s="11">
        <f si="1" t="shared"/>
        <v>6.4629603128072788E-5</v>
      </c>
    </row>
    <row r="67" spans="1:7" x14ac:dyDescent="0.25">
      <c r="A67">
        <v>56</v>
      </c>
      <c r="B67" s="336" t="n">
        <v>0.0</v>
      </c>
      <c r="C67" s="11">
        <f si="0" t="shared"/>
        <v>0</v>
      </c>
      <c r="E67" s="75">
        <v>56</v>
      </c>
      <c r="F67" s="338" t="n">
        <v>9.0</v>
      </c>
      <c r="G67" s="11">
        <f si="1" t="shared"/>
        <v>3.2314801564036394E-5</v>
      </c>
    </row>
    <row r="68" spans="1:7" x14ac:dyDescent="0.25">
      <c r="A68">
        <v>57</v>
      </c>
      <c r="B68" s="336" t="n">
        <v>0.0</v>
      </c>
      <c r="C68" s="11">
        <f si="0" t="shared"/>
        <v>0</v>
      </c>
      <c r="E68" s="76">
        <v>57</v>
      </c>
      <c r="F68" s="338" t="n">
        <v>3.0</v>
      </c>
      <c r="G68" s="11">
        <f si="1" t="shared"/>
        <v>5.5396802681205252E-5</v>
      </c>
    </row>
    <row r="69" spans="1:7" x14ac:dyDescent="0.25">
      <c r="A69">
        <v>58</v>
      </c>
      <c r="B69" s="336" t="n">
        <v>0.0</v>
      </c>
      <c r="C69" s="11">
        <f si="0" t="shared"/>
        <v>0</v>
      </c>
      <c r="E69" s="77">
        <v>58</v>
      </c>
      <c r="F69" s="338" t="n">
        <v>5.0</v>
      </c>
      <c r="G69" s="11">
        <f si="1" t="shared"/>
        <v>3.6931201787470165E-5</v>
      </c>
    </row>
    <row r="70" spans="1:7" x14ac:dyDescent="0.25">
      <c r="A70">
        <v>59</v>
      </c>
      <c r="B70" s="336" t="n">
        <v>0.0</v>
      </c>
      <c r="C70" s="11">
        <f si="0" t="shared"/>
        <v>0</v>
      </c>
      <c r="E70" s="78">
        <v>59</v>
      </c>
      <c r="F70" s="338" t="n">
        <v>3.0</v>
      </c>
      <c r="G70" s="11">
        <f si="1" t="shared"/>
        <v>4.6164002234337707E-6</v>
      </c>
    </row>
    <row r="71" spans="1:7" x14ac:dyDescent="0.25">
      <c r="A71">
        <v>60</v>
      </c>
      <c r="B71" s="336" t="n">
        <v>0.0</v>
      </c>
      <c r="C71" s="11">
        <f si="0" t="shared"/>
        <v>0</v>
      </c>
      <c r="E71" s="79">
        <v>60</v>
      </c>
      <c r="F71" s="338" t="n">
        <v>4.0</v>
      </c>
      <c r="G71" s="11">
        <f si="1" t="shared"/>
        <v>3.6931201787470165E-5</v>
      </c>
    </row>
    <row r="72" spans="1:7" x14ac:dyDescent="0.25">
      <c r="A72">
        <v>61</v>
      </c>
      <c r="B72" s="336" t="n">
        <v>0.0</v>
      </c>
      <c r="C72" s="11">
        <f si="0" t="shared"/>
        <v>0</v>
      </c>
      <c r="E72" s="80">
        <v>61</v>
      </c>
      <c r="F72" s="338" t="n">
        <v>3.0</v>
      </c>
      <c r="G72" s="11">
        <f si="1" t="shared"/>
        <v>3.6931201787470165E-5</v>
      </c>
    </row>
    <row r="73" spans="1:7" x14ac:dyDescent="0.25">
      <c r="A73">
        <v>62</v>
      </c>
      <c r="B73" s="336" t="n">
        <v>0.0</v>
      </c>
      <c r="C73" s="11">
        <f si="0" t="shared"/>
        <v>0</v>
      </c>
      <c r="E73" s="81">
        <v>62</v>
      </c>
      <c r="F73" s="338" t="n">
        <v>2.0</v>
      </c>
      <c r="G73" s="11">
        <f si="1" t="shared"/>
        <v>1.8465600893735083E-5</v>
      </c>
    </row>
    <row r="74" spans="1:7" x14ac:dyDescent="0.25">
      <c r="A74">
        <v>63</v>
      </c>
      <c r="B74" s="336" t="n">
        <v>0.0</v>
      </c>
      <c r="C74" s="11">
        <f si="0" t="shared"/>
        <v>0</v>
      </c>
      <c r="E74" s="82">
        <v>63</v>
      </c>
      <c r="F74" s="338" t="n">
        <v>3.0</v>
      </c>
      <c r="G74" s="11">
        <f si="1" t="shared"/>
        <v>1.8465600893735083E-5</v>
      </c>
    </row>
    <row r="75" spans="1:7" x14ac:dyDescent="0.25">
      <c r="A75">
        <v>64</v>
      </c>
      <c r="B75" s="336" t="n">
        <v>0.0</v>
      </c>
      <c r="C75" s="11">
        <f si="0" t="shared"/>
        <v>0</v>
      </c>
      <c r="E75" s="83">
        <v>64</v>
      </c>
      <c r="F75" s="338" t="n">
        <v>4.0</v>
      </c>
      <c r="G75" s="11">
        <f si="1" t="shared"/>
        <v>4.6164002234337707E-6</v>
      </c>
    </row>
    <row r="76" spans="1:7" x14ac:dyDescent="0.25">
      <c r="A76">
        <v>65</v>
      </c>
      <c r="B76" s="336" t="n">
        <v>0.0</v>
      </c>
      <c r="C76" s="11">
        <f si="0" t="shared"/>
        <v>0</v>
      </c>
      <c r="E76" s="84">
        <v>65</v>
      </c>
      <c r="F76" s="338" t="n">
        <v>1.0</v>
      </c>
      <c r="G76" s="11">
        <f si="1" t="shared"/>
        <v>0</v>
      </c>
    </row>
    <row r="77" spans="1:7" x14ac:dyDescent="0.25">
      <c r="A77">
        <v>66</v>
      </c>
      <c r="B77" s="336" t="n">
        <v>0.0</v>
      </c>
      <c r="C77" s="11">
        <f ref="C77:C102" si="2" t="shared">B77/B$102</f>
        <v>0</v>
      </c>
      <c r="E77" s="85">
        <v>66</v>
      </c>
      <c r="F77" s="338" t="n">
        <v>0.0</v>
      </c>
      <c r="G77" s="11">
        <f ref="G77:G102" si="3" t="shared">F77/F$102</f>
        <v>4.6164002234337707E-6</v>
      </c>
    </row>
    <row r="78" spans="1:7" x14ac:dyDescent="0.25">
      <c r="A78">
        <v>67</v>
      </c>
      <c r="B78" s="336" t="n">
        <v>0.0</v>
      </c>
      <c r="C78" s="11">
        <f si="2" t="shared"/>
        <v>0</v>
      </c>
      <c r="E78" s="86">
        <v>67</v>
      </c>
      <c r="F78" s="338" t="n">
        <v>0.0</v>
      </c>
      <c r="G78" s="11">
        <f si="3" t="shared"/>
        <v>0</v>
      </c>
    </row>
    <row r="79" spans="1:7" x14ac:dyDescent="0.25">
      <c r="A79">
        <v>68</v>
      </c>
      <c r="B79" s="336" t="n">
        <v>0.0</v>
      </c>
      <c r="C79" s="11">
        <f si="2" t="shared"/>
        <v>0</v>
      </c>
      <c r="E79" s="87">
        <v>68</v>
      </c>
      <c r="F79" s="338" t="n">
        <v>2.0</v>
      </c>
      <c r="G79" s="11">
        <f si="3" t="shared"/>
        <v>4.6164002234337707E-6</v>
      </c>
    </row>
    <row r="80" spans="1:7" x14ac:dyDescent="0.25">
      <c r="A80">
        <v>69</v>
      </c>
      <c r="B80" s="336" t="n">
        <v>0.0</v>
      </c>
      <c r="C80" s="11">
        <f si="2" t="shared"/>
        <v>0</v>
      </c>
      <c r="E80" s="88">
        <v>69</v>
      </c>
      <c r="F80" s="338" t="n">
        <v>0.0</v>
      </c>
      <c r="G80" s="11">
        <f si="3" t="shared"/>
        <v>0</v>
      </c>
    </row>
    <row r="81" spans="1:7" x14ac:dyDescent="0.25">
      <c r="A81">
        <v>70</v>
      </c>
      <c r="B81" s="336" t="n">
        <v>0.0</v>
      </c>
      <c r="C81" s="11">
        <f si="2" t="shared"/>
        <v>0</v>
      </c>
      <c r="E81" s="89">
        <v>70</v>
      </c>
      <c r="F81" s="338" t="n">
        <v>0.0</v>
      </c>
      <c r="G81" s="11">
        <f si="3" t="shared"/>
        <v>9.2328004468675414E-6</v>
      </c>
    </row>
    <row r="82" spans="1:7" x14ac:dyDescent="0.25">
      <c r="A82">
        <v>71</v>
      </c>
      <c r="B82" s="336" t="n">
        <v>0.0</v>
      </c>
      <c r="C82" s="11">
        <f si="2" t="shared"/>
        <v>0</v>
      </c>
      <c r="E82" s="90">
        <v>71</v>
      </c>
      <c r="F82" s="338" t="n">
        <v>0.0</v>
      </c>
      <c r="G82" s="11">
        <f si="3" t="shared"/>
        <v>1.3849200670301313E-5</v>
      </c>
    </row>
    <row r="83" spans="1:7" x14ac:dyDescent="0.25">
      <c r="A83">
        <v>72</v>
      </c>
      <c r="B83" s="336" t="n">
        <v>0.0</v>
      </c>
      <c r="C83" s="11">
        <f si="2" t="shared"/>
        <v>0</v>
      </c>
      <c r="E83" s="91">
        <v>72</v>
      </c>
      <c r="F83" s="338" t="n">
        <v>0.0</v>
      </c>
      <c r="G83" s="11">
        <f si="3" t="shared"/>
        <v>9.2328004468675414E-6</v>
      </c>
    </row>
    <row r="84" spans="1:7" x14ac:dyDescent="0.25">
      <c r="A84">
        <v>73</v>
      </c>
      <c r="B84" s="336" t="n">
        <v>0.0</v>
      </c>
      <c r="C84" s="11">
        <f si="2" t="shared"/>
        <v>0</v>
      </c>
      <c r="E84" s="92">
        <v>73</v>
      </c>
      <c r="F84" s="338" t="n">
        <v>3.0</v>
      </c>
      <c r="G84" s="11">
        <f si="3" t="shared"/>
        <v>9.2328004468675414E-6</v>
      </c>
    </row>
    <row r="85" spans="1:7" x14ac:dyDescent="0.25">
      <c r="A85">
        <v>74</v>
      </c>
      <c r="B85" s="336" t="n">
        <v>0.0</v>
      </c>
      <c r="C85" s="11">
        <f si="2" t="shared"/>
        <v>0</v>
      </c>
      <c r="E85" s="93">
        <v>74</v>
      </c>
      <c r="F85" s="338" t="n">
        <v>0.0</v>
      </c>
      <c r="G85" s="11">
        <f si="3" t="shared"/>
        <v>0</v>
      </c>
    </row>
    <row r="86" spans="1:7" x14ac:dyDescent="0.25">
      <c r="A86">
        <v>75</v>
      </c>
      <c r="B86" s="336" t="n">
        <v>0.0</v>
      </c>
      <c r="C86" s="11">
        <f si="2" t="shared"/>
        <v>0</v>
      </c>
      <c r="E86" s="94">
        <v>75</v>
      </c>
      <c r="F86" s="338" t="n">
        <v>0.0</v>
      </c>
      <c r="G86" s="11">
        <f si="3" t="shared"/>
        <v>0</v>
      </c>
    </row>
    <row r="87" spans="1:7" x14ac:dyDescent="0.25">
      <c r="A87">
        <v>76</v>
      </c>
      <c r="B87" s="336" t="n">
        <v>0.0</v>
      </c>
      <c r="C87" s="11">
        <f si="2" t="shared"/>
        <v>0</v>
      </c>
      <c r="E87" s="95">
        <v>76</v>
      </c>
      <c r="F87" s="338" t="n">
        <v>0.0</v>
      </c>
      <c r="G87" s="11">
        <f si="3" t="shared"/>
        <v>0</v>
      </c>
    </row>
    <row r="88" spans="1:7" x14ac:dyDescent="0.25">
      <c r="A88">
        <v>77</v>
      </c>
      <c r="B88" s="336" t="n">
        <v>0.0</v>
      </c>
      <c r="C88" s="11">
        <f si="2" t="shared"/>
        <v>0</v>
      </c>
      <c r="E88" s="96">
        <v>77</v>
      </c>
      <c r="F88" s="338" t="n">
        <v>0.0</v>
      </c>
      <c r="G88" s="11">
        <f si="3" t="shared"/>
        <v>0</v>
      </c>
    </row>
    <row r="89" spans="1:7" x14ac:dyDescent="0.25">
      <c r="A89">
        <v>78</v>
      </c>
      <c r="B89" s="336" t="n">
        <v>0.0</v>
      </c>
      <c r="C89" s="11">
        <f si="2" t="shared"/>
        <v>0</v>
      </c>
      <c r="E89" s="97">
        <v>78</v>
      </c>
      <c r="F89" s="338" t="n">
        <v>0.0</v>
      </c>
      <c r="G89" s="11">
        <f si="3" t="shared"/>
        <v>0</v>
      </c>
    </row>
    <row r="90" spans="1:7" x14ac:dyDescent="0.25">
      <c r="A90">
        <v>79</v>
      </c>
      <c r="B90" s="336" t="n">
        <v>0.0</v>
      </c>
      <c r="C90" s="11">
        <f si="2" t="shared"/>
        <v>0</v>
      </c>
      <c r="E90" s="98">
        <v>79</v>
      </c>
      <c r="F90" s="338" t="n">
        <v>1.0</v>
      </c>
      <c r="G90" s="11">
        <f si="3" t="shared"/>
        <v>0</v>
      </c>
    </row>
    <row r="91" spans="1:7" x14ac:dyDescent="0.25">
      <c r="A91">
        <v>80</v>
      </c>
      <c r="B91" s="336" t="n">
        <v>0.0</v>
      </c>
      <c r="C91" s="11">
        <f si="2" t="shared"/>
        <v>0</v>
      </c>
      <c r="E91" s="99">
        <v>80</v>
      </c>
      <c r="F91" s="338" t="n">
        <v>0.0</v>
      </c>
      <c r="G91" s="11">
        <f si="3" t="shared"/>
        <v>4.6164002234337707E-6</v>
      </c>
    </row>
    <row r="92" spans="1:7" x14ac:dyDescent="0.25">
      <c r="A92">
        <v>81</v>
      </c>
      <c r="B92" s="336" t="n">
        <v>0.0</v>
      </c>
      <c r="C92" s="11">
        <f si="2" t="shared"/>
        <v>0</v>
      </c>
      <c r="E92" s="100">
        <v>81</v>
      </c>
      <c r="F92" s="338" t="n">
        <v>0.0</v>
      </c>
      <c r="G92" s="11">
        <f si="3" t="shared"/>
        <v>0</v>
      </c>
    </row>
    <row r="93" spans="1:7" x14ac:dyDescent="0.25">
      <c r="A93">
        <v>82</v>
      </c>
      <c r="B93" s="336" t="n">
        <v>0.0</v>
      </c>
      <c r="C93" s="11">
        <f si="2" t="shared"/>
        <v>0</v>
      </c>
      <c r="E93" s="101">
        <v>82</v>
      </c>
      <c r="F93" s="338" t="n">
        <v>0.0</v>
      </c>
      <c r="G93" s="11">
        <f si="3" t="shared"/>
        <v>4.6164002234337707E-6</v>
      </c>
    </row>
    <row r="94" spans="1:7" x14ac:dyDescent="0.25">
      <c r="A94">
        <v>83</v>
      </c>
      <c r="B94" s="336" t="n">
        <v>0.0</v>
      </c>
      <c r="C94" s="11">
        <f si="2" t="shared"/>
        <v>0</v>
      </c>
      <c r="E94" s="102">
        <v>83</v>
      </c>
      <c r="F94" s="338" t="n">
        <v>0.0</v>
      </c>
      <c r="G94" s="11">
        <f si="3" t="shared"/>
        <v>0</v>
      </c>
    </row>
    <row r="95" spans="1:7" x14ac:dyDescent="0.25">
      <c r="A95">
        <v>84</v>
      </c>
      <c r="B95" s="336" t="n">
        <v>0.0</v>
      </c>
      <c r="C95" s="11">
        <f si="2" t="shared"/>
        <v>0</v>
      </c>
      <c r="E95" s="103">
        <v>84</v>
      </c>
      <c r="F95" s="338" t="n">
        <v>0.0</v>
      </c>
      <c r="G95" s="11">
        <f si="3" t="shared"/>
        <v>0</v>
      </c>
    </row>
    <row r="96" spans="1:7" x14ac:dyDescent="0.25">
      <c r="A96">
        <v>85</v>
      </c>
      <c r="B96" s="336" t="n">
        <v>0.0</v>
      </c>
      <c r="C96" s="11">
        <f si="2" t="shared"/>
        <v>0</v>
      </c>
      <c r="E96" s="104">
        <v>85</v>
      </c>
      <c r="F96" s="338" t="n">
        <v>0.0</v>
      </c>
      <c r="G96" s="11">
        <f si="3" t="shared"/>
        <v>0</v>
      </c>
    </row>
    <row r="97" spans="1:7" x14ac:dyDescent="0.25">
      <c r="A97">
        <v>86</v>
      </c>
      <c r="B97" s="336" t="n">
        <v>0.0</v>
      </c>
      <c r="C97" s="11">
        <f si="2" t="shared"/>
        <v>0</v>
      </c>
      <c r="E97" s="105">
        <v>86</v>
      </c>
      <c r="F97" s="338" t="n">
        <v>0.0</v>
      </c>
      <c r="G97" s="11">
        <f si="3" t="shared"/>
        <v>0</v>
      </c>
    </row>
    <row r="98" spans="1:7" x14ac:dyDescent="0.25">
      <c r="A98">
        <v>87</v>
      </c>
      <c r="B98" s="336" t="n">
        <v>0.0</v>
      </c>
      <c r="C98" s="11">
        <f si="2" t="shared"/>
        <v>0</v>
      </c>
      <c r="E98" s="106">
        <v>87</v>
      </c>
      <c r="F98" s="338" t="n">
        <v>0.0</v>
      </c>
      <c r="G98" s="11">
        <f si="3" t="shared"/>
        <v>0</v>
      </c>
    </row>
    <row r="99" spans="1:7" x14ac:dyDescent="0.25">
      <c r="A99">
        <v>88</v>
      </c>
      <c r="B99" s="336" t="n">
        <v>0.0</v>
      </c>
      <c r="C99" s="11">
        <f si="2" t="shared"/>
        <v>0</v>
      </c>
      <c r="E99" s="107">
        <v>88</v>
      </c>
      <c r="F99" s="338" t="n">
        <v>0.0</v>
      </c>
      <c r="G99" s="11">
        <f si="3" t="shared"/>
        <v>0</v>
      </c>
    </row>
    <row r="100" spans="1:7" x14ac:dyDescent="0.25">
      <c r="A100">
        <v>89</v>
      </c>
      <c r="B100" s="336" t="n">
        <v>0.0</v>
      </c>
      <c r="C100" s="11">
        <f si="2" t="shared"/>
        <v>0</v>
      </c>
      <c r="E100" s="108">
        <v>89</v>
      </c>
      <c r="F100" s="33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37" t="n">
        <v>0.0</v>
      </c>
      <c r="C101" s="11">
        <f si="2" t="shared"/>
        <v>0</v>
      </c>
      <c r="E101" s="291">
        <v>90</v>
      </c>
      <c r="F101" s="339" t="n">
        <v>0.0</v>
      </c>
      <c r="G101" s="11">
        <f si="3" t="shared"/>
        <v>0</v>
      </c>
    </row>
    <row r="102" spans="1:7" x14ac:dyDescent="0.25">
      <c r="B102" s="336">
        <f>SUM(B11:B101)</f>
        <v>100972.3972377748</v>
      </c>
      <c r="C102" s="11">
        <f si="2" t="shared"/>
        <v>1</v>
      </c>
      <c r="F102" s="336">
        <f>SUM(F11:F101)</f>
        <v>216619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5105.924878342</v>
      </c>
      <c r="C11" s="11">
        <f>B11/B$102</f>
        <v>5.0567531503865511E-2</v>
      </c>
      <c r="E11" s="109">
        <v>0</v>
      </c>
      <c r="F11" s="199" t="n">
        <v>1496.0</v>
      </c>
      <c r="G11" s="11">
        <f>F11/F$102</f>
        <v>6.9476823362678254E-3</v>
      </c>
      <c r="K11" s="8" t="n">
        <v>10.271252599585129</v>
      </c>
      <c r="L11" s="8" t="n">
        <v>17.36782753462636</v>
      </c>
    </row>
    <row r="12" spans="1:12" x14ac:dyDescent="0.25">
      <c r="A12">
        <v>1</v>
      </c>
      <c r="B12" s="8" t="n">
        <v>5412.8913844765</v>
      </c>
      <c r="C12" s="11">
        <f>B12/B$102</f>
        <v>5.3607634685843453E-2</v>
      </c>
      <c r="E12" s="110">
        <v>1</v>
      </c>
      <c r="F12" s="200" t="n">
        <v>5817.0</v>
      </c>
      <c r="G12" s="11">
        <f>F12/F$102</f>
        <v>2.7536827332782444E-2</v>
      </c>
      <c r="K12" s="8"/>
      <c r="L12" s="290"/>
    </row>
    <row r="13" spans="1:12" x14ac:dyDescent="0.25">
      <c r="A13">
        <v>2</v>
      </c>
      <c r="B13" s="8" t="n">
        <v>5422.716751428</v>
      </c>
      <c r="C13" s="11">
        <f ref="C13:C76" si="0" t="shared">B13/B$102</f>
        <v>5.3704942140358598E-2</v>
      </c>
      <c r="E13" s="111">
        <v>2</v>
      </c>
      <c r="F13" s="201" t="n">
        <v>8117.0</v>
      </c>
      <c r="G13" s="11">
        <f ref="G13:G76" si="1" t="shared">F13/F$102</f>
        <v>3.6903503386129563E-2</v>
      </c>
    </row>
    <row r="14" spans="1:12" x14ac:dyDescent="0.25">
      <c r="A14">
        <v>3</v>
      </c>
      <c r="B14" s="8" t="n">
        <v>8995.9253181265</v>
      </c>
      <c r="C14" s="11">
        <f si="0" t="shared"/>
        <v>8.9092916125804653E-2</v>
      </c>
      <c r="E14" s="112">
        <v>3</v>
      </c>
      <c r="F14" s="202" t="n">
        <v>9977.0</v>
      </c>
      <c r="G14" s="11">
        <f si="1" t="shared"/>
        <v>4.5983962625623792E-2</v>
      </c>
    </row>
    <row r="15" spans="1:12" x14ac:dyDescent="0.25">
      <c r="A15">
        <v>4</v>
      </c>
      <c r="B15" s="8" t="n">
        <v>6293.0905291184</v>
      </c>
      <c r="C15" s="11">
        <f si="0" t="shared"/>
        <v>6.2324860073383413E-2</v>
      </c>
      <c r="E15" s="113">
        <v>4</v>
      </c>
      <c r="F15" s="203" t="n">
        <v>10343.0</v>
      </c>
      <c r="G15" s="11">
        <f si="1" t="shared"/>
        <v>4.8375257941362486E-2</v>
      </c>
    </row>
    <row r="16" spans="1:12" x14ac:dyDescent="0.25">
      <c r="A16">
        <v>5</v>
      </c>
      <c r="B16" s="8" t="n">
        <v>6494.765294483</v>
      </c>
      <c r="C16" s="11">
        <f si="0" t="shared"/>
        <v>6.4322185786961208E-2</v>
      </c>
      <c r="E16" s="114">
        <v>5</v>
      </c>
      <c r="F16" s="204" t="n">
        <v>9696.0</v>
      </c>
      <c r="G16" s="11">
        <f si="1" t="shared"/>
        <v>4.5296118992332157E-2</v>
      </c>
    </row>
    <row r="17" spans="1:7" x14ac:dyDescent="0.25">
      <c r="A17">
        <v>6</v>
      </c>
      <c r="B17" s="8" t="n">
        <v>7819.1397179033</v>
      </c>
      <c r="C17" s="11">
        <f si="0" t="shared"/>
        <v>7.7438388428972355E-2</v>
      </c>
      <c r="E17" s="115">
        <v>6</v>
      </c>
      <c r="F17" s="205" t="n">
        <v>9273.0</v>
      </c>
      <c r="G17" s="11">
        <f si="1" t="shared"/>
        <v>4.3011000881732445E-2</v>
      </c>
    </row>
    <row r="18" spans="1:7" x14ac:dyDescent="0.25">
      <c r="A18">
        <v>7</v>
      </c>
      <c r="B18" s="8" t="n">
        <v>8227.681137806</v>
      </c>
      <c r="C18" s="11">
        <f si="0" t="shared"/>
        <v>8.1484458751940381E-2</v>
      </c>
      <c r="E18" s="116">
        <v>7</v>
      </c>
      <c r="F18" s="206" t="n">
        <v>8955.0</v>
      </c>
      <c r="G18" s="11">
        <f si="1" t="shared"/>
        <v>4.2355472050004846E-2</v>
      </c>
    </row>
    <row r="19" spans="1:7" x14ac:dyDescent="0.25">
      <c r="A19">
        <v>8</v>
      </c>
      <c r="B19" s="8" t="n">
        <v>6193.27396932</v>
      </c>
      <c r="C19" s="11">
        <f si="0" t="shared"/>
        <v>6.133630713684822E-2</v>
      </c>
      <c r="E19" s="117">
        <v>8</v>
      </c>
      <c r="F19" s="207" t="n">
        <v>8043.0</v>
      </c>
      <c r="G19" s="11">
        <f si="1" t="shared"/>
        <v>3.7535950216739992E-2</v>
      </c>
    </row>
    <row r="20" spans="1:7" x14ac:dyDescent="0.25">
      <c r="A20">
        <v>9</v>
      </c>
      <c r="B20" s="8" t="n">
        <v>4467.58855022</v>
      </c>
      <c r="C20" s="11">
        <f si="0" t="shared"/>
        <v>4.4245642100578249E-2</v>
      </c>
      <c r="E20" s="118">
        <v>9</v>
      </c>
      <c r="F20" s="208" t="n">
        <v>7248.0</v>
      </c>
      <c r="G20" s="11">
        <f si="1" t="shared"/>
        <v>3.3487367220788572E-2</v>
      </c>
    </row>
    <row r="21" spans="1:7" x14ac:dyDescent="0.25">
      <c r="A21">
        <v>10</v>
      </c>
      <c r="B21" s="8" t="n">
        <v>3715.1965795356</v>
      </c>
      <c r="C21" s="11">
        <f si="0" t="shared"/>
        <v>3.6794180203396296E-2</v>
      </c>
      <c r="E21" s="119">
        <v>10</v>
      </c>
      <c r="F21" s="209" t="n">
        <v>6314.0</v>
      </c>
      <c r="G21" s="11">
        <f si="1" t="shared"/>
        <v>2.9438784224837155E-2</v>
      </c>
    </row>
    <row r="22" spans="1:7" x14ac:dyDescent="0.25">
      <c r="A22">
        <v>11</v>
      </c>
      <c r="B22" s="8" t="n">
        <v>5639.9683431792</v>
      </c>
      <c r="C22" s="11">
        <f si="0" t="shared"/>
        <v>5.5856536018432081E-2</v>
      </c>
      <c r="E22" s="120">
        <v>11</v>
      </c>
      <c r="F22" s="210" t="n">
        <v>5226.0</v>
      </c>
      <c r="G22" s="11">
        <f si="1" t="shared"/>
        <v>2.5196312419501522E-2</v>
      </c>
    </row>
    <row r="23" spans="1:7" x14ac:dyDescent="0.25">
      <c r="A23">
        <v>12</v>
      </c>
      <c r="B23" s="8" t="n">
        <v>1290.41887956</v>
      </c>
      <c r="C23" s="11">
        <f si="0" t="shared"/>
        <v>1.2779917233432201E-2</v>
      </c>
      <c r="E23" s="121">
        <v>12</v>
      </c>
      <c r="F23" s="211" t="n">
        <v>4721.0</v>
      </c>
      <c r="G23" s="11">
        <f si="1" t="shared"/>
        <v>2.196483226309788E-2</v>
      </c>
    </row>
    <row r="24" spans="1:7" x14ac:dyDescent="0.25">
      <c r="A24">
        <v>13</v>
      </c>
      <c r="B24" s="8" t="n">
        <v>914.240201715</v>
      </c>
      <c r="C24" s="11">
        <f si="0" t="shared"/>
        <v>9.0543576930445843E-3</v>
      </c>
      <c r="E24" s="122">
        <v>13</v>
      </c>
      <c r="F24" s="212" t="n">
        <v>3860.0</v>
      </c>
      <c r="G24" s="11">
        <f si="1" t="shared"/>
        <v>1.8733352106694242E-2</v>
      </c>
    </row>
    <row r="25" spans="1:7" x14ac:dyDescent="0.25">
      <c r="A25">
        <v>14</v>
      </c>
      <c r="B25" s="8" t="n">
        <v>1534.1816484780002</v>
      </c>
      <c r="C25" s="11">
        <f si="0" t="shared"/>
        <v>1.5194069770030648E-2</v>
      </c>
      <c r="E25" s="123">
        <v>14</v>
      </c>
      <c r="F25" s="213" t="n">
        <v>3349.0</v>
      </c>
      <c r="G25" s="11">
        <f si="1" t="shared"/>
        <v>1.560804915542958E-2</v>
      </c>
    </row>
    <row r="26" spans="1:7" x14ac:dyDescent="0.25">
      <c r="A26">
        <v>15</v>
      </c>
      <c r="B26" s="8" t="n">
        <v>139.063825804</v>
      </c>
      <c r="C26" s="11">
        <f si="0" t="shared"/>
        <v>1.3772459564025763E-3</v>
      </c>
      <c r="E26" s="124">
        <v>15</v>
      </c>
      <c r="F26" s="214" t="n">
        <v>3877.0</v>
      </c>
      <c r="G26" s="11">
        <f si="1" t="shared"/>
        <v>1.8507148495745987E-2</v>
      </c>
    </row>
    <row r="27" spans="1:7" x14ac:dyDescent="0.25">
      <c r="A27">
        <v>16</v>
      </c>
      <c r="B27" s="8" t="n">
        <v>1686.590067159</v>
      </c>
      <c r="C27" s="11">
        <f si="0" t="shared"/>
        <v>1.6703476527226882E-2</v>
      </c>
      <c r="E27" s="125">
        <v>16</v>
      </c>
      <c r="F27" s="215" t="n">
        <v>3702.0</v>
      </c>
      <c r="G27" s="11">
        <f si="1" t="shared"/>
        <v>1.7343815639440676E-2</v>
      </c>
    </row>
    <row r="28" spans="1:7" x14ac:dyDescent="0.25">
      <c r="A28">
        <v>17</v>
      </c>
      <c r="B28" s="8" t="n">
        <v>1994.753712471</v>
      </c>
      <c r="C28" s="11">
        <f si="0" t="shared"/>
        <v>1.9755435812558311E-2</v>
      </c>
      <c r="E28" s="126">
        <v>17</v>
      </c>
      <c r="F28" s="216" t="n">
        <v>3234.0</v>
      </c>
      <c r="G28" s="11">
        <f si="1" t="shared"/>
        <v>1.5603432755206145E-2</v>
      </c>
    </row>
    <row r="29" spans="1:7" x14ac:dyDescent="0.25">
      <c r="A29">
        <v>18</v>
      </c>
      <c r="B29" s="8" t="n">
        <v>83.6385</v>
      </c>
      <c r="C29" s="11">
        <f si="0" t="shared"/>
        <v>8.2833033866714994E-4</v>
      </c>
      <c r="E29" s="127">
        <v>18</v>
      </c>
      <c r="F29" s="217" t="n">
        <v>14398.0</v>
      </c>
      <c r="G29" s="11">
        <f si="1" t="shared"/>
        <v>6.7210170852972276E-2</v>
      </c>
    </row>
    <row r="30" spans="1:7" x14ac:dyDescent="0.25">
      <c r="A30">
        <v>19</v>
      </c>
      <c r="B30" s="8" t="n">
        <v>1352.871734226</v>
      </c>
      <c r="C30" s="11">
        <f si="0" t="shared"/>
        <v>1.3398431365754252E-2</v>
      </c>
      <c r="E30" s="128">
        <v>19</v>
      </c>
      <c r="F30" s="218" t="n">
        <v>8557.0</v>
      </c>
      <c r="G30" s="11">
        <f si="1" t="shared"/>
        <v>3.9788753525775669E-2</v>
      </c>
    </row>
    <row r="31" spans="1:7" x14ac:dyDescent="0.25">
      <c r="A31">
        <v>20</v>
      </c>
      <c r="B31" s="8" t="n">
        <v>171.621822916</v>
      </c>
      <c r="C31" s="11">
        <f si="0" t="shared"/>
        <v>1.6996904858251156E-3</v>
      </c>
      <c r="E31" s="129">
        <v>20</v>
      </c>
      <c r="F31" s="219" t="n">
        <v>6944.0</v>
      </c>
      <c r="G31" s="11">
        <f si="1" t="shared"/>
        <v>3.4595303274412681E-2</v>
      </c>
    </row>
    <row r="32" spans="1:7" x14ac:dyDescent="0.25">
      <c r="A32">
        <v>21</v>
      </c>
      <c r="B32" s="8" t="n">
        <v>335.168838762</v>
      </c>
      <c r="C32" s="11">
        <f si="0" t="shared"/>
        <v>3.319410531303202E-3</v>
      </c>
      <c r="E32" s="130">
        <v>21</v>
      </c>
      <c r="F32" s="220" t="n">
        <v>7110.0</v>
      </c>
      <c r="G32" s="11">
        <f si="1" t="shared"/>
        <v>3.3048809199562365E-2</v>
      </c>
    </row>
    <row r="33" spans="1:7" x14ac:dyDescent="0.25">
      <c r="A33">
        <v>22</v>
      </c>
      <c r="B33" s="8" t="n">
        <v>9339.685161928</v>
      </c>
      <c r="C33" s="11">
        <f si="0" t="shared"/>
        <v>9.2497409365595709E-2</v>
      </c>
      <c r="E33" s="131">
        <v>22</v>
      </c>
      <c r="F33" s="221" t="n">
        <v>7981.0</v>
      </c>
      <c r="G33" s="11">
        <f si="1" t="shared"/>
        <v>3.8066836242434877E-2</v>
      </c>
    </row>
    <row r="34" spans="1:7" x14ac:dyDescent="0.25">
      <c r="A34">
        <v>23</v>
      </c>
      <c r="B34" s="8" t="n">
        <v>0.0</v>
      </c>
      <c r="C34" s="11">
        <f si="0" t="shared"/>
        <v>0</v>
      </c>
      <c r="E34" s="132">
        <v>23</v>
      </c>
      <c r="F34" s="222" t="n">
        <v>4576.0</v>
      </c>
      <c r="G34" s="11">
        <f si="1" t="shared"/>
        <v>2.2560347891920837E-2</v>
      </c>
    </row>
    <row r="35" spans="1:7" x14ac:dyDescent="0.25">
      <c r="A35">
        <v>24</v>
      </c>
      <c r="B35" s="8" t="n">
        <v>0.0</v>
      </c>
      <c r="C35" s="11">
        <f si="0" t="shared"/>
        <v>0</v>
      </c>
      <c r="E35" s="133">
        <v>24</v>
      </c>
      <c r="F35" s="223" t="n">
        <v>4277.0</v>
      </c>
      <c r="G35" s="11">
        <f si="1" t="shared"/>
        <v>2.0404488987577268E-2</v>
      </c>
    </row>
    <row r="36" spans="1:7" x14ac:dyDescent="0.25">
      <c r="A36">
        <v>25</v>
      </c>
      <c r="B36" s="8" t="n">
        <v>292.935799305</v>
      </c>
      <c r="C36" s="11">
        <f si="0" t="shared"/>
        <v>2.901147316678837E-3</v>
      </c>
      <c r="E36" s="134">
        <v>25</v>
      </c>
      <c r="F36" s="224" t="n">
        <v>3559.0</v>
      </c>
      <c r="G36" s="11">
        <f si="1" t="shared"/>
        <v>1.763003245329357E-2</v>
      </c>
    </row>
    <row r="37" spans="1:7" x14ac:dyDescent="0.25">
      <c r="A37">
        <v>26</v>
      </c>
      <c r="B37" s="8" t="n">
        <v>975.234801671</v>
      </c>
      <c r="C37" s="11">
        <f si="0" t="shared"/>
        <v>9.6584297129686716E-3</v>
      </c>
      <c r="E37" s="135">
        <v>26</v>
      </c>
      <c r="F37" s="225" t="n">
        <v>2641.0</v>
      </c>
      <c r="G37" s="11">
        <f si="1" t="shared"/>
        <v>1.2847441821816184E-2</v>
      </c>
    </row>
    <row r="38" spans="1:7" x14ac:dyDescent="0.25">
      <c r="A38">
        <v>27</v>
      </c>
      <c r="B38" s="8" t="n">
        <v>0.0</v>
      </c>
      <c r="C38" s="11">
        <f si="0" t="shared"/>
        <v>0</v>
      </c>
      <c r="E38" s="136">
        <v>27</v>
      </c>
      <c r="F38" s="226" t="n">
        <v>2228.0</v>
      </c>
      <c r="G38" s="11">
        <f si="1" t="shared"/>
        <v>1.1804135371320152E-2</v>
      </c>
    </row>
    <row r="39" spans="1:7" x14ac:dyDescent="0.25">
      <c r="A39">
        <v>28</v>
      </c>
      <c r="B39" s="8" t="n">
        <v>0.0</v>
      </c>
      <c r="C39" s="11">
        <f si="0" t="shared"/>
        <v>0</v>
      </c>
      <c r="E39" s="137">
        <v>28</v>
      </c>
      <c r="F39" s="227" t="n">
        <v>2550.0</v>
      </c>
      <c r="G39" s="11">
        <f si="1" t="shared"/>
        <v>1.1185537741380027E-2</v>
      </c>
    </row>
    <row r="40" spans="1:7" x14ac:dyDescent="0.25">
      <c r="A40">
        <v>29</v>
      </c>
      <c r="B40" s="8" t="n">
        <v>142.684197525</v>
      </c>
      <c r="C40" s="11">
        <f si="0" t="shared"/>
        <v>1.4131010199648938E-3</v>
      </c>
      <c r="E40" s="138">
        <v>29</v>
      </c>
      <c r="F40" s="228" t="n">
        <v>2230.0</v>
      </c>
      <c r="G40" s="11">
        <f si="1" t="shared"/>
        <v>1.1204003342273762E-2</v>
      </c>
    </row>
    <row r="41" spans="1:7" x14ac:dyDescent="0.25">
      <c r="A41">
        <v>30</v>
      </c>
      <c r="B41" s="8" t="n">
        <v>95.3516777933</v>
      </c>
      <c r="C41" s="11">
        <f si="0" t="shared"/>
        <v>9.4433409923665721E-4</v>
      </c>
      <c r="E41" s="139">
        <v>30</v>
      </c>
      <c r="F41" s="229" t="n">
        <v>2152.0</v>
      </c>
      <c r="G41" s="11">
        <f si="1" t="shared"/>
        <v>1.1042429334453581E-2</v>
      </c>
    </row>
    <row r="42" spans="1:7" x14ac:dyDescent="0.25">
      <c r="A42">
        <v>31</v>
      </c>
      <c r="B42" s="8" t="n">
        <v>0.0</v>
      </c>
      <c r="C42" s="11">
        <f si="0" t="shared"/>
        <v>0</v>
      </c>
      <c r="E42" s="140">
        <v>31</v>
      </c>
      <c r="F42" s="230" t="n">
        <v>2079.0</v>
      </c>
      <c r="G42" s="11">
        <f si="1" t="shared"/>
        <v>9.6067288649656774E-3</v>
      </c>
    </row>
    <row r="43" spans="1:7" x14ac:dyDescent="0.25">
      <c r="A43">
        <v>32</v>
      </c>
      <c r="B43" s="8" t="n">
        <v>1139.326505778</v>
      </c>
      <c r="C43" s="11">
        <f si="0" t="shared"/>
        <v>1.1283544185794237E-2</v>
      </c>
      <c r="E43" s="141">
        <v>32</v>
      </c>
      <c r="F43" s="231" t="n">
        <v>2187.0</v>
      </c>
      <c r="G43" s="11">
        <f si="1" t="shared"/>
        <v>1.0700815717919481E-2</v>
      </c>
    </row>
    <row r="44" spans="1:7" x14ac:dyDescent="0.25">
      <c r="A44">
        <v>33</v>
      </c>
      <c r="B44" s="8" t="n">
        <v>2840.14132793</v>
      </c>
      <c r="C44" s="11">
        <f si="0" t="shared"/>
        <v>2.8127898372481884E-2</v>
      </c>
      <c r="E44" s="142">
        <v>33</v>
      </c>
      <c r="F44" s="232" t="n">
        <v>2095.0</v>
      </c>
      <c r="G44" s="11">
        <f si="1" t="shared"/>
        <v>1.0036054085745018E-2</v>
      </c>
    </row>
    <row r="45" spans="1:7" x14ac:dyDescent="0.25">
      <c r="A45">
        <v>34</v>
      </c>
      <c r="B45" s="8" t="n">
        <v>0.0</v>
      </c>
      <c r="C45" s="11">
        <f si="0" t="shared"/>
        <v>0</v>
      </c>
      <c r="E45" s="143">
        <v>34</v>
      </c>
      <c r="F45" s="233" t="n">
        <v>1618.0</v>
      </c>
      <c r="G45" s="11">
        <f si="1" t="shared"/>
        <v>8.3279860030745223E-3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144">
        <v>35</v>
      </c>
      <c r="F46" s="234" t="n">
        <v>1714.0</v>
      </c>
      <c r="G46" s="11">
        <f si="1" t="shared"/>
        <v>8.2125759974886782E-3</v>
      </c>
    </row>
    <row r="47" spans="1:7" x14ac:dyDescent="0.25">
      <c r="A47">
        <v>36</v>
      </c>
      <c r="B47" s="8" t="n">
        <v>280.724871177</v>
      </c>
      <c r="C47" s="11">
        <f si="0" t="shared"/>
        <v>2.780213987748901E-3</v>
      </c>
      <c r="E47" s="145">
        <v>36</v>
      </c>
      <c r="F47" s="235" t="n">
        <v>1626.0</v>
      </c>
      <c r="G47" s="11">
        <f si="1" t="shared"/>
        <v>7.4047059583877686E-3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146">
        <v>37</v>
      </c>
      <c r="F48" s="236" t="n">
        <v>1490.0</v>
      </c>
      <c r="G48" s="11">
        <f si="1" t="shared"/>
        <v>6.9753807376084281E-3</v>
      </c>
    </row>
    <row r="49" spans="1:7" x14ac:dyDescent="0.25">
      <c r="A49">
        <v>38</v>
      </c>
      <c r="B49" s="8" t="n">
        <v>1113.06873554</v>
      </c>
      <c r="C49" s="11">
        <f si="0" t="shared"/>
        <v>1.1023495192640526E-2</v>
      </c>
      <c r="E49" s="147">
        <v>38</v>
      </c>
      <c r="F49" s="237" t="n">
        <v>1427.0</v>
      </c>
      <c r="G49" s="11">
        <f si="1" t="shared"/>
        <v>6.3013863049870972E-3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148">
        <v>39</v>
      </c>
      <c r="F50" s="238" t="n">
        <v>1235.0</v>
      </c>
      <c r="G50" s="11">
        <f si="1" t="shared"/>
        <v>5.9320742871123953E-3</v>
      </c>
    </row>
    <row r="51" spans="1:7" x14ac:dyDescent="0.25">
      <c r="A51">
        <v>40</v>
      </c>
      <c r="B51" s="8" t="n">
        <v>197.813226067</v>
      </c>
      <c r="C51" s="11">
        <f si="0" t="shared"/>
        <v>1.959082199476552E-3</v>
      </c>
      <c r="E51" s="149">
        <v>40</v>
      </c>
      <c r="F51" s="239" t="n">
        <v>1301.0</v>
      </c>
      <c r="G51" s="11">
        <f si="1" t="shared"/>
        <v>5.5027490663330549E-3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150">
        <v>41</v>
      </c>
      <c r="F52" s="240" t="n">
        <v>1212.0</v>
      </c>
      <c r="G52" s="11">
        <f si="1" t="shared"/>
        <v>5.4565850640987167E-3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151">
        <v>42</v>
      </c>
      <c r="F53" s="241" t="n">
        <v>1012.0</v>
      </c>
      <c r="G53" s="11">
        <f si="1" t="shared"/>
        <v>4.7410430294664825E-3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921.0</v>
      </c>
      <c r="G54" s="11">
        <f si="1" t="shared"/>
        <v>3.9931861932702116E-3</v>
      </c>
    </row>
    <row r="55" spans="1:7" x14ac:dyDescent="0.25">
      <c r="A55">
        <v>44</v>
      </c>
      <c r="B55" s="8" t="n">
        <v>543.221055857</v>
      </c>
      <c r="C55" s="11">
        <f si="0" t="shared"/>
        <v>5.3798965927073731E-3</v>
      </c>
      <c r="E55" s="153">
        <v>44</v>
      </c>
      <c r="F55" s="243" t="n">
        <v>839.0</v>
      </c>
      <c r="G55" s="11">
        <f si="1" t="shared"/>
        <v>4.011651794163947E-3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154">
        <v>45</v>
      </c>
      <c r="F56" s="244" t="n">
        <v>886.0</v>
      </c>
      <c r="G56" s="11">
        <f si="1" t="shared"/>
        <v>4.0624321966217184E-3</v>
      </c>
    </row>
    <row r="57" spans="1:7" x14ac:dyDescent="0.25">
      <c r="A57">
        <v>46</v>
      </c>
      <c r="B57" s="8" t="n">
        <v>207.401519182</v>
      </c>
      <c r="C57" s="11">
        <f si="0" t="shared"/>
        <v>2.0540417466131918E-3</v>
      </c>
      <c r="E57" s="155">
        <v>46</v>
      </c>
      <c r="F57" s="245" t="n">
        <v>796.0</v>
      </c>
      <c r="G57" s="11">
        <f si="1" t="shared"/>
        <v>3.4946149691393643E-3</v>
      </c>
    </row>
    <row r="58" spans="1:7" x14ac:dyDescent="0.25">
      <c r="A58">
        <v>47</v>
      </c>
      <c r="B58" s="8" t="n">
        <v>514.0966729920001</v>
      </c>
      <c r="C58" s="11">
        <f si="0" t="shared"/>
        <v>5.0914575374632317E-3</v>
      </c>
      <c r="E58" s="156">
        <v>47</v>
      </c>
      <c r="F58" s="246" t="n">
        <v>799.0</v>
      </c>
      <c r="G58" s="11">
        <f si="1" t="shared"/>
        <v>3.7439005812047879E-3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157">
        <v>48</v>
      </c>
      <c r="F59" s="247" t="n">
        <v>648.0</v>
      </c>
      <c r="G59" s="11">
        <f si="1" t="shared"/>
        <v>2.4790069199839351E-3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576.0</v>
      </c>
      <c r="G60" s="11">
        <f si="1" t="shared"/>
        <v>2.7236761318259247E-3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517.0</v>
      </c>
      <c r="G61" s="11">
        <f si="1" t="shared"/>
        <v>2.414377316855862E-3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564.0</v>
      </c>
      <c r="G62" s="11">
        <f si="1" t="shared"/>
        <v>2.6082661262400806E-3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496.0</v>
      </c>
      <c r="G63" s="11">
        <f si="1" t="shared"/>
        <v>2.3451313135043556E-3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458.0</v>
      </c>
      <c r="G64" s="11">
        <f si="1" t="shared"/>
        <v>2.1143113023326669E-3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163">
        <v>54</v>
      </c>
      <c r="F65" s="253" t="n">
        <v>379.0</v>
      </c>
      <c r="G65" s="11">
        <f si="1" t="shared"/>
        <v>1.592658077084651E-3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281.0</v>
      </c>
      <c r="G66" s="11">
        <f si="1" t="shared"/>
        <v>1.6572876802127237E-3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251.0</v>
      </c>
      <c r="G67" s="11">
        <f si="1" t="shared"/>
        <v>1.2741264616677208E-3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287.0</v>
      </c>
      <c r="G68" s="11">
        <f si="1" t="shared"/>
        <v>1.2556608607739857E-3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248.0</v>
      </c>
      <c r="G69" s="11">
        <f si="1" t="shared"/>
        <v>1.1171688540709726E-3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192.0</v>
      </c>
      <c r="G70" s="11">
        <f si="1" t="shared"/>
        <v>1.0109916489319957E-3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180.0</v>
      </c>
      <c r="G71" s="11">
        <f si="1" t="shared"/>
        <v>8.7711604245241642E-4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153.0</v>
      </c>
      <c r="G72" s="11">
        <f si="1" t="shared"/>
        <v>7.0169283396193311E-4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179.0</v>
      </c>
      <c r="G73" s="11">
        <f si="1" t="shared"/>
        <v>6.5091243150416174E-4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136.0</v>
      </c>
      <c r="G74" s="11">
        <f si="1" t="shared"/>
        <v>7.3400763552596959E-4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121.0</v>
      </c>
      <c r="G75" s="11">
        <f si="1" t="shared"/>
        <v>6.0936482949325776E-4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89.0</v>
      </c>
      <c r="G76" s="11">
        <f si="1" t="shared"/>
        <v>5.6320082725892003E-4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86.0</v>
      </c>
      <c r="G77" s="11">
        <f ref="G77:G102" si="3" t="shared">F77/F$102</f>
        <v>4.1085961988560559E-4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102.0</v>
      </c>
      <c r="G78" s="11">
        <f si="3" t="shared"/>
        <v>3.5084641698096656E-4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65.0</v>
      </c>
      <c r="G79" s="11">
        <f si="3" t="shared"/>
        <v>2.6775121295915871E-4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65.0</v>
      </c>
      <c r="G80" s="11">
        <f si="3" t="shared"/>
        <v>2.6775121295915871E-4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37.0</v>
      </c>
      <c r="G81" s="11">
        <f si="3" t="shared"/>
        <v>2.539020122888574E-4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66.0</v>
      </c>
      <c r="G82" s="11">
        <f si="3" t="shared"/>
        <v>3.0468241474662888E-4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50.0</v>
      </c>
      <c r="G83" s="11">
        <f si="3" t="shared"/>
        <v>2.077380100545197E-4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34.0</v>
      </c>
      <c r="G84" s="11">
        <f si="3" t="shared"/>
        <v>2.3082001117168854E-4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39.0</v>
      </c>
      <c r="G85" s="11">
        <f si="3" t="shared"/>
        <v>1.4310840692644688E-4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29.0</v>
      </c>
      <c r="G86" s="11">
        <f si="3" t="shared"/>
        <v>1.4310840692644688E-4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30.0</v>
      </c>
      <c r="G87" s="11">
        <f si="3" t="shared"/>
        <v>1.0617720513897672E-4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17.0</v>
      </c>
      <c r="G88" s="11">
        <f si="3" t="shared"/>
        <v>1.0617720513897672E-4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29.0</v>
      </c>
      <c r="G89" s="11">
        <f si="3" t="shared"/>
        <v>1.2925920625614558E-4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15.0</v>
      </c>
      <c r="G90" s="11">
        <f si="3" t="shared"/>
        <v>1.0156080491554296E-4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17.0</v>
      </c>
      <c r="G91" s="11">
        <f si="3" t="shared"/>
        <v>4.1547602010903937E-5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8.0</v>
      </c>
      <c r="G92" s="11">
        <f si="3" t="shared"/>
        <v>5.078040245777148E-5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10.0</v>
      </c>
      <c r="G93" s="11">
        <f si="3" t="shared"/>
        <v>6.0013202904639023E-5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10.0</v>
      </c>
      <c r="G94" s="11">
        <f si="3" t="shared"/>
        <v>3.2314801564036394E-5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12.0</v>
      </c>
      <c r="G95" s="11">
        <f si="3" t="shared"/>
        <v>2.3082001117168854E-5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8.0</v>
      </c>
      <c r="G96" s="11">
        <f si="3" t="shared"/>
        <v>2.7698401340602626E-5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13.0</v>
      </c>
      <c r="G97" s="11">
        <f si="3" t="shared"/>
        <v>5.5396802681205252E-5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7.0</v>
      </c>
      <c r="G98" s="11">
        <f si="3" t="shared"/>
        <v>3.6931201787470165E-5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4.0</v>
      </c>
      <c r="G99" s="11">
        <f si="3" t="shared"/>
        <v>9.2328004468675414E-6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10.0</v>
      </c>
      <c r="G100" s="11">
        <f si="3" t="shared"/>
        <v>1.3849200670301313E-5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1">
        <v>90</v>
      </c>
      <c r="F101" s="291" t="n">
        <v>36.0</v>
      </c>
      <c r="G101" s="11">
        <f si="3" t="shared"/>
        <v>1.7542320849048328E-4</v>
      </c>
    </row>
    <row r="102" spans="1:7" x14ac:dyDescent="0.25">
      <c r="B102" s="8">
        <f>SUM(B11:B101)</f>
        <v>100972.3972377748</v>
      </c>
      <c r="C102" s="11">
        <f si="2" t="shared"/>
        <v>1</v>
      </c>
      <c r="F102" s="8">
        <f>SUM(F11:F101)</f>
        <v>216619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F7" workbookViewId="0">
      <selection activeCell="AE36" sqref="AE3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3" t="s">
        <v>248</v>
      </c>
      <c r="B7" s="12" t="n">
        <v>26029.7757432698</v>
      </c>
      <c r="C7" s="12" t="n">
        <v>569.6071198999</v>
      </c>
      <c r="D7" s="12" t="n">
        <v>1534.9425674075</v>
      </c>
      <c r="E7" s="12" t="n">
        <v>1988.534357276</v>
      </c>
      <c r="F7" s="12" t="n">
        <v>1173.048027738</v>
      </c>
      <c r="G7" s="12" t="n">
        <v>0.0</v>
      </c>
      <c r="H7" s="12" t="n">
        <v>2766.069891038</v>
      </c>
      <c r="I7" s="12"/>
      <c r="J7" s="12">
        <f>SUM(B7:I7)</f>
        <v>34061.977706629201</v>
      </c>
      <c r="K7" s="12"/>
      <c r="L7" t="str">
        <f>$A$7</f>
        <v>Bellevue</v>
      </c>
      <c r="M7" s="338" t="n">
        <v>17079.0</v>
      </c>
      <c r="N7" s="338" t="n">
        <v>2762.0</v>
      </c>
      <c r="O7" s="338" t="n">
        <v>1383.0</v>
      </c>
      <c r="P7" s="338" t="n">
        <v>2846.0</v>
      </c>
      <c r="Q7" s="338" t="n">
        <v>1858.0</v>
      </c>
      <c r="R7" s="338" t="n">
        <v>333.0</v>
      </c>
      <c r="S7" s="338" t="n">
        <v>3409.0</v>
      </c>
      <c r="T7" s="338"/>
      <c r="U7" s="336">
        <f>SUM(M7:T7)</f>
        <v>29687</v>
      </c>
    </row>
    <row r="8" spans="1:21" x14ac:dyDescent="0.25">
      <c r="A8" t="s">
        <v>249</v>
      </c>
      <c r="B8" s="12" t="n">
        <v>367.319274416</v>
      </c>
      <c r="C8" s="12" t="n">
        <v>0.0</v>
      </c>
      <c r="D8" s="12" t="n">
        <v>0.0</v>
      </c>
      <c r="E8" s="12" t="n">
        <v>0.0</v>
      </c>
      <c r="F8" s="12" t="n">
        <v>95.3516777933</v>
      </c>
      <c r="G8" s="12" t="n">
        <v>0.0</v>
      </c>
      <c r="H8" s="12" t="n">
        <v>0.0</v>
      </c>
      <c r="I8" s="12"/>
      <c r="J8" s="12">
        <f ref="J8:J14" si="0" t="shared">SUM(B8:I8)</f>
        <v>462.67095220929997</v>
      </c>
      <c r="K8" s="12"/>
      <c r="L8" t="str">
        <f>$A$8</f>
        <v>Bellevue Downtown</v>
      </c>
      <c r="M8" s="338" t="n">
        <v>852.0</v>
      </c>
      <c r="N8" s="338" t="n">
        <v>860.0</v>
      </c>
      <c r="O8" s="338" t="n">
        <v>96.0</v>
      </c>
      <c r="P8" s="338" t="n">
        <v>75.0</v>
      </c>
      <c r="Q8" s="338" t="n">
        <v>61.0</v>
      </c>
      <c r="R8" s="338" t="n">
        <v>12.0</v>
      </c>
      <c r="S8" s="338" t="n">
        <v>71.0</v>
      </c>
      <c r="T8" s="338"/>
      <c r="U8" s="336">
        <f ref="U8:U14" si="1" t="shared">SUM(M8:T8)</f>
        <v>1982</v>
      </c>
    </row>
    <row r="9" spans="1:21" x14ac:dyDescent="0.25">
      <c r="A9" t="s">
        <v>250</v>
      </c>
      <c r="B9" s="12" t="n">
        <v>2053.243504975</v>
      </c>
      <c r="C9" s="12" t="n">
        <v>0.0</v>
      </c>
      <c r="D9" s="12" t="n">
        <v>25333.1346751792</v>
      </c>
      <c r="E9" s="12" t="n">
        <v>1016.7372094737</v>
      </c>
      <c r="F9" s="12" t="n">
        <v>1810.1093605400001</v>
      </c>
      <c r="G9" s="12" t="n">
        <v>0.0</v>
      </c>
      <c r="H9" s="12" t="n">
        <v>1662.80419651</v>
      </c>
      <c r="I9" s="12"/>
      <c r="J9" s="12">
        <f si="0" t="shared"/>
        <v>31876.0289466779</v>
      </c>
      <c r="K9" s="13"/>
      <c r="L9" t="str">
        <f>$A$9</f>
        <v>Kirkland</v>
      </c>
      <c r="M9" s="338" t="n">
        <v>1606.0</v>
      </c>
      <c r="N9" s="338" t="n">
        <v>439.0</v>
      </c>
      <c r="O9" s="338" t="n">
        <v>13316.0</v>
      </c>
      <c r="P9" s="338" t="n">
        <v>3087.0</v>
      </c>
      <c r="Q9" s="338" t="n">
        <v>2311.0</v>
      </c>
      <c r="R9" s="338" t="n">
        <v>205.0</v>
      </c>
      <c r="S9" s="338" t="n">
        <v>3369.0</v>
      </c>
      <c r="T9" s="338"/>
      <c r="U9" s="336">
        <f si="1" t="shared"/>
        <v>24527</v>
      </c>
    </row>
    <row r="10" spans="1:21" x14ac:dyDescent="0.25">
      <c r="A10" t="s">
        <v>251</v>
      </c>
      <c r="B10" s="12" t="n">
        <v>3036.969147183</v>
      </c>
      <c r="C10" s="12" t="n">
        <v>6066.66386189</v>
      </c>
      <c r="D10" s="12" t="n">
        <v>334.470623207</v>
      </c>
      <c r="E10" s="12" t="n">
        <v>20878.3845702224</v>
      </c>
      <c r="F10" s="12" t="n">
        <v>0.0</v>
      </c>
      <c r="G10" s="12" t="n">
        <v>145.892226826</v>
      </c>
      <c r="H10" s="12" t="n">
        <v>4109.33920293</v>
      </c>
      <c r="I10" s="12"/>
      <c r="J10" s="12">
        <f si="0" t="shared"/>
        <v>34571.719632258399</v>
      </c>
      <c r="K10" s="13"/>
      <c r="L10" t="str">
        <f>$A$10</f>
        <v>Redmond</v>
      </c>
      <c r="M10" s="338" t="n">
        <v>2632.0</v>
      </c>
      <c r="N10" s="338" t="n">
        <v>249.0</v>
      </c>
      <c r="O10" s="338" t="n">
        <v>3126.0</v>
      </c>
      <c r="P10" s="338" t="n">
        <v>11314.0</v>
      </c>
      <c r="Q10" s="338" t="n">
        <v>1090.0</v>
      </c>
      <c r="R10" s="338" t="n">
        <v>209.0</v>
      </c>
      <c r="S10" s="338" t="n">
        <v>2764.0</v>
      </c>
      <c r="T10" s="338"/>
      <c r="U10" s="336">
        <f si="1" t="shared"/>
        <v>21090</v>
      </c>
    </row>
    <row r="11" spans="1:21" x14ac:dyDescent="0.25">
      <c r="A11" t="s">
        <v>247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338" t="n">
        <v>1124.0</v>
      </c>
      <c r="N11" s="338" t="n">
        <v>235.0</v>
      </c>
      <c r="O11" s="338" t="n">
        <v>1105.0</v>
      </c>
      <c r="P11" s="338" t="n">
        <v>576.0</v>
      </c>
      <c r="Q11" s="338" t="n">
        <v>20479.0</v>
      </c>
      <c r="R11" s="338" t="n">
        <v>982.0</v>
      </c>
      <c r="S11" s="338" t="n">
        <v>2171.0</v>
      </c>
      <c r="T11" s="338"/>
      <c r="U11" s="336">
        <f si="1" t="shared"/>
        <v>28165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38" t="n">
        <v>90.0</v>
      </c>
      <c r="N12" s="338" t="n">
        <v>17.0</v>
      </c>
      <c r="O12" s="338" t="n">
        <v>49.0</v>
      </c>
      <c r="P12" s="338" t="n">
        <v>31.0</v>
      </c>
      <c r="Q12" s="338" t="n">
        <v>312.0</v>
      </c>
      <c r="R12" s="338" t="n">
        <v>853.0</v>
      </c>
      <c r="S12" s="338" t="n">
        <v>36.0</v>
      </c>
      <c r="T12" s="338"/>
      <c r="U12" s="336">
        <f si="1" t="shared"/>
        <v>1405</v>
      </c>
    </row>
    <row r="13" spans="1:21" x14ac:dyDescent="0.25">
      <c r="A13" t="s">
        <v>253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A13</f>
        <v>Rest</v>
      </c>
      <c r="M13" s="338" t="n">
        <v>5897.0</v>
      </c>
      <c r="N13" s="338" t="n">
        <v>899.0</v>
      </c>
      <c r="O13" s="338" t="n">
        <v>4499.0</v>
      </c>
      <c r="P13" s="338" t="n">
        <v>4739.0</v>
      </c>
      <c r="Q13" s="338" t="n">
        <v>6367.0</v>
      </c>
      <c r="R13" s="338" t="n">
        <v>782.0</v>
      </c>
      <c r="S13" s="338" t="n">
        <v>83585.0</v>
      </c>
      <c r="T13" s="338"/>
      <c r="U13" s="336">
        <f si="1" t="shared"/>
        <v>109763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40"/>
      <c r="N14" s="340"/>
      <c r="O14" s="340"/>
      <c r="P14" s="340"/>
      <c r="Q14" s="340"/>
      <c r="R14" s="340"/>
      <c r="S14" s="340"/>
      <c r="T14" s="340"/>
      <c r="U14" s="340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31487.307669843802</v>
      </c>
      <c r="C15" s="15">
        <f si="2" t="shared"/>
        <v>6636.2709817898995</v>
      </c>
      <c r="D15" s="15">
        <f si="2" t="shared"/>
        <v>27202.547865793698</v>
      </c>
      <c r="E15" s="15">
        <f si="2" t="shared"/>
        <v>23883.656136972098</v>
      </c>
      <c r="F15" s="15">
        <f si="2" t="shared"/>
        <v>3078.5090660713004</v>
      </c>
      <c r="G15" s="15">
        <f si="2" t="shared"/>
        <v>145.89222682600001</v>
      </c>
      <c r="H15" s="15">
        <f si="2" t="shared"/>
        <v>8538.213290478001</v>
      </c>
      <c r="I15" s="15">
        <f si="2" t="shared"/>
        <v>0</v>
      </c>
      <c r="J15" s="15">
        <f si="2" t="shared"/>
        <v>100972.3972377748</v>
      </c>
      <c r="K15" s="12"/>
      <c r="L15" s="15" t="s">
        <v>4</v>
      </c>
      <c r="M15" s="337">
        <f ref="M15:U15" si="3" t="shared">SUM(M7:M14)</f>
        <v>30248</v>
      </c>
      <c r="N15" s="337">
        <f si="3" t="shared"/>
        <v>5194</v>
      </c>
      <c r="O15" s="337">
        <f si="3" t="shared"/>
        <v>24180</v>
      </c>
      <c r="P15" s="337">
        <f si="3" t="shared"/>
        <v>23180</v>
      </c>
      <c r="Q15" s="337">
        <f si="3" t="shared"/>
        <v>33820</v>
      </c>
      <c r="R15" s="337">
        <f si="3" t="shared"/>
        <v>3197</v>
      </c>
      <c r="S15" s="337">
        <f si="3" t="shared"/>
        <v>96800</v>
      </c>
      <c r="T15" s="337">
        <f si="3" t="shared"/>
        <v>0</v>
      </c>
      <c r="U15" s="337">
        <f si="3" t="shared"/>
        <v>216619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22686.467566446016</v>
      </c>
      <c r="C20" s="12">
        <f si="4" t="shared"/>
        <v>496.44582337852012</v>
      </c>
      <c r="D20" s="12">
        <f si="4" t="shared"/>
        <v>1337.791962377979</v>
      </c>
      <c r="E20" s="12">
        <f si="4" t="shared"/>
        <v>1733.1236598444307</v>
      </c>
      <c r="F20" s="12">
        <f si="4" t="shared"/>
        <v>1022.3797660662682</v>
      </c>
      <c r="G20" s="12">
        <f si="4" t="shared"/>
        <v>0</v>
      </c>
      <c r="H20" s="12">
        <f ref="H20" si="5" t="shared">($U7/$J7)*H7</f>
        <v>2410.7912218867868</v>
      </c>
      <c r="I20" s="12"/>
      <c r="J20" s="12">
        <f>SUM(B20:I20)</f>
        <v>29686.999999999996</v>
      </c>
      <c r="K20" s="12"/>
      <c r="L20" t="str">
        <f>$A$7</f>
        <v>Bellevue</v>
      </c>
      <c r="M20" s="12">
        <f ref="M20:M26" si="6" t="shared">M7</f>
        <v>17054</v>
      </c>
      <c r="N20" s="12">
        <f ref="N20:U20" si="7" t="shared">N7</f>
        <v>2677</v>
      </c>
      <c r="O20" s="12">
        <f si="7" t="shared"/>
        <v>1391</v>
      </c>
      <c r="P20" s="12">
        <f si="7" t="shared"/>
        <v>3122</v>
      </c>
      <c r="Q20" s="12">
        <f si="7" t="shared"/>
        <v>1878</v>
      </c>
      <c r="R20" s="12">
        <f si="7" t="shared"/>
        <v>316</v>
      </c>
      <c r="S20" s="12">
        <f ref="S20" si="8" t="shared">S7</f>
        <v>3249</v>
      </c>
      <c r="T20" s="12"/>
      <c r="U20" s="12">
        <f si="7" t="shared"/>
        <v>29687</v>
      </c>
    </row>
    <row r="21" spans="1:32" x14ac:dyDescent="0.25">
      <c r="A21" t="str">
        <f>$A$8</f>
        <v>Bellevue Downtown</v>
      </c>
      <c r="B21" s="12">
        <f ref="B21:G26" si="9" t="shared">($U8/$J8)*B8</f>
        <v>1573.5303857225342</v>
      </c>
      <c r="C21" s="12">
        <f si="9" t="shared"/>
        <v>0</v>
      </c>
      <c r="D21" s="12">
        <f si="9" t="shared"/>
        <v>0</v>
      </c>
      <c r="E21" s="12">
        <f si="9" t="shared"/>
        <v>0</v>
      </c>
      <c r="F21" s="12">
        <f si="9" t="shared"/>
        <v>408.46961427746589</v>
      </c>
      <c r="G21" s="12">
        <f si="9" t="shared"/>
        <v>0</v>
      </c>
      <c r="H21" s="12">
        <f ref="H21" si="10" t="shared">($U8/$J8)*H8</f>
        <v>0</v>
      </c>
      <c r="I21" s="12"/>
      <c r="J21" s="12">
        <f ref="J21:J27" si="11" t="shared">SUM(B21:I21)</f>
        <v>1982</v>
      </c>
      <c r="K21" s="12"/>
      <c r="L21" t="str">
        <f>$A$8</f>
        <v>Bellevue Downtown</v>
      </c>
      <c r="M21" s="12">
        <f si="6" t="shared"/>
        <v>914</v>
      </c>
      <c r="N21" s="12">
        <f ref="N21:R25" si="12" t="shared">N8</f>
        <v>698</v>
      </c>
      <c r="O21" s="12">
        <f si="12" t="shared"/>
        <v>151</v>
      </c>
      <c r="P21" s="12">
        <f si="12" t="shared"/>
        <v>96</v>
      </c>
      <c r="Q21" s="12">
        <f si="12" t="shared"/>
        <v>48</v>
      </c>
      <c r="R21" s="12">
        <f si="12" t="shared"/>
        <v>10</v>
      </c>
      <c r="S21" s="12">
        <f ref="S21" si="13" t="shared">S8</f>
        <v>65</v>
      </c>
      <c r="T21" s="12"/>
      <c r="U21" s="12">
        <f ref="U21:U26" si="14" t="shared">U8</f>
        <v>1982</v>
      </c>
    </row>
    <row r="22" spans="1:32" x14ac:dyDescent="0.25">
      <c r="A22" t="str">
        <f>$A$9</f>
        <v>Kirkland</v>
      </c>
      <c r="B22" s="12">
        <f si="9" t="shared"/>
        <v>1579.8675403000695</v>
      </c>
      <c r="C22" s="12">
        <f si="9" t="shared"/>
        <v>0</v>
      </c>
      <c r="D22" s="12">
        <f si="9" t="shared"/>
        <v>19492.572152494438</v>
      </c>
      <c r="E22" s="12">
        <f si="9" t="shared"/>
        <v>782.32811177567999</v>
      </c>
      <c r="F22" s="12">
        <f si="9" t="shared"/>
        <v>1392.7880527474413</v>
      </c>
      <c r="G22" s="12">
        <f si="9" t="shared"/>
        <v>0</v>
      </c>
      <c r="H22" s="12">
        <f ref="H22" si="15" t="shared">($U9/$J9)*H9</f>
        <v>1279.4441426823719</v>
      </c>
      <c r="I22" s="12"/>
      <c r="J22" s="12">
        <f si="11" t="shared"/>
        <v>24527.000000000004</v>
      </c>
      <c r="K22" s="13"/>
      <c r="L22" t="str">
        <f>$A$9</f>
        <v>Kirkland</v>
      </c>
      <c r="M22" s="12">
        <f si="6" t="shared"/>
        <v>1815</v>
      </c>
      <c r="N22" s="12">
        <f si="12" t="shared"/>
        <v>431</v>
      </c>
      <c r="O22" s="12">
        <f si="12" t="shared"/>
        <v>13444</v>
      </c>
      <c r="P22" s="12">
        <f si="12" t="shared"/>
        <v>3186</v>
      </c>
      <c r="Q22" s="12">
        <f si="12" t="shared"/>
        <v>2270</v>
      </c>
      <c r="R22" s="12">
        <f si="12" t="shared"/>
        <v>193</v>
      </c>
      <c r="S22" s="12">
        <f ref="S22" si="16" t="shared">S9</f>
        <v>3188</v>
      </c>
      <c r="T22" s="12"/>
      <c r="U22" s="12">
        <f si="14" t="shared"/>
        <v>24527</v>
      </c>
    </row>
    <row r="23" spans="1:32" x14ac:dyDescent="0.25">
      <c r="A23" t="str">
        <f>$A$10</f>
        <v>Redmond</v>
      </c>
      <c r="B23" s="12">
        <f si="9" t="shared"/>
        <v>1852.6610766079912</v>
      </c>
      <c r="C23" s="12">
        <f si="9" t="shared"/>
        <v>3700.8844861704679</v>
      </c>
      <c r="D23" s="12">
        <f si="9" t="shared"/>
        <v>204.03918342707064</v>
      </c>
      <c r="E23" s="12">
        <f si="9" t="shared"/>
        <v>12736.570100352457</v>
      </c>
      <c r="F23" s="12">
        <f si="9" t="shared"/>
        <v>0</v>
      </c>
      <c r="G23" s="12">
        <f si="9" t="shared"/>
        <v>88.999537670939503</v>
      </c>
      <c r="H23" s="12">
        <f ref="H23" si="17" t="shared">($U10/$J10)*H10</f>
        <v>2506.8456157710734</v>
      </c>
      <c r="I23" s="12"/>
      <c r="J23" s="12">
        <f>SUM(B23:I23)</f>
        <v>21090</v>
      </c>
      <c r="K23" s="13"/>
      <c r="L23" t="str">
        <f>$A$10</f>
        <v>Redmond</v>
      </c>
      <c r="M23" s="12">
        <f si="6" t="shared"/>
        <v>2673</v>
      </c>
      <c r="N23" s="12">
        <f si="12" t="shared"/>
        <v>237</v>
      </c>
      <c r="O23" s="12">
        <f si="12" t="shared"/>
        <v>3077</v>
      </c>
      <c r="P23" s="12">
        <f si="12" t="shared"/>
        <v>11147</v>
      </c>
      <c r="Q23" s="12">
        <f si="12" t="shared"/>
        <v>1050</v>
      </c>
      <c r="R23" s="12">
        <f si="12" t="shared"/>
        <v>179</v>
      </c>
      <c r="S23" s="12">
        <f ref="S23" si="18" t="shared">S10</f>
        <v>2727</v>
      </c>
      <c r="T23" s="12"/>
      <c r="U23" s="12">
        <f si="14" t="shared"/>
        <v>21090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1317</v>
      </c>
      <c r="N24" s="12">
        <f si="12" t="shared"/>
        <v>232</v>
      </c>
      <c r="O24" s="12">
        <f si="12" t="shared"/>
        <v>1155</v>
      </c>
      <c r="P24" s="12">
        <f si="12" t="shared"/>
        <v>549</v>
      </c>
      <c r="Q24" s="12">
        <f si="12" t="shared"/>
        <v>21616</v>
      </c>
      <c r="R24" s="12">
        <f si="12" t="shared"/>
        <v>942</v>
      </c>
      <c r="S24" s="12">
        <f ref="S24" si="20" t="shared">S11</f>
        <v>2354</v>
      </c>
      <c r="T24" s="12"/>
      <c r="U24" s="12">
        <f si="14" t="shared"/>
        <v>28165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83</v>
      </c>
      <c r="N25" s="12">
        <f si="12" t="shared"/>
        <v>16</v>
      </c>
      <c r="O25" s="12">
        <f si="12" t="shared"/>
        <v>55</v>
      </c>
      <c r="P25" s="12">
        <f si="12" t="shared"/>
        <v>53</v>
      </c>
      <c r="Q25" s="12">
        <f si="12" t="shared"/>
        <v>337</v>
      </c>
      <c r="R25" s="12">
        <f si="12" t="shared"/>
        <v>826</v>
      </c>
      <c r="S25" s="12">
        <f ref="S25" si="22" t="shared">S12</f>
        <v>35</v>
      </c>
      <c r="T25" s="12"/>
      <c r="U25" s="12">
        <f si="14" t="shared"/>
        <v>1405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6392</v>
      </c>
      <c r="N26" s="12">
        <f ref="N26:R26" si="23" t="shared">N13</f>
        <v>903</v>
      </c>
      <c r="O26" s="12">
        <f si="23" t="shared"/>
        <v>4907</v>
      </c>
      <c r="P26" s="12">
        <f si="23" t="shared"/>
        <v>5027</v>
      </c>
      <c r="Q26" s="12">
        <f si="23" t="shared"/>
        <v>6621</v>
      </c>
      <c r="R26" s="12">
        <f si="23" t="shared"/>
        <v>731</v>
      </c>
      <c r="S26" s="12">
        <f ref="S26" si="24" t="shared">S13</f>
        <v>85182</v>
      </c>
      <c r="T26" s="12"/>
      <c r="U26" s="12">
        <f si="14" t="shared"/>
        <v>109763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si="11" t="shared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5" t="shared">SUM(B20:B27)</f>
        <v>#DIV/0!</v>
      </c>
      <c r="C28" s="15" t="e">
        <f si="25" t="shared"/>
        <v>#DIV/0!</v>
      </c>
      <c r="D28" s="15" t="e">
        <f si="25" t="shared"/>
        <v>#DIV/0!</v>
      </c>
      <c r="E28" s="15" t="e">
        <f si="25" t="shared"/>
        <v>#DIV/0!</v>
      </c>
      <c r="F28" s="15" t="e">
        <f si="25" t="shared"/>
        <v>#DIV/0!</v>
      </c>
      <c r="G28" s="15" t="e">
        <f si="25" t="shared"/>
        <v>#DIV/0!</v>
      </c>
      <c r="H28" s="15" t="e">
        <f si="25" t="shared"/>
        <v>#DIV/0!</v>
      </c>
      <c r="I28" s="15">
        <f si="25" t="shared"/>
        <v>0</v>
      </c>
      <c r="J28" s="15" t="e">
        <f si="25" t="shared"/>
        <v>#DIV/0!</v>
      </c>
      <c r="K28" s="12"/>
      <c r="L28" s="15" t="s">
        <v>4</v>
      </c>
      <c r="M28" s="15">
        <f ref="M28:U28" si="26" t="shared">M15</f>
        <v>30248</v>
      </c>
      <c r="N28" s="15">
        <f si="26" t="shared"/>
        <v>5194</v>
      </c>
      <c r="O28" s="15">
        <f si="26" t="shared"/>
        <v>24180</v>
      </c>
      <c r="P28" s="15">
        <f si="26" t="shared"/>
        <v>23180</v>
      </c>
      <c r="Q28" s="15">
        <f si="26" t="shared"/>
        <v>33820</v>
      </c>
      <c r="R28" s="15">
        <f si="26" t="shared"/>
        <v>3197</v>
      </c>
      <c r="S28" s="15">
        <f si="26" t="shared"/>
        <v>96800</v>
      </c>
      <c r="T28" s="15"/>
      <c r="U28" s="15">
        <f si="26" t="shared"/>
        <v>216619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7" t="shared">B20/$J$28</f>
        <v>#DIV/0!</v>
      </c>
      <c r="C33" s="16" t="e">
        <f si="27" t="shared"/>
        <v>#DIV/0!</v>
      </c>
      <c r="D33" s="16" t="e">
        <f si="27" t="shared"/>
        <v>#DIV/0!</v>
      </c>
      <c r="E33" s="16" t="e">
        <f si="27" t="shared"/>
        <v>#DIV/0!</v>
      </c>
      <c r="F33" s="16" t="e">
        <f si="27" t="shared"/>
        <v>#DIV/0!</v>
      </c>
      <c r="G33" s="16" t="e">
        <f si="27" t="shared"/>
        <v>#DIV/0!</v>
      </c>
      <c r="H33" s="16" t="e">
        <f ref="H33" si="28" t="shared">H20/$J$28</f>
        <v>#DIV/0!</v>
      </c>
      <c r="I33" s="16"/>
      <c r="J33" s="16" t="e">
        <f ref="J33:J38" si="29" t="shared">J20/$J$28</f>
        <v>#DIV/0!</v>
      </c>
      <c r="K33" s="12"/>
      <c r="L33" t="str">
        <f>$A$7</f>
        <v>Bellevue</v>
      </c>
      <c r="M33" s="16">
        <f ref="M33:R33" si="30" t="shared">M20/$U$28</f>
        <v>7.8728089410439531E-2</v>
      </c>
      <c r="N33" s="16">
        <f si="30" t="shared"/>
        <v>1.2358103398132205E-2</v>
      </c>
      <c r="O33" s="16">
        <f si="30" t="shared"/>
        <v>6.4214127107963754E-3</v>
      </c>
      <c r="P33" s="16">
        <f si="30" t="shared"/>
        <v>1.4412401497560233E-2</v>
      </c>
      <c r="Q33" s="16">
        <f si="30" t="shared"/>
        <v>8.6695996196086214E-3</v>
      </c>
      <c r="R33" s="16">
        <f si="30" t="shared"/>
        <v>1.4587824706050717E-3</v>
      </c>
      <c r="S33" s="16">
        <f ref="S33" si="31" t="shared">S20/$U$28</f>
        <v>1.4998684325936321E-2</v>
      </c>
      <c r="T33" s="16"/>
      <c r="U33" s="16">
        <f ref="U33:U39" si="32" t="shared">U20/$U$28</f>
        <v>0.13704707343307834</v>
      </c>
      <c r="W33" t="str">
        <f>$A$7</f>
        <v>Bellevue</v>
      </c>
      <c r="X33" s="16" t="e">
        <f ref="X33:AD33" si="33" t="shared">M33-B33</f>
        <v>#DIV/0!</v>
      </c>
      <c r="Y33" s="16" t="e">
        <f si="33" t="shared"/>
        <v>#DIV/0!</v>
      </c>
      <c r="Z33" s="16" t="e">
        <f si="33" t="shared"/>
        <v>#DIV/0!</v>
      </c>
      <c r="AA33" s="16" t="e">
        <f si="33" t="shared"/>
        <v>#DIV/0!</v>
      </c>
      <c r="AB33" s="16" t="e">
        <f si="33" t="shared"/>
        <v>#DIV/0!</v>
      </c>
      <c r="AC33" s="16" t="e">
        <f si="33" t="shared"/>
        <v>#DIV/0!</v>
      </c>
      <c r="AD33" s="16" t="e">
        <f si="33" t="shared"/>
        <v>#DIV/0!</v>
      </c>
      <c r="AE33" s="16"/>
      <c r="AF33" s="16" t="e">
        <f ref="AF33:AF39" si="34" t="shared">U33-J33</f>
        <v>#DIV/0!</v>
      </c>
    </row>
    <row r="34" spans="1:32" x14ac:dyDescent="0.25">
      <c r="A34" t="str">
        <f>$A$8</f>
        <v>Bellevue Downtown</v>
      </c>
      <c r="B34" s="16" t="e">
        <f si="27" t="shared"/>
        <v>#DIV/0!</v>
      </c>
      <c r="C34" s="16" t="e">
        <f si="27" t="shared"/>
        <v>#DIV/0!</v>
      </c>
      <c r="D34" s="16" t="e">
        <f si="27" t="shared"/>
        <v>#DIV/0!</v>
      </c>
      <c r="E34" s="16" t="e">
        <f si="27" t="shared"/>
        <v>#DIV/0!</v>
      </c>
      <c r="F34" s="16" t="e">
        <f si="27" t="shared"/>
        <v>#DIV/0!</v>
      </c>
      <c r="G34" s="16" t="e">
        <f si="27" t="shared"/>
        <v>#DIV/0!</v>
      </c>
      <c r="H34" s="16" t="e">
        <f ref="H34" si="35" t="shared">H21/$J$28</f>
        <v>#DIV/0!</v>
      </c>
      <c r="I34" s="16"/>
      <c r="J34" s="16" t="e">
        <f si="29" t="shared"/>
        <v>#DIV/0!</v>
      </c>
      <c r="K34" s="12"/>
      <c r="L34" t="str">
        <f>$A$8</f>
        <v>Bellevue Downtown</v>
      </c>
      <c r="M34" s="16">
        <f ref="M34:R39" si="36" t="shared">M21/$U$28</f>
        <v>4.2193898042184666E-3</v>
      </c>
      <c r="N34" s="16">
        <f si="36" t="shared"/>
        <v>3.222247355956772E-3</v>
      </c>
      <c r="O34" s="16">
        <f si="36" t="shared"/>
        <v>6.9707643373849936E-4</v>
      </c>
      <c r="P34" s="16">
        <f si="36" t="shared"/>
        <v>4.4317442144964201E-4</v>
      </c>
      <c r="Q34" s="16">
        <f si="36" t="shared"/>
        <v>2.2158721072482101E-4</v>
      </c>
      <c r="R34" s="16">
        <f si="36" t="shared"/>
        <v>4.6164002234337709E-5</v>
      </c>
      <c r="S34" s="16">
        <f ref="S34" si="37" t="shared">S21/$U$28</f>
        <v>3.0006601452319513E-4</v>
      </c>
      <c r="T34" s="16"/>
      <c r="U34" s="16">
        <f si="32" t="shared"/>
        <v>9.1497052428457341E-3</v>
      </c>
      <c r="W34" t="str">
        <f>$A$8</f>
        <v>Bellevue Downtown</v>
      </c>
      <c r="X34" s="16" t="e">
        <f ref="X34:X38" si="38" t="shared">M34-B34</f>
        <v>#DIV/0!</v>
      </c>
      <c r="Y34" s="16" t="e">
        <f ref="Y34:AD38" si="39" t="shared">N34-C34</f>
        <v>#DIV/0!</v>
      </c>
      <c r="Z34" s="16" t="e">
        <f si="39" t="shared"/>
        <v>#DIV/0!</v>
      </c>
      <c r="AA34" s="16" t="e">
        <f si="39" t="shared"/>
        <v>#DIV/0!</v>
      </c>
      <c r="AB34" s="16" t="e">
        <f si="39" t="shared"/>
        <v>#DIV/0!</v>
      </c>
      <c r="AC34" s="16" t="e">
        <f si="39" t="shared"/>
        <v>#DIV/0!</v>
      </c>
      <c r="AD34" s="16" t="e">
        <f si="39" t="shared"/>
        <v>#DIV/0!</v>
      </c>
      <c r="AE34" s="16"/>
      <c r="AF34" s="16" t="e">
        <f si="34" t="shared"/>
        <v>#DIV/0!</v>
      </c>
    </row>
    <row r="35" spans="1:32" x14ac:dyDescent="0.25">
      <c r="A35" t="str">
        <f>$A$9</f>
        <v>Kirkland</v>
      </c>
      <c r="B35" s="16" t="e">
        <f si="27" t="shared"/>
        <v>#DIV/0!</v>
      </c>
      <c r="C35" s="16" t="e">
        <f si="27" t="shared"/>
        <v>#DIV/0!</v>
      </c>
      <c r="D35" s="16" t="e">
        <f si="27" t="shared"/>
        <v>#DIV/0!</v>
      </c>
      <c r="E35" s="16" t="e">
        <f si="27" t="shared"/>
        <v>#DIV/0!</v>
      </c>
      <c r="F35" s="16" t="e">
        <f si="27" t="shared"/>
        <v>#DIV/0!</v>
      </c>
      <c r="G35" s="16" t="e">
        <f si="27" t="shared"/>
        <v>#DIV/0!</v>
      </c>
      <c r="H35" s="16" t="e">
        <f ref="H35" si="40" t="shared">H22/$J$28</f>
        <v>#DIV/0!</v>
      </c>
      <c r="I35" s="16"/>
      <c r="J35" s="16" t="e">
        <f si="29" t="shared"/>
        <v>#DIV/0!</v>
      </c>
      <c r="K35" s="13"/>
      <c r="L35" t="str">
        <f>$A$9</f>
        <v>Kirkland</v>
      </c>
      <c r="M35" s="16">
        <f si="36" t="shared"/>
        <v>8.3787664055322945E-3</v>
      </c>
      <c r="N35" s="16">
        <f si="36" t="shared"/>
        <v>1.9896684962999551E-3</v>
      </c>
      <c r="O35" s="16">
        <f si="36" t="shared"/>
        <v>6.2062884603843613E-2</v>
      </c>
      <c r="P35" s="16">
        <f si="36" t="shared"/>
        <v>1.4707851111859994E-2</v>
      </c>
      <c r="Q35" s="16">
        <f si="36" t="shared"/>
        <v>1.047922850719466E-2</v>
      </c>
      <c r="R35" s="16">
        <f si="36" t="shared"/>
        <v>8.9096524312271778E-4</v>
      </c>
      <c r="S35" s="16">
        <f ref="S35" si="41" t="shared">S22/$U$28</f>
        <v>1.4717083912306861E-2</v>
      </c>
      <c r="T35" s="16"/>
      <c r="U35" s="16">
        <f si="32" t="shared"/>
        <v>0.1132264482801601</v>
      </c>
      <c r="W35" t="str">
        <f>$A$9</f>
        <v>Kirkland</v>
      </c>
      <c r="X35" s="16" t="e">
        <f si="38" t="shared"/>
        <v>#DIV/0!</v>
      </c>
      <c r="Y35" s="16" t="e">
        <f si="39" t="shared"/>
        <v>#DIV/0!</v>
      </c>
      <c r="Z35" s="16" t="e">
        <f si="39" t="shared"/>
        <v>#DIV/0!</v>
      </c>
      <c r="AA35" s="16" t="e">
        <f si="39" t="shared"/>
        <v>#DIV/0!</v>
      </c>
      <c r="AB35" s="16" t="e">
        <f si="39" t="shared"/>
        <v>#DIV/0!</v>
      </c>
      <c r="AC35" s="16" t="e">
        <f si="39" t="shared"/>
        <v>#DIV/0!</v>
      </c>
      <c r="AD35" s="16" t="e">
        <f si="39" t="shared"/>
        <v>#DIV/0!</v>
      </c>
      <c r="AE35" s="16"/>
      <c r="AF35" s="16" t="e">
        <f si="34" t="shared"/>
        <v>#DIV/0!</v>
      </c>
    </row>
    <row r="36" spans="1:32" x14ac:dyDescent="0.25">
      <c r="A36" t="str">
        <f>$A$10</f>
        <v>Redmond</v>
      </c>
      <c r="B36" s="16" t="e">
        <f si="27" t="shared"/>
        <v>#DIV/0!</v>
      </c>
      <c r="C36" s="16" t="e">
        <f si="27" t="shared"/>
        <v>#DIV/0!</v>
      </c>
      <c r="D36" s="16" t="e">
        <f si="27" t="shared"/>
        <v>#DIV/0!</v>
      </c>
      <c r="E36" s="16" t="e">
        <f si="27" t="shared"/>
        <v>#DIV/0!</v>
      </c>
      <c r="F36" s="16" t="e">
        <f si="27" t="shared"/>
        <v>#DIV/0!</v>
      </c>
      <c r="G36" s="16" t="e">
        <f si="27" t="shared"/>
        <v>#DIV/0!</v>
      </c>
      <c r="H36" s="16" t="e">
        <f ref="H36" si="42" t="shared">H23/$J$28</f>
        <v>#DIV/0!</v>
      </c>
      <c r="I36" s="16"/>
      <c r="J36" s="16" t="e">
        <f si="29" t="shared"/>
        <v>#DIV/0!</v>
      </c>
      <c r="K36" s="13"/>
      <c r="L36" t="str">
        <f>$A$10</f>
        <v>Redmond</v>
      </c>
      <c r="M36" s="16">
        <f si="36" t="shared"/>
        <v>1.233963779723847E-2</v>
      </c>
      <c r="N36" s="16">
        <f si="36" t="shared"/>
        <v>1.0940868529538037E-3</v>
      </c>
      <c r="O36" s="16">
        <f si="36" t="shared"/>
        <v>1.4204663487505712E-2</v>
      </c>
      <c r="P36" s="16">
        <f si="36" t="shared"/>
        <v>5.1459013290616244E-2</v>
      </c>
      <c r="Q36" s="16">
        <f si="36" t="shared"/>
        <v>4.8472202346054594E-3</v>
      </c>
      <c r="R36" s="16">
        <f si="36" t="shared"/>
        <v>8.2633563999464494E-4</v>
      </c>
      <c r="S36" s="16">
        <f ref="S36" si="43" t="shared">S23/$U$28</f>
        <v>1.2588923409303893E-2</v>
      </c>
      <c r="T36" s="16"/>
      <c r="U36" s="16">
        <f si="32" t="shared"/>
        <v>9.7359880712218225E-2</v>
      </c>
      <c r="W36" t="str">
        <f>$A$10</f>
        <v>Redmond</v>
      </c>
      <c r="X36" s="16" t="e">
        <f si="38" t="shared"/>
        <v>#DIV/0!</v>
      </c>
      <c r="Y36" s="16" t="e">
        <f si="39" t="shared"/>
        <v>#DIV/0!</v>
      </c>
      <c r="Z36" s="16" t="e">
        <f si="39" t="shared"/>
        <v>#DIV/0!</v>
      </c>
      <c r="AA36" s="16" t="e">
        <f si="39" t="shared"/>
        <v>#DIV/0!</v>
      </c>
      <c r="AB36" s="16" t="e">
        <f si="39" t="shared"/>
        <v>#DIV/0!</v>
      </c>
      <c r="AC36" s="16" t="e">
        <f si="39" t="shared"/>
        <v>#DIV/0!</v>
      </c>
      <c r="AD36" s="16" t="e">
        <f si="39" t="shared"/>
        <v>#DIV/0!</v>
      </c>
      <c r="AE36" s="16"/>
      <c r="AF36" s="16" t="e">
        <f si="34" t="shared"/>
        <v>#DIV/0!</v>
      </c>
    </row>
    <row r="37" spans="1:32" x14ac:dyDescent="0.25">
      <c r="A37" t="str">
        <f>$A$11</f>
        <v>Seattle</v>
      </c>
      <c r="B37" s="16" t="e">
        <f si="27" t="shared"/>
        <v>#DIV/0!</v>
      </c>
      <c r="C37" s="16" t="e">
        <f si="27" t="shared"/>
        <v>#DIV/0!</v>
      </c>
      <c r="D37" s="16" t="e">
        <f si="27" t="shared"/>
        <v>#DIV/0!</v>
      </c>
      <c r="E37" s="16" t="e">
        <f si="27" t="shared"/>
        <v>#DIV/0!</v>
      </c>
      <c r="F37" s="16" t="e">
        <f si="27" t="shared"/>
        <v>#DIV/0!</v>
      </c>
      <c r="G37" s="16" t="e">
        <f si="27" t="shared"/>
        <v>#DIV/0!</v>
      </c>
      <c r="H37" s="16" t="e">
        <f ref="H37" si="44" t="shared">H24/$J$28</f>
        <v>#DIV/0!</v>
      </c>
      <c r="I37" s="16"/>
      <c r="J37" s="16" t="e">
        <f si="29" t="shared"/>
        <v>#DIV/0!</v>
      </c>
      <c r="K37" s="13"/>
      <c r="L37" t="str">
        <f>$A$11</f>
        <v>Seattle</v>
      </c>
      <c r="M37" s="16">
        <f si="36" t="shared"/>
        <v>6.0797990942622763E-3</v>
      </c>
      <c r="N37" s="16">
        <f si="36" t="shared"/>
        <v>1.0710048518366348E-3</v>
      </c>
      <c r="O37" s="16">
        <f si="36" t="shared"/>
        <v>5.3319422580660053E-3</v>
      </c>
      <c r="P37" s="16">
        <f si="36" t="shared"/>
        <v>2.5344037226651401E-3</v>
      </c>
      <c r="Q37" s="16">
        <f si="36" t="shared"/>
        <v>9.9788107229744391E-2</v>
      </c>
      <c r="R37" s="16">
        <f si="36" t="shared"/>
        <v>4.3486490104746121E-3</v>
      </c>
      <c r="S37" s="16">
        <f ref="S37" si="45" t="shared">S24/$U$28</f>
        <v>1.0867006125963096E-2</v>
      </c>
      <c r="T37" s="16"/>
      <c r="U37" s="16">
        <f si="32" t="shared"/>
        <v>0.13002091229301216</v>
      </c>
      <c r="W37" t="str">
        <f>$A$11</f>
        <v>Seattle</v>
      </c>
      <c r="X37" s="16" t="e">
        <f si="38" t="shared"/>
        <v>#DIV/0!</v>
      </c>
      <c r="Y37" s="16" t="e">
        <f si="39" t="shared"/>
        <v>#DIV/0!</v>
      </c>
      <c r="Z37" s="16" t="e">
        <f si="39" t="shared"/>
        <v>#DIV/0!</v>
      </c>
      <c r="AA37" s="16" t="e">
        <f si="39" t="shared"/>
        <v>#DIV/0!</v>
      </c>
      <c r="AB37" s="16" t="e">
        <f si="39" t="shared"/>
        <v>#DIV/0!</v>
      </c>
      <c r="AC37" s="16" t="e">
        <f si="39" t="shared"/>
        <v>#DIV/0!</v>
      </c>
      <c r="AD37" s="16" t="e">
        <f si="39" t="shared"/>
        <v>#DIV/0!</v>
      </c>
      <c r="AE37" s="16"/>
      <c r="AF37" s="16" t="e">
        <f si="34" t="shared"/>
        <v>#DIV/0!</v>
      </c>
    </row>
    <row r="38" spans="1:32" x14ac:dyDescent="0.25">
      <c r="A38" t="str">
        <f>$A$12</f>
        <v>Seattle Downtown</v>
      </c>
      <c r="B38" s="16" t="e">
        <f si="27" t="shared"/>
        <v>#DIV/0!</v>
      </c>
      <c r="C38" s="16" t="e">
        <f si="27" t="shared"/>
        <v>#DIV/0!</v>
      </c>
      <c r="D38" s="16" t="e">
        <f si="27" t="shared"/>
        <v>#DIV/0!</v>
      </c>
      <c r="E38" s="16" t="e">
        <f si="27" t="shared"/>
        <v>#DIV/0!</v>
      </c>
      <c r="F38" s="16" t="e">
        <f si="27" t="shared"/>
        <v>#DIV/0!</v>
      </c>
      <c r="G38" s="16" t="e">
        <f si="27" t="shared"/>
        <v>#DIV/0!</v>
      </c>
      <c r="H38" s="16" t="e">
        <f ref="H38:H39" si="46" t="shared">H25/$J$28</f>
        <v>#DIV/0!</v>
      </c>
      <c r="I38" s="16"/>
      <c r="J38" s="16" t="e">
        <f si="29" t="shared"/>
        <v>#DIV/0!</v>
      </c>
      <c r="K38" s="13"/>
      <c r="L38" t="str">
        <f>$A$12</f>
        <v>Seattle Downtown</v>
      </c>
      <c r="M38" s="16">
        <f si="36" t="shared"/>
        <v>3.8316121854500298E-4</v>
      </c>
      <c r="N38" s="16">
        <f si="36" t="shared"/>
        <v>7.3862403574940331E-5</v>
      </c>
      <c r="O38" s="16">
        <f si="36" t="shared"/>
        <v>2.539020122888574E-4</v>
      </c>
      <c r="P38" s="16">
        <f si="36" t="shared"/>
        <v>2.4466921184198984E-4</v>
      </c>
      <c r="Q38" s="16">
        <f si="36" t="shared"/>
        <v>1.5557268752971808E-3</v>
      </c>
      <c r="R38" s="16">
        <f si="36" t="shared"/>
        <v>3.8131465845562948E-3</v>
      </c>
      <c r="S38" s="16">
        <f ref="S38:S39" si="47" t="shared">S25/$U$28</f>
        <v>1.6157400782018197E-4</v>
      </c>
      <c r="T38" s="16"/>
      <c r="U38" s="16">
        <f si="32" t="shared"/>
        <v>6.4860423139244481E-3</v>
      </c>
      <c r="W38" t="str">
        <f>$A$12</f>
        <v>Seattle Downtown</v>
      </c>
      <c r="X38" s="16" t="e">
        <f si="38" t="shared"/>
        <v>#DIV/0!</v>
      </c>
      <c r="Y38" s="16" t="e">
        <f si="39" t="shared"/>
        <v>#DIV/0!</v>
      </c>
      <c r="Z38" s="16" t="e">
        <f si="39" t="shared"/>
        <v>#DIV/0!</v>
      </c>
      <c r="AA38" s="16" t="e">
        <f si="39" t="shared"/>
        <v>#DIV/0!</v>
      </c>
      <c r="AB38" s="16" t="e">
        <f si="39" t="shared"/>
        <v>#DIV/0!</v>
      </c>
      <c r="AC38" s="16" t="e">
        <f si="39" t="shared"/>
        <v>#DIV/0!</v>
      </c>
      <c r="AD38" s="16" t="e">
        <f si="39" t="shared"/>
        <v>#DIV/0!</v>
      </c>
      <c r="AE38" s="16"/>
      <c r="AF38" s="16" t="e">
        <f si="34" t="shared"/>
        <v>#DIV/0!</v>
      </c>
    </row>
    <row r="39" spans="1:32" x14ac:dyDescent="0.25">
      <c r="A39" t="str">
        <f>$A$13</f>
        <v>Rest</v>
      </c>
      <c r="B39" s="16" t="e">
        <f si="27" t="shared"/>
        <v>#DIV/0!</v>
      </c>
      <c r="C39" s="16" t="e">
        <f si="27" t="shared"/>
        <v>#DIV/0!</v>
      </c>
      <c r="D39" s="16" t="e">
        <f si="27" t="shared"/>
        <v>#DIV/0!</v>
      </c>
      <c r="E39" s="16" t="e">
        <f si="27" t="shared"/>
        <v>#DIV/0!</v>
      </c>
      <c r="F39" s="16" t="e">
        <f si="27" t="shared"/>
        <v>#DIV/0!</v>
      </c>
      <c r="G39" s="16" t="e">
        <f si="27" t="shared"/>
        <v>#DIV/0!</v>
      </c>
      <c r="H39" s="16" t="e">
        <f si="46" t="shared"/>
        <v>#DIV/0!</v>
      </c>
      <c r="I39" s="16"/>
      <c r="J39" s="16" t="e">
        <f si="27" t="shared"/>
        <v>#DIV/0!</v>
      </c>
      <c r="K39" s="13"/>
      <c r="L39" t="str">
        <f>$A$13</f>
        <v>Rest</v>
      </c>
      <c r="M39" s="16">
        <f si="36" t="shared"/>
        <v>2.9508030228188663E-2</v>
      </c>
      <c r="N39" s="16">
        <f si="36" t="shared"/>
        <v>4.1686094017606952E-3</v>
      </c>
      <c r="O39" s="16">
        <f si="36" t="shared"/>
        <v>2.2652675896389512E-2</v>
      </c>
      <c r="P39" s="16">
        <f si="36" t="shared"/>
        <v>2.3206643923201566E-2</v>
      </c>
      <c r="Q39" s="16">
        <f si="36" t="shared"/>
        <v>3.0565185879354997E-2</v>
      </c>
      <c r="R39" s="16">
        <f si="36" t="shared"/>
        <v>3.3745885633300866E-3</v>
      </c>
      <c r="S39" s="16">
        <f si="47" t="shared"/>
        <v>0.39323420383253549</v>
      </c>
      <c r="T39" s="16"/>
      <c r="U39" s="16">
        <f si="32" t="shared"/>
        <v>0.50670993772476103</v>
      </c>
      <c r="W39" t="str">
        <f>$A$13</f>
        <v>Rest</v>
      </c>
      <c r="X39" s="16" t="e">
        <f ref="X39" si="48" t="shared">M39-B39</f>
        <v>#DIV/0!</v>
      </c>
      <c r="Y39" s="16" t="e">
        <f ref="Y39" si="49" t="shared">N39-C39</f>
        <v>#DIV/0!</v>
      </c>
      <c r="Z39" s="16" t="e">
        <f ref="Z39" si="50" t="shared">O39-D39</f>
        <v>#DIV/0!</v>
      </c>
      <c r="AA39" s="16" t="e">
        <f ref="AA39" si="51" t="shared">P39-E39</f>
        <v>#DIV/0!</v>
      </c>
      <c r="AB39" s="16" t="e">
        <f ref="AB39" si="52" t="shared">Q39-F39</f>
        <v>#DIV/0!</v>
      </c>
      <c r="AC39" s="16" t="e">
        <f ref="AC39" si="53" t="shared">R39-G39</f>
        <v>#DIV/0!</v>
      </c>
      <c r="AD39" s="16" t="e">
        <f ref="AD39" si="54" t="shared">S39-H39</f>
        <v>#DIV/0!</v>
      </c>
      <c r="AE39" s="16"/>
      <c r="AF39" s="16" t="e">
        <f si="34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5" t="shared">B28/$J$28</f>
        <v>#DIV/0!</v>
      </c>
      <c r="C41" s="18" t="e">
        <f si="55" t="shared"/>
        <v>#DIV/0!</v>
      </c>
      <c r="D41" s="18" t="e">
        <f si="55" t="shared"/>
        <v>#DIV/0!</v>
      </c>
      <c r="E41" s="18" t="e">
        <f si="55" t="shared"/>
        <v>#DIV/0!</v>
      </c>
      <c r="F41" s="18" t="e">
        <f si="55" t="shared"/>
        <v>#DIV/0!</v>
      </c>
      <c r="G41" s="18" t="e">
        <f si="55" t="shared"/>
        <v>#DIV/0!</v>
      </c>
      <c r="H41" s="18" t="e">
        <f si="55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0.1396368739584247</v>
      </c>
      <c r="N41" s="18">
        <f>N28/$U$28</f>
        <v>2.3977582760515006E-2</v>
      </c>
      <c r="O41" s="18">
        <f>O28/$U$28</f>
        <v>0.11162455740262858</v>
      </c>
      <c r="P41" s="18">
        <f>P28/$U$28</f>
        <v>0.1070081571791948</v>
      </c>
      <c r="Q41" s="18">
        <f ref="Q41:S41" si="56" t="shared">Q28/$U$28</f>
        <v>0.15612665555653013</v>
      </c>
      <c r="R41" s="18">
        <f si="56" t="shared"/>
        <v>1.4758631514317765E-2</v>
      </c>
      <c r="S41" s="18">
        <f si="56" t="shared"/>
        <v>0.44686754162838904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7" t="shared">M41-B41</f>
        <v>#DIV/0!</v>
      </c>
      <c r="Y41" s="18" t="e">
        <f si="57" t="shared"/>
        <v>#DIV/0!</v>
      </c>
      <c r="Z41" s="18" t="e">
        <f si="57" t="shared"/>
        <v>#DIV/0!</v>
      </c>
      <c r="AA41" s="18" t="e">
        <f si="57" t="shared"/>
        <v>#DIV/0!</v>
      </c>
      <c r="AB41" s="18" t="e">
        <f si="57" t="shared"/>
        <v>#DIV/0!</v>
      </c>
      <c r="AC41" s="18" t="e">
        <f si="57" t="shared"/>
        <v>#DIV/0!</v>
      </c>
      <c r="AD41" s="18" t="e">
        <f si="57" t="shared"/>
        <v>#DIV/0!</v>
      </c>
      <c r="AE41" s="18" t="e">
        <f si="57" t="shared"/>
        <v>#DIV/0!</v>
      </c>
      <c r="AF41" s="18" t="e">
        <f si="57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abSelected="1" topLeftCell="A10" workbookViewId="0">
      <selection activeCell="D28" sqref="D28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41</v>
      </c>
    </row>
    <row r="2" spans="1:4" x14ac:dyDescent="0.25">
      <c r="A2" t="s">
        <v>259</v>
      </c>
      <c r="B2" t="s">
        <v>260</v>
      </c>
      <c r="C2" t="s">
        <v>90</v>
      </c>
      <c r="D2" t="s">
        <v>261</v>
      </c>
    </row>
    <row r="3" spans="1:4" x14ac:dyDescent="0.25">
      <c r="A3">
        <v>1</v>
      </c>
      <c r="B3" t="s">
        <v>44</v>
      </c>
      <c r="C3" t="s">
        <v>278</v>
      </c>
      <c r="D3" t="s">
        <v>45</v>
      </c>
    </row>
    <row r="4" spans="1:4" x14ac:dyDescent="0.25">
      <c r="A4">
        <v>2</v>
      </c>
      <c r="B4" t="s">
        <v>47</v>
      </c>
      <c r="C4" t="s">
        <v>278</v>
      </c>
      <c r="D4" t="s">
        <v>48</v>
      </c>
    </row>
    <row r="5" spans="1:4" x14ac:dyDescent="0.25">
      <c r="A5">
        <v>3</v>
      </c>
      <c r="B5" t="s">
        <v>50</v>
      </c>
      <c r="C5" t="s">
        <v>278</v>
      </c>
      <c r="D5" t="s">
        <v>51</v>
      </c>
    </row>
    <row r="6" spans="1:4" x14ac:dyDescent="0.25">
      <c r="A6">
        <v>4</v>
      </c>
      <c r="B6" t="s">
        <v>53</v>
      </c>
      <c r="C6" t="s">
        <v>278</v>
      </c>
      <c r="D6" t="s">
        <v>54</v>
      </c>
    </row>
    <row r="7" spans="1:4" x14ac:dyDescent="0.25">
      <c r="A7">
        <v>5</v>
      </c>
      <c r="B7" t="s">
        <v>56</v>
      </c>
      <c r="C7" t="s">
        <v>278</v>
      </c>
      <c r="D7" t="s">
        <v>57</v>
      </c>
    </row>
    <row r="8" spans="1:4" x14ac:dyDescent="0.25">
      <c r="A8">
        <v>6</v>
      </c>
      <c r="B8" t="s">
        <v>58</v>
      </c>
      <c r="C8" t="s">
        <v>278</v>
      </c>
      <c r="D8" t="s">
        <v>59</v>
      </c>
    </row>
    <row r="9" spans="1:4" x14ac:dyDescent="0.25">
      <c r="A9">
        <v>7</v>
      </c>
      <c r="B9" t="s">
        <v>60</v>
      </c>
      <c r="C9" t="s">
        <v>278</v>
      </c>
      <c r="D9" t="s">
        <v>61</v>
      </c>
    </row>
    <row r="10" spans="1:4" x14ac:dyDescent="0.25">
      <c r="A10">
        <v>8</v>
      </c>
      <c r="B10" t="s">
        <v>63</v>
      </c>
      <c r="C10" t="s">
        <v>278</v>
      </c>
      <c r="D10" t="s">
        <v>64</v>
      </c>
    </row>
    <row r="11" spans="1:4" x14ac:dyDescent="0.25">
      <c r="A11">
        <v>9</v>
      </c>
      <c r="B11" t="s">
        <v>65</v>
      </c>
      <c r="C11" t="s">
        <v>278</v>
      </c>
      <c r="D11" t="s">
        <v>66</v>
      </c>
    </row>
    <row r="12" spans="1:4" x14ac:dyDescent="0.25">
      <c r="A12">
        <v>10</v>
      </c>
      <c r="B12" t="s">
        <v>67</v>
      </c>
      <c r="C12" t="s">
        <v>278</v>
      </c>
      <c r="D12" t="s">
        <v>68</v>
      </c>
    </row>
    <row r="13" spans="1:4" x14ac:dyDescent="0.25">
      <c r="A13">
        <v>11</v>
      </c>
      <c r="B13" t="s">
        <v>69</v>
      </c>
      <c r="C13" t="s">
        <v>278</v>
      </c>
      <c r="D13" t="s">
        <v>70</v>
      </c>
    </row>
    <row r="14" spans="1:4" x14ac:dyDescent="0.25">
      <c r="A14">
        <v>12</v>
      </c>
      <c r="B14" t="s">
        <v>71</v>
      </c>
      <c r="C14" t="s">
        <v>278</v>
      </c>
      <c r="D14" t="s">
        <v>72</v>
      </c>
    </row>
    <row r="15" spans="1:4" x14ac:dyDescent="0.25">
      <c r="A15">
        <v>13</v>
      </c>
      <c r="B15" t="s">
        <v>73</v>
      </c>
      <c r="C15" t="s">
        <v>278</v>
      </c>
      <c r="D15" t="s">
        <v>74</v>
      </c>
    </row>
    <row r="16" spans="1:4" x14ac:dyDescent="0.25">
      <c r="A16">
        <v>14</v>
      </c>
      <c r="B16" t="s">
        <v>75</v>
      </c>
      <c r="C16" t="s">
        <v>278</v>
      </c>
      <c r="D16" t="s">
        <v>76</v>
      </c>
    </row>
    <row r="17" spans="1:4" x14ac:dyDescent="0.25">
      <c r="A17">
        <v>15</v>
      </c>
      <c r="B17" t="s">
        <v>77</v>
      </c>
      <c r="C17" t="s">
        <v>278</v>
      </c>
      <c r="D17" t="s">
        <v>78</v>
      </c>
    </row>
    <row r="18" spans="1:4" x14ac:dyDescent="0.25">
      <c r="A18">
        <v>16</v>
      </c>
      <c r="B18" t="s">
        <v>79</v>
      </c>
      <c r="C18" t="s">
        <v>278</v>
      </c>
      <c r="D18" t="s">
        <v>80</v>
      </c>
    </row>
    <row r="19" spans="1:4" x14ac:dyDescent="0.25">
      <c r="A19">
        <v>17</v>
      </c>
      <c r="B19" t="s">
        <v>82</v>
      </c>
      <c r="C19" t="s">
        <v>278</v>
      </c>
      <c r="D19" t="s">
        <v>83</v>
      </c>
    </row>
    <row r="20" spans="1:4" x14ac:dyDescent="0.25">
      <c r="A20">
        <v>18</v>
      </c>
      <c r="B20" t="s">
        <v>85</v>
      </c>
      <c r="C20" t="s">
        <v>278</v>
      </c>
      <c r="D20" t="s">
        <v>86</v>
      </c>
    </row>
    <row r="21" spans="1:4" x14ac:dyDescent="0.25">
      <c r="A21">
        <v>19</v>
      </c>
      <c r="B21" t="s">
        <v>88</v>
      </c>
      <c r="C21" t="s">
        <v>278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257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Q14" sqref="Q14"/>
    </sheetView>
  </sheetViews>
  <sheetFormatPr defaultRowHeight="15" x14ac:dyDescent="0.25"/>
  <sheetData>
    <row r="1" spans="1:11" x14ac:dyDescent="0.25">
      <c r="A1" s="341" t="s">
        <v>237</v>
      </c>
      <c r="B1" s="342"/>
      <c r="C1" s="342"/>
      <c r="D1" s="342"/>
      <c r="E1" s="342"/>
      <c r="F1" s="342"/>
      <c r="G1" s="342"/>
      <c r="H1" s="342" t="s">
        <v>238</v>
      </c>
      <c r="I1" s="342"/>
      <c r="J1" s="342"/>
      <c r="K1" s="343"/>
    </row>
    <row r="2" spans="1:11" x14ac:dyDescent="0.25">
      <c r="A2" s="344">
        <v>1</v>
      </c>
      <c r="B2" s="345" t="s">
        <v>254</v>
      </c>
      <c r="C2" s="345"/>
      <c r="D2" s="345"/>
      <c r="E2" s="345"/>
      <c r="F2" s="345"/>
      <c r="G2" s="345"/>
      <c r="H2" s="345"/>
      <c r="I2" s="345"/>
      <c r="J2" s="345"/>
      <c r="K2" s="346"/>
    </row>
    <row r="3" spans="1:11" x14ac:dyDescent="0.25">
      <c r="A3" s="344">
        <v>2</v>
      </c>
      <c r="B3" s="345" t="s">
        <v>239</v>
      </c>
      <c r="C3" s="345"/>
      <c r="D3" s="345"/>
      <c r="E3" s="345"/>
      <c r="F3" s="345"/>
      <c r="G3" s="345"/>
      <c r="H3" s="345"/>
      <c r="I3" s="345"/>
      <c r="J3" s="345"/>
      <c r="K3" s="346"/>
    </row>
    <row r="4" spans="1:11" x14ac:dyDescent="0.25">
      <c r="A4" s="344">
        <v>3</v>
      </c>
      <c r="B4" s="345" t="s">
        <v>240</v>
      </c>
      <c r="C4" s="345"/>
      <c r="D4" s="345"/>
      <c r="E4" s="345"/>
      <c r="F4" s="345"/>
      <c r="G4" s="345"/>
      <c r="H4" s="345"/>
      <c r="I4" s="345"/>
      <c r="J4" s="345"/>
      <c r="K4" s="346"/>
    </row>
    <row r="5" spans="1:11" x14ac:dyDescent="0.25">
      <c r="A5" s="347">
        <v>4</v>
      </c>
      <c r="B5" s="348" t="s">
        <v>241</v>
      </c>
      <c r="C5" s="348"/>
      <c r="D5" s="348"/>
      <c r="E5" s="348"/>
      <c r="F5" s="348"/>
      <c r="G5" s="348"/>
      <c r="H5" s="348"/>
      <c r="I5" s="348"/>
      <c r="J5" s="348"/>
      <c r="K5" s="349"/>
    </row>
    <row r="8" spans="1:11" x14ac:dyDescent="0.25">
      <c r="A8" t="s">
        <v>227</v>
      </c>
      <c r="B8" t="s">
        <v>228</v>
      </c>
      <c r="C8" t="s">
        <v>229</v>
      </c>
      <c r="D8" t="s">
        <v>255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3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25">
      <c r="A10" t="s">
        <v>226</v>
      </c>
    </row>
    <row r="11" spans="1:11" x14ac:dyDescent="0.2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2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25">
      <c r="B13">
        <v>3</v>
      </c>
      <c r="C13" t="s">
        <v>50</v>
      </c>
      <c r="D13" t="s">
        <v>235</v>
      </c>
      <c r="E13" s="334">
        <v>-0.2117</v>
      </c>
      <c r="F13">
        <v>0</v>
      </c>
    </row>
    <row r="14" spans="1:11" x14ac:dyDescent="0.25">
      <c r="B14">
        <v>4</v>
      </c>
      <c r="C14" t="s">
        <v>53</v>
      </c>
      <c r="D14" t="s">
        <v>236</v>
      </c>
      <c r="E14" s="334">
        <v>0.27120783067900001</v>
      </c>
      <c r="F14">
        <v>0.28080475059900001</v>
      </c>
    </row>
    <row r="15" spans="1:11" x14ac:dyDescent="0.2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58</v>
      </c>
      <c r="D16" t="s">
        <v>236</v>
      </c>
      <c r="E16" s="334">
        <v>-8.2865473150899996E-2</v>
      </c>
      <c r="F16">
        <v>0.12955742148800001</v>
      </c>
    </row>
    <row r="17" spans="2:6" x14ac:dyDescent="0.2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63</v>
      </c>
      <c r="D18" t="s">
        <v>235</v>
      </c>
      <c r="E18" s="334">
        <v>6.9400000000000003E-2</v>
      </c>
      <c r="F18">
        <v>0</v>
      </c>
    </row>
    <row r="19" spans="2:6" x14ac:dyDescent="0.25">
      <c r="B19">
        <v>9</v>
      </c>
      <c r="C19" t="s">
        <v>65</v>
      </c>
      <c r="D19" t="s">
        <v>236</v>
      </c>
      <c r="E19" s="334">
        <v>-9.5820044919499997E-2</v>
      </c>
      <c r="F19">
        <v>0.17082561533000001</v>
      </c>
    </row>
    <row r="20" spans="2:6" x14ac:dyDescent="0.2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2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2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236</v>
      </c>
      <c r="E30">
        <v>0.63771148688699997</v>
      </c>
      <c r="F30" s="334">
        <v>6.0015015733300002E-2</v>
      </c>
    </row>
    <row r="31" spans="2:6" x14ac:dyDescent="0.2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97</v>
      </c>
      <c r="D33" t="s">
        <v>236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99</v>
      </c>
      <c r="D34" t="s">
        <v>236</v>
      </c>
      <c r="E34">
        <v>0.10429329553199999</v>
      </c>
      <c r="F34" s="334">
        <v>1.6423300294899999E-2</v>
      </c>
    </row>
    <row r="35" spans="2:6" x14ac:dyDescent="0.25">
      <c r="B35">
        <v>25</v>
      </c>
      <c r="C35" t="s">
        <v>102</v>
      </c>
      <c r="D35" t="s">
        <v>235</v>
      </c>
      <c r="E35">
        <v>0</v>
      </c>
      <c r="F35" s="334">
        <v>0</v>
      </c>
    </row>
    <row r="36" spans="2:6" x14ac:dyDescent="0.25">
      <c r="B36">
        <v>26</v>
      </c>
      <c r="C36" t="s">
        <v>104</v>
      </c>
      <c r="D36" t="s">
        <v>236</v>
      </c>
      <c r="E36">
        <v>0.417326479157</v>
      </c>
      <c r="F36" s="334">
        <v>9.4301876730200004E-2</v>
      </c>
    </row>
    <row r="37" spans="2:6" x14ac:dyDescent="0.2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109</v>
      </c>
      <c r="D40" t="s">
        <v>236</v>
      </c>
      <c r="E40">
        <v>-0.91046169190000004</v>
      </c>
      <c r="F40" s="334">
        <v>9.2244527309799998E-2</v>
      </c>
    </row>
    <row r="41" spans="2:6" x14ac:dyDescent="0.25">
      <c r="B41">
        <v>31</v>
      </c>
      <c r="C41" t="s">
        <v>111</v>
      </c>
      <c r="D41" t="s">
        <v>236</v>
      </c>
      <c r="E41" s="334">
        <v>5.7553461640599997E-2</v>
      </c>
      <c r="F41" s="334">
        <v>1.69631861578E-2</v>
      </c>
    </row>
    <row r="42" spans="2:6" x14ac:dyDescent="0.25">
      <c r="B42">
        <v>32</v>
      </c>
      <c r="C42" t="s">
        <v>113</v>
      </c>
      <c r="D42" t="s">
        <v>236</v>
      </c>
      <c r="E42">
        <v>0.237798002151</v>
      </c>
      <c r="F42" s="334">
        <v>2.05709725741E-2</v>
      </c>
    </row>
    <row r="43" spans="2:6" x14ac:dyDescent="0.25">
      <c r="B43">
        <v>33</v>
      </c>
      <c r="C43" t="s">
        <v>115</v>
      </c>
      <c r="D43" t="s">
        <v>235</v>
      </c>
      <c r="E43">
        <v>0</v>
      </c>
      <c r="F43" s="334">
        <v>0</v>
      </c>
    </row>
    <row r="44" spans="2:6" x14ac:dyDescent="0.25">
      <c r="B44">
        <v>34</v>
      </c>
      <c r="C44" t="s">
        <v>117</v>
      </c>
      <c r="D44" t="s">
        <v>235</v>
      </c>
      <c r="E44">
        <v>0</v>
      </c>
      <c r="F44" s="334">
        <v>0</v>
      </c>
    </row>
    <row r="45" spans="2:6" x14ac:dyDescent="0.25">
      <c r="B45">
        <v>35</v>
      </c>
      <c r="C45" t="s">
        <v>120</v>
      </c>
      <c r="D45" t="s">
        <v>235</v>
      </c>
      <c r="E45">
        <v>0</v>
      </c>
      <c r="F45" s="334">
        <v>0</v>
      </c>
    </row>
    <row r="46" spans="2:6" x14ac:dyDescent="0.25">
      <c r="B46">
        <v>36</v>
      </c>
      <c r="C46" t="s">
        <v>122</v>
      </c>
      <c r="D46" t="s">
        <v>236</v>
      </c>
      <c r="E46" s="334">
        <v>0.61259135262599995</v>
      </c>
      <c r="F46" s="334">
        <v>9.8788050589500007E-2</v>
      </c>
    </row>
    <row r="47" spans="2:6" x14ac:dyDescent="0.2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128</v>
      </c>
      <c r="D51" t="s">
        <v>236</v>
      </c>
      <c r="E51">
        <v>-0.22141031751900001</v>
      </c>
      <c r="F51" s="334">
        <v>1.8224220405400001E-2</v>
      </c>
    </row>
    <row r="52" spans="2:6" x14ac:dyDescent="0.25">
      <c r="B52">
        <v>42</v>
      </c>
      <c r="C52" t="s">
        <v>130</v>
      </c>
      <c r="D52" t="s">
        <v>236</v>
      </c>
      <c r="E52">
        <v>0.64228876129599999</v>
      </c>
      <c r="F52" s="334">
        <v>2.3327425635499999E-2</v>
      </c>
    </row>
    <row r="53" spans="2:6" x14ac:dyDescent="0.25">
      <c r="B53">
        <v>43</v>
      </c>
      <c r="C53" t="s">
        <v>132</v>
      </c>
      <c r="D53" t="s">
        <v>236</v>
      </c>
      <c r="E53">
        <v>0.74588429254199995</v>
      </c>
      <c r="F53" s="334">
        <v>9.8514285453599998E-2</v>
      </c>
    </row>
    <row r="54" spans="2:6" x14ac:dyDescent="0.2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142</v>
      </c>
      <c r="D58" t="s">
        <v>236</v>
      </c>
      <c r="E58">
        <v>0.65760260093900003</v>
      </c>
      <c r="F58" s="334">
        <v>2.9500746847800002E-2</v>
      </c>
    </row>
    <row r="59" spans="2:6" x14ac:dyDescent="0.25">
      <c r="B59">
        <v>49</v>
      </c>
      <c r="C59" t="s">
        <v>144</v>
      </c>
      <c r="D59" t="s">
        <v>236</v>
      </c>
      <c r="E59">
        <v>0.201576719663</v>
      </c>
      <c r="F59" s="334">
        <v>0.11309559824400001</v>
      </c>
    </row>
    <row r="60" spans="2:6" x14ac:dyDescent="0.25">
      <c r="B60">
        <v>50</v>
      </c>
      <c r="C60" t="s">
        <v>145</v>
      </c>
      <c r="D60" t="s">
        <v>236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146</v>
      </c>
      <c r="D61" t="s">
        <v>236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147</v>
      </c>
      <c r="D62" t="s">
        <v>236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148</v>
      </c>
      <c r="D63" t="s">
        <v>236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149</v>
      </c>
      <c r="D64" t="s">
        <v>236</v>
      </c>
      <c r="E64">
        <v>0.20818008309700001</v>
      </c>
      <c r="F64" s="334">
        <v>4.2700310294800002E-2</v>
      </c>
    </row>
    <row r="65" spans="2:6" x14ac:dyDescent="0.25">
      <c r="B65">
        <v>55</v>
      </c>
      <c r="C65" t="s">
        <v>151</v>
      </c>
      <c r="D65" t="s">
        <v>236</v>
      </c>
      <c r="E65">
        <v>0.42522231451499998</v>
      </c>
      <c r="F65" s="334">
        <v>4.5274903018000003E-2</v>
      </c>
    </row>
    <row r="66" spans="2:6" x14ac:dyDescent="0.25">
      <c r="B66">
        <v>56</v>
      </c>
      <c r="C66" t="s">
        <v>152</v>
      </c>
      <c r="D66" t="s">
        <v>236</v>
      </c>
      <c r="E66">
        <v>-0.743588483327</v>
      </c>
      <c r="F66" s="334">
        <v>4.4293261467400001E-2</v>
      </c>
    </row>
    <row r="67" spans="2:6" x14ac:dyDescent="0.25">
      <c r="B67">
        <v>57</v>
      </c>
      <c r="C67" t="s">
        <v>153</v>
      </c>
      <c r="D67" t="s">
        <v>235</v>
      </c>
      <c r="E67" s="334">
        <v>6.2100000000000002E-2</v>
      </c>
      <c r="F67" s="334">
        <v>0</v>
      </c>
    </row>
    <row r="68" spans="2:6" x14ac:dyDescent="0.25">
      <c r="B68">
        <v>118</v>
      </c>
      <c r="C68" t="s">
        <v>257</v>
      </c>
      <c r="D68" t="s">
        <v>235</v>
      </c>
      <c r="E68" s="334">
        <v>-3</v>
      </c>
      <c r="F68" s="334">
        <v>0</v>
      </c>
    </row>
    <row r="69" spans="2:6" x14ac:dyDescent="0.25">
      <c r="B69">
        <v>70</v>
      </c>
      <c r="C69" t="s">
        <v>154</v>
      </c>
      <c r="D69" t="s">
        <v>236</v>
      </c>
      <c r="E69">
        <v>0.29394695214400002</v>
      </c>
      <c r="F69" s="334">
        <v>8.1089668188599993E-3</v>
      </c>
    </row>
    <row r="70" spans="2:6" x14ac:dyDescent="0.2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2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2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2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2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2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2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2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2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2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2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4">
        <v>-5981.59020986</v>
      </c>
      <c r="D114" s="334">
        <v>-29805.783655800002</v>
      </c>
      <c r="E114" s="334">
        <v>-17292.021287899999</v>
      </c>
    </row>
    <row r="115" spans="1:11" x14ac:dyDescent="0.2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opLeftCell="A31" workbookViewId="0" zoomScaleNormal="100">
      <selection activeCell="N51" sqref="N51"/>
    </sheetView>
  </sheetViews>
  <sheetFormatPr defaultColWidth="9.140625" defaultRowHeight="15" x14ac:dyDescent="0.25"/>
  <cols>
    <col min="1" max="2" style="295" width="9.140625" collapsed="true"/>
    <col min="3" max="3" bestFit="true" customWidth="true" style="295" width="12.7109375" collapsed="true"/>
    <col min="4" max="4" customWidth="true" style="294" width="18.85546875" collapsed="true"/>
    <col min="5" max="5" customWidth="true" style="295" width="6.710937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5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ht="15.75" r="2" spans="3:23" thickBot="1" x14ac:dyDescent="0.3">
      <c r="C2" s="296" t="s">
        <v>42</v>
      </c>
      <c r="M2" s="10" t="s">
        <v>90</v>
      </c>
      <c r="N2" s="10" t="s">
        <v>259</v>
      </c>
      <c r="O2" s="10" t="s">
        <v>260</v>
      </c>
      <c r="P2" s="359" t="s">
        <v>264</v>
      </c>
      <c r="Q2" s="356" t="s">
        <v>262</v>
      </c>
      <c r="T2" s="320"/>
      <c r="U2" s="296" t="s">
        <v>265</v>
      </c>
      <c r="V2"/>
      <c r="W2" s="320"/>
    </row>
    <row r="3" spans="3:23" x14ac:dyDescent="0.25">
      <c r="C3" s="298" t="s">
        <v>3</v>
      </c>
      <c r="D3" s="299" t="s">
        <v>43</v>
      </c>
      <c r="F3" s="298" t="s">
        <v>3</v>
      </c>
      <c r="G3" s="299" t="s">
        <v>43</v>
      </c>
      <c r="H3" s="367"/>
      <c r="I3" s="367"/>
      <c r="J3" s="367"/>
      <c r="K3" s="367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7">
        <f>_xlfn.IFNA(VLOOKUP(N3,$B$43:$D$46,3,FALSE),P3)</f>
        <v>1</v>
      </c>
      <c r="T3">
        <v>1</v>
      </c>
      <c r="U3" s="293" t="s">
        <v>283</v>
      </c>
      <c r="V3"/>
      <c r="W3" s="320"/>
    </row>
    <row r="4" spans="3:23" x14ac:dyDescent="0.25">
      <c r="C4" s="301" t="s">
        <v>46</v>
      </c>
      <c r="D4" s="302">
        <f>TLFD!B11</f>
        <v>21714.358144943399</v>
      </c>
      <c r="F4" s="301" t="s">
        <v>46</v>
      </c>
      <c r="G4" s="302">
        <f>TLFD!F11</f>
        <v>28064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7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25">
      <c r="C5" s="304" t="s">
        <v>49</v>
      </c>
      <c r="D5" s="305">
        <f>TLFD!B12+TLFD!B13+(TLFD!B14/2)</f>
        <v>31856.220222143249</v>
      </c>
      <c r="F5" s="304" t="s">
        <v>49</v>
      </c>
      <c r="G5" s="305">
        <f>TLFD!F12+TLFD!F13+(TLFD!F14/2)</f>
        <v>53725.5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7">
        <f ref="Q5:Q68" si="0" t="shared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25">
      <c r="C6" s="304" t="s">
        <v>52</v>
      </c>
      <c r="D6" s="305">
        <f>(TLFD!B14/2)+SUM(TLFD!B15:B20)</f>
        <v>28926.974911441852</v>
      </c>
      <c r="F6" s="304" t="s">
        <v>52</v>
      </c>
      <c r="G6" s="305">
        <f>(TLFD!F14/2)+SUM(TLFD!F15:F20)</f>
        <v>91776.5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7">
        <f si="0" t="shared"/>
        <v>0.27120783067900001</v>
      </c>
      <c r="T6">
        <v>4</v>
      </c>
      <c r="U6" s="320" t="s">
        <v>269</v>
      </c>
      <c r="V6" s="320"/>
      <c r="W6" s="320"/>
    </row>
    <row r="7" spans="3:23" x14ac:dyDescent="0.25">
      <c r="C7" s="307" t="s">
        <v>55</v>
      </c>
      <c r="D7" s="308">
        <f>SUM(TLFD!B21:B101)</f>
        <v>18474.8439592463</v>
      </c>
      <c r="F7" s="307" t="s">
        <v>55</v>
      </c>
      <c r="G7" s="308">
        <f>SUM(TLFD!F21:F101)</f>
        <v>43053</v>
      </c>
      <c r="H7" s="368"/>
      <c r="I7" s="368"/>
      <c r="J7" s="368"/>
      <c r="K7" s="368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7">
        <f si="0" t="shared"/>
        <v>-0.34490013167299999</v>
      </c>
      <c r="T7" s="320">
        <v>5</v>
      </c>
      <c r="U7" s="320" t="s">
        <v>270</v>
      </c>
      <c r="V7" s="320"/>
      <c r="W7" s="320"/>
    </row>
    <row ht="15.75" r="8" spans="3:23" thickBot="1" x14ac:dyDescent="0.3">
      <c r="C8" s="310" t="s">
        <v>4</v>
      </c>
      <c r="D8" s="311">
        <f>SUM(D4:D7)</f>
        <v>100972.3972377748</v>
      </c>
      <c r="E8" s="312"/>
      <c r="F8" s="310" t="s">
        <v>4</v>
      </c>
      <c r="G8" s="311">
        <f>SUM(G4:G7)</f>
        <v>216619</v>
      </c>
      <c r="H8" s="369"/>
      <c r="I8" s="369"/>
      <c r="J8" s="369"/>
      <c r="K8" s="369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7">
        <f si="0" t="shared"/>
        <v>-8.2865473150899996E-2</v>
      </c>
      <c r="T8" s="320"/>
      <c r="U8" s="320"/>
      <c r="V8" s="320"/>
      <c r="W8" s="320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7">
        <f si="0" t="shared"/>
        <v>-3.9895313632499998</v>
      </c>
      <c r="T9" s="320"/>
      <c r="U9" s="358" t="s">
        <v>271</v>
      </c>
      <c r="V9" s="320"/>
      <c r="W9" s="320"/>
    </row>
    <row ht="15.75" r="10" spans="3:23" thickBot="1" x14ac:dyDescent="0.3">
      <c r="C10" s="313" t="s">
        <v>62</v>
      </c>
      <c r="I10" s="378" t="s">
        <v>284</v>
      </c>
      <c r="J10" s="374"/>
      <c r="K10" s="374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7">
        <f si="0" t="shared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25">
      <c r="C11" s="298" t="s">
        <v>3</v>
      </c>
      <c r="D11" s="299" t="s">
        <v>43</v>
      </c>
      <c r="F11" s="298" t="s">
        <v>3</v>
      </c>
      <c r="G11" s="299" t="s">
        <v>43</v>
      </c>
      <c r="H11" s="367"/>
      <c r="I11" s="299" t="s">
        <v>280</v>
      </c>
      <c r="J11" s="299" t="s">
        <v>281</v>
      </c>
      <c r="K11" s="299" t="s">
        <v>282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7">
        <f si="0" t="shared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25">
      <c r="C12" s="301" t="s">
        <v>46</v>
      </c>
      <c r="D12" s="315">
        <f>D4/D$8</f>
        <v>0.21505241768014433</v>
      </c>
      <c r="F12" s="301" t="s">
        <v>46</v>
      </c>
      <c r="G12" s="315">
        <f>G4/G$8</f>
        <v>0.12955465587044535</v>
      </c>
      <c r="H12" s="315"/>
      <c r="I12" s="372">
        <f>D12/G12</f>
        <v>1.659935848968614</v>
      </c>
      <c r="J12" s="371">
        <f>LN(I12)</f>
        <v>0.50677895642207682</v>
      </c>
      <c r="K12" s="371">
        <f>J12</f>
        <v>0.50677895642207682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7">
        <f si="0" t="shared"/>
        <v>0.517563261484</v>
      </c>
      <c r="T12" s="320">
        <v>3</v>
      </c>
      <c r="U12" s="320" t="s">
        <v>273</v>
      </c>
      <c r="V12" s="320"/>
      <c r="W12" s="320"/>
    </row>
    <row r="13" spans="3:23" x14ac:dyDescent="0.25">
      <c r="C13" s="304" t="s">
        <v>49</v>
      </c>
      <c r="D13" s="316">
        <f ref="D13:D16" si="1" t="shared">D5/D$8</f>
        <v>0.31549434393566633</v>
      </c>
      <c r="F13" s="304" t="s">
        <v>49</v>
      </c>
      <c r="G13" s="316">
        <f ref="G13:G16" si="2" t="shared">G5/G$8</f>
        <v>0.24801841020409104</v>
      </c>
      <c r="H13" s="316"/>
      <c r="I13" s="372">
        <f ref="I13:I15" si="3" t="shared">D13/G13</f>
        <v>1.2720601816455892</v>
      </c>
      <c r="J13" s="371">
        <f ref="J13:J15" si="4" t="shared">LN(I13)</f>
        <v>0.24063777641318088</v>
      </c>
      <c r="K13" s="371">
        <f>J13-J12</f>
        <v>-0.26614118000889597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7">
        <f si="0" t="shared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25">
      <c r="C14" s="304" t="s">
        <v>52</v>
      </c>
      <c r="D14" s="316">
        <f si="1" t="shared"/>
        <v>0.28648398674068498</v>
      </c>
      <c r="F14" s="304" t="s">
        <v>52</v>
      </c>
      <c r="G14" s="316">
        <f si="2" t="shared"/>
        <v>0.42367705510596948</v>
      </c>
      <c r="H14" s="316"/>
      <c r="I14" s="372">
        <f si="3" t="shared"/>
        <v>0.67618480464803554</v>
      </c>
      <c r="J14" s="371">
        <f si="4" t="shared"/>
        <v>-0.39128886064372498</v>
      </c>
      <c r="K14" s="371">
        <f>J14-J13-J12</f>
        <v>-1.1387055934789827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7">
        <f si="0" t="shared"/>
        <v>-0.80534348065299999</v>
      </c>
      <c r="T14" s="320">
        <v>5</v>
      </c>
      <c r="U14" s="293" t="s">
        <v>275</v>
      </c>
      <c r="V14" s="320"/>
      <c r="W14" s="320"/>
    </row>
    <row ht="15.75" r="15" spans="3:23" thickBot="1" x14ac:dyDescent="0.3">
      <c r="C15" s="307" t="s">
        <v>55</v>
      </c>
      <c r="D15" s="316">
        <f si="1" t="shared"/>
        <v>0.18296925164350433</v>
      </c>
      <c r="F15" s="307" t="s">
        <v>55</v>
      </c>
      <c r="G15" s="316">
        <f si="2" t="shared"/>
        <v>0.19874987881949413</v>
      </c>
      <c r="H15" s="316"/>
      <c r="I15" s="373">
        <f si="3" t="shared"/>
        <v>0.92060056957155756</v>
      </c>
      <c r="J15" s="375">
        <f si="4" t="shared"/>
        <v>-8.2729028903165705E-2</v>
      </c>
      <c r="K15" s="375">
        <f>J15-J14-J13-J12</f>
        <v>-0.43885690109469844</v>
      </c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7">
        <f si="0" t="shared"/>
        <v>-0.51977799879300002</v>
      </c>
      <c r="T15" s="320">
        <v>6</v>
      </c>
      <c r="U15" s="320" t="s">
        <v>276</v>
      </c>
      <c r="V15" s="320"/>
      <c r="W15" s="320"/>
    </row>
    <row ht="15.75" r="16" spans="3:23" thickBot="1" x14ac:dyDescent="0.3">
      <c r="C16" s="310" t="s">
        <v>4</v>
      </c>
      <c r="D16" s="318">
        <f si="1" t="shared"/>
        <v>1</v>
      </c>
      <c r="E16" s="312"/>
      <c r="F16" s="310" t="s">
        <v>4</v>
      </c>
      <c r="G16" s="318">
        <f si="2" t="shared"/>
        <v>1</v>
      </c>
      <c r="H16" s="370"/>
      <c r="I16" s="372"/>
      <c r="J16" s="372"/>
      <c r="K16" s="372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7">
        <f si="0" t="shared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7">
        <f si="0" t="shared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25">
      <c r="F18" s="376"/>
      <c r="G18" s="377"/>
      <c r="H18" s="377"/>
      <c r="I18" s="377"/>
      <c r="J18" s="377"/>
      <c r="K18" s="371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7">
        <f si="0" t="shared"/>
        <v>-0.493022087256</v>
      </c>
    </row>
    <row r="19" spans="2:23" x14ac:dyDescent="0.25">
      <c r="C19" s="319" t="s">
        <v>81</v>
      </c>
      <c r="F19" s="376"/>
      <c r="G19" s="377"/>
      <c r="H19" s="377"/>
      <c r="I19" s="377"/>
      <c r="J19" s="377"/>
      <c r="K19" s="371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7">
        <f si="0" t="shared"/>
        <v>0</v>
      </c>
    </row>
    <row r="20" spans="2:23" x14ac:dyDescent="0.25">
      <c r="C20" s="319" t="s">
        <v>84</v>
      </c>
      <c r="F20" s="376"/>
      <c r="G20" s="377"/>
      <c r="H20" s="377"/>
      <c r="I20" s="377"/>
      <c r="J20" s="377"/>
      <c r="K20" s="371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7">
        <f si="0" t="shared"/>
        <v>0</v>
      </c>
    </row>
    <row ht="15.75" r="21" spans="2:23" thickBot="1" x14ac:dyDescent="0.3">
      <c r="C21" s="320"/>
      <c r="F21" s="376"/>
      <c r="G21" s="377"/>
      <c r="H21" s="377"/>
      <c r="I21" s="377"/>
      <c r="J21" s="377"/>
      <c r="K21" s="371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7">
        <f si="0" t="shared"/>
        <v>0</v>
      </c>
    </row>
    <row r="22" spans="2:23" x14ac:dyDescent="0.25">
      <c r="B22" s="350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7">
        <f si="0" t="shared"/>
        <v>0.63771148688699997</v>
      </c>
    </row>
    <row r="23" spans="2:23" x14ac:dyDescent="0.25">
      <c r="B23" s="351">
        <v>21</v>
      </c>
      <c r="C23" s="301" t="s">
        <v>46</v>
      </c>
      <c r="D23" s="363">
        <f>_xlfn.IFNA(VLOOKUP($B23,$N$3:$P$104,3,FALSE),0)</f>
        <v>-12.0946718381</v>
      </c>
      <c r="G23" s="366"/>
      <c r="H23" s="366"/>
      <c r="I23" s="366"/>
      <c r="J23" s="366"/>
      <c r="K23" s="366"/>
      <c r="M23" s="295" t="str">
        <f>VLOOKUP(N23,Coeff_Descr!$A:$D,3,FALSE)</f>
        <v>ESCORT</v>
      </c>
      <c r="N23" s="335">
        <f>OtherTourDestination!B31</f>
        <v>21</v>
      </c>
      <c r="O23" s="335" t="str">
        <f>OtherTourDestination!C31</f>
        <v>Beta00021</v>
      </c>
      <c r="P23" s="335">
        <f>OtherTourDestination!E31</f>
        <v>-12.0946718381</v>
      </c>
      <c r="Q23" s="357">
        <f si="0" t="shared"/>
        <v>-11.587892881677924</v>
      </c>
      <c r="R23" s="295" t="str">
        <f>VLOOKUP(N23,Coeff_Descr!$A$2:$E$104,4,FALSE)</f>
        <v>distanceFromOrigin4</v>
      </c>
    </row>
    <row r="24" spans="2:23" x14ac:dyDescent="0.25">
      <c r="B24" s="351">
        <v>22</v>
      </c>
      <c r="C24" s="304" t="s">
        <v>49</v>
      </c>
      <c r="D24" s="364">
        <f ref="D24:D26" si="5" t="shared">_xlfn.IFNA(VLOOKUP($B24,$N$3:$P$104,3,FALSE),0)</f>
        <v>-4.03623745316</v>
      </c>
      <c r="F24" s="365"/>
      <c r="M24" s="295" t="str">
        <f>VLOOKUP(N24,Coeff_Descr!$A:$D,3,FALSE)</f>
        <v>ESCORT</v>
      </c>
      <c r="N24" s="335">
        <f>OtherTourDestination!B32</f>
        <v>22</v>
      </c>
      <c r="O24" s="335" t="str">
        <f>OtherTourDestination!C32</f>
        <v>Beta00022</v>
      </c>
      <c r="P24" s="335">
        <f>OtherTourDestination!E32</f>
        <v>-4.03623745316</v>
      </c>
      <c r="Q24" s="357">
        <f si="0" t="shared"/>
        <v>-4.302378633168896</v>
      </c>
      <c r="R24" s="295" t="str">
        <f>VLOOKUP(N24,Coeff_Descr!$A$2:$E$104,4,FALSE)</f>
        <v>distanceFromOrigin8</v>
      </c>
    </row>
    <row r="25" spans="2:23" x14ac:dyDescent="0.25">
      <c r="B25" s="351">
        <v>23</v>
      </c>
      <c r="C25" s="304" t="s">
        <v>52</v>
      </c>
      <c r="D25" s="364">
        <f si="5" t="shared"/>
        <v>-2.16371815818</v>
      </c>
      <c r="M25" s="295" t="str">
        <f>VLOOKUP(N25,Coeff_Descr!$A:$D,3,FALSE)</f>
        <v>ESCORT</v>
      </c>
      <c r="N25" s="335">
        <f>OtherTourDestination!B33</f>
        <v>23</v>
      </c>
      <c r="O25" s="335" t="str">
        <f>OtherTourDestination!C33</f>
        <v>Beta00023</v>
      </c>
      <c r="P25" s="335">
        <f>OtherTourDestination!E33</f>
        <v>-2.16371815818</v>
      </c>
      <c r="Q25" s="357">
        <f si="0" t="shared"/>
        <v>-3.3024237516589827</v>
      </c>
      <c r="R25" s="295" t="str">
        <f>VLOOKUP(N25,Coeff_Descr!$A$2:$E$104,4,FALSE)</f>
        <v>distanceFromOrigin9</v>
      </c>
    </row>
    <row ht="15.75" r="26" spans="2:23" thickBot="1" x14ac:dyDescent="0.3">
      <c r="B26" s="352"/>
      <c r="C26" s="324" t="s">
        <v>55</v>
      </c>
      <c r="D26" s="362">
        <f si="5" t="shared"/>
        <v>0</v>
      </c>
      <c r="E26" s="295" t="s">
        <v>279</v>
      </c>
      <c r="M26" s="295" t="str">
        <f>VLOOKUP(N26,Coeff_Descr!$A:$D,3,FALSE)</f>
        <v>ESCORT</v>
      </c>
      <c r="N26" s="332">
        <f>OtherTourDestination!B34</f>
        <v>24</v>
      </c>
      <c r="O26" s="332" t="str">
        <f>OtherTourDestination!C34</f>
        <v>Beta00024</v>
      </c>
      <c r="P26" s="332">
        <f>OtherTourDestination!E34</f>
        <v>0.10429329553199999</v>
      </c>
      <c r="Q26" s="357">
        <f si="0" t="shared"/>
        <v>0.10429329553199999</v>
      </c>
    </row>
    <row r="27" spans="2:23" x14ac:dyDescent="0.25">
      <c r="C27" s="320"/>
      <c r="D27" s="326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7">
        <f si="0" t="shared"/>
        <v>0</v>
      </c>
    </row>
    <row r="28" spans="2:23" x14ac:dyDescent="0.25">
      <c r="C28" s="320"/>
      <c r="D28" s="326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7">
        <f si="0" t="shared"/>
        <v>0.417326479157</v>
      </c>
    </row>
    <row r="29" spans="2:23" x14ac:dyDescent="0.25">
      <c r="C29" s="319" t="s">
        <v>81</v>
      </c>
      <c r="D29" s="327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7">
        <f si="0" t="shared"/>
        <v>-14.8384910501</v>
      </c>
    </row>
    <row r="30" spans="2:23" x14ac:dyDescent="0.25">
      <c r="C30" s="319" t="s">
        <v>106</v>
      </c>
      <c r="D30" s="327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7">
        <f si="0" t="shared"/>
        <v>-5.1880432348000003</v>
      </c>
    </row>
    <row ht="15.75" r="31" spans="2:23" thickBot="1" x14ac:dyDescent="0.3">
      <c r="C31" s="320"/>
      <c r="D31" s="326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7">
        <f si="0" t="shared"/>
        <v>-2.6156308707</v>
      </c>
    </row>
    <row r="32" spans="2:23" x14ac:dyDescent="0.25">
      <c r="B32" s="350" t="s">
        <v>259</v>
      </c>
      <c r="C32" s="321" t="s">
        <v>90</v>
      </c>
      <c r="D32" s="322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7">
        <f si="0" t="shared"/>
        <v>-0.91046169190000004</v>
      </c>
    </row>
    <row r="33" spans="2:17" x14ac:dyDescent="0.25">
      <c r="B33" s="351">
        <f>B23</f>
        <v>21</v>
      </c>
      <c r="C33" s="301" t="s">
        <v>46</v>
      </c>
      <c r="D33" s="323">
        <f>K12</f>
        <v>0.50677895642207682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7">
        <f si="0" t="shared"/>
        <v>5.7553461640599997E-2</v>
      </c>
    </row>
    <row r="34" spans="2:17" x14ac:dyDescent="0.25">
      <c r="B34" s="351">
        <f ref="B34:B36" si="6" t="shared">B24</f>
        <v>22</v>
      </c>
      <c r="C34" s="304" t="s">
        <v>49</v>
      </c>
      <c r="D34" s="323">
        <f ref="D34:D36" si="7" t="shared">K13</f>
        <v>-0.26614118000889597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7">
        <f si="0" t="shared"/>
        <v>0.237798002151</v>
      </c>
    </row>
    <row r="35" spans="2:17" x14ac:dyDescent="0.25">
      <c r="B35" s="351">
        <f si="6" t="shared"/>
        <v>23</v>
      </c>
      <c r="C35" s="304" t="s">
        <v>52</v>
      </c>
      <c r="D35" s="323">
        <f si="7" t="shared"/>
        <v>-1.1387055934789827</v>
      </c>
      <c r="G35" s="328"/>
      <c r="H35" s="328"/>
      <c r="I35" s="328"/>
      <c r="J35" s="328"/>
      <c r="K35" s="328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7">
        <f si="0" t="shared"/>
        <v>0</v>
      </c>
    </row>
    <row ht="15.75" r="36" spans="2:17" thickBot="1" x14ac:dyDescent="0.3">
      <c r="B36" s="352">
        <f si="6" t="shared"/>
        <v>0</v>
      </c>
      <c r="C36" s="324" t="s">
        <v>55</v>
      </c>
      <c r="D36" s="325">
        <f si="7" t="shared"/>
        <v>-0.43885690109469844</v>
      </c>
      <c r="G36" s="329"/>
      <c r="H36" s="329"/>
      <c r="I36" s="329"/>
      <c r="J36" s="329"/>
      <c r="K36" s="329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7">
        <f si="0" t="shared"/>
        <v>0</v>
      </c>
    </row>
    <row r="37" spans="2:17" x14ac:dyDescent="0.2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7">
        <f si="0" t="shared"/>
        <v>0</v>
      </c>
    </row>
    <row r="38" spans="2:17" x14ac:dyDescent="0.2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7">
        <f si="0" t="shared"/>
        <v>0.61259135262599995</v>
      </c>
    </row>
    <row r="39" spans="2:17" x14ac:dyDescent="0.25">
      <c r="C39" s="319" t="s">
        <v>81</v>
      </c>
      <c r="D39" s="330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7">
        <f si="0" t="shared"/>
        <v>-20.810228388700001</v>
      </c>
    </row>
    <row r="40" spans="2:17" x14ac:dyDescent="0.25">
      <c r="C40" s="319" t="s">
        <v>124</v>
      </c>
      <c r="D40" s="330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7">
        <f si="0" t="shared"/>
        <v>-7.1836373472300004</v>
      </c>
    </row>
    <row ht="15.75" r="41" spans="2:17" thickBot="1" x14ac:dyDescent="0.3">
      <c r="B41" s="353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7">
        <f si="0" t="shared"/>
        <v>-3.6600975390500001</v>
      </c>
    </row>
    <row r="42" spans="2:17" x14ac:dyDescent="0.25">
      <c r="B42" s="350" t="s">
        <v>259</v>
      </c>
      <c r="C42" s="321" t="s">
        <v>90</v>
      </c>
      <c r="D42" s="331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7">
        <f si="0" t="shared"/>
        <v>-1.3605457273599999</v>
      </c>
    </row>
    <row r="43" spans="2:17" x14ac:dyDescent="0.25">
      <c r="B43" s="351">
        <f>B33</f>
        <v>21</v>
      </c>
      <c r="C43" s="301" t="s">
        <v>46</v>
      </c>
      <c r="D43" s="360">
        <f>D23+D33</f>
        <v>-11.587892881677924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7">
        <f si="0" t="shared"/>
        <v>-0.22141031751900001</v>
      </c>
    </row>
    <row r="44" spans="2:17" x14ac:dyDescent="0.25">
      <c r="B44" s="351">
        <f ref="B44:B46" si="8" t="shared">B34</f>
        <v>22</v>
      </c>
      <c r="C44" s="304" t="s">
        <v>49</v>
      </c>
      <c r="D44" s="360">
        <f ref="D44:D46" si="9" t="shared">D24+D34</f>
        <v>-4.302378633168896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7">
        <f si="0" t="shared"/>
        <v>0.64228876129599999</v>
      </c>
    </row>
    <row r="45" spans="2:17" x14ac:dyDescent="0.25">
      <c r="B45" s="351">
        <f si="8" t="shared"/>
        <v>23</v>
      </c>
      <c r="C45" s="304" t="s">
        <v>52</v>
      </c>
      <c r="D45" s="360">
        <f si="9" t="shared"/>
        <v>-3.3024237516589827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7">
        <f si="0" t="shared"/>
        <v>0.74588429254199995</v>
      </c>
    </row>
    <row ht="15.75" r="46" spans="2:17" thickBot="1" x14ac:dyDescent="0.3">
      <c r="B46" s="354">
        <f si="8" t="shared"/>
        <v>0</v>
      </c>
      <c r="C46" s="324" t="s">
        <v>55</v>
      </c>
      <c r="D46" s="361">
        <f si="9" t="shared"/>
        <v>-0.43885690109469844</v>
      </c>
      <c r="E46" s="295" t="s">
        <v>279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7">
        <f si="0" t="shared"/>
        <v>-32.156094092099998</v>
      </c>
    </row>
    <row ht="15.75" r="47" spans="2:17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7">
        <f si="0" t="shared"/>
        <v>-7.5551873767200002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7">
        <f si="0" t="shared"/>
        <v>-3.4784098231399998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7">
        <f si="0" t="shared"/>
        <v>-0.79171784712299997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7">
        <f si="0" t="shared"/>
        <v>0.65760260093900003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7">
        <f si="0" t="shared"/>
        <v>0.201576719663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-28.552058518999999</v>
      </c>
      <c r="Q52" s="357">
        <f si="0" t="shared"/>
        <v>-28.552058518999999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-7.25833529236</v>
      </c>
      <c r="Q53" s="357">
        <f si="0" t="shared"/>
        <v>-7.25833529236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-2.64524710889</v>
      </c>
      <c r="Q54" s="357">
        <f si="0" t="shared"/>
        <v>-2.64524710889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-0.76461618005800003</v>
      </c>
      <c r="Q55" s="357">
        <f si="0" t="shared"/>
        <v>-0.76461618005800003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7">
        <f si="0" t="shared"/>
        <v>0.20818008309700001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7">
        <f si="0" t="shared"/>
        <v>0.42522231451499998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7">
        <f si="0" t="shared"/>
        <v>-0.743588483327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7">
        <f si="0" t="shared"/>
        <v>6.2100000000000002E-2</v>
      </c>
    </row>
    <row r="60" spans="13:17" x14ac:dyDescent="0.2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7">
        <f si="0" t="shared"/>
        <v>-3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7">
        <f si="0" t="shared"/>
        <v>0.29394695214400002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7">
        <f si="0" t="shared"/>
        <v>0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7">
        <f si="0" t="shared"/>
        <v>-6.2798471793299999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7">
        <f si="0" t="shared"/>
        <v>3.2962256518299999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7">
        <f si="0" t="shared"/>
        <v>-5.4150639062700003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7">
        <f si="0" t="shared"/>
        <v>-5.94820877094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7">
        <f si="0" t="shared"/>
        <v>-4.8479831726300002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7">
        <f si="0" t="shared"/>
        <v>-5.4883496585599998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7">
        <f ref="Q69:Q104" si="10" t="shared">_xlfn.IFNA(VLOOKUP(N69,$B$43:$D$46,3,FALSE),P69)</f>
        <v>-6.9308352438999998</v>
      </c>
    </row>
    <row r="70" spans="13:17" x14ac:dyDescent="0.2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7">
        <f si="10" t="shared"/>
        <v>-22.404820174200001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7">
        <f si="10" t="shared"/>
        <v>-2.8929233973800002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7">
        <f si="10" t="shared"/>
        <v>-2.5610724948299999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7">
        <f si="10" t="shared"/>
        <v>-6.7871010869299999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7">
        <f si="10" t="shared"/>
        <v>-7.1983706387300002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7">
        <f si="10" t="shared"/>
        <v>-6.5584328775399996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7">
        <f si="10" t="shared"/>
        <v>-7.3832576457999997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7">
        <f si="10" t="shared"/>
        <v>-8.5452246906399996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7">
        <f si="10" t="shared"/>
        <v>-24.633851965200002</v>
      </c>
    </row>
    <row r="79" spans="13:17" x14ac:dyDescent="0.2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7">
        <f si="10" t="shared"/>
        <v>0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7">
        <f si="10" t="shared"/>
        <v>-0.55009338373399996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7">
        <f si="10" t="shared"/>
        <v>-9.9117567037699992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7">
        <f si="10" t="shared"/>
        <v>-9.3194311560499994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7">
        <f si="10" t="shared"/>
        <v>-0.20086270196799999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7">
        <f si="10" t="shared"/>
        <v>-2.1843835309699999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7">
        <f si="10" t="shared"/>
        <v>0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7">
        <f si="10" t="shared"/>
        <v>-9.9476357147400005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7">
        <f si="10" t="shared"/>
        <v>-12.800107987600001</v>
      </c>
    </row>
    <row r="88" spans="13:17" x14ac:dyDescent="0.2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7">
        <f si="10" t="shared"/>
        <v>-30</v>
      </c>
    </row>
    <row r="89" spans="13:17" x14ac:dyDescent="0.2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7">
        <f si="10" t="shared"/>
        <v>-21.699928591700001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7">
        <f si="10" t="shared"/>
        <v>-17.700475093400001</v>
      </c>
    </row>
    <row r="91" spans="13:17" x14ac:dyDescent="0.2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7">
        <f si="10" t="shared"/>
        <v>-0.7</v>
      </c>
    </row>
    <row r="92" spans="13:17" x14ac:dyDescent="0.2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7">
        <f si="10" t="shared"/>
        <v>-17.8758745875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7">
        <f si="10" t="shared"/>
        <v>0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7">
        <f si="10" t="shared"/>
        <v>5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7">
        <f si="10" t="shared"/>
        <v>-30</v>
      </c>
    </row>
    <row r="96" spans="13:17" x14ac:dyDescent="0.2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7">
        <f si="10" t="shared"/>
        <v>-24.158093970700001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7">
        <f si="10" t="shared"/>
        <v>-9.5803170794600003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7">
        <f si="10" t="shared"/>
        <v>0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7">
        <f si="10" t="shared"/>
        <v>-15.671349338700001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7">
        <f si="10" t="shared"/>
        <v>-18.208541213899998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7">
        <f si="10" t="shared"/>
        <v>-11.2471450075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7">
        <f si="10" t="shared"/>
        <v>-10.0807778908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7">
        <f si="10" t="shared"/>
        <v>-5.6623999999999999</v>
      </c>
    </row>
    <row r="104" spans="13:17" x14ac:dyDescent="0.2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2019-10-07T21:07:15Z</dcterms:modified>
</cp:coreProperties>
</file>