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B36"/>
  <c i="6" r="B46" s="1"/>
  <c i="6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N104"/>
  <c i="6" r="M104" s="1"/>
  <c i="6" r="O104"/>
  <c i="6" r="P104"/>
  <c i="6" r="P3"/>
  <c i="6" r="O3"/>
  <c i="6" r="N3"/>
  <c i="6" r="M3" s="1"/>
  <c i="6" l="1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04"/>
  <c i="6" r="Q18"/>
  <c i="6" r="D26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1" r="S20"/>
  <c i="1" r="S21"/>
  <c i="1" r="S22"/>
  <c i="1" r="S23"/>
  <c i="1" r="S24"/>
  <c i="1" r="S25"/>
  <c i="1" r="S26"/>
  <c i="1" r="L13"/>
  <c i="1" r="H6"/>
  <c i="6" l="1" r="G7"/>
  <c i="6" r="D7"/>
  <c i="6" r="G6"/>
  <c i="6" r="D6"/>
  <c i="6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I14" s="1"/>
  <c i="6" r="J14" s="1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K12" s="1"/>
  <c i="6" r="D33" s="1"/>
  <c i="6" r="D15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I13"/>
  <c i="6" r="J13" s="1"/>
  <c i="6" r="K13" s="1"/>
  <c i="6" r="D34" s="1"/>
  <c i="6" r="D44" s="1"/>
  <c i="6" r="Q24" s="1"/>
  <c i="6" r="I15"/>
  <c i="6" r="J15" s="1"/>
  <c i="6" r="D43"/>
  <c i="6" r="Q2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K14"/>
  <c i="6" r="D35" s="1"/>
  <c i="6" r="D45" s="1"/>
  <c i="6" r="Q25" s="1"/>
  <c i="1" r="Q15"/>
  <c i="1" r="Q28" s="1"/>
  <c i="1" r="R15"/>
  <c i="1" r="R28" s="1"/>
  <c i="1" r="U10"/>
  <c i="1" r="U11"/>
  <c i="1" r="U12"/>
  <c i="1" r="J10"/>
  <c i="1" r="J11"/>
  <c i="1" r="J12"/>
  <c i="1" r="F15"/>
  <c i="1" r="G15"/>
  <c i="1" l="1" r="G23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G28"/>
  <c i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l="1" r="E38"/>
  <c i="1" r="AA38" s="1"/>
  <c i="1" r="C33"/>
  <c i="1" r="Y33" s="1"/>
  <c i="1" r="E33"/>
  <c i="1" r="AA33" s="1"/>
  <c i="1" r="I41"/>
  <c i="1" r="AE41" s="1"/>
  <c i="1" r="J37"/>
  <c i="1" r="AF37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<sst xmlns="http://schemas.openxmlformats.org/spreadsheetml/2006/main" count="717" uniqueCount="285">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</sst>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0.21505241768014433</c:v>
                </c:pt>
                <c:pt idx="1">
                  <c:v>0.17363293978602648</c:v>
                </c:pt>
                <c:pt idx="2">
                  <c:v>8.3383317247886557E-2</c:v>
                </c:pt>
                <c:pt idx="3">
                  <c:v>0.11695617380350661</c:v>
                </c:pt>
                <c:pt idx="4">
                  <c:v>0.13389207632285621</c:v>
                </c:pt>
                <c:pt idx="5">
                  <c:v>1.8319686825371096E-2</c:v>
                </c:pt>
                <c:pt idx="6">
                  <c:v>9.8730925462770514E-3</c:v>
                </c:pt>
                <c:pt idx="7">
                  <c:v>3.3417785088087917E-2</c:v>
                </c:pt>
                <c:pt idx="8">
                  <c:v>2.0544876482965404E-2</c:v>
                </c:pt>
                <c:pt idx="9">
                  <c:v>1.1958382573373968E-2</c:v>
                </c:pt>
                <c:pt idx="10">
                  <c:v>8.7158031199814114E-3</c:v>
                </c:pt>
                <c:pt idx="11">
                  <c:v>1.1013997453770944E-2</c:v>
                </c:pt>
                <c:pt idx="12">
                  <c:v>9.3315792032765705E-3</c:v>
                </c:pt>
                <c:pt idx="13">
                  <c:v>1.1303060482791323E-2</c:v>
                </c:pt>
                <c:pt idx="14">
                  <c:v>0</c:v>
                </c:pt>
                <c:pt idx="15">
                  <c:v>1.1967829291877183E-2</c:v>
                </c:pt>
                <c:pt idx="16">
                  <c:v>7.2547746449556652E-2</c:v>
                </c:pt>
                <c:pt idx="17">
                  <c:v>0</c:v>
                </c:pt>
                <c:pt idx="18">
                  <c:v>3.5100383711094953E-2</c:v>
                </c:pt>
                <c:pt idx="19">
                  <c:v>7.6832420666226101E-3</c:v>
                </c:pt>
                <c:pt idx="20">
                  <c:v>0</c:v>
                </c:pt>
                <c:pt idx="21">
                  <c:v>2.780213987748901E-3</c:v>
                </c:pt>
                <c:pt idx="22">
                  <c:v>1.4448723692520222E-3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5.3798965927073731E-3</c:v>
                </c:pt>
                <c:pt idx="30">
                  <c:v>0</c:v>
                </c:pt>
                <c:pt idx="31">
                  <c:v>3.6465851682112088E-3</c:v>
                </c:pt>
                <c:pt idx="32">
                  <c:v>0</c:v>
                </c:pt>
                <c:pt idx="33">
                  <c:v>2.0540417466131918E-3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0.1088717735860659</c:v>
                </c:pt>
                <c:pt idx="1">
                  <c:v>0.13768082522406186</c:v>
                </c:pt>
                <c:pt idx="2">
                  <c:v>0.12937939092069056</c:v>
                </c:pt>
                <c:pt idx="3">
                  <c:v>0.12061676582268752</c:v>
                </c:pt>
                <c:pt idx="4">
                  <c:v>0.1072576058048548</c:v>
                </c:pt>
                <c:pt idx="5">
                  <c:v>8.015496010699627E-2</c:v>
                </c:pt>
                <c:pt idx="6">
                  <c:v>5.4666482190348815E-2</c:v>
                </c:pt>
                <c:pt idx="7">
                  <c:v>4.0953742563298437E-2</c:v>
                </c:pt>
                <c:pt idx="8">
                  <c:v>2.959307598886993E-2</c:v>
                </c:pt>
                <c:pt idx="9">
                  <c:v>1.8309274546880045E-2</c:v>
                </c:pt>
                <c:pt idx="10">
                  <c:v>1.5173177143384217E-2</c:v>
                </c:pt>
                <c:pt idx="11">
                  <c:v>1.4466017924948884E-2</c:v>
                </c:pt>
                <c:pt idx="12">
                  <c:v>1.4296914633583914E-2</c:v>
                </c:pt>
                <c:pt idx="13">
                  <c:v>1.3851096865439899E-2</c:v>
                </c:pt>
                <c:pt idx="14">
                  <c:v>1.3835723838952175E-2</c:v>
                </c:pt>
                <c:pt idx="15">
                  <c:v>1.2467524481544682E-2</c:v>
                </c:pt>
                <c:pt idx="16">
                  <c:v>1.0868729726821319E-2</c:v>
                </c:pt>
                <c:pt idx="17">
                  <c:v>1.1022459991698565E-2</c:v>
                </c:pt>
                <c:pt idx="18">
                  <c:v>9.500530369413826E-3</c:v>
                </c:pt>
                <c:pt idx="19">
                  <c:v>8.7472520715153185E-3</c:v>
                </c:pt>
                <c:pt idx="20">
                  <c:v>7.9632277206413624E-3</c:v>
                </c:pt>
                <c:pt idx="21">
                  <c:v>7.548156005472797E-3</c:v>
                </c:pt>
                <c:pt idx="22">
                  <c:v>4.9654875555350583E-3</c:v>
                </c:pt>
                <c:pt idx="23">
                  <c:v>4.8886224230964351E-3</c:v>
                </c:pt>
                <c:pt idx="24">
                  <c:v>4.0431059662715801E-3</c:v>
                </c:pt>
                <c:pt idx="25">
                  <c:v>3.1360974034958262E-3</c:v>
                </c:pt>
                <c:pt idx="26">
                  <c:v>2.8747559532045072E-3</c:v>
                </c:pt>
                <c:pt idx="27">
                  <c:v>2.2752079201832465E-3</c:v>
                </c:pt>
                <c:pt idx="28">
                  <c:v>1.9216283109655798E-3</c:v>
                </c:pt>
                <c:pt idx="29">
                  <c:v>1.7525250196006087E-3</c:v>
                </c:pt>
                <c:pt idx="30">
                  <c:v>1.0299927746775508E-3</c:v>
                </c:pt>
                <c:pt idx="31">
                  <c:v>8.7626250980030434E-4</c:v>
                </c:pt>
                <c:pt idx="32">
                  <c:v>6.7641316545988413E-4</c:v>
                </c:pt>
                <c:pt idx="33">
                  <c:v>5.0730987409491305E-4</c:v>
                </c:pt>
                <c:pt idx="34">
                  <c:v>3.689526357053913E-4</c:v>
                </c:pt>
                <c:pt idx="35">
                  <c:v>5.53428953558087E-4</c:v>
                </c:pt>
                <c:pt idx="36">
                  <c:v>4.9193684760718843E-4</c:v>
                </c:pt>
                <c:pt idx="37">
                  <c:v>2.767144767790435E-4</c:v>
                </c:pt>
                <c:pt idx="38">
                  <c:v>4.1507171516856525E-4</c:v>
                </c:pt>
                <c:pt idx="39">
                  <c:v>1.9984934434042029E-4</c:v>
                </c:pt>
                <c:pt idx="40">
                  <c:v>2.9208750326676811E-4</c:v>
                </c:pt>
                <c:pt idx="41">
                  <c:v>1.3835723838952175E-4</c:v>
                </c:pt>
                <c:pt idx="42">
                  <c:v>1.3835723838952175E-4</c:v>
                </c:pt>
                <c:pt idx="43">
                  <c:v>2.1522237082814493E-4</c:v>
                </c:pt>
                <c:pt idx="44">
                  <c:v>1.0761118541407247E-4</c:v>
                </c:pt>
                <c:pt idx="45">
                  <c:v>1.2298421190179711E-4</c:v>
                </c:pt>
                <c:pt idx="46">
                  <c:v>6.1492105950898554E-5</c:v>
                </c:pt>
                <c:pt idx="47">
                  <c:v>1.2298421190179711E-4</c:v>
                </c:pt>
                <c:pt idx="48">
                  <c:v>6.1492105950898554E-5</c:v>
                </c:pt>
                <c:pt idx="49">
                  <c:v>6.1492105950898554E-5</c:v>
                </c:pt>
                <c:pt idx="50">
                  <c:v>0</c:v>
                </c:pt>
                <c:pt idx="51">
                  <c:v>1.0761118541407247E-4</c:v>
                </c:pt>
                <c:pt idx="52">
                  <c:v>6.1492105950898554E-5</c:v>
                </c:pt>
                <c:pt idx="53">
                  <c:v>3.0746052975449277E-5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49824"/>
        <c:axId val="116850216"/>
      </c:lineChart>
      <c:catAx>
        <c:axId val="11684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6850216"/>
        <c:crosses val="autoZero"/>
        <c:auto val="1"/>
        <c:lblAlgn val="ctr"/>
        <c:lblOffset val="100"/>
        <c:tickLblSkip val="10"/>
        <c:noMultiLvlLbl val="0"/>
      </c:catAx>
      <c:valAx>
        <c:axId val="116850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84982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5.0567531503865511E-2</c:v>
                </c:pt>
                <c:pt idx="1">
                  <c:v>5.3607634685843453E-2</c:v>
                </c:pt>
                <c:pt idx="2">
                  <c:v>5.3704942140358598E-2</c:v>
                </c:pt>
                <c:pt idx="3">
                  <c:v>8.9092916125804653E-2</c:v>
                </c:pt>
                <c:pt idx="4">
                  <c:v>6.2324860073383413E-2</c:v>
                </c:pt>
                <c:pt idx="5">
                  <c:v>6.4322185786961208E-2</c:v>
                </c:pt>
                <c:pt idx="6">
                  <c:v>7.7438388428972355E-2</c:v>
                </c:pt>
                <c:pt idx="7">
                  <c:v>8.1484458751940381E-2</c:v>
                </c:pt>
                <c:pt idx="8">
                  <c:v>6.133630713684822E-2</c:v>
                </c:pt>
                <c:pt idx="9">
                  <c:v>4.4245642100578249E-2</c:v>
                </c:pt>
                <c:pt idx="10">
                  <c:v>3.6794180203396296E-2</c:v>
                </c:pt>
                <c:pt idx="11">
                  <c:v>5.5856536018432081E-2</c:v>
                </c:pt>
                <c:pt idx="12">
                  <c:v>1.2779917233432201E-2</c:v>
                </c:pt>
                <c:pt idx="13">
                  <c:v>9.0543576930445843E-3</c:v>
                </c:pt>
                <c:pt idx="14">
                  <c:v>1.5194069770030648E-2</c:v>
                </c:pt>
                <c:pt idx="15">
                  <c:v>1.3772459564025763E-3</c:v>
                </c:pt>
                <c:pt idx="16">
                  <c:v>1.6703476527226882E-2</c:v>
                </c:pt>
                <c:pt idx="17">
                  <c:v>1.9755435812558311E-2</c:v>
                </c:pt>
                <c:pt idx="18">
                  <c:v>8.2833033866714994E-4</c:v>
                </c:pt>
                <c:pt idx="19">
                  <c:v>1.3398431365754252E-2</c:v>
                </c:pt>
                <c:pt idx="20">
                  <c:v>1.6996904858251156E-3</c:v>
                </c:pt>
                <c:pt idx="21">
                  <c:v>3.319410531303202E-3</c:v>
                </c:pt>
                <c:pt idx="22">
                  <c:v>9.2497409365595709E-2</c:v>
                </c:pt>
                <c:pt idx="23">
                  <c:v>0</c:v>
                </c:pt>
                <c:pt idx="24">
                  <c:v>0</c:v>
                </c:pt>
                <c:pt idx="25">
                  <c:v>2.901147316678837E-3</c:v>
                </c:pt>
                <c:pt idx="26">
                  <c:v>9.6584297129686716E-3</c:v>
                </c:pt>
                <c:pt idx="27">
                  <c:v>0</c:v>
                </c:pt>
                <c:pt idx="28">
                  <c:v>0</c:v>
                </c:pt>
                <c:pt idx="29">
                  <c:v>1.4131010199648938E-3</c:v>
                </c:pt>
                <c:pt idx="30">
                  <c:v>9.4433409923665721E-4</c:v>
                </c:pt>
                <c:pt idx="31">
                  <c:v>0</c:v>
                </c:pt>
                <c:pt idx="32">
                  <c:v>1.1283544185794237E-2</c:v>
                </c:pt>
                <c:pt idx="33">
                  <c:v>2.8127898372481884E-2</c:v>
                </c:pt>
                <c:pt idx="34">
                  <c:v>0</c:v>
                </c:pt>
                <c:pt idx="35">
                  <c:v>0</c:v>
                </c:pt>
                <c:pt idx="36">
                  <c:v>2.780213987748901E-3</c:v>
                </c:pt>
                <c:pt idx="37">
                  <c:v>0</c:v>
                </c:pt>
                <c:pt idx="38">
                  <c:v>1.1023495192640526E-2</c:v>
                </c:pt>
                <c:pt idx="39">
                  <c:v>0</c:v>
                </c:pt>
                <c:pt idx="40">
                  <c:v>1.959082199476552E-3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5.3798965927073731E-3</c:v>
                </c:pt>
                <c:pt idx="45">
                  <c:v>0</c:v>
                </c:pt>
                <c:pt idx="46">
                  <c:v>2.0540417466131918E-3</c:v>
                </c:pt>
                <c:pt idx="47">
                  <c:v>5.0914575374632317E-3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1.3681993574074928E-2</c:v>
                </c:pt>
                <c:pt idx="1">
                  <c:v>2.8778305585020522E-2</c:v>
                </c:pt>
                <c:pt idx="2">
                  <c:v>3.8740026749066091E-2</c:v>
                </c:pt>
                <c:pt idx="3">
                  <c:v>4.8947716336915248E-2</c:v>
                </c:pt>
                <c:pt idx="4">
                  <c:v>6.1323002659533582E-2</c:v>
                </c:pt>
                <c:pt idx="5">
                  <c:v>6.6273117188580921E-2</c:v>
                </c:pt>
                <c:pt idx="6">
                  <c:v>6.8732801426616863E-2</c:v>
                </c:pt>
                <c:pt idx="7">
                  <c:v>7.042383434026657E-2</c:v>
                </c:pt>
                <c:pt idx="8">
                  <c:v>6.8594444188227341E-2</c:v>
                </c:pt>
                <c:pt idx="9">
                  <c:v>6.0462113176221001E-2</c:v>
                </c:pt>
                <c:pt idx="10">
                  <c:v>5.4927823640640132E-2</c:v>
                </c:pt>
                <c:pt idx="11">
                  <c:v>4.7625636058970931E-2</c:v>
                </c:pt>
                <c:pt idx="12">
                  <c:v>4.0753893218958018E-2</c:v>
                </c:pt>
                <c:pt idx="13">
                  <c:v>3.0807545081400177E-2</c:v>
                </c:pt>
                <c:pt idx="14">
                  <c:v>2.6180264108595058E-2</c:v>
                </c:pt>
                <c:pt idx="15">
                  <c:v>2.1675967347691741E-2</c:v>
                </c:pt>
                <c:pt idx="16">
                  <c:v>2.0599855493551016E-2</c:v>
                </c:pt>
                <c:pt idx="17">
                  <c:v>1.5957201494258173E-2</c:v>
                </c:pt>
                <c:pt idx="18">
                  <c:v>1.4481390951436609E-2</c:v>
                </c:pt>
                <c:pt idx="19">
                  <c:v>1.2482897508032406E-2</c:v>
                </c:pt>
                <c:pt idx="20">
                  <c:v>1.1083952097649464E-2</c:v>
                </c:pt>
                <c:pt idx="21">
                  <c:v>1.0638134329505449E-2</c:v>
                </c:pt>
                <c:pt idx="22">
                  <c:v>1.06688803824809E-2</c:v>
                </c:pt>
                <c:pt idx="23">
                  <c:v>9.7157527402419713E-3</c:v>
                </c:pt>
                <c:pt idx="24">
                  <c:v>8.4705375947362761E-3</c:v>
                </c:pt>
                <c:pt idx="25">
                  <c:v>8.5781487801503478E-3</c:v>
                </c:pt>
                <c:pt idx="26">
                  <c:v>7.8709895617150149E-3</c:v>
                </c:pt>
                <c:pt idx="27">
                  <c:v>7.3021875816692032E-3</c:v>
                </c:pt>
                <c:pt idx="28">
                  <c:v>7.9171086411781895E-3</c:v>
                </c:pt>
                <c:pt idx="29">
                  <c:v>7.1792033697674063E-3</c:v>
                </c:pt>
                <c:pt idx="30">
                  <c:v>7.0408461313778842E-3</c:v>
                </c:pt>
                <c:pt idx="31">
                  <c:v>6.4874171778197976E-3</c:v>
                </c:pt>
                <c:pt idx="32">
                  <c:v>6.9332349459638115E-3</c:v>
                </c:pt>
                <c:pt idx="33">
                  <c:v>6.6718934956724934E-3</c:v>
                </c:pt>
                <c:pt idx="34">
                  <c:v>6.6718934956724934E-3</c:v>
                </c:pt>
                <c:pt idx="35">
                  <c:v>6.1953296745530292E-3</c:v>
                </c:pt>
                <c:pt idx="36">
                  <c:v>6.5181632307952471E-3</c:v>
                </c:pt>
                <c:pt idx="37">
                  <c:v>5.3805592707036236E-3</c:v>
                </c:pt>
                <c:pt idx="38">
                  <c:v>4.9193684760718845E-3</c:v>
                </c:pt>
                <c:pt idx="39">
                  <c:v>4.750265184706913E-3</c:v>
                </c:pt>
                <c:pt idx="40">
                  <c:v>4.1045980722224781E-3</c:v>
                </c:pt>
                <c:pt idx="41">
                  <c:v>4.2890743900751739E-3</c:v>
                </c:pt>
                <c:pt idx="42">
                  <c:v>3.8278835954434348E-3</c:v>
                </c:pt>
                <c:pt idx="43">
                  <c:v>3.0746052975449277E-3</c:v>
                </c:pt>
                <c:pt idx="44">
                  <c:v>3.0899783240326524E-3</c:v>
                </c:pt>
                <c:pt idx="45">
                  <c:v>2.4135651585727681E-3</c:v>
                </c:pt>
                <c:pt idx="46">
                  <c:v>2.1983427877446233E-3</c:v>
                </c:pt>
                <c:pt idx="47">
                  <c:v>1.7986440990637826E-3</c:v>
                </c:pt>
                <c:pt idx="48">
                  <c:v>1.5219296222847391E-3</c:v>
                </c:pt>
                <c:pt idx="49">
                  <c:v>1.4296914633583914E-3</c:v>
                </c:pt>
                <c:pt idx="50">
                  <c:v>1.445064489846116E-3</c:v>
                </c:pt>
                <c:pt idx="51">
                  <c:v>1.0453658011652753E-3</c:v>
                </c:pt>
                <c:pt idx="52">
                  <c:v>8.1477040384940588E-4</c:v>
                </c:pt>
                <c:pt idx="53">
                  <c:v>8.4551645682485511E-4</c:v>
                </c:pt>
                <c:pt idx="54">
                  <c:v>7.0715921843533336E-4</c:v>
                </c:pt>
                <c:pt idx="55">
                  <c:v>7.9939737736168116E-4</c:v>
                </c:pt>
                <c:pt idx="56">
                  <c:v>7.3790527141078259E-4</c:v>
                </c:pt>
                <c:pt idx="57">
                  <c:v>4.7656382111946382E-4</c:v>
                </c:pt>
                <c:pt idx="58">
                  <c:v>5.0730987409491305E-4</c:v>
                </c:pt>
                <c:pt idx="59">
                  <c:v>3.3820658272994207E-4</c:v>
                </c:pt>
                <c:pt idx="60">
                  <c:v>3.3820658272994207E-4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51000"/>
        <c:axId val="116847472"/>
      </c:lineChart>
      <c:catAx>
        <c:axId val="116851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6847472"/>
        <c:crosses val="autoZero"/>
        <c:auto val="1"/>
        <c:lblAlgn val="ctr"/>
        <c:lblOffset val="100"/>
        <c:tickLblSkip val="10"/>
        <c:noMultiLvlLbl val="0"/>
      </c:catAx>
      <c:valAx>
        <c:axId val="1168474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8510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M31" sqref="M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6" t="n">
        <v>21714.3581449434</v>
      </c>
      <c r="C11" s="11">
        <f>B11/B$102</f>
        <v>0.21505241768014433</v>
      </c>
      <c r="E11" s="19">
        <v>0</v>
      </c>
      <c r="F11" s="338" t="n">
        <v>7259.0</v>
      </c>
      <c r="G11" s="11">
        <f>F11/F$102</f>
        <v>0.1088717735860659</v>
      </c>
      <c r="K11" s="8" t="n">
        <v>4.895899174480038</v>
      </c>
      <c r="L11" s="8" t="n">
        <v>5.887439687522788</v>
      </c>
    </row>
    <row r="12" spans="1:12" x14ac:dyDescent="0.25">
      <c r="A12">
        <v>1</v>
      </c>
      <c r="B12" s="336" t="n">
        <v>17532.1341696373</v>
      </c>
      <c r="C12" s="11">
        <f>B12/B$102</f>
        <v>0.17363293978602648</v>
      </c>
      <c r="E12" s="20">
        <v>1</v>
      </c>
      <c r="F12" s="338" t="n">
        <v>9083.0</v>
      </c>
      <c r="G12" s="11">
        <f>F12/F$102</f>
        <v>0.13768082522406186</v>
      </c>
      <c r="K12" s="8"/>
      <c r="L12" s="289"/>
    </row>
    <row r="13" spans="1:12" x14ac:dyDescent="0.25">
      <c r="A13">
        <v>2</v>
      </c>
      <c r="B13" s="336" t="n">
        <v>8419.413432157</v>
      </c>
      <c r="C13" s="11">
        <f ref="C13:C76" si="0" t="shared">B13/B$102</f>
        <v>8.3383317247886557E-2</v>
      </c>
      <c r="E13" s="21">
        <v>2</v>
      </c>
      <c r="F13" s="338" t="n">
        <v>8816.0</v>
      </c>
      <c r="G13" s="11">
        <f ref="G13:G76" si="1" t="shared">F13/F$102</f>
        <v>0.12937939092069056</v>
      </c>
    </row>
    <row r="14" spans="1:12" x14ac:dyDescent="0.25">
      <c r="A14">
        <v>3</v>
      </c>
      <c r="B14" s="336" t="n">
        <v>11809.3452406979</v>
      </c>
      <c r="C14" s="11">
        <f si="0" t="shared"/>
        <v>0.11695617380350661</v>
      </c>
      <c r="E14" s="22">
        <v>3</v>
      </c>
      <c r="F14" s="338" t="n">
        <v>7777.0</v>
      </c>
      <c r="G14" s="11">
        <f si="1" t="shared"/>
        <v>0.12061676582268752</v>
      </c>
    </row>
    <row r="15" spans="1:12" x14ac:dyDescent="0.25">
      <c r="A15">
        <v>4</v>
      </c>
      <c r="B15" s="336" t="n">
        <v>13519.4039174619</v>
      </c>
      <c r="C15" s="11">
        <f si="0" t="shared"/>
        <v>0.13389207632285621</v>
      </c>
      <c r="E15" s="23">
        <v>4</v>
      </c>
      <c r="F15" s="338" t="n">
        <v>6872.0</v>
      </c>
      <c r="G15" s="11">
        <f si="1" t="shared"/>
        <v>0.1072576058048548</v>
      </c>
    </row>
    <row r="16" spans="1:12" x14ac:dyDescent="0.25">
      <c r="A16">
        <v>5</v>
      </c>
      <c r="B16" s="336" t="n">
        <v>1849.782695403</v>
      </c>
      <c r="C16" s="11">
        <f si="0" t="shared"/>
        <v>1.8319686825371096E-2</v>
      </c>
      <c r="E16" s="24">
        <v>5</v>
      </c>
      <c r="F16" s="338" t="n">
        <v>5187.0</v>
      </c>
      <c r="G16" s="11">
        <f si="1" t="shared"/>
        <v>8.015496010699627E-2</v>
      </c>
    </row>
    <row r="17" spans="1:7" x14ac:dyDescent="0.25">
      <c r="A17">
        <v>6</v>
      </c>
      <c r="B17" s="336" t="n">
        <v>996.909822548</v>
      </c>
      <c r="C17" s="11">
        <f si="0" t="shared"/>
        <v>9.8730925462770514E-3</v>
      </c>
      <c r="E17" s="25">
        <v>6</v>
      </c>
      <c r="F17" s="338" t="n">
        <v>3669.0</v>
      </c>
      <c r="G17" s="11">
        <f si="1" t="shared"/>
        <v>5.4666482190348815E-2</v>
      </c>
    </row>
    <row r="18" spans="1:7" x14ac:dyDescent="0.25">
      <c r="A18">
        <v>7</v>
      </c>
      <c r="B18" s="336" t="n">
        <v>3374.273870721</v>
      </c>
      <c r="C18" s="11">
        <f si="0" t="shared"/>
        <v>3.3417785088087917E-2</v>
      </c>
      <c r="E18" s="26">
        <v>7</v>
      </c>
      <c r="F18" s="338" t="n">
        <v>2652.0</v>
      </c>
      <c r="G18" s="11">
        <f si="1" t="shared"/>
        <v>4.0953742563298437E-2</v>
      </c>
    </row>
    <row r="19" spans="1:7" x14ac:dyDescent="0.25">
      <c r="A19">
        <v>8</v>
      </c>
      <c r="B19" s="336" t="n">
        <v>2074.465429439</v>
      </c>
      <c r="C19" s="11">
        <f si="0" t="shared"/>
        <v>2.0544876482965404E-2</v>
      </c>
      <c r="E19" s="27">
        <v>8</v>
      </c>
      <c r="F19" s="338" t="n">
        <v>1887.0</v>
      </c>
      <c r="G19" s="11">
        <f si="1" t="shared"/>
        <v>2.959307598886993E-2</v>
      </c>
    </row>
    <row r="20" spans="1:7" x14ac:dyDescent="0.25">
      <c r="A20">
        <v>9</v>
      </c>
      <c r="B20" s="336" t="n">
        <v>1207.46655552</v>
      </c>
      <c r="C20" s="11">
        <f si="0" t="shared"/>
        <v>1.1958382573373968E-2</v>
      </c>
      <c r="E20" s="28">
        <v>9</v>
      </c>
      <c r="F20" s="338" t="n">
        <v>1216.0</v>
      </c>
      <c r="G20" s="11">
        <f si="1" t="shared"/>
        <v>1.8309274546880045E-2</v>
      </c>
    </row>
    <row r="21" spans="1:7" x14ac:dyDescent="0.25">
      <c r="A21">
        <v>10</v>
      </c>
      <c r="B21" s="336" t="n">
        <v>880.055534877</v>
      </c>
      <c r="C21" s="11">
        <f si="0" t="shared"/>
        <v>8.7158031199814114E-3</v>
      </c>
      <c r="E21" s="29">
        <v>10</v>
      </c>
      <c r="F21" s="338" t="n">
        <v>1051.0</v>
      </c>
      <c r="G21" s="11">
        <f si="1" t="shared"/>
        <v>1.5173177143384217E-2</v>
      </c>
    </row>
    <row r="22" spans="1:7" x14ac:dyDescent="0.25">
      <c r="A22">
        <v>11</v>
      </c>
      <c r="B22" s="336" t="n">
        <v>1112.109726078</v>
      </c>
      <c r="C22" s="11">
        <f si="0" t="shared"/>
        <v>1.1013997453770944E-2</v>
      </c>
      <c r="E22" s="30">
        <v>11</v>
      </c>
      <c r="F22" s="338" t="n">
        <v>871.0</v>
      </c>
      <c r="G22" s="11">
        <f si="1" t="shared"/>
        <v>1.4466017924948884E-2</v>
      </c>
    </row>
    <row r="23" spans="1:7" x14ac:dyDescent="0.25">
      <c r="A23">
        <v>12</v>
      </c>
      <c r="B23" s="336" t="n">
        <v>942.231922169</v>
      </c>
      <c r="C23" s="11">
        <f si="0" t="shared"/>
        <v>9.3315792032765705E-3</v>
      </c>
      <c r="E23" s="31">
        <v>12</v>
      </c>
      <c r="F23" s="338" t="n">
        <v>860.0</v>
      </c>
      <c r="G23" s="11">
        <f si="1" t="shared"/>
        <v>1.4296914633583914E-2</v>
      </c>
    </row>
    <row r="24" spans="1:7" x14ac:dyDescent="0.25">
      <c r="A24">
        <v>13</v>
      </c>
      <c r="B24" s="336" t="n">
        <v>1141.297113071</v>
      </c>
      <c r="C24" s="11">
        <f si="0" t="shared"/>
        <v>1.1303060482791323E-2</v>
      </c>
      <c r="E24" s="32">
        <v>13</v>
      </c>
      <c r="F24" s="338" t="n">
        <v>800.0</v>
      </c>
      <c r="G24" s="11">
        <f si="1" t="shared"/>
        <v>1.3851096865439899E-2</v>
      </c>
    </row>
    <row r="25" spans="1:7" x14ac:dyDescent="0.25">
      <c r="A25">
        <v>14</v>
      </c>
      <c r="B25" s="336" t="n">
        <v>0.0</v>
      </c>
      <c r="C25" s="11">
        <f si="0" t="shared"/>
        <v>0</v>
      </c>
      <c r="E25" s="33">
        <v>14</v>
      </c>
      <c r="F25" s="338" t="n">
        <v>838.0</v>
      </c>
      <c r="G25" s="11">
        <f si="1" t="shared"/>
        <v>1.3835723838952175E-2</v>
      </c>
    </row>
    <row r="26" spans="1:7" x14ac:dyDescent="0.25">
      <c r="A26">
        <v>15</v>
      </c>
      <c r="B26" s="336" t="n">
        <v>1208.4204133333</v>
      </c>
      <c r="C26" s="11">
        <f si="0" t="shared"/>
        <v>1.1967829291877183E-2</v>
      </c>
      <c r="E26" s="34">
        <v>15</v>
      </c>
      <c r="F26" s="338" t="n">
        <v>733.0</v>
      </c>
      <c r="G26" s="11">
        <f si="1" t="shared"/>
        <v>1.2467524481544682E-2</v>
      </c>
    </row>
    <row r="27" spans="1:7" x14ac:dyDescent="0.25">
      <c r="A27">
        <v>16</v>
      </c>
      <c r="B27" s="336" t="n">
        <v>7325.31987321</v>
      </c>
      <c r="C27" s="11">
        <f si="0" t="shared"/>
        <v>7.2547746449556652E-2</v>
      </c>
      <c r="E27" s="35">
        <v>16</v>
      </c>
      <c r="F27" s="338" t="n">
        <v>638.0</v>
      </c>
      <c r="G27" s="11">
        <f si="1" t="shared"/>
        <v>1.0868729726821319E-2</v>
      </c>
    </row>
    <row r="28" spans="1:7" x14ac:dyDescent="0.25">
      <c r="A28">
        <v>17</v>
      </c>
      <c r="B28" s="336" t="n">
        <v>0.0</v>
      </c>
      <c r="C28" s="11">
        <f si="0" t="shared"/>
        <v>0</v>
      </c>
      <c r="E28" s="36">
        <v>17</v>
      </c>
      <c r="F28" s="338" t="n">
        <v>645.0</v>
      </c>
      <c r="G28" s="11">
        <f si="1" t="shared"/>
        <v>1.1022459991698565E-2</v>
      </c>
    </row>
    <row r="29" spans="1:7" x14ac:dyDescent="0.25">
      <c r="A29">
        <v>18</v>
      </c>
      <c r="B29" s="336" t="n">
        <v>3544.169887275</v>
      </c>
      <c r="C29" s="11">
        <f si="0" t="shared"/>
        <v>3.5100383711094953E-2</v>
      </c>
      <c r="E29" s="37">
        <v>18</v>
      </c>
      <c r="F29" s="338" t="n">
        <v>559.0</v>
      </c>
      <c r="G29" s="11">
        <f si="1" t="shared"/>
        <v>9.500530369413826E-3</v>
      </c>
    </row>
    <row r="30" spans="1:7" x14ac:dyDescent="0.25">
      <c r="A30">
        <v>19</v>
      </c>
      <c r="B30" s="336" t="n">
        <v>775.795370025</v>
      </c>
      <c r="C30" s="11">
        <f si="0" t="shared"/>
        <v>7.6832420666226101E-3</v>
      </c>
      <c r="E30" s="38">
        <v>19</v>
      </c>
      <c r="F30" s="338" t="n">
        <v>556.0</v>
      </c>
      <c r="G30" s="11">
        <f si="1" t="shared"/>
        <v>8.7472520715153185E-3</v>
      </c>
    </row>
    <row r="31" spans="1:7" x14ac:dyDescent="0.25">
      <c r="A31">
        <v>20</v>
      </c>
      <c r="B31" s="336" t="n">
        <v>0.0</v>
      </c>
      <c r="C31" s="11">
        <f si="0" t="shared"/>
        <v>0</v>
      </c>
      <c r="E31" s="39">
        <v>20</v>
      </c>
      <c r="F31" s="338" t="n">
        <v>456.0</v>
      </c>
      <c r="G31" s="11">
        <f si="1" t="shared"/>
        <v>7.9632277206413624E-3</v>
      </c>
    </row>
    <row r="32" spans="1:7" x14ac:dyDescent="0.25">
      <c r="A32">
        <v>21</v>
      </c>
      <c r="B32" s="336" t="n">
        <v>280.724871177</v>
      </c>
      <c r="C32" s="11">
        <f si="0" t="shared"/>
        <v>2.780213987748901E-3</v>
      </c>
      <c r="E32" s="40">
        <v>21</v>
      </c>
      <c r="F32" s="338" t="n">
        <v>442.0</v>
      </c>
      <c r="G32" s="11">
        <f si="1" t="shared"/>
        <v>7.548156005472797E-3</v>
      </c>
    </row>
    <row r="33" spans="1:7" x14ac:dyDescent="0.25">
      <c r="A33">
        <v>22</v>
      </c>
      <c r="B33" s="336" t="n">
        <v>145.892226826</v>
      </c>
      <c r="C33" s="11">
        <f si="0" t="shared"/>
        <v>1.4448723692520222E-3</v>
      </c>
      <c r="E33" s="41">
        <v>22</v>
      </c>
      <c r="F33" s="338" t="n">
        <v>338.0</v>
      </c>
      <c r="G33" s="11">
        <f si="1" t="shared"/>
        <v>4.9654875555350583E-3</v>
      </c>
    </row>
    <row r="34" spans="1:7" x14ac:dyDescent="0.25">
      <c r="A34">
        <v>23</v>
      </c>
      <c r="B34" s="336" t="n">
        <v>0.0</v>
      </c>
      <c r="C34" s="11">
        <f si="0" t="shared"/>
        <v>0</v>
      </c>
      <c r="E34" s="42">
        <v>23</v>
      </c>
      <c r="F34" s="338" t="n">
        <v>272.0</v>
      </c>
      <c r="G34" s="11">
        <f si="1" t="shared"/>
        <v>4.8886224230964351E-3</v>
      </c>
    </row>
    <row r="35" spans="1:7" x14ac:dyDescent="0.25">
      <c r="A35">
        <v>24</v>
      </c>
      <c r="B35" s="336" t="n">
        <v>0.0</v>
      </c>
      <c r="C35" s="11">
        <f si="0" t="shared"/>
        <v>0</v>
      </c>
      <c r="E35" s="43">
        <v>24</v>
      </c>
      <c r="F35" s="338" t="n">
        <v>262.0</v>
      </c>
      <c r="G35" s="11">
        <f si="1" t="shared"/>
        <v>4.0431059662715801E-3</v>
      </c>
    </row>
    <row r="36" spans="1:7" x14ac:dyDescent="0.25">
      <c r="A36">
        <v>25</v>
      </c>
      <c r="B36" s="336" t="n">
        <v>0.0</v>
      </c>
      <c r="C36" s="11">
        <f si="0" t="shared"/>
        <v>0</v>
      </c>
      <c r="E36" s="44">
        <v>25</v>
      </c>
      <c r="F36" s="338" t="n">
        <v>203.0</v>
      </c>
      <c r="G36" s="11">
        <f si="1" t="shared"/>
        <v>3.1360974034958262E-3</v>
      </c>
    </row>
    <row r="37" spans="1:7" x14ac:dyDescent="0.25">
      <c r="A37">
        <v>26</v>
      </c>
      <c r="B37" s="336" t="n">
        <v>0.0</v>
      </c>
      <c r="C37" s="11">
        <f si="0" t="shared"/>
        <v>0</v>
      </c>
      <c r="E37" s="45">
        <v>26</v>
      </c>
      <c r="F37" s="338" t="n">
        <v>185.0</v>
      </c>
      <c r="G37" s="11">
        <f si="1" t="shared"/>
        <v>2.8747559532045072E-3</v>
      </c>
    </row>
    <row r="38" spans="1:7" x14ac:dyDescent="0.25">
      <c r="A38">
        <v>27</v>
      </c>
      <c r="B38" s="336" t="n">
        <v>0.0</v>
      </c>
      <c r="C38" s="11">
        <f si="0" t="shared"/>
        <v>0</v>
      </c>
      <c r="E38" s="46">
        <v>27</v>
      </c>
      <c r="F38" s="338" t="n">
        <v>145.0</v>
      </c>
      <c r="G38" s="11">
        <f si="1" t="shared"/>
        <v>2.2752079201832465E-3</v>
      </c>
    </row>
    <row r="39" spans="1:7" x14ac:dyDescent="0.25">
      <c r="A39">
        <v>28</v>
      </c>
      <c r="B39" s="336" t="n">
        <v>0.0</v>
      </c>
      <c r="C39" s="11">
        <f si="0" t="shared"/>
        <v>0</v>
      </c>
      <c r="E39" s="47">
        <v>28</v>
      </c>
      <c r="F39" s="338" t="n">
        <v>128.0</v>
      </c>
      <c r="G39" s="11">
        <f si="1" t="shared"/>
        <v>1.9216283109655798E-3</v>
      </c>
    </row>
    <row r="40" spans="1:7" x14ac:dyDescent="0.25">
      <c r="A40">
        <v>29</v>
      </c>
      <c r="B40" s="336" t="n">
        <v>543.221055857</v>
      </c>
      <c r="C40" s="11">
        <f si="0" t="shared"/>
        <v>5.3798965927073731E-3</v>
      </c>
      <c r="E40" s="48">
        <v>29</v>
      </c>
      <c r="F40" s="338" t="n">
        <v>133.0</v>
      </c>
      <c r="G40" s="11">
        <f si="1" t="shared"/>
        <v>1.7525250196006087E-3</v>
      </c>
    </row>
    <row r="41" spans="1:7" x14ac:dyDescent="0.25">
      <c r="A41">
        <v>30</v>
      </c>
      <c r="B41" s="336" t="n">
        <v>0.0</v>
      </c>
      <c r="C41" s="11">
        <f si="0" t="shared"/>
        <v>0</v>
      </c>
      <c r="E41" s="49">
        <v>30</v>
      </c>
      <c r="F41" s="338" t="n">
        <v>69.0</v>
      </c>
      <c r="G41" s="11">
        <f si="1" t="shared"/>
        <v>1.0299927746775508E-3</v>
      </c>
    </row>
    <row r="42" spans="1:7" x14ac:dyDescent="0.25">
      <c r="A42">
        <v>31</v>
      </c>
      <c r="B42" s="336" t="n">
        <v>368.204446166</v>
      </c>
      <c r="C42" s="11">
        <f si="0" t="shared"/>
        <v>3.6465851682112088E-3</v>
      </c>
      <c r="E42" s="50">
        <v>31</v>
      </c>
      <c r="F42" s="338" t="n">
        <v>64.0</v>
      </c>
      <c r="G42" s="11">
        <f si="1" t="shared"/>
        <v>8.7626250980030434E-4</v>
      </c>
    </row>
    <row r="43" spans="1:7" x14ac:dyDescent="0.25">
      <c r="A43">
        <v>32</v>
      </c>
      <c r="B43" s="336" t="n">
        <v>0.0</v>
      </c>
      <c r="C43" s="11">
        <f si="0" t="shared"/>
        <v>0</v>
      </c>
      <c r="E43" s="51">
        <v>32</v>
      </c>
      <c r="F43" s="338" t="n">
        <v>51.0</v>
      </c>
      <c r="G43" s="11">
        <f si="1" t="shared"/>
        <v>6.7641316545988413E-4</v>
      </c>
    </row>
    <row r="44" spans="1:7" x14ac:dyDescent="0.25">
      <c r="A44">
        <v>33</v>
      </c>
      <c r="B44" s="336" t="n">
        <v>207.401519182</v>
      </c>
      <c r="C44" s="11">
        <f si="0" t="shared"/>
        <v>2.0540417466131918E-3</v>
      </c>
      <c r="E44" s="52">
        <v>33</v>
      </c>
      <c r="F44" s="338" t="n">
        <v>43.0</v>
      </c>
      <c r="G44" s="11">
        <f si="1" t="shared"/>
        <v>5.0730987409491305E-4</v>
      </c>
    </row>
    <row r="45" spans="1:7" x14ac:dyDescent="0.25">
      <c r="A45">
        <v>34</v>
      </c>
      <c r="B45" s="336" t="n">
        <v>0.0</v>
      </c>
      <c r="C45" s="11">
        <f si="0" t="shared"/>
        <v>0</v>
      </c>
      <c r="E45" s="53">
        <v>34</v>
      </c>
      <c r="F45" s="338" t="n">
        <v>25.0</v>
      </c>
      <c r="G45" s="11">
        <f si="1" t="shared"/>
        <v>3.689526357053913E-4</v>
      </c>
    </row>
    <row r="46" spans="1:7" x14ac:dyDescent="0.25">
      <c r="A46">
        <v>35</v>
      </c>
      <c r="B46" s="336" t="n">
        <v>0.0</v>
      </c>
      <c r="C46" s="11">
        <f si="0" t="shared"/>
        <v>0</v>
      </c>
      <c r="E46" s="54">
        <v>35</v>
      </c>
      <c r="F46" s="338" t="n">
        <v>25.0</v>
      </c>
      <c r="G46" s="11">
        <f si="1" t="shared"/>
        <v>5.53428953558087E-4</v>
      </c>
    </row>
    <row r="47" spans="1:7" x14ac:dyDescent="0.25">
      <c r="A47">
        <v>36</v>
      </c>
      <c r="B47" s="336" t="n">
        <v>0.0</v>
      </c>
      <c r="C47" s="11">
        <f si="0" t="shared"/>
        <v>0</v>
      </c>
      <c r="E47" s="55">
        <v>36</v>
      </c>
      <c r="F47" s="338" t="n">
        <v>29.0</v>
      </c>
      <c r="G47" s="11">
        <f si="1" t="shared"/>
        <v>4.9193684760718843E-4</v>
      </c>
    </row>
    <row r="48" spans="1:7" x14ac:dyDescent="0.25">
      <c r="A48">
        <v>37</v>
      </c>
      <c r="B48" s="336" t="n">
        <v>0.0</v>
      </c>
      <c r="C48" s="11">
        <f si="0" t="shared"/>
        <v>0</v>
      </c>
      <c r="E48" s="56">
        <v>37</v>
      </c>
      <c r="F48" s="338" t="n">
        <v>9.0</v>
      </c>
      <c r="G48" s="11">
        <f si="1" t="shared"/>
        <v>2.767144767790435E-4</v>
      </c>
    </row>
    <row r="49" spans="1:7" x14ac:dyDescent="0.25">
      <c r="A49">
        <v>38</v>
      </c>
      <c r="B49" s="336" t="n">
        <v>0.0</v>
      </c>
      <c r="C49" s="11">
        <f si="0" t="shared"/>
        <v>0</v>
      </c>
      <c r="E49" s="57">
        <v>38</v>
      </c>
      <c r="F49" s="338" t="n">
        <v>13.0</v>
      </c>
      <c r="G49" s="11">
        <f si="1" t="shared"/>
        <v>4.1507171516856525E-4</v>
      </c>
    </row>
    <row r="50" spans="1:7" x14ac:dyDescent="0.25">
      <c r="A50">
        <v>39</v>
      </c>
      <c r="B50" s="336" t="n">
        <v>0.0</v>
      </c>
      <c r="C50" s="11">
        <f si="0" t="shared"/>
        <v>0</v>
      </c>
      <c r="E50" s="58">
        <v>39</v>
      </c>
      <c r="F50" s="338" t="n">
        <v>12.0</v>
      </c>
      <c r="G50" s="11">
        <f si="1" t="shared"/>
        <v>1.9984934434042029E-4</v>
      </c>
    </row>
    <row r="51" spans="1:7" x14ac:dyDescent="0.25">
      <c r="A51">
        <v>40</v>
      </c>
      <c r="B51" s="336" t="n">
        <v>0.0</v>
      </c>
      <c r="C51" s="11">
        <f si="0" t="shared"/>
        <v>0</v>
      </c>
      <c r="E51" s="59">
        <v>40</v>
      </c>
      <c r="F51" s="338" t="n">
        <v>17.0</v>
      </c>
      <c r="G51" s="11">
        <f si="1" t="shared"/>
        <v>2.9208750326676811E-4</v>
      </c>
    </row>
    <row r="52" spans="1:7" x14ac:dyDescent="0.25">
      <c r="A52">
        <v>41</v>
      </c>
      <c r="B52" s="336" t="n">
        <v>0.0</v>
      </c>
      <c r="C52" s="11">
        <f si="0" t="shared"/>
        <v>0</v>
      </c>
      <c r="E52" s="60">
        <v>41</v>
      </c>
      <c r="F52" s="338" t="n">
        <v>15.0</v>
      </c>
      <c r="G52" s="11">
        <f si="1" t="shared"/>
        <v>1.3835723838952175E-4</v>
      </c>
    </row>
    <row r="53" spans="1:7" x14ac:dyDescent="0.25">
      <c r="A53">
        <v>42</v>
      </c>
      <c r="B53" s="336" t="n">
        <v>0.0</v>
      </c>
      <c r="C53" s="11">
        <f si="0" t="shared"/>
        <v>0</v>
      </c>
      <c r="E53" s="61">
        <v>42</v>
      </c>
      <c r="F53" s="338" t="n">
        <v>8.0</v>
      </c>
      <c r="G53" s="11">
        <f si="1" t="shared"/>
        <v>1.3835723838952175E-4</v>
      </c>
    </row>
    <row r="54" spans="1:7" x14ac:dyDescent="0.25">
      <c r="A54">
        <v>43</v>
      </c>
      <c r="B54" s="336" t="n">
        <v>0.0</v>
      </c>
      <c r="C54" s="11">
        <f si="0" t="shared"/>
        <v>0</v>
      </c>
      <c r="E54" s="62">
        <v>43</v>
      </c>
      <c r="F54" s="338" t="n">
        <v>15.0</v>
      </c>
      <c r="G54" s="11">
        <f si="1" t="shared"/>
        <v>2.1522237082814493E-4</v>
      </c>
    </row>
    <row r="55" spans="1:7" x14ac:dyDescent="0.25">
      <c r="A55">
        <v>44</v>
      </c>
      <c r="B55" s="336" t="n">
        <v>0.0</v>
      </c>
      <c r="C55" s="11">
        <f si="0" t="shared"/>
        <v>0</v>
      </c>
      <c r="E55" s="63">
        <v>44</v>
      </c>
      <c r="F55" s="338" t="n">
        <v>6.0</v>
      </c>
      <c r="G55" s="11">
        <f si="1" t="shared"/>
        <v>1.0761118541407247E-4</v>
      </c>
    </row>
    <row r="56" spans="1:7" x14ac:dyDescent="0.25">
      <c r="A56">
        <v>45</v>
      </c>
      <c r="B56" s="336" t="n">
        <v>0.0</v>
      </c>
      <c r="C56" s="11">
        <f si="0" t="shared"/>
        <v>0</v>
      </c>
      <c r="E56" s="64">
        <v>45</v>
      </c>
      <c r="F56" s="338" t="n">
        <v>3.0</v>
      </c>
      <c r="G56" s="11">
        <f si="1" t="shared"/>
        <v>1.2298421190179711E-4</v>
      </c>
    </row>
    <row r="57" spans="1:7" x14ac:dyDescent="0.25">
      <c r="A57">
        <v>46</v>
      </c>
      <c r="B57" s="336" t="n">
        <v>0.0</v>
      </c>
      <c r="C57" s="11">
        <f si="0" t="shared"/>
        <v>0</v>
      </c>
      <c r="E57" s="65">
        <v>46</v>
      </c>
      <c r="F57" s="338" t="n">
        <v>2.0</v>
      </c>
      <c r="G57" s="11">
        <f si="1" t="shared"/>
        <v>6.1492105950898554E-5</v>
      </c>
    </row>
    <row r="58" spans="1:7" x14ac:dyDescent="0.25">
      <c r="A58">
        <v>47</v>
      </c>
      <c r="B58" s="336" t="n">
        <v>0.0</v>
      </c>
      <c r="C58" s="11">
        <f si="0" t="shared"/>
        <v>0</v>
      </c>
      <c r="E58" s="66">
        <v>47</v>
      </c>
      <c r="F58" s="338" t="n">
        <v>4.0</v>
      </c>
      <c r="G58" s="11">
        <f si="1" t="shared"/>
        <v>1.2298421190179711E-4</v>
      </c>
    </row>
    <row r="59" spans="1:7" x14ac:dyDescent="0.25">
      <c r="A59">
        <v>48</v>
      </c>
      <c r="B59" s="336" t="n">
        <v>0.0</v>
      </c>
      <c r="C59" s="11">
        <f si="0" t="shared"/>
        <v>0</v>
      </c>
      <c r="E59" s="67">
        <v>48</v>
      </c>
      <c r="F59" s="338" t="n">
        <v>4.0</v>
      </c>
      <c r="G59" s="11">
        <f si="1" t="shared"/>
        <v>6.1492105950898554E-5</v>
      </c>
    </row>
    <row r="60" spans="1:7" x14ac:dyDescent="0.25">
      <c r="A60">
        <v>49</v>
      </c>
      <c r="B60" s="336" t="n">
        <v>0.0</v>
      </c>
      <c r="C60" s="11">
        <f si="0" t="shared"/>
        <v>0</v>
      </c>
      <c r="E60" s="68">
        <v>49</v>
      </c>
      <c r="F60" s="338" t="n">
        <v>4.0</v>
      </c>
      <c r="G60" s="11">
        <f si="1" t="shared"/>
        <v>6.1492105950898554E-5</v>
      </c>
    </row>
    <row r="61" spans="1:7" x14ac:dyDescent="0.25">
      <c r="A61">
        <v>50</v>
      </c>
      <c r="B61" s="336" t="n">
        <v>0.0</v>
      </c>
      <c r="C61" s="11">
        <f si="0" t="shared"/>
        <v>0</v>
      </c>
      <c r="E61" s="69">
        <v>50</v>
      </c>
      <c r="F61" s="338" t="n">
        <v>6.0</v>
      </c>
      <c r="G61" s="11">
        <f si="1" t="shared"/>
        <v>0</v>
      </c>
    </row>
    <row r="62" spans="1:7" x14ac:dyDescent="0.25">
      <c r="A62">
        <v>51</v>
      </c>
      <c r="B62" s="336" t="n">
        <v>0.0</v>
      </c>
      <c r="C62" s="11">
        <f si="0" t="shared"/>
        <v>0</v>
      </c>
      <c r="E62" s="70">
        <v>51</v>
      </c>
      <c r="F62" s="338" t="n">
        <v>3.0</v>
      </c>
      <c r="G62" s="11">
        <f si="1" t="shared"/>
        <v>1.0761118541407247E-4</v>
      </c>
    </row>
    <row r="63" spans="1:7" x14ac:dyDescent="0.25">
      <c r="A63">
        <v>52</v>
      </c>
      <c r="B63" s="336" t="n">
        <v>0.0</v>
      </c>
      <c r="C63" s="11">
        <f si="0" t="shared"/>
        <v>0</v>
      </c>
      <c r="E63" s="71">
        <v>52</v>
      </c>
      <c r="F63" s="338" t="n">
        <v>4.0</v>
      </c>
      <c r="G63" s="11">
        <f si="1" t="shared"/>
        <v>6.1492105950898554E-5</v>
      </c>
    </row>
    <row r="64" spans="1:7" x14ac:dyDescent="0.25">
      <c r="A64">
        <v>53</v>
      </c>
      <c r="B64" s="336" t="n">
        <v>0.0</v>
      </c>
      <c r="C64" s="11">
        <f si="0" t="shared"/>
        <v>0</v>
      </c>
      <c r="E64" s="72">
        <v>53</v>
      </c>
      <c r="F64" s="338" t="n">
        <v>1.0</v>
      </c>
      <c r="G64" s="11">
        <f si="1" t="shared"/>
        <v>3.0746052975449277E-5</v>
      </c>
    </row>
    <row r="65" spans="1:7" x14ac:dyDescent="0.25">
      <c r="A65">
        <v>54</v>
      </c>
      <c r="B65" s="336" t="n">
        <v>0.0</v>
      </c>
      <c r="C65" s="11">
        <f si="0" t="shared"/>
        <v>0</v>
      </c>
      <c r="E65" s="73">
        <v>54</v>
      </c>
      <c r="F65" s="338" t="n">
        <v>1.0</v>
      </c>
      <c r="G65" s="11">
        <f si="1" t="shared"/>
        <v>0</v>
      </c>
    </row>
    <row r="66" spans="1:7" x14ac:dyDescent="0.25">
      <c r="A66">
        <v>55</v>
      </c>
      <c r="B66" s="336" t="n">
        <v>0.0</v>
      </c>
      <c r="C66" s="11">
        <f si="0" t="shared"/>
        <v>0</v>
      </c>
      <c r="E66" s="74">
        <v>55</v>
      </c>
      <c r="F66" s="338" t="n">
        <v>0.0</v>
      </c>
      <c r="G66" s="11">
        <f si="1" t="shared"/>
        <v>0</v>
      </c>
    </row>
    <row r="67" spans="1:7" x14ac:dyDescent="0.25">
      <c r="A67">
        <v>56</v>
      </c>
      <c r="B67" s="336" t="n">
        <v>0.0</v>
      </c>
      <c r="C67" s="11">
        <f si="0" t="shared"/>
        <v>0</v>
      </c>
      <c r="E67" s="75">
        <v>56</v>
      </c>
      <c r="F67" s="338" t="n">
        <v>0.0</v>
      </c>
      <c r="G67" s="11">
        <f si="1" t="shared"/>
        <v>0</v>
      </c>
    </row>
    <row r="68" spans="1:7" x14ac:dyDescent="0.25">
      <c r="A68">
        <v>57</v>
      </c>
      <c r="B68" s="336" t="n">
        <v>0.0</v>
      </c>
      <c r="C68" s="11">
        <f si="0" t="shared"/>
        <v>0</v>
      </c>
      <c r="E68" s="76">
        <v>57</v>
      </c>
      <c r="F68" s="338" t="n">
        <v>0.0</v>
      </c>
      <c r="G68" s="11">
        <f si="1" t="shared"/>
        <v>0</v>
      </c>
    </row>
    <row r="69" spans="1:7" x14ac:dyDescent="0.25">
      <c r="A69">
        <v>58</v>
      </c>
      <c r="B69" s="336" t="n">
        <v>0.0</v>
      </c>
      <c r="C69" s="11">
        <f si="0" t="shared"/>
        <v>0</v>
      </c>
      <c r="E69" s="77">
        <v>58</v>
      </c>
      <c r="F69" s="338" t="n">
        <v>0.0</v>
      </c>
      <c r="G69" s="11">
        <f si="1" t="shared"/>
        <v>0</v>
      </c>
    </row>
    <row r="70" spans="1:7" x14ac:dyDescent="0.25">
      <c r="A70">
        <v>59</v>
      </c>
      <c r="B70" s="336" t="n">
        <v>0.0</v>
      </c>
      <c r="C70" s="11">
        <f si="0" t="shared"/>
        <v>0</v>
      </c>
      <c r="E70" s="78">
        <v>59</v>
      </c>
      <c r="F70" s="338" t="n">
        <v>1.0</v>
      </c>
      <c r="G70" s="11">
        <f si="1" t="shared"/>
        <v>0</v>
      </c>
    </row>
    <row r="71" spans="1:7" x14ac:dyDescent="0.25">
      <c r="A71">
        <v>60</v>
      </c>
      <c r="B71" s="336" t="n">
        <v>0.0</v>
      </c>
      <c r="C71" s="11">
        <f si="0" t="shared"/>
        <v>0</v>
      </c>
      <c r="E71" s="79">
        <v>60</v>
      </c>
      <c r="F71" s="338" t="n">
        <v>0.0</v>
      </c>
      <c r="G71" s="11">
        <f si="1" t="shared"/>
        <v>0</v>
      </c>
    </row>
    <row r="72" spans="1:7" x14ac:dyDescent="0.25">
      <c r="A72">
        <v>61</v>
      </c>
      <c r="B72" s="336" t="n">
        <v>0.0</v>
      </c>
      <c r="C72" s="11">
        <f si="0" t="shared"/>
        <v>0</v>
      </c>
      <c r="E72" s="80">
        <v>61</v>
      </c>
      <c r="F72" s="338" t="n">
        <v>0.0</v>
      </c>
      <c r="G72" s="11">
        <f si="1" t="shared"/>
        <v>0</v>
      </c>
    </row>
    <row r="73" spans="1:7" x14ac:dyDescent="0.25">
      <c r="A73">
        <v>62</v>
      </c>
      <c r="B73" s="336" t="n">
        <v>0.0</v>
      </c>
      <c r="C73" s="11">
        <f si="0" t="shared"/>
        <v>0</v>
      </c>
      <c r="E73" s="81">
        <v>62</v>
      </c>
      <c r="F73" s="338" t="n">
        <v>0.0</v>
      </c>
      <c r="G73" s="11">
        <f si="1" t="shared"/>
        <v>0</v>
      </c>
    </row>
    <row r="74" spans="1:7" x14ac:dyDescent="0.25">
      <c r="A74">
        <v>63</v>
      </c>
      <c r="B74" s="336" t="n">
        <v>0.0</v>
      </c>
      <c r="C74" s="11">
        <f si="0" t="shared"/>
        <v>0</v>
      </c>
      <c r="E74" s="82">
        <v>63</v>
      </c>
      <c r="F74" s="338" t="n">
        <v>0.0</v>
      </c>
      <c r="G74" s="11">
        <f si="1" t="shared"/>
        <v>0</v>
      </c>
    </row>
    <row r="75" spans="1:7" x14ac:dyDescent="0.25">
      <c r="A75">
        <v>64</v>
      </c>
      <c r="B75" s="336" t="n">
        <v>0.0</v>
      </c>
      <c r="C75" s="11">
        <f si="0" t="shared"/>
        <v>0</v>
      </c>
      <c r="E75" s="83">
        <v>64</v>
      </c>
      <c r="F75" s="338" t="n">
        <v>0.0</v>
      </c>
      <c r="G75" s="11">
        <f si="1" t="shared"/>
        <v>0</v>
      </c>
    </row>
    <row r="76" spans="1:7" x14ac:dyDescent="0.25">
      <c r="A76">
        <v>65</v>
      </c>
      <c r="B76" s="336" t="n">
        <v>0.0</v>
      </c>
      <c r="C76" s="11">
        <f si="0" t="shared"/>
        <v>0</v>
      </c>
      <c r="E76" s="84">
        <v>65</v>
      </c>
      <c r="F76" s="338" t="n">
        <v>0.0</v>
      </c>
      <c r="G76" s="11">
        <f si="1" t="shared"/>
        <v>0</v>
      </c>
    </row>
    <row r="77" spans="1:7" x14ac:dyDescent="0.25">
      <c r="A77">
        <v>66</v>
      </c>
      <c r="B77" s="336" t="n">
        <v>0.0</v>
      </c>
      <c r="C77" s="11">
        <f ref="C77:C102" si="2" t="shared">B77/B$102</f>
        <v>0</v>
      </c>
      <c r="E77" s="85">
        <v>66</v>
      </c>
      <c r="F77" s="338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36" t="n">
        <v>0.0</v>
      </c>
      <c r="C78" s="11">
        <f si="2" t="shared"/>
        <v>0</v>
      </c>
      <c r="E78" s="86">
        <v>67</v>
      </c>
      <c r="F78" s="338" t="n">
        <v>0.0</v>
      </c>
      <c r="G78" s="11">
        <f si="3" t="shared"/>
        <v>0</v>
      </c>
    </row>
    <row r="79" spans="1:7" x14ac:dyDescent="0.25">
      <c r="A79">
        <v>68</v>
      </c>
      <c r="B79" s="336" t="n">
        <v>0.0</v>
      </c>
      <c r="C79" s="11">
        <f si="2" t="shared"/>
        <v>0</v>
      </c>
      <c r="E79" s="87">
        <v>68</v>
      </c>
      <c r="F79" s="338" t="n">
        <v>0.0</v>
      </c>
      <c r="G79" s="11">
        <f si="3" t="shared"/>
        <v>0</v>
      </c>
    </row>
    <row r="80" spans="1:7" x14ac:dyDescent="0.25">
      <c r="A80">
        <v>69</v>
      </c>
      <c r="B80" s="336" t="n">
        <v>0.0</v>
      </c>
      <c r="C80" s="11">
        <f si="2" t="shared"/>
        <v>0</v>
      </c>
      <c r="E80" s="88">
        <v>69</v>
      </c>
      <c r="F80" s="338" t="n">
        <v>0.0</v>
      </c>
      <c r="G80" s="11">
        <f si="3" t="shared"/>
        <v>0</v>
      </c>
    </row>
    <row r="81" spans="1:7" x14ac:dyDescent="0.25">
      <c r="A81">
        <v>70</v>
      </c>
      <c r="B81" s="336" t="n">
        <v>0.0</v>
      </c>
      <c r="C81" s="11">
        <f si="2" t="shared"/>
        <v>0</v>
      </c>
      <c r="E81" s="89">
        <v>70</v>
      </c>
      <c r="F81" s="338" t="n">
        <v>0.0</v>
      </c>
      <c r="G81" s="11">
        <f si="3" t="shared"/>
        <v>0</v>
      </c>
    </row>
    <row r="82" spans="1:7" x14ac:dyDescent="0.25">
      <c r="A82">
        <v>71</v>
      </c>
      <c r="B82" s="336" t="n">
        <v>0.0</v>
      </c>
      <c r="C82" s="11">
        <f si="2" t="shared"/>
        <v>0</v>
      </c>
      <c r="E82" s="90">
        <v>71</v>
      </c>
      <c r="F82" s="338" t="n">
        <v>0.0</v>
      </c>
      <c r="G82" s="11">
        <f si="3" t="shared"/>
        <v>0</v>
      </c>
    </row>
    <row r="83" spans="1:7" x14ac:dyDescent="0.25">
      <c r="A83">
        <v>72</v>
      </c>
      <c r="B83" s="336" t="n">
        <v>0.0</v>
      </c>
      <c r="C83" s="11">
        <f si="2" t="shared"/>
        <v>0</v>
      </c>
      <c r="E83" s="91">
        <v>72</v>
      </c>
      <c r="F83" s="338" t="n">
        <v>0.0</v>
      </c>
      <c r="G83" s="11">
        <f si="3" t="shared"/>
        <v>0</v>
      </c>
    </row>
    <row r="84" spans="1:7" x14ac:dyDescent="0.25">
      <c r="A84">
        <v>73</v>
      </c>
      <c r="B84" s="336" t="n">
        <v>0.0</v>
      </c>
      <c r="C84" s="11">
        <f si="2" t="shared"/>
        <v>0</v>
      </c>
      <c r="E84" s="92">
        <v>73</v>
      </c>
      <c r="F84" s="338" t="n">
        <v>0.0</v>
      </c>
      <c r="G84" s="11">
        <f si="3" t="shared"/>
        <v>0</v>
      </c>
    </row>
    <row r="85" spans="1:7" x14ac:dyDescent="0.25">
      <c r="A85">
        <v>74</v>
      </c>
      <c r="B85" s="336" t="n">
        <v>0.0</v>
      </c>
      <c r="C85" s="11">
        <f si="2" t="shared"/>
        <v>0</v>
      </c>
      <c r="E85" s="93">
        <v>74</v>
      </c>
      <c r="F85" s="338" t="n">
        <v>0.0</v>
      </c>
      <c r="G85" s="11">
        <f si="3" t="shared"/>
        <v>0</v>
      </c>
    </row>
    <row r="86" spans="1:7" x14ac:dyDescent="0.25">
      <c r="A86">
        <v>75</v>
      </c>
      <c r="B86" s="336" t="n">
        <v>0.0</v>
      </c>
      <c r="C86" s="11">
        <f si="2" t="shared"/>
        <v>0</v>
      </c>
      <c r="E86" s="94">
        <v>75</v>
      </c>
      <c r="F86" s="338" t="n">
        <v>0.0</v>
      </c>
      <c r="G86" s="11">
        <f si="3" t="shared"/>
        <v>0</v>
      </c>
    </row>
    <row r="87" spans="1:7" x14ac:dyDescent="0.25">
      <c r="A87">
        <v>76</v>
      </c>
      <c r="B87" s="336" t="n">
        <v>0.0</v>
      </c>
      <c r="C87" s="11">
        <f si="2" t="shared"/>
        <v>0</v>
      </c>
      <c r="E87" s="95">
        <v>76</v>
      </c>
      <c r="F87" s="338" t="n">
        <v>0.0</v>
      </c>
      <c r="G87" s="11">
        <f si="3" t="shared"/>
        <v>0</v>
      </c>
    </row>
    <row r="88" spans="1:7" x14ac:dyDescent="0.25">
      <c r="A88">
        <v>77</v>
      </c>
      <c r="B88" s="336" t="n">
        <v>0.0</v>
      </c>
      <c r="C88" s="11">
        <f si="2" t="shared"/>
        <v>0</v>
      </c>
      <c r="E88" s="96">
        <v>77</v>
      </c>
      <c r="F88" s="338" t="n">
        <v>0.0</v>
      </c>
      <c r="G88" s="11">
        <f si="3" t="shared"/>
        <v>0</v>
      </c>
    </row>
    <row r="89" spans="1:7" x14ac:dyDescent="0.25">
      <c r="A89">
        <v>78</v>
      </c>
      <c r="B89" s="336" t="n">
        <v>0.0</v>
      </c>
      <c r="C89" s="11">
        <f si="2" t="shared"/>
        <v>0</v>
      </c>
      <c r="E89" s="97">
        <v>78</v>
      </c>
      <c r="F89" s="338" t="n">
        <v>0.0</v>
      </c>
      <c r="G89" s="11">
        <f si="3" t="shared"/>
        <v>0</v>
      </c>
    </row>
    <row r="90" spans="1:7" x14ac:dyDescent="0.25">
      <c r="A90">
        <v>79</v>
      </c>
      <c r="B90" s="336" t="n">
        <v>0.0</v>
      </c>
      <c r="C90" s="11">
        <f si="2" t="shared"/>
        <v>0</v>
      </c>
      <c r="E90" s="98">
        <v>79</v>
      </c>
      <c r="F90" s="338" t="n">
        <v>0.0</v>
      </c>
      <c r="G90" s="11">
        <f si="3" t="shared"/>
        <v>0</v>
      </c>
    </row>
    <row r="91" spans="1:7" x14ac:dyDescent="0.25">
      <c r="A91">
        <v>80</v>
      </c>
      <c r="B91" s="336" t="n">
        <v>0.0</v>
      </c>
      <c r="C91" s="11">
        <f si="2" t="shared"/>
        <v>0</v>
      </c>
      <c r="E91" s="99">
        <v>80</v>
      </c>
      <c r="F91" s="338" t="n">
        <v>0.0</v>
      </c>
      <c r="G91" s="11">
        <f si="3" t="shared"/>
        <v>0</v>
      </c>
    </row>
    <row r="92" spans="1:7" x14ac:dyDescent="0.25">
      <c r="A92">
        <v>81</v>
      </c>
      <c r="B92" s="336" t="n">
        <v>0.0</v>
      </c>
      <c r="C92" s="11">
        <f si="2" t="shared"/>
        <v>0</v>
      </c>
      <c r="E92" s="100">
        <v>81</v>
      </c>
      <c r="F92" s="338" t="n">
        <v>0.0</v>
      </c>
      <c r="G92" s="11">
        <f si="3" t="shared"/>
        <v>0</v>
      </c>
    </row>
    <row r="93" spans="1:7" x14ac:dyDescent="0.25">
      <c r="A93">
        <v>82</v>
      </c>
      <c r="B93" s="336" t="n">
        <v>0.0</v>
      </c>
      <c r="C93" s="11">
        <f si="2" t="shared"/>
        <v>0</v>
      </c>
      <c r="E93" s="101">
        <v>82</v>
      </c>
      <c r="F93" s="338" t="n">
        <v>0.0</v>
      </c>
      <c r="G93" s="11">
        <f si="3" t="shared"/>
        <v>0</v>
      </c>
    </row>
    <row r="94" spans="1:7" x14ac:dyDescent="0.25">
      <c r="A94">
        <v>83</v>
      </c>
      <c r="B94" s="336" t="n">
        <v>0.0</v>
      </c>
      <c r="C94" s="11">
        <f si="2" t="shared"/>
        <v>0</v>
      </c>
      <c r="E94" s="102">
        <v>83</v>
      </c>
      <c r="F94" s="338" t="n">
        <v>0.0</v>
      </c>
      <c r="G94" s="11">
        <f si="3" t="shared"/>
        <v>0</v>
      </c>
    </row>
    <row r="95" spans="1:7" x14ac:dyDescent="0.25">
      <c r="A95">
        <v>84</v>
      </c>
      <c r="B95" s="336" t="n">
        <v>0.0</v>
      </c>
      <c r="C95" s="11">
        <f si="2" t="shared"/>
        <v>0</v>
      </c>
      <c r="E95" s="103">
        <v>84</v>
      </c>
      <c r="F95" s="338" t="n">
        <v>0.0</v>
      </c>
      <c r="G95" s="11">
        <f si="3" t="shared"/>
        <v>0</v>
      </c>
    </row>
    <row r="96" spans="1:7" x14ac:dyDescent="0.25">
      <c r="A96">
        <v>85</v>
      </c>
      <c r="B96" s="336" t="n">
        <v>0.0</v>
      </c>
      <c r="C96" s="11">
        <f si="2" t="shared"/>
        <v>0</v>
      </c>
      <c r="E96" s="104">
        <v>85</v>
      </c>
      <c r="F96" s="338" t="n">
        <v>0.0</v>
      </c>
      <c r="G96" s="11">
        <f si="3" t="shared"/>
        <v>0</v>
      </c>
    </row>
    <row r="97" spans="1:7" x14ac:dyDescent="0.25">
      <c r="A97">
        <v>86</v>
      </c>
      <c r="B97" s="336" t="n">
        <v>0.0</v>
      </c>
      <c r="C97" s="11">
        <f si="2" t="shared"/>
        <v>0</v>
      </c>
      <c r="E97" s="105">
        <v>86</v>
      </c>
      <c r="F97" s="338" t="n">
        <v>0.0</v>
      </c>
      <c r="G97" s="11">
        <f si="3" t="shared"/>
        <v>0</v>
      </c>
    </row>
    <row r="98" spans="1:7" x14ac:dyDescent="0.25">
      <c r="A98">
        <v>87</v>
      </c>
      <c r="B98" s="336" t="n">
        <v>0.0</v>
      </c>
      <c r="C98" s="11">
        <f si="2" t="shared"/>
        <v>0</v>
      </c>
      <c r="E98" s="106">
        <v>87</v>
      </c>
      <c r="F98" s="338" t="n">
        <v>0.0</v>
      </c>
      <c r="G98" s="11">
        <f si="3" t="shared"/>
        <v>0</v>
      </c>
    </row>
    <row r="99" spans="1:7" x14ac:dyDescent="0.25">
      <c r="A99">
        <v>88</v>
      </c>
      <c r="B99" s="336" t="n">
        <v>0.0</v>
      </c>
      <c r="C99" s="11">
        <f si="2" t="shared"/>
        <v>0</v>
      </c>
      <c r="E99" s="107">
        <v>88</v>
      </c>
      <c r="F99" s="338" t="n">
        <v>0.0</v>
      </c>
      <c r="G99" s="11">
        <f si="3" t="shared"/>
        <v>0</v>
      </c>
    </row>
    <row r="100" spans="1:7" x14ac:dyDescent="0.25">
      <c r="A100">
        <v>89</v>
      </c>
      <c r="B100" s="336" t="n">
        <v>0.0</v>
      </c>
      <c r="C100" s="11">
        <f si="2" t="shared"/>
        <v>0</v>
      </c>
      <c r="E100" s="108">
        <v>89</v>
      </c>
      <c r="F100" s="33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37" t="n">
        <v>0.0</v>
      </c>
      <c r="C101" s="11">
        <f si="2" t="shared"/>
        <v>0</v>
      </c>
      <c r="E101" s="291">
        <v>90</v>
      </c>
      <c r="F101" s="339" t="n">
        <v>0.0</v>
      </c>
      <c r="G101" s="11">
        <f si="3" t="shared"/>
        <v>0</v>
      </c>
    </row>
    <row r="102" spans="1:7" x14ac:dyDescent="0.25">
      <c r="B102" s="336">
        <f>SUM(B11:B101)</f>
        <v>100972.3972377748</v>
      </c>
      <c r="C102" s="11">
        <f si="2" t="shared"/>
        <v>1</v>
      </c>
      <c r="F102" s="336">
        <f>SUM(F11:F101)</f>
        <v>65049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5105.924878342</v>
      </c>
      <c r="C11" s="11">
        <f>B11/B$102</f>
        <v>5.0567531503865511E-2</v>
      </c>
      <c r="E11" s="109">
        <v>0</v>
      </c>
      <c r="F11" s="199" t="n">
        <v>826.0</v>
      </c>
      <c r="G11" s="11">
        <f>F11/F$102</f>
        <v>1.3681993574074928E-2</v>
      </c>
      <c r="K11" s="8" t="n">
        <v>10.271252599585129</v>
      </c>
      <c r="L11" s="8" t="n">
        <v>12.648072525666992</v>
      </c>
    </row>
    <row r="12" spans="1:12" x14ac:dyDescent="0.25">
      <c r="A12">
        <v>1</v>
      </c>
      <c r="B12" s="8" t="n">
        <v>5412.8913844765</v>
      </c>
      <c r="C12" s="11">
        <f>B12/B$102</f>
        <v>5.3607634685843453E-2</v>
      </c>
      <c r="E12" s="110">
        <v>1</v>
      </c>
      <c r="F12" s="200" t="n">
        <v>1848.0</v>
      </c>
      <c r="G12" s="11">
        <f>F12/F$102</f>
        <v>2.8778305585020522E-2</v>
      </c>
      <c r="K12" s="8"/>
      <c r="L12" s="290"/>
    </row>
    <row r="13" spans="1:12" x14ac:dyDescent="0.25">
      <c r="A13">
        <v>2</v>
      </c>
      <c r="B13" s="8" t="n">
        <v>5422.716751428</v>
      </c>
      <c r="C13" s="11">
        <f ref="C13:C76" si="0" t="shared">B13/B$102</f>
        <v>5.3704942140358598E-2</v>
      </c>
      <c r="E13" s="111">
        <v>2</v>
      </c>
      <c r="F13" s="201" t="n">
        <v>2541.0</v>
      </c>
      <c r="G13" s="11">
        <f ref="G13:G76" si="1" t="shared">F13/F$102</f>
        <v>3.8740026749066091E-2</v>
      </c>
    </row>
    <row r="14" spans="1:12" x14ac:dyDescent="0.25">
      <c r="A14">
        <v>3</v>
      </c>
      <c r="B14" s="8" t="n">
        <v>8995.9253181265</v>
      </c>
      <c r="C14" s="11">
        <f si="0" t="shared"/>
        <v>8.9092916125804653E-2</v>
      </c>
      <c r="E14" s="112">
        <v>3</v>
      </c>
      <c r="F14" s="202" t="n">
        <v>3258.0</v>
      </c>
      <c r="G14" s="11">
        <f si="1" t="shared"/>
        <v>4.8947716336915248E-2</v>
      </c>
    </row>
    <row r="15" spans="1:12" x14ac:dyDescent="0.25">
      <c r="A15">
        <v>4</v>
      </c>
      <c r="B15" s="8" t="n">
        <v>6293.0905291184</v>
      </c>
      <c r="C15" s="11">
        <f si="0" t="shared"/>
        <v>6.2324860073383413E-2</v>
      </c>
      <c r="E15" s="113">
        <v>4</v>
      </c>
      <c r="F15" s="203" t="n">
        <v>3967.0</v>
      </c>
      <c r="G15" s="11">
        <f si="1" t="shared"/>
        <v>6.1323002659533582E-2</v>
      </c>
    </row>
    <row r="16" spans="1:12" x14ac:dyDescent="0.25">
      <c r="A16">
        <v>5</v>
      </c>
      <c r="B16" s="8" t="n">
        <v>6494.765294483</v>
      </c>
      <c r="C16" s="11">
        <f si="0" t="shared"/>
        <v>6.4322185786961208E-2</v>
      </c>
      <c r="E16" s="114">
        <v>5</v>
      </c>
      <c r="F16" s="204" t="n">
        <v>4477.0</v>
      </c>
      <c r="G16" s="11">
        <f si="1" t="shared"/>
        <v>6.6273117188580921E-2</v>
      </c>
    </row>
    <row r="17" spans="1:7" x14ac:dyDescent="0.25">
      <c r="A17">
        <v>6</v>
      </c>
      <c r="B17" s="8" t="n">
        <v>7819.1397179033</v>
      </c>
      <c r="C17" s="11">
        <f si="0" t="shared"/>
        <v>7.7438388428972355E-2</v>
      </c>
      <c r="E17" s="115">
        <v>6</v>
      </c>
      <c r="F17" s="205" t="n">
        <v>4580.0</v>
      </c>
      <c r="G17" s="11">
        <f si="1" t="shared"/>
        <v>6.8732801426616863E-2</v>
      </c>
    </row>
    <row r="18" spans="1:7" x14ac:dyDescent="0.25">
      <c r="A18">
        <v>7</v>
      </c>
      <c r="B18" s="8" t="n">
        <v>8227.681137806</v>
      </c>
      <c r="C18" s="11">
        <f si="0" t="shared"/>
        <v>8.1484458751940381E-2</v>
      </c>
      <c r="E18" s="116">
        <v>7</v>
      </c>
      <c r="F18" s="206" t="n">
        <v>4652.0</v>
      </c>
      <c r="G18" s="11">
        <f si="1" t="shared"/>
        <v>7.042383434026657E-2</v>
      </c>
    </row>
    <row r="19" spans="1:7" x14ac:dyDescent="0.25">
      <c r="A19">
        <v>8</v>
      </c>
      <c r="B19" s="8" t="n">
        <v>6193.27396932</v>
      </c>
      <c r="C19" s="11">
        <f si="0" t="shared"/>
        <v>6.133630713684822E-2</v>
      </c>
      <c r="E19" s="117">
        <v>8</v>
      </c>
      <c r="F19" s="207" t="n">
        <v>4586.0</v>
      </c>
      <c r="G19" s="11">
        <f si="1" t="shared"/>
        <v>6.8594444188227341E-2</v>
      </c>
    </row>
    <row r="20" spans="1:7" x14ac:dyDescent="0.25">
      <c r="A20">
        <v>9</v>
      </c>
      <c r="B20" s="8" t="n">
        <v>4467.58855022</v>
      </c>
      <c r="C20" s="11">
        <f si="0" t="shared"/>
        <v>4.4245642100578249E-2</v>
      </c>
      <c r="E20" s="118">
        <v>9</v>
      </c>
      <c r="F20" s="208" t="n">
        <v>4071.0</v>
      </c>
      <c r="G20" s="11">
        <f si="1" t="shared"/>
        <v>6.0462113176221001E-2</v>
      </c>
    </row>
    <row r="21" spans="1:7" x14ac:dyDescent="0.25">
      <c r="A21">
        <v>10</v>
      </c>
      <c r="B21" s="8" t="n">
        <v>3715.1965795356</v>
      </c>
      <c r="C21" s="11">
        <f si="0" t="shared"/>
        <v>3.6794180203396296E-2</v>
      </c>
      <c r="E21" s="119">
        <v>10</v>
      </c>
      <c r="F21" s="209" t="n">
        <v>3523.0</v>
      </c>
      <c r="G21" s="11">
        <f si="1" t="shared"/>
        <v>5.4927823640640132E-2</v>
      </c>
    </row>
    <row r="22" spans="1:7" x14ac:dyDescent="0.25">
      <c r="A22">
        <v>11</v>
      </c>
      <c r="B22" s="8" t="n">
        <v>5639.9683431792</v>
      </c>
      <c r="C22" s="11">
        <f si="0" t="shared"/>
        <v>5.5856536018432081E-2</v>
      </c>
      <c r="E22" s="120">
        <v>11</v>
      </c>
      <c r="F22" s="210" t="n">
        <v>3202.0</v>
      </c>
      <c r="G22" s="11">
        <f si="1" t="shared"/>
        <v>4.7625636058970931E-2</v>
      </c>
    </row>
    <row r="23" spans="1:7" x14ac:dyDescent="0.25">
      <c r="A23">
        <v>12</v>
      </c>
      <c r="B23" s="8" t="n">
        <v>1290.41887956</v>
      </c>
      <c r="C23" s="11">
        <f si="0" t="shared"/>
        <v>1.2779917233432201E-2</v>
      </c>
      <c r="E23" s="121">
        <v>12</v>
      </c>
      <c r="F23" s="211" t="n">
        <v>2829.0</v>
      </c>
      <c r="G23" s="11">
        <f si="1" t="shared"/>
        <v>4.0753893218958018E-2</v>
      </c>
    </row>
    <row r="24" spans="1:7" x14ac:dyDescent="0.25">
      <c r="A24">
        <v>13</v>
      </c>
      <c r="B24" s="8" t="n">
        <v>914.240201715</v>
      </c>
      <c r="C24" s="11">
        <f si="0" t="shared"/>
        <v>9.0543576930445843E-3</v>
      </c>
      <c r="E24" s="122">
        <v>13</v>
      </c>
      <c r="F24" s="212" t="n">
        <v>2170.0</v>
      </c>
      <c r="G24" s="11">
        <f si="1" t="shared"/>
        <v>3.0807545081400177E-2</v>
      </c>
    </row>
    <row r="25" spans="1:7" x14ac:dyDescent="0.25">
      <c r="A25">
        <v>14</v>
      </c>
      <c r="B25" s="8" t="n">
        <v>1534.1816484780002</v>
      </c>
      <c r="C25" s="11">
        <f si="0" t="shared"/>
        <v>1.5194069770030648E-2</v>
      </c>
      <c r="E25" s="123">
        <v>14</v>
      </c>
      <c r="F25" s="213" t="n">
        <v>1619.0</v>
      </c>
      <c r="G25" s="11">
        <f si="1" t="shared"/>
        <v>2.6180264108595058E-2</v>
      </c>
    </row>
    <row r="26" spans="1:7" x14ac:dyDescent="0.25">
      <c r="A26">
        <v>15</v>
      </c>
      <c r="B26" s="8" t="n">
        <v>139.063825804</v>
      </c>
      <c r="C26" s="11">
        <f si="0" t="shared"/>
        <v>1.3772459564025763E-3</v>
      </c>
      <c r="E26" s="124">
        <v>15</v>
      </c>
      <c r="F26" s="214" t="n">
        <v>1491.0</v>
      </c>
      <c r="G26" s="11">
        <f si="1" t="shared"/>
        <v>2.1675967347691741E-2</v>
      </c>
    </row>
    <row r="27" spans="1:7" x14ac:dyDescent="0.25">
      <c r="A27">
        <v>16</v>
      </c>
      <c r="B27" s="8" t="n">
        <v>1686.590067159</v>
      </c>
      <c r="C27" s="11">
        <f si="0" t="shared"/>
        <v>1.6703476527226882E-2</v>
      </c>
      <c r="E27" s="125">
        <v>16</v>
      </c>
      <c r="F27" s="215" t="n">
        <v>1286.0</v>
      </c>
      <c r="G27" s="11">
        <f si="1" t="shared"/>
        <v>2.0599855493551016E-2</v>
      </c>
    </row>
    <row r="28" spans="1:7" x14ac:dyDescent="0.25">
      <c r="A28">
        <v>17</v>
      </c>
      <c r="B28" s="8" t="n">
        <v>1994.753712471</v>
      </c>
      <c r="C28" s="11">
        <f si="0" t="shared"/>
        <v>1.9755435812558311E-2</v>
      </c>
      <c r="E28" s="126">
        <v>17</v>
      </c>
      <c r="F28" s="216" t="n">
        <v>1038.0</v>
      </c>
      <c r="G28" s="11">
        <f si="1" t="shared"/>
        <v>1.5957201494258173E-2</v>
      </c>
    </row>
    <row r="29" spans="1:7" x14ac:dyDescent="0.25">
      <c r="A29">
        <v>18</v>
      </c>
      <c r="B29" s="8" t="n">
        <v>83.6385</v>
      </c>
      <c r="C29" s="11">
        <f si="0" t="shared"/>
        <v>8.2833033866714994E-4</v>
      </c>
      <c r="E29" s="127">
        <v>18</v>
      </c>
      <c r="F29" s="217" t="n">
        <v>917.0</v>
      </c>
      <c r="G29" s="11">
        <f si="1" t="shared"/>
        <v>1.4481390951436609E-2</v>
      </c>
    </row>
    <row r="30" spans="1:7" x14ac:dyDescent="0.25">
      <c r="A30">
        <v>19</v>
      </c>
      <c r="B30" s="8" t="n">
        <v>1352.871734226</v>
      </c>
      <c r="C30" s="11">
        <f si="0" t="shared"/>
        <v>1.3398431365754252E-2</v>
      </c>
      <c r="E30" s="128">
        <v>19</v>
      </c>
      <c r="F30" s="218" t="n">
        <v>815.0</v>
      </c>
      <c r="G30" s="11">
        <f si="1" t="shared"/>
        <v>1.2482897508032406E-2</v>
      </c>
    </row>
    <row r="31" spans="1:7" x14ac:dyDescent="0.25">
      <c r="A31">
        <v>20</v>
      </c>
      <c r="B31" s="8" t="n">
        <v>171.621822916</v>
      </c>
      <c r="C31" s="11">
        <f si="0" t="shared"/>
        <v>1.6996904858251156E-3</v>
      </c>
      <c r="E31" s="129">
        <v>20</v>
      </c>
      <c r="F31" s="219" t="n">
        <v>744.0</v>
      </c>
      <c r="G31" s="11">
        <f si="1" t="shared"/>
        <v>1.1083952097649464E-2</v>
      </c>
    </row>
    <row r="32" spans="1:7" x14ac:dyDescent="0.25">
      <c r="A32">
        <v>21</v>
      </c>
      <c r="B32" s="8" t="n">
        <v>335.168838762</v>
      </c>
      <c r="C32" s="11">
        <f si="0" t="shared"/>
        <v>3.319410531303202E-3</v>
      </c>
      <c r="E32" s="130">
        <v>21</v>
      </c>
      <c r="F32" s="220" t="n">
        <v>699.0</v>
      </c>
      <c r="G32" s="11">
        <f si="1" t="shared"/>
        <v>1.0638134329505449E-2</v>
      </c>
    </row>
    <row r="33" spans="1:7" x14ac:dyDescent="0.25">
      <c r="A33">
        <v>22</v>
      </c>
      <c r="B33" s="8" t="n">
        <v>9339.685161928</v>
      </c>
      <c r="C33" s="11">
        <f si="0" t="shared"/>
        <v>9.2497409365595709E-2</v>
      </c>
      <c r="E33" s="131">
        <v>22</v>
      </c>
      <c r="F33" s="221" t="n">
        <v>629.0</v>
      </c>
      <c r="G33" s="11">
        <f si="1" t="shared"/>
        <v>1.06688803824809E-2</v>
      </c>
    </row>
    <row r="34" spans="1:7" x14ac:dyDescent="0.25">
      <c r="A34">
        <v>23</v>
      </c>
      <c r="B34" s="8" t="n">
        <v>0.0</v>
      </c>
      <c r="C34" s="11">
        <f si="0" t="shared"/>
        <v>0</v>
      </c>
      <c r="E34" s="132">
        <v>23</v>
      </c>
      <c r="F34" s="222" t="n">
        <v>578.0</v>
      </c>
      <c r="G34" s="11">
        <f si="1" t="shared"/>
        <v>9.7157527402419713E-3</v>
      </c>
    </row>
    <row r="35" spans="1:7" x14ac:dyDescent="0.25">
      <c r="A35">
        <v>24</v>
      </c>
      <c r="B35" s="8" t="n">
        <v>0.0</v>
      </c>
      <c r="C35" s="11">
        <f si="0" t="shared"/>
        <v>0</v>
      </c>
      <c r="E35" s="133">
        <v>24</v>
      </c>
      <c r="F35" s="223" t="n">
        <v>546.0</v>
      </c>
      <c r="G35" s="11">
        <f si="1" t="shared"/>
        <v>8.4705375947362761E-3</v>
      </c>
    </row>
    <row r="36" spans="1:7" x14ac:dyDescent="0.25">
      <c r="A36">
        <v>25</v>
      </c>
      <c r="B36" s="8" t="n">
        <v>292.935799305</v>
      </c>
      <c r="C36" s="11">
        <f si="0" t="shared"/>
        <v>2.901147316678837E-3</v>
      </c>
      <c r="E36" s="134">
        <v>25</v>
      </c>
      <c r="F36" s="224" t="n">
        <v>541.0</v>
      </c>
      <c r="G36" s="11">
        <f si="1" t="shared"/>
        <v>8.5781487801503478E-3</v>
      </c>
    </row>
    <row r="37" spans="1:7" x14ac:dyDescent="0.25">
      <c r="A37">
        <v>26</v>
      </c>
      <c r="B37" s="8" t="n">
        <v>975.234801671</v>
      </c>
      <c r="C37" s="11">
        <f si="0" t="shared"/>
        <v>9.6584297129686716E-3</v>
      </c>
      <c r="E37" s="135">
        <v>26</v>
      </c>
      <c r="F37" s="225" t="n">
        <v>449.0</v>
      </c>
      <c r="G37" s="11">
        <f si="1" t="shared"/>
        <v>7.8709895617150149E-3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136">
        <v>27</v>
      </c>
      <c r="F38" s="226" t="n">
        <v>437.0</v>
      </c>
      <c r="G38" s="11">
        <f si="1" t="shared"/>
        <v>7.3021875816692032E-3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137">
        <v>28</v>
      </c>
      <c r="F39" s="227" t="n">
        <v>466.0</v>
      </c>
      <c r="G39" s="11">
        <f si="1" t="shared"/>
        <v>7.9171086411781895E-3</v>
      </c>
    </row>
    <row r="40" spans="1:7" x14ac:dyDescent="0.25">
      <c r="A40">
        <v>29</v>
      </c>
      <c r="B40" s="8" t="n">
        <v>142.684197525</v>
      </c>
      <c r="C40" s="11">
        <f si="0" t="shared"/>
        <v>1.4131010199648938E-3</v>
      </c>
      <c r="E40" s="138">
        <v>29</v>
      </c>
      <c r="F40" s="228" t="n">
        <v>458.0</v>
      </c>
      <c r="G40" s="11">
        <f si="1" t="shared"/>
        <v>7.1792033697674063E-3</v>
      </c>
    </row>
    <row r="41" spans="1:7" x14ac:dyDescent="0.25">
      <c r="A41">
        <v>30</v>
      </c>
      <c r="B41" s="8" t="n">
        <v>95.3516777933</v>
      </c>
      <c r="C41" s="11">
        <f si="0" t="shared"/>
        <v>9.4433409923665721E-4</v>
      </c>
      <c r="E41" s="139">
        <v>30</v>
      </c>
      <c r="F41" s="229" t="n">
        <v>414.0</v>
      </c>
      <c r="G41" s="11">
        <f si="1" t="shared"/>
        <v>7.0408461313778842E-3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140">
        <v>31</v>
      </c>
      <c r="F42" s="230" t="n">
        <v>409.0</v>
      </c>
      <c r="G42" s="11">
        <f si="1" t="shared"/>
        <v>6.4874171778197976E-3</v>
      </c>
    </row>
    <row r="43" spans="1:7" x14ac:dyDescent="0.25">
      <c r="A43">
        <v>32</v>
      </c>
      <c r="B43" s="8" t="n">
        <v>1139.326505778</v>
      </c>
      <c r="C43" s="11">
        <f si="0" t="shared"/>
        <v>1.1283544185794237E-2</v>
      </c>
      <c r="E43" s="141">
        <v>32</v>
      </c>
      <c r="F43" s="231" t="n">
        <v>425.0</v>
      </c>
      <c r="G43" s="11">
        <f si="1" t="shared"/>
        <v>6.9332349459638115E-3</v>
      </c>
    </row>
    <row r="44" spans="1:7" x14ac:dyDescent="0.25">
      <c r="A44">
        <v>33</v>
      </c>
      <c r="B44" s="8" t="n">
        <v>2840.14132793</v>
      </c>
      <c r="C44" s="11">
        <f si="0" t="shared"/>
        <v>2.8127898372481884E-2</v>
      </c>
      <c r="E44" s="142">
        <v>33</v>
      </c>
      <c r="F44" s="232" t="n">
        <v>420.0</v>
      </c>
      <c r="G44" s="11">
        <f si="1" t="shared"/>
        <v>6.6718934956724934E-3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143">
        <v>34</v>
      </c>
      <c r="F45" s="233" t="n">
        <v>376.0</v>
      </c>
      <c r="G45" s="11">
        <f si="1" t="shared"/>
        <v>6.6718934956724934E-3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144">
        <v>35</v>
      </c>
      <c r="F46" s="234" t="n">
        <v>363.0</v>
      </c>
      <c r="G46" s="11">
        <f si="1" t="shared"/>
        <v>6.1953296745530292E-3</v>
      </c>
    </row>
    <row r="47" spans="1:7" x14ac:dyDescent="0.25">
      <c r="A47">
        <v>36</v>
      </c>
      <c r="B47" s="8" t="n">
        <v>280.724871177</v>
      </c>
      <c r="C47" s="11">
        <f si="0" t="shared"/>
        <v>2.780213987748901E-3</v>
      </c>
      <c r="E47" s="145">
        <v>36</v>
      </c>
      <c r="F47" s="235" t="n">
        <v>367.0</v>
      </c>
      <c r="G47" s="11">
        <f si="1" t="shared"/>
        <v>6.5181632307952471E-3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146">
        <v>37</v>
      </c>
      <c r="F48" s="236" t="n">
        <v>312.0</v>
      </c>
      <c r="G48" s="11">
        <f si="1" t="shared"/>
        <v>5.3805592707036236E-3</v>
      </c>
    </row>
    <row r="49" spans="1:7" x14ac:dyDescent="0.25">
      <c r="A49">
        <v>38</v>
      </c>
      <c r="B49" s="8" t="n">
        <v>1113.06873554</v>
      </c>
      <c r="C49" s="11">
        <f si="0" t="shared"/>
        <v>1.1023495192640526E-2</v>
      </c>
      <c r="E49" s="147">
        <v>38</v>
      </c>
      <c r="F49" s="237" t="n">
        <v>336.0</v>
      </c>
      <c r="G49" s="11">
        <f si="1" t="shared"/>
        <v>4.9193684760718845E-3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148">
        <v>39</v>
      </c>
      <c r="F50" s="238" t="n">
        <v>274.0</v>
      </c>
      <c r="G50" s="11">
        <f si="1" t="shared"/>
        <v>4.750265184706913E-3</v>
      </c>
    </row>
    <row r="51" spans="1:7" x14ac:dyDescent="0.25">
      <c r="A51">
        <v>40</v>
      </c>
      <c r="B51" s="8" t="n">
        <v>197.813226067</v>
      </c>
      <c r="C51" s="11">
        <f si="0" t="shared"/>
        <v>1.959082199476552E-3</v>
      </c>
      <c r="E51" s="149">
        <v>40</v>
      </c>
      <c r="F51" s="239" t="n">
        <v>235.0</v>
      </c>
      <c r="G51" s="11">
        <f si="1" t="shared"/>
        <v>4.1045980722224781E-3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150">
        <v>41</v>
      </c>
      <c r="F52" s="240" t="n">
        <v>232.0</v>
      </c>
      <c r="G52" s="11">
        <f si="1" t="shared"/>
        <v>4.2890743900751739E-3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151">
        <v>42</v>
      </c>
      <c r="F53" s="241" t="n">
        <v>202.0</v>
      </c>
      <c r="G53" s="11">
        <f si="1" t="shared"/>
        <v>3.8278835954434348E-3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178.0</v>
      </c>
      <c r="G54" s="11">
        <f si="1" t="shared"/>
        <v>3.0746052975449277E-3</v>
      </c>
    </row>
    <row r="55" spans="1:7" x14ac:dyDescent="0.25">
      <c r="A55">
        <v>44</v>
      </c>
      <c r="B55" s="8" t="n">
        <v>543.221055857</v>
      </c>
      <c r="C55" s="11">
        <f si="0" t="shared"/>
        <v>5.3798965927073731E-3</v>
      </c>
      <c r="E55" s="153">
        <v>44</v>
      </c>
      <c r="F55" s="243" t="n">
        <v>172.0</v>
      </c>
      <c r="G55" s="11">
        <f si="1" t="shared"/>
        <v>3.0899783240326524E-3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154">
        <v>45</v>
      </c>
      <c r="F56" s="244" t="n">
        <v>128.0</v>
      </c>
      <c r="G56" s="11">
        <f si="1" t="shared"/>
        <v>2.4135651585727681E-3</v>
      </c>
    </row>
    <row r="57" spans="1:7" x14ac:dyDescent="0.25">
      <c r="A57">
        <v>46</v>
      </c>
      <c r="B57" s="8" t="n">
        <v>207.401519182</v>
      </c>
      <c r="C57" s="11">
        <f si="0" t="shared"/>
        <v>2.0540417466131918E-3</v>
      </c>
      <c r="E57" s="155">
        <v>46</v>
      </c>
      <c r="F57" s="245" t="n">
        <v>142.0</v>
      </c>
      <c r="G57" s="11">
        <f si="1" t="shared"/>
        <v>2.1983427877446233E-3</v>
      </c>
    </row>
    <row r="58" spans="1:7" x14ac:dyDescent="0.25">
      <c r="A58">
        <v>47</v>
      </c>
      <c r="B58" s="8" t="n">
        <v>514.0966729920001</v>
      </c>
      <c r="C58" s="11">
        <f si="0" t="shared"/>
        <v>5.0914575374632317E-3</v>
      </c>
      <c r="E58" s="156">
        <v>47</v>
      </c>
      <c r="F58" s="246" t="n">
        <v>93.0</v>
      </c>
      <c r="G58" s="11">
        <f si="1" t="shared"/>
        <v>1.7986440990637826E-3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96.0</v>
      </c>
      <c r="G59" s="11">
        <f si="1" t="shared"/>
        <v>1.5219296222847391E-3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66.0</v>
      </c>
      <c r="G60" s="11">
        <f si="1" t="shared"/>
        <v>1.4296914633583914E-3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75.0</v>
      </c>
      <c r="G61" s="11">
        <f si="1" t="shared"/>
        <v>1.445064489846116E-3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59.0</v>
      </c>
      <c r="G62" s="11">
        <f si="1" t="shared"/>
        <v>1.0453658011652753E-3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52.0</v>
      </c>
      <c r="G63" s="11">
        <f si="1" t="shared"/>
        <v>8.1477040384940588E-4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45.0</v>
      </c>
      <c r="G64" s="11">
        <f si="1" t="shared"/>
        <v>8.4551645682485511E-4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37.0</v>
      </c>
      <c r="G65" s="11">
        <f si="1" t="shared"/>
        <v>7.0715921843533336E-4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31.0</v>
      </c>
      <c r="G66" s="11">
        <f si="1" t="shared"/>
        <v>7.9939737736168116E-4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22.0</v>
      </c>
      <c r="G67" s="11">
        <f si="1" t="shared"/>
        <v>7.3790527141078259E-4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22.0</v>
      </c>
      <c r="G68" s="11">
        <f si="1" t="shared"/>
        <v>4.7656382111946382E-4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26.0</v>
      </c>
      <c r="G69" s="11">
        <f si="1" t="shared"/>
        <v>5.0730987409491305E-4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13.0</v>
      </c>
      <c r="G70" s="11">
        <f si="1" t="shared"/>
        <v>3.3820658272994207E-4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20.0</v>
      </c>
      <c r="G71" s="11">
        <f si="1" t="shared"/>
        <v>3.3820658272994207E-4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15.0</v>
      </c>
      <c r="G72" s="11">
        <f si="1" t="shared"/>
        <v>2.3059539731586957E-4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9.0</v>
      </c>
      <c r="G73" s="11">
        <f si="1" t="shared"/>
        <v>2.767144767790435E-4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7.0</v>
      </c>
      <c r="G74" s="11">
        <f si="1" t="shared"/>
        <v>1.6910329136497103E-4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8.0</v>
      </c>
      <c r="G75" s="11">
        <f si="1" t="shared"/>
        <v>2.767144767790435E-4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7.0</v>
      </c>
      <c r="G76" s="11">
        <f si="1" t="shared"/>
        <v>7.6865132438623196E-5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6.0</v>
      </c>
      <c r="G77" s="11">
        <f ref="G77:G102" si="3" t="shared">F77/F$102</f>
        <v>9.2238158926347824E-5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5.0</v>
      </c>
      <c r="G78" s="11">
        <f si="3" t="shared"/>
        <v>9.2238158926347824E-5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3.0</v>
      </c>
      <c r="G79" s="11">
        <f si="3" t="shared"/>
        <v>4.6119079463173912E-5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6.0</v>
      </c>
      <c r="G80" s="11">
        <f si="3" t="shared"/>
        <v>1.5373026487724638E-5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1.0</v>
      </c>
      <c r="G81" s="11">
        <f si="3" t="shared"/>
        <v>9.2238158926347824E-5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2.0</v>
      </c>
      <c r="G82" s="11">
        <f si="3" t="shared"/>
        <v>9.2238158926347824E-5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2.0</v>
      </c>
      <c r="G83" s="11">
        <f si="3" t="shared"/>
        <v>6.1492105950898554E-5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1.0</v>
      </c>
      <c r="G84" s="11">
        <f si="3" t="shared"/>
        <v>1.5373026487724638E-5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0.0</v>
      </c>
      <c r="G85" s="11">
        <f si="3" t="shared"/>
        <v>7.6865132438623196E-5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1.0</v>
      </c>
      <c r="G86" s="11">
        <f si="3" t="shared"/>
        <v>3.0746052975449277E-5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0.0</v>
      </c>
      <c r="G87" s="11">
        <f si="3" t="shared"/>
        <v>1.5373026487724638E-5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2.0</v>
      </c>
      <c r="G88" s="11">
        <f si="3" t="shared"/>
        <v>3.0746052975449277E-5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2.0</v>
      </c>
      <c r="G89" s="11">
        <f si="3" t="shared"/>
        <v>1.5373026487724638E-5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3.0</v>
      </c>
      <c r="G90" s="11">
        <f si="3" t="shared"/>
        <v>1.5373026487724638E-5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0.0</v>
      </c>
      <c r="G96" s="11">
        <f si="3" t="shared"/>
        <v>1.5373026487724638E-5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0.0</v>
      </c>
      <c r="G97" s="11">
        <f si="3" t="shared"/>
        <v>1.5373026487724638E-5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0.0</v>
      </c>
      <c r="G101" s="11">
        <f si="3" t="shared"/>
        <v>0</v>
      </c>
    </row>
    <row r="102" spans="1:7" x14ac:dyDescent="0.25">
      <c r="B102" s="8">
        <f>SUM(B11:B101)</f>
        <v>100972.3972377748</v>
      </c>
      <c r="C102" s="11">
        <f si="2" t="shared"/>
        <v>1</v>
      </c>
      <c r="F102" s="8">
        <f>SUM(F11:F101)</f>
        <v>65049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7" workbookViewId="0">
      <selection activeCell="AE36" sqref="AE3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26029.7757432698</v>
      </c>
      <c r="C7" s="12" t="n">
        <v>569.6071198999</v>
      </c>
      <c r="D7" s="12" t="n">
        <v>1534.9425674075</v>
      </c>
      <c r="E7" s="12" t="n">
        <v>1988.534357276</v>
      </c>
      <c r="F7" s="12" t="n">
        <v>1173.048027738</v>
      </c>
      <c r="G7" s="12" t="n">
        <v>0.0</v>
      </c>
      <c r="H7" s="12" t="n">
        <v>2766.069891038</v>
      </c>
      <c r="I7" s="12"/>
      <c r="J7" s="12">
        <f>SUM(B7:I7)</f>
        <v>34061.977706629201</v>
      </c>
      <c r="K7" s="12"/>
      <c r="L7" t="str">
        <f>$A$7</f>
        <v>Bellevue</v>
      </c>
      <c r="M7" s="338" t="n">
        <v>15389.0</v>
      </c>
      <c r="N7" s="338" t="n">
        <v>1233.0</v>
      </c>
      <c r="O7" s="338" t="n">
        <v>1569.0</v>
      </c>
      <c r="P7" s="338" t="n">
        <v>2359.0</v>
      </c>
      <c r="Q7" s="338" t="n">
        <v>1669.0</v>
      </c>
      <c r="R7" s="338" t="n">
        <v>277.0</v>
      </c>
      <c r="S7" s="338" t="n">
        <v>2598.0</v>
      </c>
      <c r="T7" s="338"/>
      <c r="U7" s="336">
        <f>SUM(M7:T7)</f>
        <v>25177</v>
      </c>
    </row>
    <row r="8" spans="1:21" x14ac:dyDescent="0.25">
      <c r="A8" t="s">
        <v>249</v>
      </c>
      <c r="B8" s="12" t="n">
        <v>367.319274416</v>
      </c>
      <c r="C8" s="12" t="n">
        <v>0.0</v>
      </c>
      <c r="D8" s="12" t="n">
        <v>0.0</v>
      </c>
      <c r="E8" s="12" t="n">
        <v>0.0</v>
      </c>
      <c r="F8" s="12" t="n">
        <v>95.3516777933</v>
      </c>
      <c r="G8" s="12" t="n">
        <v>0.0</v>
      </c>
      <c r="H8" s="12" t="n">
        <v>0.0</v>
      </c>
      <c r="I8" s="12"/>
      <c r="J8" s="12">
        <f ref="J8:J14" si="0" t="shared">SUM(B8:I8)</f>
        <v>462.67095220929997</v>
      </c>
      <c r="K8" s="12"/>
      <c r="L8" t="str">
        <f>$A$8</f>
        <v>Bellevue Downtown</v>
      </c>
      <c r="M8" s="338" t="n">
        <v>633.0</v>
      </c>
      <c r="N8" s="338" t="n">
        <v>369.0</v>
      </c>
      <c r="O8" s="338" t="n">
        <v>83.0</v>
      </c>
      <c r="P8" s="338" t="n">
        <v>47.0</v>
      </c>
      <c r="Q8" s="338" t="n">
        <v>53.0</v>
      </c>
      <c r="R8" s="338" t="n">
        <v>5.0</v>
      </c>
      <c r="S8" s="338" t="n">
        <v>49.0</v>
      </c>
      <c r="T8" s="338"/>
      <c r="U8" s="336">
        <f ref="U8:U14" si="1" t="shared">SUM(M8:T8)</f>
        <v>1215</v>
      </c>
    </row>
    <row r="9" spans="1:21" x14ac:dyDescent="0.25">
      <c r="A9" t="s">
        <v>250</v>
      </c>
      <c r="B9" s="12" t="n">
        <v>2053.243504975</v>
      </c>
      <c r="C9" s="12" t="n">
        <v>0.0</v>
      </c>
      <c r="D9" s="12" t="n">
        <v>25333.1346751792</v>
      </c>
      <c r="E9" s="12" t="n">
        <v>1016.7372094737</v>
      </c>
      <c r="F9" s="12" t="n">
        <v>1810.1093605400001</v>
      </c>
      <c r="G9" s="12" t="n">
        <v>0.0</v>
      </c>
      <c r="H9" s="12" t="n">
        <v>1662.80419651</v>
      </c>
      <c r="I9" s="12"/>
      <c r="J9" s="12">
        <f si="0" t="shared"/>
        <v>31876.0289466779</v>
      </c>
      <c r="K9" s="13"/>
      <c r="L9" t="str">
        <f>$A$9</f>
        <v>Kirkland</v>
      </c>
      <c r="M9" s="338" t="n">
        <v>1561.0</v>
      </c>
      <c r="N9" s="338" t="n">
        <v>220.0</v>
      </c>
      <c r="O9" s="338" t="n">
        <v>12283.0</v>
      </c>
      <c r="P9" s="338" t="n">
        <v>2602.0</v>
      </c>
      <c r="Q9" s="338" t="n">
        <v>1568.0</v>
      </c>
      <c r="R9" s="338" t="n">
        <v>157.0</v>
      </c>
      <c r="S9" s="338" t="n">
        <v>2302.0</v>
      </c>
      <c r="T9" s="338"/>
      <c r="U9" s="336">
        <f si="1" t="shared"/>
        <v>20654</v>
      </c>
    </row>
    <row r="10" spans="1:21" x14ac:dyDescent="0.25">
      <c r="A10" t="s">
        <v>251</v>
      </c>
      <c r="B10" s="12" t="n">
        <v>3036.969147183</v>
      </c>
      <c r="C10" s="12" t="n">
        <v>6066.66386189</v>
      </c>
      <c r="D10" s="12" t="n">
        <v>334.470623207</v>
      </c>
      <c r="E10" s="12" t="n">
        <v>20878.3845702224</v>
      </c>
      <c r="F10" s="12" t="n">
        <v>0.0</v>
      </c>
      <c r="G10" s="12" t="n">
        <v>145.892226826</v>
      </c>
      <c r="H10" s="12" t="n">
        <v>4109.33920293</v>
      </c>
      <c r="I10" s="12"/>
      <c r="J10" s="12">
        <f si="0" t="shared"/>
        <v>34571.719632258399</v>
      </c>
      <c r="K10" s="13"/>
      <c r="L10" t="str">
        <f>$A$10</f>
        <v>Redmond</v>
      </c>
      <c r="M10" s="338" t="n">
        <v>2524.0</v>
      </c>
      <c r="N10" s="338" t="n">
        <v>145.0</v>
      </c>
      <c r="O10" s="338" t="n">
        <v>2984.0</v>
      </c>
      <c r="P10" s="338" t="n">
        <v>9096.0</v>
      </c>
      <c r="Q10" s="338" t="n">
        <v>943.0</v>
      </c>
      <c r="R10" s="338" t="n">
        <v>169.0</v>
      </c>
      <c r="S10" s="338" t="n">
        <v>2057.0</v>
      </c>
      <c r="T10" s="338"/>
      <c r="U10" s="336">
        <f si="1" t="shared"/>
        <v>17989</v>
      </c>
    </row>
    <row r="11" spans="1:21" x14ac:dyDescent="0.2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38" t="n">
        <v>0.0</v>
      </c>
      <c r="N11" s="338" t="n">
        <v>0.0</v>
      </c>
      <c r="O11" s="338" t="n">
        <v>0.0</v>
      </c>
      <c r="P11" s="338" t="n">
        <v>0.0</v>
      </c>
      <c r="Q11" s="338" t="n">
        <v>0.0</v>
      </c>
      <c r="R11" s="338" t="n">
        <v>0.0</v>
      </c>
      <c r="S11" s="338" t="n">
        <v>0.0</v>
      </c>
      <c r="T11" s="338"/>
      <c r="U11" s="336">
        <f si="1" t="shared"/>
        <v>0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38" t="n">
        <v>0.0</v>
      </c>
      <c r="N12" s="338" t="n">
        <v>0.0</v>
      </c>
      <c r="O12" s="338" t="n">
        <v>0.0</v>
      </c>
      <c r="P12" s="338" t="n">
        <v>0.0</v>
      </c>
      <c r="Q12" s="338" t="n">
        <v>0.0</v>
      </c>
      <c r="R12" s="338" t="n">
        <v>0.0</v>
      </c>
      <c r="S12" s="338" t="n">
        <v>0.0</v>
      </c>
      <c r="T12" s="338"/>
      <c r="U12" s="336">
        <f si="1" t="shared"/>
        <v>0</v>
      </c>
    </row>
    <row r="13" spans="1:21" x14ac:dyDescent="0.2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A13</f>
        <v>Rest</v>
      </c>
      <c r="M13" s="338" t="n">
        <v>0.0</v>
      </c>
      <c r="N13" s="338" t="n">
        <v>0.0</v>
      </c>
      <c r="O13" s="338" t="n">
        <v>0.0</v>
      </c>
      <c r="P13" s="338" t="n">
        <v>0.0</v>
      </c>
      <c r="Q13" s="338" t="n">
        <v>0.0</v>
      </c>
      <c r="R13" s="338" t="n">
        <v>0.0</v>
      </c>
      <c r="S13" s="338" t="n">
        <v>0.0</v>
      </c>
      <c r="T13" s="338"/>
      <c r="U13" s="336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40"/>
      <c r="N14" s="340"/>
      <c r="O14" s="340"/>
      <c r="P14" s="340"/>
      <c r="Q14" s="340"/>
      <c r="R14" s="340"/>
      <c r="S14" s="340"/>
      <c r="T14" s="340"/>
      <c r="U14" s="340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31487.307669843802</v>
      </c>
      <c r="C15" s="15">
        <f si="2" t="shared"/>
        <v>6636.2709817898995</v>
      </c>
      <c r="D15" s="15">
        <f si="2" t="shared"/>
        <v>27202.547865793698</v>
      </c>
      <c r="E15" s="15">
        <f si="2" t="shared"/>
        <v>23883.656136972098</v>
      </c>
      <c r="F15" s="15">
        <f si="2" t="shared"/>
        <v>3078.5090660713004</v>
      </c>
      <c r="G15" s="15">
        <f si="2" t="shared"/>
        <v>145.89222682600001</v>
      </c>
      <c r="H15" s="15">
        <f si="2" t="shared"/>
        <v>8538.213290478001</v>
      </c>
      <c r="I15" s="15">
        <f si="2" t="shared"/>
        <v>0</v>
      </c>
      <c r="J15" s="15">
        <f si="2" t="shared"/>
        <v>100972.3972377748</v>
      </c>
      <c r="K15" s="12"/>
      <c r="L15" s="15" t="s">
        <v>4</v>
      </c>
      <c r="M15" s="337">
        <f ref="M15:U15" si="3" t="shared">SUM(M7:M14)</f>
        <v>20374</v>
      </c>
      <c r="N15" s="337">
        <f si="3" t="shared"/>
        <v>1704</v>
      </c>
      <c r="O15" s="337">
        <f si="3" t="shared"/>
        <v>16853</v>
      </c>
      <c r="P15" s="337">
        <f si="3" t="shared"/>
        <v>12966</v>
      </c>
      <c r="Q15" s="337">
        <f si="3" t="shared"/>
        <v>4886</v>
      </c>
      <c r="R15" s="337">
        <f si="3" t="shared"/>
        <v>694</v>
      </c>
      <c r="S15" s="337">
        <f si="3" t="shared"/>
        <v>7558</v>
      </c>
      <c r="T15" s="337">
        <f si="3" t="shared"/>
        <v>0</v>
      </c>
      <c r="U15" s="337">
        <f si="3" t="shared"/>
        <v>65035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19239.976889561469</v>
      </c>
      <c r="C20" s="12">
        <f si="4" t="shared"/>
        <v>421.02659397045846</v>
      </c>
      <c r="D20" s="12">
        <f si="4" t="shared"/>
        <v>1134.5568173540735</v>
      </c>
      <c r="E20" s="12">
        <f si="4" t="shared"/>
        <v>1469.830376390448</v>
      </c>
      <c r="F20" s="12">
        <f si="4" t="shared"/>
        <v>867.06152087615567</v>
      </c>
      <c r="G20" s="12">
        <f si="4" t="shared"/>
        <v>0</v>
      </c>
      <c r="H20" s="12">
        <f ref="H20" si="5" t="shared">($U7/$J7)*H7</f>
        <v>2044.5478018473955</v>
      </c>
      <c r="I20" s="12"/>
      <c r="J20" s="12">
        <f>SUM(B20:I20)</f>
        <v>25177</v>
      </c>
      <c r="K20" s="12"/>
      <c r="L20" t="str">
        <f>$A$7</f>
        <v>Bellevue</v>
      </c>
      <c r="M20" s="12">
        <f ref="M20:M26" si="6" t="shared">M7</f>
        <v>15553</v>
      </c>
      <c r="N20" s="12">
        <f ref="N20:U20" si="7" t="shared">N7</f>
        <v>1100</v>
      </c>
      <c r="O20" s="12">
        <f si="7" t="shared"/>
        <v>1559</v>
      </c>
      <c r="P20" s="12">
        <f si="7" t="shared"/>
        <v>2051</v>
      </c>
      <c r="Q20" s="12">
        <f si="7" t="shared"/>
        <v>1868</v>
      </c>
      <c r="R20" s="12">
        <f si="7" t="shared"/>
        <v>310</v>
      </c>
      <c r="S20" s="12">
        <f ref="S20" si="8" t="shared">S7</f>
        <v>2736</v>
      </c>
      <c r="T20" s="12"/>
      <c r="U20" s="12">
        <f si="7" t="shared"/>
        <v>25177</v>
      </c>
    </row>
    <row r="21" spans="1:32" x14ac:dyDescent="0.25">
      <c r="A21" t="str">
        <f>$A$8</f>
        <v>Bellevue Downtown</v>
      </c>
      <c r="B21" s="12">
        <f ref="B21:G26" si="9" t="shared">($U8/$J8)*B8</f>
        <v>964.601119401049</v>
      </c>
      <c r="C21" s="12">
        <f si="9" t="shared"/>
        <v>0</v>
      </c>
      <c r="D21" s="12">
        <f si="9" t="shared"/>
        <v>0</v>
      </c>
      <c r="E21" s="12">
        <f si="9" t="shared"/>
        <v>0</v>
      </c>
      <c r="F21" s="12">
        <f si="9" t="shared"/>
        <v>250.39888059895105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1215</v>
      </c>
      <c r="K21" s="12"/>
      <c r="L21" t="str">
        <f>$A$8</f>
        <v>Bellevue Downtown</v>
      </c>
      <c r="M21" s="12">
        <f si="6" t="shared"/>
        <v>609</v>
      </c>
      <c r="N21" s="12">
        <f ref="N21:R25" si="12" t="shared">N8</f>
        <v>314</v>
      </c>
      <c r="O21" s="12">
        <f si="12" t="shared"/>
        <v>97</v>
      </c>
      <c r="P21" s="12">
        <f si="12" t="shared"/>
        <v>43</v>
      </c>
      <c r="Q21" s="12">
        <f si="12" t="shared"/>
        <v>71</v>
      </c>
      <c r="R21" s="12">
        <f si="12" t="shared"/>
        <v>12</v>
      </c>
      <c r="S21" s="12">
        <f ref="S21" si="13" t="shared">S8</f>
        <v>69</v>
      </c>
      <c r="T21" s="12"/>
      <c r="U21" s="12">
        <f ref="U21:U26" si="14" t="shared">U8</f>
        <v>1215</v>
      </c>
    </row>
    <row r="22" spans="1:32" x14ac:dyDescent="0.25">
      <c r="A22" t="str">
        <f>$A$9</f>
        <v>Kirkland</v>
      </c>
      <c r="B22" s="12">
        <f si="9" t="shared"/>
        <v>1330.3944297043111</v>
      </c>
      <c r="C22" s="12">
        <f si="9" t="shared"/>
        <v>0</v>
      </c>
      <c r="D22" s="12">
        <f si="9" t="shared"/>
        <v>16414.546631778045</v>
      </c>
      <c r="E22" s="12">
        <f si="9" t="shared"/>
        <v>658.79254782953058</v>
      </c>
      <c r="F22" s="12">
        <f si="9" t="shared"/>
        <v>1172.8562172889326</v>
      </c>
      <c r="G22" s="12">
        <f si="9" t="shared"/>
        <v>0</v>
      </c>
      <c r="H22" s="12">
        <f ref="H22" si="15" t="shared">($U9/$J9)*H9</f>
        <v>1077.4101733991808</v>
      </c>
      <c r="I22" s="12"/>
      <c r="J22" s="12">
        <f si="11" t="shared"/>
        <v>20654</v>
      </c>
      <c r="K22" s="13"/>
      <c r="L22" t="str">
        <f>$A$9</f>
        <v>Kirkland</v>
      </c>
      <c r="M22" s="12">
        <f si="6" t="shared"/>
        <v>1516</v>
      </c>
      <c r="N22" s="12">
        <f si="12" t="shared"/>
        <v>184</v>
      </c>
      <c r="O22" s="12">
        <f si="12" t="shared"/>
        <v>12263</v>
      </c>
      <c r="P22" s="12">
        <f si="12" t="shared"/>
        <v>2222</v>
      </c>
      <c r="Q22" s="12">
        <f si="12" t="shared"/>
        <v>1860</v>
      </c>
      <c r="R22" s="12">
        <f si="12" t="shared"/>
        <v>181</v>
      </c>
      <c r="S22" s="12">
        <f ref="S22" si="16" t="shared">S9</f>
        <v>2428</v>
      </c>
      <c r="T22" s="12"/>
      <c r="U22" s="12">
        <f si="14" t="shared"/>
        <v>20654</v>
      </c>
    </row>
    <row r="23" spans="1:32" x14ac:dyDescent="0.25">
      <c r="A23" t="str">
        <f>$A$10</f>
        <v>Redmond</v>
      </c>
      <c r="B23" s="12">
        <f si="9" t="shared"/>
        <v>1580.252257330543</v>
      </c>
      <c r="C23" s="12">
        <f si="9" t="shared"/>
        <v>3156.7193466913482</v>
      </c>
      <c r="D23" s="12">
        <f si="9" t="shared"/>
        <v>174.03797395303809</v>
      </c>
      <c r="E23" s="12">
        <f si="9" t="shared"/>
        <v>10863.829280950229</v>
      </c>
      <c r="F23" s="12">
        <f si="9" t="shared"/>
        <v>0</v>
      </c>
      <c r="G23" s="12">
        <f si="9" t="shared"/>
        <v>75.91335624288908</v>
      </c>
      <c r="H23" s="12">
        <f ref="H23" si="17" t="shared">($U10/$J10)*H10</f>
        <v>2138.2477848319504</v>
      </c>
      <c r="I23" s="12"/>
      <c r="J23" s="12">
        <f>SUM(B23:I23)</f>
        <v>17989</v>
      </c>
      <c r="K23" s="13"/>
      <c r="L23" t="str">
        <f>$A$10</f>
        <v>Redmond</v>
      </c>
      <c r="M23" s="12">
        <f si="6" t="shared"/>
        <v>2696</v>
      </c>
      <c r="N23" s="12">
        <f si="12" t="shared"/>
        <v>106</v>
      </c>
      <c r="O23" s="12">
        <f si="12" t="shared"/>
        <v>2934</v>
      </c>
      <c r="P23" s="12">
        <f si="12" t="shared"/>
        <v>8650</v>
      </c>
      <c r="Q23" s="12">
        <f si="12" t="shared"/>
        <v>1087</v>
      </c>
      <c r="R23" s="12">
        <f si="12" t="shared"/>
        <v>191</v>
      </c>
      <c r="S23" s="12">
        <f ref="S23" si="18" t="shared">S10</f>
        <v>2325</v>
      </c>
      <c r="T23" s="12"/>
      <c r="U23" s="12">
        <f si="14" t="shared"/>
        <v>17989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ref="N26:R26" si="23" t="shared">N13</f>
        <v>0</v>
      </c>
      <c r="O26" s="12">
        <f si="23" t="shared"/>
        <v>0</v>
      </c>
      <c r="P26" s="12">
        <f si="23" t="shared"/>
        <v>0</v>
      </c>
      <c r="Q26" s="12">
        <f si="23" t="shared"/>
        <v>0</v>
      </c>
      <c r="R26" s="12">
        <f si="23" t="shared"/>
        <v>0</v>
      </c>
      <c r="S26" s="12">
        <f ref="S26" si="24" t="shared">S13</f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5" t="shared">SUM(B20:B27)</f>
        <v>#DIV/0!</v>
      </c>
      <c r="C28" s="15" t="e">
        <f si="25" t="shared"/>
        <v>#DIV/0!</v>
      </c>
      <c r="D28" s="15" t="e">
        <f si="25" t="shared"/>
        <v>#DIV/0!</v>
      </c>
      <c r="E28" s="15" t="e">
        <f si="25" t="shared"/>
        <v>#DIV/0!</v>
      </c>
      <c r="F28" s="15" t="e">
        <f si="25" t="shared"/>
        <v>#DIV/0!</v>
      </c>
      <c r="G28" s="15" t="e">
        <f si="25" t="shared"/>
        <v>#DIV/0!</v>
      </c>
      <c r="H28" s="15" t="e">
        <f si="25" t="shared"/>
        <v>#DIV/0!</v>
      </c>
      <c r="I28" s="15">
        <f si="25" t="shared"/>
        <v>0</v>
      </c>
      <c r="J28" s="15" t="e">
        <f si="25" t="shared"/>
        <v>#DIV/0!</v>
      </c>
      <c r="K28" s="12"/>
      <c r="L28" s="15" t="s">
        <v>4</v>
      </c>
      <c r="M28" s="15">
        <f ref="M28:U28" si="26" t="shared">M15</f>
        <v>20374</v>
      </c>
      <c r="N28" s="15">
        <f si="26" t="shared"/>
        <v>1704</v>
      </c>
      <c r="O28" s="15">
        <f si="26" t="shared"/>
        <v>16853</v>
      </c>
      <c r="P28" s="15">
        <f si="26" t="shared"/>
        <v>12966</v>
      </c>
      <c r="Q28" s="15">
        <f si="26" t="shared"/>
        <v>4886</v>
      </c>
      <c r="R28" s="15">
        <f si="26" t="shared"/>
        <v>694</v>
      </c>
      <c r="S28" s="15">
        <f si="26" t="shared"/>
        <v>7558</v>
      </c>
      <c r="T28" s="15"/>
      <c r="U28" s="15">
        <f si="26" t="shared"/>
        <v>65035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7" t="shared">B20/$J$28</f>
        <v>#DIV/0!</v>
      </c>
      <c r="C33" s="16" t="e">
        <f si="27" t="shared"/>
        <v>#DIV/0!</v>
      </c>
      <c r="D33" s="16" t="e">
        <f si="27" t="shared"/>
        <v>#DIV/0!</v>
      </c>
      <c r="E33" s="16" t="e">
        <f si="27" t="shared"/>
        <v>#DIV/0!</v>
      </c>
      <c r="F33" s="16" t="e">
        <f si="27" t="shared"/>
        <v>#DIV/0!</v>
      </c>
      <c r="G33" s="16" t="e">
        <f si="27" t="shared"/>
        <v>#DIV/0!</v>
      </c>
      <c r="H33" s="16" t="e">
        <f ref="H33" si="28" t="shared">H20/$J$28</f>
        <v>#DIV/0!</v>
      </c>
      <c r="I33" s="16"/>
      <c r="J33" s="16" t="e">
        <f ref="J33:J38" si="29" t="shared">J20/$J$28</f>
        <v>#DIV/0!</v>
      </c>
      <c r="K33" s="12"/>
      <c r="L33" t="str">
        <f>$A$7</f>
        <v>Bellevue</v>
      </c>
      <c r="M33" s="16">
        <f ref="M33:R33" si="30" t="shared">M20/$U$28</f>
        <v>0.23914815099561773</v>
      </c>
      <c r="N33" s="16">
        <f si="30" t="shared"/>
        <v>1.691396940109172E-2</v>
      </c>
      <c r="O33" s="16">
        <f si="30" t="shared"/>
        <v>2.397170754209272E-2</v>
      </c>
      <c r="P33" s="16">
        <f si="30" t="shared"/>
        <v>3.1536864765126467E-2</v>
      </c>
      <c r="Q33" s="16">
        <f si="30" t="shared"/>
        <v>2.8722995310217575E-2</v>
      </c>
      <c r="R33" s="16">
        <f si="30" t="shared"/>
        <v>4.7666641039440299E-3</v>
      </c>
      <c r="S33" s="16">
        <f ref="S33" si="31" t="shared">S20/$U$28</f>
        <v>4.2069654801260861E-2</v>
      </c>
      <c r="T33" s="16"/>
      <c r="U33" s="16">
        <f ref="U33:U39" si="32" t="shared">U20/$U$28</f>
        <v>0.38713000691935112</v>
      </c>
      <c r="W33" t="str">
        <f>$A$7</f>
        <v>Bellevue</v>
      </c>
      <c r="X33" s="16" t="e">
        <f ref="X33:AD33" si="33" t="shared">M33-B33</f>
        <v>#DIV/0!</v>
      </c>
      <c r="Y33" s="16" t="e">
        <f si="33" t="shared"/>
        <v>#DIV/0!</v>
      </c>
      <c r="Z33" s="16" t="e">
        <f si="33" t="shared"/>
        <v>#DIV/0!</v>
      </c>
      <c r="AA33" s="16" t="e">
        <f si="33" t="shared"/>
        <v>#DIV/0!</v>
      </c>
      <c r="AB33" s="16" t="e">
        <f si="33" t="shared"/>
        <v>#DIV/0!</v>
      </c>
      <c r="AC33" s="16" t="e">
        <f si="33" t="shared"/>
        <v>#DIV/0!</v>
      </c>
      <c r="AD33" s="16" t="e">
        <f si="33" t="shared"/>
        <v>#DIV/0!</v>
      </c>
      <c r="AE33" s="16"/>
      <c r="AF33" s="16" t="e">
        <f ref="AF33:AF39" si="34" t="shared">U33-J33</f>
        <v>#DIV/0!</v>
      </c>
    </row>
    <row r="34" spans="1:32" x14ac:dyDescent="0.25">
      <c r="A34" t="str">
        <f>$A$8</f>
        <v>Bellevue Downtown</v>
      </c>
      <c r="B34" s="16" t="e">
        <f si="27" t="shared"/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" si="35" t="shared">H21/$J$28</f>
        <v>#DIV/0!</v>
      </c>
      <c r="I34" s="16"/>
      <c r="J34" s="16" t="e">
        <f si="29" t="shared"/>
        <v>#DIV/0!</v>
      </c>
      <c r="K34" s="12"/>
      <c r="L34" t="str">
        <f>$A$8</f>
        <v>Bellevue Downtown</v>
      </c>
      <c r="M34" s="16">
        <f ref="M34:R39" si="36" t="shared">M21/$U$28</f>
        <v>9.3641885138771429E-3</v>
      </c>
      <c r="N34" s="16">
        <f si="36" t="shared"/>
        <v>4.8281694472207277E-3</v>
      </c>
      <c r="O34" s="16">
        <f si="36" t="shared"/>
        <v>1.4915045744599061E-3</v>
      </c>
      <c r="P34" s="16">
        <f si="36" t="shared"/>
        <v>6.6118244022449451E-4</v>
      </c>
      <c r="Q34" s="16">
        <f si="36" t="shared"/>
        <v>1.0917198431613746E-3</v>
      </c>
      <c r="R34" s="16">
        <f si="36" t="shared"/>
        <v>1.8451602983009149E-4</v>
      </c>
      <c r="S34" s="16">
        <f ref="S34" si="37" t="shared">S21/$U$28</f>
        <v>1.0609671715230262E-3</v>
      </c>
      <c r="T34" s="16"/>
      <c r="U34" s="16">
        <f si="32" t="shared"/>
        <v>1.8682248020296763E-2</v>
      </c>
      <c r="W34" t="str">
        <f>$A$8</f>
        <v>Bellevue Downtown</v>
      </c>
      <c r="X34" s="16" t="e">
        <f ref="X34:X38" si="38" t="shared">M34-B34</f>
        <v>#DIV/0!</v>
      </c>
      <c r="Y34" s="16" t="e">
        <f ref="Y34:AD38" si="39" t="shared">N34-C34</f>
        <v>#DIV/0!</v>
      </c>
      <c r="Z34" s="16" t="e">
        <f si="39" t="shared"/>
        <v>#DIV/0!</v>
      </c>
      <c r="AA34" s="16" t="e">
        <f si="39" t="shared"/>
        <v>#DIV/0!</v>
      </c>
      <c r="AB34" s="16" t="e">
        <f si="39" t="shared"/>
        <v>#DIV/0!</v>
      </c>
      <c r="AC34" s="16" t="e">
        <f si="39" t="shared"/>
        <v>#DIV/0!</v>
      </c>
      <c r="AD34" s="16" t="e">
        <f si="39" t="shared"/>
        <v>#DIV/0!</v>
      </c>
      <c r="AE34" s="16"/>
      <c r="AF34" s="16" t="e">
        <f si="34" t="shared"/>
        <v>#DIV/0!</v>
      </c>
    </row>
    <row r="35" spans="1:32" x14ac:dyDescent="0.25">
      <c r="A35" t="str">
        <f>$A$9</f>
        <v>Kirkland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ref="H35" si="40" t="shared">H22/$J$28</f>
        <v>#DIV/0!</v>
      </c>
      <c r="I35" s="16"/>
      <c r="J35" s="16" t="e">
        <f si="29" t="shared"/>
        <v>#DIV/0!</v>
      </c>
      <c r="K35" s="13"/>
      <c r="L35" t="str">
        <f>$A$9</f>
        <v>Kirkland</v>
      </c>
      <c r="M35" s="16">
        <f si="36" t="shared"/>
        <v>2.3310525101868224E-2</v>
      </c>
      <c r="N35" s="16">
        <f si="36" t="shared"/>
        <v>2.8292457907280696E-3</v>
      </c>
      <c r="O35" s="16">
        <f si="36" t="shared"/>
        <v>0.18856000615053434</v>
      </c>
      <c r="P35" s="16">
        <f si="36" t="shared"/>
        <v>3.4166218190205273E-2</v>
      </c>
      <c r="Q35" s="16">
        <f si="36" t="shared"/>
        <v>2.8599984623664181E-2</v>
      </c>
      <c r="R35" s="16">
        <f si="36" t="shared"/>
        <v>2.7831167832705465E-3</v>
      </c>
      <c r="S35" s="16">
        <f ref="S35" si="41" t="shared">S22/$U$28</f>
        <v>3.7333743368955175E-2</v>
      </c>
      <c r="T35" s="16"/>
      <c r="U35" s="16">
        <f si="32" t="shared"/>
        <v>0.31758284000922582</v>
      </c>
      <c r="W35" t="str">
        <f>$A$9</f>
        <v>Kirkland</v>
      </c>
      <c r="X35" s="16" t="e">
        <f si="38" t="shared"/>
        <v>#DIV/0!</v>
      </c>
      <c r="Y35" s="16" t="e">
        <f si="39" t="shared"/>
        <v>#DIV/0!</v>
      </c>
      <c r="Z35" s="16" t="e">
        <f si="39" t="shared"/>
        <v>#DIV/0!</v>
      </c>
      <c r="AA35" s="16" t="e">
        <f si="39" t="shared"/>
        <v>#DIV/0!</v>
      </c>
      <c r="AB35" s="16" t="e">
        <f si="39" t="shared"/>
        <v>#DIV/0!</v>
      </c>
      <c r="AC35" s="16" t="e">
        <f si="39" t="shared"/>
        <v>#DIV/0!</v>
      </c>
      <c r="AD35" s="16" t="e">
        <f si="39" t="shared"/>
        <v>#DIV/0!</v>
      </c>
      <c r="AE35" s="16"/>
      <c r="AF35" s="16" t="e">
        <f si="34" t="shared"/>
        <v>#DIV/0!</v>
      </c>
    </row>
    <row r="36" spans="1:32" x14ac:dyDescent="0.25">
      <c r="A36" t="str">
        <f>$A$10</f>
        <v>Redmond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ref="H36" si="42" t="shared">H23/$J$28</f>
        <v>#DIV/0!</v>
      </c>
      <c r="I36" s="16"/>
      <c r="J36" s="16" t="e">
        <f si="29" t="shared"/>
        <v>#DIV/0!</v>
      </c>
      <c r="K36" s="13"/>
      <c r="L36" t="str">
        <f>$A$10</f>
        <v>Redmond</v>
      </c>
      <c r="M36" s="16">
        <f si="36" t="shared"/>
        <v>4.1454601368493889E-2</v>
      </c>
      <c r="N36" s="16">
        <f si="36" t="shared"/>
        <v>1.6298915968324748E-3</v>
      </c>
      <c r="O36" s="16">
        <f si="36" t="shared"/>
        <v>4.5114169293457372E-2</v>
      </c>
      <c r="P36" s="16">
        <f si="36" t="shared"/>
        <v>0.13300530483585762</v>
      </c>
      <c r="Q36" s="16">
        <f si="36" t="shared"/>
        <v>1.6714077035442455E-2</v>
      </c>
      <c r="R36" s="16">
        <f si="36" t="shared"/>
        <v>2.9368801414622896E-3</v>
      </c>
      <c r="S36" s="16">
        <f ref="S36" si="43" t="shared">S23/$U$28</f>
        <v>3.5749980779580227E-2</v>
      </c>
      <c r="T36" s="16"/>
      <c r="U36" s="16">
        <f si="32" t="shared"/>
        <v>0.27660490505112634</v>
      </c>
      <c r="W36" t="str">
        <f>$A$10</f>
        <v>Redmond</v>
      </c>
      <c r="X36" s="16" t="e">
        <f si="38" t="shared"/>
        <v>#DIV/0!</v>
      </c>
      <c r="Y36" s="16" t="e">
        <f si="39" t="shared"/>
        <v>#DIV/0!</v>
      </c>
      <c r="Z36" s="16" t="e">
        <f si="39" t="shared"/>
        <v>#DIV/0!</v>
      </c>
      <c r="AA36" s="16" t="e">
        <f si="39" t="shared"/>
        <v>#DIV/0!</v>
      </c>
      <c r="AB36" s="16" t="e">
        <f si="39" t="shared"/>
        <v>#DIV/0!</v>
      </c>
      <c r="AC36" s="16" t="e">
        <f si="39" t="shared"/>
        <v>#DIV/0!</v>
      </c>
      <c r="AD36" s="16" t="e">
        <f si="39" t="shared"/>
        <v>#DIV/0!</v>
      </c>
      <c r="AE36" s="16"/>
      <c r="AF36" s="16" t="e">
        <f si="34" t="shared"/>
        <v>#DIV/0!</v>
      </c>
    </row>
    <row r="37" spans="1:32" x14ac:dyDescent="0.25">
      <c r="A37" t="str">
        <f>$A$11</f>
        <v>Seattle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ref="H37" si="44" t="shared">H24/$J$28</f>
        <v>#DIV/0!</v>
      </c>
      <c r="I37" s="16"/>
      <c r="J37" s="16" t="e">
        <f si="29" t="shared"/>
        <v>#DIV/0!</v>
      </c>
      <c r="K37" s="13"/>
      <c r="L37" t="str">
        <f>$A$11</f>
        <v>Seattle</v>
      </c>
      <c r="M37" s="16">
        <f si="36" t="shared"/>
        <v>0</v>
      </c>
      <c r="N37" s="16">
        <f si="36" t="shared"/>
        <v>0</v>
      </c>
      <c r="O37" s="16">
        <f si="36" t="shared"/>
        <v>0</v>
      </c>
      <c r="P37" s="16">
        <f si="36" t="shared"/>
        <v>0</v>
      </c>
      <c r="Q37" s="16">
        <f si="36" t="shared"/>
        <v>0</v>
      </c>
      <c r="R37" s="16">
        <f si="36" t="shared"/>
        <v>0</v>
      </c>
      <c r="S37" s="16">
        <f ref="S37" si="45" t="shared">S24/$U$28</f>
        <v>0</v>
      </c>
      <c r="T37" s="16"/>
      <c r="U37" s="16">
        <f si="32" t="shared"/>
        <v>0</v>
      </c>
      <c r="W37" t="str">
        <f>$A$11</f>
        <v>Seattle</v>
      </c>
      <c r="X37" s="16" t="e">
        <f si="38" t="shared"/>
        <v>#DIV/0!</v>
      </c>
      <c r="Y37" s="16" t="e">
        <f si="39" t="shared"/>
        <v>#DIV/0!</v>
      </c>
      <c r="Z37" s="16" t="e">
        <f si="39" t="shared"/>
        <v>#DIV/0!</v>
      </c>
      <c r="AA37" s="16" t="e">
        <f si="39" t="shared"/>
        <v>#DIV/0!</v>
      </c>
      <c r="AB37" s="16" t="e">
        <f si="39" t="shared"/>
        <v>#DIV/0!</v>
      </c>
      <c r="AC37" s="16" t="e">
        <f si="39" t="shared"/>
        <v>#DIV/0!</v>
      </c>
      <c r="AD37" s="16" t="e">
        <f si="39" t="shared"/>
        <v>#DIV/0!</v>
      </c>
      <c r="AE37" s="16"/>
      <c r="AF37" s="16" t="e">
        <f si="34" t="shared"/>
        <v>#DIV/0!</v>
      </c>
    </row>
    <row r="38" spans="1:32" x14ac:dyDescent="0.25">
      <c r="A38" t="str">
        <f>$A$12</f>
        <v>Seattle Downtown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ref="H38:H39" si="46" t="shared">H25/$J$28</f>
        <v>#DIV/0!</v>
      </c>
      <c r="I38" s="16"/>
      <c r="J38" s="16" t="e">
        <f si="29" t="shared"/>
        <v>#DIV/0!</v>
      </c>
      <c r="K38" s="13"/>
      <c r="L38" t="str">
        <f>$A$12</f>
        <v>Seattle Downtown</v>
      </c>
      <c r="M38" s="16">
        <f si="36" t="shared"/>
        <v>0</v>
      </c>
      <c r="N38" s="16">
        <f si="36" t="shared"/>
        <v>0</v>
      </c>
      <c r="O38" s="16">
        <f si="36" t="shared"/>
        <v>0</v>
      </c>
      <c r="P38" s="16">
        <f si="36" t="shared"/>
        <v>0</v>
      </c>
      <c r="Q38" s="16">
        <f si="36" t="shared"/>
        <v>0</v>
      </c>
      <c r="R38" s="16">
        <f si="36" t="shared"/>
        <v>0</v>
      </c>
      <c r="S38" s="16">
        <f ref="S38:S39" si="47" t="shared">S25/$U$28</f>
        <v>0</v>
      </c>
      <c r="T38" s="16"/>
      <c r="U38" s="16">
        <f si="32" t="shared"/>
        <v>0</v>
      </c>
      <c r="W38" t="str">
        <f>$A$12</f>
        <v>Seattle Downtown</v>
      </c>
      <c r="X38" s="16" t="e">
        <f si="38" t="shared"/>
        <v>#DIV/0!</v>
      </c>
      <c r="Y38" s="16" t="e">
        <f si="39" t="shared"/>
        <v>#DIV/0!</v>
      </c>
      <c r="Z38" s="16" t="e">
        <f si="39" t="shared"/>
        <v>#DIV/0!</v>
      </c>
      <c r="AA38" s="16" t="e">
        <f si="39" t="shared"/>
        <v>#DIV/0!</v>
      </c>
      <c r="AB38" s="16" t="e">
        <f si="39" t="shared"/>
        <v>#DIV/0!</v>
      </c>
      <c r="AC38" s="16" t="e">
        <f si="39" t="shared"/>
        <v>#DIV/0!</v>
      </c>
      <c r="AD38" s="16" t="e">
        <f si="39" t="shared"/>
        <v>#DIV/0!</v>
      </c>
      <c r="AE38" s="16"/>
      <c r="AF38" s="16" t="e">
        <f si="34" t="shared"/>
        <v>#DIV/0!</v>
      </c>
    </row>
    <row r="39" spans="1:32" x14ac:dyDescent="0.25">
      <c r="A39" t="str">
        <f>$A$13</f>
        <v>Rest</v>
      </c>
      <c r="B39" s="16" t="e">
        <f si="27" t="shared"/>
        <v>#DIV/0!</v>
      </c>
      <c r="C39" s="16" t="e">
        <f si="27" t="shared"/>
        <v>#DIV/0!</v>
      </c>
      <c r="D39" s="16" t="e">
        <f si="27" t="shared"/>
        <v>#DIV/0!</v>
      </c>
      <c r="E39" s="16" t="e">
        <f si="27" t="shared"/>
        <v>#DIV/0!</v>
      </c>
      <c r="F39" s="16" t="e">
        <f si="27" t="shared"/>
        <v>#DIV/0!</v>
      </c>
      <c r="G39" s="16" t="e">
        <f si="27" t="shared"/>
        <v>#DIV/0!</v>
      </c>
      <c r="H39" s="16" t="e">
        <f si="46" t="shared"/>
        <v>#DIV/0!</v>
      </c>
      <c r="I39" s="16"/>
      <c r="J39" s="16" t="e">
        <f si="27" t="shared"/>
        <v>#DIV/0!</v>
      </c>
      <c r="K39" s="13"/>
      <c r="L39" t="str">
        <f>$A$13</f>
        <v>Rest</v>
      </c>
      <c r="M39" s="16">
        <f si="36" t="shared"/>
        <v>0</v>
      </c>
      <c r="N39" s="16">
        <f si="36" t="shared"/>
        <v>0</v>
      </c>
      <c r="O39" s="16">
        <f si="36" t="shared"/>
        <v>0</v>
      </c>
      <c r="P39" s="16">
        <f si="36" t="shared"/>
        <v>0</v>
      </c>
      <c r="Q39" s="16">
        <f si="36" t="shared"/>
        <v>0</v>
      </c>
      <c r="R39" s="16">
        <f si="36" t="shared"/>
        <v>0</v>
      </c>
      <c r="S39" s="16">
        <f si="47" t="shared"/>
        <v>0</v>
      </c>
      <c r="T39" s="16"/>
      <c r="U39" s="16">
        <f si="32" t="shared"/>
        <v>0</v>
      </c>
      <c r="W39" t="str">
        <f>$A$13</f>
        <v>Rest</v>
      </c>
      <c r="X39" s="16" t="e">
        <f ref="X39" si="48" t="shared">M39-B39</f>
        <v>#DIV/0!</v>
      </c>
      <c r="Y39" s="16" t="e">
        <f ref="Y39" si="49" t="shared">N39-C39</f>
        <v>#DIV/0!</v>
      </c>
      <c r="Z39" s="16" t="e">
        <f ref="Z39" si="50" t="shared">O39-D39</f>
        <v>#DIV/0!</v>
      </c>
      <c r="AA39" s="16" t="e">
        <f ref="AA39" si="51" t="shared">P39-E39</f>
        <v>#DIV/0!</v>
      </c>
      <c r="AB39" s="16" t="e">
        <f ref="AB39" si="52" t="shared">Q39-F39</f>
        <v>#DIV/0!</v>
      </c>
      <c r="AC39" s="16" t="e">
        <f ref="AC39" si="53" t="shared">R39-G39</f>
        <v>#DIV/0!</v>
      </c>
      <c r="AD39" s="16" t="e">
        <f ref="AD39" si="54" t="shared">S39-H39</f>
        <v>#DIV/0!</v>
      </c>
      <c r="AE39" s="16"/>
      <c r="AF39" s="16" t="e">
        <f si="34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5" t="shared">B28/$J$28</f>
        <v>#DIV/0!</v>
      </c>
      <c r="C41" s="18" t="e">
        <f si="55" t="shared"/>
        <v>#DIV/0!</v>
      </c>
      <c r="D41" s="18" t="e">
        <f si="55" t="shared"/>
        <v>#DIV/0!</v>
      </c>
      <c r="E41" s="18" t="e">
        <f si="55" t="shared"/>
        <v>#DIV/0!</v>
      </c>
      <c r="F41" s="18" t="e">
        <f si="55" t="shared"/>
        <v>#DIV/0!</v>
      </c>
      <c r="G41" s="18" t="e">
        <f si="55" t="shared"/>
        <v>#DIV/0!</v>
      </c>
      <c r="H41" s="18" t="e">
        <f si="55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0.31327746597985701</v>
      </c>
      <c r="N41" s="18">
        <f>N28/$U$28</f>
        <v>2.620127623587299E-2</v>
      </c>
      <c r="O41" s="18">
        <f>O28/$U$28</f>
        <v>0.25913738756054433</v>
      </c>
      <c r="P41" s="18">
        <f>P28/$U$28</f>
        <v>0.19936957023141386</v>
      </c>
      <c r="Q41" s="18">
        <f ref="Q41:S41" si="56" t="shared">Q28/$U$28</f>
        <v>7.5128776812485587E-2</v>
      </c>
      <c r="R41" s="18">
        <f si="56" t="shared"/>
        <v>1.0671177058506958E-2</v>
      </c>
      <c r="S41" s="18">
        <f si="56" t="shared"/>
        <v>0.11621434612131928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7" t="shared">M41-B41</f>
        <v>#DIV/0!</v>
      </c>
      <c r="Y41" s="18" t="e">
        <f si="57" t="shared"/>
        <v>#DIV/0!</v>
      </c>
      <c r="Z41" s="18" t="e">
        <f si="57" t="shared"/>
        <v>#DIV/0!</v>
      </c>
      <c r="AA41" s="18" t="e">
        <f si="57" t="shared"/>
        <v>#DIV/0!</v>
      </c>
      <c r="AB41" s="18" t="e">
        <f si="57" t="shared"/>
        <v>#DIV/0!</v>
      </c>
      <c r="AC41" s="18" t="e">
        <f si="57" t="shared"/>
        <v>#DIV/0!</v>
      </c>
      <c r="AD41" s="18" t="e">
        <f si="57" t="shared"/>
        <v>#DIV/0!</v>
      </c>
      <c r="AE41" s="18" t="e">
        <f si="57" t="shared"/>
        <v>#DIV/0!</v>
      </c>
      <c r="AF41" s="18" t="e">
        <f si="57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abSelected="1"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Q14" sqref="Q14"/>
    </sheetView>
  </sheetViews>
  <sheetFormatPr defaultRowHeight="15" x14ac:dyDescent="0.25"/>
  <sheetData>
    <row r="1" spans="1:11" x14ac:dyDescent="0.25">
      <c r="A1" s="341" t="s">
        <v>237</v>
      </c>
      <c r="B1" s="342"/>
      <c r="C1" s="342"/>
      <c r="D1" s="342"/>
      <c r="E1" s="342"/>
      <c r="F1" s="342"/>
      <c r="G1" s="342"/>
      <c r="H1" s="342" t="s">
        <v>238</v>
      </c>
      <c r="I1" s="342"/>
      <c r="J1" s="342"/>
      <c r="K1" s="343"/>
    </row>
    <row r="2" spans="1:11" x14ac:dyDescent="0.25">
      <c r="A2" s="344">
        <v>1</v>
      </c>
      <c r="B2" s="345" t="s">
        <v>254</v>
      </c>
      <c r="C2" s="345"/>
      <c r="D2" s="345"/>
      <c r="E2" s="345"/>
      <c r="F2" s="345"/>
      <c r="G2" s="345"/>
      <c r="H2" s="345"/>
      <c r="I2" s="345"/>
      <c r="J2" s="345"/>
      <c r="K2" s="346"/>
    </row>
    <row r="3" spans="1:11" x14ac:dyDescent="0.25">
      <c r="A3" s="344">
        <v>2</v>
      </c>
      <c r="B3" s="345" t="s">
        <v>239</v>
      </c>
      <c r="C3" s="345"/>
      <c r="D3" s="345"/>
      <c r="E3" s="345"/>
      <c r="F3" s="345"/>
      <c r="G3" s="345"/>
      <c r="H3" s="345"/>
      <c r="I3" s="345"/>
      <c r="J3" s="345"/>
      <c r="K3" s="346"/>
    </row>
    <row r="4" spans="1:11" x14ac:dyDescent="0.25">
      <c r="A4" s="344">
        <v>3</v>
      </c>
      <c r="B4" s="345" t="s">
        <v>240</v>
      </c>
      <c r="C4" s="345"/>
      <c r="D4" s="345"/>
      <c r="E4" s="345"/>
      <c r="F4" s="345"/>
      <c r="G4" s="345"/>
      <c r="H4" s="345"/>
      <c r="I4" s="345"/>
      <c r="J4" s="345"/>
      <c r="K4" s="346"/>
    </row>
    <row r="5" spans="1:11" x14ac:dyDescent="0.25">
      <c r="A5" s="347">
        <v>4</v>
      </c>
      <c r="B5" s="348" t="s">
        <v>241</v>
      </c>
      <c r="C5" s="348"/>
      <c r="D5" s="348"/>
      <c r="E5" s="348"/>
      <c r="F5" s="348"/>
      <c r="G5" s="348"/>
      <c r="H5" s="348"/>
      <c r="I5" s="348"/>
      <c r="J5" s="348"/>
      <c r="K5" s="349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3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4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4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4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4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4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4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4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4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4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4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4">
        <v>5.7553461640599997E-2</v>
      </c>
      <c r="F41" s="334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4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4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4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4">
        <v>0</v>
      </c>
    </row>
    <row r="46" spans="2:6" x14ac:dyDescent="0.25">
      <c r="B46">
        <v>36</v>
      </c>
      <c r="C46" t="s">
        <v>122</v>
      </c>
      <c r="D46" t="s">
        <v>236</v>
      </c>
      <c r="E46" s="334">
        <v>0.61259135262599995</v>
      </c>
      <c r="F46" s="334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4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4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4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4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4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4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4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4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4">
        <v>6.2100000000000002E-2</v>
      </c>
      <c r="F67" s="334">
        <v>0</v>
      </c>
    </row>
    <row r="68" spans="2:6" x14ac:dyDescent="0.25">
      <c r="B68">
        <v>118</v>
      </c>
      <c r="C68" t="s">
        <v>257</v>
      </c>
      <c r="D68" t="s">
        <v>235</v>
      </c>
      <c r="E68" s="334">
        <v>-3</v>
      </c>
      <c r="F68" s="334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4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4">
        <v>-5981.59020986</v>
      </c>
      <c r="D114" s="334">
        <v>-29805.783655800002</v>
      </c>
      <c r="E114" s="334">
        <v>-17292.021287899999</v>
      </c>
    </row>
    <row r="115" spans="1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opLeftCell="A31" workbookViewId="0" zoomScaleNormal="100">
      <selection activeCell="N51" sqref="N51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5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ht="15.75" r="2" spans="3:23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9" t="s">
        <v>264</v>
      </c>
      <c r="Q2" s="356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7"/>
      <c r="I3" s="367"/>
      <c r="J3" s="367"/>
      <c r="K3" s="367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7">
        <f>_xlfn.IFNA(VLOOKUP(N3,$B$43:$D$46,3,FALSE),P3)</f>
        <v>1</v>
      </c>
      <c r="T3">
        <v>1</v>
      </c>
      <c r="U3" s="293" t="s">
        <v>283</v>
      </c>
      <c r="V3"/>
      <c r="W3" s="320"/>
    </row>
    <row r="4" spans="3:23" x14ac:dyDescent="0.25">
      <c r="C4" s="301" t="s">
        <v>46</v>
      </c>
      <c r="D4" s="302">
        <f>TLFD!B11</f>
        <v>21714.358144943399</v>
      </c>
      <c r="F4" s="301" t="s">
        <v>46</v>
      </c>
      <c r="G4" s="302">
        <f>TLFD!F11</f>
        <v>7082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7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31856.220222143249</v>
      </c>
      <c r="F5" s="304" t="s">
        <v>49</v>
      </c>
      <c r="G5" s="305">
        <f>TLFD!F12+TLFD!F13+(TLFD!F14/2)</f>
        <v>21295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7">
        <f ref="Q5:Q68" si="0" t="shared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28926.974911441852</v>
      </c>
      <c r="F6" s="304" t="s">
        <v>52</v>
      </c>
      <c r="G6" s="305">
        <f>(TLFD!F14/2)+SUM(TLFD!F15:F20)</f>
        <v>25450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7">
        <f si="0" t="shared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18474.8439592463</v>
      </c>
      <c r="F7" s="307" t="s">
        <v>55</v>
      </c>
      <c r="G7" s="308">
        <f>SUM(TLFD!F21:F101)</f>
        <v>11222</v>
      </c>
      <c r="H7" s="368"/>
      <c r="I7" s="368"/>
      <c r="J7" s="368"/>
      <c r="K7" s="368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7">
        <f si="0" t="shared"/>
        <v>-0.34490013167299999</v>
      </c>
      <c r="T7" s="320">
        <v>5</v>
      </c>
      <c r="U7" s="320" t="s">
        <v>270</v>
      </c>
      <c r="V7" s="320"/>
      <c r="W7" s="320"/>
    </row>
    <row ht="15.75" r="8" spans="3:23" thickBot="1" x14ac:dyDescent="0.3">
      <c r="C8" s="310" t="s">
        <v>4</v>
      </c>
      <c r="D8" s="311">
        <f>SUM(D4:D7)</f>
        <v>100972.3972377748</v>
      </c>
      <c r="E8" s="312"/>
      <c r="F8" s="310" t="s">
        <v>4</v>
      </c>
      <c r="G8" s="311">
        <f>SUM(G4:G7)</f>
        <v>65049</v>
      </c>
      <c r="H8" s="369"/>
      <c r="I8" s="369"/>
      <c r="J8" s="369"/>
      <c r="K8" s="369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7">
        <f si="0" t="shared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7">
        <f si="0" t="shared"/>
        <v>-3.9895313632499998</v>
      </c>
      <c r="T9" s="320"/>
      <c r="U9" s="358" t="s">
        <v>271</v>
      </c>
      <c r="V9" s="320"/>
      <c r="W9" s="320"/>
    </row>
    <row ht="15.75" r="10" spans="3:23" thickBot="1" x14ac:dyDescent="0.3">
      <c r="C10" s="313" t="s">
        <v>62</v>
      </c>
      <c r="I10" s="378" t="s">
        <v>284</v>
      </c>
      <c r="J10" s="374"/>
      <c r="K10" s="374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7">
        <f si="0" t="shared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7"/>
      <c r="I11" s="299" t="s">
        <v>280</v>
      </c>
      <c r="J11" s="299" t="s">
        <v>281</v>
      </c>
      <c r="K11" s="299" t="s">
        <v>282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7">
        <f si="0" t="shared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0.21505241768014433</v>
      </c>
      <c r="F12" s="301" t="s">
        <v>46</v>
      </c>
      <c r="G12" s="315">
        <f>G4/G$8</f>
        <v>0.1088717735860659</v>
      </c>
      <c r="H12" s="315"/>
      <c r="I12" s="372">
        <f>D12/G12</f>
        <v>1.9752816602196706</v>
      </c>
      <c r="J12" s="371">
        <f>LN(I12)</f>
        <v>0.68071100095430437</v>
      </c>
      <c r="K12" s="371">
        <f>J12</f>
        <v>0.68071100095430437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7">
        <f si="0" t="shared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ref="D13:D16" si="1" t="shared">D5/D$8</f>
        <v>0.31549434393566633</v>
      </c>
      <c r="F13" s="304" t="s">
        <v>49</v>
      </c>
      <c r="G13" s="316">
        <f ref="G13:G16" si="2" t="shared">G5/G$8</f>
        <v>0.32736859905609617</v>
      </c>
      <c r="H13" s="316"/>
      <c r="I13" s="372">
        <f ref="I13:I15" si="3" t="shared">D13/G13</f>
        <v>0.9637281793224306</v>
      </c>
      <c r="J13" s="371">
        <f ref="J13:J15" si="4" t="shared">LN(I13)</f>
        <v>-3.6945995790303429E-2</v>
      </c>
      <c r="K13" s="371">
        <f>J13-J12</f>
        <v>-0.71765699674460781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7">
        <f si="0" t="shared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si="1" t="shared"/>
        <v>0.28648398674068498</v>
      </c>
      <c r="F14" s="304" t="s">
        <v>52</v>
      </c>
      <c r="G14" s="316">
        <f si="2" t="shared"/>
        <v>0.39124352411259206</v>
      </c>
      <c r="H14" s="316"/>
      <c r="I14" s="372">
        <f si="3" t="shared"/>
        <v>0.73223956202337193</v>
      </c>
      <c r="J14" s="371">
        <f si="4" t="shared"/>
        <v>-0.31164754803840988</v>
      </c>
      <c r="K14" s="371">
        <f>J14-J13-J12</f>
        <v>-0.95541255320241081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7">
        <f si="0" t="shared"/>
        <v>-0.80534348065299999</v>
      </c>
      <c r="T14" s="320">
        <v>5</v>
      </c>
      <c r="U14" s="293" t="s">
        <v>275</v>
      </c>
      <c r="V14" s="320"/>
      <c r="W14" s="320"/>
    </row>
    <row ht="15.75" r="15" spans="3:23" thickBot="1" x14ac:dyDescent="0.3">
      <c r="C15" s="307" t="s">
        <v>55</v>
      </c>
      <c r="D15" s="316">
        <f si="1" t="shared"/>
        <v>0.18296925164350433</v>
      </c>
      <c r="F15" s="307" t="s">
        <v>55</v>
      </c>
      <c r="G15" s="316">
        <f si="2" t="shared"/>
        <v>0.17251610324524588</v>
      </c>
      <c r="H15" s="316"/>
      <c r="I15" s="373">
        <f si="3" t="shared"/>
        <v>1.0605923053072817</v>
      </c>
      <c r="J15" s="375">
        <f si="4" t="shared"/>
        <v>5.8827530657125718E-2</v>
      </c>
      <c r="K15" s="375">
        <f>J15-J14-J13-J12</f>
        <v>-0.27328992646846534</v>
      </c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7">
        <f si="0" t="shared"/>
        <v>-0.51977799879300002</v>
      </c>
      <c r="T15" s="320">
        <v>6</v>
      </c>
      <c r="U15" s="320" t="s">
        <v>276</v>
      </c>
      <c r="V15" s="320"/>
      <c r="W15" s="320"/>
    </row>
    <row ht="15.75" r="16" spans="3:23" thickBot="1" x14ac:dyDescent="0.3">
      <c r="C16" s="310" t="s">
        <v>4</v>
      </c>
      <c r="D16" s="318">
        <f si="1" t="shared"/>
        <v>1</v>
      </c>
      <c r="E16" s="312"/>
      <c r="F16" s="310" t="s">
        <v>4</v>
      </c>
      <c r="G16" s="318">
        <f si="2" t="shared"/>
        <v>1</v>
      </c>
      <c r="H16" s="370"/>
      <c r="I16" s="372"/>
      <c r="J16" s="372"/>
      <c r="K16" s="372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7">
        <f si="0" t="shared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7">
        <f si="0" t="shared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6"/>
      <c r="G18" s="377"/>
      <c r="H18" s="377"/>
      <c r="I18" s="377"/>
      <c r="J18" s="377"/>
      <c r="K18" s="371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7">
        <f si="0" t="shared"/>
        <v>-0.493022087256</v>
      </c>
    </row>
    <row r="19" spans="2:23" x14ac:dyDescent="0.25">
      <c r="C19" s="319" t="s">
        <v>81</v>
      </c>
      <c r="F19" s="376"/>
      <c r="G19" s="377"/>
      <c r="H19" s="377"/>
      <c r="I19" s="377"/>
      <c r="J19" s="377"/>
      <c r="K19" s="371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7">
        <f si="0" t="shared"/>
        <v>0</v>
      </c>
    </row>
    <row r="20" spans="2:23" x14ac:dyDescent="0.25">
      <c r="C20" s="319" t="s">
        <v>84</v>
      </c>
      <c r="F20" s="376"/>
      <c r="G20" s="377"/>
      <c r="H20" s="377"/>
      <c r="I20" s="377"/>
      <c r="J20" s="377"/>
      <c r="K20" s="371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7">
        <f si="0" t="shared"/>
        <v>0</v>
      </c>
    </row>
    <row ht="15.75" r="21" spans="2:23" thickBot="1" x14ac:dyDescent="0.3">
      <c r="C21" s="320"/>
      <c r="F21" s="376"/>
      <c r="G21" s="377"/>
      <c r="H21" s="377"/>
      <c r="I21" s="377"/>
      <c r="J21" s="377"/>
      <c r="K21" s="371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7">
        <f si="0" t="shared"/>
        <v>0</v>
      </c>
    </row>
    <row r="22" spans="2:23" x14ac:dyDescent="0.25">
      <c r="B22" s="350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7">
        <f si="0" t="shared"/>
        <v>0.63771148688699997</v>
      </c>
    </row>
    <row r="23" spans="2:23" x14ac:dyDescent="0.25">
      <c r="B23" s="351">
        <v>21</v>
      </c>
      <c r="C23" s="301" t="s">
        <v>46</v>
      </c>
      <c r="D23" s="363">
        <f>_xlfn.IFNA(VLOOKUP($B23,$N$3:$P$104,3,FALSE),0)</f>
        <v>-12.0946718381</v>
      </c>
      <c r="G23" s="366"/>
      <c r="H23" s="366"/>
      <c r="I23" s="366"/>
      <c r="J23" s="366"/>
      <c r="K23" s="366"/>
      <c r="M23" s="295" t="str">
        <f>VLOOKUP(N23,Coeff_Descr!$A:$D,3,FALSE)</f>
        <v>ESCORT</v>
      </c>
      <c r="N23" s="335">
        <f>OtherTourDestination!B31</f>
        <v>21</v>
      </c>
      <c r="O23" s="335" t="str">
        <f>OtherTourDestination!C31</f>
        <v>Beta00021</v>
      </c>
      <c r="P23" s="335">
        <f>OtherTourDestination!E31</f>
        <v>-12.0946718381</v>
      </c>
      <c r="Q23" s="357">
        <f si="0" t="shared"/>
        <v>-11.413960837145696</v>
      </c>
      <c r="R23" s="295" t="str">
        <f>VLOOKUP(N23,Coeff_Descr!$A$2:$E$104,4,FALSE)</f>
        <v>distanceFromOrigin4</v>
      </c>
    </row>
    <row r="24" spans="2:23" x14ac:dyDescent="0.25">
      <c r="B24" s="351">
        <v>22</v>
      </c>
      <c r="C24" s="304" t="s">
        <v>49</v>
      </c>
      <c r="D24" s="364">
        <f ref="D24:D26" si="5" t="shared">_xlfn.IFNA(VLOOKUP($B24,$N$3:$P$104,3,FALSE),0)</f>
        <v>-4.03623745316</v>
      </c>
      <c r="F24" s="365"/>
      <c r="M24" s="295" t="str">
        <f>VLOOKUP(N24,Coeff_Descr!$A:$D,3,FALSE)</f>
        <v>ESCORT</v>
      </c>
      <c r="N24" s="335">
        <f>OtherTourDestination!B32</f>
        <v>22</v>
      </c>
      <c r="O24" s="335" t="str">
        <f>OtherTourDestination!C32</f>
        <v>Beta00022</v>
      </c>
      <c r="P24" s="335">
        <f>OtherTourDestination!E32</f>
        <v>-4.03623745316</v>
      </c>
      <c r="Q24" s="357">
        <f si="0" t="shared"/>
        <v>-4.7538944499046076</v>
      </c>
      <c r="R24" s="295" t="str">
        <f>VLOOKUP(N24,Coeff_Descr!$A$2:$E$104,4,FALSE)</f>
        <v>distanceFromOrigin8</v>
      </c>
    </row>
    <row r="25" spans="2:23" x14ac:dyDescent="0.25">
      <c r="B25" s="351">
        <v>23</v>
      </c>
      <c r="C25" s="304" t="s">
        <v>52</v>
      </c>
      <c r="D25" s="364">
        <f si="5" t="shared"/>
        <v>-2.16371815818</v>
      </c>
      <c r="M25" s="295" t="str">
        <f>VLOOKUP(N25,Coeff_Descr!$A:$D,3,FALSE)</f>
        <v>ESCORT</v>
      </c>
      <c r="N25" s="335">
        <f>OtherTourDestination!B33</f>
        <v>23</v>
      </c>
      <c r="O25" s="335" t="str">
        <f>OtherTourDestination!C33</f>
        <v>Beta00023</v>
      </c>
      <c r="P25" s="335">
        <f>OtherTourDestination!E33</f>
        <v>-2.16371815818</v>
      </c>
      <c r="Q25" s="357">
        <f si="0" t="shared"/>
        <v>-3.1191307113824109</v>
      </c>
      <c r="R25" s="295" t="str">
        <f>VLOOKUP(N25,Coeff_Descr!$A$2:$E$104,4,FALSE)</f>
        <v>distanceFromOrigin9</v>
      </c>
    </row>
    <row ht="15.75" r="26" spans="2:23" thickBot="1" x14ac:dyDescent="0.3">
      <c r="B26" s="352"/>
      <c r="C26" s="324" t="s">
        <v>55</v>
      </c>
      <c r="D26" s="362">
        <f si="5" t="shared"/>
        <v>0</v>
      </c>
      <c r="E26" s="295" t="s">
        <v>279</v>
      </c>
      <c r="M26" s="295" t="str">
        <f>VLOOKUP(N26,Coeff_Descr!$A:$D,3,FALSE)</f>
        <v>ESCORT</v>
      </c>
      <c r="N26" s="332">
        <f>OtherTourDestination!B34</f>
        <v>24</v>
      </c>
      <c r="O26" s="332" t="str">
        <f>OtherTourDestination!C34</f>
        <v>Beta00024</v>
      </c>
      <c r="P26" s="332">
        <f>OtherTourDestination!E34</f>
        <v>0.10429329553199999</v>
      </c>
      <c r="Q26" s="357">
        <f si="0" t="shared"/>
        <v>0.10429329553199999</v>
      </c>
    </row>
    <row r="27" spans="2:23" x14ac:dyDescent="0.25">
      <c r="C27" s="320"/>
      <c r="D27" s="326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7">
        <f si="0" t="shared"/>
        <v>0</v>
      </c>
    </row>
    <row r="28" spans="2:23" x14ac:dyDescent="0.25">
      <c r="C28" s="320"/>
      <c r="D28" s="326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7">
        <f si="0" t="shared"/>
        <v>0.417326479157</v>
      </c>
    </row>
    <row r="29" spans="2:23" x14ac:dyDescent="0.25">
      <c r="C29" s="319" t="s">
        <v>81</v>
      </c>
      <c r="D29" s="327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7">
        <f si="0" t="shared"/>
        <v>-14.8384910501</v>
      </c>
    </row>
    <row r="30" spans="2:23" x14ac:dyDescent="0.25">
      <c r="C30" s="319" t="s">
        <v>106</v>
      </c>
      <c r="D30" s="327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7">
        <f si="0" t="shared"/>
        <v>-5.1880432348000003</v>
      </c>
    </row>
    <row ht="15.75" r="31" spans="2:23" thickBot="1" x14ac:dyDescent="0.3">
      <c r="C31" s="320"/>
      <c r="D31" s="326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7">
        <f si="0" t="shared"/>
        <v>-2.6156308707</v>
      </c>
    </row>
    <row r="32" spans="2:23" x14ac:dyDescent="0.25">
      <c r="B32" s="350" t="s">
        <v>259</v>
      </c>
      <c r="C32" s="321" t="s">
        <v>90</v>
      </c>
      <c r="D32" s="322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7">
        <f si="0" t="shared"/>
        <v>-0.91046169190000004</v>
      </c>
    </row>
    <row r="33" spans="2:17" x14ac:dyDescent="0.25">
      <c r="B33" s="351">
        <f>B23</f>
        <v>21</v>
      </c>
      <c r="C33" s="301" t="s">
        <v>46</v>
      </c>
      <c r="D33" s="323">
        <f>K12</f>
        <v>0.68071100095430437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7">
        <f si="0" t="shared"/>
        <v>5.7553461640599997E-2</v>
      </c>
    </row>
    <row r="34" spans="2:17" x14ac:dyDescent="0.25">
      <c r="B34" s="351">
        <f ref="B34:B36" si="6" t="shared">B24</f>
        <v>22</v>
      </c>
      <c r="C34" s="304" t="s">
        <v>49</v>
      </c>
      <c r="D34" s="323">
        <f ref="D34:D36" si="7" t="shared">K13</f>
        <v>-0.71765699674460781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7">
        <f si="0" t="shared"/>
        <v>0.237798002151</v>
      </c>
    </row>
    <row r="35" spans="2:17" x14ac:dyDescent="0.25">
      <c r="B35" s="351">
        <f si="6" t="shared"/>
        <v>23</v>
      </c>
      <c r="C35" s="304" t="s">
        <v>52</v>
      </c>
      <c r="D35" s="323">
        <f si="7" t="shared"/>
        <v>-0.95541255320241081</v>
      </c>
      <c r="G35" s="328"/>
      <c r="H35" s="328"/>
      <c r="I35" s="328"/>
      <c r="J35" s="328"/>
      <c r="K35" s="328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7">
        <f si="0" t="shared"/>
        <v>0</v>
      </c>
    </row>
    <row ht="15.75" r="36" spans="2:17" thickBot="1" x14ac:dyDescent="0.3">
      <c r="B36" s="352">
        <f si="6" t="shared"/>
        <v>0</v>
      </c>
      <c r="C36" s="324" t="s">
        <v>55</v>
      </c>
      <c r="D36" s="325">
        <f si="7" t="shared"/>
        <v>-0.27328992646846534</v>
      </c>
      <c r="G36" s="329"/>
      <c r="H36" s="329"/>
      <c r="I36" s="329"/>
      <c r="J36" s="329"/>
      <c r="K36" s="329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7">
        <f si="0" t="shared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7">
        <f si="0" t="shared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7">
        <f si="0" t="shared"/>
        <v>0.61259135262599995</v>
      </c>
    </row>
    <row r="39" spans="2:17" x14ac:dyDescent="0.25">
      <c r="C39" s="319" t="s">
        <v>81</v>
      </c>
      <c r="D39" s="330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7">
        <f si="0" t="shared"/>
        <v>-20.810228388700001</v>
      </c>
    </row>
    <row r="40" spans="2:17" x14ac:dyDescent="0.25">
      <c r="C40" s="319" t="s">
        <v>124</v>
      </c>
      <c r="D40" s="330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7">
        <f si="0" t="shared"/>
        <v>-7.1836373472300004</v>
      </c>
    </row>
    <row ht="15.75" r="41" spans="2:17" thickBot="1" x14ac:dyDescent="0.3">
      <c r="B41" s="353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7">
        <f si="0" t="shared"/>
        <v>-3.6600975390500001</v>
      </c>
    </row>
    <row r="42" spans="2:17" x14ac:dyDescent="0.25">
      <c r="B42" s="350" t="s">
        <v>259</v>
      </c>
      <c r="C42" s="321" t="s">
        <v>90</v>
      </c>
      <c r="D42" s="331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7">
        <f si="0" t="shared"/>
        <v>-1.3605457273599999</v>
      </c>
    </row>
    <row r="43" spans="2:17" x14ac:dyDescent="0.25">
      <c r="B43" s="351">
        <f>B33</f>
        <v>21</v>
      </c>
      <c r="C43" s="301" t="s">
        <v>46</v>
      </c>
      <c r="D43" s="360">
        <f>D23+D33</f>
        <v>-11.413960837145696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7">
        <f si="0" t="shared"/>
        <v>-0.22141031751900001</v>
      </c>
    </row>
    <row r="44" spans="2:17" x14ac:dyDescent="0.25">
      <c r="B44" s="351">
        <f ref="B44:B46" si="8" t="shared">B34</f>
        <v>22</v>
      </c>
      <c r="C44" s="304" t="s">
        <v>49</v>
      </c>
      <c r="D44" s="360">
        <f ref="D44:D46" si="9" t="shared">D24+D34</f>
        <v>-4.7538944499046076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7">
        <f si="0" t="shared"/>
        <v>0.64228876129599999</v>
      </c>
    </row>
    <row r="45" spans="2:17" x14ac:dyDescent="0.25">
      <c r="B45" s="351">
        <f si="8" t="shared"/>
        <v>23</v>
      </c>
      <c r="C45" s="304" t="s">
        <v>52</v>
      </c>
      <c r="D45" s="360">
        <f si="9" t="shared"/>
        <v>-3.1191307113824109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7">
        <f si="0" t="shared"/>
        <v>0.74588429254199995</v>
      </c>
    </row>
    <row ht="15.75" r="46" spans="2:17" thickBot="1" x14ac:dyDescent="0.3">
      <c r="B46" s="354">
        <f si="8" t="shared"/>
        <v>0</v>
      </c>
      <c r="C46" s="324" t="s">
        <v>55</v>
      </c>
      <c r="D46" s="361">
        <f si="9" t="shared"/>
        <v>-0.27328992646846534</v>
      </c>
      <c r="E46" s="295" t="s">
        <v>279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7">
        <f si="0" t="shared"/>
        <v>-32.156094092099998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7">
        <f si="0" t="shared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7">
        <f si="0" t="shared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7">
        <f si="0" t="shared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7">
        <f si="0" t="shared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7">
        <f si="0" t="shared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-28.552058518999999</v>
      </c>
      <c r="Q52" s="357">
        <f si="0" t="shared"/>
        <v>-28.552058518999999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-7.25833529236</v>
      </c>
      <c r="Q53" s="357">
        <f si="0" t="shared"/>
        <v>-7.25833529236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-2.64524710889</v>
      </c>
      <c r="Q54" s="357">
        <f si="0" t="shared"/>
        <v>-2.64524710889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-0.76461618005800003</v>
      </c>
      <c r="Q55" s="357">
        <f si="0" t="shared"/>
        <v>-0.76461618005800003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7">
        <f si="0" t="shared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7">
        <f si="0" t="shared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7">
        <f si="0" t="shared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7">
        <f si="0" t="shared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7">
        <f si="0" t="shared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7">
        <f si="0" t="shared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7">
        <f si="0" t="shared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7">
        <f si="0" t="shared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7">
        <f si="0" t="shared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7">
        <f si="0" t="shared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7">
        <f si="0" t="shared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7">
        <f si="0" t="shared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7">
        <f si="0" t="shared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7">
        <f ref="Q69:Q104" si="10" t="shared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7">
        <f si="10" t="shared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7">
        <f si="10" t="shared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7">
        <f si="10" t="shared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7">
        <f si="10" t="shared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7">
        <f si="10" t="shared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7">
        <f si="10" t="shared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7">
        <f si="10" t="shared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7">
        <f si="10" t="shared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7">
        <f si="10" t="shared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7">
        <f si="10" t="shared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7">
        <f si="10" t="shared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7">
        <f si="10" t="shared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7">
        <f si="10" t="shared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7">
        <f si="10" t="shared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7">
        <f si="10" t="shared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7">
        <f si="10" t="shared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7">
        <f si="10" t="shared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7">
        <f si="10" t="shared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7">
        <f si="10" t="shared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7">
        <f si="10" t="shared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7">
        <f si="10" t="shared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7">
        <f si="10" t="shared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7">
        <f si="10" t="shared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7">
        <f si="10" t="shared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7">
        <f si="10" t="shared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7">
        <f si="10" t="shared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7">
        <f si="10" t="shared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7">
        <f si="10" t="shared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7">
        <f si="10" t="shared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7">
        <f si="10" t="shared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7">
        <f si="10" t="shared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7">
        <f si="10" t="shared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7">
        <f si="10" t="shared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7">
        <f si="10" t="shared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2017-10-26T15:42:20Z</dcterms:modified>
</cp:coreProperties>
</file>