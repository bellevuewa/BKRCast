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345BB729-EB13-4CE8-A433-E04540FA2C5F}" revIDLastSave="0" xr10:uidLastSave="{00000000-0000-0000-0000-000000000000}" xr6:coauthVersionLast="41" xr6:coauthVersionMax="41"/>
  <bookViews>
    <workbookView activeTab="6" firstSheet="4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<sst xmlns="http://schemas.openxmlformats.org/spreadsheetml/2006/main" count="716" uniqueCount="284">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</sst>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0.24409030885147889</c:v>
                </c:pt>
                <c:pt idx="1">
                  <c:v>0.23255645224268454</c:v>
                </c:pt>
                <c:pt idx="2">
                  <c:v>0.14413285834717779</c:v>
                </c:pt>
                <c:pt idx="3">
                  <c:v>9.5220762005899642E-2</c:v>
                </c:pt>
                <c:pt idx="4">
                  <c:v>5.8294665834802556E-2</c:v>
                </c:pt>
                <c:pt idx="5">
                  <c:v>2.8758230661792221E-2</c:v>
                </c:pt>
                <c:pt idx="6">
                  <c:v>2.8086449819451992E-2</c:v>
                </c:pt>
                <c:pt idx="7">
                  <c:v>3.9440450427000048E-2</c:v>
                </c:pt>
                <c:pt idx="8">
                  <c:v>7.3017500897403645E-3</c:v>
                </c:pt>
                <c:pt idx="9">
                  <c:v>7.5643835035622371E-3</c:v>
                </c:pt>
                <c:pt idx="10">
                  <c:v>3.836726819742721E-2</c:v>
                </c:pt>
                <c:pt idx="11">
                  <c:v>2.1088621551134105E-2</c:v>
                </c:pt>
                <c:pt idx="12">
                  <c:v>6.2991115279477259E-3</c:v>
                </c:pt>
                <c:pt idx="13">
                  <c:v>1.0636117818588298E-2</c:v>
                </c:pt>
                <c:pt idx="14">
                  <c:v>9.7847650836584404E-3</c:v>
                </c:pt>
                <c:pt idx="15">
                  <c:v>5.2752777194908429E-3</c:v>
                </c:pt>
                <c:pt idx="16">
                  <c:v>5.143299826747781E-3</c:v>
                </c:pt>
                <c:pt idx="17">
                  <c:v>3.7759034385333348E-3</c:v>
                </c:pt>
                <c:pt idx="18">
                  <c:v>1.2144893103985125E-3</c:v>
                </c:pt>
                <c:pt idx="19">
                  <c:v>3.4405543711992044E-3</c:v>
                </c:pt>
                <c:pt idx="20">
                  <c:v>1.7505334422279019E-3</c:v>
                </c:pt>
                <c:pt idx="21">
                  <c:v>0</c:v>
                </c:pt>
                <c:pt idx="22">
                  <c:v>3.7634155608744259E-3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4.0143303681820734E-3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0.11402867790474798</c:v>
                </c:pt>
                <c:pt idx="1">
                  <c:v>0.11913527854440803</c:v>
                </c:pt>
                <c:pt idx="2">
                  <c:v>7.5814892050340907E-2</c:v>
                </c:pt>
                <c:pt idx="3">
                  <c:v>5.9814959501312485E-2</c:v>
                </c:pt>
                <c:pt idx="4">
                  <c:v>0.1406071711624613</c:v>
                </c:pt>
                <c:pt idx="5">
                  <c:v>8.9102733450623084E-2</c:v>
                </c:pt>
                <c:pt idx="6">
                  <c:v>9.1691164484815096E-2</c:v>
                </c:pt>
                <c:pt idx="7">
                  <c:v>5.2743849314529502E-2</c:v>
                </c:pt>
                <c:pt idx="8">
                  <c:v>5.6757182123244168E-2</c:v>
                </c:pt>
                <c:pt idx="9">
                  <c:v>3.0636793380811322E-2</c:v>
                </c:pt>
                <c:pt idx="10">
                  <c:v>2.5895552170516055E-2</c:v>
                </c:pt>
                <c:pt idx="11">
                  <c:v>2.4481892224589252E-2</c:v>
                </c:pt>
                <c:pt idx="12">
                  <c:v>2.1598363189756446E-2</c:v>
                </c:pt>
                <c:pt idx="13">
                  <c:v>1.9088624955735298E-2</c:v>
                </c:pt>
                <c:pt idx="14">
                  <c:v>1.3619475343859433E-2</c:v>
                </c:pt>
                <c:pt idx="15">
                  <c:v>1.4797056889273609E-2</c:v>
                </c:pt>
                <c:pt idx="16">
                  <c:v>1.273137088478812E-2</c:v>
                </c:pt>
                <c:pt idx="17">
                  <c:v>8.9541164765860812E-3</c:v>
                </c:pt>
                <c:pt idx="18">
                  <c:v>7.0879729296767415E-3</c:v>
                </c:pt>
                <c:pt idx="19">
                  <c:v>4.5023523526336795E-3</c:v>
                </c:pt>
                <c:pt idx="20">
                  <c:v>4.2156857234397745E-3</c:v>
                </c:pt>
                <c:pt idx="21">
                  <c:v>2.897581320577605E-3</c:v>
                </c:pt>
                <c:pt idx="22">
                  <c:v>2.321437605040836E-3</c:v>
                </c:pt>
                <c:pt idx="23">
                  <c:v>1.9279736041864569E-3</c:v>
                </c:pt>
                <c:pt idx="24">
                  <c:v>1.7930716610363841E-3</c:v>
                </c:pt>
                <c:pt idx="25">
                  <c:v>9.8928091643386709E-4</c:v>
                </c:pt>
                <c:pt idx="26">
                  <c:v>6.3797377281388592E-4</c:v>
                </c:pt>
                <c:pt idx="27">
                  <c:v>5.2555548685549193E-4</c:v>
                </c:pt>
                <c:pt idx="28">
                  <c:v>3.9346400085437896E-4</c:v>
                </c:pt>
                <c:pt idx="29">
                  <c:v>3.0915028638558349E-4</c:v>
                </c:pt>
                <c:pt idx="30">
                  <c:v>2.866666291939047E-4</c:v>
                </c:pt>
                <c:pt idx="31">
                  <c:v>1.7424834323551068E-4</c:v>
                </c:pt>
                <c:pt idx="32">
                  <c:v>1.2084965740527354E-4</c:v>
                </c:pt>
                <c:pt idx="33">
                  <c:v>8.1503257319835641E-5</c:v>
                </c:pt>
                <c:pt idx="34">
                  <c:v>7.3071885872956092E-5</c:v>
                </c:pt>
                <c:pt idx="35">
                  <c:v>3.6535942936478046E-5</c:v>
                </c:pt>
                <c:pt idx="36">
                  <c:v>4.2156857234397746E-5</c:v>
                </c:pt>
                <c:pt idx="37">
                  <c:v>2.2483657191678798E-5</c:v>
                </c:pt>
                <c:pt idx="38">
                  <c:v>1.4052285744799249E-5</c:v>
                </c:pt>
                <c:pt idx="39">
                  <c:v>8.4313714468795491E-6</c:v>
                </c:pt>
                <c:pt idx="40">
                  <c:v>2.8104571489598497E-6</c:v>
                </c:pt>
                <c:pt idx="41">
                  <c:v>1.9673200042718948E-5</c:v>
                </c:pt>
                <c:pt idx="42">
                  <c:v>5.6209142979196994E-6</c:v>
                </c:pt>
                <c:pt idx="43">
                  <c:v>2.8104571489598497E-6</c:v>
                </c:pt>
                <c:pt idx="44">
                  <c:v>2.8104571489598497E-6</c:v>
                </c:pt>
                <c:pt idx="45">
                  <c:v>5.6209142979196994E-6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8664"/>
        <c:axId val="128398272"/>
      </c:lineChart>
      <c:catAx>
        <c:axId val="12839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8398272"/>
        <c:crosses val="autoZero"/>
        <c:auto val="1"/>
        <c:lblAlgn val="ctr"/>
        <c:lblOffset val="100"/>
        <c:tickLblSkip val="10"/>
        <c:noMultiLvlLbl val="0"/>
      </c:catAx>
      <c:valAx>
        <c:axId val="1283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839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2.7078168972147348E-2</c:v>
                </c:pt>
                <c:pt idx="1">
                  <c:v>7.4947719389636222E-2</c:v>
                </c:pt>
                <c:pt idx="2">
                  <c:v>5.3136324144492292E-2</c:v>
                </c:pt>
                <c:pt idx="3">
                  <c:v>9.6159630164153867E-2</c:v>
                </c:pt>
                <c:pt idx="4">
                  <c:v>8.9075442365048704E-2</c:v>
                </c:pt>
                <c:pt idx="5">
                  <c:v>8.8711762242142611E-2</c:v>
                </c:pt>
                <c:pt idx="6">
                  <c:v>6.666581121174231E-2</c:v>
                </c:pt>
                <c:pt idx="7">
                  <c:v>0.10036565176585767</c:v>
                </c:pt>
                <c:pt idx="8">
                  <c:v>0.11562814427845627</c:v>
                </c:pt>
                <c:pt idx="9">
                  <c:v>6.3751010893565482E-2</c:v>
                </c:pt>
                <c:pt idx="10">
                  <c:v>1.8708562948899787E-2</c:v>
                </c:pt>
                <c:pt idx="11">
                  <c:v>6.6519946148712802E-3</c:v>
                </c:pt>
                <c:pt idx="12">
                  <c:v>5.0446722601041986E-3</c:v>
                </c:pt>
                <c:pt idx="13">
                  <c:v>1.6335723458513797E-3</c:v>
                </c:pt>
                <c:pt idx="14">
                  <c:v>6.6193951529498517E-3</c:v>
                </c:pt>
                <c:pt idx="15">
                  <c:v>1.6459317346601905E-2</c:v>
                </c:pt>
                <c:pt idx="16">
                  <c:v>1.3438252264509508E-3</c:v>
                </c:pt>
                <c:pt idx="17">
                  <c:v>1.2259485137583053E-2</c:v>
                </c:pt>
                <c:pt idx="18">
                  <c:v>3.9690558992608885E-2</c:v>
                </c:pt>
                <c:pt idx="19">
                  <c:v>9.4932736051268514E-3</c:v>
                </c:pt>
                <c:pt idx="20">
                  <c:v>1.5192631920005514E-2</c:v>
                </c:pt>
                <c:pt idx="21">
                  <c:v>2.036587627288337E-2</c:v>
                </c:pt>
                <c:pt idx="22">
                  <c:v>8.3041610071421367E-3</c:v>
                </c:pt>
                <c:pt idx="23">
                  <c:v>8.5849733839347894E-3</c:v>
                </c:pt>
                <c:pt idx="24">
                  <c:v>5.8557714622601625E-3</c:v>
                </c:pt>
                <c:pt idx="25">
                  <c:v>9.2724028748668776E-3</c:v>
                </c:pt>
                <c:pt idx="26">
                  <c:v>1.0956964293154002E-3</c:v>
                </c:pt>
                <c:pt idx="27">
                  <c:v>6.6789258147422371E-4</c:v>
                </c:pt>
                <c:pt idx="28">
                  <c:v>0</c:v>
                </c:pt>
                <c:pt idx="29">
                  <c:v>1.0074431856519366E-2</c:v>
                </c:pt>
                <c:pt idx="30">
                  <c:v>9.7142560729417005E-3</c:v>
                </c:pt>
                <c:pt idx="31">
                  <c:v>0</c:v>
                </c:pt>
                <c:pt idx="32">
                  <c:v>9.540244216927823E-4</c:v>
                </c:pt>
                <c:pt idx="33">
                  <c:v>0</c:v>
                </c:pt>
                <c:pt idx="34">
                  <c:v>3.763415560874425E-3</c:v>
                </c:pt>
                <c:pt idx="35">
                  <c:v>3.5021754307913971E-3</c:v>
                </c:pt>
                <c:pt idx="36">
                  <c:v>9.6062402362399359E-4</c:v>
                </c:pt>
                <c:pt idx="37">
                  <c:v>3.0385239648022025E-3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1.214489310398512E-3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4.0143303681820725E-3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1.0758429966218305E-2</c:v>
                </c:pt>
                <c:pt idx="1">
                  <c:v>2.6727447486608172E-2</c:v>
                </c:pt>
                <c:pt idx="2">
                  <c:v>3.3871629559264108E-2</c:v>
                </c:pt>
                <c:pt idx="3">
                  <c:v>3.9894439229485067E-2</c:v>
                </c:pt>
                <c:pt idx="4">
                  <c:v>3.9815746429314194E-2</c:v>
                </c:pt>
                <c:pt idx="5">
                  <c:v>3.8466726997813463E-2</c:v>
                </c:pt>
                <c:pt idx="6">
                  <c:v>3.7005289280354341E-2</c:v>
                </c:pt>
                <c:pt idx="7">
                  <c:v>3.7370648709719123E-2</c:v>
                </c:pt>
                <c:pt idx="8">
                  <c:v>3.4894635961485496E-2</c:v>
                </c:pt>
                <c:pt idx="9">
                  <c:v>3.0940322752898985E-2</c:v>
                </c:pt>
                <c:pt idx="10">
                  <c:v>2.8076466918108899E-2</c:v>
                </c:pt>
                <c:pt idx="11">
                  <c:v>2.656725142911746E-2</c:v>
                </c:pt>
                <c:pt idx="12">
                  <c:v>2.1741696504353397E-2</c:v>
                </c:pt>
                <c:pt idx="13">
                  <c:v>1.8796337412243475E-2</c:v>
                </c:pt>
                <c:pt idx="14">
                  <c:v>1.6396207007031764E-2</c:v>
                </c:pt>
                <c:pt idx="15">
                  <c:v>1.6682873636225667E-2</c:v>
                </c:pt>
                <c:pt idx="16">
                  <c:v>2.1705160561416921E-2</c:v>
                </c:pt>
                <c:pt idx="17">
                  <c:v>1.8560259011730848E-2</c:v>
                </c:pt>
                <c:pt idx="18">
                  <c:v>6.9075415807135193E-2</c:v>
                </c:pt>
                <c:pt idx="19">
                  <c:v>5.0256594737700035E-2</c:v>
                </c:pt>
                <c:pt idx="20">
                  <c:v>4.4613196782588654E-2</c:v>
                </c:pt>
                <c:pt idx="21">
                  <c:v>4.6150516843069693E-2</c:v>
                </c:pt>
                <c:pt idx="22">
                  <c:v>4.3798164209390297E-2</c:v>
                </c:pt>
                <c:pt idx="23">
                  <c:v>2.9835813093357765E-2</c:v>
                </c:pt>
                <c:pt idx="24">
                  <c:v>3.0361368580213259E-2</c:v>
                </c:pt>
                <c:pt idx="25">
                  <c:v>2.5687578341493027E-2</c:v>
                </c:pt>
                <c:pt idx="26">
                  <c:v>2.2427448048699603E-2</c:v>
                </c:pt>
                <c:pt idx="27">
                  <c:v>1.7610324495382419E-2</c:v>
                </c:pt>
                <c:pt idx="28">
                  <c:v>1.7177514094442601E-2</c:v>
                </c:pt>
                <c:pt idx="29">
                  <c:v>1.4732416374847533E-2</c:v>
                </c:pt>
                <c:pt idx="30">
                  <c:v>1.2663919913213082E-2</c:v>
                </c:pt>
                <c:pt idx="31">
                  <c:v>1.2304181398146222E-2</c:v>
                </c:pt>
                <c:pt idx="32">
                  <c:v>1.0005227450297065E-2</c:v>
                </c:pt>
                <c:pt idx="33">
                  <c:v>8.8248354477339277E-3</c:v>
                </c:pt>
                <c:pt idx="34">
                  <c:v>7.1610448155496973E-3</c:v>
                </c:pt>
                <c:pt idx="35">
                  <c:v>7.7568617311291853E-3</c:v>
                </c:pt>
                <c:pt idx="36">
                  <c:v>5.7670580696656121E-3</c:v>
                </c:pt>
                <c:pt idx="37">
                  <c:v>4.1538556661626577E-3</c:v>
                </c:pt>
                <c:pt idx="38">
                  <c:v>3.3725485787518199E-3</c:v>
                </c:pt>
                <c:pt idx="39">
                  <c:v>3.2573198356444658E-3</c:v>
                </c:pt>
                <c:pt idx="40">
                  <c:v>2.7177120630441746E-3</c:v>
                </c:pt>
                <c:pt idx="41">
                  <c:v>2.3017644049981171E-3</c:v>
                </c:pt>
                <c:pt idx="42">
                  <c:v>1.6047710320560742E-3</c:v>
                </c:pt>
                <c:pt idx="43">
                  <c:v>1.3771240029903265E-3</c:v>
                </c:pt>
                <c:pt idx="44">
                  <c:v>1.3265357743090492E-3</c:v>
                </c:pt>
                <c:pt idx="45">
                  <c:v>1.1691501739672975E-3</c:v>
                </c:pt>
                <c:pt idx="46">
                  <c:v>8.9372537336923229E-4</c:v>
                </c:pt>
                <c:pt idx="47">
                  <c:v>7.8411754455979805E-4</c:v>
                </c:pt>
                <c:pt idx="48">
                  <c:v>5.4522868689821087E-4</c:v>
                </c:pt>
                <c:pt idx="49">
                  <c:v>3.1477120068350317E-4</c:v>
                </c:pt>
                <c:pt idx="50">
                  <c:v>3.6254897221582062E-4</c:v>
                </c:pt>
                <c:pt idx="51">
                  <c:v>2.8947708634286451E-4</c:v>
                </c:pt>
                <c:pt idx="52">
                  <c:v>2.5013068625742664E-4</c:v>
                </c:pt>
                <c:pt idx="53">
                  <c:v>1.8549017183135008E-4</c:v>
                </c:pt>
                <c:pt idx="54">
                  <c:v>1.1241828595839399E-4</c:v>
                </c:pt>
                <c:pt idx="55">
                  <c:v>7.0261428723996243E-5</c:v>
                </c:pt>
                <c:pt idx="56">
                  <c:v>1.1241828595839399E-4</c:v>
                </c:pt>
                <c:pt idx="57">
                  <c:v>8.1503257319835641E-5</c:v>
                </c:pt>
                <c:pt idx="58">
                  <c:v>5.6209142979196994E-5</c:v>
                </c:pt>
                <c:pt idx="59">
                  <c:v>3.3725485787518196E-5</c:v>
                </c:pt>
                <c:pt idx="60">
                  <c:v>3.0915028638558347E-5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9448"/>
        <c:axId val="128399840"/>
      </c:lineChart>
      <c:catAx>
        <c:axId val="128399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399840"/>
        <c:crosses val="autoZero"/>
        <c:auto val="1"/>
        <c:lblAlgn val="ctr"/>
        <c:lblOffset val="100"/>
        <c:tickLblSkip val="10"/>
        <c:noMultiLvlLbl val="0"/>
      </c:catAx>
      <c:valAx>
        <c:axId val="1283998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3994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opLeftCell="A88" workbookViewId="0">
      <selection activeCell="E106" sqref="E106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1" t="n">
        <v>29293.1710115834</v>
      </c>
      <c r="C11" s="11">
        <f>B11/B$102</f>
        <v>0.24409030885147889</v>
      </c>
      <c r="E11" s="19">
        <v>0</v>
      </c>
      <c r="F11" s="343" t="n">
        <v>39420.0</v>
      </c>
      <c r="G11" s="11">
        <f>F11/F$102</f>
        <v>0.11402867790474798</v>
      </c>
      <c r="K11" s="8" t="n">
        <v>3.300222372865475</v>
      </c>
      <c r="L11" s="8" t="n">
        <v>5.946164255346796</v>
      </c>
    </row>
    <row r="12" spans="1:12" x14ac:dyDescent="0.25">
      <c r="A12">
        <v>1</v>
      </c>
      <c r="B12" s="341" t="n">
        <v>27908.9979337818</v>
      </c>
      <c r="C12" s="11">
        <f>B12/B$102</f>
        <v>0.23255645224268454</v>
      </c>
      <c r="E12" s="20">
        <v>1</v>
      </c>
      <c r="F12" s="343" t="n">
        <v>41299.0</v>
      </c>
      <c r="G12" s="11">
        <f>F12/F$102</f>
        <v>0.11913527854440803</v>
      </c>
      <c r="K12" s="8"/>
      <c r="L12" s="289"/>
    </row>
    <row r="13" spans="1:12" x14ac:dyDescent="0.25">
      <c r="A13">
        <v>2</v>
      </c>
      <c r="B13" s="341" t="n">
        <v>17297.3211751771</v>
      </c>
      <c r="C13" s="11">
        <f ref="C13:C76" si="0" t="shared">B13/B$102</f>
        <v>0.14413285834717779</v>
      </c>
      <c r="E13" s="21">
        <v>2</v>
      </c>
      <c r="F13" s="343" t="n">
        <v>26352.0</v>
      </c>
      <c r="G13" s="11">
        <f ref="G13:G76" si="1" t="shared">F13/F$102</f>
        <v>7.5814892050340907E-2</v>
      </c>
    </row>
    <row r="14" spans="1:12" x14ac:dyDescent="0.25">
      <c r="A14">
        <v>3</v>
      </c>
      <c r="B14" s="341" t="n">
        <v>11427.4019252002</v>
      </c>
      <c r="C14" s="11">
        <f si="0" t="shared"/>
        <v>9.5220762005899642E-2</v>
      </c>
      <c r="E14" s="22">
        <v>3</v>
      </c>
      <c r="F14" s="343" t="n">
        <v>21546.0</v>
      </c>
      <c r="G14" s="11">
        <f si="1" t="shared"/>
        <v>5.9814959501312485E-2</v>
      </c>
    </row>
    <row r="15" spans="1:12" x14ac:dyDescent="0.25">
      <c r="A15">
        <v>4</v>
      </c>
      <c r="B15" s="341" t="n">
        <v>6995.91730371</v>
      </c>
      <c r="C15" s="11">
        <f si="0" t="shared"/>
        <v>5.8294665834802556E-2</v>
      </c>
      <c r="E15" s="23">
        <v>4</v>
      </c>
      <c r="F15" s="343" t="n">
        <v>49642.0</v>
      </c>
      <c r="G15" s="11">
        <f si="1" t="shared"/>
        <v>0.1406071711624613</v>
      </c>
    </row>
    <row r="16" spans="1:12" x14ac:dyDescent="0.25">
      <c r="A16">
        <v>5</v>
      </c>
      <c r="B16" s="341" t="n">
        <v>3451.2626606533</v>
      </c>
      <c r="C16" s="11">
        <f si="0" t="shared"/>
        <v>2.8758230661792221E-2</v>
      </c>
      <c r="E16" s="24">
        <v>5</v>
      </c>
      <c r="F16" s="343" t="n">
        <v>30395.0</v>
      </c>
      <c r="G16" s="11">
        <f si="1" t="shared"/>
        <v>8.9102733450623084E-2</v>
      </c>
    </row>
    <row r="17" spans="1:7" x14ac:dyDescent="0.25">
      <c r="A17">
        <v>6</v>
      </c>
      <c r="B17" s="341" t="n">
        <v>3370.64253612</v>
      </c>
      <c r="C17" s="11">
        <f si="0" t="shared"/>
        <v>2.8086449819451992E-2</v>
      </c>
      <c r="E17" s="25">
        <v>6</v>
      </c>
      <c r="F17" s="343" t="n">
        <v>32514.0</v>
      </c>
      <c r="G17" s="11">
        <f si="1" t="shared"/>
        <v>9.1691164484815096E-2</v>
      </c>
    </row>
    <row r="18" spans="1:7" x14ac:dyDescent="0.25">
      <c r="A18">
        <v>7</v>
      </c>
      <c r="B18" s="341" t="n">
        <v>4733.23117402</v>
      </c>
      <c r="C18" s="11">
        <f si="0" t="shared"/>
        <v>3.9440450427000048E-2</v>
      </c>
      <c r="E18" s="26">
        <v>7</v>
      </c>
      <c r="F18" s="343" t="n">
        <v>18509.0</v>
      </c>
      <c r="G18" s="11">
        <f si="1" t="shared"/>
        <v>5.2743849314529502E-2</v>
      </c>
    </row>
    <row r="19" spans="1:7" x14ac:dyDescent="0.25">
      <c r="A19">
        <v>8</v>
      </c>
      <c r="B19" s="341" t="n">
        <v>876.279828843</v>
      </c>
      <c r="C19" s="11">
        <f si="0" t="shared"/>
        <v>7.3017500897403645E-3</v>
      </c>
      <c r="E19" s="27">
        <v>8</v>
      </c>
      <c r="F19" s="343" t="n">
        <v>19540.0</v>
      </c>
      <c r="G19" s="11">
        <f si="1" t="shared"/>
        <v>5.6757182123244168E-2</v>
      </c>
    </row>
    <row r="20" spans="1:7" x14ac:dyDescent="0.25">
      <c r="A20">
        <v>9</v>
      </c>
      <c r="B20" s="341" t="n">
        <v>907.798349757</v>
      </c>
      <c r="C20" s="11">
        <f si="0" t="shared"/>
        <v>7.5643835035622371E-3</v>
      </c>
      <c r="E20" s="28">
        <v>9</v>
      </c>
      <c r="F20" s="343" t="n">
        <v>10668.0</v>
      </c>
      <c r="G20" s="11">
        <f si="1" t="shared"/>
        <v>3.0636793380811322E-2</v>
      </c>
    </row>
    <row r="21" spans="1:7" x14ac:dyDescent="0.25">
      <c r="A21">
        <v>10</v>
      </c>
      <c r="B21" s="341" t="n">
        <v>4604.439044888</v>
      </c>
      <c r="C21" s="11">
        <f si="0" t="shared"/>
        <v>3.836726819742721E-2</v>
      </c>
      <c r="E21" s="29">
        <v>10</v>
      </c>
      <c r="F21" s="343" t="n">
        <v>9485.0</v>
      </c>
      <c r="G21" s="11">
        <f si="1" t="shared"/>
        <v>2.5895552170516055E-2</v>
      </c>
    </row>
    <row r="22" spans="1:7" x14ac:dyDescent="0.25">
      <c r="A22">
        <v>11</v>
      </c>
      <c r="B22" s="341" t="n">
        <v>2530.8362318957</v>
      </c>
      <c r="C22" s="11">
        <f si="0" t="shared"/>
        <v>2.1088621551134105E-2</v>
      </c>
      <c r="E22" s="30">
        <v>11</v>
      </c>
      <c r="F22" s="343" t="n">
        <v>8497.0</v>
      </c>
      <c r="G22" s="11">
        <f si="1" t="shared"/>
        <v>2.4481892224589252E-2</v>
      </c>
    </row>
    <row r="23" spans="1:7" x14ac:dyDescent="0.25">
      <c r="A23">
        <v>12</v>
      </c>
      <c r="B23" s="341" t="n">
        <v>755.953614371</v>
      </c>
      <c r="C23" s="11">
        <f si="0" t="shared"/>
        <v>6.2991115279477259E-3</v>
      </c>
      <c r="E23" s="31">
        <v>12</v>
      </c>
      <c r="F23" s="343" t="n">
        <v>7264.0</v>
      </c>
      <c r="G23" s="11">
        <f si="1" t="shared"/>
        <v>2.1598363189756446E-2</v>
      </c>
    </row>
    <row r="24" spans="1:7" x14ac:dyDescent="0.25">
      <c r="A24">
        <v>13</v>
      </c>
      <c r="B24" s="341" t="n">
        <v>1276.4358389535</v>
      </c>
      <c r="C24" s="11">
        <f si="0" t="shared"/>
        <v>1.0636117818588298E-2</v>
      </c>
      <c r="E24" s="32">
        <v>13</v>
      </c>
      <c r="F24" s="343" t="n">
        <v>6589.0</v>
      </c>
      <c r="G24" s="11">
        <f si="1" t="shared"/>
        <v>1.9088624955735298E-2</v>
      </c>
    </row>
    <row r="25" spans="1:7" x14ac:dyDescent="0.25">
      <c r="A25">
        <v>14</v>
      </c>
      <c r="B25" s="341" t="n">
        <v>1174.265370274</v>
      </c>
      <c r="C25" s="11">
        <f si="0" t="shared"/>
        <v>9.7847650836584404E-3</v>
      </c>
      <c r="E25" s="33">
        <v>14</v>
      </c>
      <c r="F25" s="343" t="n">
        <v>4464.0</v>
      </c>
      <c r="G25" s="11">
        <f si="1" t="shared"/>
        <v>1.3619475343859433E-2</v>
      </c>
    </row>
    <row r="26" spans="1:7" x14ac:dyDescent="0.25">
      <c r="A26">
        <v>15</v>
      </c>
      <c r="B26" s="341" t="n">
        <v>633.083767634</v>
      </c>
      <c r="C26" s="11">
        <f si="0" t="shared"/>
        <v>5.2752777194908429E-3</v>
      </c>
      <c r="E26" s="34">
        <v>15</v>
      </c>
      <c r="F26" s="343" t="n">
        <v>4848.0</v>
      </c>
      <c r="G26" s="11">
        <f si="1" t="shared"/>
        <v>1.4797056889273609E-2</v>
      </c>
    </row>
    <row r="27" spans="1:7" x14ac:dyDescent="0.25">
      <c r="A27">
        <v>16</v>
      </c>
      <c r="B27" s="341" t="n">
        <v>617.245158555</v>
      </c>
      <c r="C27" s="11">
        <f si="0" t="shared"/>
        <v>5.143299826747781E-3</v>
      </c>
      <c r="E27" s="35">
        <v>16</v>
      </c>
      <c r="F27" s="343" t="n">
        <v>4113.0</v>
      </c>
      <c r="G27" s="11">
        <f si="1" t="shared"/>
        <v>1.273137088478812E-2</v>
      </c>
    </row>
    <row r="28" spans="1:7" x14ac:dyDescent="0.25">
      <c r="A28">
        <v>17</v>
      </c>
      <c r="B28" s="341" t="n">
        <v>453.144517161</v>
      </c>
      <c r="C28" s="11">
        <f si="0" t="shared"/>
        <v>3.7759034385333348E-3</v>
      </c>
      <c r="E28" s="36">
        <v>17</v>
      </c>
      <c r="F28" s="343" t="n">
        <v>3044.0</v>
      </c>
      <c r="G28" s="11">
        <f si="1" t="shared"/>
        <v>8.9541164765860812E-3</v>
      </c>
    </row>
    <row r="29" spans="1:7" x14ac:dyDescent="0.25">
      <c r="A29">
        <v>18</v>
      </c>
      <c r="B29" s="341" t="n">
        <v>145.750329985</v>
      </c>
      <c r="C29" s="11">
        <f si="0" t="shared"/>
        <v>1.2144893103985125E-3</v>
      </c>
      <c r="E29" s="37">
        <v>18</v>
      </c>
      <c r="F29" s="343" t="n">
        <v>2403.0</v>
      </c>
      <c r="G29" s="11">
        <f si="1" t="shared"/>
        <v>7.0879729296767415E-3</v>
      </c>
    </row>
    <row r="30" spans="1:7" x14ac:dyDescent="0.25">
      <c r="A30">
        <v>19</v>
      </c>
      <c r="B30" s="341" t="n">
        <v>412.899422531</v>
      </c>
      <c r="C30" s="11">
        <f si="0" t="shared"/>
        <v>3.4405543711992044E-3</v>
      </c>
      <c r="E30" s="38">
        <v>19</v>
      </c>
      <c r="F30" s="343" t="n">
        <v>1511.0</v>
      </c>
      <c r="G30" s="11">
        <f si="1" t="shared"/>
        <v>4.5023523526336795E-3</v>
      </c>
    </row>
    <row r="31" spans="1:7" x14ac:dyDescent="0.25">
      <c r="A31">
        <v>20</v>
      </c>
      <c r="B31" s="341" t="n">
        <v>210.080751366</v>
      </c>
      <c r="C31" s="11">
        <f si="0" t="shared"/>
        <v>1.7505334422279019E-3</v>
      </c>
      <c r="E31" s="39">
        <v>20</v>
      </c>
      <c r="F31" s="343" t="n">
        <v>1496.0</v>
      </c>
      <c r="G31" s="11">
        <f si="1" t="shared"/>
        <v>4.2156857234397745E-3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932.0</v>
      </c>
      <c r="G32" s="11">
        <f si="1" t="shared"/>
        <v>2.897581320577605E-3</v>
      </c>
    </row>
    <row r="33" spans="1:7" x14ac:dyDescent="0.25">
      <c r="A33">
        <v>22</v>
      </c>
      <c r="B33" s="341" t="n">
        <v>451.645852435</v>
      </c>
      <c r="C33" s="11">
        <f si="0" t="shared"/>
        <v>3.7634155608744259E-3</v>
      </c>
      <c r="E33" s="41">
        <v>22</v>
      </c>
      <c r="F33" s="343" t="n">
        <v>774.0</v>
      </c>
      <c r="G33" s="11">
        <f si="1" t="shared"/>
        <v>2.321437605040836E-3</v>
      </c>
    </row>
    <row r="34" spans="1:7" x14ac:dyDescent="0.25">
      <c r="A34">
        <v>23</v>
      </c>
      <c r="B34" s="341" t="n">
        <v>0.0</v>
      </c>
      <c r="C34" s="11">
        <f si="0" t="shared"/>
        <v>0</v>
      </c>
      <c r="E34" s="42">
        <v>23</v>
      </c>
      <c r="F34" s="343" t="n">
        <v>658.0</v>
      </c>
      <c r="G34" s="11">
        <f si="1" t="shared"/>
        <v>1.9279736041864569E-3</v>
      </c>
    </row>
    <row r="35" spans="1:7" x14ac:dyDescent="0.25">
      <c r="A35">
        <v>24</v>
      </c>
      <c r="B35" s="341" t="n">
        <v>0.0</v>
      </c>
      <c r="C35" s="11">
        <f si="0" t="shared"/>
        <v>0</v>
      </c>
      <c r="E35" s="43">
        <v>24</v>
      </c>
      <c r="F35" s="343" t="n">
        <v>461.0</v>
      </c>
      <c r="G35" s="11">
        <f si="1" t="shared"/>
        <v>1.7930716610363841E-3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412.0</v>
      </c>
      <c r="G36" s="11">
        <f si="1" t="shared"/>
        <v>9.8928091643386709E-4</v>
      </c>
    </row>
    <row r="37" spans="1:7" x14ac:dyDescent="0.25">
      <c r="A37">
        <v>26</v>
      </c>
      <c r="B37" s="341" t="n">
        <v>0.0</v>
      </c>
      <c r="C37" s="11">
        <f si="0" t="shared"/>
        <v>0</v>
      </c>
      <c r="E37" s="45">
        <v>26</v>
      </c>
      <c r="F37" s="343" t="n">
        <v>192.0</v>
      </c>
      <c r="G37" s="11">
        <f si="1" t="shared"/>
        <v>6.3797377281388592E-4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185.0</v>
      </c>
      <c r="G38" s="11">
        <f si="1" t="shared"/>
        <v>5.2555548685549193E-4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141.0</v>
      </c>
      <c r="G39" s="11">
        <f si="1" t="shared"/>
        <v>3.9346400085437896E-4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103.0</v>
      </c>
      <c r="G40" s="11">
        <f si="1" t="shared"/>
        <v>3.0915028638558349E-4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100.0</v>
      </c>
      <c r="G41" s="11">
        <f si="1" t="shared"/>
        <v>2.866666291939047E-4</v>
      </c>
    </row>
    <row r="42" spans="1:7" x14ac:dyDescent="0.25">
      <c r="A42">
        <v>31</v>
      </c>
      <c r="B42" s="341" t="n">
        <v>0.0</v>
      </c>
      <c r="C42" s="11">
        <f si="0" t="shared"/>
        <v>0</v>
      </c>
      <c r="E42" s="50">
        <v>31</v>
      </c>
      <c r="F42" s="343" t="n">
        <v>55.0</v>
      </c>
      <c r="G42" s="11">
        <f si="1" t="shared"/>
        <v>1.7424834323551068E-4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39.0</v>
      </c>
      <c r="G43" s="11">
        <f si="1" t="shared"/>
        <v>1.2084965740527354E-4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38.0</v>
      </c>
      <c r="G44" s="11">
        <f si="1" t="shared"/>
        <v>8.1503257319835641E-5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20.0</v>
      </c>
      <c r="G45" s="11">
        <f si="1" t="shared"/>
        <v>7.3071885872956092E-5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17.0</v>
      </c>
      <c r="G46" s="11">
        <f si="1" t="shared"/>
        <v>3.6535942936478046E-5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9.0</v>
      </c>
      <c r="G47" s="11">
        <f si="1" t="shared"/>
        <v>4.2156857234397746E-5</v>
      </c>
    </row>
    <row r="48" spans="1:7" x14ac:dyDescent="0.25">
      <c r="A48">
        <v>37</v>
      </c>
      <c r="B48" s="341" t="n">
        <v>481.758028516</v>
      </c>
      <c r="C48" s="11">
        <f si="0" t="shared"/>
        <v>4.0143303681820734E-3</v>
      </c>
      <c r="E48" s="56">
        <v>37</v>
      </c>
      <c r="F48" s="343" t="n">
        <v>10.0</v>
      </c>
      <c r="G48" s="11">
        <f si="1" t="shared"/>
        <v>2.2483657191678798E-5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10.0</v>
      </c>
      <c r="G49" s="11">
        <f si="1" t="shared"/>
        <v>1.4052285744799249E-5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5.0</v>
      </c>
      <c r="G50" s="11">
        <f si="1" t="shared"/>
        <v>8.4313714468795491E-6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3.0</v>
      </c>
      <c r="G51" s="11">
        <f si="1" t="shared"/>
        <v>2.8104571489598497E-6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0.0</v>
      </c>
      <c r="G52" s="11">
        <f si="1" t="shared"/>
        <v>1.9673200042718948E-5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2.0</v>
      </c>
      <c r="G53" s="11">
        <f si="1" t="shared"/>
        <v>5.6209142979196994E-6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2.0</v>
      </c>
      <c r="G54" s="11">
        <f si="1" t="shared"/>
        <v>2.8104571489598497E-6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0.0</v>
      </c>
      <c r="G55" s="11">
        <f si="1" t="shared"/>
        <v>2.8104571489598497E-6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2.0</v>
      </c>
      <c r="G56" s="11">
        <f si="1" t="shared"/>
        <v>5.6209142979196994E-6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3.0</v>
      </c>
      <c r="G57" s="11">
        <f si="1" t="shared"/>
        <v>0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1.0</v>
      </c>
      <c r="G58" s="11">
        <f si="1" t="shared"/>
        <v>0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1.0</v>
      </c>
      <c r="G59" s="11">
        <f si="1" t="shared"/>
        <v>0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0.0</v>
      </c>
      <c r="G60" s="11">
        <f si="1" t="shared"/>
        <v>0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0.0</v>
      </c>
      <c r="G61" s="11">
        <f si="1" t="shared"/>
        <v>0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0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0.0</v>
      </c>
      <c r="G63" s="11">
        <f si="1" t="shared"/>
        <v>0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0.0</v>
      </c>
      <c r="G64" s="11">
        <f si="1" t="shared"/>
        <v>0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2.0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0.0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120009.56182741099</v>
      </c>
      <c r="C102" s="11">
        <f si="2" t="shared"/>
        <v>1</v>
      </c>
      <c r="F102" s="341">
        <f>SUM(F11:F101)</f>
        <v>355814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3249.639193436</v>
      </c>
      <c r="C11" s="11">
        <f>B11/B$102</f>
        <v>2.7078168972147348E-2</v>
      </c>
      <c r="E11" s="109">
        <v>0</v>
      </c>
      <c r="F11" s="199" t="n">
        <v>3782.0</v>
      </c>
      <c r="G11" s="11">
        <f>F11/F$102</f>
        <v>1.0758429966218305E-2</v>
      </c>
      <c r="K11" s="8" t="n">
        <v>8.51006535826044</v>
      </c>
      <c r="L11" s="8" t="n">
        <v>16.43111063370827</v>
      </c>
    </row>
    <row r="12" spans="1:12" x14ac:dyDescent="0.25">
      <c r="A12">
        <v>1</v>
      </c>
      <c r="B12" s="8" t="n">
        <v>8994.442963914</v>
      </c>
      <c r="C12" s="11">
        <f>B12/B$102</f>
        <v>7.4947719389636222E-2</v>
      </c>
      <c r="E12" s="110">
        <v>1</v>
      </c>
      <c r="F12" s="200" t="n">
        <v>9154.0</v>
      </c>
      <c r="G12" s="11">
        <f>F12/F$102</f>
        <v>2.6727447486608172E-2</v>
      </c>
      <c r="K12" s="8"/>
      <c r="L12" s="290"/>
    </row>
    <row r="13" spans="1:12" x14ac:dyDescent="0.25">
      <c r="A13">
        <v>2</v>
      </c>
      <c r="B13" s="8" t="n">
        <v>6376.8669776998</v>
      </c>
      <c r="C13" s="11">
        <f ref="C13:C76" si="0" t="shared">B13/B$102</f>
        <v>5.3136324144492292E-2</v>
      </c>
      <c r="E13" s="111">
        <v>2</v>
      </c>
      <c r="F13" s="201" t="n">
        <v>11797.0</v>
      </c>
      <c r="G13" s="11">
        <f ref="G13:G76" si="1" t="shared">F13/F$102</f>
        <v>3.3871629559264108E-2</v>
      </c>
    </row>
    <row r="14" spans="1:12" x14ac:dyDescent="0.25">
      <c r="A14">
        <v>3</v>
      </c>
      <c r="B14" s="8" t="n">
        <v>11540.075081486</v>
      </c>
      <c r="C14" s="11">
        <f si="0" t="shared"/>
        <v>9.6159630164153867E-2</v>
      </c>
      <c r="E14" s="112">
        <v>3</v>
      </c>
      <c r="F14" s="202" t="n">
        <v>13790.0</v>
      </c>
      <c r="G14" s="11">
        <f si="1" t="shared"/>
        <v>3.9894439229485067E-2</v>
      </c>
    </row>
    <row r="15" spans="1:12" x14ac:dyDescent="0.25">
      <c r="A15">
        <v>4</v>
      </c>
      <c r="B15" s="8" t="n">
        <v>10689.9048078123</v>
      </c>
      <c r="C15" s="11">
        <f si="0" t="shared"/>
        <v>8.9075442365048704E-2</v>
      </c>
      <c r="E15" s="113">
        <v>4</v>
      </c>
      <c r="F15" s="203" t="n">
        <v>13966.0</v>
      </c>
      <c r="G15" s="11">
        <f si="1" t="shared"/>
        <v>3.9815746429314194E-2</v>
      </c>
    </row>
    <row r="16" spans="1:12" x14ac:dyDescent="0.25">
      <c r="A16">
        <v>5</v>
      </c>
      <c r="B16" s="8" t="n">
        <v>10646.259715617</v>
      </c>
      <c r="C16" s="11">
        <f si="0" t="shared"/>
        <v>8.8711762242142611E-2</v>
      </c>
      <c r="E16" s="114">
        <v>5</v>
      </c>
      <c r="F16" s="204" t="n">
        <v>13735.0</v>
      </c>
      <c r="G16" s="11">
        <f si="1" t="shared"/>
        <v>3.8466726997813463E-2</v>
      </c>
    </row>
    <row r="17" spans="1:7" x14ac:dyDescent="0.25">
      <c r="A17">
        <v>6</v>
      </c>
      <c r="B17" s="8" t="n">
        <v>8000.5347923901</v>
      </c>
      <c r="C17" s="11">
        <f si="0" t="shared"/>
        <v>6.666581121174231E-2</v>
      </c>
      <c r="E17" s="115">
        <v>6</v>
      </c>
      <c r="F17" s="205" t="n">
        <v>12863.0</v>
      </c>
      <c r="G17" s="11">
        <f si="1" t="shared"/>
        <v>3.7005289280354341E-2</v>
      </c>
    </row>
    <row r="18" spans="1:7" x14ac:dyDescent="0.25">
      <c r="A18">
        <v>7</v>
      </c>
      <c r="B18" s="8" t="n">
        <v>12044.8378909431</v>
      </c>
      <c r="C18" s="11">
        <f si="0" t="shared"/>
        <v>0.10036565176585767</v>
      </c>
      <c r="E18" s="116">
        <v>7</v>
      </c>
      <c r="F18" s="206" t="n">
        <v>12826.0</v>
      </c>
      <c r="G18" s="11">
        <f si="1" t="shared"/>
        <v>3.7370648709719123E-2</v>
      </c>
    </row>
    <row r="19" spans="1:7" x14ac:dyDescent="0.25">
      <c r="A19">
        <v>8</v>
      </c>
      <c r="B19" s="8" t="n">
        <v>13876.4829297742</v>
      </c>
      <c r="C19" s="11">
        <f si="0" t="shared"/>
        <v>0.11562814427845627</v>
      </c>
      <c r="E19" s="117">
        <v>8</v>
      </c>
      <c r="F19" s="207" t="n">
        <v>12139.0</v>
      </c>
      <c r="G19" s="11">
        <f si="1" t="shared"/>
        <v>3.4894635961485496E-2</v>
      </c>
    </row>
    <row r="20" spans="1:7" x14ac:dyDescent="0.25">
      <c r="A20">
        <v>9</v>
      </c>
      <c r="B20" s="8" t="n">
        <v>7650.7308833913</v>
      </c>
      <c r="C20" s="11">
        <f si="0" t="shared"/>
        <v>6.3751010893565482E-2</v>
      </c>
      <c r="E20" s="118">
        <v>9</v>
      </c>
      <c r="F20" s="208" t="n">
        <v>11213.0</v>
      </c>
      <c r="G20" s="11">
        <f si="1" t="shared"/>
        <v>3.0940322752898985E-2</v>
      </c>
    </row>
    <row r="21" spans="1:7" x14ac:dyDescent="0.25">
      <c r="A21">
        <v>10</v>
      </c>
      <c r="B21" s="8" t="n">
        <v>2245.206441918</v>
      </c>
      <c r="C21" s="11">
        <f si="0" t="shared"/>
        <v>1.8708562948899787E-2</v>
      </c>
      <c r="E21" s="119">
        <v>10</v>
      </c>
      <c r="F21" s="209" t="n">
        <v>10096.0</v>
      </c>
      <c r="G21" s="11">
        <f si="1" t="shared"/>
        <v>2.8076466918108899E-2</v>
      </c>
    </row>
    <row r="22" spans="1:7" x14ac:dyDescent="0.25">
      <c r="A22">
        <v>11</v>
      </c>
      <c r="B22" s="8" t="n">
        <v>798.302959009</v>
      </c>
      <c r="C22" s="11">
        <f si="0" t="shared"/>
        <v>6.6519946148712802E-3</v>
      </c>
      <c r="E22" s="120">
        <v>11</v>
      </c>
      <c r="F22" s="210" t="n">
        <v>9056.0</v>
      </c>
      <c r="G22" s="11">
        <f si="1" t="shared"/>
        <v>2.656725142911746E-2</v>
      </c>
    </row>
    <row r="23" spans="1:7" x14ac:dyDescent="0.25">
      <c r="A23">
        <v>12</v>
      </c>
      <c r="B23" s="8" t="n">
        <v>605.4089074980001</v>
      </c>
      <c r="C23" s="11">
        <f si="0" t="shared"/>
        <v>5.0446722601041986E-3</v>
      </c>
      <c r="E23" s="121">
        <v>12</v>
      </c>
      <c r="F23" s="211" t="n">
        <v>7513.0</v>
      </c>
      <c r="G23" s="11">
        <f si="1" t="shared"/>
        <v>2.1741696504353397E-2</v>
      </c>
    </row>
    <row r="24" spans="1:7" x14ac:dyDescent="0.25">
      <c r="A24">
        <v>13</v>
      </c>
      <c r="B24" s="8" t="n">
        <v>196.044301439</v>
      </c>
      <c r="C24" s="11">
        <f si="0" t="shared"/>
        <v>1.6335723458513797E-3</v>
      </c>
      <c r="E24" s="122">
        <v>13</v>
      </c>
      <c r="F24" s="212" t="n">
        <v>6500.0</v>
      </c>
      <c r="G24" s="11">
        <f si="1" t="shared"/>
        <v>1.8796337412243475E-2</v>
      </c>
    </row>
    <row r="25" spans="1:7" x14ac:dyDescent="0.25">
      <c r="A25">
        <v>14</v>
      </c>
      <c r="B25" s="8" t="n">
        <v>794.390711868</v>
      </c>
      <c r="C25" s="11">
        <f si="0" t="shared"/>
        <v>6.6193951529498517E-3</v>
      </c>
      <c r="E25" s="123">
        <v>14</v>
      </c>
      <c r="F25" s="213" t="n">
        <v>5567.0</v>
      </c>
      <c r="G25" s="11">
        <f si="1" t="shared"/>
        <v>1.6396207007031764E-2</v>
      </c>
    </row>
    <row r="26" spans="1:7" x14ac:dyDescent="0.25">
      <c r="A26">
        <v>15</v>
      </c>
      <c r="B26" s="8" t="n">
        <v>1975.275462744</v>
      </c>
      <c r="C26" s="11">
        <f si="0" t="shared"/>
        <v>1.6459317346601905E-2</v>
      </c>
      <c r="E26" s="124">
        <v>15</v>
      </c>
      <c r="F26" s="214" t="n">
        <v>6079.0</v>
      </c>
      <c r="G26" s="11">
        <f si="1" t="shared"/>
        <v>1.6682873636225667E-2</v>
      </c>
    </row>
    <row r="27" spans="1:7" x14ac:dyDescent="0.25">
      <c r="A27">
        <v>16</v>
      </c>
      <c r="B27" s="8" t="n">
        <v>161.271876599</v>
      </c>
      <c r="C27" s="11">
        <f si="0" t="shared"/>
        <v>1.3438252264509508E-3</v>
      </c>
      <c r="E27" s="125">
        <v>16</v>
      </c>
      <c r="F27" s="215" t="n">
        <v>7790.0</v>
      </c>
      <c r="G27" s="11">
        <f si="1" t="shared"/>
        <v>2.1705160561416921E-2</v>
      </c>
    </row>
    <row r="28" spans="1:7" x14ac:dyDescent="0.25">
      <c r="A28">
        <v>17</v>
      </c>
      <c r="B28" s="8" t="n">
        <v>1471.255439591</v>
      </c>
      <c r="C28" s="11">
        <f si="0" t="shared"/>
        <v>1.2259485137583053E-2</v>
      </c>
      <c r="E28" s="126">
        <v>17</v>
      </c>
      <c r="F28" s="216" t="n">
        <v>6602.0</v>
      </c>
      <c r="G28" s="11">
        <f si="1" t="shared"/>
        <v>1.8560259011730848E-2</v>
      </c>
    </row>
    <row r="29" spans="1:7" x14ac:dyDescent="0.25">
      <c r="A29">
        <v>18</v>
      </c>
      <c r="B29" s="8" t="n">
        <v>4763.246593388</v>
      </c>
      <c r="C29" s="11">
        <f si="0" t="shared"/>
        <v>3.9690558992608885E-2</v>
      </c>
      <c r="E29" s="127">
        <v>18</v>
      </c>
      <c r="F29" s="217" t="n">
        <v>24243.0</v>
      </c>
      <c r="G29" s="11">
        <f si="1" t="shared"/>
        <v>6.9075415807135193E-2</v>
      </c>
    </row>
    <row r="30" spans="1:7" x14ac:dyDescent="0.25">
      <c r="A30">
        <v>19</v>
      </c>
      <c r="B30" s="8" t="n">
        <v>1139.283605659</v>
      </c>
      <c r="C30" s="11">
        <f si="0" t="shared"/>
        <v>9.4932736051268514E-3</v>
      </c>
      <c r="E30" s="128">
        <v>19</v>
      </c>
      <c r="F30" s="218" t="n">
        <v>17285.0</v>
      </c>
      <c r="G30" s="11">
        <f si="1" t="shared"/>
        <v>5.0256594737700035E-2</v>
      </c>
    </row>
    <row r="31" spans="1:7" x14ac:dyDescent="0.25">
      <c r="A31">
        <v>20</v>
      </c>
      <c r="B31" s="8" t="n">
        <v>1823.261099725</v>
      </c>
      <c r="C31" s="11">
        <f si="0" t="shared"/>
        <v>1.5192631920005514E-2</v>
      </c>
      <c r="E31" s="129">
        <v>20</v>
      </c>
      <c r="F31" s="219" t="n">
        <v>15302.0</v>
      </c>
      <c r="G31" s="11">
        <f si="1" t="shared"/>
        <v>4.4613196782588654E-2</v>
      </c>
    </row>
    <row r="32" spans="1:7" x14ac:dyDescent="0.25">
      <c r="A32">
        <v>21</v>
      </c>
      <c r="B32" s="8" t="n">
        <v>2444.0998877399998</v>
      </c>
      <c r="C32" s="11">
        <f si="0" t="shared"/>
        <v>2.036587627288337E-2</v>
      </c>
      <c r="E32" s="130">
        <v>21</v>
      </c>
      <c r="F32" s="220" t="n">
        <v>16278.0</v>
      </c>
      <c r="G32" s="11">
        <f si="1" t="shared"/>
        <v>4.6150516843069693E-2</v>
      </c>
    </row>
    <row r="33" spans="1:7" x14ac:dyDescent="0.25">
      <c r="A33">
        <v>22</v>
      </c>
      <c r="B33" s="8" t="n">
        <v>996.5787238114</v>
      </c>
      <c r="C33" s="11">
        <f si="0" t="shared"/>
        <v>8.3041610071421367E-3</v>
      </c>
      <c r="E33" s="131">
        <v>22</v>
      </c>
      <c r="F33" s="221" t="n">
        <v>15409.0</v>
      </c>
      <c r="G33" s="11">
        <f si="1" t="shared"/>
        <v>4.3798164209390297E-2</v>
      </c>
    </row>
    <row r="34" spans="1:7" x14ac:dyDescent="0.25">
      <c r="A34">
        <v>23</v>
      </c>
      <c r="B34" s="8" t="n">
        <v>1030.278894106</v>
      </c>
      <c r="C34" s="11">
        <f si="0" t="shared"/>
        <v>8.5849733839347894E-3</v>
      </c>
      <c r="E34" s="132">
        <v>23</v>
      </c>
      <c r="F34" s="222" t="n">
        <v>10521.0</v>
      </c>
      <c r="G34" s="11">
        <f si="1" t="shared"/>
        <v>2.9835813093357765E-2</v>
      </c>
    </row>
    <row r="35" spans="1:7" x14ac:dyDescent="0.25">
      <c r="A35">
        <v>24</v>
      </c>
      <c r="B35" s="8" t="n">
        <v>702.7485673473</v>
      </c>
      <c r="C35" s="11">
        <f si="0" t="shared"/>
        <v>5.8557714622601625E-3</v>
      </c>
      <c r="E35" s="133">
        <v>24</v>
      </c>
      <c r="F35" s="223" t="n">
        <v>10505.0</v>
      </c>
      <c r="G35" s="11">
        <f si="1" t="shared"/>
        <v>3.0361368580213259E-2</v>
      </c>
    </row>
    <row r="36" spans="1:7" x14ac:dyDescent="0.25">
      <c r="A36">
        <v>25</v>
      </c>
      <c r="B36" s="8" t="n">
        <v>1112.7770061</v>
      </c>
      <c r="C36" s="11">
        <f si="0" t="shared"/>
        <v>9.2724028748668776E-3</v>
      </c>
      <c r="E36" s="134">
        <v>25</v>
      </c>
      <c r="F36" s="224" t="n">
        <v>8966.0</v>
      </c>
      <c r="G36" s="11">
        <f si="1" t="shared"/>
        <v>2.5687578341493027E-2</v>
      </c>
    </row>
    <row r="37" spans="1:7" x14ac:dyDescent="0.25">
      <c r="A37">
        <v>26</v>
      </c>
      <c r="B37" s="8" t="n">
        <v>131.494048378</v>
      </c>
      <c r="C37" s="11">
        <f si="0" t="shared"/>
        <v>1.0956964293154002E-3</v>
      </c>
      <c r="E37" s="135">
        <v>26</v>
      </c>
      <c r="F37" s="225" t="n">
        <v>7860.0</v>
      </c>
      <c r="G37" s="11">
        <f si="1" t="shared"/>
        <v>2.2427448048699603E-2</v>
      </c>
    </row>
    <row r="38" spans="1:7" x14ac:dyDescent="0.25">
      <c r="A38">
        <v>27</v>
      </c>
      <c r="B38" s="8" t="n">
        <v>80.1534960505</v>
      </c>
      <c r="C38" s="11">
        <f si="0" t="shared"/>
        <v>6.6789258147422371E-4</v>
      </c>
      <c r="E38" s="136">
        <v>27</v>
      </c>
      <c r="F38" s="226" t="n">
        <v>5852.0</v>
      </c>
      <c r="G38" s="11">
        <f si="1" t="shared"/>
        <v>1.7610324495382419E-2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5998.0</v>
      </c>
      <c r="G39" s="11">
        <f si="1" t="shared"/>
        <v>1.7177514094442601E-2</v>
      </c>
    </row>
    <row r="40" spans="1:7" x14ac:dyDescent="0.25">
      <c r="A40">
        <v>29</v>
      </c>
      <c r="B40" s="8" t="n">
        <v>1209.028152761</v>
      </c>
      <c r="C40" s="11">
        <f si="0" t="shared"/>
        <v>1.0074431856519366E-2</v>
      </c>
      <c r="E40" s="138">
        <v>29</v>
      </c>
      <c r="F40" s="228" t="n">
        <v>4880.0</v>
      </c>
      <c r="G40" s="11">
        <f si="1" t="shared"/>
        <v>1.4732416374847533E-2</v>
      </c>
    </row>
    <row r="41" spans="1:7" x14ac:dyDescent="0.25">
      <c r="A41">
        <v>30</v>
      </c>
      <c r="B41" s="8" t="n">
        <v>1165.803614793</v>
      </c>
      <c r="C41" s="11">
        <f si="0" t="shared"/>
        <v>9.7142560729417005E-3</v>
      </c>
      <c r="E41" s="139">
        <v>30</v>
      </c>
      <c r="F41" s="229" t="n">
        <v>4143.0</v>
      </c>
      <c r="G41" s="11">
        <f si="1" t="shared"/>
        <v>1.2663919913213082E-2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140">
        <v>31</v>
      </c>
      <c r="F42" s="230" t="n">
        <v>4098.0</v>
      </c>
      <c r="G42" s="11">
        <f si="1" t="shared"/>
        <v>1.2304181398146222E-2</v>
      </c>
    </row>
    <row r="43" spans="1:7" x14ac:dyDescent="0.25">
      <c r="A43">
        <v>32</v>
      </c>
      <c r="B43" s="8" t="n">
        <v>114.49205282</v>
      </c>
      <c r="C43" s="11">
        <f si="0" t="shared"/>
        <v>9.540244216927823E-4</v>
      </c>
      <c r="E43" s="141">
        <v>32</v>
      </c>
      <c r="F43" s="231" t="n">
        <v>3339.0</v>
      </c>
      <c r="G43" s="11">
        <f si="1" t="shared"/>
        <v>1.0005227450297065E-2</v>
      </c>
    </row>
    <row r="44" spans="1:7" x14ac:dyDescent="0.25">
      <c r="A44">
        <v>33</v>
      </c>
      <c r="B44" s="8" t="n">
        <v>0.0</v>
      </c>
      <c r="C44" s="11">
        <f si="0" t="shared"/>
        <v>0</v>
      </c>
      <c r="E44" s="142">
        <v>33</v>
      </c>
      <c r="F44" s="232" t="n">
        <v>2900.0</v>
      </c>
      <c r="G44" s="11">
        <f si="1" t="shared"/>
        <v>8.8248354477339277E-3</v>
      </c>
    </row>
    <row r="45" spans="1:7" x14ac:dyDescent="0.25">
      <c r="A45">
        <v>34</v>
      </c>
      <c r="B45" s="8" t="n">
        <v>451.645852435</v>
      </c>
      <c r="C45" s="11">
        <f si="0" t="shared"/>
        <v>3.763415560874425E-3</v>
      </c>
      <c r="E45" s="143">
        <v>34</v>
      </c>
      <c r="F45" s="233" t="n">
        <v>2497.0</v>
      </c>
      <c r="G45" s="11">
        <f si="1" t="shared"/>
        <v>7.1610448155496973E-3</v>
      </c>
    </row>
    <row r="46" spans="1:7" x14ac:dyDescent="0.25">
      <c r="A46">
        <v>35</v>
      </c>
      <c r="B46" s="8" t="n">
        <v>420.294538892</v>
      </c>
      <c r="C46" s="11">
        <f si="0" t="shared"/>
        <v>3.5021754307913971E-3</v>
      </c>
      <c r="E46" s="144">
        <v>35</v>
      </c>
      <c r="F46" s="234" t="n">
        <v>2557.0</v>
      </c>
      <c r="G46" s="11">
        <f si="1" t="shared"/>
        <v>7.7568617311291853E-3</v>
      </c>
    </row>
    <row r="47" spans="1:7" x14ac:dyDescent="0.25">
      <c r="A47">
        <v>36</v>
      </c>
      <c r="B47" s="8" t="n">
        <v>115.284068156</v>
      </c>
      <c r="C47" s="11">
        <f si="0" t="shared"/>
        <v>9.6062402362399359E-4</v>
      </c>
      <c r="E47" s="145">
        <v>36</v>
      </c>
      <c r="F47" s="235" t="n">
        <v>1975.0</v>
      </c>
      <c r="G47" s="11">
        <f si="1" t="shared"/>
        <v>5.7670580696656121E-3</v>
      </c>
    </row>
    <row r="48" spans="1:7" x14ac:dyDescent="0.25">
      <c r="A48">
        <v>37</v>
      </c>
      <c r="B48" s="8" t="n">
        <v>364.651929618</v>
      </c>
      <c r="C48" s="11">
        <f si="0" t="shared"/>
        <v>3.0385239648022025E-3</v>
      </c>
      <c r="E48" s="146">
        <v>37</v>
      </c>
      <c r="F48" s="236" t="n">
        <v>1457.0</v>
      </c>
      <c r="G48" s="11">
        <f si="1" t="shared"/>
        <v>4.1538556661626577E-3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147">
        <v>38</v>
      </c>
      <c r="F49" s="237" t="n">
        <v>1171.0</v>
      </c>
      <c r="G49" s="11">
        <f si="1" t="shared"/>
        <v>3.3725485787518199E-3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1065.0</v>
      </c>
      <c r="G50" s="11">
        <f si="1" t="shared"/>
        <v>3.2573198356444658E-3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149">
        <v>40</v>
      </c>
      <c r="F51" s="239" t="n">
        <v>936.0</v>
      </c>
      <c r="G51" s="11">
        <f si="1" t="shared"/>
        <v>2.7177120630441746E-3</v>
      </c>
    </row>
    <row r="52" spans="1:7" x14ac:dyDescent="0.25">
      <c r="A52">
        <v>41</v>
      </c>
      <c r="B52" s="8" t="n">
        <v>145.750329985</v>
      </c>
      <c r="C52" s="11">
        <f si="0" t="shared"/>
        <v>1.214489310398512E-3</v>
      </c>
      <c r="E52" s="150">
        <v>41</v>
      </c>
      <c r="F52" s="240" t="n">
        <v>753.0</v>
      </c>
      <c r="G52" s="11">
        <f si="1" t="shared"/>
        <v>2.3017644049981171E-3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572.0</v>
      </c>
      <c r="G53" s="11">
        <f si="1" t="shared"/>
        <v>1.6047710320560742E-3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457.0</v>
      </c>
      <c r="G54" s="11">
        <f si="1" t="shared"/>
        <v>1.3771240029903265E-3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413.0</v>
      </c>
      <c r="G55" s="11">
        <f si="1" t="shared"/>
        <v>1.3265357743090492E-3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385.0</v>
      </c>
      <c r="G56" s="11">
        <f si="1" t="shared"/>
        <v>1.1691501739672975E-3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155">
        <v>46</v>
      </c>
      <c r="F57" s="245" t="n">
        <v>303.0</v>
      </c>
      <c r="G57" s="11">
        <f si="1" t="shared"/>
        <v>8.9372537336923229E-4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270.0</v>
      </c>
      <c r="G58" s="11">
        <f si="1" t="shared"/>
        <v>7.8411754455979805E-4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169.0</v>
      </c>
      <c r="G59" s="11">
        <f si="1" t="shared"/>
        <v>5.4522868689821087E-4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152.0</v>
      </c>
      <c r="G60" s="11">
        <f si="1" t="shared"/>
        <v>3.1477120068350317E-4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97.0</v>
      </c>
      <c r="G61" s="11">
        <f si="1" t="shared"/>
        <v>3.6254897221582062E-4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116.0</v>
      </c>
      <c r="G62" s="11">
        <f si="1" t="shared"/>
        <v>2.8947708634286451E-4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79.0</v>
      </c>
      <c r="G63" s="11">
        <f si="1" t="shared"/>
        <v>2.5013068625742664E-4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64.0</v>
      </c>
      <c r="G64" s="11">
        <f si="1" t="shared"/>
        <v>1.8549017183135008E-4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59.0</v>
      </c>
      <c r="G65" s="11">
        <f si="1" t="shared"/>
        <v>1.1241828595839399E-4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30.0</v>
      </c>
      <c r="G66" s="11">
        <f si="1" t="shared"/>
        <v>7.0261428723996243E-5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36.0</v>
      </c>
      <c r="G67" s="11">
        <f si="1" t="shared"/>
        <v>1.1241828595839399E-4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21.0</v>
      </c>
      <c r="G68" s="11">
        <f si="1" t="shared"/>
        <v>8.1503257319835641E-5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24.0</v>
      </c>
      <c r="G69" s="11">
        <f si="1" t="shared"/>
        <v>5.6209142979196994E-5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19.0</v>
      </c>
      <c r="G70" s="11">
        <f si="1" t="shared"/>
        <v>3.3725485787518196E-5</v>
      </c>
    </row>
    <row r="71" spans="1:7" x14ac:dyDescent="0.25">
      <c r="A71">
        <v>60</v>
      </c>
      <c r="B71" s="8" t="n">
        <v>481.758028516</v>
      </c>
      <c r="C71" s="11">
        <f si="0" t="shared"/>
        <v>4.0143303681820725E-3</v>
      </c>
      <c r="E71" s="169">
        <v>60</v>
      </c>
      <c r="F71" s="259" t="n">
        <v>7.0</v>
      </c>
      <c r="G71" s="11">
        <f si="1" t="shared"/>
        <v>3.0915028638558347E-5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10.0</v>
      </c>
      <c r="G72" s="11">
        <f si="1" t="shared"/>
        <v>1.9673200042718948E-5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9.0</v>
      </c>
      <c r="G73" s="11">
        <f si="1" t="shared"/>
        <v>2.2483657191678798E-5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4.0</v>
      </c>
      <c r="G74" s="11">
        <f si="1" t="shared"/>
        <v>1.6862742893759098E-5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2.0</v>
      </c>
      <c r="G75" s="11">
        <f si="1" t="shared"/>
        <v>1.6862742893759098E-5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3.0</v>
      </c>
      <c r="G76" s="11">
        <f si="1" t="shared"/>
        <v>1.4052285744799249E-5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3.0</v>
      </c>
      <c r="G77" s="11">
        <f ref="G77:G102" si="3" t="shared">F77/F$102</f>
        <v>5.6209142979196994E-6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4.0</v>
      </c>
      <c r="G78" s="11">
        <f si="3" t="shared"/>
        <v>2.8104571489598497E-6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1.0</v>
      </c>
      <c r="G79" s="11">
        <f si="3" t="shared"/>
        <v>2.8104571489598497E-6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2.0</v>
      </c>
      <c r="G80" s="11">
        <f si="3" t="shared"/>
        <v>2.8104571489598497E-6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1.0</v>
      </c>
      <c r="G81" s="11">
        <f si="3" t="shared"/>
        <v>8.4313714468795491E-6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3.0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0.0</v>
      </c>
      <c r="G86" s="11">
        <f si="3" t="shared"/>
        <v>2.8104571489598497E-6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0.0</v>
      </c>
      <c r="G101" s="11">
        <f si="3" t="shared"/>
        <v>0</v>
      </c>
    </row>
    <row r="102" spans="1:7" x14ac:dyDescent="0.25">
      <c r="B102" s="8">
        <f>SUM(B11:B101)</f>
        <v>120009.56182741102</v>
      </c>
      <c r="C102" s="11">
        <f si="2" t="shared"/>
        <v>1</v>
      </c>
      <c r="F102" s="8">
        <f>SUM(F11:F101)</f>
        <v>355814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3" t="n">
        <v>31708.0</v>
      </c>
      <c r="N7" s="343" t="n">
        <v>3044.0</v>
      </c>
      <c r="O7" s="343" t="n">
        <v>4058.0</v>
      </c>
      <c r="P7" s="343" t="n">
        <v>3234.0</v>
      </c>
      <c r="Q7" s="343" t="n">
        <v>2908.0</v>
      </c>
      <c r="R7" s="343" t="n">
        <v>315.0</v>
      </c>
      <c r="S7" s="343" t="n">
        <v>7972.0</v>
      </c>
      <c r="T7" s="291"/>
      <c r="U7" s="12">
        <f>SUM(M7:T7)</f>
        <v>53271</v>
      </c>
    </row>
    <row r="8" spans="1:21" x14ac:dyDescent="0.2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ref="J8:J14" si="0" t="shared">SUM(B8:I8)</f>
        <v>2552.9661731877</v>
      </c>
      <c r="K8" s="12"/>
      <c r="L8" t="str">
        <f>$A$8</f>
        <v>Bellevue Downtown</v>
      </c>
      <c r="M8" s="343" t="n">
        <v>2500.0</v>
      </c>
      <c r="N8" s="343" t="n">
        <v>807.0</v>
      </c>
      <c r="O8" s="343" t="n">
        <v>678.0</v>
      </c>
      <c r="P8" s="343" t="n">
        <v>305.0</v>
      </c>
      <c r="Q8" s="343" t="n">
        <v>342.0</v>
      </c>
      <c r="R8" s="343" t="n">
        <v>26.0</v>
      </c>
      <c r="S8" s="343" t="n">
        <v>733.0</v>
      </c>
      <c r="T8" s="291"/>
      <c r="U8" s="12">
        <f ref="U8:U14" si="1" t="shared">SUM(M8:T8)</f>
        <v>4972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si="0" t="shared"/>
        <v>32411.710559707601</v>
      </c>
      <c r="K9" s="13"/>
      <c r="L9" t="str">
        <f>$A$9</f>
        <v>Kirkland</v>
      </c>
      <c r="M9" s="343" t="n">
        <v>2295.0</v>
      </c>
      <c r="N9" s="343" t="n">
        <v>476.0</v>
      </c>
      <c r="O9" s="343" t="n">
        <v>18640.0</v>
      </c>
      <c r="P9" s="343" t="n">
        <v>2432.0</v>
      </c>
      <c r="Q9" s="343" t="n">
        <v>1487.0</v>
      </c>
      <c r="R9" s="343" t="n">
        <v>58.0</v>
      </c>
      <c r="S9" s="343" t="n">
        <v>19603.0</v>
      </c>
      <c r="T9" s="291"/>
      <c r="U9" s="12">
        <f si="1" t="shared"/>
        <v>45023</v>
      </c>
    </row>
    <row r="10" spans="1:21" x14ac:dyDescent="0.2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si="0" t="shared"/>
        <v>39687.352662971993</v>
      </c>
      <c r="K10" s="13"/>
      <c r="L10" t="str">
        <f>$A$10</f>
        <v>Redmond</v>
      </c>
      <c r="M10" s="343" t="n">
        <v>5147.0</v>
      </c>
      <c r="N10" s="343" t="n">
        <v>470.0</v>
      </c>
      <c r="O10" s="343" t="n">
        <v>5426.0</v>
      </c>
      <c r="P10" s="343" t="n">
        <v>14069.0</v>
      </c>
      <c r="Q10" s="343" t="n">
        <v>408.0</v>
      </c>
      <c r="R10" s="343" t="n">
        <v>28.0</v>
      </c>
      <c r="S10" s="343" t="n">
        <v>11391.0</v>
      </c>
      <c r="T10" s="291"/>
      <c r="U10" s="12">
        <f si="1" t="shared"/>
        <v>37068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1933.0</v>
      </c>
      <c r="N11" s="343" t="n">
        <v>500.0</v>
      </c>
      <c r="O11" s="343" t="n">
        <v>4082.0</v>
      </c>
      <c r="P11" s="343" t="n">
        <v>356.0</v>
      </c>
      <c r="Q11" s="343" t="n">
        <v>31506.0</v>
      </c>
      <c r="R11" s="343" t="n">
        <v>852.0</v>
      </c>
      <c r="S11" s="343" t="n">
        <v>9462.0</v>
      </c>
      <c r="T11" s="291"/>
      <c r="U11" s="12">
        <f si="1" t="shared"/>
        <v>51711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517.0</v>
      </c>
      <c r="N12" s="343" t="n">
        <v>133.0</v>
      </c>
      <c r="O12" s="343" t="n">
        <v>172.0</v>
      </c>
      <c r="P12" s="343" t="n">
        <v>37.0</v>
      </c>
      <c r="Q12" s="343" t="n">
        <v>2371.0</v>
      </c>
      <c r="R12" s="343" t="n">
        <v>544.0</v>
      </c>
      <c r="S12" s="343" t="n">
        <v>266.0</v>
      </c>
      <c r="T12" s="291"/>
      <c r="U12" s="12">
        <f si="1" t="shared"/>
        <v>4111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343" t="n">
        <v>8403.0</v>
      </c>
      <c r="N13" s="343" t="n">
        <v>1053.0</v>
      </c>
      <c r="O13" s="343" t="n">
        <v>2393.0</v>
      </c>
      <c r="P13" s="343" t="n">
        <v>6407.0</v>
      </c>
      <c r="Q13" s="343" t="n">
        <v>3572.0</v>
      </c>
      <c r="R13" s="343" t="n">
        <v>262.0</v>
      </c>
      <c r="S13" s="343" t="n">
        <v>132395.0</v>
      </c>
      <c r="T13" s="291"/>
      <c r="U13" s="12">
        <f si="1" t="shared"/>
        <v>159656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35304.808480908803</v>
      </c>
      <c r="C15" s="15">
        <f si="2" t="shared"/>
        <v>1675.5819770407002</v>
      </c>
      <c r="D15" s="15">
        <f si="2" t="shared"/>
        <v>28368.110450328302</v>
      </c>
      <c r="E15" s="15">
        <f si="2" t="shared"/>
        <v>38832.0648041885</v>
      </c>
      <c r="F15" s="15">
        <f si="2" t="shared"/>
        <v>5639.4875406570009</v>
      </c>
      <c r="G15" s="15">
        <f si="2" t="shared"/>
        <v>1700.8771448259999</v>
      </c>
      <c r="H15" s="15">
        <f si="2" t="shared"/>
        <v>8488.6314294617005</v>
      </c>
      <c r="I15" s="15">
        <f si="2" t="shared"/>
        <v>0</v>
      </c>
      <c r="J15" s="15">
        <f si="2" t="shared"/>
        <v>120009.561827411</v>
      </c>
      <c r="K15" s="12"/>
      <c r="L15" s="15" t="s">
        <v>4</v>
      </c>
      <c r="M15" s="15">
        <f ref="M15:U15" si="3" t="shared">SUM(M7:M14)</f>
        <v>54541</v>
      </c>
      <c r="N15" s="15">
        <f si="3" t="shared"/>
        <v>5821</v>
      </c>
      <c r="O15" s="15">
        <f si="3" t="shared"/>
        <v>37274</v>
      </c>
      <c r="P15" s="15">
        <f si="3" t="shared"/>
        <v>26417</v>
      </c>
      <c r="Q15" s="15">
        <f si="3" t="shared"/>
        <v>43649</v>
      </c>
      <c r="R15" s="15">
        <f si="3" t="shared"/>
        <v>2181</v>
      </c>
      <c r="S15" s="15">
        <f si="3" t="shared"/>
        <v>185929</v>
      </c>
      <c r="T15" s="15">
        <f si="3" t="shared"/>
        <v>0</v>
      </c>
      <c r="U15" s="15">
        <f si="3" t="shared"/>
        <v>355812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35840.63088919509</v>
      </c>
      <c r="C20" s="12">
        <f si="4" t="shared"/>
        <v>1550.0723908695743</v>
      </c>
      <c r="D20" s="12">
        <f si="4" t="shared"/>
        <v>3571.2904066591409</v>
      </c>
      <c r="E20" s="12">
        <f si="4" t="shared"/>
        <v>4006.0435114416282</v>
      </c>
      <c r="F20" s="12">
        <f si="4" t="shared"/>
        <v>4312.8903615866748</v>
      </c>
      <c r="G20" s="12">
        <f si="4" t="shared"/>
        <v>1299.7951644556383</v>
      </c>
      <c r="H20" s="12">
        <f ref="H20" si="5" t="shared">($U7/$J7)*H7</f>
        <v>2690.2772757922421</v>
      </c>
      <c r="I20" s="12"/>
      <c r="J20" s="12">
        <f>SUM(B20:I20)</f>
        <v>53270.999999999985</v>
      </c>
      <c r="K20" s="12"/>
      <c r="L20" t="str">
        <f>$A$7</f>
        <v>Bellevue</v>
      </c>
      <c r="M20" s="12">
        <f ref="M20:M26" si="6" t="shared">M7</f>
        <v>31763</v>
      </c>
      <c r="N20" s="12">
        <f ref="N20:U20" si="7" t="shared">N7</f>
        <v>2719</v>
      </c>
      <c r="O20" s="12">
        <f si="7" t="shared"/>
        <v>4297</v>
      </c>
      <c r="P20" s="12">
        <f si="7" t="shared"/>
        <v>3191</v>
      </c>
      <c r="Q20" s="12">
        <f si="7" t="shared"/>
        <v>2980</v>
      </c>
      <c r="R20" s="12">
        <f si="7" t="shared"/>
        <v>329</v>
      </c>
      <c r="S20" s="12">
        <f ref="S20" si="8" t="shared">S7</f>
        <v>7992</v>
      </c>
      <c r="T20" s="12"/>
      <c r="U20" s="12">
        <f si="7" t="shared"/>
        <v>53271</v>
      </c>
    </row>
    <row r="21" spans="1:32" x14ac:dyDescent="0.25">
      <c r="A21" t="str">
        <f>$A$8</f>
        <v>Bellevue Downtown</v>
      </c>
      <c r="B21" s="12">
        <f ref="B21:G26" si="9" t="shared">($U8/$J8)*B8</f>
        <v>3437.8604750742597</v>
      </c>
      <c r="C21" s="12">
        <f si="9" t="shared"/>
        <v>692.88474470172696</v>
      </c>
      <c r="D21" s="12">
        <f si="9" t="shared"/>
        <v>0</v>
      </c>
      <c r="E21" s="12">
        <f si="9" t="shared"/>
        <v>156.10202224711799</v>
      </c>
      <c r="F21" s="12">
        <f si="9" t="shared"/>
        <v>200.01780668421597</v>
      </c>
      <c r="G21" s="12">
        <f si="9" t="shared"/>
        <v>256.08972629632564</v>
      </c>
      <c r="H21" s="12">
        <f ref="H21" si="10" t="shared">($U8/$J8)*H8</f>
        <v>229.04522499635354</v>
      </c>
      <c r="I21" s="12"/>
      <c r="J21" s="12">
        <f ref="J21:J27" si="11" t="shared">SUM(B21:I21)</f>
        <v>4972</v>
      </c>
      <c r="K21" s="12"/>
      <c r="L21" t="str">
        <f>$A$8</f>
        <v>Bellevue Downtown</v>
      </c>
      <c r="M21" s="12">
        <f si="6" t="shared"/>
        <v>2299</v>
      </c>
      <c r="N21" s="12">
        <f ref="N21:R26" si="12" t="shared">N8</f>
        <v>772</v>
      </c>
      <c r="O21" s="12">
        <f si="12" t="shared"/>
        <v>673</v>
      </c>
      <c r="P21" s="12">
        <f si="12" t="shared"/>
        <v>267</v>
      </c>
      <c r="Q21" s="12">
        <f si="12" t="shared"/>
        <v>293</v>
      </c>
      <c r="R21" s="12">
        <f si="12" t="shared"/>
        <v>32</v>
      </c>
      <c r="S21" s="12">
        <f ref="S21" si="13" t="shared">S8</f>
        <v>636</v>
      </c>
      <c r="T21" s="12"/>
      <c r="U21" s="12">
        <f ref="U21:U26" si="14" t="shared">U8</f>
        <v>4972</v>
      </c>
    </row>
    <row r="22" spans="1:32" x14ac:dyDescent="0.25">
      <c r="A22" t="str">
        <f>$A$9</f>
        <v>Kirkland</v>
      </c>
      <c r="B22" s="12">
        <f si="9" t="shared"/>
        <v>0</v>
      </c>
      <c r="C22" s="12">
        <f si="9" t="shared"/>
        <v>0</v>
      </c>
      <c r="D22" s="12">
        <f si="9" t="shared"/>
        <v>31757.393921445873</v>
      </c>
      <c r="E22" s="12">
        <f si="9" t="shared"/>
        <v>5519.4300947938727</v>
      </c>
      <c r="F22" s="12">
        <f si="9" t="shared"/>
        <v>1959.7830340803253</v>
      </c>
      <c r="G22" s="12">
        <f si="9" t="shared"/>
        <v>642.6988966474928</v>
      </c>
      <c r="H22" s="12">
        <f ref="H22" si="15" t="shared">($U9/$J9)*H9</f>
        <v>5143.6940530324346</v>
      </c>
      <c r="I22" s="12"/>
      <c r="J22" s="12">
        <f si="11" t="shared"/>
        <v>45023</v>
      </c>
      <c r="K22" s="13"/>
      <c r="L22" t="str">
        <f>$A$9</f>
        <v>Kirkland</v>
      </c>
      <c r="M22" s="12">
        <f si="6" t="shared"/>
        <v>2727</v>
      </c>
      <c r="N22" s="12">
        <f si="12" t="shared"/>
        <v>464</v>
      </c>
      <c r="O22" s="12">
        <f si="12" t="shared"/>
        <v>19245</v>
      </c>
      <c r="P22" s="12">
        <f si="12" t="shared"/>
        <v>2309</v>
      </c>
      <c r="Q22" s="12">
        <f si="12" t="shared"/>
        <v>1337</v>
      </c>
      <c r="R22" s="12">
        <f si="12" t="shared"/>
        <v>54</v>
      </c>
      <c r="S22" s="12">
        <f ref="S22" si="16" t="shared">S9</f>
        <v>18887</v>
      </c>
      <c r="T22" s="12"/>
      <c r="U22" s="12">
        <f si="14" t="shared"/>
        <v>45023</v>
      </c>
    </row>
    <row r="23" spans="1:32" x14ac:dyDescent="0.25">
      <c r="A23" t="str">
        <f>$A$10</f>
        <v>Redmond</v>
      </c>
      <c r="B23" s="12">
        <f si="9" t="shared"/>
        <v>2823.5860917296886</v>
      </c>
      <c r="C23" s="12">
        <f si="9" t="shared"/>
        <v>0</v>
      </c>
      <c r="D23" s="12">
        <f si="9" t="shared"/>
        <v>2302.7182553521184</v>
      </c>
      <c r="E23" s="12">
        <f si="9" t="shared"/>
        <v>29297.324965056414</v>
      </c>
      <c r="F23" s="12">
        <f si="9" t="shared"/>
        <v>423.79925489836722</v>
      </c>
      <c r="G23" s="12">
        <f si="9" t="shared"/>
        <v>0</v>
      </c>
      <c r="H23" s="12">
        <f ref="H23" si="17" t="shared">($U10/$J10)*H10</f>
        <v>2220.571432963422</v>
      </c>
      <c r="I23" s="12"/>
      <c r="J23" s="12">
        <f>SUM(B23:I23)</f>
        <v>37068.000000000007</v>
      </c>
      <c r="K23" s="13"/>
      <c r="L23" t="str">
        <f>$A$10</f>
        <v>Redmond</v>
      </c>
      <c r="M23" s="12">
        <f si="6" t="shared"/>
        <v>5152</v>
      </c>
      <c r="N23" s="12">
        <f si="12" t="shared"/>
        <v>357</v>
      </c>
      <c r="O23" s="12">
        <f si="12" t="shared"/>
        <v>5773</v>
      </c>
      <c r="P23" s="12">
        <f si="12" t="shared"/>
        <v>13976</v>
      </c>
      <c r="Q23" s="12">
        <f si="12" t="shared"/>
        <v>363</v>
      </c>
      <c r="R23" s="12">
        <f si="12" t="shared"/>
        <v>28</v>
      </c>
      <c r="S23" s="12">
        <f ref="S23" si="18" t="shared">S10</f>
        <v>11419</v>
      </c>
      <c r="T23" s="12"/>
      <c r="U23" s="12">
        <f si="14" t="shared"/>
        <v>37068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2550</v>
      </c>
      <c r="N24" s="12">
        <f si="12" t="shared"/>
        <v>449</v>
      </c>
      <c r="O24" s="12">
        <f si="12" t="shared"/>
        <v>4564</v>
      </c>
      <c r="P24" s="12">
        <f si="12" t="shared"/>
        <v>470</v>
      </c>
      <c r="Q24" s="12">
        <f si="12" t="shared"/>
        <v>32618</v>
      </c>
      <c r="R24" s="12">
        <f si="12" t="shared"/>
        <v>856</v>
      </c>
      <c r="S24" s="12">
        <f ref="S24" si="20" t="shared">S11</f>
        <v>10204</v>
      </c>
      <c r="T24" s="12"/>
      <c r="U24" s="12">
        <f si="14" t="shared"/>
        <v>51711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575</v>
      </c>
      <c r="N25" s="12">
        <f si="12" t="shared"/>
        <v>101</v>
      </c>
      <c r="O25" s="12">
        <f si="12" t="shared"/>
        <v>152</v>
      </c>
      <c r="P25" s="12">
        <f si="12" t="shared"/>
        <v>81</v>
      </c>
      <c r="Q25" s="12">
        <f si="12" t="shared"/>
        <v>2381</v>
      </c>
      <c r="R25" s="12">
        <f si="12" t="shared"/>
        <v>562</v>
      </c>
      <c r="S25" s="12">
        <f ref="S25:S26" si="22" t="shared">S12</f>
        <v>259</v>
      </c>
      <c r="T25" s="12"/>
      <c r="U25" s="12">
        <f si="14" t="shared"/>
        <v>4111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9475</v>
      </c>
      <c r="N26" s="12">
        <f si="12" t="shared"/>
        <v>959</v>
      </c>
      <c r="O26" s="12">
        <f si="12" t="shared"/>
        <v>2570</v>
      </c>
      <c r="P26" s="12">
        <f si="12" t="shared"/>
        <v>6123</v>
      </c>
      <c r="Q26" s="12">
        <f si="12" t="shared"/>
        <v>3677</v>
      </c>
      <c r="R26" s="12">
        <f si="12" t="shared"/>
        <v>320</v>
      </c>
      <c r="S26" s="12">
        <f si="22" t="shared"/>
        <v>136532</v>
      </c>
      <c r="T26" s="12"/>
      <c r="U26" s="12">
        <f si="14" t="shared"/>
        <v>159656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54541</v>
      </c>
      <c r="N28" s="15">
        <f si="24" t="shared"/>
        <v>5821</v>
      </c>
      <c r="O28" s="15">
        <f si="24" t="shared"/>
        <v>37274</v>
      </c>
      <c r="P28" s="15">
        <f si="24" t="shared"/>
        <v>26417</v>
      </c>
      <c r="Q28" s="15">
        <f si="24" t="shared"/>
        <v>43649</v>
      </c>
      <c r="R28" s="15">
        <f si="24" t="shared"/>
        <v>2181</v>
      </c>
      <c r="S28" s="15">
        <f si="24" t="shared"/>
        <v>185929</v>
      </c>
      <c r="T28" s="15"/>
      <c r="U28" s="15">
        <f si="24" t="shared"/>
        <v>355812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8.9269052196103565E-2</v>
      </c>
      <c r="N33" s="16">
        <f si="28" t="shared"/>
        <v>7.64167594122739E-3</v>
      </c>
      <c r="O33" s="16">
        <f si="28" t="shared"/>
        <v>1.2076602250626735E-2</v>
      </c>
      <c r="P33" s="16">
        <f si="28" t="shared"/>
        <v>8.9682191719222502E-3</v>
      </c>
      <c r="Q33" s="16">
        <f si="28" t="shared"/>
        <v>8.3752093802345051E-3</v>
      </c>
      <c r="R33" s="16">
        <f si="28" t="shared"/>
        <v>9.2464559936146051E-4</v>
      </c>
      <c r="S33" s="16">
        <f ref="S33" si="29" t="shared">S20/$U$28</f>
        <v>2.2461299787528245E-2</v>
      </c>
      <c r="T33" s="16"/>
      <c r="U33" s="16">
        <f ref="U33:U39" si="30" t="shared">U20/$U$28</f>
        <v>0.14971670432700415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6.461277303744674E-3</v>
      </c>
      <c r="N34" s="16">
        <f si="35" t="shared"/>
        <v>2.1696851146110869E-3</v>
      </c>
      <c r="O34" s="16">
        <f si="35" t="shared"/>
        <v>1.8914482929187325E-3</v>
      </c>
      <c r="P34" s="16">
        <f si="35" t="shared"/>
        <v>7.5039627668544058E-4</v>
      </c>
      <c r="Q34" s="16">
        <f si="35" t="shared"/>
        <v>8.2346857329151349E-4</v>
      </c>
      <c r="R34" s="16">
        <f si="35" t="shared"/>
        <v>8.9935134284397375E-5</v>
      </c>
      <c r="S34" s="16">
        <f ref="S34" si="36" t="shared">S21/$U$28</f>
        <v>1.7874607939023979E-3</v>
      </c>
      <c r="T34" s="16"/>
      <c r="U34" s="16">
        <f si="30" t="shared"/>
        <v>1.3973671489438243E-2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7.6641597247984888E-3</v>
      </c>
      <c r="N35" s="16">
        <f si="35" t="shared"/>
        <v>1.3040594471237621E-3</v>
      </c>
      <c r="O35" s="16">
        <f si="35" t="shared"/>
        <v>5.4087551853225863E-2</v>
      </c>
      <c r="P35" s="16">
        <f si="35" t="shared"/>
        <v>6.489382033208548E-3</v>
      </c>
      <c r="Q35" s="16">
        <f si="35" t="shared"/>
        <v>3.757602329319978E-3</v>
      </c>
      <c r="R35" s="16">
        <f si="35" t="shared"/>
        <v>1.5176553910492058E-4</v>
      </c>
      <c r="S35" s="16">
        <f ref="S35" si="40" t="shared">S22/$U$28</f>
        <v>5.3081402538419163E-2</v>
      </c>
      <c r="T35" s="16"/>
      <c r="U35" s="16">
        <f si="30" t="shared"/>
        <v>0.12653592346520073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1.4479556619787977E-2</v>
      </c>
      <c r="N36" s="16">
        <f si="35" t="shared"/>
        <v>1.0033388418603083E-3</v>
      </c>
      <c r="O36" s="16">
        <f si="35" t="shared"/>
        <v>1.6224860319494563E-2</v>
      </c>
      <c r="P36" s="16">
        <f si="35" t="shared"/>
        <v>3.9279169898710553E-2</v>
      </c>
      <c r="Q36" s="16">
        <f si="35" t="shared"/>
        <v>1.0202016795386327E-3</v>
      </c>
      <c r="R36" s="16">
        <f si="35" t="shared"/>
        <v>7.8693242498847703E-5</v>
      </c>
      <c r="S36" s="16">
        <f ref="S36" si="42" t="shared">S23/$U$28</f>
        <v>3.2092790574797928E-2</v>
      </c>
      <c r="T36" s="16"/>
      <c r="U36" s="16">
        <f si="30" t="shared"/>
        <v>0.10417861117668881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7.166706013287916E-3</v>
      </c>
      <c r="N37" s="16">
        <f si="35" t="shared"/>
        <v>1.2619023529279506E-3</v>
      </c>
      <c r="O37" s="16">
        <f si="35" t="shared"/>
        <v>1.2826998527312176E-2</v>
      </c>
      <c r="P37" s="16">
        <f si="35" t="shared"/>
        <v>1.3209222848020864E-3</v>
      </c>
      <c r="Q37" s="16">
        <f si="35" t="shared"/>
        <v>9.1672006565264808E-2</v>
      </c>
      <c r="R37" s="16">
        <f si="35" t="shared"/>
        <v>2.4057648421076301E-3</v>
      </c>
      <c r="S37" s="16">
        <f ref="S37" si="44" t="shared">S24/$U$28</f>
        <v>2.8678065944937214E-2</v>
      </c>
      <c r="T37" s="16"/>
      <c r="U37" s="16">
        <f si="30" t="shared"/>
        <v>0.14533236653063977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1.6160219441727654E-3</v>
      </c>
      <c r="N38" s="16">
        <f si="35" t="shared"/>
        <v>2.8385776758512924E-4</v>
      </c>
      <c r="O38" s="16">
        <f si="35" t="shared"/>
        <v>4.2719188785088753E-4</v>
      </c>
      <c r="P38" s="16">
        <f si="35" t="shared"/>
        <v>2.2764830865738088E-4</v>
      </c>
      <c r="Q38" s="16">
        <f si="35" t="shared"/>
        <v>6.6917360853484421E-3</v>
      </c>
      <c r="R38" s="16">
        <f si="35" t="shared"/>
        <v>1.5794857958697289E-3</v>
      </c>
      <c r="S38" s="16">
        <f ref="S38:S39" si="46" t="shared">S25/$U$28</f>
        <v>7.2791249311434129E-4</v>
      </c>
      <c r="T38" s="16"/>
      <c r="U38" s="16">
        <f si="30" t="shared"/>
        <v>1.1553854282598676E-2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2.6629231167020786E-2</v>
      </c>
      <c r="N39" s="16">
        <f si="35" t="shared"/>
        <v>2.6952435555855341E-3</v>
      </c>
      <c r="O39" s="16">
        <f si="35" t="shared"/>
        <v>7.222915472215664E-3</v>
      </c>
      <c r="P39" s="16">
        <f si="35" t="shared"/>
        <v>1.7208525850730162E-2</v>
      </c>
      <c r="Q39" s="16">
        <f si="35" t="shared"/>
        <v>1.0334109023866537E-2</v>
      </c>
      <c r="R39" s="16">
        <f si="35" t="shared"/>
        <v>8.9935134284397375E-4</v>
      </c>
      <c r="S39" s="16">
        <f si="46" t="shared"/>
        <v>0.38371949231616698</v>
      </c>
      <c r="T39" s="16"/>
      <c r="U39" s="16">
        <f si="30" t="shared"/>
        <v>0.44870886872842963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0.15328600496891617</v>
      </c>
      <c r="N41" s="18">
        <f>N28/$U$28</f>
        <v>1.635976302092116E-2</v>
      </c>
      <c r="O41" s="18">
        <f>O28/$U$28</f>
        <v>0.10475756860364462</v>
      </c>
      <c r="P41" s="18">
        <f>P28/$U$28</f>
        <v>7.4244263824716425E-2</v>
      </c>
      <c r="Q41" s="18">
        <f ref="Q41:S41" si="54" t="shared">Q28/$U$28</f>
        <v>0.1226743336368644</v>
      </c>
      <c r="R41" s="18">
        <f si="54" t="shared"/>
        <v>6.1296414960709585E-3</v>
      </c>
      <c r="S41" s="18">
        <f si="54" t="shared"/>
        <v>0.52254842444886629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sqref="A1:N1048576"/>
    </sheetView>
  </sheetViews>
  <sheetFormatPr defaultRowHeight="15" x14ac:dyDescent="0.25"/>
  <sheetData>
    <row r="1" spans="1:11" x14ac:dyDescent="0.2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2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2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2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2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Z104"/>
  <sheetViews>
    <sheetView tabSelected="1" workbookViewId="0" zoomScaleNormal="100">
      <selection activeCell="K9" sqref="K9"/>
    </sheetView>
  </sheetViews>
  <sheetFormatPr defaultColWidth="9.140625"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4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29293.171011583399</v>
      </c>
      <c r="F4" s="303" t="s">
        <v>47</v>
      </c>
      <c r="G4" s="304">
        <f>TLFD!F11</f>
        <v>40573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50920.020071559004</v>
      </c>
      <c r="F5" s="306" t="s">
        <v>50</v>
      </c>
      <c r="G5" s="307">
        <f>TLFD!F12+TLFD!F13+(TLFD!F14/2)</f>
        <v>80007.5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26048.832815703398</v>
      </c>
      <c r="F6" s="306" t="s">
        <v>53</v>
      </c>
      <c r="G6" s="307">
        <f>(TLFD!F14/2)+SUM(TLFD!F15:F20)</f>
        <v>174863.5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13747.5379285652</v>
      </c>
      <c r="F7" s="309" t="s">
        <v>56</v>
      </c>
      <c r="G7" s="310">
        <f>SUM(TLFD!F21:F101)</f>
        <v>60370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120009.561827411</v>
      </c>
      <c r="E8" s="314"/>
      <c r="F8" s="312" t="s">
        <v>4</v>
      </c>
      <c r="G8" s="313">
        <f>SUM(G4:G7)</f>
        <v>355814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si="0" t="shared"/>
        <v>-3.9895313632499998</v>
      </c>
      <c r="T9" s="322"/>
      <c r="U9" s="360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0.24409030885147887</v>
      </c>
      <c r="F12" s="303" t="s">
        <v>47</v>
      </c>
      <c r="G12" s="317">
        <f>G4/G$8</f>
        <v>0.11402867790474798</v>
      </c>
      <c r="H12" s="317"/>
      <c r="I12" s="371">
        <f>D12/G12</f>
        <v>2.1406045683996773</v>
      </c>
      <c r="J12" s="372">
        <f>LN(I12)</f>
        <v>0.76108829773370035</v>
      </c>
      <c r="K12" s="372">
        <f>K8*J12</f>
        <v>0.76108829773370035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0.42429969159281211</v>
      </c>
      <c r="F13" s="306" t="s">
        <v>50</v>
      </c>
      <c r="G13" s="318">
        <f ref="G13:G16" si="2" t="shared">G5/G$8</f>
        <v>0.2248576503454052</v>
      </c>
      <c r="H13" s="318"/>
      <c r="I13" s="371">
        <f ref="I13:I15" si="3" t="shared">D13/G13</f>
        <v>1.8869702273462468</v>
      </c>
      <c r="J13" s="372">
        <f ref="J13:J15" si="4" t="shared">LN(I13)</f>
        <v>0.6349724884910084</v>
      </c>
      <c r="K13" s="372">
        <f>K8*(J13-J12)</f>
        <v>-0.12611580924269195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0.21705631133929917</v>
      </c>
      <c r="F14" s="306" t="s">
        <v>53</v>
      </c>
      <c r="G14" s="318">
        <f si="2" t="shared"/>
        <v>0.49144637366714072</v>
      </c>
      <c r="H14" s="318"/>
      <c r="I14" s="371">
        <f si="3" t="shared"/>
        <v>0.44166835481893818</v>
      </c>
      <c r="J14" s="372">
        <f si="4" t="shared"/>
        <v>-0.81719600700567074</v>
      </c>
      <c r="K14" s="372">
        <f>K8*(J14-J13-J12)</f>
        <v>-2.2132567932303795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0.11455368821640984</v>
      </c>
      <c r="F15" s="309" t="s">
        <v>56</v>
      </c>
      <c r="G15" s="318">
        <f si="2" t="shared"/>
        <v>0.16966729808270614</v>
      </c>
      <c r="H15" s="318"/>
      <c r="I15" s="373">
        <f si="3" t="shared"/>
        <v>0.67516657311634332</v>
      </c>
      <c r="J15" s="374">
        <f si="4" t="shared"/>
        <v>-0.39279584356637065</v>
      </c>
      <c r="K15" s="374">
        <f>K8*(J15-J14-J13-J12)</f>
        <v>-0.97166062278540866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si="0" t="shared"/>
        <v>-0.493022087256</v>
      </c>
    </row>
    <row r="19" spans="2:25" x14ac:dyDescent="0.2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si="0" t="shared"/>
        <v>0</v>
      </c>
    </row>
    <row r="20" spans="2:25" x14ac:dyDescent="0.2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si="0" t="shared"/>
        <v>0</v>
      </c>
    </row>
    <row ht="15.75" r="21" spans="2:25" thickBot="1" x14ac:dyDescent="0.3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si="0" t="shared"/>
        <v>0</v>
      </c>
    </row>
    <row r="22" spans="2:25" x14ac:dyDescent="0.2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si="0" t="shared"/>
        <v>0.63771148688699997</v>
      </c>
    </row>
    <row r="23" spans="2:25" x14ac:dyDescent="0.2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si="0" t="shared"/>
        <v>-12.0946718381</v>
      </c>
    </row>
    <row r="24" spans="2:25" x14ac:dyDescent="0.25">
      <c r="B24" s="345">
        <v>51</v>
      </c>
      <c r="C24" s="306" t="s">
        <v>50</v>
      </c>
      <c r="D24" s="361">
        <f ref="D24:D26" si="5" t="shared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si="0" t="shared"/>
        <v>-4.03623745316</v>
      </c>
    </row>
    <row r="25" spans="2:25" x14ac:dyDescent="0.25">
      <c r="B25" s="345">
        <v>52</v>
      </c>
      <c r="C25" s="306" t="s">
        <v>53</v>
      </c>
      <c r="D25" s="361">
        <f si="5" t="shared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si="0" t="shared"/>
        <v>-2.16371815818</v>
      </c>
    </row>
    <row ht="15.75" r="26" spans="2:25" thickBot="1" x14ac:dyDescent="0.3">
      <c r="B26" s="347">
        <v>53</v>
      </c>
      <c r="C26" s="326" t="s">
        <v>56</v>
      </c>
      <c r="D26" s="362">
        <f si="5" t="shared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si="0" t="shared"/>
        <v>-2.6156308707</v>
      </c>
    </row>
    <row r="32" spans="2:25" x14ac:dyDescent="0.2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si="0" t="shared"/>
        <v>-0.91046169190000004</v>
      </c>
    </row>
    <row r="33" spans="2:17" x14ac:dyDescent="0.25">
      <c r="B33" s="345">
        <f>B23</f>
        <v>50</v>
      </c>
      <c r="C33" s="303" t="s">
        <v>47</v>
      </c>
      <c r="D33" s="377">
        <f>K12</f>
        <v>0.76108829773370035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si="0" t="shared"/>
        <v>5.7553461640599997E-2</v>
      </c>
    </row>
    <row r="34" spans="2:17" x14ac:dyDescent="0.25">
      <c r="B34" s="345">
        <f ref="B34:B36" si="6" t="shared">B24</f>
        <v>51</v>
      </c>
      <c r="C34" s="306" t="s">
        <v>50</v>
      </c>
      <c r="D34" s="378">
        <f ref="D34:D36" si="7" t="shared">K13</f>
        <v>-0.12611580924269195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si="0" t="shared"/>
        <v>0.237798002151</v>
      </c>
    </row>
    <row r="35" spans="2:17" x14ac:dyDescent="0.25">
      <c r="B35" s="345">
        <f si="6" t="shared"/>
        <v>52</v>
      </c>
      <c r="C35" s="306" t="s">
        <v>53</v>
      </c>
      <c r="D35" s="378">
        <f si="7" t="shared"/>
        <v>-2.2132567932303795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si="0" t="shared"/>
        <v>0</v>
      </c>
    </row>
    <row ht="15.75" r="36" spans="2:17" thickBot="1" x14ac:dyDescent="0.3">
      <c r="B36" s="365">
        <f si="6" t="shared"/>
        <v>53</v>
      </c>
      <c r="C36" s="326" t="s">
        <v>56</v>
      </c>
      <c r="D36" s="327">
        <f si="7" t="shared"/>
        <v>-0.97166062278540866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si="0" t="shared"/>
        <v>-7.1836373472300004</v>
      </c>
    </row>
    <row ht="15.75" r="41" spans="2:17" thickBot="1" x14ac:dyDescent="0.3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si="0" t="shared"/>
        <v>-3.6600975390500001</v>
      </c>
    </row>
    <row r="42" spans="2:17" x14ac:dyDescent="0.2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si="0" t="shared"/>
        <v>-1.3605457273599999</v>
      </c>
    </row>
    <row r="43" spans="2:17" x14ac:dyDescent="0.25">
      <c r="B43" s="345">
        <f>B33</f>
        <v>50</v>
      </c>
      <c r="C43" s="303" t="s">
        <v>47</v>
      </c>
      <c r="D43" s="363">
        <f>D23+D33</f>
        <v>-27.790970221266299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si="0" t="shared"/>
        <v>-0.22141031751900001</v>
      </c>
    </row>
    <row r="44" spans="2:17" x14ac:dyDescent="0.25">
      <c r="B44" s="345">
        <f ref="B44:B46" si="8" t="shared">B34</f>
        <v>51</v>
      </c>
      <c r="C44" s="306" t="s">
        <v>50</v>
      </c>
      <c r="D44" s="363">
        <f ref="D44:D46" si="9" t="shared">D24+D34</f>
        <v>-7.3844511016026919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si="0" t="shared"/>
        <v>0.64228876129599999</v>
      </c>
    </row>
    <row r="45" spans="2:17" x14ac:dyDescent="0.25">
      <c r="B45" s="345">
        <f si="8" t="shared"/>
        <v>52</v>
      </c>
      <c r="C45" s="306" t="s">
        <v>53</v>
      </c>
      <c r="D45" s="363">
        <f si="9" t="shared"/>
        <v>-4.8585039021203791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si="0" t="shared"/>
        <v>0.74588429254199995</v>
      </c>
    </row>
    <row ht="15.75" r="46" spans="2:17" thickBot="1" x14ac:dyDescent="0.3">
      <c r="B46" s="365">
        <f si="8" t="shared"/>
        <v>53</v>
      </c>
      <c r="C46" s="326" t="s">
        <v>56</v>
      </c>
      <c r="D46" s="364">
        <f si="9" t="shared"/>
        <v>-1.7362768028434088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si="0" t="shared"/>
        <v>-32.156094092099998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si="0" t="shared"/>
        <v>-27.790970221266299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si="0" t="shared"/>
        <v>-7.3844511016026919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si="0" t="shared"/>
        <v>-4.8585039021203791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si="0" t="shared"/>
        <v>-1.7362768028434088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2019-10-07T21:08:02Z</dcterms:modified>
</cp:coreProperties>
</file>