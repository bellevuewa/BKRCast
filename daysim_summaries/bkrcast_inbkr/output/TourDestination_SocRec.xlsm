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D:\Sensitivity Test\BKRCast_V1-3_Test13\daysim_summaries\bkrcast_inbkr\output\"/>
    </mc:Choice>
  </mc:AlternateContent>
  <bookViews>
    <workbookView activeTab="6" firstSheet="4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TLFD!$L$11:$L$13</definedName>
    <definedName name="AVGT">TDFD!$L$11:$L$13</definedName>
    <definedName name="flow">County_Flow!$K$7:$N$10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71027"/>
</workbook>
</file>

<file path=xl/calcChain.xml><?xml version="1.0" encoding="utf-8"?>
<calcChain xmlns="http://schemas.openxmlformats.org/spreadsheetml/2006/main">
  <c i="6" l="1" r="B36"/>
  <c i="6" r="B46" s="1"/>
  <c i="6" r="B35"/>
  <c i="6" r="B45" s="1"/>
  <c i="6" r="B34"/>
  <c i="6" r="B44" s="1"/>
  <c i="6" r="B33"/>
  <c i="6" r="B43" s="1"/>
  <c i="6" l="1" r="O104"/>
  <c i="6" r="P104"/>
  <c i="6" r="N104"/>
  <c i="6" r="M104" s="1"/>
  <c i="6" l="1" r="Q104"/>
  <c i="6" l="1" r="N4"/>
  <c i="6" r="M4" s="1"/>
  <c i="6" r="O4"/>
  <c i="6" r="N5"/>
  <c i="6" r="M5" s="1"/>
  <c i="6" r="O5"/>
  <c i="6" r="N6"/>
  <c i="6" r="M6" s="1"/>
  <c i="6" r="O6"/>
  <c i="6" r="N7"/>
  <c i="6" r="M7" s="1"/>
  <c i="6" r="O7"/>
  <c i="6" r="N8"/>
  <c i="6" r="M8" s="1"/>
  <c i="6" r="O8"/>
  <c i="6" r="N9"/>
  <c i="6" r="M9" s="1"/>
  <c i="6" r="O9"/>
  <c i="6" r="N10"/>
  <c i="6" r="M10" s="1"/>
  <c i="6" r="O10"/>
  <c i="6" r="N11"/>
  <c i="6" r="M11" s="1"/>
  <c i="6" r="O11"/>
  <c i="6" r="N12"/>
  <c i="6" r="M12" s="1"/>
  <c i="6" r="O12"/>
  <c i="6" r="N13"/>
  <c i="6" r="M13" s="1"/>
  <c i="6" r="O13"/>
  <c i="6" r="N14"/>
  <c i="6" r="M14" s="1"/>
  <c i="6" r="O14"/>
  <c i="6" r="N15"/>
  <c i="6" r="M15" s="1"/>
  <c i="6" r="O15"/>
  <c i="6" r="N16"/>
  <c i="6" r="M16" s="1"/>
  <c i="6" r="O16"/>
  <c i="6" r="N17"/>
  <c i="6" r="M17" s="1"/>
  <c i="6" r="O17"/>
  <c i="6" r="N18"/>
  <c i="6" r="M18" s="1"/>
  <c i="6" r="O18"/>
  <c i="6" r="N19"/>
  <c i="6" r="M19" s="1"/>
  <c i="6" r="O19"/>
  <c i="6" r="N20"/>
  <c i="6" r="M20" s="1"/>
  <c i="6" r="O20"/>
  <c i="6" r="N21"/>
  <c i="6" r="M21" s="1"/>
  <c i="6" r="O21"/>
  <c i="6" r="N22"/>
  <c i="6" r="M22" s="1"/>
  <c i="6" r="O22"/>
  <c i="6" r="N23"/>
  <c i="6" r="M23" s="1"/>
  <c i="6" r="O23"/>
  <c i="6" r="N24"/>
  <c i="6" r="M24" s="1"/>
  <c i="6" r="O24"/>
  <c i="6" r="N25"/>
  <c i="6" r="M25" s="1"/>
  <c i="6" r="O25"/>
  <c i="6" r="N26"/>
  <c i="6" r="M26" s="1"/>
  <c i="6" r="O26"/>
  <c i="6" r="N27"/>
  <c i="6" r="M27" s="1"/>
  <c i="6" r="O27"/>
  <c i="6" r="N28"/>
  <c i="6" r="M28" s="1"/>
  <c i="6" r="O28"/>
  <c i="6" r="N29"/>
  <c i="6" r="M29" s="1"/>
  <c i="6" r="O29"/>
  <c i="6" r="N30"/>
  <c i="6" r="M30" s="1"/>
  <c i="6" r="O30"/>
  <c i="6" r="N31"/>
  <c i="6" r="M31" s="1"/>
  <c i="6" r="O31"/>
  <c i="6" r="N32"/>
  <c i="6" r="M32" s="1"/>
  <c i="6" r="O32"/>
  <c i="6" r="N33"/>
  <c i="6" r="M33" s="1"/>
  <c i="6" r="O33"/>
  <c i="6" r="N34"/>
  <c i="6" r="M34" s="1"/>
  <c i="6" r="O34"/>
  <c i="6" r="N35"/>
  <c i="6" r="M35" s="1"/>
  <c i="6" r="O35"/>
  <c i="6" r="N36"/>
  <c i="6" r="O36"/>
  <c i="6" r="N37"/>
  <c i="6" r="M37" s="1"/>
  <c i="6" r="O37"/>
  <c i="6" r="N38"/>
  <c i="6" r="M38" s="1"/>
  <c i="6" r="O38"/>
  <c i="6" r="N39"/>
  <c i="6" r="M39" s="1"/>
  <c i="6" r="O39"/>
  <c i="6" r="N40"/>
  <c i="6" r="M40" s="1"/>
  <c i="6" r="O40"/>
  <c i="6" r="N41"/>
  <c i="6" r="M41" s="1"/>
  <c i="6" r="O41"/>
  <c i="6" r="N42"/>
  <c i="6" r="M42" s="1"/>
  <c i="6" r="O42"/>
  <c i="6" r="N43"/>
  <c i="6" r="M43" s="1"/>
  <c i="6" r="O43"/>
  <c i="6" r="N44"/>
  <c i="6" r="M44" s="1"/>
  <c i="6" r="O44"/>
  <c i="6" r="N45"/>
  <c i="6" r="M45" s="1"/>
  <c i="6" r="O45"/>
  <c i="6" r="N46"/>
  <c i="6" r="M46" s="1"/>
  <c i="6" r="O46"/>
  <c i="6" r="N47"/>
  <c i="6" r="M47" s="1"/>
  <c i="6" r="O47"/>
  <c i="6" r="N48"/>
  <c i="6" r="M48" s="1"/>
  <c i="6" r="O48"/>
  <c i="6" r="N49"/>
  <c i="6" r="M49" s="1"/>
  <c i="6" r="O49"/>
  <c i="6" r="N50"/>
  <c i="6" r="M50" s="1"/>
  <c i="6" r="O50"/>
  <c i="6" r="N51"/>
  <c i="6" r="M51" s="1"/>
  <c i="6" r="O51"/>
  <c i="6" r="N52"/>
  <c i="6" r="O52"/>
  <c i="6" r="N53"/>
  <c i="6" r="O53"/>
  <c i="6" r="N54"/>
  <c i="6" r="O54"/>
  <c i="6" r="N55"/>
  <c i="6" r="O55"/>
  <c i="6" r="N56"/>
  <c i="6" r="M56" s="1"/>
  <c i="6" r="O56"/>
  <c i="6" r="N57"/>
  <c i="6" r="M57" s="1"/>
  <c i="6" r="O57"/>
  <c i="6" r="N58"/>
  <c i="6" r="M58" s="1"/>
  <c i="6" r="O58"/>
  <c i="6" r="N59"/>
  <c i="6" r="M59" s="1"/>
  <c i="6" r="O59"/>
  <c i="6" r="N60"/>
  <c i="6" r="O60"/>
  <c i="6" r="N61"/>
  <c i="6" r="M61" s="1"/>
  <c i="6" r="O61"/>
  <c i="6" r="N62"/>
  <c i="6" r="M62" s="1"/>
  <c i="6" r="O62"/>
  <c i="6" r="N63"/>
  <c i="6" r="M63" s="1"/>
  <c i="6" r="O63"/>
  <c i="6" r="N64"/>
  <c i="6" r="M64" s="1"/>
  <c i="6" r="O64"/>
  <c i="6" r="N65"/>
  <c i="6" r="M65" s="1"/>
  <c i="6" r="O65"/>
  <c i="6" r="N66"/>
  <c i="6" r="M66" s="1"/>
  <c i="6" r="O66"/>
  <c i="6" r="N67"/>
  <c i="6" r="M67" s="1"/>
  <c i="6" r="O67"/>
  <c i="6" r="N68"/>
  <c i="6" r="M68" s="1"/>
  <c i="6" r="O68"/>
  <c i="6" r="N69"/>
  <c i="6" r="M69" s="1"/>
  <c i="6" r="O69"/>
  <c i="6" r="N70"/>
  <c i="6" r="M70" s="1"/>
  <c i="6" r="O70"/>
  <c i="6" r="N71"/>
  <c i="6" r="M71" s="1"/>
  <c i="6" r="O71"/>
  <c i="6" r="N72"/>
  <c i="6" r="M72" s="1"/>
  <c i="6" r="O72"/>
  <c i="6" r="N73"/>
  <c i="6" r="M73" s="1"/>
  <c i="6" r="O73"/>
  <c i="6" r="N74"/>
  <c i="6" r="M74" s="1"/>
  <c i="6" r="O74"/>
  <c i="6" r="N75"/>
  <c i="6" r="M75" s="1"/>
  <c i="6" r="O75"/>
  <c i="6" r="N76"/>
  <c i="6" r="M76" s="1"/>
  <c i="6" r="O76"/>
  <c i="6" r="N77"/>
  <c i="6" r="M77" s="1"/>
  <c i="6" r="O77"/>
  <c i="6" r="N78"/>
  <c i="6" r="M78" s="1"/>
  <c i="6" r="O78"/>
  <c i="6" r="N79"/>
  <c i="6" r="M79" s="1"/>
  <c i="6" r="O79"/>
  <c i="6" r="N80"/>
  <c i="6" r="M80" s="1"/>
  <c i="6" r="O80"/>
  <c i="6" r="N81"/>
  <c i="6" r="O81"/>
  <c i="6" r="N82"/>
  <c i="6" r="M82" s="1"/>
  <c i="6" r="O82"/>
  <c i="6" r="N83"/>
  <c i="6" r="M83" s="1"/>
  <c i="6" r="O83"/>
  <c i="6" r="N84"/>
  <c i="6" r="M84" s="1"/>
  <c i="6" r="O84"/>
  <c i="6" r="N85"/>
  <c i="6" r="M85" s="1"/>
  <c i="6" r="O85"/>
  <c i="6" r="N86"/>
  <c i="6" r="M86" s="1"/>
  <c i="6" r="O86"/>
  <c i="6" r="N87"/>
  <c i="6" r="M87" s="1"/>
  <c i="6" r="O87"/>
  <c i="6" r="N88"/>
  <c i="6" r="M88" s="1"/>
  <c i="6" r="O88"/>
  <c i="6" r="N89"/>
  <c i="6" r="M89" s="1"/>
  <c i="6" r="O89"/>
  <c i="6" r="N90"/>
  <c i="6" r="M90" s="1"/>
  <c i="6" r="O90"/>
  <c i="6" r="N91"/>
  <c i="6" r="M91" s="1"/>
  <c i="6" r="O91"/>
  <c i="6" r="N92"/>
  <c i="6" r="M92" s="1"/>
  <c i="6" r="O92"/>
  <c i="6" r="N93"/>
  <c i="6" r="M93" s="1"/>
  <c i="6" r="O93"/>
  <c i="6" r="N94"/>
  <c i="6" r="M94" s="1"/>
  <c i="6" r="O94"/>
  <c i="6" r="N95"/>
  <c i="6" r="M95" s="1"/>
  <c i="6" r="O95"/>
  <c i="6" r="N96"/>
  <c i="6" r="M96" s="1"/>
  <c i="6" r="O96"/>
  <c i="6" r="N97"/>
  <c i="6" r="M97" s="1"/>
  <c i="6" r="O97"/>
  <c i="6" r="N98"/>
  <c i="6" r="M98" s="1"/>
  <c i="6" r="O98"/>
  <c i="6" r="N99"/>
  <c i="6" r="M99" s="1"/>
  <c i="6" r="O99"/>
  <c i="6" r="N100"/>
  <c i="6" r="M100" s="1"/>
  <c i="6" r="O100"/>
  <c i="6" r="N101"/>
  <c i="6" r="M101" s="1"/>
  <c i="6" r="O101"/>
  <c i="6" r="N102"/>
  <c i="6" r="M102" s="1"/>
  <c i="6" r="O102"/>
  <c i="6" r="N103"/>
  <c i="6" r="M103" s="1"/>
  <c i="6" r="O103"/>
  <c i="6" r="N3"/>
  <c i="6" r="M3" s="1"/>
  <c i="6" r="O3"/>
  <c i="6" l="1" r="M55"/>
  <c i="6" r="R55"/>
  <c i="6" r="M54"/>
  <c i="6" r="R54"/>
  <c i="6" r="M53"/>
  <c i="6" r="R53"/>
  <c i="6" r="M52"/>
  <c i="6" r="R52"/>
  <c i="6" r="M36"/>
  <c i="6" r="M60"/>
  <c i="6" r="M81"/>
  <c i="1" r="M26"/>
  <c i="1" r="N26"/>
  <c i="1" r="O26"/>
  <c i="1" r="P26"/>
  <c i="1" r="Q26"/>
  <c i="1" r="R26"/>
  <c i="1" r="S26"/>
  <c i="1" r="S20"/>
  <c i="1" r="S21"/>
  <c i="1" r="S22"/>
  <c i="1" r="S23"/>
  <c i="1" r="S24"/>
  <c i="1" r="S25"/>
  <c i="6" l="1" r="P4"/>
  <c i="6" r="Q4" s="1"/>
  <c i="6" r="P5"/>
  <c i="6" r="Q5" s="1"/>
  <c i="6" r="P6"/>
  <c i="6" r="Q6" s="1"/>
  <c i="6" r="P7"/>
  <c i="6" r="Q7" s="1"/>
  <c i="6" r="P8"/>
  <c i="6" r="Q8" s="1"/>
  <c i="6" r="P9"/>
  <c i="6" r="Q9" s="1"/>
  <c i="6" r="P10"/>
  <c i="6" r="Q10" s="1"/>
  <c i="6" r="P11"/>
  <c i="6" r="Q11" s="1"/>
  <c i="6" r="P12"/>
  <c i="6" r="Q12" s="1"/>
  <c i="6" r="P13"/>
  <c i="6" r="Q13" s="1"/>
  <c i="6" r="P14"/>
  <c i="6" r="Q14" s="1"/>
  <c i="6" r="P15"/>
  <c i="6" r="Q15" s="1"/>
  <c i="6" r="P16"/>
  <c i="6" r="Q16" s="1"/>
  <c i="6" r="P17"/>
  <c i="6" r="Q17" s="1"/>
  <c i="6" r="P18"/>
  <c i="6" r="Q18" s="1"/>
  <c i="6" r="P19"/>
  <c i="6" r="Q19" s="1"/>
  <c i="6" r="P20"/>
  <c i="6" r="Q20" s="1"/>
  <c i="6" r="P21"/>
  <c i="6" r="Q21" s="1"/>
  <c i="6" r="P22"/>
  <c i="6" r="Q22" s="1"/>
  <c i="6" r="P23"/>
  <c i="6" r="Q23" s="1"/>
  <c i="6" r="P24"/>
  <c i="6" r="Q24" s="1"/>
  <c i="6" r="P25"/>
  <c i="6" r="Q25" s="1"/>
  <c i="6" r="P26"/>
  <c i="6" r="Q26" s="1"/>
  <c i="6" r="P27"/>
  <c i="6" r="Q27" s="1"/>
  <c i="6" r="P28"/>
  <c i="6" r="Q28" s="1"/>
  <c i="6" r="P29"/>
  <c i="6" r="Q29" s="1"/>
  <c i="6" r="P30"/>
  <c i="6" r="Q30" s="1"/>
  <c i="6" r="P31"/>
  <c i="6" r="Q31" s="1"/>
  <c i="6" r="P32"/>
  <c i="6" r="Q32" s="1"/>
  <c i="6" r="P33"/>
  <c i="6" r="Q33" s="1"/>
  <c i="6" r="P34"/>
  <c i="6" r="Q34" s="1"/>
  <c i="6" r="P35"/>
  <c i="6" r="Q35" s="1"/>
  <c i="6" r="P36"/>
  <c i="6" r="Q36" s="1"/>
  <c i="6" r="P37"/>
  <c i="6" r="Q37" s="1"/>
  <c i="6" r="P38"/>
  <c i="6" r="Q38" s="1"/>
  <c i="6" r="P39"/>
  <c i="6" r="Q39" s="1"/>
  <c i="6" r="P40"/>
  <c i="6" r="Q40" s="1"/>
  <c i="6" r="P41"/>
  <c i="6" r="Q41" s="1"/>
  <c i="6" r="P42"/>
  <c i="6" r="Q42" s="1"/>
  <c i="6" r="P43"/>
  <c i="6" r="Q43" s="1"/>
  <c i="6" r="P44"/>
  <c i="6" r="Q44" s="1"/>
  <c i="6" r="P45"/>
  <c i="6" r="Q45" s="1"/>
  <c i="6" r="P46"/>
  <c i="6" r="Q46" s="1"/>
  <c i="6" r="P47"/>
  <c i="6" r="Q47" s="1"/>
  <c i="6" r="P48"/>
  <c i="6" r="Q48" s="1"/>
  <c i="6" r="P49"/>
  <c i="6" r="Q49" s="1"/>
  <c i="6" r="P50"/>
  <c i="6" r="Q50" s="1"/>
  <c i="6" r="P51"/>
  <c i="6" r="Q51" s="1"/>
  <c i="6" r="P52"/>
  <c i="6" r="D23" s="1"/>
  <c i="6" r="P53"/>
  <c i="6" r="D24" s="1"/>
  <c i="6" r="P54"/>
  <c i="6" r="D25" s="1"/>
  <c i="6" r="P55"/>
  <c i="6" r="D26" s="1"/>
  <c i="6" r="P56"/>
  <c i="6" r="Q56" s="1"/>
  <c i="6" r="P57"/>
  <c i="6" r="Q57" s="1"/>
  <c i="6" r="P58"/>
  <c i="6" r="Q58" s="1"/>
  <c i="6" r="P59"/>
  <c i="6" r="Q59" s="1"/>
  <c i="6" r="P60"/>
  <c i="6" r="Q60" s="1"/>
  <c i="6" r="P61"/>
  <c i="6" r="Q61" s="1"/>
  <c i="6" r="P62"/>
  <c i="6" r="Q62" s="1"/>
  <c i="6" r="P63"/>
  <c i="6" r="Q63" s="1"/>
  <c i="6" r="P64"/>
  <c i="6" r="Q64" s="1"/>
  <c i="6" r="P65"/>
  <c i="6" r="Q65" s="1"/>
  <c i="6" r="P66"/>
  <c i="6" r="Q66" s="1"/>
  <c i="6" r="P67"/>
  <c i="6" r="Q67" s="1"/>
  <c i="6" r="P68"/>
  <c i="6" r="Q68" s="1"/>
  <c i="6" r="P69"/>
  <c i="6" r="Q69" s="1"/>
  <c i="6" r="P70"/>
  <c i="6" r="Q70" s="1"/>
  <c i="6" r="P71"/>
  <c i="6" r="Q71" s="1"/>
  <c i="6" r="P72"/>
  <c i="6" r="Q72" s="1"/>
  <c i="6" r="P73"/>
  <c i="6" r="Q73" s="1"/>
  <c i="6" r="P74"/>
  <c i="6" r="Q74" s="1"/>
  <c i="6" r="P75"/>
  <c i="6" r="Q75" s="1"/>
  <c i="6" r="P76"/>
  <c i="6" r="Q76" s="1"/>
  <c i="6" r="P77"/>
  <c i="6" r="Q77" s="1"/>
  <c i="6" r="P78"/>
  <c i="6" r="Q78" s="1"/>
  <c i="6" r="P79"/>
  <c i="6" r="Q79" s="1"/>
  <c i="6" r="P80"/>
  <c i="6" r="Q80" s="1"/>
  <c i="6" r="P81"/>
  <c i="6" r="Q81" s="1"/>
  <c i="6" r="P82"/>
  <c i="6" r="Q82" s="1"/>
  <c i="6" r="P83"/>
  <c i="6" r="Q83" s="1"/>
  <c i="6" r="P84"/>
  <c i="6" r="Q84" s="1"/>
  <c i="6" r="P85"/>
  <c i="6" r="Q85" s="1"/>
  <c i="6" r="P86"/>
  <c i="6" r="Q86" s="1"/>
  <c i="6" r="P87"/>
  <c i="6" r="Q87" s="1"/>
  <c i="6" r="P88"/>
  <c i="6" r="Q88" s="1"/>
  <c i="6" r="P89"/>
  <c i="6" r="Q89" s="1"/>
  <c i="6" r="P90"/>
  <c i="6" r="Q90" s="1"/>
  <c i="6" r="P91"/>
  <c i="6" r="Q91" s="1"/>
  <c i="6" r="P92"/>
  <c i="6" r="Q92" s="1"/>
  <c i="6" r="P93"/>
  <c i="6" r="Q93" s="1"/>
  <c i="6" r="P94"/>
  <c i="6" r="Q94" s="1"/>
  <c i="6" r="P95"/>
  <c i="6" r="Q95" s="1"/>
  <c i="6" r="P96"/>
  <c i="6" r="Q96" s="1"/>
  <c i="6" r="P97"/>
  <c i="6" r="Q97" s="1"/>
  <c i="6" r="P98"/>
  <c i="6" r="Q98" s="1"/>
  <c i="6" r="P99"/>
  <c i="6" r="Q99" s="1"/>
  <c i="6" r="P100"/>
  <c i="6" r="Q100" s="1"/>
  <c i="6" r="P101"/>
  <c i="6" r="Q101" s="1"/>
  <c i="6" r="P102"/>
  <c i="6" r="Q102" s="1"/>
  <c i="6" r="P103"/>
  <c i="6" r="Q103" s="1"/>
  <c i="6" r="P3"/>
  <c i="6" r="Q3" s="1"/>
  <c i="6" l="1" r="D4"/>
  <c i="6" r="G7"/>
  <c i="6" r="D7"/>
  <c i="6" r="G6"/>
  <c i="6" r="D6"/>
  <c i="6" r="G5"/>
  <c i="6" r="D5"/>
  <c i="6" r="G4"/>
  <c i="6" l="1" r="G8"/>
  <c i="6" r="G12" s="1"/>
  <c i="6" r="D8"/>
  <c i="6" r="D14" s="1"/>
  <c i="1" r="H15"/>
  <c i="1" r="J13"/>
  <c i="6" l="1" r="G14"/>
  <c i="6" r="I14" s="1"/>
  <c i="6" r="J14" s="1"/>
  <c i="6" r="G15"/>
  <c i="6" r="G16"/>
  <c i="6" r="G13"/>
  <c i="6" r="D13"/>
  <c i="6" r="D16"/>
  <c i="6" r="D12"/>
  <c i="6" r="D15"/>
  <c i="1" r="S15"/>
  <c i="1" r="U13"/>
  <c i="6" l="1" r="I13"/>
  <c i="6" r="J13" s="1"/>
  <c i="6" r="I15"/>
  <c i="6" r="J15" s="1"/>
  <c i="6" r="I12"/>
  <c i="6" r="J12" s="1"/>
  <c i="1" r="B26"/>
  <c i="1" r="C26"/>
  <c i="1" r="D26"/>
  <c i="1" r="E26"/>
  <c i="1" r="F26"/>
  <c i="1" r="G26"/>
  <c i="1" r="H26"/>
  <c i="1" r="S28"/>
  <c i="1" r="U26"/>
  <c i="1" r="J27"/>
  <c i="1" r="W39"/>
  <c i="1" r="L39"/>
  <c i="1" r="A39"/>
  <c i="1" r="L26"/>
  <c i="1" r="A26"/>
  <c i="1" r="L13"/>
  <c i="1" r="AD32"/>
  <c i="1" r="S32"/>
  <c i="1" r="H32"/>
  <c i="1" r="S19"/>
  <c i="1" r="H19"/>
  <c i="1" r="S6"/>
  <c i="1" r="H6"/>
  <c i="6" l="1" r="K12"/>
  <c i="6" r="D33" s="1"/>
  <c i="6" r="D43" s="1"/>
  <c i="6" r="Q52" s="1"/>
  <c i="6" r="K15"/>
  <c i="6" r="D36" s="1"/>
  <c i="6" r="D46" s="1"/>
  <c i="6" r="Q55" s="1"/>
  <c i="6" r="K14"/>
  <c i="6" r="D35" s="1"/>
  <c i="6" r="D45" s="1"/>
  <c i="6" r="Q54" s="1"/>
  <c i="6" r="K13"/>
  <c i="6" r="D34" s="1"/>
  <c i="6" r="D44" s="1"/>
  <c i="6" r="Q53" s="1"/>
  <c i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4"/>
  <c i="1" r="H25"/>
  <c i="1" r="H23"/>
  <c i="1" r="I28"/>
  <c i="1" r="U25"/>
  <c i="1" r="R25"/>
  <c i="1" r="Q25"/>
  <c i="1" r="P25"/>
  <c i="1" r="O25"/>
  <c i="1" r="N25"/>
  <c i="1" r="M25"/>
  <c i="1" r="G25"/>
  <c i="1" r="F25"/>
  <c i="1" r="E25"/>
  <c i="1" r="D25"/>
  <c i="1" r="C25"/>
  <c i="1" r="B25"/>
  <c i="1" r="U24"/>
  <c i="1" r="R24"/>
  <c i="1" r="Q24"/>
  <c i="1" r="P24"/>
  <c i="1" r="O24"/>
  <c i="1" r="N24"/>
  <c i="1" r="M24"/>
  <c i="1" r="G24"/>
  <c i="1" r="F24"/>
  <c i="1" r="E24"/>
  <c i="1" r="D24"/>
  <c i="1" r="C24"/>
  <c i="1" r="B24"/>
  <c i="1" r="U23"/>
  <c i="1" r="R23"/>
  <c i="1" r="Q23"/>
  <c i="1" r="P23"/>
  <c i="1" r="O23"/>
  <c i="1" r="N23"/>
  <c i="1" r="M23"/>
  <c i="1" r="G23"/>
  <c i="1" r="F23"/>
  <c i="1" r="E23"/>
  <c i="1" r="D23"/>
  <c i="1" r="C23"/>
  <c i="1" r="B23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1" l="1" r="H20"/>
  <c i="1" r="H21"/>
  <c i="1" r="H22"/>
  <c i="1" r="J24"/>
  <c i="1" r="J25"/>
  <c i="1" r="J23"/>
  <c i="1" r="U20"/>
  <c i="1" r="U21"/>
  <c i="1" r="B21"/>
  <c i="1" r="C21"/>
  <c i="1" r="J15"/>
  <c i="1" r="B22"/>
  <c i="1" r="D21"/>
  <c i="1" r="E21"/>
  <c i="1" r="F21"/>
  <c i="1" r="G21"/>
  <c i="1" r="F22"/>
  <c i="1" r="B20"/>
  <c i="1" r="E20"/>
  <c i="1" r="C22"/>
  <c i="1" r="D22"/>
  <c i="1" r="U15"/>
  <c i="1" r="U28" s="1"/>
  <c i="1" r="G22"/>
  <c i="1" r="F20"/>
  <c i="1" r="U22"/>
  <c i="1" r="D20"/>
  <c i="1" r="G20"/>
  <c i="1" r="E22"/>
  <c i="1" r="C20"/>
  <c i="4" r="F102"/>
  <c i="4" r="G101" s="1"/>
  <c i="4" r="B102"/>
  <c i="4" r="C102" s="1"/>
  <c i="3" r="F102"/>
  <c i="3" r="G101" s="1"/>
  <c i="3" r="B102"/>
  <c i="3" r="C14" s="1"/>
  <c i="1" l="1" r="F28"/>
  <c i="1" r="S36"/>
  <c i="1" r="S35"/>
  <c i="1" r="M39"/>
  <c i="1" r="N39"/>
  <c i="1" r="O39"/>
  <c i="1" r="P39"/>
  <c i="1" r="R39"/>
  <c i="1" r="S39"/>
  <c i="1" r="S34"/>
  <c i="1" r="S33"/>
  <c i="1" r="S38"/>
  <c i="1" r="S37"/>
  <c i="1" r="Q39"/>
  <c i="1" r="G28"/>
  <c i="1" r="S41"/>
  <c i="1" r="U39"/>
  <c i="1" r="H28"/>
  <c i="1" r="J21"/>
  <c i="1" r="O36"/>
  <c i="1" r="R41"/>
  <c i="1" r="Q41"/>
  <c i="1" r="O41"/>
  <c i="1" r="N41"/>
  <c i="1" r="R34"/>
  <c i="1" r="U35"/>
  <c i="1" r="Q36"/>
  <c i="1" r="Q38"/>
  <c i="1" r="M34"/>
  <c i="1" r="R36"/>
  <c i="1" r="N37"/>
  <c i="1" r="P35"/>
  <c i="1" r="M37"/>
  <c i="1" r="Q35"/>
  <c i="1" r="O37"/>
  <c i="1" r="O35"/>
  <c i="1" r="U41"/>
  <c i="1" r="T41"/>
  <c i="1" r="U37"/>
  <c i="1" r="R37"/>
  <c i="1" r="R35"/>
  <c i="1" r="P37"/>
  <c i="1" r="N35"/>
  <c i="1" r="O38"/>
  <c i="1" r="Q37"/>
  <c i="1" r="N38"/>
  <c i="1" r="M35"/>
  <c i="1" r="M38"/>
  <c i="1" r="E28"/>
  <c i="1" r="Q33"/>
  <c i="1" r="P36"/>
  <c i="1" r="N36"/>
  <c i="1" r="R38"/>
  <c i="1" r="Q34"/>
  <c i="1" r="M36"/>
  <c i="1" r="O34"/>
  <c i="1" r="M33"/>
  <c i="1" r="R33"/>
  <c i="1" r="J22"/>
  <c i="1" r="O33"/>
  <c i="1" r="C28"/>
  <c i="1" r="N33"/>
  <c i="1" r="P41"/>
  <c i="1" r="D28"/>
  <c i="1" r="P38"/>
  <c i="1" r="J20"/>
  <c i="1" r="B28"/>
  <c i="1" r="P33"/>
  <c i="1" r="U38"/>
  <c i="1" r="U34"/>
  <c i="1" r="M41"/>
  <c i="1" r="U33"/>
  <c i="1" r="N34"/>
  <c i="1" r="P34"/>
  <c i="1" r="U36"/>
  <c i="4" r="G11"/>
  <c i="4" r="G39"/>
  <c i="4" r="G15"/>
  <c i="4" r="C30"/>
  <c i="4" r="C54"/>
  <c i="4" r="C26"/>
  <c i="4" r="C46"/>
  <c i="4" r="G31"/>
  <c i="4" r="C14"/>
  <c i="4" r="C38"/>
  <c i="4" r="C22"/>
  <c i="4" r="C42"/>
  <c i="4" r="C58"/>
  <c i="4" r="C18"/>
  <c i="4" r="C34"/>
  <c i="4" r="C50"/>
  <c i="4" r="C62"/>
  <c i="4" r="C75"/>
  <c i="4" r="C13"/>
  <c i="4" r="C17"/>
  <c i="4" r="C21"/>
  <c i="4" r="C25"/>
  <c i="4" r="C29"/>
  <c i="4" r="C33"/>
  <c i="4" r="C37"/>
  <c i="4" r="C41"/>
  <c i="4" r="C45"/>
  <c i="4" r="C49"/>
  <c i="4" r="C53"/>
  <c i="4" r="C57"/>
  <c i="4" r="C61"/>
  <c i="4" r="C65"/>
  <c i="4" r="C71"/>
  <c i="4" r="C99"/>
  <c i="4" r="G27"/>
  <c i="4" r="G47"/>
  <c i="4" r="C66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87"/>
  <c i="4" r="G23"/>
  <c i="4" r="G43"/>
  <c i="4" r="C11"/>
  <c i="4" r="C15"/>
  <c i="4" r="C19"/>
  <c i="4" r="C23"/>
  <c i="4" r="C27"/>
  <c i="4" r="C31"/>
  <c i="4" r="C35"/>
  <c i="4" r="C39"/>
  <c i="4" r="C43"/>
  <c i="4" r="C47"/>
  <c i="4" r="C51"/>
  <c i="4" r="C55"/>
  <c i="4" r="C59"/>
  <c i="4" r="C63"/>
  <c i="4" r="C67"/>
  <c i="4" r="C83"/>
  <c i="4" r="G59"/>
  <c i="4" r="C73"/>
  <c i="4" r="C91"/>
  <c i="4" r="G19"/>
  <c i="4" r="G35"/>
  <c i="4" r="G51"/>
  <c i="4" r="C69"/>
  <c i="4" r="C79"/>
  <c i="4" r="C95"/>
  <c i="4" r="G13"/>
  <c i="4" r="G17"/>
  <c i="4" r="G21"/>
  <c i="4" r="G25"/>
  <c i="4" r="G29"/>
  <c i="4" r="G33"/>
  <c i="4" r="G37"/>
  <c i="4" r="G41"/>
  <c i="4" r="G45"/>
  <c i="4" r="G49"/>
  <c i="4" r="G53"/>
  <c i="4" r="G57"/>
  <c i="4" r="G61"/>
  <c i="4" r="G65"/>
  <c i="4" r="G69"/>
  <c i="4" r="G73"/>
  <c i="4" r="G77"/>
  <c i="4" r="G81"/>
  <c i="4" r="G85"/>
  <c i="4" r="G92"/>
  <c i="4" r="G102"/>
  <c i="4" r="G55"/>
  <c i="4" r="G63"/>
  <c i="4" r="G71"/>
  <c i="4" r="G83"/>
  <c i="4" r="G12"/>
  <c i="4" r="G16"/>
  <c i="4" r="G20"/>
  <c i="4" r="G24"/>
  <c i="4" r="G28"/>
  <c i="4" r="G32"/>
  <c i="4" r="G36"/>
  <c i="4" r="G40"/>
  <c i="4" r="G44"/>
  <c i="4" r="G48"/>
  <c i="4" r="G52"/>
  <c i="4" r="G56"/>
  <c i="4" r="G60"/>
  <c i="4" r="G64"/>
  <c i="4" r="G68"/>
  <c i="4" r="G72"/>
  <c i="4" r="G76"/>
  <c i="4" r="G80"/>
  <c i="4" r="G84"/>
  <c i="4" r="G90"/>
  <c i="4" r="G98"/>
  <c i="4" r="G67"/>
  <c i="4" r="G75"/>
  <c i="4" r="G79"/>
  <c i="4" r="G88"/>
  <c i="4" r="G96"/>
  <c i="4" r="G14"/>
  <c i="4" r="G18"/>
  <c i="4" r="G22"/>
  <c i="4" r="G26"/>
  <c i="4" r="G30"/>
  <c i="4" r="G34"/>
  <c i="4" r="G38"/>
  <c i="4" r="G42"/>
  <c i="4" r="G46"/>
  <c i="4" r="G50"/>
  <c i="4" r="G54"/>
  <c i="4" r="G58"/>
  <c i="4" r="G62"/>
  <c i="4" r="G66"/>
  <c i="4" r="G70"/>
  <c i="4" r="G74"/>
  <c i="4" r="G78"/>
  <c i="4" r="G82"/>
  <c i="4" r="G86"/>
  <c i="4" r="G94"/>
  <c i="4" r="G87"/>
  <c i="4" r="G89"/>
  <c i="4" r="G91"/>
  <c i="4" r="G93"/>
  <c i="4" r="G95"/>
  <c i="4" r="G97"/>
  <c i="4" r="G100"/>
  <c i="4" r="C70"/>
  <c i="4" r="C72"/>
  <c i="4" r="C74"/>
  <c i="4" r="C77"/>
  <c i="4" r="C81"/>
  <c i="4" r="C85"/>
  <c i="4" r="C89"/>
  <c i="4" r="C93"/>
  <c i="4" r="C97"/>
  <c i="4" r="C101"/>
  <c i="4" r="G99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C13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1" l="1" r="J28"/>
  <c i="1" l="1" r="F39"/>
  <c i="1" r="AB39" s="1"/>
  <c i="1" r="E39"/>
  <c i="1" r="AA39" s="1"/>
  <c i="1" r="G39"/>
  <c i="1" r="AC39" s="1"/>
  <c i="1" r="D39"/>
  <c i="1" r="Z39" s="1"/>
  <c i="1" r="H39"/>
  <c i="1" r="AD39" s="1"/>
  <c i="1" r="C39"/>
  <c i="1" r="Y39" s="1"/>
  <c i="1" r="B39"/>
  <c i="1" r="X39" s="1"/>
  <c i="1" r="H36"/>
  <c i="1" r="AD36" s="1"/>
  <c i="1" r="H38"/>
  <c i="1" r="AD38" s="1"/>
  <c i="1" r="H37"/>
  <c i="1" r="AD37" s="1"/>
  <c i="1" r="H34"/>
  <c i="1" r="AD34" s="1"/>
  <c i="1" r="H35"/>
  <c i="1" r="AD35" s="1"/>
  <c i="1" r="H33"/>
  <c i="1" r="AD33" s="1"/>
  <c i="1" r="J39"/>
  <c i="1" r="AF39" s="1"/>
  <c i="1" r="H41"/>
  <c i="1" r="AD41" s="1"/>
  <c i="1" r="J33"/>
  <c i="1" r="AF33" s="1"/>
  <c i="1" r="G41"/>
  <c i="1" r="AC41" s="1"/>
  <c i="1" r="F41"/>
  <c i="1" r="AB41" s="1"/>
  <c i="1" r="C41"/>
  <c i="1" r="Y41" s="1"/>
  <c i="1" r="E41"/>
  <c i="1" r="AA41" s="1"/>
  <c i="1" r="D41"/>
  <c i="1" r="Z41" s="1"/>
  <c i="1" r="B41"/>
  <c i="1" r="X41" s="1"/>
  <c i="1" r="G38"/>
  <c i="1" r="AC38" s="1"/>
  <c i="1" r="F38"/>
  <c i="1" r="AB38" s="1"/>
  <c i="1" r="E38"/>
  <c i="1" r="AA38" s="1"/>
  <c i="1" r="G37"/>
  <c i="1" r="AC37" s="1"/>
  <c i="1" r="B37"/>
  <c i="1" r="X37" s="1"/>
  <c i="1" r="E37"/>
  <c i="1" r="AA37" s="1"/>
  <c i="1" r="G36"/>
  <c i="1" r="AC36" s="1"/>
  <c i="1" r="B36"/>
  <c i="1" r="X36" s="1"/>
  <c i="1" r="C36"/>
  <c i="1" r="Y36" s="1"/>
  <c i="1" r="C37"/>
  <c i="1" r="Y37" s="1"/>
  <c i="1" r="D37"/>
  <c i="1" r="Z37" s="1"/>
  <c i="1" r="J41"/>
  <c i="1" r="AF41" s="1"/>
  <c i="1" r="D34"/>
  <c i="1" r="Z34" s="1"/>
  <c i="1" r="J37"/>
  <c i="1" r="AF37" s="1"/>
  <c i="1" r="G34"/>
  <c i="1" r="AC34" s="1"/>
  <c i="1" r="C34"/>
  <c i="1" r="Y34" s="1"/>
  <c i="1" r="F34"/>
  <c i="1" r="AB34" s="1"/>
  <c i="1" r="F36"/>
  <c i="1" r="AB36" s="1"/>
  <c i="1" r="E34"/>
  <c i="1" r="AA34" s="1"/>
  <c i="1" r="E36"/>
  <c i="1" r="AA36" s="1"/>
  <c i="1" r="D36"/>
  <c i="1" r="Z36" s="1"/>
  <c i="1" r="B35"/>
  <c i="1" r="X35" s="1"/>
  <c i="1" r="D38"/>
  <c i="1" r="Z38" s="1"/>
  <c i="1" r="B38"/>
  <c i="1" r="X38" s="1"/>
  <c i="1" r="I41"/>
  <c i="1" r="AE41" s="1"/>
  <c i="1" r="J36"/>
  <c i="1" r="AF36" s="1"/>
  <c i="1" r="F37"/>
  <c i="1" r="AB37" s="1"/>
  <c i="1" r="B34"/>
  <c i="1" r="X34" s="1"/>
  <c i="1" r="C38"/>
  <c i="1" r="Y38" s="1"/>
  <c i="1" r="J38"/>
  <c i="1" r="AF38" s="1"/>
  <c i="1" r="G33"/>
  <c i="1" r="AC33" s="1"/>
  <c i="1" r="G35"/>
  <c i="1" r="AC35" s="1"/>
  <c i="1" r="C35"/>
  <c i="1" r="Y35" s="1"/>
  <c i="1" r="E35"/>
  <c i="1" r="AA35" s="1"/>
  <c i="1" r="E33"/>
  <c i="1" r="AA33" s="1"/>
  <c i="1" r="J34"/>
  <c i="1" r="AF34" s="1"/>
  <c i="1" r="C33"/>
  <c i="1" r="Y33" s="1"/>
  <c i="1" r="D33"/>
  <c i="1" r="Z33" s="1"/>
  <c i="1" r="F33"/>
  <c i="1" r="AB33" s="1"/>
  <c i="1" r="F35"/>
  <c i="1" r="AB35" s="1"/>
  <c i="1" r="D35"/>
  <c i="1" r="Z35" s="1"/>
  <c i="1" r="B33"/>
  <c i="1" r="X33" s="1"/>
  <c i="1" r="J35"/>
  <c i="1" r="AF35" s="1"/>
</calcChain>
</file>

<file path=xl/sharedStrings.xml><?xml version="1.0" encoding="utf-8"?>
<sst xmlns="http://schemas.openxmlformats.org/spreadsheetml/2006/main" count="716" uniqueCount="284">
  <si>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</si>
  <si>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</si>
  <si>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</si>
  <si>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</si>
  <si>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</si>
  <si>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</si>
  <si>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</si>
  <si>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</si>
  <si>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</si>
  <si>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</si>
  <si>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</si>
  <si>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</si>
  <si>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</si>
  <si>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</si>
  <si>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</si>
  <si>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</si>
  <si>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</si>
  <si>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</si>
  <si>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</si>
  <si>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</si>
  <si>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</si>
  <si>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</si>
  <si>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</si>
  <si>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</si>
  <si>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</si>
  <si>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</si>
  <si>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</si>
  <si>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</si>
  <si>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</si>
  <si>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</si>
  <si>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</si>
  <si>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</si>
  <si>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</si>
  <si>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SocioRec Tour Flows by County: DaySim</t>
  </si>
  <si>
    <t>Table X. Observed Trip Lengths: Survey</t>
  </si>
  <si>
    <t>Survey</t>
  </si>
  <si>
    <t>Table X. Observed Trip Durations: Survey</t>
  </si>
  <si>
    <t>Table X. Observed SocioRec Tour Flows by County: Survey</t>
  </si>
  <si>
    <t>Table X. Adjusted SocioRec Tour Flows by County: Survey</t>
  </si>
  <si>
    <t>Table X. Adjusted Observed SocioRec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</si>
  <si>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</si>
  <si>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</si>
  <si>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</si>
  <si>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</si>
  <si>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</si>
  <si>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</si>
  <si>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</si>
  <si>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</si>
  <si>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</si>
  <si>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</si>
  <si>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</si>
  <si>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</si>
  <si>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</si>
  <si>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</si>
  <si>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</si>
  <si>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</si>
  <si>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</si>
  <si>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</si>
  <si>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</si>
  <si>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</si>
  <si>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</si>
  <si>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</si>
  <si>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</si>
  <si>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</si>
  <si>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</si>
  <si>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</si>
  <si>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</si>
  <si>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</si>
  <si>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</si>
  <si>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</si>
  <si>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</si>
  <si>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</si>
  <si>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</si>
  <si>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</si>
  <si>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</si>
  <si>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</si>
  <si>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</si>
  <si>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</si>
  <si>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</si>
  <si>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</si>
  <si>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</si>
  <si>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</si>
  <si>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</si>
  <si>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</si>
  <si>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</si>
  <si>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</si>
  <si>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</si>
  <si>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</si>
  <si>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</si>
  <si>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</si>
  <si>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</si>
  <si>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</si>
  <si>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</si>
  <si>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</si>
  <si>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</si>
  <si>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</si>
  <si>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</si>
  <si>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</si>
  <si>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</si>
  <si>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</si>
  <si>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</si>
  <si>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</si>
  <si>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</si>
  <si>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</si>
  <si>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</si>
  <si>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</si>
  <si>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</si>
  <si>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</si>
  <si>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</si>
  <si>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</si>
  <si>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</si>
  <si>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</si>
  <si>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</si>
  <si>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</si>
  <si>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</si>
  <si>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</si>
  <si>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</si>
  <si>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</si>
  <si>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</si>
  <si>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</si>
  <si>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</si>
  <si>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</si>
  <si>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</si>
  <si>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</si>
  <si>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</si>
  <si>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</si>
  <si>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</si>
  <si>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</si>
  <si>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</si>
  <si>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</si>
  <si>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</si>
  <si>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</si>
  <si>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</si>
  <si>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</si>
  <si>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</si>
  <si>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</si>
  <si>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</si>
  <si>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</si>
  <si>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</si>
  <si>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</si>
  <si>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</si>
  <si>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</si>
  <si>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</si>
  <si>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</si>
  <si>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</si>
  <si>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</si>
  <si>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</si>
  <si>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</si>
  <si>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</si>
  <si>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</si>
  <si>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</si>
  <si>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</si>
  <si>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</si>
  <si>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</si>
  <si>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</si>
  <si>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</si>
  <si>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</si>
  <si>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</si>
  <si>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</si>
  <si>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</si>
  <si>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</si>
  <si>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</si>
  <si>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</si>
  <si>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</si>
  <si>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</si>
  <si>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</si>
  <si>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</si>
  <si>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</si>
  <si>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</si>
  <si>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</si>
  <si>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</si>
  <si>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</si>
  <si>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</si>
  <si>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</si>
  <si>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</si>
  <si>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</si>
  <si>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</si>
  <si>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</si>
  <si>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</si>
  <si>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</si>
  <si>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</si>
  <si>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</si>
  <si>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</si>
  <si>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</si>
  <si>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</si>
  <si>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</si>
  <si>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</si>
  <si>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</si>
  <si>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</si>
  <si>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</si>
  <si>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</si>
  <si>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</si>
  <si>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</si>
  <si>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</si>
  <si>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</si>
  <si>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</si>
  <si>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</si>
  <si>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</si>
  <si>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</si>
  <si>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</si>
  <si>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</si>
  <si>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</si>
  <si>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</si>
  <si>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</si>
  <si>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</si>
  <si>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</si>
  <si>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</si>
  <si>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</si>
  <si>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</si>
  <si>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</si>
  <si>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</si>
  <si>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</si>
  <si>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</si>
  <si>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</si>
  <si>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</si>
  <si>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</si>
  <si>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</si>
  <si>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</si>
  <si>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</si>
  <si>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</si>
  <si>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</si>
  <si>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</si>
  <si>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</si>
  <si>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</si>
  <si>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</si>
  <si>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</si>
  <si>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</si>
  <si>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</si>
  <si>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</si>
  <si>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</si>
  <si>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</si>
  <si>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</si>
  <si>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</si>
  <si>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</si>
  <si>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</si>
  <si>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</si>
  <si>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</si>
  <si>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</si>
  <si>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</si>
  <si>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</si>
  <si>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</si>
  <si>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</si>
  <si>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</si>
  <si>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</si>
  <si>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</si>
  <si>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</si>
  <si>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</si>
  <si>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</si>
  <si>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</si>
  <si>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</si>
  <si>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</si>
  <si>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</si>
  <si>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</si>
  <si>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</si>
  <si>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v0402)</t>
  </si>
  <si>
    <t>Oct</t>
  </si>
  <si>
    <t>Beta00118</t>
  </si>
  <si>
    <t>011:04:21</t>
  </si>
  <si>
    <t>Index</t>
  </si>
  <si>
    <t>Tag</t>
  </si>
  <si>
    <t>Description</t>
  </si>
  <si>
    <t>Old</t>
  </si>
  <si>
    <t>New</t>
  </si>
  <si>
    <t>OtherTourDestinationModel.F12</t>
  </si>
  <si>
    <t>Open "OtherTourDestinationModel.F12" in Notepad+</t>
  </si>
  <si>
    <t>UltraEdit Instructions: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</si>
  <si>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</si>
  <si>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</si>
  <si>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</si>
  <si>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</si>
  <si>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</si>
  <si>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</si>
  <si>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Paste (Ctrl-v)</t>
  </si>
  <si>
    <t>Open "OtherTourDestinationModel.F12" in UltraEdit</t>
  </si>
  <si>
    <t>Open "OtherTourDestinationModel.F12"</t>
  </si>
  <si>
    <t>Choose column mode and select 4th columns from line 4 to line 105</t>
  </si>
  <si>
    <t>Hold Alt and using mouse select the 4th column from line line 4 to line 105</t>
  </si>
  <si>
    <t>ALL</t>
  </si>
  <si>
    <t>RATIO</t>
  </si>
  <si>
    <t>LN(RATIO)</t>
  </si>
  <si>
    <t>ADJ</t>
  </si>
  <si>
    <t>Copy (Ctrl-c) cells Q3:Q104</t>
  </si>
  <si>
    <t>CALIBRATION</t>
  </si>
  <si>
    <t>Damp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</si>
</sst>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0.000000"/>
    <numFmt numFmtId="171" formatCode="0.00000000"/>
    <numFmt numFmtId="172" formatCode="#,##0.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381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Border="1" applyNumberFormat="1" borderId="4" fillId="0" fontId="0" numFmtId="164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Font="1" applyNumberFormat="1" borderId="0" fillId="0" fontId="0" numFmtId="169" xfId="8"/>
    <xf applyBorder="1" applyFont="1" applyNumberFormat="1" borderId="1" fillId="0" fontId="0" numFmtId="169" xfId="8"/>
    <xf applyAlignment="1" applyFont="1" applyNumberFormat="1" borderId="0" fillId="0" fontId="2" numFmtId="169" xfId="8"/>
    <xf applyAlignment="1" applyBorder="1" applyFont="1" applyNumberFormat="1" borderId="1" fillId="0" fontId="2" numFmtId="169" xfId="8"/>
    <xf applyAlignment="1" applyFont="1" borderId="0" fillId="0" fontId="0" numFmtId="0" xfId="0">
      <alignment horizontal="left"/>
    </xf>
    <xf applyBorder="1" applyFont="1" borderId="1" fillId="0" fontId="0" numFmtId="0" xfId="0"/>
    <xf applyAlignment="1" applyBorder="1" applyFont="1" borderId="1" fillId="0" fontId="0" numFmtId="0" xfId="0">
      <alignment horizontal="left"/>
    </xf>
    <xf applyAlignment="1" applyBorder="1" applyFont="1" borderId="2" fillId="0" fontId="1" numFmtId="0" xfId="0">
      <alignment horizontal="left"/>
    </xf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Border="1" applyFill="1" applyFont="1" borderId="5" fillId="5" fontId="5" numFmtId="0" xfId="0"/>
    <xf applyBorder="1" applyFill="1" applyFont="1" borderId="6" fillId="5" fontId="7" numFmtId="0" xfId="0"/>
    <xf applyBorder="1" applyFill="1" applyFont="1" borderId="7" fillId="5" fontId="7" numFmtId="0" xfId="0"/>
    <xf applyBorder="1" applyFill="1" applyFont="1" borderId="8" fillId="5" fontId="7" numFmtId="0" xfId="0"/>
    <xf applyBorder="1" applyFill="1" applyFont="1" borderId="0" fillId="5" fontId="7" numFmtId="0" xfId="0"/>
    <xf applyBorder="1" applyFill="1" applyFont="1" borderId="9" fillId="5" fontId="7" numFmtId="0" xfId="0"/>
    <xf applyBorder="1" applyFill="1" applyFont="1" borderId="10" fillId="5" fontId="7" numFmtId="0" xfId="0"/>
    <xf applyBorder="1" applyFill="1" applyFont="1" borderId="3" fillId="5" fontId="7" numFmtId="0" xfId="0"/>
    <xf applyBorder="1" applyFill="1" applyFont="1" borderId="11" fillId="5" fontId="7" numFmtId="0" xfId="0"/>
    <xf applyFont="1" borderId="0" fillId="0" fontId="8" numFmtId="0" xfId="0"/>
    <xf applyAlignment="1" applyFill="1" applyFont="1" applyNumberFormat="1" borderId="0" fillId="6" fontId="7" numFmtId="166" xfId="0">
      <alignment horizontal="right"/>
    </xf>
    <xf applyAlignment="1" applyBorder="1" applyFill="1" applyFont="1" applyNumberFormat="1" borderId="1" fillId="6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  <xf applyAlignment="1" applyBorder="1" applyFont="1" borderId="12" fillId="0" fontId="0" numFmtId="0" xfId="0">
      <alignment horizontal="left"/>
    </xf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0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0" xfId="0">
      <alignment horizontal="right" vertical="top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1" xfId="0">
      <alignment horizontal="right"/>
    </xf>
    <xf applyAlignment="1" applyBorder="1" applyFont="1" applyNumberFormat="1" borderId="6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ill="1" applyFont="1" applyNumberFormat="1" borderId="0" fillId="7" fontId="0" numFmtId="172" xfId="0">
      <alignment horizontal="right"/>
    </xf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haredStrings.xml" Type="http://schemas.openxmlformats.org/officeDocument/2006/relationships/sharedStrings"/>
<Relationship Id="rId11" Target="calcChain.xml" Type="http://schemas.openxmlformats.org/officeDocument/2006/relationships/calcChain"/>
<Relationship Id="rId12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theme/theme1.xml" Type="http://schemas.openxmlformats.org/officeDocument/2006/relationships/theme"/>
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Social/Recreation</a:t>
            </a:r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0.24409030885147889</c:v>
                </c:pt>
                <c:pt idx="1">
                  <c:v>0.23255645224268454</c:v>
                </c:pt>
                <c:pt idx="2">
                  <c:v>0.14413285834717779</c:v>
                </c:pt>
                <c:pt idx="3">
                  <c:v>9.5220762005899642E-2</c:v>
                </c:pt>
                <c:pt idx="4">
                  <c:v>5.8294665834802556E-2</c:v>
                </c:pt>
                <c:pt idx="5">
                  <c:v>2.8758230661792221E-2</c:v>
                </c:pt>
                <c:pt idx="6">
                  <c:v>2.8086449819451992E-2</c:v>
                </c:pt>
                <c:pt idx="7">
                  <c:v>3.9440450427000048E-2</c:v>
                </c:pt>
                <c:pt idx="8">
                  <c:v>7.3017500897403645E-3</c:v>
                </c:pt>
                <c:pt idx="9">
                  <c:v>7.5643835035622371E-3</c:v>
                </c:pt>
                <c:pt idx="10">
                  <c:v>3.836726819742721E-2</c:v>
                </c:pt>
                <c:pt idx="11">
                  <c:v>2.1088621551134105E-2</c:v>
                </c:pt>
                <c:pt idx="12">
                  <c:v>6.2991115279477259E-3</c:v>
                </c:pt>
                <c:pt idx="13">
                  <c:v>1.0636117818588298E-2</c:v>
                </c:pt>
                <c:pt idx="14">
                  <c:v>9.7847650836584404E-3</c:v>
                </c:pt>
                <c:pt idx="15">
                  <c:v>5.2752777194908429E-3</c:v>
                </c:pt>
                <c:pt idx="16">
                  <c:v>5.143299826747781E-3</c:v>
                </c:pt>
                <c:pt idx="17">
                  <c:v>3.7759034385333348E-3</c:v>
                </c:pt>
                <c:pt idx="18">
                  <c:v>1.2144893103985125E-3</c:v>
                </c:pt>
                <c:pt idx="19">
                  <c:v>3.4405543711992044E-3</c:v>
                </c:pt>
                <c:pt idx="20">
                  <c:v>1.7505334422279019E-3</c:v>
                </c:pt>
                <c:pt idx="21">
                  <c:v>0</c:v>
                </c:pt>
                <c:pt idx="22">
                  <c:v>3.7634155608744259E-3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4.0143303681820734E-3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95-43A7-986E-D9A895BD5D86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8.9285574843238763E-2</c:v>
                </c:pt>
                <c:pt idx="1">
                  <c:v>9.2822951562146164E-2</c:v>
                </c:pt>
                <c:pt idx="2">
                  <c:v>8.8379756522282346E-2</c:v>
                </c:pt>
                <c:pt idx="3">
                  <c:v>8.7598878659388882E-2</c:v>
                </c:pt>
                <c:pt idx="4">
                  <c:v>9.0035217591616493E-2</c:v>
                </c:pt>
                <c:pt idx="5">
                  <c:v>7.9532410335699397E-2</c:v>
                </c:pt>
                <c:pt idx="6">
                  <c:v>7.0294625217669701E-2</c:v>
                </c:pt>
                <c:pt idx="7">
                  <c:v>5.671515918195235E-2</c:v>
                </c:pt>
                <c:pt idx="8">
                  <c:v>6.4961229414107341E-2</c:v>
                </c:pt>
                <c:pt idx="9">
                  <c:v>3.8466043526132081E-2</c:v>
                </c:pt>
                <c:pt idx="10">
                  <c:v>3.7380623296710158E-2</c:v>
                </c:pt>
                <c:pt idx="11">
                  <c:v>3.7919429022106654E-2</c:v>
                </c:pt>
                <c:pt idx="12">
                  <c:v>3.1032086271386292E-2</c:v>
                </c:pt>
                <c:pt idx="13">
                  <c:v>2.6018850391610247E-2</c:v>
                </c:pt>
                <c:pt idx="14">
                  <c:v>2.0146648862651394E-2</c:v>
                </c:pt>
                <c:pt idx="15">
                  <c:v>1.930330077072645E-2</c:v>
                </c:pt>
                <c:pt idx="16">
                  <c:v>1.3368629012736118E-2</c:v>
                </c:pt>
                <c:pt idx="17">
                  <c:v>1.1385199240986717E-2</c:v>
                </c:pt>
                <c:pt idx="18">
                  <c:v>8.4022458047336816E-3</c:v>
                </c:pt>
                <c:pt idx="19">
                  <c:v>8.3085404611864654E-3</c:v>
                </c:pt>
                <c:pt idx="20">
                  <c:v>6.8326813003178177E-3</c:v>
                </c:pt>
                <c:pt idx="21">
                  <c:v>5.1147500019521949E-3</c:v>
                </c:pt>
                <c:pt idx="22">
                  <c:v>3.7794488564043697E-3</c:v>
                </c:pt>
                <c:pt idx="23">
                  <c:v>3.4358625967312452E-3</c:v>
                </c:pt>
                <c:pt idx="24">
                  <c:v>2.0537087794098123E-3</c:v>
                </c:pt>
                <c:pt idx="25">
                  <c:v>1.3353011455478248E-3</c:v>
                </c:pt>
                <c:pt idx="26">
                  <c:v>1.3587274814346288E-3</c:v>
                </c:pt>
                <c:pt idx="27">
                  <c:v>9.3705343547215777E-4</c:v>
                </c:pt>
                <c:pt idx="28">
                  <c:v>7.3402519111985694E-4</c:v>
                </c:pt>
                <c:pt idx="29">
                  <c:v>6.6374618345944512E-4</c:v>
                </c:pt>
                <c:pt idx="30">
                  <c:v>4.9976183225181753E-4</c:v>
                </c:pt>
                <c:pt idx="31">
                  <c:v>4.5290916047820959E-4</c:v>
                </c:pt>
                <c:pt idx="32">
                  <c:v>3.5920381693099382E-4</c:v>
                </c:pt>
                <c:pt idx="33">
                  <c:v>2.2645458023910479E-4</c:v>
                </c:pt>
                <c:pt idx="34">
                  <c:v>1.9521946572336621E-4</c:v>
                </c:pt>
                <c:pt idx="35">
                  <c:v>1.7179312983656226E-4</c:v>
                </c:pt>
                <c:pt idx="36">
                  <c:v>9.3705343547215779E-5</c:v>
                </c:pt>
                <c:pt idx="37">
                  <c:v>9.3705343547215779E-5</c:v>
                </c:pt>
                <c:pt idx="38">
                  <c:v>6.2470229031477191E-5</c:v>
                </c:pt>
                <c:pt idx="39">
                  <c:v>3.9043893144673242E-5</c:v>
                </c:pt>
                <c:pt idx="40">
                  <c:v>8.5896564918281132E-5</c:v>
                </c:pt>
                <c:pt idx="41">
                  <c:v>3.9043893144673242E-5</c:v>
                </c:pt>
                <c:pt idx="42">
                  <c:v>2.3426335886803945E-5</c:v>
                </c:pt>
                <c:pt idx="43">
                  <c:v>0</c:v>
                </c:pt>
                <c:pt idx="44">
                  <c:v>1.5617557257869298E-5</c:v>
                </c:pt>
                <c:pt idx="45">
                  <c:v>0</c:v>
                </c:pt>
                <c:pt idx="46">
                  <c:v>7.8087786289346488E-6</c:v>
                </c:pt>
                <c:pt idx="47">
                  <c:v>0</c:v>
                </c:pt>
                <c:pt idx="48">
                  <c:v>2.3426335886803945E-5</c:v>
                </c:pt>
                <c:pt idx="49">
                  <c:v>0</c:v>
                </c:pt>
                <c:pt idx="50">
                  <c:v>7.8087786289346488E-6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895-43A7-986E-D9A895BD5D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98664"/>
        <c:axId val="128398272"/>
      </c:lineChart>
      <c:catAx>
        <c:axId val="128398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128398272"/>
        <c:crosses val="autoZero"/>
        <c:auto val="1"/>
        <c:lblAlgn val="ctr"/>
        <c:lblOffset val="100"/>
        <c:tickLblSkip val="10"/>
        <c:noMultiLvlLbl val="0"/>
      </c:catAx>
      <c:valAx>
        <c:axId val="128398272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</a:t>
                </a:r>
                <a:r>
                  <a:rPr baseline="0" lang="en-US"/>
                  <a:t> (%)</a:t>
                </a:r>
                <a:endParaRPr lang="en-US"/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128398664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55" footer="0.30000000000000032" header="0.30000000000000032" l="0.70000000000000062" r="0.70000000000000062" t="0.7500000000000015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2.7078168972147348E-2</c:v>
                </c:pt>
                <c:pt idx="1">
                  <c:v>7.4947719389636222E-2</c:v>
                </c:pt>
                <c:pt idx="2">
                  <c:v>5.3136324144492292E-2</c:v>
                </c:pt>
                <c:pt idx="3">
                  <c:v>9.6159630164153867E-2</c:v>
                </c:pt>
                <c:pt idx="4">
                  <c:v>8.9075442365048704E-2</c:v>
                </c:pt>
                <c:pt idx="5">
                  <c:v>8.8711762242142611E-2</c:v>
                </c:pt>
                <c:pt idx="6">
                  <c:v>6.666581121174231E-2</c:v>
                </c:pt>
                <c:pt idx="7">
                  <c:v>0.10036565176585767</c:v>
                </c:pt>
                <c:pt idx="8">
                  <c:v>0.11562814427845627</c:v>
                </c:pt>
                <c:pt idx="9">
                  <c:v>6.3751010893565482E-2</c:v>
                </c:pt>
                <c:pt idx="10">
                  <c:v>1.8708562948899787E-2</c:v>
                </c:pt>
                <c:pt idx="11">
                  <c:v>6.6519946148712802E-3</c:v>
                </c:pt>
                <c:pt idx="12">
                  <c:v>5.0446722601041986E-3</c:v>
                </c:pt>
                <c:pt idx="13">
                  <c:v>1.6335723458513797E-3</c:v>
                </c:pt>
                <c:pt idx="14">
                  <c:v>6.6193951529498517E-3</c:v>
                </c:pt>
                <c:pt idx="15">
                  <c:v>1.6459317346601905E-2</c:v>
                </c:pt>
                <c:pt idx="16">
                  <c:v>1.3438252264509508E-3</c:v>
                </c:pt>
                <c:pt idx="17">
                  <c:v>1.2259485137583053E-2</c:v>
                </c:pt>
                <c:pt idx="18">
                  <c:v>3.9690558992608885E-2</c:v>
                </c:pt>
                <c:pt idx="19">
                  <c:v>9.4932736051268514E-3</c:v>
                </c:pt>
                <c:pt idx="20">
                  <c:v>1.5192631920005514E-2</c:v>
                </c:pt>
                <c:pt idx="21">
                  <c:v>2.036587627288337E-2</c:v>
                </c:pt>
                <c:pt idx="22">
                  <c:v>8.3041610071421367E-3</c:v>
                </c:pt>
                <c:pt idx="23">
                  <c:v>8.5849733839347894E-3</c:v>
                </c:pt>
                <c:pt idx="24">
                  <c:v>5.8557714622601625E-3</c:v>
                </c:pt>
                <c:pt idx="25">
                  <c:v>9.2724028748668776E-3</c:v>
                </c:pt>
                <c:pt idx="26">
                  <c:v>1.0956964293154002E-3</c:v>
                </c:pt>
                <c:pt idx="27">
                  <c:v>6.6789258147422371E-4</c:v>
                </c:pt>
                <c:pt idx="28">
                  <c:v>0</c:v>
                </c:pt>
                <c:pt idx="29">
                  <c:v>1.0074431856519366E-2</c:v>
                </c:pt>
                <c:pt idx="30">
                  <c:v>9.7142560729417005E-3</c:v>
                </c:pt>
                <c:pt idx="31">
                  <c:v>0</c:v>
                </c:pt>
                <c:pt idx="32">
                  <c:v>9.540244216927823E-4</c:v>
                </c:pt>
                <c:pt idx="33">
                  <c:v>0</c:v>
                </c:pt>
                <c:pt idx="34">
                  <c:v>3.763415560874425E-3</c:v>
                </c:pt>
                <c:pt idx="35">
                  <c:v>3.5021754307913971E-3</c:v>
                </c:pt>
                <c:pt idx="36">
                  <c:v>9.6062402362399359E-4</c:v>
                </c:pt>
                <c:pt idx="37">
                  <c:v>3.0385239648022025E-3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1.214489310398512E-3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4.0143303681820725E-3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24-4A4F-ABB4-FD2530250504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1.3399864127251856E-2</c:v>
                </c:pt>
                <c:pt idx="1">
                  <c:v>2.8252161079485558E-2</c:v>
                </c:pt>
                <c:pt idx="2">
                  <c:v>3.0852484362920797E-2</c:v>
                </c:pt>
                <c:pt idx="3">
                  <c:v>3.7365005739452291E-2</c:v>
                </c:pt>
                <c:pt idx="4">
                  <c:v>3.9512419862409318E-2</c:v>
                </c:pt>
                <c:pt idx="5">
                  <c:v>4.3932188566386331E-2</c:v>
                </c:pt>
                <c:pt idx="6">
                  <c:v>4.4260157268801587E-2</c:v>
                </c:pt>
                <c:pt idx="7">
                  <c:v>4.9546700400590345E-2</c:v>
                </c:pt>
                <c:pt idx="8">
                  <c:v>4.9632596965508625E-2</c:v>
                </c:pt>
                <c:pt idx="9">
                  <c:v>4.6290439712324598E-2</c:v>
                </c:pt>
                <c:pt idx="10">
                  <c:v>4.3783821772436574E-2</c:v>
                </c:pt>
                <c:pt idx="11">
                  <c:v>4.2987326352285242E-2</c:v>
                </c:pt>
                <c:pt idx="12">
                  <c:v>3.5662691998344542E-2</c:v>
                </c:pt>
                <c:pt idx="13">
                  <c:v>3.2351769859676249E-2</c:v>
                </c:pt>
                <c:pt idx="14">
                  <c:v>2.5792395811371143E-2</c:v>
                </c:pt>
                <c:pt idx="15">
                  <c:v>2.5300442757748259E-2</c:v>
                </c:pt>
                <c:pt idx="16">
                  <c:v>2.6135982071044266E-2</c:v>
                </c:pt>
                <c:pt idx="17">
                  <c:v>2.6862198483535191E-2</c:v>
                </c:pt>
                <c:pt idx="18">
                  <c:v>2.6838772147648387E-2</c:v>
                </c:pt>
                <c:pt idx="19">
                  <c:v>2.6932477491195601E-2</c:v>
                </c:pt>
                <c:pt idx="20">
                  <c:v>2.5269207643232521E-2</c:v>
                </c:pt>
                <c:pt idx="21">
                  <c:v>2.6581082452893545E-2</c:v>
                </c:pt>
                <c:pt idx="22">
                  <c:v>2.4722593139207098E-2</c:v>
                </c:pt>
                <c:pt idx="23">
                  <c:v>2.6487377109346327E-2</c:v>
                </c:pt>
                <c:pt idx="24">
                  <c:v>2.447271222308119E-2</c:v>
                </c:pt>
                <c:pt idx="25">
                  <c:v>1.950632901507875E-2</c:v>
                </c:pt>
                <c:pt idx="26">
                  <c:v>1.9748401152575725E-2</c:v>
                </c:pt>
                <c:pt idx="27">
                  <c:v>1.688257939575671E-2</c:v>
                </c:pt>
                <c:pt idx="28">
                  <c:v>1.6890388174385644E-2</c:v>
                </c:pt>
                <c:pt idx="29">
                  <c:v>1.4126080539742779E-2</c:v>
                </c:pt>
                <c:pt idx="30">
                  <c:v>1.1838108401464927E-2</c:v>
                </c:pt>
                <c:pt idx="31">
                  <c:v>1.065117404986686E-2</c:v>
                </c:pt>
                <c:pt idx="32">
                  <c:v>9.0503744309352579E-3</c:v>
                </c:pt>
                <c:pt idx="33">
                  <c:v>8.6833618353753285E-3</c:v>
                </c:pt>
                <c:pt idx="34">
                  <c:v>7.8243961861925171E-3</c:v>
                </c:pt>
                <c:pt idx="35">
                  <c:v>6.4812862620157582E-3</c:v>
                </c:pt>
                <c:pt idx="36">
                  <c:v>5.7784961854116402E-3</c:v>
                </c:pt>
                <c:pt idx="37">
                  <c:v>5.0132358797760441E-3</c:v>
                </c:pt>
                <c:pt idx="38">
                  <c:v>4.1074175588196246E-3</c:v>
                </c:pt>
                <c:pt idx="39">
                  <c:v>3.4827152685048533E-3</c:v>
                </c:pt>
                <c:pt idx="40">
                  <c:v>2.7330725201271267E-3</c:v>
                </c:pt>
                <c:pt idx="41">
                  <c:v>2.4441477108565449E-3</c:v>
                </c:pt>
                <c:pt idx="42">
                  <c:v>1.9834297717494006E-3</c:v>
                </c:pt>
                <c:pt idx="43">
                  <c:v>1.8819156495732503E-3</c:v>
                </c:pt>
                <c:pt idx="44">
                  <c:v>1.6242259548184068E-3</c:v>
                </c:pt>
                <c:pt idx="45">
                  <c:v>1.2259782447427397E-3</c:v>
                </c:pt>
                <c:pt idx="46">
                  <c:v>1.0541851149061775E-3</c:v>
                </c:pt>
                <c:pt idx="47">
                  <c:v>6.5593740483051047E-4</c:v>
                </c:pt>
                <c:pt idx="48">
                  <c:v>5.5442328265436006E-4</c:v>
                </c:pt>
                <c:pt idx="49">
                  <c:v>4.5290916047820959E-4</c:v>
                </c:pt>
                <c:pt idx="50">
                  <c:v>4.0605648870460171E-4</c:v>
                </c:pt>
                <c:pt idx="51">
                  <c:v>2.5768969475484341E-4</c:v>
                </c:pt>
                <c:pt idx="52">
                  <c:v>2.4207213749697409E-4</c:v>
                </c:pt>
                <c:pt idx="53">
                  <c:v>2.6549847338377806E-4</c:v>
                </c:pt>
                <c:pt idx="54">
                  <c:v>1.7179312983656226E-4</c:v>
                </c:pt>
                <c:pt idx="55">
                  <c:v>1.1713167943401972E-4</c:v>
                </c:pt>
                <c:pt idx="56">
                  <c:v>9.3705343547215779E-5</c:v>
                </c:pt>
                <c:pt idx="57">
                  <c:v>5.4661450402542537E-5</c:v>
                </c:pt>
                <c:pt idx="58">
                  <c:v>1.1713167943401972E-4</c:v>
                </c:pt>
                <c:pt idx="59">
                  <c:v>4.685267177360789E-5</c:v>
                </c:pt>
                <c:pt idx="60">
                  <c:v>7.0279007660411838E-5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824-4A4F-ABB4-FD25302505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399448"/>
        <c:axId val="128399840"/>
      </c:lineChart>
      <c:catAx>
        <c:axId val="128399448"/>
        <c:scaling>
          <c:orientation val="minMax"/>
        </c:scaling>
        <c:delete val="0"/>
        <c:axPos val="b"/>
        <c:majorTickMark val="none"/>
        <c:minorTickMark val="none"/>
        <c:tickLblPos val="nextTo"/>
        <c:crossAx val="128399840"/>
        <c:crosses val="autoZero"/>
        <c:auto val="1"/>
        <c:lblAlgn val="ctr"/>
        <c:lblOffset val="100"/>
        <c:tickLblSkip val="10"/>
        <c:noMultiLvlLbl val="0"/>
      </c:catAx>
      <c:valAx>
        <c:axId val="128399840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28399448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6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L102"/>
  <sheetViews>
    <sheetView topLeftCell="A88" workbookViewId="0">
      <selection activeCell="E106" sqref="E106"/>
    </sheetView>
  </sheetViews>
  <sheetFormatPr defaultRowHeight="15" x14ac:dyDescent="0.25"/>
  <cols>
    <col min="1" max="1" customWidth="true" width="13.5703125" collapsed="true"/>
    <col min="2" max="2" bestFit="true" customWidth="true" width="11.5703125" collapsed="true"/>
    <col min="6" max="6" bestFit="true" customWidth="true" width="11.5703125" collapsed="true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341" t="n">
        <v>29293.1710115834</v>
      </c>
      <c r="C11" s="11">
        <f>B11/B$102</f>
        <v>0.24409030885147889</v>
      </c>
      <c r="E11" s="19">
        <v>0</v>
      </c>
      <c r="F11" s="343" t="n">
        <v>11322.0</v>
      </c>
      <c r="G11" s="11">
        <f>F11/F$102</f>
        <v>8.9285574843238763E-2</v>
      </c>
      <c r="K11" s="8" t="n">
        <v>3.300222372865475</v>
      </c>
      <c r="L11" s="8" t="n">
        <v>6.858184128884632</v>
      </c>
    </row>
    <row r="12" spans="1:12" x14ac:dyDescent="0.25">
      <c r="A12">
        <v>1</v>
      </c>
      <c r="B12" s="341" t="n">
        <v>27908.9979337818</v>
      </c>
      <c r="C12" s="11">
        <f>B12/B$102</f>
        <v>0.23255645224268454</v>
      </c>
      <c r="E12" s="20">
        <v>1</v>
      </c>
      <c r="F12" s="343" t="n">
        <v>12000.0</v>
      </c>
      <c r="G12" s="11">
        <f>F12/F$102</f>
        <v>9.2822951562146164E-2</v>
      </c>
      <c r="K12" s="8"/>
      <c r="L12" s="289"/>
    </row>
    <row r="13" spans="1:12" x14ac:dyDescent="0.25">
      <c r="A13">
        <v>2</v>
      </c>
      <c r="B13" s="341" t="n">
        <v>17297.3211751771</v>
      </c>
      <c r="C13" s="11">
        <f ref="C13:C76" si="0" t="shared">B13/B$102</f>
        <v>0.14413285834717779</v>
      </c>
      <c r="E13" s="21">
        <v>2</v>
      </c>
      <c r="F13" s="343" t="n">
        <v>11468.0</v>
      </c>
      <c r="G13" s="11">
        <f ref="G13:G76" si="1" t="shared">F13/F$102</f>
        <v>8.8379756522282346E-2</v>
      </c>
    </row>
    <row r="14" spans="1:12" x14ac:dyDescent="0.25">
      <c r="A14">
        <v>3</v>
      </c>
      <c r="B14" s="341" t="n">
        <v>11427.4019252002</v>
      </c>
      <c r="C14" s="11">
        <f si="0" t="shared"/>
        <v>9.5220762005899642E-2</v>
      </c>
      <c r="E14" s="22">
        <v>3</v>
      </c>
      <c r="F14" s="343" t="n">
        <v>11538.0</v>
      </c>
      <c r="G14" s="11">
        <f si="1" t="shared"/>
        <v>8.7598878659388882E-2</v>
      </c>
    </row>
    <row r="15" spans="1:12" x14ac:dyDescent="0.25">
      <c r="A15">
        <v>4</v>
      </c>
      <c r="B15" s="341" t="n">
        <v>6995.91730371</v>
      </c>
      <c r="C15" s="11">
        <f si="0" t="shared"/>
        <v>5.8294665834802556E-2</v>
      </c>
      <c r="E15" s="23">
        <v>4</v>
      </c>
      <c r="F15" s="343" t="n">
        <v>11731.0</v>
      </c>
      <c r="G15" s="11">
        <f si="1" t="shared"/>
        <v>9.0035217591616493E-2</v>
      </c>
    </row>
    <row r="16" spans="1:12" x14ac:dyDescent="0.25">
      <c r="A16">
        <v>5</v>
      </c>
      <c r="B16" s="341" t="n">
        <v>3451.2626606533</v>
      </c>
      <c r="C16" s="11">
        <f si="0" t="shared"/>
        <v>2.8758230661792221E-2</v>
      </c>
      <c r="E16" s="24">
        <v>5</v>
      </c>
      <c r="F16" s="343" t="n">
        <v>10027.0</v>
      </c>
      <c r="G16" s="11">
        <f si="1" t="shared"/>
        <v>7.9532410335699397E-2</v>
      </c>
    </row>
    <row r="17" spans="1:7" x14ac:dyDescent="0.25">
      <c r="A17">
        <v>6</v>
      </c>
      <c r="B17" s="341" t="n">
        <v>3370.64253612</v>
      </c>
      <c r="C17" s="11">
        <f si="0" t="shared"/>
        <v>2.8086449819451992E-2</v>
      </c>
      <c r="E17" s="25">
        <v>6</v>
      </c>
      <c r="F17" s="343" t="n">
        <v>9095.0</v>
      </c>
      <c r="G17" s="11">
        <f si="1" t="shared"/>
        <v>7.0294625217669701E-2</v>
      </c>
    </row>
    <row r="18" spans="1:7" x14ac:dyDescent="0.25">
      <c r="A18">
        <v>7</v>
      </c>
      <c r="B18" s="341" t="n">
        <v>4733.23117402</v>
      </c>
      <c r="C18" s="11">
        <f si="0" t="shared"/>
        <v>3.9440450427000048E-2</v>
      </c>
      <c r="E18" s="26">
        <v>7</v>
      </c>
      <c r="F18" s="343" t="n">
        <v>7072.0</v>
      </c>
      <c r="G18" s="11">
        <f si="1" t="shared"/>
        <v>5.671515918195235E-2</v>
      </c>
    </row>
    <row r="19" spans="1:7" x14ac:dyDescent="0.25">
      <c r="A19">
        <v>8</v>
      </c>
      <c r="B19" s="341" t="n">
        <v>876.279828843</v>
      </c>
      <c r="C19" s="11">
        <f si="0" t="shared"/>
        <v>7.3017500897403645E-3</v>
      </c>
      <c r="E19" s="27">
        <v>8</v>
      </c>
      <c r="F19" s="343" t="n">
        <v>8157.0</v>
      </c>
      <c r="G19" s="11">
        <f si="1" t="shared"/>
        <v>6.4961229414107341E-2</v>
      </c>
    </row>
    <row r="20" spans="1:7" x14ac:dyDescent="0.25">
      <c r="A20">
        <v>9</v>
      </c>
      <c r="B20" s="341" t="n">
        <v>907.798349757</v>
      </c>
      <c r="C20" s="11">
        <f si="0" t="shared"/>
        <v>7.5643835035622371E-3</v>
      </c>
      <c r="E20" s="28">
        <v>9</v>
      </c>
      <c r="F20" s="343" t="n">
        <v>5027.0</v>
      </c>
      <c r="G20" s="11">
        <f si="1" t="shared"/>
        <v>3.8466043526132081E-2</v>
      </c>
    </row>
    <row r="21" spans="1:7" x14ac:dyDescent="0.25">
      <c r="A21">
        <v>10</v>
      </c>
      <c r="B21" s="341" t="n">
        <v>4604.439044888</v>
      </c>
      <c r="C21" s="11">
        <f si="0" t="shared"/>
        <v>3.836726819742721E-2</v>
      </c>
      <c r="E21" s="29">
        <v>10</v>
      </c>
      <c r="F21" s="343" t="n">
        <v>5026.0</v>
      </c>
      <c r="G21" s="11">
        <f si="1" t="shared"/>
        <v>3.7380623296710158E-2</v>
      </c>
    </row>
    <row r="22" spans="1:7" x14ac:dyDescent="0.25">
      <c r="A22">
        <v>11</v>
      </c>
      <c r="B22" s="341" t="n">
        <v>2530.8362318957</v>
      </c>
      <c r="C22" s="11">
        <f si="0" t="shared"/>
        <v>2.1088621551134105E-2</v>
      </c>
      <c r="E22" s="30">
        <v>11</v>
      </c>
      <c r="F22" s="343" t="n">
        <v>4465.0</v>
      </c>
      <c r="G22" s="11">
        <f si="1" t="shared"/>
        <v>3.7919429022106654E-2</v>
      </c>
    </row>
    <row r="23" spans="1:7" x14ac:dyDescent="0.25">
      <c r="A23">
        <v>12</v>
      </c>
      <c r="B23" s="341" t="n">
        <v>755.953614371</v>
      </c>
      <c r="C23" s="11">
        <f si="0" t="shared"/>
        <v>6.2991115279477259E-3</v>
      </c>
      <c r="E23" s="31">
        <v>12</v>
      </c>
      <c r="F23" s="343" t="n">
        <v>3703.0</v>
      </c>
      <c r="G23" s="11">
        <f si="1" t="shared"/>
        <v>3.1032086271386292E-2</v>
      </c>
    </row>
    <row r="24" spans="1:7" x14ac:dyDescent="0.25">
      <c r="A24">
        <v>13</v>
      </c>
      <c r="B24" s="341" t="n">
        <v>1276.4358389535</v>
      </c>
      <c r="C24" s="11">
        <f si="0" t="shared"/>
        <v>1.0636117818588298E-2</v>
      </c>
      <c r="E24" s="32">
        <v>13</v>
      </c>
      <c r="F24" s="343" t="n">
        <v>3323.0</v>
      </c>
      <c r="G24" s="11">
        <f si="1" t="shared"/>
        <v>2.6018850391610247E-2</v>
      </c>
    </row>
    <row r="25" spans="1:7" x14ac:dyDescent="0.25">
      <c r="A25">
        <v>14</v>
      </c>
      <c r="B25" s="341" t="n">
        <v>1174.265370274</v>
      </c>
      <c r="C25" s="11">
        <f si="0" t="shared"/>
        <v>9.7847650836584404E-3</v>
      </c>
      <c r="E25" s="33">
        <v>14</v>
      </c>
      <c r="F25" s="343" t="n">
        <v>2490.0</v>
      </c>
      <c r="G25" s="11">
        <f si="1" t="shared"/>
        <v>2.0146648862651394E-2</v>
      </c>
    </row>
    <row r="26" spans="1:7" x14ac:dyDescent="0.25">
      <c r="A26">
        <v>15</v>
      </c>
      <c r="B26" s="341" t="n">
        <v>633.083767634</v>
      </c>
      <c r="C26" s="11">
        <f si="0" t="shared"/>
        <v>5.2752777194908429E-3</v>
      </c>
      <c r="E26" s="34">
        <v>15</v>
      </c>
      <c r="F26" s="343" t="n">
        <v>2390.0</v>
      </c>
      <c r="G26" s="11">
        <f si="1" t="shared"/>
        <v>1.930330077072645E-2</v>
      </c>
    </row>
    <row r="27" spans="1:7" x14ac:dyDescent="0.25">
      <c r="A27">
        <v>16</v>
      </c>
      <c r="B27" s="341" t="n">
        <v>617.245158555</v>
      </c>
      <c r="C27" s="11">
        <f si="0" t="shared"/>
        <v>5.143299826747781E-3</v>
      </c>
      <c r="E27" s="35">
        <v>16</v>
      </c>
      <c r="F27" s="343" t="n">
        <v>1792.0</v>
      </c>
      <c r="G27" s="11">
        <f si="1" t="shared"/>
        <v>1.3368629012736118E-2</v>
      </c>
    </row>
    <row r="28" spans="1:7" x14ac:dyDescent="0.25">
      <c r="A28">
        <v>17</v>
      </c>
      <c r="B28" s="341" t="n">
        <v>453.144517161</v>
      </c>
      <c r="C28" s="11">
        <f si="0" t="shared"/>
        <v>3.7759034385333348E-3</v>
      </c>
      <c r="E28" s="36">
        <v>17</v>
      </c>
      <c r="F28" s="343" t="n">
        <v>1352.0</v>
      </c>
      <c r="G28" s="11">
        <f si="1" t="shared"/>
        <v>1.1385199240986717E-2</v>
      </c>
    </row>
    <row r="29" spans="1:7" x14ac:dyDescent="0.25">
      <c r="A29">
        <v>18</v>
      </c>
      <c r="B29" s="341" t="n">
        <v>145.750329985</v>
      </c>
      <c r="C29" s="11">
        <f si="0" t="shared"/>
        <v>1.2144893103985125E-3</v>
      </c>
      <c r="E29" s="37">
        <v>18</v>
      </c>
      <c r="F29" s="343" t="n">
        <v>1099.0</v>
      </c>
      <c r="G29" s="11">
        <f si="1" t="shared"/>
        <v>8.4022458047336816E-3</v>
      </c>
    </row>
    <row r="30" spans="1:7" x14ac:dyDescent="0.25">
      <c r="A30">
        <v>19</v>
      </c>
      <c r="B30" s="341" t="n">
        <v>412.899422531</v>
      </c>
      <c r="C30" s="11">
        <f si="0" t="shared"/>
        <v>3.4405543711992044E-3</v>
      </c>
      <c r="E30" s="38">
        <v>19</v>
      </c>
      <c r="F30" s="343" t="n">
        <v>1117.0</v>
      </c>
      <c r="G30" s="11">
        <f si="1" t="shared"/>
        <v>8.3085404611864654E-3</v>
      </c>
    </row>
    <row r="31" spans="1:7" x14ac:dyDescent="0.25">
      <c r="A31">
        <v>20</v>
      </c>
      <c r="B31" s="341" t="n">
        <v>210.080751366</v>
      </c>
      <c r="C31" s="11">
        <f si="0" t="shared"/>
        <v>1.7505334422279019E-3</v>
      </c>
      <c r="E31" s="39">
        <v>20</v>
      </c>
      <c r="F31" s="343" t="n">
        <v>781.0</v>
      </c>
      <c r="G31" s="11">
        <f si="1" t="shared"/>
        <v>6.8326813003178177E-3</v>
      </c>
    </row>
    <row r="32" spans="1:7" x14ac:dyDescent="0.25">
      <c r="A32">
        <v>21</v>
      </c>
      <c r="B32" s="341" t="n">
        <v>0.0</v>
      </c>
      <c r="C32" s="11">
        <f si="0" t="shared"/>
        <v>0</v>
      </c>
      <c r="E32" s="40">
        <v>21</v>
      </c>
      <c r="F32" s="343" t="n">
        <v>618.0</v>
      </c>
      <c r="G32" s="11">
        <f si="1" t="shared"/>
        <v>5.1147500019521949E-3</v>
      </c>
    </row>
    <row r="33" spans="1:7" x14ac:dyDescent="0.25">
      <c r="A33">
        <v>22</v>
      </c>
      <c r="B33" s="341" t="n">
        <v>451.645852435</v>
      </c>
      <c r="C33" s="11">
        <f si="0" t="shared"/>
        <v>3.7634155608744259E-3</v>
      </c>
      <c r="E33" s="41">
        <v>22</v>
      </c>
      <c r="F33" s="343" t="n">
        <v>486.0</v>
      </c>
      <c r="G33" s="11">
        <f si="1" t="shared"/>
        <v>3.7794488564043697E-3</v>
      </c>
    </row>
    <row r="34" spans="1:7" x14ac:dyDescent="0.25">
      <c r="A34">
        <v>23</v>
      </c>
      <c r="B34" s="341" t="n">
        <v>0.0</v>
      </c>
      <c r="C34" s="11">
        <f si="0" t="shared"/>
        <v>0</v>
      </c>
      <c r="E34" s="42">
        <v>23</v>
      </c>
      <c r="F34" s="343" t="n">
        <v>378.0</v>
      </c>
      <c r="G34" s="11">
        <f si="1" t="shared"/>
        <v>3.4358625967312452E-3</v>
      </c>
    </row>
    <row r="35" spans="1:7" x14ac:dyDescent="0.25">
      <c r="A35">
        <v>24</v>
      </c>
      <c r="B35" s="341" t="n">
        <v>0.0</v>
      </c>
      <c r="C35" s="11">
        <f si="0" t="shared"/>
        <v>0</v>
      </c>
      <c r="E35" s="43">
        <v>24</v>
      </c>
      <c r="F35" s="343" t="n">
        <v>247.0</v>
      </c>
      <c r="G35" s="11">
        <f si="1" t="shared"/>
        <v>2.0537087794098123E-3</v>
      </c>
    </row>
    <row r="36" spans="1:7" x14ac:dyDescent="0.25">
      <c r="A36">
        <v>25</v>
      </c>
      <c r="B36" s="341" t="n">
        <v>0.0</v>
      </c>
      <c r="C36" s="11">
        <f si="0" t="shared"/>
        <v>0</v>
      </c>
      <c r="E36" s="44">
        <v>25</v>
      </c>
      <c r="F36" s="343" t="n">
        <v>183.0</v>
      </c>
      <c r="G36" s="11">
        <f si="1" t="shared"/>
        <v>1.3353011455478248E-3</v>
      </c>
    </row>
    <row r="37" spans="1:7" x14ac:dyDescent="0.25">
      <c r="A37">
        <v>26</v>
      </c>
      <c r="B37" s="341" t="n">
        <v>0.0</v>
      </c>
      <c r="C37" s="11">
        <f si="0" t="shared"/>
        <v>0</v>
      </c>
      <c r="E37" s="45">
        <v>26</v>
      </c>
      <c r="F37" s="343" t="n">
        <v>142.0</v>
      </c>
      <c r="G37" s="11">
        <f si="1" t="shared"/>
        <v>1.3587274814346288E-3</v>
      </c>
    </row>
    <row r="38" spans="1:7" x14ac:dyDescent="0.25">
      <c r="A38">
        <v>27</v>
      </c>
      <c r="B38" s="341" t="n">
        <v>0.0</v>
      </c>
      <c r="C38" s="11">
        <f si="0" t="shared"/>
        <v>0</v>
      </c>
      <c r="E38" s="46">
        <v>27</v>
      </c>
      <c r="F38" s="343" t="n">
        <v>106.0</v>
      </c>
      <c r="G38" s="11">
        <f si="1" t="shared"/>
        <v>9.3705343547215777E-4</v>
      </c>
    </row>
    <row r="39" spans="1:7" x14ac:dyDescent="0.25">
      <c r="A39">
        <v>28</v>
      </c>
      <c r="B39" s="341" t="n">
        <v>0.0</v>
      </c>
      <c r="C39" s="11">
        <f si="0" t="shared"/>
        <v>0</v>
      </c>
      <c r="E39" s="47">
        <v>28</v>
      </c>
      <c r="F39" s="343" t="n">
        <v>89.0</v>
      </c>
      <c r="G39" s="11">
        <f si="1" t="shared"/>
        <v>7.3402519111985694E-4</v>
      </c>
    </row>
    <row r="40" spans="1:7" x14ac:dyDescent="0.25">
      <c r="A40">
        <v>29</v>
      </c>
      <c r="B40" s="341" t="n">
        <v>0.0</v>
      </c>
      <c r="C40" s="11">
        <f si="0" t="shared"/>
        <v>0</v>
      </c>
      <c r="E40" s="48">
        <v>29</v>
      </c>
      <c r="F40" s="343" t="n">
        <v>84.0</v>
      </c>
      <c r="G40" s="11">
        <f si="1" t="shared"/>
        <v>6.6374618345944512E-4</v>
      </c>
    </row>
    <row r="41" spans="1:7" x14ac:dyDescent="0.25">
      <c r="A41">
        <v>30</v>
      </c>
      <c r="B41" s="341" t="n">
        <v>0.0</v>
      </c>
      <c r="C41" s="11">
        <f si="0" t="shared"/>
        <v>0</v>
      </c>
      <c r="E41" s="49">
        <v>30</v>
      </c>
      <c r="F41" s="343" t="n">
        <v>65.0</v>
      </c>
      <c r="G41" s="11">
        <f si="1" t="shared"/>
        <v>4.9976183225181753E-4</v>
      </c>
    </row>
    <row r="42" spans="1:7" x14ac:dyDescent="0.25">
      <c r="A42">
        <v>31</v>
      </c>
      <c r="B42" s="341" t="n">
        <v>0.0</v>
      </c>
      <c r="C42" s="11">
        <f si="0" t="shared"/>
        <v>0</v>
      </c>
      <c r="E42" s="50">
        <v>31</v>
      </c>
      <c r="F42" s="343" t="n">
        <v>60.0</v>
      </c>
      <c r="G42" s="11">
        <f si="1" t="shared"/>
        <v>4.5290916047820959E-4</v>
      </c>
    </row>
    <row r="43" spans="1:7" x14ac:dyDescent="0.25">
      <c r="A43">
        <v>32</v>
      </c>
      <c r="B43" s="341" t="n">
        <v>0.0</v>
      </c>
      <c r="C43" s="11">
        <f si="0" t="shared"/>
        <v>0</v>
      </c>
      <c r="E43" s="51">
        <v>32</v>
      </c>
      <c r="F43" s="343" t="n">
        <v>43.0</v>
      </c>
      <c r="G43" s="11">
        <f si="1" t="shared"/>
        <v>3.5920381693099382E-4</v>
      </c>
    </row>
    <row r="44" spans="1:7" x14ac:dyDescent="0.25">
      <c r="A44">
        <v>33</v>
      </c>
      <c r="B44" s="341" t="n">
        <v>0.0</v>
      </c>
      <c r="C44" s="11">
        <f si="0" t="shared"/>
        <v>0</v>
      </c>
      <c r="E44" s="52">
        <v>33</v>
      </c>
      <c r="F44" s="343" t="n">
        <v>35.0</v>
      </c>
      <c r="G44" s="11">
        <f si="1" t="shared"/>
        <v>2.2645458023910479E-4</v>
      </c>
    </row>
    <row r="45" spans="1:7" x14ac:dyDescent="0.25">
      <c r="A45">
        <v>34</v>
      </c>
      <c r="B45" s="341" t="n">
        <v>0.0</v>
      </c>
      <c r="C45" s="11">
        <f si="0" t="shared"/>
        <v>0</v>
      </c>
      <c r="E45" s="53">
        <v>34</v>
      </c>
      <c r="F45" s="343" t="n">
        <v>24.0</v>
      </c>
      <c r="G45" s="11">
        <f si="1" t="shared"/>
        <v>1.9521946572336621E-4</v>
      </c>
    </row>
    <row r="46" spans="1:7" x14ac:dyDescent="0.25">
      <c r="A46">
        <v>35</v>
      </c>
      <c r="B46" s="341" t="n">
        <v>0.0</v>
      </c>
      <c r="C46" s="11">
        <f si="0" t="shared"/>
        <v>0</v>
      </c>
      <c r="E46" s="54">
        <v>35</v>
      </c>
      <c r="F46" s="343" t="n">
        <v>16.0</v>
      </c>
      <c r="G46" s="11">
        <f si="1" t="shared"/>
        <v>1.7179312983656226E-4</v>
      </c>
    </row>
    <row r="47" spans="1:7" x14ac:dyDescent="0.25">
      <c r="A47">
        <v>36</v>
      </c>
      <c r="B47" s="341" t="n">
        <v>0.0</v>
      </c>
      <c r="C47" s="11">
        <f si="0" t="shared"/>
        <v>0</v>
      </c>
      <c r="E47" s="55">
        <v>36</v>
      </c>
      <c r="F47" s="343" t="n">
        <v>20.0</v>
      </c>
      <c r="G47" s="11">
        <f si="1" t="shared"/>
        <v>9.3705343547215779E-5</v>
      </c>
    </row>
    <row r="48" spans="1:7" x14ac:dyDescent="0.25">
      <c r="A48">
        <v>37</v>
      </c>
      <c r="B48" s="341" t="n">
        <v>481.758028516</v>
      </c>
      <c r="C48" s="11">
        <f si="0" t="shared"/>
        <v>4.0143303681820734E-3</v>
      </c>
      <c r="E48" s="56">
        <v>37</v>
      </c>
      <c r="F48" s="343" t="n">
        <v>10.0</v>
      </c>
      <c r="G48" s="11">
        <f si="1" t="shared"/>
        <v>9.3705343547215779E-5</v>
      </c>
    </row>
    <row r="49" spans="1:7" x14ac:dyDescent="0.25">
      <c r="A49">
        <v>38</v>
      </c>
      <c r="B49" s="341" t="n">
        <v>0.0</v>
      </c>
      <c r="C49" s="11">
        <f si="0" t="shared"/>
        <v>0</v>
      </c>
      <c r="E49" s="57">
        <v>38</v>
      </c>
      <c r="F49" s="343" t="n">
        <v>12.0</v>
      </c>
      <c r="G49" s="11">
        <f si="1" t="shared"/>
        <v>6.2470229031477191E-5</v>
      </c>
    </row>
    <row r="50" spans="1:7" x14ac:dyDescent="0.25">
      <c r="A50">
        <v>39</v>
      </c>
      <c r="B50" s="341" t="n">
        <v>0.0</v>
      </c>
      <c r="C50" s="11">
        <f si="0" t="shared"/>
        <v>0</v>
      </c>
      <c r="E50" s="58">
        <v>39</v>
      </c>
      <c r="F50" s="343" t="n">
        <v>5.0</v>
      </c>
      <c r="G50" s="11">
        <f si="1" t="shared"/>
        <v>3.9043893144673242E-5</v>
      </c>
    </row>
    <row r="51" spans="1:7" x14ac:dyDescent="0.25">
      <c r="A51">
        <v>40</v>
      </c>
      <c r="B51" s="341" t="n">
        <v>0.0</v>
      </c>
      <c r="C51" s="11">
        <f si="0" t="shared"/>
        <v>0</v>
      </c>
      <c r="E51" s="59">
        <v>40</v>
      </c>
      <c r="F51" s="343" t="n">
        <v>5.0</v>
      </c>
      <c r="G51" s="11">
        <f si="1" t="shared"/>
        <v>8.5896564918281132E-5</v>
      </c>
    </row>
    <row r="52" spans="1:7" x14ac:dyDescent="0.25">
      <c r="A52">
        <v>41</v>
      </c>
      <c r="B52" s="341" t="n">
        <v>0.0</v>
      </c>
      <c r="C52" s="11">
        <f si="0" t="shared"/>
        <v>0</v>
      </c>
      <c r="E52" s="60">
        <v>41</v>
      </c>
      <c r="F52" s="343" t="n">
        <v>5.0</v>
      </c>
      <c r="G52" s="11">
        <f si="1" t="shared"/>
        <v>3.9043893144673242E-5</v>
      </c>
    </row>
    <row r="53" spans="1:7" x14ac:dyDescent="0.25">
      <c r="A53">
        <v>42</v>
      </c>
      <c r="B53" s="341" t="n">
        <v>0.0</v>
      </c>
      <c r="C53" s="11">
        <f si="0" t="shared"/>
        <v>0</v>
      </c>
      <c r="E53" s="61">
        <v>42</v>
      </c>
      <c r="F53" s="343" t="n">
        <v>9.0</v>
      </c>
      <c r="G53" s="11">
        <f si="1" t="shared"/>
        <v>2.3426335886803945E-5</v>
      </c>
    </row>
    <row r="54" spans="1:7" x14ac:dyDescent="0.25">
      <c r="A54">
        <v>43</v>
      </c>
      <c r="B54" s="341" t="n">
        <v>0.0</v>
      </c>
      <c r="C54" s="11">
        <f si="0" t="shared"/>
        <v>0</v>
      </c>
      <c r="E54" s="62">
        <v>43</v>
      </c>
      <c r="F54" s="343" t="n">
        <v>3.0</v>
      </c>
      <c r="G54" s="11">
        <f si="1" t="shared"/>
        <v>0</v>
      </c>
    </row>
    <row r="55" spans="1:7" x14ac:dyDescent="0.25">
      <c r="A55">
        <v>44</v>
      </c>
      <c r="B55" s="341" t="n">
        <v>0.0</v>
      </c>
      <c r="C55" s="11">
        <f si="0" t="shared"/>
        <v>0</v>
      </c>
      <c r="E55" s="63">
        <v>44</v>
      </c>
      <c r="F55" s="343" t="n">
        <v>1.0</v>
      </c>
      <c r="G55" s="11">
        <f si="1" t="shared"/>
        <v>1.5617557257869298E-5</v>
      </c>
    </row>
    <row r="56" spans="1:7" x14ac:dyDescent="0.25">
      <c r="A56">
        <v>45</v>
      </c>
      <c r="B56" s="341" t="n">
        <v>0.0</v>
      </c>
      <c r="C56" s="11">
        <f si="0" t="shared"/>
        <v>0</v>
      </c>
      <c r="E56" s="64">
        <v>45</v>
      </c>
      <c r="F56" s="343" t="n">
        <v>1.0</v>
      </c>
      <c r="G56" s="11">
        <f si="1" t="shared"/>
        <v>0</v>
      </c>
    </row>
    <row r="57" spans="1:7" x14ac:dyDescent="0.25">
      <c r="A57">
        <v>46</v>
      </c>
      <c r="B57" s="341" t="n">
        <v>0.0</v>
      </c>
      <c r="C57" s="11">
        <f si="0" t="shared"/>
        <v>0</v>
      </c>
      <c r="E57" s="65">
        <v>46</v>
      </c>
      <c r="F57" s="343" t="n">
        <v>0.0</v>
      </c>
      <c r="G57" s="11">
        <f si="1" t="shared"/>
        <v>7.8087786289346488E-6</v>
      </c>
    </row>
    <row r="58" spans="1:7" x14ac:dyDescent="0.25">
      <c r="A58">
        <v>47</v>
      </c>
      <c r="B58" s="341" t="n">
        <v>0.0</v>
      </c>
      <c r="C58" s="11">
        <f si="0" t="shared"/>
        <v>0</v>
      </c>
      <c r="E58" s="66">
        <v>47</v>
      </c>
      <c r="F58" s="343" t="n">
        <v>2.0</v>
      </c>
      <c r="G58" s="11">
        <f si="1" t="shared"/>
        <v>0</v>
      </c>
    </row>
    <row r="59" spans="1:7" x14ac:dyDescent="0.25">
      <c r="A59">
        <v>48</v>
      </c>
      <c r="B59" s="341" t="n">
        <v>0.0</v>
      </c>
      <c r="C59" s="11">
        <f si="0" t="shared"/>
        <v>0</v>
      </c>
      <c r="E59" s="67">
        <v>48</v>
      </c>
      <c r="F59" s="343" t="n">
        <v>1.0</v>
      </c>
      <c r="G59" s="11">
        <f si="1" t="shared"/>
        <v>2.3426335886803945E-5</v>
      </c>
    </row>
    <row r="60" spans="1:7" x14ac:dyDescent="0.25">
      <c r="A60">
        <v>49</v>
      </c>
      <c r="B60" s="341" t="n">
        <v>0.0</v>
      </c>
      <c r="C60" s="11">
        <f si="0" t="shared"/>
        <v>0</v>
      </c>
      <c r="E60" s="68">
        <v>49</v>
      </c>
      <c r="F60" s="343" t="n">
        <v>1.0</v>
      </c>
      <c r="G60" s="11">
        <f si="1" t="shared"/>
        <v>0</v>
      </c>
    </row>
    <row r="61" spans="1:7" x14ac:dyDescent="0.25">
      <c r="A61">
        <v>50</v>
      </c>
      <c r="B61" s="341" t="n">
        <v>0.0</v>
      </c>
      <c r="C61" s="11">
        <f si="0" t="shared"/>
        <v>0</v>
      </c>
      <c r="E61" s="69">
        <v>50</v>
      </c>
      <c r="F61" s="343" t="n">
        <v>2.0</v>
      </c>
      <c r="G61" s="11">
        <f si="1" t="shared"/>
        <v>7.8087786289346488E-6</v>
      </c>
    </row>
    <row r="62" spans="1:7" x14ac:dyDescent="0.25">
      <c r="A62">
        <v>51</v>
      </c>
      <c r="B62" s="341" t="n">
        <v>0.0</v>
      </c>
      <c r="C62" s="11">
        <f si="0" t="shared"/>
        <v>0</v>
      </c>
      <c r="E62" s="70">
        <v>51</v>
      </c>
      <c r="F62" s="343" t="n">
        <v>0.0</v>
      </c>
      <c r="G62" s="11">
        <f si="1" t="shared"/>
        <v>0</v>
      </c>
    </row>
    <row r="63" spans="1:7" x14ac:dyDescent="0.25">
      <c r="A63">
        <v>52</v>
      </c>
      <c r="B63" s="341" t="n">
        <v>0.0</v>
      </c>
      <c r="C63" s="11">
        <f si="0" t="shared"/>
        <v>0</v>
      </c>
      <c r="E63" s="71">
        <v>52</v>
      </c>
      <c r="F63" s="343" t="n">
        <v>1.0</v>
      </c>
      <c r="G63" s="11">
        <f si="1" t="shared"/>
        <v>0</v>
      </c>
    </row>
    <row r="64" spans="1:7" x14ac:dyDescent="0.25">
      <c r="A64">
        <v>53</v>
      </c>
      <c r="B64" s="341" t="n">
        <v>0.0</v>
      </c>
      <c r="C64" s="11">
        <f si="0" t="shared"/>
        <v>0</v>
      </c>
      <c r="E64" s="72">
        <v>53</v>
      </c>
      <c r="F64" s="343" t="n">
        <v>0.0</v>
      </c>
      <c r="G64" s="11">
        <f si="1" t="shared"/>
        <v>0</v>
      </c>
    </row>
    <row r="65" spans="1:7" x14ac:dyDescent="0.25">
      <c r="A65">
        <v>54</v>
      </c>
      <c r="B65" s="341" t="n">
        <v>0.0</v>
      </c>
      <c r="C65" s="11">
        <f si="0" t="shared"/>
        <v>0</v>
      </c>
      <c r="E65" s="73">
        <v>54</v>
      </c>
      <c r="F65" s="343" t="n">
        <v>0.0</v>
      </c>
      <c r="G65" s="11">
        <f si="1" t="shared"/>
        <v>0</v>
      </c>
    </row>
    <row r="66" spans="1:7" x14ac:dyDescent="0.25">
      <c r="A66">
        <v>55</v>
      </c>
      <c r="B66" s="341" t="n">
        <v>0.0</v>
      </c>
      <c r="C66" s="11">
        <f si="0" t="shared"/>
        <v>0</v>
      </c>
      <c r="E66" s="74">
        <v>55</v>
      </c>
      <c r="F66" s="343" t="n">
        <v>0.0</v>
      </c>
      <c r="G66" s="11">
        <f si="1" t="shared"/>
        <v>0</v>
      </c>
    </row>
    <row r="67" spans="1:7" x14ac:dyDescent="0.25">
      <c r="A67">
        <v>56</v>
      </c>
      <c r="B67" s="341" t="n">
        <v>0.0</v>
      </c>
      <c r="C67" s="11">
        <f si="0" t="shared"/>
        <v>0</v>
      </c>
      <c r="E67" s="75">
        <v>56</v>
      </c>
      <c r="F67" s="343" t="n">
        <v>0.0</v>
      </c>
      <c r="G67" s="11">
        <f si="1" t="shared"/>
        <v>0</v>
      </c>
    </row>
    <row r="68" spans="1:7" x14ac:dyDescent="0.25">
      <c r="A68">
        <v>57</v>
      </c>
      <c r="B68" s="341" t="n">
        <v>0.0</v>
      </c>
      <c r="C68" s="11">
        <f si="0" t="shared"/>
        <v>0</v>
      </c>
      <c r="E68" s="76">
        <v>57</v>
      </c>
      <c r="F68" s="343" t="n">
        <v>0.0</v>
      </c>
      <c r="G68" s="11">
        <f si="1" t="shared"/>
        <v>0</v>
      </c>
    </row>
    <row r="69" spans="1:7" x14ac:dyDescent="0.25">
      <c r="A69">
        <v>58</v>
      </c>
      <c r="B69" s="341" t="n">
        <v>0.0</v>
      </c>
      <c r="C69" s="11">
        <f si="0" t="shared"/>
        <v>0</v>
      </c>
      <c r="E69" s="77">
        <v>58</v>
      </c>
      <c r="F69" s="343" t="n">
        <v>0.0</v>
      </c>
      <c r="G69" s="11">
        <f si="1" t="shared"/>
        <v>0</v>
      </c>
    </row>
    <row r="70" spans="1:7" x14ac:dyDescent="0.25">
      <c r="A70">
        <v>59</v>
      </c>
      <c r="B70" s="341" t="n">
        <v>0.0</v>
      </c>
      <c r="C70" s="11">
        <f si="0" t="shared"/>
        <v>0</v>
      </c>
      <c r="E70" s="78">
        <v>59</v>
      </c>
      <c r="F70" s="343" t="n">
        <v>0.0</v>
      </c>
      <c r="G70" s="11">
        <f si="1" t="shared"/>
        <v>0</v>
      </c>
    </row>
    <row r="71" spans="1:7" x14ac:dyDescent="0.25">
      <c r="A71">
        <v>60</v>
      </c>
      <c r="B71" s="341" t="n">
        <v>0.0</v>
      </c>
      <c r="C71" s="11">
        <f si="0" t="shared"/>
        <v>0</v>
      </c>
      <c r="E71" s="79">
        <v>60</v>
      </c>
      <c r="F71" s="343" t="n">
        <v>0.0</v>
      </c>
      <c r="G71" s="11">
        <f si="1" t="shared"/>
        <v>0</v>
      </c>
    </row>
    <row r="72" spans="1:7" x14ac:dyDescent="0.25">
      <c r="A72">
        <v>61</v>
      </c>
      <c r="B72" s="341" t="n">
        <v>0.0</v>
      </c>
      <c r="C72" s="11">
        <f si="0" t="shared"/>
        <v>0</v>
      </c>
      <c r="E72" s="80">
        <v>61</v>
      </c>
      <c r="F72" s="343" t="n">
        <v>0.0</v>
      </c>
      <c r="G72" s="11">
        <f si="1" t="shared"/>
        <v>0</v>
      </c>
    </row>
    <row r="73" spans="1:7" x14ac:dyDescent="0.25">
      <c r="A73">
        <v>62</v>
      </c>
      <c r="B73" s="341" t="n">
        <v>0.0</v>
      </c>
      <c r="C73" s="11">
        <f si="0" t="shared"/>
        <v>0</v>
      </c>
      <c r="E73" s="81">
        <v>62</v>
      </c>
      <c r="F73" s="343" t="n">
        <v>0.0</v>
      </c>
      <c r="G73" s="11">
        <f si="1" t="shared"/>
        <v>0</v>
      </c>
    </row>
    <row r="74" spans="1:7" x14ac:dyDescent="0.25">
      <c r="A74">
        <v>63</v>
      </c>
      <c r="B74" s="341" t="n">
        <v>0.0</v>
      </c>
      <c r="C74" s="11">
        <f si="0" t="shared"/>
        <v>0</v>
      </c>
      <c r="E74" s="82">
        <v>63</v>
      </c>
      <c r="F74" s="343" t="n">
        <v>0.0</v>
      </c>
      <c r="G74" s="11">
        <f si="1" t="shared"/>
        <v>0</v>
      </c>
    </row>
    <row r="75" spans="1:7" x14ac:dyDescent="0.25">
      <c r="A75">
        <v>64</v>
      </c>
      <c r="B75" s="341" t="n">
        <v>0.0</v>
      </c>
      <c r="C75" s="11">
        <f si="0" t="shared"/>
        <v>0</v>
      </c>
      <c r="E75" s="83">
        <v>64</v>
      </c>
      <c r="F75" s="343" t="n">
        <v>0.0</v>
      </c>
      <c r="G75" s="11">
        <f si="1" t="shared"/>
        <v>0</v>
      </c>
    </row>
    <row r="76" spans="1:7" x14ac:dyDescent="0.25">
      <c r="A76">
        <v>65</v>
      </c>
      <c r="B76" s="341" t="n">
        <v>0.0</v>
      </c>
      <c r="C76" s="11">
        <f si="0" t="shared"/>
        <v>0</v>
      </c>
      <c r="E76" s="84">
        <v>65</v>
      </c>
      <c r="F76" s="343" t="n">
        <v>0.0</v>
      </c>
      <c r="G76" s="11">
        <f si="1" t="shared"/>
        <v>0</v>
      </c>
    </row>
    <row r="77" spans="1:7" x14ac:dyDescent="0.25">
      <c r="A77">
        <v>66</v>
      </c>
      <c r="B77" s="341" t="n">
        <v>0.0</v>
      </c>
      <c r="C77" s="11">
        <f ref="C77:C102" si="2" t="shared">B77/B$102</f>
        <v>0</v>
      </c>
      <c r="E77" s="85">
        <v>66</v>
      </c>
      <c r="F77" s="343" t="n">
        <v>0.0</v>
      </c>
      <c r="G77" s="11">
        <f ref="G77:G102" si="3" t="shared">F77/F$102</f>
        <v>0</v>
      </c>
    </row>
    <row r="78" spans="1:7" x14ac:dyDescent="0.25">
      <c r="A78">
        <v>67</v>
      </c>
      <c r="B78" s="341" t="n">
        <v>0.0</v>
      </c>
      <c r="C78" s="11">
        <f si="2" t="shared"/>
        <v>0</v>
      </c>
      <c r="E78" s="86">
        <v>67</v>
      </c>
      <c r="F78" s="343" t="n">
        <v>0.0</v>
      </c>
      <c r="G78" s="11">
        <f si="3" t="shared"/>
        <v>0</v>
      </c>
    </row>
    <row r="79" spans="1:7" x14ac:dyDescent="0.25">
      <c r="A79">
        <v>68</v>
      </c>
      <c r="B79" s="341" t="n">
        <v>0.0</v>
      </c>
      <c r="C79" s="11">
        <f si="2" t="shared"/>
        <v>0</v>
      </c>
      <c r="E79" s="87">
        <v>68</v>
      </c>
      <c r="F79" s="343" t="n">
        <v>0.0</v>
      </c>
      <c r="G79" s="11">
        <f si="3" t="shared"/>
        <v>0</v>
      </c>
    </row>
    <row r="80" spans="1:7" x14ac:dyDescent="0.25">
      <c r="A80">
        <v>69</v>
      </c>
      <c r="B80" s="341" t="n">
        <v>0.0</v>
      </c>
      <c r="C80" s="11">
        <f si="2" t="shared"/>
        <v>0</v>
      </c>
      <c r="E80" s="88">
        <v>69</v>
      </c>
      <c r="F80" s="343" t="n">
        <v>0.0</v>
      </c>
      <c r="G80" s="11">
        <f si="3" t="shared"/>
        <v>0</v>
      </c>
    </row>
    <row r="81" spans="1:7" x14ac:dyDescent="0.25">
      <c r="A81">
        <v>70</v>
      </c>
      <c r="B81" s="341" t="n">
        <v>0.0</v>
      </c>
      <c r="C81" s="11">
        <f si="2" t="shared"/>
        <v>0</v>
      </c>
      <c r="E81" s="89">
        <v>70</v>
      </c>
      <c r="F81" s="343" t="n">
        <v>0.0</v>
      </c>
      <c r="G81" s="11">
        <f si="3" t="shared"/>
        <v>0</v>
      </c>
    </row>
    <row r="82" spans="1:7" x14ac:dyDescent="0.25">
      <c r="A82">
        <v>71</v>
      </c>
      <c r="B82" s="341" t="n">
        <v>0.0</v>
      </c>
      <c r="C82" s="11">
        <f si="2" t="shared"/>
        <v>0</v>
      </c>
      <c r="E82" s="90">
        <v>71</v>
      </c>
      <c r="F82" s="343" t="n">
        <v>0.0</v>
      </c>
      <c r="G82" s="11">
        <f si="3" t="shared"/>
        <v>0</v>
      </c>
    </row>
    <row r="83" spans="1:7" x14ac:dyDescent="0.25">
      <c r="A83">
        <v>72</v>
      </c>
      <c r="B83" s="341" t="n">
        <v>0.0</v>
      </c>
      <c r="C83" s="11">
        <f si="2" t="shared"/>
        <v>0</v>
      </c>
      <c r="E83" s="91">
        <v>72</v>
      </c>
      <c r="F83" s="343" t="n">
        <v>0.0</v>
      </c>
      <c r="G83" s="11">
        <f si="3" t="shared"/>
        <v>0</v>
      </c>
    </row>
    <row r="84" spans="1:7" x14ac:dyDescent="0.25">
      <c r="A84">
        <v>73</v>
      </c>
      <c r="B84" s="341" t="n">
        <v>0.0</v>
      </c>
      <c r="C84" s="11">
        <f si="2" t="shared"/>
        <v>0</v>
      </c>
      <c r="E84" s="92">
        <v>73</v>
      </c>
      <c r="F84" s="343" t="n">
        <v>0.0</v>
      </c>
      <c r="G84" s="11">
        <f si="3" t="shared"/>
        <v>0</v>
      </c>
    </row>
    <row r="85" spans="1:7" x14ac:dyDescent="0.25">
      <c r="A85">
        <v>74</v>
      </c>
      <c r="B85" s="341" t="n">
        <v>0.0</v>
      </c>
      <c r="C85" s="11">
        <f si="2" t="shared"/>
        <v>0</v>
      </c>
      <c r="E85" s="93">
        <v>74</v>
      </c>
      <c r="F85" s="343" t="n">
        <v>0.0</v>
      </c>
      <c r="G85" s="11">
        <f si="3" t="shared"/>
        <v>0</v>
      </c>
    </row>
    <row r="86" spans="1:7" x14ac:dyDescent="0.25">
      <c r="A86">
        <v>75</v>
      </c>
      <c r="B86" s="341" t="n">
        <v>0.0</v>
      </c>
      <c r="C86" s="11">
        <f si="2" t="shared"/>
        <v>0</v>
      </c>
      <c r="E86" s="94">
        <v>75</v>
      </c>
      <c r="F86" s="343" t="n">
        <v>0.0</v>
      </c>
      <c r="G86" s="11">
        <f si="3" t="shared"/>
        <v>0</v>
      </c>
    </row>
    <row r="87" spans="1:7" x14ac:dyDescent="0.25">
      <c r="A87">
        <v>76</v>
      </c>
      <c r="B87" s="341" t="n">
        <v>0.0</v>
      </c>
      <c r="C87" s="11">
        <f si="2" t="shared"/>
        <v>0</v>
      </c>
      <c r="E87" s="95">
        <v>76</v>
      </c>
      <c r="F87" s="343" t="n">
        <v>0.0</v>
      </c>
      <c r="G87" s="11">
        <f si="3" t="shared"/>
        <v>0</v>
      </c>
    </row>
    <row r="88" spans="1:7" x14ac:dyDescent="0.25">
      <c r="A88">
        <v>77</v>
      </c>
      <c r="B88" s="341" t="n">
        <v>0.0</v>
      </c>
      <c r="C88" s="11">
        <f si="2" t="shared"/>
        <v>0</v>
      </c>
      <c r="E88" s="96">
        <v>77</v>
      </c>
      <c r="F88" s="343" t="n">
        <v>0.0</v>
      </c>
      <c r="G88" s="11">
        <f si="3" t="shared"/>
        <v>0</v>
      </c>
    </row>
    <row r="89" spans="1:7" x14ac:dyDescent="0.25">
      <c r="A89">
        <v>78</v>
      </c>
      <c r="B89" s="341" t="n">
        <v>0.0</v>
      </c>
      <c r="C89" s="11">
        <f si="2" t="shared"/>
        <v>0</v>
      </c>
      <c r="E89" s="97">
        <v>78</v>
      </c>
      <c r="F89" s="343" t="n">
        <v>0.0</v>
      </c>
      <c r="G89" s="11">
        <f si="3" t="shared"/>
        <v>0</v>
      </c>
    </row>
    <row r="90" spans="1:7" x14ac:dyDescent="0.25">
      <c r="A90">
        <v>79</v>
      </c>
      <c r="B90" s="341" t="n">
        <v>0.0</v>
      </c>
      <c r="C90" s="11">
        <f si="2" t="shared"/>
        <v>0</v>
      </c>
      <c r="E90" s="98">
        <v>79</v>
      </c>
      <c r="F90" s="343" t="n">
        <v>0.0</v>
      </c>
      <c r="G90" s="11">
        <f si="3" t="shared"/>
        <v>0</v>
      </c>
    </row>
    <row r="91" spans="1:7" x14ac:dyDescent="0.25">
      <c r="A91">
        <v>80</v>
      </c>
      <c r="B91" s="341" t="n">
        <v>0.0</v>
      </c>
      <c r="C91" s="11">
        <f si="2" t="shared"/>
        <v>0</v>
      </c>
      <c r="E91" s="99">
        <v>80</v>
      </c>
      <c r="F91" s="343" t="n">
        <v>0.0</v>
      </c>
      <c r="G91" s="11">
        <f si="3" t="shared"/>
        <v>0</v>
      </c>
    </row>
    <row r="92" spans="1:7" x14ac:dyDescent="0.25">
      <c r="A92">
        <v>81</v>
      </c>
      <c r="B92" s="341" t="n">
        <v>0.0</v>
      </c>
      <c r="C92" s="11">
        <f si="2" t="shared"/>
        <v>0</v>
      </c>
      <c r="E92" s="100">
        <v>81</v>
      </c>
      <c r="F92" s="343" t="n">
        <v>0.0</v>
      </c>
      <c r="G92" s="11">
        <f si="3" t="shared"/>
        <v>0</v>
      </c>
    </row>
    <row r="93" spans="1:7" x14ac:dyDescent="0.25">
      <c r="A93">
        <v>82</v>
      </c>
      <c r="B93" s="341" t="n">
        <v>0.0</v>
      </c>
      <c r="C93" s="11">
        <f si="2" t="shared"/>
        <v>0</v>
      </c>
      <c r="E93" s="101">
        <v>82</v>
      </c>
      <c r="F93" s="343" t="n">
        <v>0.0</v>
      </c>
      <c r="G93" s="11">
        <f si="3" t="shared"/>
        <v>0</v>
      </c>
    </row>
    <row r="94" spans="1:7" x14ac:dyDescent="0.25">
      <c r="A94">
        <v>83</v>
      </c>
      <c r="B94" s="341" t="n">
        <v>0.0</v>
      </c>
      <c r="C94" s="11">
        <f si="2" t="shared"/>
        <v>0</v>
      </c>
      <c r="E94" s="102">
        <v>83</v>
      </c>
      <c r="F94" s="343" t="n">
        <v>0.0</v>
      </c>
      <c r="G94" s="11">
        <f si="3" t="shared"/>
        <v>0</v>
      </c>
    </row>
    <row r="95" spans="1:7" x14ac:dyDescent="0.25">
      <c r="A95">
        <v>84</v>
      </c>
      <c r="B95" s="341" t="n">
        <v>0.0</v>
      </c>
      <c r="C95" s="11">
        <f si="2" t="shared"/>
        <v>0</v>
      </c>
      <c r="E95" s="103">
        <v>84</v>
      </c>
      <c r="F95" s="343" t="n">
        <v>0.0</v>
      </c>
      <c r="G95" s="11">
        <f si="3" t="shared"/>
        <v>0</v>
      </c>
    </row>
    <row r="96" spans="1:7" x14ac:dyDescent="0.25">
      <c r="A96">
        <v>85</v>
      </c>
      <c r="B96" s="341" t="n">
        <v>0.0</v>
      </c>
      <c r="C96" s="11">
        <f si="2" t="shared"/>
        <v>0</v>
      </c>
      <c r="E96" s="104">
        <v>85</v>
      </c>
      <c r="F96" s="343" t="n">
        <v>0.0</v>
      </c>
      <c r="G96" s="11">
        <f si="3" t="shared"/>
        <v>0</v>
      </c>
    </row>
    <row r="97" spans="1:7" x14ac:dyDescent="0.25">
      <c r="A97">
        <v>86</v>
      </c>
      <c r="B97" s="341" t="n">
        <v>0.0</v>
      </c>
      <c r="C97" s="11">
        <f si="2" t="shared"/>
        <v>0</v>
      </c>
      <c r="E97" s="105">
        <v>86</v>
      </c>
      <c r="F97" s="343" t="n">
        <v>0.0</v>
      </c>
      <c r="G97" s="11">
        <f si="3" t="shared"/>
        <v>0</v>
      </c>
    </row>
    <row r="98" spans="1:7" x14ac:dyDescent="0.25">
      <c r="A98">
        <v>87</v>
      </c>
      <c r="B98" s="341" t="n">
        <v>0.0</v>
      </c>
      <c r="C98" s="11">
        <f si="2" t="shared"/>
        <v>0</v>
      </c>
      <c r="E98" s="106">
        <v>87</v>
      </c>
      <c r="F98" s="343" t="n">
        <v>0.0</v>
      </c>
      <c r="G98" s="11">
        <f si="3" t="shared"/>
        <v>0</v>
      </c>
    </row>
    <row r="99" spans="1:7" x14ac:dyDescent="0.25">
      <c r="A99">
        <v>88</v>
      </c>
      <c r="B99" s="341" t="n">
        <v>0.0</v>
      </c>
      <c r="C99" s="11">
        <f si="2" t="shared"/>
        <v>0</v>
      </c>
      <c r="E99" s="107">
        <v>88</v>
      </c>
      <c r="F99" s="343" t="n">
        <v>0.0</v>
      </c>
      <c r="G99" s="11">
        <f si="3" t="shared"/>
        <v>0</v>
      </c>
    </row>
    <row r="100" spans="1:7" x14ac:dyDescent="0.25">
      <c r="A100">
        <v>89</v>
      </c>
      <c r="B100" s="341" t="n">
        <v>0.0</v>
      </c>
      <c r="C100" s="11">
        <f si="2" t="shared"/>
        <v>0</v>
      </c>
      <c r="E100" s="108">
        <v>89</v>
      </c>
      <c r="F100" s="343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342" t="n">
        <v>0.0</v>
      </c>
      <c r="C101" s="11">
        <f si="2" t="shared"/>
        <v>0</v>
      </c>
      <c r="E101" s="292">
        <v>90</v>
      </c>
      <c r="F101" s="344" t="n">
        <v>0.0</v>
      </c>
      <c r="G101" s="11">
        <f si="3" t="shared"/>
        <v>0</v>
      </c>
    </row>
    <row r="102" spans="1:7" x14ac:dyDescent="0.25">
      <c r="B102" s="341">
        <f>SUM(B11:B101)</f>
        <v>120009.56182741099</v>
      </c>
      <c r="C102" s="11">
        <f si="2" t="shared"/>
        <v>1</v>
      </c>
      <c r="F102" s="341">
        <f>SUM(F11:F101)</f>
        <v>128061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L102"/>
  <sheetViews>
    <sheetView workbookViewId="0">
      <selection activeCell="A6" sqref="A6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245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35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3249.639193436</v>
      </c>
      <c r="C11" s="11">
        <f>B11/B$102</f>
        <v>2.7078168972147348E-2</v>
      </c>
      <c r="E11" s="109">
        <v>0</v>
      </c>
      <c r="F11" s="199" t="n">
        <v>1635.0</v>
      </c>
      <c r="G11" s="11">
        <f>F11/F$102</f>
        <v>1.3399864127251856E-2</v>
      </c>
      <c r="K11" s="8" t="n">
        <v>8.51006535826044</v>
      </c>
      <c r="L11" s="8" t="n">
        <v>14.929033420706745</v>
      </c>
    </row>
    <row r="12" spans="1:12" x14ac:dyDescent="0.25">
      <c r="A12">
        <v>1</v>
      </c>
      <c r="B12" s="8" t="n">
        <v>8994.442963914</v>
      </c>
      <c r="C12" s="11">
        <f>B12/B$102</f>
        <v>7.4947719389636222E-2</v>
      </c>
      <c r="E12" s="110">
        <v>1</v>
      </c>
      <c r="F12" s="200" t="n">
        <v>3585.0</v>
      </c>
      <c r="G12" s="11">
        <f>F12/F$102</f>
        <v>2.8252161079485558E-2</v>
      </c>
      <c r="K12" s="8"/>
      <c r="L12" s="290"/>
    </row>
    <row r="13" spans="1:12" x14ac:dyDescent="0.25">
      <c r="A13">
        <v>2</v>
      </c>
      <c r="B13" s="8" t="n">
        <v>6376.8669776998</v>
      </c>
      <c r="C13" s="11">
        <f ref="C13:C76" si="0" t="shared">B13/B$102</f>
        <v>5.3136324144492292E-2</v>
      </c>
      <c r="E13" s="111">
        <v>2</v>
      </c>
      <c r="F13" s="201" t="n">
        <v>3973.0</v>
      </c>
      <c r="G13" s="11">
        <f ref="G13:G76" si="1" t="shared">F13/F$102</f>
        <v>3.0852484362920797E-2</v>
      </c>
    </row>
    <row r="14" spans="1:12" x14ac:dyDescent="0.25">
      <c r="A14">
        <v>3</v>
      </c>
      <c r="B14" s="8" t="n">
        <v>11540.075081486</v>
      </c>
      <c r="C14" s="11">
        <f si="0" t="shared"/>
        <v>9.6159630164153867E-2</v>
      </c>
      <c r="E14" s="112">
        <v>3</v>
      </c>
      <c r="F14" s="202" t="n">
        <v>4695.0</v>
      </c>
      <c r="G14" s="11">
        <f si="1" t="shared"/>
        <v>3.7365005739452291E-2</v>
      </c>
    </row>
    <row r="15" spans="1:12" x14ac:dyDescent="0.25">
      <c r="A15">
        <v>4</v>
      </c>
      <c r="B15" s="8" t="n">
        <v>10689.9048078123</v>
      </c>
      <c r="C15" s="11">
        <f si="0" t="shared"/>
        <v>8.9075442365048704E-2</v>
      </c>
      <c r="E15" s="113">
        <v>4</v>
      </c>
      <c r="F15" s="203" t="n">
        <v>5167.0</v>
      </c>
      <c r="G15" s="11">
        <f si="1" t="shared"/>
        <v>3.9512419862409318E-2</v>
      </c>
    </row>
    <row r="16" spans="1:12" x14ac:dyDescent="0.25">
      <c r="A16">
        <v>5</v>
      </c>
      <c r="B16" s="8" t="n">
        <v>10646.259715617</v>
      </c>
      <c r="C16" s="11">
        <f si="0" t="shared"/>
        <v>8.8711762242142611E-2</v>
      </c>
      <c r="E16" s="114">
        <v>5</v>
      </c>
      <c r="F16" s="204" t="n">
        <v>5652.0</v>
      </c>
      <c r="G16" s="11">
        <f si="1" t="shared"/>
        <v>4.3932188566386331E-2</v>
      </c>
    </row>
    <row r="17" spans="1:7" x14ac:dyDescent="0.25">
      <c r="A17">
        <v>6</v>
      </c>
      <c r="B17" s="8" t="n">
        <v>8000.5347923901</v>
      </c>
      <c r="C17" s="11">
        <f si="0" t="shared"/>
        <v>6.666581121174231E-2</v>
      </c>
      <c r="E17" s="115">
        <v>6</v>
      </c>
      <c r="F17" s="205" t="n">
        <v>5799.0</v>
      </c>
      <c r="G17" s="11">
        <f si="1" t="shared"/>
        <v>4.4260157268801587E-2</v>
      </c>
    </row>
    <row r="18" spans="1:7" x14ac:dyDescent="0.25">
      <c r="A18">
        <v>7</v>
      </c>
      <c r="B18" s="8" t="n">
        <v>12044.8378909431</v>
      </c>
      <c r="C18" s="11">
        <f si="0" t="shared"/>
        <v>0.10036565176585767</v>
      </c>
      <c r="E18" s="116">
        <v>7</v>
      </c>
      <c r="F18" s="206" t="n">
        <v>6442.0</v>
      </c>
      <c r="G18" s="11">
        <f si="1" t="shared"/>
        <v>4.9546700400590345E-2</v>
      </c>
    </row>
    <row r="19" spans="1:7" x14ac:dyDescent="0.25">
      <c r="A19">
        <v>8</v>
      </c>
      <c r="B19" s="8" t="n">
        <v>13876.4829297742</v>
      </c>
      <c r="C19" s="11">
        <f si="0" t="shared"/>
        <v>0.11562814427845627</v>
      </c>
      <c r="E19" s="117">
        <v>8</v>
      </c>
      <c r="F19" s="207" t="n">
        <v>6575.0</v>
      </c>
      <c r="G19" s="11">
        <f si="1" t="shared"/>
        <v>4.9632596965508625E-2</v>
      </c>
    </row>
    <row r="20" spans="1:7" x14ac:dyDescent="0.25">
      <c r="A20">
        <v>9</v>
      </c>
      <c r="B20" s="8" t="n">
        <v>7650.7308833913</v>
      </c>
      <c r="C20" s="11">
        <f si="0" t="shared"/>
        <v>6.3751010893565482E-2</v>
      </c>
      <c r="E20" s="118">
        <v>9</v>
      </c>
      <c r="F20" s="208" t="n">
        <v>6109.0</v>
      </c>
      <c r="G20" s="11">
        <f si="1" t="shared"/>
        <v>4.6290439712324598E-2</v>
      </c>
    </row>
    <row r="21" spans="1:7" x14ac:dyDescent="0.25">
      <c r="A21">
        <v>10</v>
      </c>
      <c r="B21" s="8" t="n">
        <v>2245.206441918</v>
      </c>
      <c r="C21" s="11">
        <f si="0" t="shared"/>
        <v>1.8708562948899787E-2</v>
      </c>
      <c r="E21" s="119">
        <v>10</v>
      </c>
      <c r="F21" s="209" t="n">
        <v>5821.0</v>
      </c>
      <c r="G21" s="11">
        <f si="1" t="shared"/>
        <v>4.3783821772436574E-2</v>
      </c>
    </row>
    <row r="22" spans="1:7" x14ac:dyDescent="0.25">
      <c r="A22">
        <v>11</v>
      </c>
      <c r="B22" s="8" t="n">
        <v>798.302959009</v>
      </c>
      <c r="C22" s="11">
        <f si="0" t="shared"/>
        <v>6.6519946148712802E-3</v>
      </c>
      <c r="E22" s="120">
        <v>11</v>
      </c>
      <c r="F22" s="210" t="n">
        <v>5559.0</v>
      </c>
      <c r="G22" s="11">
        <f si="1" t="shared"/>
        <v>4.2987326352285242E-2</v>
      </c>
    </row>
    <row r="23" spans="1:7" x14ac:dyDescent="0.25">
      <c r="A23">
        <v>12</v>
      </c>
      <c r="B23" s="8" t="n">
        <v>605.4089074980001</v>
      </c>
      <c r="C23" s="11">
        <f si="0" t="shared"/>
        <v>5.0446722601041986E-3</v>
      </c>
      <c r="E23" s="121">
        <v>12</v>
      </c>
      <c r="F23" s="211" t="n">
        <v>4672.0</v>
      </c>
      <c r="G23" s="11">
        <f si="1" t="shared"/>
        <v>3.5662691998344542E-2</v>
      </c>
    </row>
    <row r="24" spans="1:7" x14ac:dyDescent="0.25">
      <c r="A24">
        <v>13</v>
      </c>
      <c r="B24" s="8" t="n">
        <v>196.044301439</v>
      </c>
      <c r="C24" s="11">
        <f si="0" t="shared"/>
        <v>1.6335723458513797E-3</v>
      </c>
      <c r="E24" s="122">
        <v>13</v>
      </c>
      <c r="F24" s="212" t="n">
        <v>4145.0</v>
      </c>
      <c r="G24" s="11">
        <f si="1" t="shared"/>
        <v>3.2351769859676249E-2</v>
      </c>
    </row>
    <row r="25" spans="1:7" x14ac:dyDescent="0.25">
      <c r="A25">
        <v>14</v>
      </c>
      <c r="B25" s="8" t="n">
        <v>794.390711868</v>
      </c>
      <c r="C25" s="11">
        <f si="0" t="shared"/>
        <v>6.6193951529498517E-3</v>
      </c>
      <c r="E25" s="123">
        <v>14</v>
      </c>
      <c r="F25" s="213" t="n">
        <v>3294.0</v>
      </c>
      <c r="G25" s="11">
        <f si="1" t="shared"/>
        <v>2.5792395811371143E-2</v>
      </c>
    </row>
    <row r="26" spans="1:7" x14ac:dyDescent="0.25">
      <c r="A26">
        <v>15</v>
      </c>
      <c r="B26" s="8" t="n">
        <v>1975.275462744</v>
      </c>
      <c r="C26" s="11">
        <f si="0" t="shared"/>
        <v>1.6459317346601905E-2</v>
      </c>
      <c r="E26" s="124">
        <v>15</v>
      </c>
      <c r="F26" s="214" t="n">
        <v>3199.0</v>
      </c>
      <c r="G26" s="11">
        <f si="1" t="shared"/>
        <v>2.5300442757748259E-2</v>
      </c>
    </row>
    <row r="27" spans="1:7" x14ac:dyDescent="0.25">
      <c r="A27">
        <v>16</v>
      </c>
      <c r="B27" s="8" t="n">
        <v>161.271876599</v>
      </c>
      <c r="C27" s="11">
        <f si="0" t="shared"/>
        <v>1.3438252264509508E-3</v>
      </c>
      <c r="E27" s="125">
        <v>16</v>
      </c>
      <c r="F27" s="215" t="n">
        <v>3453.0</v>
      </c>
      <c r="G27" s="11">
        <f si="1" t="shared"/>
        <v>2.6135982071044266E-2</v>
      </c>
    </row>
    <row r="28" spans="1:7" x14ac:dyDescent="0.25">
      <c r="A28">
        <v>17</v>
      </c>
      <c r="B28" s="8" t="n">
        <v>1471.255439591</v>
      </c>
      <c r="C28" s="11">
        <f si="0" t="shared"/>
        <v>1.2259485137583053E-2</v>
      </c>
      <c r="E28" s="126">
        <v>17</v>
      </c>
      <c r="F28" s="216" t="n">
        <v>3390.0</v>
      </c>
      <c r="G28" s="11">
        <f si="1" t="shared"/>
        <v>2.6862198483535191E-2</v>
      </c>
    </row>
    <row r="29" spans="1:7" x14ac:dyDescent="0.25">
      <c r="A29">
        <v>18</v>
      </c>
      <c r="B29" s="8" t="n">
        <v>4763.246593388</v>
      </c>
      <c r="C29" s="11">
        <f si="0" t="shared"/>
        <v>3.9690558992608885E-2</v>
      </c>
      <c r="E29" s="127">
        <v>18</v>
      </c>
      <c r="F29" s="217" t="n">
        <v>3537.0</v>
      </c>
      <c r="G29" s="11">
        <f si="1" t="shared"/>
        <v>2.6838772147648387E-2</v>
      </c>
    </row>
    <row r="30" spans="1:7" x14ac:dyDescent="0.25">
      <c r="A30">
        <v>19</v>
      </c>
      <c r="B30" s="8" t="n">
        <v>1139.283605659</v>
      </c>
      <c r="C30" s="11">
        <f si="0" t="shared"/>
        <v>9.4932736051268514E-3</v>
      </c>
      <c r="E30" s="128">
        <v>19</v>
      </c>
      <c r="F30" s="218" t="n">
        <v>3514.0</v>
      </c>
      <c r="G30" s="11">
        <f si="1" t="shared"/>
        <v>2.6932477491195601E-2</v>
      </c>
    </row>
    <row r="31" spans="1:7" x14ac:dyDescent="0.25">
      <c r="A31">
        <v>20</v>
      </c>
      <c r="B31" s="8" t="n">
        <v>1823.261099725</v>
      </c>
      <c r="C31" s="11">
        <f si="0" t="shared"/>
        <v>1.5192631920005514E-2</v>
      </c>
      <c r="E31" s="129">
        <v>20</v>
      </c>
      <c r="F31" s="219" t="n">
        <v>3085.0</v>
      </c>
      <c r="G31" s="11">
        <f si="1" t="shared"/>
        <v>2.5269207643232521E-2</v>
      </c>
    </row>
    <row r="32" spans="1:7" x14ac:dyDescent="0.25">
      <c r="A32">
        <v>21</v>
      </c>
      <c r="B32" s="8" t="n">
        <v>2444.0998877399998</v>
      </c>
      <c r="C32" s="11">
        <f si="0" t="shared"/>
        <v>2.036587627288337E-2</v>
      </c>
      <c r="E32" s="130">
        <v>21</v>
      </c>
      <c r="F32" s="220" t="n">
        <v>3317.0</v>
      </c>
      <c r="G32" s="11">
        <f si="1" t="shared"/>
        <v>2.6581082452893545E-2</v>
      </c>
    </row>
    <row r="33" spans="1:7" x14ac:dyDescent="0.25">
      <c r="A33">
        <v>22</v>
      </c>
      <c r="B33" s="8" t="n">
        <v>996.5787238114</v>
      </c>
      <c r="C33" s="11">
        <f si="0" t="shared"/>
        <v>8.3041610071421367E-3</v>
      </c>
      <c r="E33" s="131">
        <v>22</v>
      </c>
      <c r="F33" s="221" t="n">
        <v>3125.0</v>
      </c>
      <c r="G33" s="11">
        <f si="1" t="shared"/>
        <v>2.4722593139207098E-2</v>
      </c>
    </row>
    <row r="34" spans="1:7" x14ac:dyDescent="0.25">
      <c r="A34">
        <v>23</v>
      </c>
      <c r="B34" s="8" t="n">
        <v>1030.278894106</v>
      </c>
      <c r="C34" s="11">
        <f si="0" t="shared"/>
        <v>8.5849733839347894E-3</v>
      </c>
      <c r="E34" s="132">
        <v>23</v>
      </c>
      <c r="F34" s="222" t="n">
        <v>3359.0</v>
      </c>
      <c r="G34" s="11">
        <f si="1" t="shared"/>
        <v>2.6487377109346327E-2</v>
      </c>
    </row>
    <row r="35" spans="1:7" x14ac:dyDescent="0.25">
      <c r="A35">
        <v>24</v>
      </c>
      <c r="B35" s="8" t="n">
        <v>702.7485673473</v>
      </c>
      <c r="C35" s="11">
        <f si="0" t="shared"/>
        <v>5.8557714622601625E-3</v>
      </c>
      <c r="E35" s="133">
        <v>24</v>
      </c>
      <c r="F35" s="223" t="n">
        <v>3048.0</v>
      </c>
      <c r="G35" s="11">
        <f si="1" t="shared"/>
        <v>2.447271222308119E-2</v>
      </c>
    </row>
    <row r="36" spans="1:7" x14ac:dyDescent="0.25">
      <c r="A36">
        <v>25</v>
      </c>
      <c r="B36" s="8" t="n">
        <v>1112.7770061</v>
      </c>
      <c r="C36" s="11">
        <f si="0" t="shared"/>
        <v>9.2724028748668776E-3</v>
      </c>
      <c r="E36" s="134">
        <v>25</v>
      </c>
      <c r="F36" s="224" t="n">
        <v>2728.0</v>
      </c>
      <c r="G36" s="11">
        <f si="1" t="shared"/>
        <v>1.950632901507875E-2</v>
      </c>
    </row>
    <row r="37" spans="1:7" x14ac:dyDescent="0.25">
      <c r="A37">
        <v>26</v>
      </c>
      <c r="B37" s="8" t="n">
        <v>131.494048378</v>
      </c>
      <c r="C37" s="11">
        <f si="0" t="shared"/>
        <v>1.0956964293154002E-3</v>
      </c>
      <c r="E37" s="135">
        <v>26</v>
      </c>
      <c r="F37" s="225" t="n">
        <v>2215.0</v>
      </c>
      <c r="G37" s="11">
        <f si="1" t="shared"/>
        <v>1.9748401152575725E-2</v>
      </c>
    </row>
    <row r="38" spans="1:7" x14ac:dyDescent="0.25">
      <c r="A38">
        <v>27</v>
      </c>
      <c r="B38" s="8" t="n">
        <v>80.1534960505</v>
      </c>
      <c r="C38" s="11">
        <f si="0" t="shared"/>
        <v>6.6789258147422371E-4</v>
      </c>
      <c r="E38" s="136">
        <v>27</v>
      </c>
      <c r="F38" s="226" t="n">
        <v>2213.0</v>
      </c>
      <c r="G38" s="11">
        <f si="1" t="shared"/>
        <v>1.688257939575671E-2</v>
      </c>
    </row>
    <row r="39" spans="1:7" x14ac:dyDescent="0.25">
      <c r="A39">
        <v>28</v>
      </c>
      <c r="B39" s="8" t="n">
        <v>0.0</v>
      </c>
      <c r="C39" s="11">
        <f si="0" t="shared"/>
        <v>0</v>
      </c>
      <c r="E39" s="137">
        <v>28</v>
      </c>
      <c r="F39" s="227" t="n">
        <v>2082.0</v>
      </c>
      <c r="G39" s="11">
        <f si="1" t="shared"/>
        <v>1.6890388174385644E-2</v>
      </c>
    </row>
    <row r="40" spans="1:7" x14ac:dyDescent="0.25">
      <c r="A40">
        <v>29</v>
      </c>
      <c r="B40" s="8" t="n">
        <v>1209.028152761</v>
      </c>
      <c r="C40" s="11">
        <f si="0" t="shared"/>
        <v>1.0074431856519366E-2</v>
      </c>
      <c r="E40" s="138">
        <v>29</v>
      </c>
      <c r="F40" s="228" t="n">
        <v>1723.0</v>
      </c>
      <c r="G40" s="11">
        <f si="1" t="shared"/>
        <v>1.4126080539742779E-2</v>
      </c>
    </row>
    <row r="41" spans="1:7" x14ac:dyDescent="0.25">
      <c r="A41">
        <v>30</v>
      </c>
      <c r="B41" s="8" t="n">
        <v>1165.803614793</v>
      </c>
      <c r="C41" s="11">
        <f si="0" t="shared"/>
        <v>9.7142560729417005E-3</v>
      </c>
      <c r="E41" s="139">
        <v>30</v>
      </c>
      <c r="F41" s="229" t="n">
        <v>1458.0</v>
      </c>
      <c r="G41" s="11">
        <f si="1" t="shared"/>
        <v>1.1838108401464927E-2</v>
      </c>
    </row>
    <row r="42" spans="1:7" x14ac:dyDescent="0.25">
      <c r="A42">
        <v>31</v>
      </c>
      <c r="B42" s="8" t="n">
        <v>0.0</v>
      </c>
      <c r="C42" s="11">
        <f si="0" t="shared"/>
        <v>0</v>
      </c>
      <c r="E42" s="140">
        <v>31</v>
      </c>
      <c r="F42" s="230" t="n">
        <v>1374.0</v>
      </c>
      <c r="G42" s="11">
        <f si="1" t="shared"/>
        <v>1.065117404986686E-2</v>
      </c>
    </row>
    <row r="43" spans="1:7" x14ac:dyDescent="0.25">
      <c r="A43">
        <v>32</v>
      </c>
      <c r="B43" s="8" t="n">
        <v>114.49205282</v>
      </c>
      <c r="C43" s="11">
        <f si="0" t="shared"/>
        <v>9.540244216927823E-4</v>
      </c>
      <c r="E43" s="141">
        <v>32</v>
      </c>
      <c r="F43" s="231" t="n">
        <v>1159.0</v>
      </c>
      <c r="G43" s="11">
        <f si="1" t="shared"/>
        <v>9.0503744309352579E-3</v>
      </c>
    </row>
    <row r="44" spans="1:7" x14ac:dyDescent="0.25">
      <c r="A44">
        <v>33</v>
      </c>
      <c r="B44" s="8" t="n">
        <v>0.0</v>
      </c>
      <c r="C44" s="11">
        <f si="0" t="shared"/>
        <v>0</v>
      </c>
      <c r="E44" s="142">
        <v>33</v>
      </c>
      <c r="F44" s="232" t="n">
        <v>1102.0</v>
      </c>
      <c r="G44" s="11">
        <f si="1" t="shared"/>
        <v>8.6833618353753285E-3</v>
      </c>
    </row>
    <row r="45" spans="1:7" x14ac:dyDescent="0.25">
      <c r="A45">
        <v>34</v>
      </c>
      <c r="B45" s="8" t="n">
        <v>451.645852435</v>
      </c>
      <c r="C45" s="11">
        <f si="0" t="shared"/>
        <v>3.763415560874425E-3</v>
      </c>
      <c r="E45" s="143">
        <v>34</v>
      </c>
      <c r="F45" s="233" t="n">
        <v>885.0</v>
      </c>
      <c r="G45" s="11">
        <f si="1" t="shared"/>
        <v>7.8243961861925171E-3</v>
      </c>
    </row>
    <row r="46" spans="1:7" x14ac:dyDescent="0.25">
      <c r="A46">
        <v>35</v>
      </c>
      <c r="B46" s="8" t="n">
        <v>420.294538892</v>
      </c>
      <c r="C46" s="11">
        <f si="0" t="shared"/>
        <v>3.5021754307913971E-3</v>
      </c>
      <c r="E46" s="144">
        <v>35</v>
      </c>
      <c r="F46" s="234" t="n">
        <v>784.0</v>
      </c>
      <c r="G46" s="11">
        <f si="1" t="shared"/>
        <v>6.4812862620157582E-3</v>
      </c>
    </row>
    <row r="47" spans="1:7" x14ac:dyDescent="0.25">
      <c r="A47">
        <v>36</v>
      </c>
      <c r="B47" s="8" t="n">
        <v>115.284068156</v>
      </c>
      <c r="C47" s="11">
        <f si="0" t="shared"/>
        <v>9.6062402362399359E-4</v>
      </c>
      <c r="E47" s="145">
        <v>36</v>
      </c>
      <c r="F47" s="235" t="n">
        <v>594.0</v>
      </c>
      <c r="G47" s="11">
        <f si="1" t="shared"/>
        <v>5.7784961854116402E-3</v>
      </c>
    </row>
    <row r="48" spans="1:7" x14ac:dyDescent="0.25">
      <c r="A48">
        <v>37</v>
      </c>
      <c r="B48" s="8" t="n">
        <v>364.651929618</v>
      </c>
      <c r="C48" s="11">
        <f si="0" t="shared"/>
        <v>3.0385239648022025E-3</v>
      </c>
      <c r="E48" s="146">
        <v>37</v>
      </c>
      <c r="F48" s="236" t="n">
        <v>546.0</v>
      </c>
      <c r="G48" s="11">
        <f si="1" t="shared"/>
        <v>5.0132358797760441E-3</v>
      </c>
    </row>
    <row r="49" spans="1:7" x14ac:dyDescent="0.25">
      <c r="A49">
        <v>38</v>
      </c>
      <c r="B49" s="8" t="n">
        <v>0.0</v>
      </c>
      <c r="C49" s="11">
        <f si="0" t="shared"/>
        <v>0</v>
      </c>
      <c r="E49" s="147">
        <v>38</v>
      </c>
      <c r="F49" s="237" t="n">
        <v>505.0</v>
      </c>
      <c r="G49" s="11">
        <f si="1" t="shared"/>
        <v>4.1074175588196246E-3</v>
      </c>
    </row>
    <row r="50" spans="1:7" x14ac:dyDescent="0.25">
      <c r="A50">
        <v>39</v>
      </c>
      <c r="B50" s="8" t="n">
        <v>0.0</v>
      </c>
      <c r="C50" s="11">
        <f si="0" t="shared"/>
        <v>0</v>
      </c>
      <c r="E50" s="148">
        <v>39</v>
      </c>
      <c r="F50" s="238" t="n">
        <v>407.0</v>
      </c>
      <c r="G50" s="11">
        <f si="1" t="shared"/>
        <v>3.4827152685048533E-3</v>
      </c>
    </row>
    <row r="51" spans="1:7" x14ac:dyDescent="0.25">
      <c r="A51">
        <v>40</v>
      </c>
      <c r="B51" s="8" t="n">
        <v>0.0</v>
      </c>
      <c r="C51" s="11">
        <f si="0" t="shared"/>
        <v>0</v>
      </c>
      <c r="E51" s="149">
        <v>40</v>
      </c>
      <c r="F51" s="239" t="n">
        <v>325.0</v>
      </c>
      <c r="G51" s="11">
        <f si="1" t="shared"/>
        <v>2.7330725201271267E-3</v>
      </c>
    </row>
    <row r="52" spans="1:7" x14ac:dyDescent="0.25">
      <c r="A52">
        <v>41</v>
      </c>
      <c r="B52" s="8" t="n">
        <v>145.750329985</v>
      </c>
      <c r="C52" s="11">
        <f si="0" t="shared"/>
        <v>1.214489310398512E-3</v>
      </c>
      <c r="E52" s="150">
        <v>41</v>
      </c>
      <c r="F52" s="240" t="n">
        <v>238.0</v>
      </c>
      <c r="G52" s="11">
        <f si="1" t="shared"/>
        <v>2.4441477108565449E-3</v>
      </c>
    </row>
    <row r="53" spans="1:7" x14ac:dyDescent="0.25">
      <c r="A53">
        <v>42</v>
      </c>
      <c r="B53" s="8" t="n">
        <v>0.0</v>
      </c>
      <c r="C53" s="11">
        <f si="0" t="shared"/>
        <v>0</v>
      </c>
      <c r="E53" s="151">
        <v>42</v>
      </c>
      <c r="F53" s="241" t="n">
        <v>216.0</v>
      </c>
      <c r="G53" s="11">
        <f si="1" t="shared"/>
        <v>1.9834297717494006E-3</v>
      </c>
    </row>
    <row r="54" spans="1:7" x14ac:dyDescent="0.25">
      <c r="A54">
        <v>43</v>
      </c>
      <c r="B54" s="8" t="n">
        <v>0.0</v>
      </c>
      <c r="C54" s="11">
        <f si="0" t="shared"/>
        <v>0</v>
      </c>
      <c r="E54" s="152">
        <v>43</v>
      </c>
      <c r="F54" s="242" t="n">
        <v>163.0</v>
      </c>
      <c r="G54" s="11">
        <f si="1" t="shared"/>
        <v>1.8819156495732503E-3</v>
      </c>
    </row>
    <row r="55" spans="1:7" x14ac:dyDescent="0.25">
      <c r="A55">
        <v>44</v>
      </c>
      <c r="B55" s="8" t="n">
        <v>0.0</v>
      </c>
      <c r="C55" s="11">
        <f si="0" t="shared"/>
        <v>0</v>
      </c>
      <c r="E55" s="153">
        <v>44</v>
      </c>
      <c r="F55" s="243" t="n">
        <v>149.0</v>
      </c>
      <c r="G55" s="11">
        <f si="1" t="shared"/>
        <v>1.6242259548184068E-3</v>
      </c>
    </row>
    <row r="56" spans="1:7" x14ac:dyDescent="0.25">
      <c r="A56">
        <v>45</v>
      </c>
      <c r="B56" s="8" t="n">
        <v>0.0</v>
      </c>
      <c r="C56" s="11">
        <f si="0" t="shared"/>
        <v>0</v>
      </c>
      <c r="E56" s="154">
        <v>45</v>
      </c>
      <c r="F56" s="244" t="n">
        <v>134.0</v>
      </c>
      <c r="G56" s="11">
        <f si="1" t="shared"/>
        <v>1.2259782447427397E-3</v>
      </c>
    </row>
    <row r="57" spans="1:7" x14ac:dyDescent="0.25">
      <c r="A57">
        <v>46</v>
      </c>
      <c r="B57" s="8" t="n">
        <v>0.0</v>
      </c>
      <c r="C57" s="11">
        <f si="0" t="shared"/>
        <v>0</v>
      </c>
      <c r="E57" s="155">
        <v>46</v>
      </c>
      <c r="F57" s="245" t="n">
        <v>96.0</v>
      </c>
      <c r="G57" s="11">
        <f si="1" t="shared"/>
        <v>1.0541851149061775E-3</v>
      </c>
    </row>
    <row r="58" spans="1:7" x14ac:dyDescent="0.25">
      <c r="A58">
        <v>47</v>
      </c>
      <c r="B58" s="8" t="n">
        <v>0.0</v>
      </c>
      <c r="C58" s="11">
        <f si="0" t="shared"/>
        <v>0</v>
      </c>
      <c r="E58" s="156">
        <v>47</v>
      </c>
      <c r="F58" s="246" t="n">
        <v>59.0</v>
      </c>
      <c r="G58" s="11">
        <f si="1" t="shared"/>
        <v>6.5593740483051047E-4</v>
      </c>
    </row>
    <row r="59" spans="1:7" x14ac:dyDescent="0.25">
      <c r="A59">
        <v>48</v>
      </c>
      <c r="B59" s="8" t="n">
        <v>0.0</v>
      </c>
      <c r="C59" s="11">
        <f si="0" t="shared"/>
        <v>0</v>
      </c>
      <c r="E59" s="157">
        <v>48</v>
      </c>
      <c r="F59" s="247" t="n">
        <v>66.0</v>
      </c>
      <c r="G59" s="11">
        <f si="1" t="shared"/>
        <v>5.5442328265436006E-4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158">
        <v>49</v>
      </c>
      <c r="F60" s="248" t="n">
        <v>47.0</v>
      </c>
      <c r="G60" s="11">
        <f si="1" t="shared"/>
        <v>4.5290916047820959E-4</v>
      </c>
    </row>
    <row r="61" spans="1:7" x14ac:dyDescent="0.25">
      <c r="A61">
        <v>50</v>
      </c>
      <c r="B61" s="8" t="n">
        <v>0.0</v>
      </c>
      <c r="C61" s="11">
        <f si="0" t="shared"/>
        <v>0</v>
      </c>
      <c r="E61" s="159">
        <v>50</v>
      </c>
      <c r="F61" s="249" t="n">
        <v>44.0</v>
      </c>
      <c r="G61" s="11">
        <f si="1" t="shared"/>
        <v>4.0605648870460171E-4</v>
      </c>
    </row>
    <row r="62" spans="1:7" x14ac:dyDescent="0.25">
      <c r="A62">
        <v>51</v>
      </c>
      <c r="B62" s="8" t="n">
        <v>0.0</v>
      </c>
      <c r="C62" s="11">
        <f si="0" t="shared"/>
        <v>0</v>
      </c>
      <c r="E62" s="160">
        <v>51</v>
      </c>
      <c r="F62" s="250" t="n">
        <v>38.0</v>
      </c>
      <c r="G62" s="11">
        <f si="1" t="shared"/>
        <v>2.5768969475484341E-4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161">
        <v>52</v>
      </c>
      <c r="F63" s="251" t="n">
        <v>26.0</v>
      </c>
      <c r="G63" s="11">
        <f si="1" t="shared"/>
        <v>2.4207213749697409E-4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162">
        <v>53</v>
      </c>
      <c r="F64" s="252" t="n">
        <v>21.0</v>
      </c>
      <c r="G64" s="11">
        <f si="1" t="shared"/>
        <v>2.6549847338377806E-4</v>
      </c>
    </row>
    <row r="65" spans="1:7" x14ac:dyDescent="0.25">
      <c r="A65">
        <v>54</v>
      </c>
      <c r="B65" s="8" t="n">
        <v>0.0</v>
      </c>
      <c r="C65" s="11">
        <f si="0" t="shared"/>
        <v>0</v>
      </c>
      <c r="E65" s="163">
        <v>54</v>
      </c>
      <c r="F65" s="253" t="n">
        <v>16.0</v>
      </c>
      <c r="G65" s="11">
        <f si="1" t="shared"/>
        <v>1.7179312983656226E-4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164">
        <v>55</v>
      </c>
      <c r="F66" s="254" t="n">
        <v>12.0</v>
      </c>
      <c r="G66" s="11">
        <f si="1" t="shared"/>
        <v>1.1713167943401972E-4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165">
        <v>56</v>
      </c>
      <c r="F67" s="255" t="n">
        <v>7.0</v>
      </c>
      <c r="G67" s="11">
        <f si="1" t="shared"/>
        <v>9.3705343547215779E-5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166">
        <v>57</v>
      </c>
      <c r="F68" s="256" t="n">
        <v>7.0</v>
      </c>
      <c r="G68" s="11">
        <f si="1" t="shared"/>
        <v>5.4661450402542537E-5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167">
        <v>58</v>
      </c>
      <c r="F69" s="257" t="n">
        <v>8.0</v>
      </c>
      <c r="G69" s="11">
        <f si="1" t="shared"/>
        <v>1.1713167943401972E-4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168">
        <v>59</v>
      </c>
      <c r="F70" s="258" t="n">
        <v>6.0</v>
      </c>
      <c r="G70" s="11">
        <f si="1" t="shared"/>
        <v>4.685267177360789E-5</v>
      </c>
    </row>
    <row r="71" spans="1:7" x14ac:dyDescent="0.25">
      <c r="A71">
        <v>60</v>
      </c>
      <c r="B71" s="8" t="n">
        <v>481.758028516</v>
      </c>
      <c r="C71" s="11">
        <f si="0" t="shared"/>
        <v>4.0143303681820725E-3</v>
      </c>
      <c r="E71" s="169">
        <v>60</v>
      </c>
      <c r="F71" s="259" t="n">
        <v>5.0</v>
      </c>
      <c r="G71" s="11">
        <f si="1" t="shared"/>
        <v>7.0279007660411838E-5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170">
        <v>61</v>
      </c>
      <c r="F72" s="260" t="n">
        <v>7.0</v>
      </c>
      <c r="G72" s="11">
        <f si="1" t="shared"/>
        <v>3.1235114515738595E-5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171">
        <v>62</v>
      </c>
      <c r="F73" s="261" t="n">
        <v>3.0</v>
      </c>
      <c r="G73" s="11">
        <f si="1" t="shared"/>
        <v>5.4661450402542537E-5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172">
        <v>63</v>
      </c>
      <c r="F74" s="262" t="n">
        <v>1.0</v>
      </c>
      <c r="G74" s="11">
        <f si="1" t="shared"/>
        <v>3.9043893144673242E-5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173">
        <v>64</v>
      </c>
      <c r="F75" s="263" t="n">
        <v>1.0</v>
      </c>
      <c r="G75" s="11">
        <f si="1" t="shared"/>
        <v>3.9043893144673242E-5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174">
        <v>65</v>
      </c>
      <c r="F76" s="264" t="n">
        <v>1.0</v>
      </c>
      <c r="G76" s="11">
        <f si="1" t="shared"/>
        <v>3.1235114515738595E-5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175">
        <v>66</v>
      </c>
      <c r="F77" s="265" t="n">
        <v>1.0</v>
      </c>
      <c r="G77" s="11">
        <f ref="G77:G102" si="3" t="shared">F77/F$102</f>
        <v>7.8087786289346488E-6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176">
        <v>67</v>
      </c>
      <c r="F78" s="266" t="n">
        <v>1.0</v>
      </c>
      <c r="G78" s="11">
        <f si="3" t="shared"/>
        <v>0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177">
        <v>68</v>
      </c>
      <c r="F79" s="267" t="n">
        <v>1.0</v>
      </c>
      <c r="G79" s="11">
        <f si="3" t="shared"/>
        <v>7.8087786289346488E-6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178">
        <v>69</v>
      </c>
      <c r="F80" s="268" t="n">
        <v>0.0</v>
      </c>
      <c r="G80" s="11">
        <f si="3" t="shared"/>
        <v>0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179">
        <v>70</v>
      </c>
      <c r="F81" s="269" t="n">
        <v>2.0</v>
      </c>
      <c r="G81" s="11">
        <f si="3" t="shared"/>
        <v>1.5617557257869298E-5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180">
        <v>71</v>
      </c>
      <c r="F82" s="270" t="n">
        <v>1.0</v>
      </c>
      <c r="G82" s="11">
        <f si="3" t="shared"/>
        <v>0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181">
        <v>72</v>
      </c>
      <c r="F83" s="271" t="n">
        <v>0.0</v>
      </c>
      <c r="G83" s="11">
        <f si="3" t="shared"/>
        <v>0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182">
        <v>73</v>
      </c>
      <c r="F84" s="272" t="n">
        <v>0.0</v>
      </c>
      <c r="G84" s="11">
        <f si="3" t="shared"/>
        <v>0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183">
        <v>74</v>
      </c>
      <c r="F85" s="273" t="n">
        <v>0.0</v>
      </c>
      <c r="G85" s="11">
        <f si="3" t="shared"/>
        <v>7.8087786289346488E-6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184">
        <v>75</v>
      </c>
      <c r="F86" s="274" t="n">
        <v>0.0</v>
      </c>
      <c r="G86" s="11">
        <f si="3" t="shared"/>
        <v>0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185">
        <v>76</v>
      </c>
      <c r="F87" s="275" t="n">
        <v>1.0</v>
      </c>
      <c r="G87" s="11">
        <f si="3" t="shared"/>
        <v>7.8087786289346488E-6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186">
        <v>77</v>
      </c>
      <c r="F88" s="276" t="n">
        <v>0.0</v>
      </c>
      <c r="G88" s="11">
        <f si="3" t="shared"/>
        <v>0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187">
        <v>78</v>
      </c>
      <c r="F89" s="277" t="n">
        <v>0.0</v>
      </c>
      <c r="G89" s="11">
        <f si="3" t="shared"/>
        <v>0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188">
        <v>79</v>
      </c>
      <c r="F90" s="278" t="n">
        <v>1.0</v>
      </c>
      <c r="G90" s="11">
        <f si="3" t="shared"/>
        <v>7.8087786289346488E-6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89">
        <v>80</v>
      </c>
      <c r="F91" s="279" t="n">
        <v>0.0</v>
      </c>
      <c r="G91" s="11">
        <f si="3" t="shared"/>
        <v>0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90">
        <v>81</v>
      </c>
      <c r="F92" s="280" t="n">
        <v>0.0</v>
      </c>
      <c r="G92" s="11">
        <f si="3" t="shared"/>
        <v>0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91">
        <v>82</v>
      </c>
      <c r="F93" s="281" t="n">
        <v>0.0</v>
      </c>
      <c r="G93" s="11">
        <f si="3" t="shared"/>
        <v>0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92">
        <v>83</v>
      </c>
      <c r="F94" s="282" t="n">
        <v>0.0</v>
      </c>
      <c r="G94" s="11">
        <f si="3" t="shared"/>
        <v>7.8087786289346488E-6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93">
        <v>84</v>
      </c>
      <c r="F95" s="283" t="n">
        <v>0.0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94">
        <v>85</v>
      </c>
      <c r="F96" s="284" t="n">
        <v>0.0</v>
      </c>
      <c r="G96" s="11">
        <f si="3" t="shared"/>
        <v>0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95">
        <v>86</v>
      </c>
      <c r="F97" s="285" t="n">
        <v>0.0</v>
      </c>
      <c r="G97" s="11">
        <f si="3" t="shared"/>
        <v>0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96">
        <v>87</v>
      </c>
      <c r="F98" s="286" t="n">
        <v>0.0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97">
        <v>88</v>
      </c>
      <c r="F99" s="287" t="n">
        <v>0.0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98">
        <v>89</v>
      </c>
      <c r="F100" s="288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292">
        <v>90</v>
      </c>
      <c r="F101" s="292" t="n">
        <v>0.0</v>
      </c>
      <c r="G101" s="11">
        <f si="3" t="shared"/>
        <v>0</v>
      </c>
    </row>
    <row r="102" spans="1:7" x14ac:dyDescent="0.25">
      <c r="B102" s="8">
        <f>SUM(B11:B101)</f>
        <v>120009.56182741102</v>
      </c>
      <c r="C102" s="11">
        <f si="2" t="shared"/>
        <v>1</v>
      </c>
      <c r="F102" s="8">
        <f>SUM(F11:F101)</f>
        <v>128061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41"/>
  <sheetViews>
    <sheetView topLeftCell="A10" workbookViewId="0">
      <selection activeCell="I44" sqref="I44"/>
    </sheetView>
  </sheetViews>
  <sheetFormatPr defaultRowHeight="15" x14ac:dyDescent="0.25"/>
  <cols>
    <col min="13" max="14" bestFit="true" customWidth="true" width="10.5703125" collapsed="true"/>
    <col min="15" max="18" bestFit="true" customWidth="true" width="11.5703125" collapsed="true"/>
    <col min="19" max="19" bestFit="true" customWidth="true" width="10.5703125" collapsed="true"/>
  </cols>
  <sheetData>
    <row r="1" spans="1:21" x14ac:dyDescent="0.25">
      <c r="A1" t="s">
        <v>2</v>
      </c>
    </row>
    <row r="2" spans="1:21" x14ac:dyDescent="0.25">
      <c r="A2" t="s">
        <v>243</v>
      </c>
    </row>
    <row r="3" spans="1:21" x14ac:dyDescent="0.25">
      <c r="A3" t="s">
        <v>14</v>
      </c>
    </row>
    <row ht="15.75" r="5" spans="1:21" thickBot="1" x14ac:dyDescent="0.3">
      <c r="A5" s="4" t="s">
        <v>37</v>
      </c>
      <c r="B5" s="1"/>
      <c r="C5" s="1"/>
      <c r="D5" s="1"/>
      <c r="E5" s="1"/>
      <c r="F5" s="1"/>
      <c r="G5" s="1"/>
      <c r="H5" s="1"/>
      <c r="I5" s="1"/>
      <c r="J5" s="1"/>
      <c r="L5" s="4" t="s">
        <v>33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294" t="s">
        <v>248</v>
      </c>
      <c r="B7" s="12" t="n">
        <v>30516.464453899</v>
      </c>
      <c r="C7" s="12" t="n">
        <v>1319.807376248</v>
      </c>
      <c r="D7" s="12" t="n">
        <v>3040.7711595897</v>
      </c>
      <c r="E7" s="12" t="n">
        <v>3410.941196756</v>
      </c>
      <c r="F7" s="12" t="n">
        <v>3672.205598719</v>
      </c>
      <c r="G7" s="12" t="n">
        <v>1106.709116145</v>
      </c>
      <c r="H7" s="12" t="n">
        <v>2290.633530187</v>
      </c>
      <c r="I7" s="12"/>
      <c r="J7" s="12">
        <f>SUM(B7:I7)</f>
        <v>45357.532431543703</v>
      </c>
      <c r="K7" s="12"/>
      <c r="L7" t="str">
        <f>$A$7</f>
        <v>Bellevue</v>
      </c>
      <c r="M7" s="343" t="n">
        <v>26189.0</v>
      </c>
      <c r="N7" s="343" t="n">
        <v>1903.0</v>
      </c>
      <c r="O7" s="343" t="n">
        <v>4866.0</v>
      </c>
      <c r="P7" s="343" t="n">
        <v>3480.0</v>
      </c>
      <c r="Q7" s="343" t="n">
        <v>3307.0</v>
      </c>
      <c r="R7" s="343" t="n">
        <v>386.0</v>
      </c>
      <c r="S7" s="343" t="n">
        <v>8581.0</v>
      </c>
      <c r="T7" s="291"/>
      <c r="U7" s="12">
        <f>SUM(M7:T7)</f>
        <v>48903</v>
      </c>
    </row>
    <row r="8" spans="1:21" x14ac:dyDescent="0.25">
      <c r="A8" t="s">
        <v>249</v>
      </c>
      <c r="B8" s="12" t="n">
        <v>1765.2336084078</v>
      </c>
      <c r="C8" s="12" t="n">
        <v>355.77460079269997</v>
      </c>
      <c r="D8" s="12" t="n">
        <v>0.0</v>
      </c>
      <c r="E8" s="12" t="n">
        <v>80.1534960505</v>
      </c>
      <c r="F8" s="12" t="n">
        <v>102.702875</v>
      </c>
      <c r="G8" s="12" t="n">
        <v>131.494048378</v>
      </c>
      <c r="H8" s="12" t="n">
        <v>117.6075445587</v>
      </c>
      <c r="I8" s="12"/>
      <c r="J8" s="12">
        <f ref="J8:J14" si="0" t="shared">SUM(B8:I8)</f>
        <v>2552.9661731877</v>
      </c>
      <c r="K8" s="12"/>
      <c r="L8" t="str">
        <f>$A$8</f>
        <v>Bellevue Downtown</v>
      </c>
      <c r="M8" s="343" t="n">
        <v>1366.0</v>
      </c>
      <c r="N8" s="343" t="n">
        <v>372.0</v>
      </c>
      <c r="O8" s="343" t="n">
        <v>523.0</v>
      </c>
      <c r="P8" s="343" t="n">
        <v>253.0</v>
      </c>
      <c r="Q8" s="343" t="n">
        <v>220.0</v>
      </c>
      <c r="R8" s="343" t="n">
        <v>19.0</v>
      </c>
      <c r="S8" s="343" t="n">
        <v>567.0</v>
      </c>
      <c r="T8" s="291"/>
      <c r="U8" s="12">
        <f ref="U8:U14" si="1" t="shared">SUM(M8:T8)</f>
        <v>3360</v>
      </c>
    </row>
    <row r="9" spans="1:21" x14ac:dyDescent="0.25">
      <c r="A9" t="s">
        <v>250</v>
      </c>
      <c r="B9" s="12" t="n">
        <v>0.0</v>
      </c>
      <c r="C9" s="12" t="n">
        <v>0.0</v>
      </c>
      <c r="D9" s="12" t="n">
        <v>22861.903025398602</v>
      </c>
      <c r="E9" s="12" t="n">
        <v>3973.395168847</v>
      </c>
      <c r="F9" s="12" t="n">
        <v>1410.832695743</v>
      </c>
      <c r="G9" s="12" t="n">
        <v>462.673980303</v>
      </c>
      <c r="H9" s="12" t="n">
        <v>3702.905689416</v>
      </c>
      <c r="I9" s="12"/>
      <c r="J9" s="12">
        <f si="0" t="shared"/>
        <v>32411.710559707601</v>
      </c>
      <c r="K9" s="13"/>
      <c r="L9" t="str">
        <f>$A$9</f>
        <v>Kirkland</v>
      </c>
      <c r="M9" s="343" t="n">
        <v>2200.0</v>
      </c>
      <c r="N9" s="343" t="n">
        <v>362.0</v>
      </c>
      <c r="O9" s="343" t="n">
        <v>17477.0</v>
      </c>
      <c r="P9" s="343" t="n">
        <v>2395.0</v>
      </c>
      <c r="Q9" s="343" t="n">
        <v>1746.0</v>
      </c>
      <c r="R9" s="343" t="n">
        <v>73.0</v>
      </c>
      <c r="S9" s="343" t="n">
        <v>17070.0</v>
      </c>
      <c r="T9" s="291"/>
      <c r="U9" s="12">
        <f si="1" t="shared"/>
        <v>41370</v>
      </c>
    </row>
    <row r="10" spans="1:21" x14ac:dyDescent="0.25">
      <c r="A10" t="s">
        <v>251</v>
      </c>
      <c r="B10" s="12" t="n">
        <v>3023.1104186019998</v>
      </c>
      <c r="C10" s="12" t="n">
        <v>0.0</v>
      </c>
      <c r="D10" s="12" t="n">
        <v>2465.43626534</v>
      </c>
      <c r="E10" s="12" t="n">
        <v>31367.574942535</v>
      </c>
      <c r="F10" s="12" t="n">
        <v>453.746371195</v>
      </c>
      <c r="G10" s="12" t="n">
        <v>0.0</v>
      </c>
      <c r="H10" s="12" t="n">
        <v>2377.4846653</v>
      </c>
      <c r="I10" s="12"/>
      <c r="J10" s="12">
        <f si="0" t="shared"/>
        <v>39687.352662971993</v>
      </c>
      <c r="K10" s="13"/>
      <c r="L10" t="str">
        <f>$A$10</f>
        <v>Redmond</v>
      </c>
      <c r="M10" s="343" t="n">
        <v>4499.0</v>
      </c>
      <c r="N10" s="343" t="n">
        <v>344.0</v>
      </c>
      <c r="O10" s="343" t="n">
        <v>5869.0</v>
      </c>
      <c r="P10" s="343" t="n">
        <v>11238.0</v>
      </c>
      <c r="Q10" s="343" t="n">
        <v>595.0</v>
      </c>
      <c r="R10" s="343" t="n">
        <v>65.0</v>
      </c>
      <c r="S10" s="343" t="n">
        <v>11561.0</v>
      </c>
      <c r="T10" s="291"/>
      <c r="U10" s="12">
        <f si="1" t="shared"/>
        <v>34312</v>
      </c>
    </row>
    <row r="11" spans="1:21" x14ac:dyDescent="0.25">
      <c r="A11" t="s">
        <v>247</v>
      </c>
      <c r="B11" s="12" t="n">
        <v>0.0</v>
      </c>
      <c r="C11" s="12" t="n">
        <v>0.0</v>
      </c>
      <c r="D11" s="12" t="n">
        <v>0.0</v>
      </c>
      <c r="E11" s="12" t="n">
        <v>0.0</v>
      </c>
      <c r="F11" s="12" t="n">
        <v>0.0</v>
      </c>
      <c r="G11" s="12" t="n">
        <v>0.0</v>
      </c>
      <c r="H11" s="12" t="n">
        <v>0.0</v>
      </c>
      <c r="I11" s="12"/>
      <c r="J11" s="12">
        <f si="0" t="shared"/>
        <v>0</v>
      </c>
      <c r="K11" s="13"/>
      <c r="L11" t="str">
        <f>$A$11</f>
        <v>Seattle</v>
      </c>
      <c r="M11" s="343" t="n">
        <v>0.0</v>
      </c>
      <c r="N11" s="343" t="n">
        <v>0.0</v>
      </c>
      <c r="O11" s="343" t="n">
        <v>0.0</v>
      </c>
      <c r="P11" s="343" t="n">
        <v>0.0</v>
      </c>
      <c r="Q11" s="343" t="n">
        <v>0.0</v>
      </c>
      <c r="R11" s="343" t="n">
        <v>0.0</v>
      </c>
      <c r="S11" s="343" t="n">
        <v>0.0</v>
      </c>
      <c r="T11" s="291"/>
      <c r="U11" s="12">
        <f si="1" t="shared"/>
        <v>0</v>
      </c>
    </row>
    <row r="12" spans="1:21" x14ac:dyDescent="0.25">
      <c r="A12" t="s">
        <v>252</v>
      </c>
      <c r="B12" s="12" t="n">
        <v>0.0</v>
      </c>
      <c r="C12" s="12" t="n">
        <v>0.0</v>
      </c>
      <c r="D12" s="12" t="n">
        <v>0.0</v>
      </c>
      <c r="E12" s="12" t="n">
        <v>0.0</v>
      </c>
      <c r="F12" s="12" t="n">
        <v>0.0</v>
      </c>
      <c r="G12" s="12" t="n">
        <v>0.0</v>
      </c>
      <c r="H12" s="12" t="n">
        <v>0.0</v>
      </c>
      <c r="I12" s="12"/>
      <c r="J12" s="12">
        <f si="0" t="shared"/>
        <v>0</v>
      </c>
      <c r="K12" s="13"/>
      <c r="L12" t="str">
        <f>$A$12</f>
        <v>Seattle Downtown</v>
      </c>
      <c r="M12" s="343" t="n">
        <v>0.0</v>
      </c>
      <c r="N12" s="343" t="n">
        <v>0.0</v>
      </c>
      <c r="O12" s="343" t="n">
        <v>0.0</v>
      </c>
      <c r="P12" s="343" t="n">
        <v>0.0</v>
      </c>
      <c r="Q12" s="343" t="n">
        <v>0.0</v>
      </c>
      <c r="R12" s="343" t="n">
        <v>0.0</v>
      </c>
      <c r="S12" s="343" t="n">
        <v>0.0</v>
      </c>
      <c r="T12" s="291"/>
      <c r="U12" s="12">
        <f si="1" t="shared"/>
        <v>0</v>
      </c>
    </row>
    <row r="13" spans="1:21" x14ac:dyDescent="0.25">
      <c r="A13" t="s">
        <v>253</v>
      </c>
      <c r="B13" s="12" t="n">
        <v>0.0</v>
      </c>
      <c r="C13" s="12" t="n">
        <v>0.0</v>
      </c>
      <c r="D13" s="12" t="n">
        <v>0.0</v>
      </c>
      <c r="E13" s="12" t="n">
        <v>0.0</v>
      </c>
      <c r="F13" s="12" t="n">
        <v>0.0</v>
      </c>
      <c r="G13" s="12" t="n">
        <v>0.0</v>
      </c>
      <c r="H13" s="12" t="n">
        <v>0.0</v>
      </c>
      <c r="I13" s="12"/>
      <c r="J13" s="12">
        <f si="0" t="shared"/>
        <v>0</v>
      </c>
      <c r="K13" s="13"/>
      <c r="L13" t="str">
        <f>$A$13</f>
        <v>Rest</v>
      </c>
      <c r="M13" s="343" t="n">
        <v>0.0</v>
      </c>
      <c r="N13" s="343" t="n">
        <v>0.0</v>
      </c>
      <c r="O13" s="343" t="n">
        <v>0.0</v>
      </c>
      <c r="P13" s="343" t="n">
        <v>0.0</v>
      </c>
      <c r="Q13" s="343" t="n">
        <v>0.0</v>
      </c>
      <c r="R13" s="343" t="n">
        <v>0.0</v>
      </c>
      <c r="S13" s="343" t="n">
        <v>0.0</v>
      </c>
      <c r="T13" s="291"/>
      <c r="U13" s="12">
        <f si="1" t="shared"/>
        <v>0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293" t="s">
        <v>13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35304.808480908803</v>
      </c>
      <c r="C15" s="15">
        <f si="2" t="shared"/>
        <v>1675.5819770407002</v>
      </c>
      <c r="D15" s="15">
        <f si="2" t="shared"/>
        <v>28368.110450328302</v>
      </c>
      <c r="E15" s="15">
        <f si="2" t="shared"/>
        <v>38832.0648041885</v>
      </c>
      <c r="F15" s="15">
        <f si="2" t="shared"/>
        <v>5639.4875406570009</v>
      </c>
      <c r="G15" s="15">
        <f si="2" t="shared"/>
        <v>1700.8771448259999</v>
      </c>
      <c r="H15" s="15">
        <f si="2" t="shared"/>
        <v>8488.6314294617005</v>
      </c>
      <c r="I15" s="15">
        <f si="2" t="shared"/>
        <v>0</v>
      </c>
      <c r="J15" s="15">
        <f si="2" t="shared"/>
        <v>120009.561827411</v>
      </c>
      <c r="K15" s="12"/>
      <c r="L15" s="15" t="s">
        <v>4</v>
      </c>
      <c r="M15" s="15">
        <f ref="M15:U15" si="3" t="shared">SUM(M7:M14)</f>
        <v>33801</v>
      </c>
      <c r="N15" s="15">
        <f si="3" t="shared"/>
        <v>3195</v>
      </c>
      <c r="O15" s="15">
        <f si="3" t="shared"/>
        <v>28068</v>
      </c>
      <c r="P15" s="15">
        <f si="3" t="shared"/>
        <v>17143</v>
      </c>
      <c r="Q15" s="15">
        <f si="3" t="shared"/>
        <v>6242</v>
      </c>
      <c r="R15" s="15">
        <f si="3" t="shared"/>
        <v>627</v>
      </c>
      <c r="S15" s="15">
        <f si="3" t="shared"/>
        <v>38869</v>
      </c>
      <c r="T15" s="15">
        <f si="3" t="shared"/>
        <v>0</v>
      </c>
      <c r="U15" s="15">
        <f si="3" t="shared"/>
        <v>127945</v>
      </c>
    </row>
    <row ht="15.75" r="18" spans="1:32" thickBot="1" x14ac:dyDescent="0.3">
      <c r="A18" s="4" t="s">
        <v>38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33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>
        <f ref="B20:G20" si="4" t="shared">($U7/$J7)*B7</f>
        <v>32901.848517473067</v>
      </c>
      <c r="C20" s="12">
        <f si="4" t="shared"/>
        <v>1422.9729145444014</v>
      </c>
      <c r="D20" s="12">
        <f si="4" t="shared"/>
        <v>3278.4594762037882</v>
      </c>
      <c r="E20" s="12">
        <f si="4" t="shared"/>
        <v>3677.5646381714246</v>
      </c>
      <c r="F20" s="12">
        <f si="4" t="shared"/>
        <v>3959.2513253491238</v>
      </c>
      <c r="G20" s="12">
        <f si="4" t="shared"/>
        <v>1193.2173776984491</v>
      </c>
      <c r="H20" s="12">
        <f ref="H20" si="5" t="shared">($U7/$J7)*H7</f>
        <v>2469.6857505597422</v>
      </c>
      <c r="I20" s="12"/>
      <c r="J20" s="12">
        <f>SUM(B20:I20)</f>
        <v>48903</v>
      </c>
      <c r="K20" s="12"/>
      <c r="L20" t="str">
        <f>$A$7</f>
        <v>Bellevue</v>
      </c>
      <c r="M20" s="12">
        <f ref="M20:M26" si="6" t="shared">M7</f>
        <v>25951</v>
      </c>
      <c r="N20" s="12">
        <f ref="N20:U20" si="7" t="shared">N7</f>
        <v>2058</v>
      </c>
      <c r="O20" s="12">
        <f si="7" t="shared"/>
        <v>4736</v>
      </c>
      <c r="P20" s="12">
        <f si="7" t="shared"/>
        <v>3455</v>
      </c>
      <c r="Q20" s="12">
        <f si="7" t="shared"/>
        <v>3498</v>
      </c>
      <c r="R20" s="12">
        <f si="7" t="shared"/>
        <v>453</v>
      </c>
      <c r="S20" s="12">
        <f ref="S20" si="8" t="shared">S7</f>
        <v>8752</v>
      </c>
      <c r="T20" s="12"/>
      <c r="U20" s="12">
        <f si="7" t="shared"/>
        <v>48903</v>
      </c>
    </row>
    <row r="21" spans="1:32" x14ac:dyDescent="0.25">
      <c r="A21" t="str">
        <f>$A$8</f>
        <v>Bellevue Downtown</v>
      </c>
      <c r="B21" s="12">
        <f ref="B21:G26" si="9" t="shared">($U8/$J8)*B8</f>
        <v>2323.2524529866278</v>
      </c>
      <c r="C21" s="12">
        <f si="9" t="shared"/>
        <v>468.24069633905918</v>
      </c>
      <c r="D21" s="12">
        <f si="9" t="shared"/>
        <v>0</v>
      </c>
      <c r="E21" s="12">
        <f si="9" t="shared"/>
        <v>105.49131028767425</v>
      </c>
      <c r="F21" s="12">
        <f si="9" t="shared"/>
        <v>135.16891199898745</v>
      </c>
      <c r="G21" s="12">
        <f si="9" t="shared"/>
        <v>173.06144013589184</v>
      </c>
      <c r="H21" s="12">
        <f ref="H21" si="10" t="shared">($U8/$J8)*H8</f>
        <v>154.78518825175942</v>
      </c>
      <c r="I21" s="12"/>
      <c r="J21" s="12">
        <f ref="J21:J27" si="11" t="shared">SUM(B21:I21)</f>
        <v>3359.9999999999995</v>
      </c>
      <c r="K21" s="12"/>
      <c r="L21" t="str">
        <f>$A$8</f>
        <v>Bellevue Downtown</v>
      </c>
      <c r="M21" s="12">
        <f si="6" t="shared"/>
        <v>1380</v>
      </c>
      <c r="N21" s="12">
        <f ref="N21:R26" si="12" t="shared">N8</f>
        <v>402</v>
      </c>
      <c r="O21" s="12">
        <f si="12" t="shared"/>
        <v>509</v>
      </c>
      <c r="P21" s="12">
        <f si="12" t="shared"/>
        <v>232</v>
      </c>
      <c r="Q21" s="12">
        <f si="12" t="shared"/>
        <v>255</v>
      </c>
      <c r="R21" s="12">
        <f si="12" t="shared"/>
        <v>27</v>
      </c>
      <c r="S21" s="12">
        <f ref="S21" si="13" t="shared">S8</f>
        <v>555</v>
      </c>
      <c r="T21" s="12"/>
      <c r="U21" s="12">
        <f ref="U21:U26" si="14" t="shared">U8</f>
        <v>3360</v>
      </c>
    </row>
    <row r="22" spans="1:32" x14ac:dyDescent="0.25">
      <c r="A22" t="str">
        <f>$A$9</f>
        <v>Kirkland</v>
      </c>
      <c r="B22" s="12">
        <f si="9" t="shared"/>
        <v>0</v>
      </c>
      <c r="C22" s="12">
        <f si="9" t="shared"/>
        <v>0</v>
      </c>
      <c r="D22" s="12">
        <f si="9" t="shared"/>
        <v>29180.71622349057</v>
      </c>
      <c r="E22" s="12">
        <f si="9" t="shared"/>
        <v>5071.6039140355488</v>
      </c>
      <c r="F22" s="12">
        <f si="9" t="shared"/>
        <v>1800.7734740000237</v>
      </c>
      <c r="G22" s="12">
        <f si="9" t="shared"/>
        <v>590.55268094766632</v>
      </c>
      <c r="H22" s="12">
        <f ref="H22" si="15" t="shared">($U9/$J9)*H9</f>
        <v>4726.3537075261947</v>
      </c>
      <c r="I22" s="12"/>
      <c r="J22" s="12">
        <f si="11" t="shared"/>
        <v>41370</v>
      </c>
      <c r="K22" s="13"/>
      <c r="L22" t="str">
        <f>$A$9</f>
        <v>Kirkland</v>
      </c>
      <c r="M22" s="12">
        <f si="6" t="shared"/>
        <v>2178</v>
      </c>
      <c r="N22" s="12">
        <f si="12" t="shared"/>
        <v>372</v>
      </c>
      <c r="O22" s="12">
        <f si="12" t="shared"/>
        <v>17000</v>
      </c>
      <c r="P22" s="12">
        <f si="12" t="shared"/>
        <v>2362</v>
      </c>
      <c r="Q22" s="12">
        <f si="12" t="shared"/>
        <v>1778</v>
      </c>
      <c r="R22" s="12">
        <f si="12" t="shared"/>
        <v>83</v>
      </c>
      <c r="S22" s="12">
        <f ref="S22" si="16" t="shared">S9</f>
        <v>17597</v>
      </c>
      <c r="T22" s="12"/>
      <c r="U22" s="12">
        <f si="14" t="shared"/>
        <v>41370</v>
      </c>
    </row>
    <row r="23" spans="1:32" x14ac:dyDescent="0.25">
      <c r="A23" t="str">
        <f>$A$10</f>
        <v>Redmond</v>
      </c>
      <c r="B23" s="12">
        <f si="9" t="shared"/>
        <v>2613.6529076138195</v>
      </c>
      <c r="C23" s="12">
        <f si="9" t="shared"/>
        <v>0</v>
      </c>
      <c r="D23" s="12">
        <f si="9" t="shared"/>
        <v>2131.5115133711524</v>
      </c>
      <c r="E23" s="12">
        <f si="9" t="shared"/>
        <v>27119.073438033225</v>
      </c>
      <c r="F23" s="12">
        <f si="9" t="shared"/>
        <v>392.28984660820049</v>
      </c>
      <c r="G23" s="12">
        <f si="9" t="shared"/>
        <v>0</v>
      </c>
      <c r="H23" s="12">
        <f ref="H23" si="17" t="shared">($U10/$J10)*H10</f>
        <v>2055.4722943736087</v>
      </c>
      <c r="I23" s="12"/>
      <c r="J23" s="12">
        <f>SUM(B23:I23)</f>
        <v>34312.000000000007</v>
      </c>
      <c r="K23" s="13"/>
      <c r="L23" t="str">
        <f>$A$10</f>
        <v>Redmond</v>
      </c>
      <c r="M23" s="12">
        <f si="6" t="shared"/>
        <v>4292</v>
      </c>
      <c r="N23" s="12">
        <f si="12" t="shared"/>
        <v>363</v>
      </c>
      <c r="O23" s="12">
        <f si="12" t="shared"/>
        <v>5823</v>
      </c>
      <c r="P23" s="12">
        <f si="12" t="shared"/>
        <v>11094</v>
      </c>
      <c r="Q23" s="12">
        <f si="12" t="shared"/>
        <v>711</v>
      </c>
      <c r="R23" s="12">
        <f si="12" t="shared"/>
        <v>64</v>
      </c>
      <c r="S23" s="12">
        <f ref="S23" si="18" t="shared">S10</f>
        <v>11965</v>
      </c>
      <c r="T23" s="12"/>
      <c r="U23" s="12">
        <f si="14" t="shared"/>
        <v>34312</v>
      </c>
    </row>
    <row r="24" spans="1:32" x14ac:dyDescent="0.25">
      <c r="A24" t="str">
        <f>$A$11</f>
        <v>Seattle</v>
      </c>
      <c r="B24" s="12" t="e">
        <f si="9" t="shared"/>
        <v>#DIV/0!</v>
      </c>
      <c r="C24" s="12" t="e">
        <f si="9" t="shared"/>
        <v>#DIV/0!</v>
      </c>
      <c r="D24" s="12" t="e">
        <f si="9" t="shared"/>
        <v>#DIV/0!</v>
      </c>
      <c r="E24" s="12" t="e">
        <f si="9" t="shared"/>
        <v>#DIV/0!</v>
      </c>
      <c r="F24" s="12" t="e">
        <f si="9" t="shared"/>
        <v>#DIV/0!</v>
      </c>
      <c r="G24" s="12" t="e">
        <f si="9" t="shared"/>
        <v>#DIV/0!</v>
      </c>
      <c r="H24" s="12" t="e">
        <f ref="H24" si="19" t="shared">($U11/$J11)*H11</f>
        <v>#DIV/0!</v>
      </c>
      <c r="I24" s="12"/>
      <c r="J24" s="12" t="e">
        <f si="11" t="shared"/>
        <v>#DIV/0!</v>
      </c>
      <c r="K24" s="13"/>
      <c r="L24" t="str">
        <f>$A$11</f>
        <v>Seattle</v>
      </c>
      <c r="M24" s="12">
        <f si="6" t="shared"/>
        <v>0</v>
      </c>
      <c r="N24" s="12">
        <f si="12" t="shared"/>
        <v>0</v>
      </c>
      <c r="O24" s="12">
        <f si="12" t="shared"/>
        <v>0</v>
      </c>
      <c r="P24" s="12">
        <f si="12" t="shared"/>
        <v>0</v>
      </c>
      <c r="Q24" s="12">
        <f si="12" t="shared"/>
        <v>0</v>
      </c>
      <c r="R24" s="12">
        <f si="12" t="shared"/>
        <v>0</v>
      </c>
      <c r="S24" s="12">
        <f ref="S24" si="20" t="shared">S11</f>
        <v>0</v>
      </c>
      <c r="T24" s="12"/>
      <c r="U24" s="12">
        <f si="14" t="shared"/>
        <v>0</v>
      </c>
    </row>
    <row r="25" spans="1:32" x14ac:dyDescent="0.25">
      <c r="A25" t="str">
        <f>$A$12</f>
        <v>Seattle Downtown</v>
      </c>
      <c r="B25" s="12" t="e">
        <f si="9" t="shared"/>
        <v>#DIV/0!</v>
      </c>
      <c r="C25" s="12" t="e">
        <f si="9" t="shared"/>
        <v>#DIV/0!</v>
      </c>
      <c r="D25" s="12" t="e">
        <f si="9" t="shared"/>
        <v>#DIV/0!</v>
      </c>
      <c r="E25" s="12" t="e">
        <f si="9" t="shared"/>
        <v>#DIV/0!</v>
      </c>
      <c r="F25" s="12" t="e">
        <f si="9" t="shared"/>
        <v>#DIV/0!</v>
      </c>
      <c r="G25" s="12" t="e">
        <f si="9" t="shared"/>
        <v>#DIV/0!</v>
      </c>
      <c r="H25" s="12" t="e">
        <f ref="H25:H26" si="21" t="shared">($U12/$J12)*H12</f>
        <v>#DIV/0!</v>
      </c>
      <c r="I25" s="12"/>
      <c r="J25" s="12" t="e">
        <f si="11" t="shared"/>
        <v>#DIV/0!</v>
      </c>
      <c r="K25" s="13"/>
      <c r="L25" t="str">
        <f>$A$12</f>
        <v>Seattle Downtown</v>
      </c>
      <c r="M25" s="12">
        <f si="6" t="shared"/>
        <v>0</v>
      </c>
      <c r="N25" s="12">
        <f si="12" t="shared"/>
        <v>0</v>
      </c>
      <c r="O25" s="12">
        <f si="12" t="shared"/>
        <v>0</v>
      </c>
      <c r="P25" s="12">
        <f si="12" t="shared"/>
        <v>0</v>
      </c>
      <c r="Q25" s="12">
        <f si="12" t="shared"/>
        <v>0</v>
      </c>
      <c r="R25" s="12">
        <f si="12" t="shared"/>
        <v>0</v>
      </c>
      <c r="S25" s="12">
        <f ref="S25:S26" si="22" t="shared">S12</f>
        <v>0</v>
      </c>
      <c r="T25" s="12"/>
      <c r="U25" s="12">
        <f si="14" t="shared"/>
        <v>0</v>
      </c>
    </row>
    <row r="26" spans="1:32" x14ac:dyDescent="0.25">
      <c r="A26" t="str">
        <f>$A$13</f>
        <v>Rest</v>
      </c>
      <c r="B26" s="12" t="e">
        <f si="9" t="shared"/>
        <v>#DIV/0!</v>
      </c>
      <c r="C26" s="12" t="e">
        <f si="9" t="shared"/>
        <v>#DIV/0!</v>
      </c>
      <c r="D26" s="12" t="e">
        <f si="9" t="shared"/>
        <v>#DIV/0!</v>
      </c>
      <c r="E26" s="12" t="e">
        <f si="9" t="shared"/>
        <v>#DIV/0!</v>
      </c>
      <c r="F26" s="12" t="e">
        <f si="9" t="shared"/>
        <v>#DIV/0!</v>
      </c>
      <c r="G26" s="12" t="e">
        <f si="9" t="shared"/>
        <v>#DIV/0!</v>
      </c>
      <c r="H26" s="12" t="e">
        <f si="21" t="shared"/>
        <v>#DIV/0!</v>
      </c>
      <c r="I26" s="12"/>
      <c r="J26" s="12" t="e">
        <f si="11" t="shared"/>
        <v>#DIV/0!</v>
      </c>
      <c r="K26" s="13"/>
      <c r="L26" t="str">
        <f>$A$13</f>
        <v>Rest</v>
      </c>
      <c r="M26" s="12">
        <f si="6" t="shared"/>
        <v>0</v>
      </c>
      <c r="N26" s="12">
        <f si="12" t="shared"/>
        <v>0</v>
      </c>
      <c r="O26" s="12">
        <f si="12" t="shared"/>
        <v>0</v>
      </c>
      <c r="P26" s="12">
        <f si="12" t="shared"/>
        <v>0</v>
      </c>
      <c r="Q26" s="12">
        <f si="12" t="shared"/>
        <v>0</v>
      </c>
      <c r="R26" s="12">
        <f si="12" t="shared"/>
        <v>0</v>
      </c>
      <c r="S26" s="12">
        <f si="22" t="shared"/>
        <v>0</v>
      </c>
      <c r="T26" s="12"/>
      <c r="U26" s="12">
        <f si="14" t="shared"/>
        <v>0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2"/>
      <c r="I27" s="14"/>
      <c r="J27" s="12">
        <f si="11" t="shared"/>
        <v>0</v>
      </c>
      <c r="K27" s="12"/>
      <c r="L27" s="293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5" t="e">
        <f ref="B28:J28" si="23" t="shared">SUM(B20:B27)</f>
        <v>#DIV/0!</v>
      </c>
      <c r="C28" s="15" t="e">
        <f si="23" t="shared"/>
        <v>#DIV/0!</v>
      </c>
      <c r="D28" s="15" t="e">
        <f si="23" t="shared"/>
        <v>#DIV/0!</v>
      </c>
      <c r="E28" s="15" t="e">
        <f si="23" t="shared"/>
        <v>#DIV/0!</v>
      </c>
      <c r="F28" s="15" t="e">
        <f si="23" t="shared"/>
        <v>#DIV/0!</v>
      </c>
      <c r="G28" s="15" t="e">
        <f si="23" t="shared"/>
        <v>#DIV/0!</v>
      </c>
      <c r="H28" s="15" t="e">
        <f si="23" t="shared"/>
        <v>#DIV/0!</v>
      </c>
      <c r="I28" s="15">
        <f si="23" t="shared"/>
        <v>0</v>
      </c>
      <c r="J28" s="15" t="e">
        <f si="23" t="shared"/>
        <v>#DIV/0!</v>
      </c>
      <c r="K28" s="12"/>
      <c r="L28" s="15" t="s">
        <v>4</v>
      </c>
      <c r="M28" s="15">
        <f ref="M28:U28" si="24" t="shared">M15</f>
        <v>33801</v>
      </c>
      <c r="N28" s="15">
        <f si="24" t="shared"/>
        <v>3195</v>
      </c>
      <c r="O28" s="15">
        <f si="24" t="shared"/>
        <v>28068</v>
      </c>
      <c r="P28" s="15">
        <f si="24" t="shared"/>
        <v>17143</v>
      </c>
      <c r="Q28" s="15">
        <f si="24" t="shared"/>
        <v>6242</v>
      </c>
      <c r="R28" s="15">
        <f si="24" t="shared"/>
        <v>627</v>
      </c>
      <c r="S28" s="15">
        <f si="24" t="shared"/>
        <v>38869</v>
      </c>
      <c r="T28" s="15"/>
      <c r="U28" s="15">
        <f si="24" t="shared"/>
        <v>127945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33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33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6" t="e">
        <f ref="B33:G33" si="25" t="shared">B20/$J$28</f>
        <v>#DIV/0!</v>
      </c>
      <c r="C33" s="16" t="e">
        <f si="25" t="shared"/>
        <v>#DIV/0!</v>
      </c>
      <c r="D33" s="16" t="e">
        <f si="25" t="shared"/>
        <v>#DIV/0!</v>
      </c>
      <c r="E33" s="16" t="e">
        <f si="25" t="shared"/>
        <v>#DIV/0!</v>
      </c>
      <c r="F33" s="16" t="e">
        <f si="25" t="shared"/>
        <v>#DIV/0!</v>
      </c>
      <c r="G33" s="16" t="e">
        <f si="25" t="shared"/>
        <v>#DIV/0!</v>
      </c>
      <c r="H33" s="16" t="e">
        <f ref="H33" si="26" t="shared">H20/$J$28</f>
        <v>#DIV/0!</v>
      </c>
      <c r="I33" s="12"/>
      <c r="J33" s="16" t="e">
        <f ref="J33:J39" si="27" t="shared">J20/$J$28</f>
        <v>#DIV/0!</v>
      </c>
      <c r="K33" s="12"/>
      <c r="L33" t="str">
        <f>$A$7</f>
        <v>Bellevue</v>
      </c>
      <c r="M33" s="16">
        <f ref="M33:R33" si="28" t="shared">M20/$U$28</f>
        <v>0.20282934073234593</v>
      </c>
      <c r="N33" s="16">
        <f si="28" t="shared"/>
        <v>1.6085036539137912E-2</v>
      </c>
      <c r="O33" s="16">
        <f si="28" t="shared"/>
        <v>3.7015905271796476E-2</v>
      </c>
      <c r="P33" s="16">
        <f si="28" t="shared"/>
        <v>2.7003790691312674E-2</v>
      </c>
      <c r="Q33" s="16">
        <f si="28" t="shared"/>
        <v>2.7339872601508462E-2</v>
      </c>
      <c r="R33" s="16">
        <f si="28" t="shared"/>
        <v>3.5405838446207353E-3</v>
      </c>
      <c r="S33" s="16">
        <f ref="S33" si="29" t="shared">S20/$U$28</f>
        <v>6.840439251240768E-2</v>
      </c>
      <c r="T33" s="16"/>
      <c r="U33" s="16">
        <f ref="U33:U39" si="30" t="shared">U20/$U$28</f>
        <v>0.38221892219312986</v>
      </c>
      <c r="W33" t="str">
        <f>$A$7</f>
        <v>Bellevue</v>
      </c>
      <c r="X33" s="16" t="e">
        <f ref="X33:AD33" si="31" t="shared">M33-B33</f>
        <v>#DIV/0!</v>
      </c>
      <c r="Y33" s="16" t="e">
        <f si="31" t="shared"/>
        <v>#DIV/0!</v>
      </c>
      <c r="Z33" s="16" t="e">
        <f si="31" t="shared"/>
        <v>#DIV/0!</v>
      </c>
      <c r="AA33" s="16" t="e">
        <f si="31" t="shared"/>
        <v>#DIV/0!</v>
      </c>
      <c r="AB33" s="16" t="e">
        <f si="31" t="shared"/>
        <v>#DIV/0!</v>
      </c>
      <c r="AC33" s="16" t="e">
        <f si="31" t="shared"/>
        <v>#DIV/0!</v>
      </c>
      <c r="AD33" s="16" t="e">
        <f si="31" t="shared"/>
        <v>#DIV/0!</v>
      </c>
      <c r="AE33" s="16"/>
      <c r="AF33" s="16" t="e">
        <f ref="AF33:AF39" si="32" t="shared">U33-J33</f>
        <v>#DIV/0!</v>
      </c>
    </row>
    <row r="34" spans="1:32" x14ac:dyDescent="0.25">
      <c r="A34" t="str">
        <f>$A$8</f>
        <v>Bellevue Downtown</v>
      </c>
      <c r="B34" s="16" t="e">
        <f ref="B34:G39" si="33" t="shared">B21/$J$28</f>
        <v>#DIV/0!</v>
      </c>
      <c r="C34" s="16" t="e">
        <f si="33" t="shared"/>
        <v>#DIV/0!</v>
      </c>
      <c r="D34" s="16" t="e">
        <f si="33" t="shared"/>
        <v>#DIV/0!</v>
      </c>
      <c r="E34" s="16" t="e">
        <f si="33" t="shared"/>
        <v>#DIV/0!</v>
      </c>
      <c r="F34" s="16" t="e">
        <f si="33" t="shared"/>
        <v>#DIV/0!</v>
      </c>
      <c r="G34" s="16" t="e">
        <f si="33" t="shared"/>
        <v>#DIV/0!</v>
      </c>
      <c r="H34" s="16" t="e">
        <f ref="H34" si="34" t="shared">H21/$J$28</f>
        <v>#DIV/0!</v>
      </c>
      <c r="I34" s="12"/>
      <c r="J34" s="16" t="e">
        <f si="27" t="shared"/>
        <v>#DIV/0!</v>
      </c>
      <c r="K34" s="12"/>
      <c r="L34" t="str">
        <f>$A$8</f>
        <v>Bellevue Downtown</v>
      </c>
      <c r="M34" s="16">
        <f ref="M34:R39" si="35" t="shared">M21/$U$28</f>
        <v>1.0785884559771777E-2</v>
      </c>
      <c r="N34" s="16">
        <f si="35" t="shared"/>
        <v>3.1419750674117784E-3</v>
      </c>
      <c r="O34" s="16">
        <f si="35" t="shared"/>
        <v>3.9782719137129233E-3</v>
      </c>
      <c r="P34" s="16">
        <f si="35" t="shared"/>
        <v>1.8132791433819219E-3</v>
      </c>
      <c r="Q34" s="16">
        <f si="35" t="shared"/>
        <v>1.9930438860447847E-3</v>
      </c>
      <c r="R34" s="16">
        <f si="35" t="shared"/>
        <v>2.110281761694478E-4</v>
      </c>
      <c r="S34" s="16">
        <f ref="S34" si="36" t="shared">S21/$U$28</f>
        <v>4.3378013990386498E-3</v>
      </c>
      <c r="T34" s="16"/>
      <c r="U34" s="16">
        <f si="30" t="shared"/>
        <v>2.6261284145531284E-2</v>
      </c>
      <c r="W34" t="str">
        <f>$A$8</f>
        <v>Bellevue Downtown</v>
      </c>
      <c r="X34" s="16" t="e">
        <f ref="X34:X38" si="37" t="shared">M34-B34</f>
        <v>#DIV/0!</v>
      </c>
      <c r="Y34" s="16" t="e">
        <f ref="Y34:AD38" si="38" t="shared">N34-C34</f>
        <v>#DIV/0!</v>
      </c>
      <c r="Z34" s="16" t="e">
        <f si="38" t="shared"/>
        <v>#DIV/0!</v>
      </c>
      <c r="AA34" s="16" t="e">
        <f si="38" t="shared"/>
        <v>#DIV/0!</v>
      </c>
      <c r="AB34" s="16" t="e">
        <f si="38" t="shared"/>
        <v>#DIV/0!</v>
      </c>
      <c r="AC34" s="16" t="e">
        <f si="38" t="shared"/>
        <v>#DIV/0!</v>
      </c>
      <c r="AD34" s="16" t="e">
        <f si="38" t="shared"/>
        <v>#DIV/0!</v>
      </c>
      <c r="AE34" s="16"/>
      <c r="AF34" s="16" t="e">
        <f si="32" t="shared"/>
        <v>#DIV/0!</v>
      </c>
    </row>
    <row r="35" spans="1:32" x14ac:dyDescent="0.25">
      <c r="A35" t="str">
        <f>$A$9</f>
        <v>Kirkland</v>
      </c>
      <c r="B35" s="16" t="e">
        <f si="33" t="shared"/>
        <v>#DIV/0!</v>
      </c>
      <c r="C35" s="16" t="e">
        <f si="33" t="shared"/>
        <v>#DIV/0!</v>
      </c>
      <c r="D35" s="16" t="e">
        <f si="33" t="shared"/>
        <v>#DIV/0!</v>
      </c>
      <c r="E35" s="16" t="e">
        <f si="33" t="shared"/>
        <v>#DIV/0!</v>
      </c>
      <c r="F35" s="16" t="e">
        <f si="33" t="shared"/>
        <v>#DIV/0!</v>
      </c>
      <c r="G35" s="16" t="e">
        <f si="33" t="shared"/>
        <v>#DIV/0!</v>
      </c>
      <c r="H35" s="16" t="e">
        <f ref="H35" si="39" t="shared">H22/$J$28</f>
        <v>#DIV/0!</v>
      </c>
      <c r="I35" s="12"/>
      <c r="J35" s="16" t="e">
        <f si="27" t="shared"/>
        <v>#DIV/0!</v>
      </c>
      <c r="K35" s="13"/>
      <c r="L35" t="str">
        <f>$A$9</f>
        <v>Kirkland</v>
      </c>
      <c r="M35" s="16">
        <f si="35" t="shared"/>
        <v>1.7022939544335456E-2</v>
      </c>
      <c r="N35" s="16">
        <f si="35" t="shared"/>
        <v>2.9074993161123919E-3</v>
      </c>
      <c r="O35" s="16">
        <f si="35" t="shared"/>
        <v>0.13286959240298565</v>
      </c>
      <c r="P35" s="16">
        <f si="35" t="shared"/>
        <v>1.8461057485638359E-2</v>
      </c>
      <c r="Q35" s="16">
        <f si="35" t="shared"/>
        <v>1.3896596193676971E-2</v>
      </c>
      <c r="R35" s="16">
        <f si="35" t="shared"/>
        <v>6.487162452616359E-4</v>
      </c>
      <c r="S35" s="16">
        <f ref="S35" si="40" t="shared">S22/$U$28</f>
        <v>0.13753565985384344</v>
      </c>
      <c r="T35" s="16"/>
      <c r="U35" s="16">
        <f si="30" t="shared"/>
        <v>0.32334206104185392</v>
      </c>
      <c r="W35" t="str">
        <f>$A$9</f>
        <v>Kirkland</v>
      </c>
      <c r="X35" s="16" t="e">
        <f si="37" t="shared"/>
        <v>#DIV/0!</v>
      </c>
      <c r="Y35" s="16" t="e">
        <f si="38" t="shared"/>
        <v>#DIV/0!</v>
      </c>
      <c r="Z35" s="16" t="e">
        <f si="38" t="shared"/>
        <v>#DIV/0!</v>
      </c>
      <c r="AA35" s="16" t="e">
        <f si="38" t="shared"/>
        <v>#DIV/0!</v>
      </c>
      <c r="AB35" s="16" t="e">
        <f si="38" t="shared"/>
        <v>#DIV/0!</v>
      </c>
      <c r="AC35" s="16" t="e">
        <f si="38" t="shared"/>
        <v>#DIV/0!</v>
      </c>
      <c r="AD35" s="16" t="e">
        <f si="38" t="shared"/>
        <v>#DIV/0!</v>
      </c>
      <c r="AE35" s="16"/>
      <c r="AF35" s="16" t="e">
        <f si="32" t="shared"/>
        <v>#DIV/0!</v>
      </c>
    </row>
    <row r="36" spans="1:32" x14ac:dyDescent="0.25">
      <c r="A36" t="str">
        <f>$A$10</f>
        <v>Redmond</v>
      </c>
      <c r="B36" s="16" t="e">
        <f si="33" t="shared"/>
        <v>#DIV/0!</v>
      </c>
      <c r="C36" s="16" t="e">
        <f si="33" t="shared"/>
        <v>#DIV/0!</v>
      </c>
      <c r="D36" s="16" t="e">
        <f si="33" t="shared"/>
        <v>#DIV/0!</v>
      </c>
      <c r="E36" s="16" t="e">
        <f si="33" t="shared"/>
        <v>#DIV/0!</v>
      </c>
      <c r="F36" s="16" t="e">
        <f si="33" t="shared"/>
        <v>#DIV/0!</v>
      </c>
      <c r="G36" s="16" t="e">
        <f si="33" t="shared"/>
        <v>#DIV/0!</v>
      </c>
      <c r="H36" s="16" t="e">
        <f ref="H36" si="41" t="shared">H23/$J$28</f>
        <v>#DIV/0!</v>
      </c>
      <c r="I36" s="12"/>
      <c r="J36" s="16" t="e">
        <f si="27" t="shared"/>
        <v>#DIV/0!</v>
      </c>
      <c r="K36" s="13"/>
      <c r="L36" t="str">
        <f>$A$10</f>
        <v>Redmond</v>
      </c>
      <c r="M36" s="16">
        <f si="35" t="shared"/>
        <v>3.3545664152565553E-2</v>
      </c>
      <c r="N36" s="16">
        <f si="35" t="shared"/>
        <v>2.8371565907225763E-3</v>
      </c>
      <c r="O36" s="16">
        <f si="35" t="shared"/>
        <v>4.5511743327210911E-2</v>
      </c>
      <c r="P36" s="16">
        <f si="35" t="shared"/>
        <v>8.6709132830513111E-2</v>
      </c>
      <c r="Q36" s="16">
        <f si="35" t="shared"/>
        <v>5.5570753057954591E-3</v>
      </c>
      <c r="R36" s="16">
        <f si="35" t="shared"/>
        <v>5.0021493610535774E-4</v>
      </c>
      <c r="S36" s="16">
        <f ref="S36" si="42" t="shared">S23/$U$28</f>
        <v>9.3516745476571961E-2</v>
      </c>
      <c r="T36" s="16"/>
      <c r="U36" s="16">
        <f si="30" t="shared"/>
        <v>0.26817773261948491</v>
      </c>
      <c r="W36" t="str">
        <f>$A$10</f>
        <v>Redmond</v>
      </c>
      <c r="X36" s="16" t="e">
        <f si="37" t="shared"/>
        <v>#DIV/0!</v>
      </c>
      <c r="Y36" s="16" t="e">
        <f si="38" t="shared"/>
        <v>#DIV/0!</v>
      </c>
      <c r="Z36" s="16" t="e">
        <f si="38" t="shared"/>
        <v>#DIV/0!</v>
      </c>
      <c r="AA36" s="16" t="e">
        <f si="38" t="shared"/>
        <v>#DIV/0!</v>
      </c>
      <c r="AB36" s="16" t="e">
        <f si="38" t="shared"/>
        <v>#DIV/0!</v>
      </c>
      <c r="AC36" s="16" t="e">
        <f si="38" t="shared"/>
        <v>#DIV/0!</v>
      </c>
      <c r="AD36" s="16" t="e">
        <f si="38" t="shared"/>
        <v>#DIV/0!</v>
      </c>
      <c r="AE36" s="16"/>
      <c r="AF36" s="16" t="e">
        <f si="32" t="shared"/>
        <v>#DIV/0!</v>
      </c>
    </row>
    <row r="37" spans="1:32" x14ac:dyDescent="0.25">
      <c r="A37" t="str">
        <f>$A$11</f>
        <v>Seattle</v>
      </c>
      <c r="B37" s="16" t="e">
        <f si="33" t="shared"/>
        <v>#DIV/0!</v>
      </c>
      <c r="C37" s="16" t="e">
        <f si="33" t="shared"/>
        <v>#DIV/0!</v>
      </c>
      <c r="D37" s="16" t="e">
        <f si="33" t="shared"/>
        <v>#DIV/0!</v>
      </c>
      <c r="E37" s="16" t="e">
        <f si="33" t="shared"/>
        <v>#DIV/0!</v>
      </c>
      <c r="F37" s="16" t="e">
        <f si="33" t="shared"/>
        <v>#DIV/0!</v>
      </c>
      <c r="G37" s="16" t="e">
        <f si="33" t="shared"/>
        <v>#DIV/0!</v>
      </c>
      <c r="H37" s="16" t="e">
        <f ref="H37" si="43" t="shared">H24/$J$28</f>
        <v>#DIV/0!</v>
      </c>
      <c r="I37" s="12"/>
      <c r="J37" s="16" t="e">
        <f si="27" t="shared"/>
        <v>#DIV/0!</v>
      </c>
      <c r="K37" s="13"/>
      <c r="L37" t="str">
        <f>$A$11</f>
        <v>Seattle</v>
      </c>
      <c r="M37" s="16">
        <f si="35" t="shared"/>
        <v>0</v>
      </c>
      <c r="N37" s="16">
        <f si="35" t="shared"/>
        <v>0</v>
      </c>
      <c r="O37" s="16">
        <f si="35" t="shared"/>
        <v>0</v>
      </c>
      <c r="P37" s="16">
        <f si="35" t="shared"/>
        <v>0</v>
      </c>
      <c r="Q37" s="16">
        <f si="35" t="shared"/>
        <v>0</v>
      </c>
      <c r="R37" s="16">
        <f si="35" t="shared"/>
        <v>0</v>
      </c>
      <c r="S37" s="16">
        <f ref="S37" si="44" t="shared">S24/$U$28</f>
        <v>0</v>
      </c>
      <c r="T37" s="16"/>
      <c r="U37" s="16">
        <f si="30" t="shared"/>
        <v>0</v>
      </c>
      <c r="W37" t="str">
        <f>$A$11</f>
        <v>Seattle</v>
      </c>
      <c r="X37" s="16" t="e">
        <f si="37" t="shared"/>
        <v>#DIV/0!</v>
      </c>
      <c r="Y37" s="16" t="e">
        <f si="38" t="shared"/>
        <v>#DIV/0!</v>
      </c>
      <c r="Z37" s="16" t="e">
        <f si="38" t="shared"/>
        <v>#DIV/0!</v>
      </c>
      <c r="AA37" s="16" t="e">
        <f si="38" t="shared"/>
        <v>#DIV/0!</v>
      </c>
      <c r="AB37" s="16" t="e">
        <f si="38" t="shared"/>
        <v>#DIV/0!</v>
      </c>
      <c r="AC37" s="16" t="e">
        <f si="38" t="shared"/>
        <v>#DIV/0!</v>
      </c>
      <c r="AD37" s="16" t="e">
        <f si="38" t="shared"/>
        <v>#DIV/0!</v>
      </c>
      <c r="AE37" s="16"/>
      <c r="AF37" s="16" t="e">
        <f si="32" t="shared"/>
        <v>#DIV/0!</v>
      </c>
    </row>
    <row r="38" spans="1:32" x14ac:dyDescent="0.25">
      <c r="A38" t="str">
        <f>$A$12</f>
        <v>Seattle Downtown</v>
      </c>
      <c r="B38" s="16" t="e">
        <f si="33" t="shared"/>
        <v>#DIV/0!</v>
      </c>
      <c r="C38" s="16" t="e">
        <f si="33" t="shared"/>
        <v>#DIV/0!</v>
      </c>
      <c r="D38" s="16" t="e">
        <f si="33" t="shared"/>
        <v>#DIV/0!</v>
      </c>
      <c r="E38" s="16" t="e">
        <f si="33" t="shared"/>
        <v>#DIV/0!</v>
      </c>
      <c r="F38" s="16" t="e">
        <f si="33" t="shared"/>
        <v>#DIV/0!</v>
      </c>
      <c r="G38" s="16" t="e">
        <f si="33" t="shared"/>
        <v>#DIV/0!</v>
      </c>
      <c r="H38" s="16" t="e">
        <f ref="H38:H39" si="45" t="shared">H25/$J$28</f>
        <v>#DIV/0!</v>
      </c>
      <c r="I38" s="12"/>
      <c r="J38" s="16" t="e">
        <f si="27" t="shared"/>
        <v>#DIV/0!</v>
      </c>
      <c r="K38" s="13"/>
      <c r="L38" t="str">
        <f>$A$12</f>
        <v>Seattle Downtown</v>
      </c>
      <c r="M38" s="16">
        <f si="35" t="shared"/>
        <v>0</v>
      </c>
      <c r="N38" s="16">
        <f si="35" t="shared"/>
        <v>0</v>
      </c>
      <c r="O38" s="16">
        <f si="35" t="shared"/>
        <v>0</v>
      </c>
      <c r="P38" s="16">
        <f si="35" t="shared"/>
        <v>0</v>
      </c>
      <c r="Q38" s="16">
        <f si="35" t="shared"/>
        <v>0</v>
      </c>
      <c r="R38" s="16">
        <f si="35" t="shared"/>
        <v>0</v>
      </c>
      <c r="S38" s="16">
        <f ref="S38:S39" si="46" t="shared">S25/$U$28</f>
        <v>0</v>
      </c>
      <c r="T38" s="16"/>
      <c r="U38" s="16">
        <f si="30" t="shared"/>
        <v>0</v>
      </c>
      <c r="W38" t="str">
        <f>$A$12</f>
        <v>Seattle Downtown</v>
      </c>
      <c r="X38" s="16" t="e">
        <f si="37" t="shared"/>
        <v>#DIV/0!</v>
      </c>
      <c r="Y38" s="16" t="e">
        <f si="38" t="shared"/>
        <v>#DIV/0!</v>
      </c>
      <c r="Z38" s="16" t="e">
        <f si="38" t="shared"/>
        <v>#DIV/0!</v>
      </c>
      <c r="AA38" s="16" t="e">
        <f si="38" t="shared"/>
        <v>#DIV/0!</v>
      </c>
      <c r="AB38" s="16" t="e">
        <f si="38" t="shared"/>
        <v>#DIV/0!</v>
      </c>
      <c r="AC38" s="16" t="e">
        <f si="38" t="shared"/>
        <v>#DIV/0!</v>
      </c>
      <c r="AD38" s="16" t="e">
        <f si="38" t="shared"/>
        <v>#DIV/0!</v>
      </c>
      <c r="AE38" s="16"/>
      <c r="AF38" s="16" t="e">
        <f si="32" t="shared"/>
        <v>#DIV/0!</v>
      </c>
    </row>
    <row r="39" spans="1:32" x14ac:dyDescent="0.25">
      <c r="A39" t="str">
        <f>$A$13</f>
        <v>Rest</v>
      </c>
      <c r="B39" s="16" t="e">
        <f si="33" t="shared"/>
        <v>#DIV/0!</v>
      </c>
      <c r="C39" s="16" t="e">
        <f si="33" t="shared"/>
        <v>#DIV/0!</v>
      </c>
      <c r="D39" s="16" t="e">
        <f si="33" t="shared"/>
        <v>#DIV/0!</v>
      </c>
      <c r="E39" s="16" t="e">
        <f si="33" t="shared"/>
        <v>#DIV/0!</v>
      </c>
      <c r="F39" s="16" t="e">
        <f si="33" t="shared"/>
        <v>#DIV/0!</v>
      </c>
      <c r="G39" s="16" t="e">
        <f si="33" t="shared"/>
        <v>#DIV/0!</v>
      </c>
      <c r="H39" s="16" t="e">
        <f si="45" t="shared"/>
        <v>#DIV/0!</v>
      </c>
      <c r="I39" s="12"/>
      <c r="J39" s="16" t="e">
        <f si="27" t="shared"/>
        <v>#DIV/0!</v>
      </c>
      <c r="K39" s="13"/>
      <c r="L39" t="str">
        <f>$A$13</f>
        <v>Rest</v>
      </c>
      <c r="M39" s="16">
        <f si="35" t="shared"/>
        <v>0</v>
      </c>
      <c r="N39" s="16">
        <f si="35" t="shared"/>
        <v>0</v>
      </c>
      <c r="O39" s="16">
        <f si="35" t="shared"/>
        <v>0</v>
      </c>
      <c r="P39" s="16">
        <f si="35" t="shared"/>
        <v>0</v>
      </c>
      <c r="Q39" s="16">
        <f si="35" t="shared"/>
        <v>0</v>
      </c>
      <c r="R39" s="16">
        <f si="35" t="shared"/>
        <v>0</v>
      </c>
      <c r="S39" s="16">
        <f si="46" t="shared"/>
        <v>0</v>
      </c>
      <c r="T39" s="16"/>
      <c r="U39" s="16">
        <f si="30" t="shared"/>
        <v>0</v>
      </c>
      <c r="W39" t="str">
        <f>$A$13</f>
        <v>Rest</v>
      </c>
      <c r="X39" s="16" t="e">
        <f ref="X39" si="47" t="shared">M39-B39</f>
        <v>#DIV/0!</v>
      </c>
      <c r="Y39" s="16" t="e">
        <f ref="Y39" si="48" t="shared">N39-C39</f>
        <v>#DIV/0!</v>
      </c>
      <c r="Z39" s="16" t="e">
        <f ref="Z39" si="49" t="shared">O39-D39</f>
        <v>#DIV/0!</v>
      </c>
      <c r="AA39" s="16" t="e">
        <f ref="AA39" si="50" t="shared">P39-E39</f>
        <v>#DIV/0!</v>
      </c>
      <c r="AB39" s="16" t="e">
        <f ref="AB39" si="51" t="shared">Q39-F39</f>
        <v>#DIV/0!</v>
      </c>
      <c r="AC39" s="16" t="e">
        <f ref="AC39:AD39" si="52" t="shared">R39-G39</f>
        <v>#DIV/0!</v>
      </c>
      <c r="AD39" s="16" t="e">
        <f si="52" t="shared"/>
        <v>#DIV/0!</v>
      </c>
      <c r="AE39" s="16"/>
      <c r="AF39" s="16" t="e">
        <f si="32" t="shared"/>
        <v>#DIV/0!</v>
      </c>
    </row>
    <row r="40" spans="1:32" x14ac:dyDescent="0.25">
      <c r="A40" s="7" t="s">
        <v>13</v>
      </c>
      <c r="B40" s="14"/>
      <c r="C40" s="14"/>
      <c r="D40" s="14"/>
      <c r="E40" s="14"/>
      <c r="F40" s="14"/>
      <c r="G40" s="14"/>
      <c r="H40" s="14"/>
      <c r="I40" s="14"/>
      <c r="J40" s="17"/>
      <c r="K40" s="12"/>
      <c r="L40" s="293" t="s">
        <v>13</v>
      </c>
      <c r="M40" s="17"/>
      <c r="N40" s="17"/>
      <c r="O40" s="17"/>
      <c r="P40" s="17"/>
      <c r="Q40" s="17"/>
      <c r="R40" s="17"/>
      <c r="S40" s="17"/>
      <c r="T40" s="17"/>
      <c r="U40" s="17"/>
      <c r="W40" s="293" t="s">
        <v>13</v>
      </c>
      <c r="X40" s="17"/>
      <c r="Y40" s="17"/>
      <c r="Z40" s="17"/>
      <c r="AA40" s="17"/>
      <c r="AB40" s="17"/>
      <c r="AC40" s="17"/>
      <c r="AD40" s="16"/>
      <c r="AE40" s="17"/>
      <c r="AF40" s="17"/>
    </row>
    <row ht="15.75" r="41" spans="1:32" thickBot="1" x14ac:dyDescent="0.3">
      <c r="A41" s="1" t="s">
        <v>4</v>
      </c>
      <c r="B41" s="18" t="e">
        <f ref="B41:J41" si="53" t="shared">B28/$J$28</f>
        <v>#DIV/0!</v>
      </c>
      <c r="C41" s="18" t="e">
        <f si="53" t="shared"/>
        <v>#DIV/0!</v>
      </c>
      <c r="D41" s="18" t="e">
        <f si="53" t="shared"/>
        <v>#DIV/0!</v>
      </c>
      <c r="E41" s="18" t="e">
        <f si="53" t="shared"/>
        <v>#DIV/0!</v>
      </c>
      <c r="F41" s="18" t="e">
        <f si="53" t="shared"/>
        <v>#DIV/0!</v>
      </c>
      <c r="G41" s="18" t="e">
        <f si="53" t="shared"/>
        <v>#DIV/0!</v>
      </c>
      <c r="H41" s="18" t="e">
        <f si="53" t="shared"/>
        <v>#DIV/0!</v>
      </c>
      <c r="I41" s="18" t="e">
        <f si="53" t="shared"/>
        <v>#DIV/0!</v>
      </c>
      <c r="J41" s="18" t="e">
        <f si="53" t="shared"/>
        <v>#DIV/0!</v>
      </c>
      <c r="K41" s="12"/>
      <c r="L41" s="15" t="s">
        <v>4</v>
      </c>
      <c r="M41" s="18">
        <f>M28/$U$28</f>
        <v>0.26418382898901871</v>
      </c>
      <c r="N41" s="18">
        <f>N28/$U$28</f>
        <v>2.4971667513384657E-2</v>
      </c>
      <c r="O41" s="18">
        <f>O28/$U$28</f>
        <v>0.21937551291570598</v>
      </c>
      <c r="P41" s="18">
        <f>P28/$U$28</f>
        <v>0.13398726015084605</v>
      </c>
      <c r="Q41" s="18">
        <f ref="Q41:S41" si="54" t="shared">Q28/$U$28</f>
        <v>4.8786587987025676E-2</v>
      </c>
      <c r="R41" s="18">
        <f si="54" t="shared"/>
        <v>4.9005432021571767E-3</v>
      </c>
      <c r="S41" s="18">
        <f si="54" t="shared"/>
        <v>0.30379459924186175</v>
      </c>
      <c r="T41" s="18">
        <f>T28/$U$28</f>
        <v>0</v>
      </c>
      <c r="U41" s="18">
        <f>U28/$U$28</f>
        <v>1</v>
      </c>
      <c r="W41" s="15" t="s">
        <v>4</v>
      </c>
      <c r="X41" s="18" t="e">
        <f ref="X41:AF41" si="55" t="shared">M41-B41</f>
        <v>#DIV/0!</v>
      </c>
      <c r="Y41" s="18" t="e">
        <f si="55" t="shared"/>
        <v>#DIV/0!</v>
      </c>
      <c r="Z41" s="18" t="e">
        <f si="55" t="shared"/>
        <v>#DIV/0!</v>
      </c>
      <c r="AA41" s="18" t="e">
        <f si="55" t="shared"/>
        <v>#DIV/0!</v>
      </c>
      <c r="AB41" s="18" t="e">
        <f si="55" t="shared"/>
        <v>#DIV/0!</v>
      </c>
      <c r="AC41" s="18" t="e">
        <f si="55" t="shared"/>
        <v>#DIV/0!</v>
      </c>
      <c r="AD41" s="295" t="e">
        <f si="55" t="shared"/>
        <v>#DIV/0!</v>
      </c>
      <c r="AE41" s="18" t="e">
        <f si="55" t="shared"/>
        <v>#DIV/0!</v>
      </c>
      <c r="AF41" s="18" t="e">
        <f si="55" t="shared"/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15"/>
  <sheetViews>
    <sheetView workbookViewId="0">
      <selection activeCell="B3" sqref="B3"/>
    </sheetView>
  </sheetViews>
  <sheetFormatPr defaultRowHeight="15" x14ac:dyDescent="0.25"/>
  <sheetData>
    <row r="1" spans="1:3" x14ac:dyDescent="0.25">
      <c r="A1" s="10" t="s">
        <v>19</v>
      </c>
    </row>
    <row r="2" spans="1:3" x14ac:dyDescent="0.25">
      <c r="A2">
        <v>1</v>
      </c>
      <c r="B2" t="s">
        <v>246</v>
      </c>
    </row>
    <row r="3" spans="1:3" x14ac:dyDescent="0.25">
      <c r="B3" t="s">
        <v>20</v>
      </c>
      <c r="C3" t="s">
        <v>21</v>
      </c>
    </row>
    <row r="4" spans="1:3" x14ac:dyDescent="0.25">
      <c r="B4" t="s">
        <v>22</v>
      </c>
      <c r="C4" t="s">
        <v>23</v>
      </c>
    </row>
    <row r="5" spans="1:3" x14ac:dyDescent="0.25">
      <c r="B5" t="s">
        <v>24</v>
      </c>
      <c r="C5" t="s">
        <v>25</v>
      </c>
    </row>
    <row r="6" spans="1:3" x14ac:dyDescent="0.25">
      <c r="B6" t="s">
        <v>26</v>
      </c>
      <c r="C6" t="s">
        <v>27</v>
      </c>
    </row>
    <row r="8" spans="1:3" x14ac:dyDescent="0.25">
      <c r="A8">
        <v>2</v>
      </c>
      <c r="B8" t="s">
        <v>28</v>
      </c>
    </row>
    <row r="10" spans="1:3" x14ac:dyDescent="0.25">
      <c r="A10">
        <v>3</v>
      </c>
      <c r="B10" t="s">
        <v>29</v>
      </c>
    </row>
    <row r="12" spans="1:3" x14ac:dyDescent="0.25">
      <c r="A12">
        <v>4</v>
      </c>
      <c r="B12" t="s">
        <v>30</v>
      </c>
    </row>
    <row r="14" spans="1:3" x14ac:dyDescent="0.25">
      <c r="A14">
        <v>5</v>
      </c>
      <c r="B14" t="s">
        <v>31</v>
      </c>
    </row>
    <row r="15" spans="1:3" x14ac:dyDescent="0.25">
      <c r="B15" t="s">
        <v>32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04"/>
  <sheetViews>
    <sheetView topLeftCell="A68" workbookViewId="0">
      <selection activeCell="K98" sqref="K98"/>
    </sheetView>
  </sheetViews>
  <sheetFormatPr defaultRowHeight="15" x14ac:dyDescent="0.25"/>
  <cols>
    <col min="2" max="2" bestFit="true" customWidth="true" width="10.7109375" collapsed="true"/>
    <col min="3" max="3" bestFit="true" customWidth="true" width="13.7109375" collapsed="true"/>
  </cols>
  <sheetData>
    <row r="1" spans="1:4" x14ac:dyDescent="0.25">
      <c r="A1" s="298" t="s">
        <v>42</v>
      </c>
    </row>
    <row r="2" spans="1:4" x14ac:dyDescent="0.25">
      <c r="A2" t="s">
        <v>258</v>
      </c>
      <c r="B2" t="s">
        <v>259</v>
      </c>
      <c r="C2" t="s">
        <v>91</v>
      </c>
      <c r="D2" t="s">
        <v>260</v>
      </c>
    </row>
    <row r="3" spans="1:4" x14ac:dyDescent="0.25">
      <c r="A3">
        <v>1</v>
      </c>
      <c r="B3" t="s">
        <v>45</v>
      </c>
      <c r="C3" t="s">
        <v>277</v>
      </c>
      <c r="D3" t="s">
        <v>46</v>
      </c>
    </row>
    <row r="4" spans="1:4" x14ac:dyDescent="0.25">
      <c r="A4">
        <v>2</v>
      </c>
      <c r="B4" t="s">
        <v>48</v>
      </c>
      <c r="C4" t="s">
        <v>277</v>
      </c>
      <c r="D4" t="s">
        <v>49</v>
      </c>
    </row>
    <row r="5" spans="1:4" x14ac:dyDescent="0.25">
      <c r="A5">
        <v>3</v>
      </c>
      <c r="B5" t="s">
        <v>51</v>
      </c>
      <c r="C5" t="s">
        <v>277</v>
      </c>
      <c r="D5" t="s">
        <v>52</v>
      </c>
    </row>
    <row r="6" spans="1:4" x14ac:dyDescent="0.25">
      <c r="A6">
        <v>4</v>
      </c>
      <c r="B6" t="s">
        <v>54</v>
      </c>
      <c r="C6" t="s">
        <v>277</v>
      </c>
      <c r="D6" t="s">
        <v>55</v>
      </c>
    </row>
    <row r="7" spans="1:4" x14ac:dyDescent="0.25">
      <c r="A7">
        <v>5</v>
      </c>
      <c r="B7" t="s">
        <v>57</v>
      </c>
      <c r="C7" t="s">
        <v>277</v>
      </c>
      <c r="D7" t="s">
        <v>58</v>
      </c>
    </row>
    <row r="8" spans="1:4" x14ac:dyDescent="0.25">
      <c r="A8">
        <v>6</v>
      </c>
      <c r="B8" t="s">
        <v>59</v>
      </c>
      <c r="C8" t="s">
        <v>277</v>
      </c>
      <c r="D8" t="s">
        <v>60</v>
      </c>
    </row>
    <row r="9" spans="1:4" x14ac:dyDescent="0.25">
      <c r="A9">
        <v>7</v>
      </c>
      <c r="B9" t="s">
        <v>61</v>
      </c>
      <c r="C9" t="s">
        <v>277</v>
      </c>
      <c r="D9" t="s">
        <v>62</v>
      </c>
    </row>
    <row r="10" spans="1:4" x14ac:dyDescent="0.25">
      <c r="A10">
        <v>8</v>
      </c>
      <c r="B10" t="s">
        <v>64</v>
      </c>
      <c r="C10" t="s">
        <v>277</v>
      </c>
      <c r="D10" t="s">
        <v>65</v>
      </c>
    </row>
    <row r="11" spans="1:4" x14ac:dyDescent="0.25">
      <c r="A11">
        <v>9</v>
      </c>
      <c r="B11" t="s">
        <v>66</v>
      </c>
      <c r="C11" t="s">
        <v>277</v>
      </c>
      <c r="D11" t="s">
        <v>67</v>
      </c>
    </row>
    <row r="12" spans="1:4" x14ac:dyDescent="0.25">
      <c r="A12">
        <v>10</v>
      </c>
      <c r="B12" t="s">
        <v>68</v>
      </c>
      <c r="C12" t="s">
        <v>277</v>
      </c>
      <c r="D12" t="s">
        <v>69</v>
      </c>
    </row>
    <row r="13" spans="1:4" x14ac:dyDescent="0.25">
      <c r="A13">
        <v>11</v>
      </c>
      <c r="B13" t="s">
        <v>70</v>
      </c>
      <c r="C13" t="s">
        <v>277</v>
      </c>
      <c r="D13" t="s">
        <v>71</v>
      </c>
    </row>
    <row r="14" spans="1:4" x14ac:dyDescent="0.25">
      <c r="A14">
        <v>12</v>
      </c>
      <c r="B14" t="s">
        <v>72</v>
      </c>
      <c r="C14" t="s">
        <v>277</v>
      </c>
      <c r="D14" t="s">
        <v>73</v>
      </c>
    </row>
    <row r="15" spans="1:4" x14ac:dyDescent="0.25">
      <c r="A15">
        <v>13</v>
      </c>
      <c r="B15" t="s">
        <v>74</v>
      </c>
      <c r="C15" t="s">
        <v>277</v>
      </c>
      <c r="D15" t="s">
        <v>75</v>
      </c>
    </row>
    <row r="16" spans="1:4" x14ac:dyDescent="0.25">
      <c r="A16">
        <v>14</v>
      </c>
      <c r="B16" t="s">
        <v>76</v>
      </c>
      <c r="C16" t="s">
        <v>277</v>
      </c>
      <c r="D16" t="s">
        <v>77</v>
      </c>
    </row>
    <row r="17" spans="1:4" x14ac:dyDescent="0.25">
      <c r="A17">
        <v>15</v>
      </c>
      <c r="B17" t="s">
        <v>78</v>
      </c>
      <c r="C17" t="s">
        <v>277</v>
      </c>
      <c r="D17" t="s">
        <v>79</v>
      </c>
    </row>
    <row r="18" spans="1:4" x14ac:dyDescent="0.25">
      <c r="A18">
        <v>16</v>
      </c>
      <c r="B18" t="s">
        <v>80</v>
      </c>
      <c r="C18" t="s">
        <v>277</v>
      </c>
      <c r="D18" t="s">
        <v>81</v>
      </c>
    </row>
    <row r="19" spans="1:4" x14ac:dyDescent="0.25">
      <c r="A19">
        <v>17</v>
      </c>
      <c r="B19" t="s">
        <v>83</v>
      </c>
      <c r="C19" t="s">
        <v>277</v>
      </c>
      <c r="D19" t="s">
        <v>84</v>
      </c>
    </row>
    <row r="20" spans="1:4" x14ac:dyDescent="0.25">
      <c r="A20">
        <v>18</v>
      </c>
      <c r="B20" t="s">
        <v>86</v>
      </c>
      <c r="C20" t="s">
        <v>277</v>
      </c>
      <c r="D20" t="s">
        <v>87</v>
      </c>
    </row>
    <row r="21" spans="1:4" x14ac:dyDescent="0.25">
      <c r="A21">
        <v>19</v>
      </c>
      <c r="B21" t="s">
        <v>89</v>
      </c>
      <c r="C21" t="s">
        <v>277</v>
      </c>
      <c r="D21" t="s">
        <v>90</v>
      </c>
    </row>
    <row r="22" spans="1:4" x14ac:dyDescent="0.25">
      <c r="A22">
        <v>20</v>
      </c>
      <c r="B22" t="s">
        <v>92</v>
      </c>
      <c r="C22" t="s">
        <v>88</v>
      </c>
      <c r="D22" t="s">
        <v>93</v>
      </c>
    </row>
    <row r="23" spans="1:4" x14ac:dyDescent="0.25">
      <c r="A23">
        <v>21</v>
      </c>
      <c r="B23" t="s">
        <v>94</v>
      </c>
      <c r="C23" t="s">
        <v>88</v>
      </c>
      <c r="D23" t="s">
        <v>95</v>
      </c>
    </row>
    <row r="24" spans="1:4" x14ac:dyDescent="0.25">
      <c r="A24">
        <v>22</v>
      </c>
      <c r="B24" t="s">
        <v>96</v>
      </c>
      <c r="C24" t="s">
        <v>88</v>
      </c>
      <c r="D24" t="s">
        <v>97</v>
      </c>
    </row>
    <row r="25" spans="1:4" x14ac:dyDescent="0.25">
      <c r="A25">
        <v>23</v>
      </c>
      <c r="B25" t="s">
        <v>98</v>
      </c>
      <c r="C25" t="s">
        <v>88</v>
      </c>
      <c r="D25" t="s">
        <v>99</v>
      </c>
    </row>
    <row r="26" spans="1:4" x14ac:dyDescent="0.25">
      <c r="A26">
        <v>24</v>
      </c>
      <c r="B26" t="s">
        <v>100</v>
      </c>
      <c r="C26" t="s">
        <v>88</v>
      </c>
      <c r="D26" t="s">
        <v>101</v>
      </c>
    </row>
    <row r="27" spans="1:4" x14ac:dyDescent="0.25">
      <c r="A27">
        <v>25</v>
      </c>
      <c r="B27" t="s">
        <v>103</v>
      </c>
      <c r="C27" t="s">
        <v>88</v>
      </c>
      <c r="D27" t="s">
        <v>104</v>
      </c>
    </row>
    <row r="28" spans="1:4" x14ac:dyDescent="0.25">
      <c r="A28">
        <v>26</v>
      </c>
      <c r="B28" t="s">
        <v>105</v>
      </c>
      <c r="C28" t="s">
        <v>102</v>
      </c>
      <c r="D28" t="s">
        <v>93</v>
      </c>
    </row>
    <row r="29" spans="1:4" x14ac:dyDescent="0.25">
      <c r="A29">
        <v>27</v>
      </c>
      <c r="B29" t="s">
        <v>106</v>
      </c>
      <c r="C29" t="s">
        <v>102</v>
      </c>
      <c r="D29" t="s">
        <v>95</v>
      </c>
    </row>
    <row r="30" spans="1:4" x14ac:dyDescent="0.25">
      <c r="A30">
        <v>28</v>
      </c>
      <c r="B30" t="s">
        <v>108</v>
      </c>
      <c r="C30" t="s">
        <v>102</v>
      </c>
      <c r="D30" t="s">
        <v>97</v>
      </c>
    </row>
    <row r="31" spans="1:4" x14ac:dyDescent="0.25">
      <c r="A31">
        <v>29</v>
      </c>
      <c r="B31" t="s">
        <v>109</v>
      </c>
      <c r="C31" t="s">
        <v>102</v>
      </c>
      <c r="D31" t="s">
        <v>99</v>
      </c>
    </row>
    <row r="32" spans="1:4" x14ac:dyDescent="0.25">
      <c r="A32">
        <v>30</v>
      </c>
      <c r="B32" t="s">
        <v>110</v>
      </c>
      <c r="C32" t="s">
        <v>102</v>
      </c>
      <c r="D32" t="s">
        <v>111</v>
      </c>
    </row>
    <row r="33" spans="1:4" x14ac:dyDescent="0.25">
      <c r="A33">
        <v>31</v>
      </c>
      <c r="B33" t="s">
        <v>112</v>
      </c>
      <c r="C33" t="s">
        <v>102</v>
      </c>
      <c r="D33" t="s">
        <v>113</v>
      </c>
    </row>
    <row r="34" spans="1:4" x14ac:dyDescent="0.25">
      <c r="A34">
        <v>32</v>
      </c>
      <c r="B34" t="s">
        <v>114</v>
      </c>
      <c r="C34" t="s">
        <v>102</v>
      </c>
      <c r="D34" t="s">
        <v>115</v>
      </c>
    </row>
    <row r="35" spans="1:4" x14ac:dyDescent="0.25">
      <c r="A35">
        <v>33</v>
      </c>
      <c r="B35" t="s">
        <v>116</v>
      </c>
      <c r="C35" t="s">
        <v>102</v>
      </c>
      <c r="D35" t="s">
        <v>117</v>
      </c>
    </row>
    <row r="36" spans="1:4" x14ac:dyDescent="0.25">
      <c r="A36">
        <v>34</v>
      </c>
      <c r="B36" t="s">
        <v>118</v>
      </c>
      <c r="C36" t="s">
        <v>102</v>
      </c>
      <c r="D36" t="s">
        <v>119</v>
      </c>
    </row>
    <row r="37" spans="1:4" x14ac:dyDescent="0.25">
      <c r="A37">
        <v>35</v>
      </c>
      <c r="B37" t="s">
        <v>121</v>
      </c>
      <c r="C37" t="s">
        <v>102</v>
      </c>
      <c r="D37" t="s">
        <v>122</v>
      </c>
    </row>
    <row r="38" spans="1:4" x14ac:dyDescent="0.25">
      <c r="A38">
        <v>36</v>
      </c>
      <c r="B38" t="s">
        <v>123</v>
      </c>
      <c r="C38" t="s">
        <v>120</v>
      </c>
      <c r="D38" t="s">
        <v>93</v>
      </c>
    </row>
    <row r="39" spans="1:4" x14ac:dyDescent="0.25">
      <c r="A39">
        <v>37</v>
      </c>
      <c r="B39" t="s">
        <v>124</v>
      </c>
      <c r="C39" t="s">
        <v>120</v>
      </c>
      <c r="D39" t="s">
        <v>95</v>
      </c>
    </row>
    <row r="40" spans="1:4" x14ac:dyDescent="0.25">
      <c r="A40">
        <v>38</v>
      </c>
      <c r="B40" t="s">
        <v>126</v>
      </c>
      <c r="C40" t="s">
        <v>120</v>
      </c>
      <c r="D40" t="s">
        <v>97</v>
      </c>
    </row>
    <row r="41" spans="1:4" x14ac:dyDescent="0.25">
      <c r="A41">
        <v>39</v>
      </c>
      <c r="B41" t="s">
        <v>127</v>
      </c>
      <c r="C41" t="s">
        <v>120</v>
      </c>
      <c r="D41" t="s">
        <v>99</v>
      </c>
    </row>
    <row r="42" spans="1:4" x14ac:dyDescent="0.25">
      <c r="A42">
        <v>40</v>
      </c>
      <c r="B42" t="s">
        <v>128</v>
      </c>
      <c r="C42" t="s">
        <v>120</v>
      </c>
      <c r="D42" t="s">
        <v>111</v>
      </c>
    </row>
    <row r="43" spans="1:4" x14ac:dyDescent="0.25">
      <c r="A43">
        <v>41</v>
      </c>
      <c r="B43" t="s">
        <v>129</v>
      </c>
      <c r="C43" t="s">
        <v>120</v>
      </c>
      <c r="D43" t="s">
        <v>113</v>
      </c>
    </row>
    <row r="44" spans="1:4" x14ac:dyDescent="0.25">
      <c r="A44">
        <v>42</v>
      </c>
      <c r="B44" t="s">
        <v>131</v>
      </c>
      <c r="C44" t="s">
        <v>120</v>
      </c>
      <c r="D44" t="s">
        <v>132</v>
      </c>
    </row>
    <row r="45" spans="1:4" x14ac:dyDescent="0.25">
      <c r="A45">
        <v>43</v>
      </c>
      <c r="B45" t="s">
        <v>133</v>
      </c>
      <c r="C45" t="s">
        <v>130</v>
      </c>
      <c r="D45" t="s">
        <v>93</v>
      </c>
    </row>
    <row r="46" spans="1:4" x14ac:dyDescent="0.25">
      <c r="A46">
        <v>44</v>
      </c>
      <c r="B46" t="s">
        <v>134</v>
      </c>
      <c r="C46" t="s">
        <v>130</v>
      </c>
      <c r="D46" t="s">
        <v>135</v>
      </c>
    </row>
    <row r="47" spans="1:4" x14ac:dyDescent="0.25">
      <c r="A47">
        <v>45</v>
      </c>
      <c r="B47" t="s">
        <v>136</v>
      </c>
      <c r="C47" t="s">
        <v>130</v>
      </c>
      <c r="D47" t="s">
        <v>137</v>
      </c>
    </row>
    <row r="48" spans="1:4" x14ac:dyDescent="0.25">
      <c r="A48">
        <v>46</v>
      </c>
      <c r="B48" t="s">
        <v>138</v>
      </c>
      <c r="C48" t="s">
        <v>130</v>
      </c>
      <c r="D48" t="s">
        <v>139</v>
      </c>
    </row>
    <row r="49" spans="1:4" x14ac:dyDescent="0.25">
      <c r="A49">
        <v>47</v>
      </c>
      <c r="B49" t="s">
        <v>140</v>
      </c>
      <c r="C49" t="s">
        <v>130</v>
      </c>
      <c r="D49" t="s">
        <v>141</v>
      </c>
    </row>
    <row r="50" spans="1:4" x14ac:dyDescent="0.25">
      <c r="A50">
        <v>48</v>
      </c>
      <c r="B50" t="s">
        <v>143</v>
      </c>
      <c r="C50" t="s">
        <v>130</v>
      </c>
      <c r="D50" t="s">
        <v>144</v>
      </c>
    </row>
    <row r="51" spans="1:4" x14ac:dyDescent="0.25">
      <c r="A51">
        <v>49</v>
      </c>
      <c r="B51" t="s">
        <v>145</v>
      </c>
      <c r="C51" t="s">
        <v>142</v>
      </c>
      <c r="D51" t="s">
        <v>93</v>
      </c>
    </row>
    <row r="52" spans="1:4" x14ac:dyDescent="0.25">
      <c r="A52">
        <v>50</v>
      </c>
      <c r="B52" t="s">
        <v>146</v>
      </c>
      <c r="C52" t="s">
        <v>142</v>
      </c>
      <c r="D52" t="s">
        <v>95</v>
      </c>
    </row>
    <row r="53" spans="1:4" x14ac:dyDescent="0.25">
      <c r="A53">
        <v>51</v>
      </c>
      <c r="B53" t="s">
        <v>147</v>
      </c>
      <c r="C53" t="s">
        <v>142</v>
      </c>
      <c r="D53" t="s">
        <v>97</v>
      </c>
    </row>
    <row r="54" spans="1:4" x14ac:dyDescent="0.25">
      <c r="A54">
        <v>52</v>
      </c>
      <c r="B54" t="s">
        <v>148</v>
      </c>
      <c r="C54" t="s">
        <v>142</v>
      </c>
      <c r="D54" t="s">
        <v>99</v>
      </c>
    </row>
    <row r="55" spans="1:4" x14ac:dyDescent="0.25">
      <c r="A55">
        <v>53</v>
      </c>
      <c r="B55" t="s">
        <v>149</v>
      </c>
      <c r="C55" t="s">
        <v>142</v>
      </c>
      <c r="D55" t="s">
        <v>111</v>
      </c>
    </row>
    <row r="56" spans="1:4" x14ac:dyDescent="0.25">
      <c r="A56">
        <v>54</v>
      </c>
      <c r="B56" t="s">
        <v>150</v>
      </c>
      <c r="C56" t="s">
        <v>142</v>
      </c>
      <c r="D56" t="s">
        <v>151</v>
      </c>
    </row>
    <row r="57" spans="1:4" x14ac:dyDescent="0.25">
      <c r="A57">
        <v>55</v>
      </c>
      <c r="B57" t="s">
        <v>152</v>
      </c>
      <c r="C57" t="s">
        <v>142</v>
      </c>
      <c r="D57" t="s">
        <v>115</v>
      </c>
    </row>
    <row r="58" spans="1:4" x14ac:dyDescent="0.25">
      <c r="A58">
        <v>56</v>
      </c>
      <c r="B58" t="s">
        <v>153</v>
      </c>
      <c r="C58" t="s">
        <v>142</v>
      </c>
      <c r="D58" t="s">
        <v>119</v>
      </c>
    </row>
    <row r="59" spans="1:4" x14ac:dyDescent="0.25">
      <c r="A59">
        <v>57</v>
      </c>
      <c r="B59" t="s">
        <v>154</v>
      </c>
      <c r="C59" t="s">
        <v>142</v>
      </c>
      <c r="D59" t="s">
        <v>122</v>
      </c>
    </row>
    <row r="60" spans="1:4" x14ac:dyDescent="0.25">
      <c r="A60">
        <v>118</v>
      </c>
      <c r="B60" t="s">
        <v>256</v>
      </c>
    </row>
    <row r="61" spans="1:4" x14ac:dyDescent="0.25">
      <c r="A61">
        <v>70</v>
      </c>
      <c r="B61" t="s">
        <v>155</v>
      </c>
      <c r="C61" t="s">
        <v>88</v>
      </c>
    </row>
    <row r="62" spans="1:4" x14ac:dyDescent="0.25">
      <c r="A62">
        <v>71</v>
      </c>
      <c r="B62" t="s">
        <v>156</v>
      </c>
      <c r="C62" t="s">
        <v>88</v>
      </c>
      <c r="D62" t="s">
        <v>157</v>
      </c>
    </row>
    <row r="63" spans="1:4" x14ac:dyDescent="0.25">
      <c r="A63">
        <v>72</v>
      </c>
      <c r="B63" t="s">
        <v>158</v>
      </c>
      <c r="C63" t="s">
        <v>88</v>
      </c>
      <c r="D63" t="s">
        <v>159</v>
      </c>
    </row>
    <row r="64" spans="1:4" x14ac:dyDescent="0.25">
      <c r="A64">
        <v>73</v>
      </c>
      <c r="B64" t="s">
        <v>160</v>
      </c>
      <c r="C64" t="s">
        <v>88</v>
      </c>
      <c r="D64" t="s">
        <v>161</v>
      </c>
    </row>
    <row r="65" spans="1:4" x14ac:dyDescent="0.25">
      <c r="A65">
        <v>74</v>
      </c>
      <c r="B65" t="s">
        <v>162</v>
      </c>
      <c r="C65" t="s">
        <v>88</v>
      </c>
      <c r="D65" t="s">
        <v>163</v>
      </c>
    </row>
    <row r="66" spans="1:4" x14ac:dyDescent="0.25">
      <c r="A66">
        <v>75</v>
      </c>
      <c r="B66" t="s">
        <v>164</v>
      </c>
      <c r="C66" t="s">
        <v>88</v>
      </c>
      <c r="D66" t="s">
        <v>165</v>
      </c>
    </row>
    <row r="67" spans="1:4" x14ac:dyDescent="0.25">
      <c r="A67">
        <v>76</v>
      </c>
      <c r="B67" t="s">
        <v>166</v>
      </c>
      <c r="C67" t="s">
        <v>88</v>
      </c>
      <c r="D67" t="s">
        <v>167</v>
      </c>
    </row>
    <row r="68" spans="1:4" x14ac:dyDescent="0.25">
      <c r="A68">
        <v>77</v>
      </c>
      <c r="B68" t="s">
        <v>168</v>
      </c>
      <c r="C68" t="s">
        <v>88</v>
      </c>
      <c r="D68" t="s">
        <v>169</v>
      </c>
    </row>
    <row r="69" spans="1:4" x14ac:dyDescent="0.25">
      <c r="A69">
        <v>78</v>
      </c>
      <c r="B69" t="s">
        <v>170</v>
      </c>
      <c r="C69" t="s">
        <v>88</v>
      </c>
      <c r="D69" t="s">
        <v>171</v>
      </c>
    </row>
    <row r="70" spans="1:4" x14ac:dyDescent="0.25">
      <c r="A70">
        <v>79</v>
      </c>
      <c r="B70" t="s">
        <v>172</v>
      </c>
      <c r="C70" t="s">
        <v>88</v>
      </c>
      <c r="D70" t="s">
        <v>173</v>
      </c>
    </row>
    <row r="71" spans="1:4" x14ac:dyDescent="0.25">
      <c r="A71">
        <v>80</v>
      </c>
      <c r="B71" t="s">
        <v>174</v>
      </c>
      <c r="C71" t="s">
        <v>88</v>
      </c>
      <c r="D71" t="s">
        <v>175</v>
      </c>
    </row>
    <row r="72" spans="1:4" x14ac:dyDescent="0.25">
      <c r="A72">
        <v>81</v>
      </c>
      <c r="B72" t="s">
        <v>176</v>
      </c>
      <c r="C72" t="s">
        <v>88</v>
      </c>
      <c r="D72" t="s">
        <v>177</v>
      </c>
    </row>
    <row r="73" spans="1:4" x14ac:dyDescent="0.25">
      <c r="A73">
        <v>82</v>
      </c>
      <c r="B73" t="s">
        <v>178</v>
      </c>
      <c r="C73" t="s">
        <v>88</v>
      </c>
      <c r="D73" t="s">
        <v>177</v>
      </c>
    </row>
    <row r="74" spans="1:4" x14ac:dyDescent="0.25">
      <c r="A74">
        <v>83</v>
      </c>
      <c r="B74" t="s">
        <v>179</v>
      </c>
      <c r="C74" t="s">
        <v>88</v>
      </c>
      <c r="D74" t="s">
        <v>180</v>
      </c>
    </row>
    <row r="75" spans="1:4" x14ac:dyDescent="0.25">
      <c r="A75">
        <v>84</v>
      </c>
      <c r="B75" t="s">
        <v>181</v>
      </c>
      <c r="C75" t="s">
        <v>88</v>
      </c>
      <c r="D75" t="s">
        <v>182</v>
      </c>
    </row>
    <row r="76" spans="1:4" x14ac:dyDescent="0.25">
      <c r="A76">
        <v>85</v>
      </c>
      <c r="B76" t="s">
        <v>183</v>
      </c>
      <c r="C76" t="s">
        <v>88</v>
      </c>
      <c r="D76" t="s">
        <v>184</v>
      </c>
    </row>
    <row r="77" spans="1:4" x14ac:dyDescent="0.25">
      <c r="A77">
        <v>86</v>
      </c>
      <c r="B77" t="s">
        <v>185</v>
      </c>
      <c r="C77" t="s">
        <v>88</v>
      </c>
      <c r="D77" t="s">
        <v>186</v>
      </c>
    </row>
    <row r="78" spans="1:4" x14ac:dyDescent="0.25">
      <c r="A78">
        <v>87</v>
      </c>
      <c r="B78" t="s">
        <v>187</v>
      </c>
      <c r="C78" t="s">
        <v>88</v>
      </c>
      <c r="D78" t="s">
        <v>188</v>
      </c>
    </row>
    <row r="79" spans="1:4" x14ac:dyDescent="0.25">
      <c r="A79">
        <v>88</v>
      </c>
      <c r="B79" t="s">
        <v>189</v>
      </c>
      <c r="C79" t="s">
        <v>88</v>
      </c>
      <c r="D79" t="s">
        <v>190</v>
      </c>
    </row>
    <row r="80" spans="1:4" x14ac:dyDescent="0.25">
      <c r="A80">
        <v>89</v>
      </c>
      <c r="B80" t="s">
        <v>191</v>
      </c>
      <c r="C80" t="s">
        <v>102</v>
      </c>
      <c r="D80" t="s">
        <v>192</v>
      </c>
    </row>
    <row r="81" spans="1:4" x14ac:dyDescent="0.25">
      <c r="A81">
        <v>90</v>
      </c>
      <c r="B81" t="s">
        <v>193</v>
      </c>
      <c r="C81" t="s">
        <v>102</v>
      </c>
      <c r="D81" t="s">
        <v>194</v>
      </c>
    </row>
    <row r="82" spans="1:4" x14ac:dyDescent="0.25">
      <c r="A82">
        <v>91</v>
      </c>
      <c r="B82" t="s">
        <v>195</v>
      </c>
      <c r="C82" t="s">
        <v>102</v>
      </c>
      <c r="D82" t="s">
        <v>196</v>
      </c>
    </row>
    <row r="83" spans="1:4" x14ac:dyDescent="0.25">
      <c r="A83">
        <v>92</v>
      </c>
      <c r="B83" t="s">
        <v>197</v>
      </c>
      <c r="C83" t="s">
        <v>102</v>
      </c>
      <c r="D83" t="s">
        <v>198</v>
      </c>
    </row>
    <row r="84" spans="1:4" x14ac:dyDescent="0.25">
      <c r="A84">
        <v>93</v>
      </c>
      <c r="B84" t="s">
        <v>199</v>
      </c>
      <c r="C84" t="s">
        <v>102</v>
      </c>
      <c r="D84" t="s">
        <v>200</v>
      </c>
    </row>
    <row r="85" spans="1:4" x14ac:dyDescent="0.25">
      <c r="A85">
        <v>94</v>
      </c>
      <c r="B85" t="s">
        <v>201</v>
      </c>
      <c r="C85" t="s">
        <v>102</v>
      </c>
      <c r="D85" t="s">
        <v>202</v>
      </c>
    </row>
    <row r="86" spans="1:4" x14ac:dyDescent="0.25">
      <c r="A86">
        <v>95</v>
      </c>
      <c r="B86" t="s">
        <v>203</v>
      </c>
      <c r="C86" t="s">
        <v>102</v>
      </c>
      <c r="D86" t="s">
        <v>204</v>
      </c>
    </row>
    <row r="87" spans="1:4" x14ac:dyDescent="0.25">
      <c r="A87">
        <v>96</v>
      </c>
      <c r="B87" t="s">
        <v>205</v>
      </c>
      <c r="C87" t="s">
        <v>102</v>
      </c>
      <c r="D87" t="s">
        <v>206</v>
      </c>
    </row>
    <row r="88" spans="1:4" x14ac:dyDescent="0.25">
      <c r="A88">
        <v>97</v>
      </c>
      <c r="B88" t="s">
        <v>207</v>
      </c>
      <c r="C88" t="s">
        <v>102</v>
      </c>
      <c r="D88" t="s">
        <v>208</v>
      </c>
    </row>
    <row r="89" spans="1:4" x14ac:dyDescent="0.25">
      <c r="A89">
        <v>98</v>
      </c>
      <c r="B89" t="s">
        <v>209</v>
      </c>
      <c r="C89" t="s">
        <v>120</v>
      </c>
      <c r="D89" t="s">
        <v>194</v>
      </c>
    </row>
    <row r="90" spans="1:4" x14ac:dyDescent="0.25">
      <c r="A90">
        <v>99</v>
      </c>
      <c r="B90" t="s">
        <v>210</v>
      </c>
      <c r="C90" t="s">
        <v>120</v>
      </c>
      <c r="D90" t="s">
        <v>196</v>
      </c>
    </row>
    <row r="91" spans="1:4" x14ac:dyDescent="0.25">
      <c r="A91">
        <v>100</v>
      </c>
      <c r="B91" t="s">
        <v>211</v>
      </c>
      <c r="C91" t="s">
        <v>120</v>
      </c>
      <c r="D91" t="s">
        <v>198</v>
      </c>
    </row>
    <row r="92" spans="1:4" x14ac:dyDescent="0.25">
      <c r="A92">
        <v>101</v>
      </c>
      <c r="B92" t="s">
        <v>212</v>
      </c>
      <c r="C92" t="s">
        <v>120</v>
      </c>
      <c r="D92" t="s">
        <v>200</v>
      </c>
    </row>
    <row r="93" spans="1:4" x14ac:dyDescent="0.25">
      <c r="A93">
        <v>102</v>
      </c>
      <c r="B93" t="s">
        <v>213</v>
      </c>
      <c r="C93" t="s">
        <v>130</v>
      </c>
      <c r="D93" t="s">
        <v>194</v>
      </c>
    </row>
    <row r="94" spans="1:4" x14ac:dyDescent="0.25">
      <c r="A94">
        <v>103</v>
      </c>
      <c r="B94" t="s">
        <v>214</v>
      </c>
      <c r="C94" t="s">
        <v>130</v>
      </c>
      <c r="D94" t="s">
        <v>196</v>
      </c>
    </row>
    <row r="95" spans="1:4" x14ac:dyDescent="0.25">
      <c r="A95">
        <v>104</v>
      </c>
      <c r="B95" t="s">
        <v>215</v>
      </c>
      <c r="C95" t="s">
        <v>130</v>
      </c>
      <c r="D95" t="s">
        <v>198</v>
      </c>
    </row>
    <row r="96" spans="1:4" x14ac:dyDescent="0.25">
      <c r="A96">
        <v>105</v>
      </c>
      <c r="B96" t="s">
        <v>216</v>
      </c>
      <c r="C96" t="s">
        <v>130</v>
      </c>
      <c r="D96" t="s">
        <v>200</v>
      </c>
    </row>
    <row r="97" spans="1:4" x14ac:dyDescent="0.25">
      <c r="A97">
        <v>106</v>
      </c>
      <c r="B97" t="s">
        <v>217</v>
      </c>
      <c r="C97" t="s">
        <v>142</v>
      </c>
      <c r="D97" t="s">
        <v>194</v>
      </c>
    </row>
    <row r="98" spans="1:4" x14ac:dyDescent="0.25">
      <c r="A98">
        <v>107</v>
      </c>
      <c r="B98" t="s">
        <v>218</v>
      </c>
      <c r="C98" t="s">
        <v>142</v>
      </c>
      <c r="D98" t="s">
        <v>219</v>
      </c>
    </row>
    <row r="99" spans="1:4" x14ac:dyDescent="0.25">
      <c r="A99">
        <v>108</v>
      </c>
      <c r="B99" t="s">
        <v>220</v>
      </c>
      <c r="C99" t="s">
        <v>142</v>
      </c>
      <c r="D99" t="s">
        <v>196</v>
      </c>
    </row>
    <row r="100" spans="1:4" x14ac:dyDescent="0.25">
      <c r="A100">
        <v>109</v>
      </c>
      <c r="B100" t="s">
        <v>221</v>
      </c>
      <c r="C100" t="s">
        <v>142</v>
      </c>
      <c r="D100" t="s">
        <v>198</v>
      </c>
    </row>
    <row r="101" spans="1:4" x14ac:dyDescent="0.25">
      <c r="A101">
        <v>110</v>
      </c>
      <c r="B101" t="s">
        <v>222</v>
      </c>
      <c r="C101" t="s">
        <v>142</v>
      </c>
      <c r="D101" t="s">
        <v>200</v>
      </c>
    </row>
    <row r="102" spans="1:4" x14ac:dyDescent="0.25">
      <c r="A102">
        <v>111</v>
      </c>
      <c r="B102" t="s">
        <v>223</v>
      </c>
      <c r="C102" t="s">
        <v>142</v>
      </c>
      <c r="D102" t="s">
        <v>206</v>
      </c>
    </row>
    <row r="103" spans="1:4" x14ac:dyDescent="0.25">
      <c r="A103">
        <v>112</v>
      </c>
      <c r="B103" t="s">
        <v>224</v>
      </c>
      <c r="C103" t="s">
        <v>142</v>
      </c>
      <c r="D103" t="s">
        <v>225</v>
      </c>
    </row>
    <row r="104" spans="1:4" x14ac:dyDescent="0.25">
      <c r="A104">
        <v>113</v>
      </c>
      <c r="B104" t="s">
        <v>226</v>
      </c>
      <c r="C104" t="s">
        <v>142</v>
      </c>
      <c r="D104" t="s">
        <v>208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620"/>
  <sheetViews>
    <sheetView workbookViewId="0">
      <selection sqref="A1:N1048576"/>
    </sheetView>
  </sheetViews>
  <sheetFormatPr defaultRowHeight="15" x14ac:dyDescent="0.25"/>
  <sheetData>
    <row r="1" spans="1:11" x14ac:dyDescent="0.25">
      <c r="A1" s="351" t="s">
        <v>227</v>
      </c>
      <c r="B1" s="352"/>
      <c r="C1" s="352"/>
      <c r="D1" s="352"/>
      <c r="E1" s="352"/>
      <c r="F1" s="352"/>
      <c r="G1" s="352"/>
      <c r="H1" s="352" t="s">
        <v>228</v>
      </c>
      <c r="I1" s="352"/>
      <c r="J1" s="352"/>
      <c r="K1" s="353"/>
    </row>
    <row r="2" spans="1:11" x14ac:dyDescent="0.25">
      <c r="A2" s="354">
        <v>1</v>
      </c>
      <c r="B2" s="355" t="s">
        <v>264</v>
      </c>
      <c r="C2" s="355"/>
      <c r="D2" s="355"/>
      <c r="E2" s="355"/>
      <c r="F2" s="355"/>
      <c r="G2" s="355"/>
      <c r="H2" s="355"/>
      <c r="I2" s="355"/>
      <c r="J2" s="355"/>
      <c r="K2" s="356"/>
    </row>
    <row r="3" spans="1:11" x14ac:dyDescent="0.25">
      <c r="A3" s="354">
        <v>2</v>
      </c>
      <c r="B3" s="355" t="s">
        <v>229</v>
      </c>
      <c r="C3" s="355"/>
      <c r="D3" s="355"/>
      <c r="E3" s="355"/>
      <c r="F3" s="355"/>
      <c r="G3" s="355"/>
      <c r="H3" s="355"/>
      <c r="I3" s="355"/>
      <c r="J3" s="355"/>
      <c r="K3" s="356"/>
    </row>
    <row r="4" spans="1:11" x14ac:dyDescent="0.25">
      <c r="A4" s="354">
        <v>3</v>
      </c>
      <c r="B4" s="355" t="s">
        <v>230</v>
      </c>
      <c r="C4" s="355"/>
      <c r="D4" s="355"/>
      <c r="E4" s="355"/>
      <c r="F4" s="355"/>
      <c r="G4" s="355"/>
      <c r="H4" s="355"/>
      <c r="I4" s="355"/>
      <c r="J4" s="355"/>
      <c r="K4" s="356"/>
    </row>
    <row r="5" spans="1:11" x14ac:dyDescent="0.25">
      <c r="A5" s="357">
        <v>4</v>
      </c>
      <c r="B5" s="358" t="s">
        <v>231</v>
      </c>
      <c r="C5" s="358"/>
      <c r="D5" s="358"/>
      <c r="E5" s="358"/>
      <c r="F5" s="358"/>
      <c r="G5" s="358"/>
      <c r="H5" s="358"/>
      <c r="I5" s="358"/>
      <c r="J5" s="358"/>
      <c r="K5" s="359"/>
    </row>
    <row r="8" spans="1:11" x14ac:dyDescent="0.25">
      <c r="A8" t="s">
        <v>232</v>
      </c>
      <c r="B8" t="s">
        <v>233</v>
      </c>
      <c r="C8" t="s">
        <v>234</v>
      </c>
      <c r="D8" t="s">
        <v>254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335">
        <v>0.46135416666666668</v>
      </c>
      <c r="G9" t="s">
        <v>239</v>
      </c>
      <c r="H9">
        <v>31</v>
      </c>
      <c r="I9" t="s">
        <v>255</v>
      </c>
      <c r="J9">
        <v>16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45</v>
      </c>
      <c r="D11" t="s">
        <v>241</v>
      </c>
      <c r="E11">
        <v>1</v>
      </c>
      <c r="F11">
        <v>0</v>
      </c>
    </row>
    <row r="12" spans="1:11" x14ac:dyDescent="0.25">
      <c r="B12">
        <v>2</v>
      </c>
      <c r="C12" t="s">
        <v>48</v>
      </c>
      <c r="D12" t="s">
        <v>242</v>
      </c>
      <c r="E12">
        <v>11.7146172749</v>
      </c>
      <c r="F12">
        <v>1.25201685879</v>
      </c>
    </row>
    <row r="13" spans="1:11" x14ac:dyDescent="0.25">
      <c r="B13">
        <v>3</v>
      </c>
      <c r="C13" t="s">
        <v>51</v>
      </c>
      <c r="D13" t="s">
        <v>241</v>
      </c>
      <c r="E13" s="336">
        <v>-0.2117</v>
      </c>
      <c r="F13">
        <v>0</v>
      </c>
    </row>
    <row r="14" spans="1:11" x14ac:dyDescent="0.25">
      <c r="B14">
        <v>4</v>
      </c>
      <c r="C14" t="s">
        <v>54</v>
      </c>
      <c r="D14" t="s">
        <v>242</v>
      </c>
      <c r="E14" s="336">
        <v>0.27120783067900001</v>
      </c>
      <c r="F14">
        <v>0.28080475059900001</v>
      </c>
    </row>
    <row r="15" spans="1:11" x14ac:dyDescent="0.25">
      <c r="B15">
        <v>5</v>
      </c>
      <c r="C15" t="s">
        <v>57</v>
      </c>
      <c r="D15" t="s">
        <v>242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59</v>
      </c>
      <c r="D16" t="s">
        <v>242</v>
      </c>
      <c r="E16" s="336">
        <v>-8.2865473150899996E-2</v>
      </c>
      <c r="F16">
        <v>0.12955742148800001</v>
      </c>
    </row>
    <row r="17" spans="2:6" x14ac:dyDescent="0.25">
      <c r="B17">
        <v>7</v>
      </c>
      <c r="C17" t="s">
        <v>61</v>
      </c>
      <c r="D17" t="s">
        <v>242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64</v>
      </c>
      <c r="D18" t="s">
        <v>241</v>
      </c>
      <c r="E18" s="336">
        <v>6.9400000000000003E-2</v>
      </c>
      <c r="F18">
        <v>0</v>
      </c>
    </row>
    <row r="19" spans="2:6" x14ac:dyDescent="0.25">
      <c r="B19">
        <v>9</v>
      </c>
      <c r="C19" t="s">
        <v>66</v>
      </c>
      <c r="D19" t="s">
        <v>242</v>
      </c>
      <c r="E19" s="336">
        <v>-9.5820044919499997E-2</v>
      </c>
      <c r="F19">
        <v>0.17082561533000001</v>
      </c>
    </row>
    <row r="20" spans="2:6" x14ac:dyDescent="0.25">
      <c r="B20">
        <v>10</v>
      </c>
      <c r="C20" t="s">
        <v>68</v>
      </c>
      <c r="D20" t="s">
        <v>242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70</v>
      </c>
      <c r="D21" t="s">
        <v>242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72</v>
      </c>
      <c r="D22" t="s">
        <v>242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74</v>
      </c>
      <c r="D23" t="s">
        <v>242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76</v>
      </c>
      <c r="D24" t="s">
        <v>242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78</v>
      </c>
      <c r="D25" t="s">
        <v>242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80</v>
      </c>
      <c r="D26" t="s">
        <v>242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83</v>
      </c>
      <c r="D27" t="s">
        <v>241</v>
      </c>
      <c r="E27">
        <v>0</v>
      </c>
      <c r="F27">
        <v>0</v>
      </c>
    </row>
    <row r="28" spans="2:6" x14ac:dyDescent="0.25">
      <c r="B28">
        <v>18</v>
      </c>
      <c r="C28" t="s">
        <v>86</v>
      </c>
      <c r="D28" t="s">
        <v>241</v>
      </c>
      <c r="E28">
        <v>0</v>
      </c>
      <c r="F28">
        <v>0</v>
      </c>
    </row>
    <row r="29" spans="2:6" x14ac:dyDescent="0.25">
      <c r="B29">
        <v>19</v>
      </c>
      <c r="C29" t="s">
        <v>89</v>
      </c>
      <c r="D29" t="s">
        <v>241</v>
      </c>
      <c r="E29">
        <v>0</v>
      </c>
      <c r="F29">
        <v>0</v>
      </c>
    </row>
    <row r="30" spans="2:6" x14ac:dyDescent="0.25">
      <c r="B30">
        <v>20</v>
      </c>
      <c r="C30" t="s">
        <v>92</v>
      </c>
      <c r="D30" t="s">
        <v>242</v>
      </c>
      <c r="E30">
        <v>0.63771148688699997</v>
      </c>
      <c r="F30" s="336">
        <v>6.0015015733300002E-2</v>
      </c>
    </row>
    <row r="31" spans="2:6" x14ac:dyDescent="0.25">
      <c r="B31">
        <v>21</v>
      </c>
      <c r="C31" t="s">
        <v>94</v>
      </c>
      <c r="D31" t="s">
        <v>242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96</v>
      </c>
      <c r="D32" t="s">
        <v>242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98</v>
      </c>
      <c r="D33" t="s">
        <v>242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100</v>
      </c>
      <c r="D34" t="s">
        <v>242</v>
      </c>
      <c r="E34">
        <v>0.10429329553199999</v>
      </c>
      <c r="F34" s="336">
        <v>1.6423300294899999E-2</v>
      </c>
    </row>
    <row r="35" spans="2:6" x14ac:dyDescent="0.25">
      <c r="B35">
        <v>25</v>
      </c>
      <c r="C35" t="s">
        <v>103</v>
      </c>
      <c r="D35" t="s">
        <v>241</v>
      </c>
      <c r="E35">
        <v>0</v>
      </c>
      <c r="F35" s="336">
        <v>0</v>
      </c>
    </row>
    <row r="36" spans="2:6" x14ac:dyDescent="0.25">
      <c r="B36">
        <v>26</v>
      </c>
      <c r="C36" t="s">
        <v>105</v>
      </c>
      <c r="D36" t="s">
        <v>242</v>
      </c>
      <c r="E36">
        <v>0.417326479157</v>
      </c>
      <c r="F36" s="336">
        <v>9.4301876730200004E-2</v>
      </c>
    </row>
    <row r="37" spans="2:6" x14ac:dyDescent="0.25">
      <c r="B37">
        <v>27</v>
      </c>
      <c r="C37" t="s">
        <v>106</v>
      </c>
      <c r="D37" t="s">
        <v>242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108</v>
      </c>
      <c r="D38" t="s">
        <v>242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109</v>
      </c>
      <c r="D39" t="s">
        <v>242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110</v>
      </c>
      <c r="D40" t="s">
        <v>242</v>
      </c>
      <c r="E40">
        <v>-0.91046169190000004</v>
      </c>
      <c r="F40" s="336">
        <v>9.2244527309799998E-2</v>
      </c>
    </row>
    <row r="41" spans="2:6" x14ac:dyDescent="0.25">
      <c r="B41">
        <v>31</v>
      </c>
      <c r="C41" t="s">
        <v>112</v>
      </c>
      <c r="D41" t="s">
        <v>242</v>
      </c>
      <c r="E41" s="336">
        <v>5.7553461640599997E-2</v>
      </c>
      <c r="F41" s="336">
        <v>1.69631861578E-2</v>
      </c>
    </row>
    <row r="42" spans="2:6" x14ac:dyDescent="0.25">
      <c r="B42">
        <v>32</v>
      </c>
      <c r="C42" t="s">
        <v>114</v>
      </c>
      <c r="D42" t="s">
        <v>242</v>
      </c>
      <c r="E42">
        <v>0.237798002151</v>
      </c>
      <c r="F42" s="336">
        <v>2.05709725741E-2</v>
      </c>
    </row>
    <row r="43" spans="2:6" x14ac:dyDescent="0.25">
      <c r="B43">
        <v>33</v>
      </c>
      <c r="C43" t="s">
        <v>116</v>
      </c>
      <c r="D43" t="s">
        <v>241</v>
      </c>
      <c r="E43">
        <v>0</v>
      </c>
      <c r="F43" s="336">
        <v>0</v>
      </c>
    </row>
    <row r="44" spans="2:6" x14ac:dyDescent="0.25">
      <c r="B44">
        <v>34</v>
      </c>
      <c r="C44" t="s">
        <v>118</v>
      </c>
      <c r="D44" t="s">
        <v>241</v>
      </c>
      <c r="E44">
        <v>0</v>
      </c>
      <c r="F44" s="336">
        <v>0</v>
      </c>
    </row>
    <row r="45" spans="2:6" x14ac:dyDescent="0.25">
      <c r="B45">
        <v>35</v>
      </c>
      <c r="C45" t="s">
        <v>121</v>
      </c>
      <c r="D45" t="s">
        <v>241</v>
      </c>
      <c r="E45">
        <v>0</v>
      </c>
      <c r="F45" s="336">
        <v>0</v>
      </c>
    </row>
    <row r="46" spans="2:6" x14ac:dyDescent="0.25">
      <c r="B46">
        <v>36</v>
      </c>
      <c r="C46" t="s">
        <v>123</v>
      </c>
      <c r="D46" t="s">
        <v>242</v>
      </c>
      <c r="E46" s="336">
        <v>0.61259135262599995</v>
      </c>
      <c r="F46" s="336">
        <v>9.8788050589500007E-2</v>
      </c>
    </row>
    <row r="47" spans="2:6" x14ac:dyDescent="0.25">
      <c r="B47">
        <v>37</v>
      </c>
      <c r="C47" t="s">
        <v>124</v>
      </c>
      <c r="D47" t="s">
        <v>242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126</v>
      </c>
      <c r="D48" t="s">
        <v>242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127</v>
      </c>
      <c r="D49" t="s">
        <v>242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128</v>
      </c>
      <c r="D50" t="s">
        <v>242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129</v>
      </c>
      <c r="D51" t="s">
        <v>242</v>
      </c>
      <c r="E51">
        <v>-0.22141031751900001</v>
      </c>
      <c r="F51" s="336">
        <v>1.8224220405400001E-2</v>
      </c>
    </row>
    <row r="52" spans="2:6" x14ac:dyDescent="0.25">
      <c r="B52">
        <v>42</v>
      </c>
      <c r="C52" t="s">
        <v>131</v>
      </c>
      <c r="D52" t="s">
        <v>242</v>
      </c>
      <c r="E52">
        <v>0.64228876129599999</v>
      </c>
      <c r="F52" s="336">
        <v>2.3327425635499999E-2</v>
      </c>
    </row>
    <row r="53" spans="2:6" x14ac:dyDescent="0.25">
      <c r="B53">
        <v>43</v>
      </c>
      <c r="C53" t="s">
        <v>133</v>
      </c>
      <c r="D53" t="s">
        <v>242</v>
      </c>
      <c r="E53">
        <v>0.74588429254199995</v>
      </c>
      <c r="F53" s="336">
        <v>9.8514285453599998E-2</v>
      </c>
    </row>
    <row r="54" spans="2:6" x14ac:dyDescent="0.25">
      <c r="B54">
        <v>44</v>
      </c>
      <c r="C54" t="s">
        <v>134</v>
      </c>
      <c r="D54" t="s">
        <v>242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136</v>
      </c>
      <c r="D55" t="s">
        <v>242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138</v>
      </c>
      <c r="D56" t="s">
        <v>242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140</v>
      </c>
      <c r="D57" t="s">
        <v>242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143</v>
      </c>
      <c r="D58" t="s">
        <v>242</v>
      </c>
      <c r="E58">
        <v>0.65760260093900003</v>
      </c>
      <c r="F58" s="336">
        <v>2.9500746847800002E-2</v>
      </c>
    </row>
    <row r="59" spans="2:6" x14ac:dyDescent="0.25">
      <c r="B59">
        <v>49</v>
      </c>
      <c r="C59" t="s">
        <v>145</v>
      </c>
      <c r="D59" t="s">
        <v>242</v>
      </c>
      <c r="E59">
        <v>0.201576719663</v>
      </c>
      <c r="F59" s="336">
        <v>0.11309559824400001</v>
      </c>
    </row>
    <row r="60" spans="2:6" x14ac:dyDescent="0.25">
      <c r="B60">
        <v>50</v>
      </c>
      <c r="C60" t="s">
        <v>146</v>
      </c>
      <c r="D60" t="s">
        <v>242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147</v>
      </c>
      <c r="D61" t="s">
        <v>242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148</v>
      </c>
      <c r="D62" t="s">
        <v>242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149</v>
      </c>
      <c r="D63" t="s">
        <v>242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150</v>
      </c>
      <c r="D64" t="s">
        <v>242</v>
      </c>
      <c r="E64">
        <v>0.20818008309700001</v>
      </c>
      <c r="F64" s="336">
        <v>4.2700310294800002E-2</v>
      </c>
    </row>
    <row r="65" spans="2:6" x14ac:dyDescent="0.25">
      <c r="B65">
        <v>55</v>
      </c>
      <c r="C65" t="s">
        <v>152</v>
      </c>
      <c r="D65" t="s">
        <v>242</v>
      </c>
      <c r="E65">
        <v>0.42522231451499998</v>
      </c>
      <c r="F65" s="336">
        <v>4.5274903018000003E-2</v>
      </c>
    </row>
    <row r="66" spans="2:6" x14ac:dyDescent="0.25">
      <c r="B66">
        <v>56</v>
      </c>
      <c r="C66" t="s">
        <v>153</v>
      </c>
      <c r="D66" t="s">
        <v>242</v>
      </c>
      <c r="E66">
        <v>-0.743588483327</v>
      </c>
      <c r="F66" s="336">
        <v>4.4293261467400001E-2</v>
      </c>
    </row>
    <row r="67" spans="2:6" x14ac:dyDescent="0.25">
      <c r="B67">
        <v>57</v>
      </c>
      <c r="C67" t="s">
        <v>154</v>
      </c>
      <c r="D67" t="s">
        <v>241</v>
      </c>
      <c r="E67" s="336">
        <v>6.2100000000000002E-2</v>
      </c>
      <c r="F67" s="336">
        <v>0</v>
      </c>
    </row>
    <row r="68" spans="2:6" x14ac:dyDescent="0.25">
      <c r="B68">
        <v>118</v>
      </c>
      <c r="C68" t="s">
        <v>256</v>
      </c>
      <c r="D68" t="s">
        <v>241</v>
      </c>
      <c r="E68" s="336">
        <v>-3</v>
      </c>
      <c r="F68" s="336">
        <v>0</v>
      </c>
    </row>
    <row r="69" spans="2:6" x14ac:dyDescent="0.25">
      <c r="B69">
        <v>70</v>
      </c>
      <c r="C69" t="s">
        <v>155</v>
      </c>
      <c r="D69" t="s">
        <v>242</v>
      </c>
      <c r="E69">
        <v>0.29394695214400002</v>
      </c>
      <c r="F69" s="336">
        <v>8.1089668188599993E-3</v>
      </c>
    </row>
    <row r="70" spans="2:6" x14ac:dyDescent="0.25">
      <c r="B70">
        <v>71</v>
      </c>
      <c r="C70" t="s">
        <v>156</v>
      </c>
      <c r="D70" t="s">
        <v>241</v>
      </c>
      <c r="E70">
        <v>0</v>
      </c>
      <c r="F70">
        <v>0</v>
      </c>
    </row>
    <row r="71" spans="2:6" x14ac:dyDescent="0.25">
      <c r="B71">
        <v>72</v>
      </c>
      <c r="C71" t="s">
        <v>158</v>
      </c>
      <c r="D71" t="s">
        <v>242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160</v>
      </c>
      <c r="D72" t="s">
        <v>242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162</v>
      </c>
      <c r="D73" t="s">
        <v>242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164</v>
      </c>
      <c r="D74" t="s">
        <v>242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166</v>
      </c>
      <c r="D75" t="s">
        <v>242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168</v>
      </c>
      <c r="D76" t="s">
        <v>242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170</v>
      </c>
      <c r="D77" t="s">
        <v>242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172</v>
      </c>
      <c r="D78" t="s">
        <v>242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174</v>
      </c>
      <c r="D79" t="s">
        <v>242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176</v>
      </c>
      <c r="D80" t="s">
        <v>242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178</v>
      </c>
      <c r="D81" t="s">
        <v>242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179</v>
      </c>
      <c r="D82" t="s">
        <v>242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181</v>
      </c>
      <c r="D83" t="s">
        <v>242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183</v>
      </c>
      <c r="D84" t="s">
        <v>242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185</v>
      </c>
      <c r="D85" t="s">
        <v>242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187</v>
      </c>
      <c r="D86" t="s">
        <v>242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189</v>
      </c>
      <c r="D87" t="s">
        <v>241</v>
      </c>
      <c r="E87">
        <v>0</v>
      </c>
      <c r="F87">
        <v>0</v>
      </c>
    </row>
    <row r="88" spans="2:6" x14ac:dyDescent="0.25">
      <c r="B88">
        <v>89</v>
      </c>
      <c r="C88" t="s">
        <v>191</v>
      </c>
      <c r="D88" t="s">
        <v>242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193</v>
      </c>
      <c r="D89" t="s">
        <v>242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195</v>
      </c>
      <c r="D90" t="s">
        <v>242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197</v>
      </c>
      <c r="D91" t="s">
        <v>242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199</v>
      </c>
      <c r="D92" t="s">
        <v>242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201</v>
      </c>
      <c r="D93" t="s">
        <v>241</v>
      </c>
      <c r="E93">
        <v>0</v>
      </c>
      <c r="F93">
        <v>0</v>
      </c>
    </row>
    <row r="94" spans="2:6" x14ac:dyDescent="0.25">
      <c r="B94">
        <v>95</v>
      </c>
      <c r="C94" t="s">
        <v>203</v>
      </c>
      <c r="D94" t="s">
        <v>242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205</v>
      </c>
      <c r="D95" t="s">
        <v>242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207</v>
      </c>
      <c r="D96" t="s">
        <v>241</v>
      </c>
      <c r="E96">
        <v>-30</v>
      </c>
      <c r="F96">
        <v>0</v>
      </c>
    </row>
    <row r="97" spans="2:6" x14ac:dyDescent="0.25">
      <c r="B97">
        <v>98</v>
      </c>
      <c r="C97" t="s">
        <v>209</v>
      </c>
      <c r="D97" t="s">
        <v>242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210</v>
      </c>
      <c r="D98" t="s">
        <v>242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211</v>
      </c>
      <c r="D99" t="s">
        <v>241</v>
      </c>
      <c r="E99">
        <v>-0.7</v>
      </c>
      <c r="F99">
        <v>0</v>
      </c>
    </row>
    <row r="100" spans="2:6" x14ac:dyDescent="0.25">
      <c r="B100">
        <v>101</v>
      </c>
      <c r="C100" t="s">
        <v>212</v>
      </c>
      <c r="D100" t="s">
        <v>242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213</v>
      </c>
      <c r="D101" t="s">
        <v>241</v>
      </c>
      <c r="E101">
        <v>0</v>
      </c>
      <c r="F101">
        <v>0</v>
      </c>
    </row>
    <row r="102" spans="2:6" x14ac:dyDescent="0.25">
      <c r="B102">
        <v>103</v>
      </c>
      <c r="C102" t="s">
        <v>214</v>
      </c>
      <c r="D102" t="s">
        <v>241</v>
      </c>
      <c r="E102">
        <v>5</v>
      </c>
      <c r="F102">
        <v>0</v>
      </c>
    </row>
    <row r="103" spans="2:6" x14ac:dyDescent="0.25">
      <c r="B103">
        <v>104</v>
      </c>
      <c r="C103" t="s">
        <v>215</v>
      </c>
      <c r="D103" t="s">
        <v>241</v>
      </c>
      <c r="E103">
        <v>-30</v>
      </c>
      <c r="F103">
        <v>0</v>
      </c>
    </row>
    <row r="104" spans="2:6" x14ac:dyDescent="0.25">
      <c r="B104">
        <v>105</v>
      </c>
      <c r="C104" t="s">
        <v>216</v>
      </c>
      <c r="D104" t="s">
        <v>242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217</v>
      </c>
      <c r="D105" t="s">
        <v>242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218</v>
      </c>
      <c r="D106" t="s">
        <v>241</v>
      </c>
      <c r="E106">
        <v>0</v>
      </c>
      <c r="F106">
        <v>0</v>
      </c>
    </row>
    <row r="107" spans="2:6" x14ac:dyDescent="0.25">
      <c r="B107">
        <v>108</v>
      </c>
      <c r="C107" t="s">
        <v>220</v>
      </c>
      <c r="D107" t="s">
        <v>242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221</v>
      </c>
      <c r="D108" t="s">
        <v>242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222</v>
      </c>
      <c r="D109" t="s">
        <v>242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223</v>
      </c>
      <c r="D110" t="s">
        <v>242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224</v>
      </c>
      <c r="D111" t="s">
        <v>241</v>
      </c>
      <c r="E111">
        <v>-5.6623999999999999</v>
      </c>
      <c r="F111">
        <v>0</v>
      </c>
    </row>
    <row r="112" spans="2:6" x14ac:dyDescent="0.25">
      <c r="B112">
        <v>113</v>
      </c>
      <c r="C112" t="s">
        <v>226</v>
      </c>
      <c r="D112" t="s">
        <v>242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336">
        <v>-5981.59020986</v>
      </c>
      <c r="D114" s="336">
        <v>-29805.783655800002</v>
      </c>
      <c r="E114" s="336">
        <v>-17292.021287899999</v>
      </c>
    </row>
    <row r="115" spans="1:11" x14ac:dyDescent="0.25">
      <c r="B115">
        <v>17</v>
      </c>
      <c r="C115" t="s">
        <v>257</v>
      </c>
      <c r="D115" t="s">
        <v>239</v>
      </c>
      <c r="E115">
        <v>31</v>
      </c>
      <c r="F115" t="s">
        <v>255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  <pageSetup orientation="portrait" r:id="rId1" verticalDpi="0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Y104"/>
  <sheetViews>
    <sheetView tabSelected="1" workbookViewId="0" zoomScaleNormal="100">
      <selection activeCell="K9" sqref="K9"/>
    </sheetView>
  </sheetViews>
  <sheetFormatPr defaultRowHeight="15" x14ac:dyDescent="0.25"/>
  <cols>
    <col min="1" max="2" style="297" width="9.140625" collapsed="true"/>
    <col min="3" max="3" bestFit="true" customWidth="true" style="297" width="12.7109375" collapsed="true"/>
    <col min="4" max="4" customWidth="true" style="296" width="18.85546875" collapsed="true"/>
    <col min="5" max="5" customWidth="true" style="297" width="6.7109375" collapsed="true"/>
    <col min="6" max="6" customWidth="true" style="297" width="12.7109375" collapsed="true"/>
    <col min="7" max="7" customWidth="true" style="296" width="18.85546875" collapsed="true"/>
    <col min="8" max="8" customWidth="true" style="296" width="8.7109375" collapsed="true"/>
    <col min="9" max="9" customWidth="true" style="296" width="6.5703125" collapsed="true"/>
    <col min="10" max="10" customWidth="true" style="296" width="10.140625" collapsed="true"/>
    <col min="11" max="11" customWidth="true" style="296" width="9.85546875" collapsed="true"/>
    <col min="12" max="14" style="297" width="9.140625" collapsed="true"/>
    <col min="15" max="15" customWidth="true" style="297" width="13.0" collapsed="true"/>
    <col min="16" max="16" bestFit="true" customWidth="true" style="299" width="19.5703125" collapsed="true"/>
    <col min="17" max="17" customWidth="true" style="334" width="19.5703125" collapsed="true"/>
    <col min="18" max="16384" style="297" width="9.140625" collapsed="true"/>
  </cols>
  <sheetData>
    <row r="1" spans="3:25" x14ac:dyDescent="0.25">
      <c r="C1" s="10" t="s">
        <v>40</v>
      </c>
      <c r="F1" s="10" t="s">
        <v>41</v>
      </c>
      <c r="N1" s="298" t="s">
        <v>263</v>
      </c>
      <c r="S1" s="298"/>
      <c r="T1" s="298" t="s">
        <v>263</v>
      </c>
      <c r="U1" s="322"/>
      <c r="V1" s="322"/>
      <c r="W1" s="322"/>
      <c r="X1" s="322"/>
      <c r="Y1" s="322"/>
    </row>
    <row ht="15.75" r="2" spans="3:25" thickBot="1" x14ac:dyDescent="0.3">
      <c r="C2" s="298" t="s">
        <v>43</v>
      </c>
      <c r="M2" s="10" t="s">
        <v>91</v>
      </c>
      <c r="N2" s="10" t="s">
        <v>258</v>
      </c>
      <c r="O2" s="10" t="s">
        <v>259</v>
      </c>
      <c r="P2" s="349" t="s">
        <v>261</v>
      </c>
      <c r="Q2" s="350" t="s">
        <v>262</v>
      </c>
      <c r="T2" s="322"/>
      <c r="U2" s="298" t="s">
        <v>265</v>
      </c>
      <c r="V2"/>
      <c r="W2" s="322"/>
      <c r="X2" s="322"/>
      <c r="Y2" s="322"/>
    </row>
    <row r="3" spans="3:25" x14ac:dyDescent="0.25">
      <c r="C3" s="300" t="s">
        <v>3</v>
      </c>
      <c r="D3" s="301" t="s">
        <v>44</v>
      </c>
      <c r="F3" s="300" t="s">
        <v>3</v>
      </c>
      <c r="G3" s="301" t="s">
        <v>44</v>
      </c>
      <c r="H3" s="366"/>
      <c r="I3" s="366"/>
      <c r="J3" s="366"/>
      <c r="K3" s="366"/>
      <c r="L3" s="302"/>
      <c r="M3" s="297" t="str">
        <f>VLOOKUP(N3,Coeff_Descr!$A:$D,3,FALSE)</f>
        <v>ALL</v>
      </c>
      <c r="N3" s="297">
        <f>OtherTourDestination!B11</f>
        <v>1</v>
      </c>
      <c r="O3" s="297" t="str">
        <f>OtherTourDestination!C11</f>
        <v>Beta00001</v>
      </c>
      <c r="P3" s="299">
        <f>OtherTourDestination!E11</f>
        <v>1</v>
      </c>
      <c r="Q3" s="337">
        <f>_xlfn.IFNA(VLOOKUP(N3,$B$43:$D$46,3,FALSE),P3)</f>
        <v>1</v>
      </c>
      <c r="T3">
        <v>1</v>
      </c>
      <c r="U3" s="294" t="s">
        <v>281</v>
      </c>
      <c r="V3"/>
      <c r="W3" s="322"/>
      <c r="X3" s="322"/>
      <c r="Y3" s="322"/>
    </row>
    <row r="4" spans="3:25" x14ac:dyDescent="0.25">
      <c r="C4" s="303" t="s">
        <v>47</v>
      </c>
      <c r="D4" s="304">
        <f>TLFD!B11</f>
        <v>29293.171011583399</v>
      </c>
      <c r="F4" s="303" t="s">
        <v>47</v>
      </c>
      <c r="G4" s="304">
        <f>TLFD!F11</f>
        <v>11434</v>
      </c>
      <c r="H4" s="304"/>
      <c r="I4" s="304"/>
      <c r="J4" s="304"/>
      <c r="K4" s="304"/>
      <c r="L4" s="305"/>
      <c r="M4" s="297" t="str">
        <f>VLOOKUP(N4,Coeff_Descr!$A:$D,3,FALSE)</f>
        <v>ALL</v>
      </c>
      <c r="N4" s="297">
        <f>OtherTourDestination!B12</f>
        <v>2</v>
      </c>
      <c r="O4" s="297" t="str">
        <f>OtherTourDestination!C12</f>
        <v>Beta00002</v>
      </c>
      <c r="P4" s="299">
        <f>OtherTourDestination!E12</f>
        <v>11.7146172749</v>
      </c>
      <c r="Q4" s="337">
        <f>_xlfn.IFNA(VLOOKUP(N4,$B$43:$D$46,3,FALSE),P4)</f>
        <v>11.7146172749</v>
      </c>
      <c r="T4">
        <v>2</v>
      </c>
      <c r="U4" s="294" t="s">
        <v>273</v>
      </c>
      <c r="V4"/>
      <c r="W4" s="322"/>
      <c r="X4" s="322"/>
      <c r="Y4" s="322"/>
    </row>
    <row r="5" spans="3:25" x14ac:dyDescent="0.25">
      <c r="C5" s="306" t="s">
        <v>50</v>
      </c>
      <c r="D5" s="307">
        <f>TLFD!B12+TLFD!B13+(TLFD!B14/2)</f>
        <v>50920.020071559004</v>
      </c>
      <c r="F5" s="306" t="s">
        <v>50</v>
      </c>
      <c r="G5" s="307">
        <f>TLFD!F12+TLFD!F13+(TLFD!F14/2)</f>
        <v>28814</v>
      </c>
      <c r="H5" s="307"/>
      <c r="I5" s="307"/>
      <c r="J5" s="307"/>
      <c r="K5" s="307"/>
      <c r="L5" s="305"/>
      <c r="M5" s="297" t="str">
        <f>VLOOKUP(N5,Coeff_Descr!$A:$D,3,FALSE)</f>
        <v>ALL</v>
      </c>
      <c r="N5" s="297">
        <f>OtherTourDestination!B13</f>
        <v>3</v>
      </c>
      <c r="O5" s="297" t="str">
        <f>OtherTourDestination!C13</f>
        <v>Beta00003</v>
      </c>
      <c r="P5" s="299">
        <f>OtherTourDestination!E13</f>
        <v>-0.2117</v>
      </c>
      <c r="Q5" s="337">
        <f ref="Q5:Q68" si="0" t="shared">_xlfn.IFNA(VLOOKUP(N5,$B$43:$D$46,3,FALSE),P5)</f>
        <v>-0.2117</v>
      </c>
      <c r="T5">
        <v>3</v>
      </c>
      <c r="U5" s="322" t="s">
        <v>275</v>
      </c>
      <c r="V5" s="322"/>
      <c r="W5" s="322"/>
      <c r="X5" s="322"/>
      <c r="Y5" s="322"/>
    </row>
    <row r="6" spans="3:25" x14ac:dyDescent="0.25">
      <c r="C6" s="306" t="s">
        <v>53</v>
      </c>
      <c r="D6" s="307">
        <f>(TLFD!B14/2)+SUM(TLFD!B15:B20)</f>
        <v>26048.832815703398</v>
      </c>
      <c r="F6" s="306" t="s">
        <v>53</v>
      </c>
      <c r="G6" s="307">
        <f>(TLFD!F14/2)+SUM(TLFD!F15:F20)</f>
        <v>56834</v>
      </c>
      <c r="H6" s="307"/>
      <c r="I6" s="307"/>
      <c r="J6" s="307"/>
      <c r="K6" s="307"/>
      <c r="L6" s="308"/>
      <c r="M6" s="297" t="str">
        <f>VLOOKUP(N6,Coeff_Descr!$A:$D,3,FALSE)</f>
        <v>ALL</v>
      </c>
      <c r="N6" s="297">
        <f>OtherTourDestination!B14</f>
        <v>4</v>
      </c>
      <c r="O6" s="297" t="str">
        <f>OtherTourDestination!C14</f>
        <v>Beta00004</v>
      </c>
      <c r="P6" s="299">
        <f>OtherTourDestination!E14</f>
        <v>0.27120783067900001</v>
      </c>
      <c r="Q6" s="337">
        <f si="0" t="shared"/>
        <v>0.27120783067900001</v>
      </c>
      <c r="T6">
        <v>4</v>
      </c>
      <c r="U6" s="322" t="s">
        <v>266</v>
      </c>
      <c r="V6" s="322"/>
      <c r="W6" s="322"/>
      <c r="X6" s="322"/>
      <c r="Y6" s="322"/>
    </row>
    <row r="7" spans="3:25" x14ac:dyDescent="0.25">
      <c r="C7" s="309" t="s">
        <v>56</v>
      </c>
      <c r="D7" s="310">
        <f>SUM(TLFD!B21:B101)</f>
        <v>13747.5379285652</v>
      </c>
      <c r="F7" s="309" t="s">
        <v>56</v>
      </c>
      <c r="G7" s="310">
        <f>SUM(TLFD!F21:F101)</f>
        <v>30979</v>
      </c>
      <c r="H7" s="367"/>
      <c r="I7" s="367"/>
      <c r="J7" s="367"/>
      <c r="K7" s="367"/>
      <c r="L7" s="311"/>
      <c r="M7" s="297" t="str">
        <f>VLOOKUP(N7,Coeff_Descr!$A:$D,3,FALSE)</f>
        <v>ALL</v>
      </c>
      <c r="N7" s="297">
        <f>OtherTourDestination!B15</f>
        <v>5</v>
      </c>
      <c r="O7" s="297" t="str">
        <f>OtherTourDestination!C15</f>
        <v>Beta00005</v>
      </c>
      <c r="P7" s="299">
        <f>OtherTourDestination!E15</f>
        <v>-0.34490013167299999</v>
      </c>
      <c r="Q7" s="337">
        <f si="0" t="shared"/>
        <v>-0.34490013167299999</v>
      </c>
      <c r="T7" s="322">
        <v>5</v>
      </c>
      <c r="U7" s="322" t="s">
        <v>267</v>
      </c>
      <c r="V7" s="322"/>
      <c r="W7" s="322"/>
      <c r="X7" s="322"/>
      <c r="Y7" s="322"/>
    </row>
    <row ht="15.75" r="8" spans="3:25" thickBot="1" x14ac:dyDescent="0.3">
      <c r="C8" s="312" t="s">
        <v>4</v>
      </c>
      <c r="D8" s="313">
        <f>SUM(D4:D7)</f>
        <v>120009.561827411</v>
      </c>
      <c r="E8" s="314"/>
      <c r="F8" s="312" t="s">
        <v>4</v>
      </c>
      <c r="G8" s="313">
        <f>SUM(G4:G7)</f>
        <v>128061</v>
      </c>
      <c r="H8" s="368"/>
      <c r="I8" s="368"/>
      <c r="J8" s="368" t="s">
        <v>283</v>
      </c>
      <c r="K8" s="380">
        <v>1</v>
      </c>
      <c r="M8" s="297" t="str">
        <f>VLOOKUP(N8,Coeff_Descr!$A:$D,3,FALSE)</f>
        <v>ALL</v>
      </c>
      <c r="N8" s="297">
        <f>OtherTourDestination!B16</f>
        <v>6</v>
      </c>
      <c r="O8" s="297" t="str">
        <f>OtherTourDestination!C16</f>
        <v>Beta00006</v>
      </c>
      <c r="P8" s="299">
        <f>OtherTourDestination!E16</f>
        <v>-8.2865473150899996E-2</v>
      </c>
      <c r="Q8" s="337">
        <f si="0" t="shared"/>
        <v>-8.2865473150899996E-2</v>
      </c>
      <c r="T8" s="322"/>
      <c r="U8" s="322"/>
      <c r="V8" s="322"/>
      <c r="W8" s="322"/>
      <c r="X8" s="322"/>
      <c r="Y8" s="322"/>
    </row>
    <row r="9" spans="3:25" x14ac:dyDescent="0.25">
      <c r="M9" s="297" t="str">
        <f>VLOOKUP(N9,Coeff_Descr!$A:$D,3,FALSE)</f>
        <v>ALL</v>
      </c>
      <c r="N9" s="297">
        <f>OtherTourDestination!B17</f>
        <v>7</v>
      </c>
      <c r="O9" s="297" t="str">
        <f>OtherTourDestination!C17</f>
        <v>Beta00007</v>
      </c>
      <c r="P9" s="299">
        <f>OtherTourDestination!E17</f>
        <v>-3.9895313632499998</v>
      </c>
      <c r="Q9" s="337">
        <f si="0" t="shared"/>
        <v>-3.9895313632499998</v>
      </c>
      <c r="T9" s="322"/>
      <c r="U9" s="360" t="s">
        <v>268</v>
      </c>
      <c r="V9" s="322"/>
      <c r="W9" s="322"/>
      <c r="X9" s="322"/>
      <c r="Y9" s="322"/>
    </row>
    <row ht="15.75" r="10" spans="3:25" thickBot="1" x14ac:dyDescent="0.3">
      <c r="C10" s="315" t="s">
        <v>63</v>
      </c>
      <c r="I10" s="379" t="s">
        <v>282</v>
      </c>
      <c r="J10" s="370"/>
      <c r="K10" s="370"/>
      <c r="L10" s="302"/>
      <c r="M10" s="297" t="str">
        <f>VLOOKUP(N10,Coeff_Descr!$A:$D,3,FALSE)</f>
        <v>ALL</v>
      </c>
      <c r="N10" s="297">
        <f>OtherTourDestination!B18</f>
        <v>8</v>
      </c>
      <c r="O10" s="297" t="str">
        <f>OtherTourDestination!C18</f>
        <v>Beta00008</v>
      </c>
      <c r="P10" s="299">
        <f>OtherTourDestination!E18</f>
        <v>6.9400000000000003E-2</v>
      </c>
      <c r="Q10" s="337">
        <f si="0" t="shared"/>
        <v>6.9400000000000003E-2</v>
      </c>
      <c r="T10" s="322">
        <v>1</v>
      </c>
      <c r="U10" s="294" t="s">
        <v>281</v>
      </c>
      <c r="V10" s="322"/>
      <c r="W10" s="322"/>
      <c r="X10" s="322"/>
      <c r="Y10" s="322"/>
    </row>
    <row r="11" spans="3:25" x14ac:dyDescent="0.25">
      <c r="C11" s="300" t="s">
        <v>3</v>
      </c>
      <c r="D11" s="301" t="s">
        <v>44</v>
      </c>
      <c r="F11" s="300" t="s">
        <v>3</v>
      </c>
      <c r="G11" s="301" t="s">
        <v>44</v>
      </c>
      <c r="H11" s="366"/>
      <c r="I11" s="301" t="s">
        <v>278</v>
      </c>
      <c r="J11" s="301" t="s">
        <v>279</v>
      </c>
      <c r="K11" s="301" t="s">
        <v>280</v>
      </c>
      <c r="L11" s="316"/>
      <c r="M11" s="297" t="str">
        <f>VLOOKUP(N11,Coeff_Descr!$A:$D,3,FALSE)</f>
        <v>ALL</v>
      </c>
      <c r="N11" s="297">
        <f>OtherTourDestination!B19</f>
        <v>9</v>
      </c>
      <c r="O11" s="297" t="str">
        <f>OtherTourDestination!C19</f>
        <v>Beta00009</v>
      </c>
      <c r="P11" s="299">
        <f>OtherTourDestination!E19</f>
        <v>-9.5820044919499997E-2</v>
      </c>
      <c r="Q11" s="337">
        <f si="0" t="shared"/>
        <v>-9.5820044919499997E-2</v>
      </c>
      <c r="T11" s="322">
        <v>2</v>
      </c>
      <c r="U11" s="322" t="s">
        <v>269</v>
      </c>
      <c r="V11" s="322"/>
      <c r="W11" s="322"/>
      <c r="X11" s="322"/>
      <c r="Y11" s="322"/>
    </row>
    <row r="12" spans="3:25" x14ac:dyDescent="0.25">
      <c r="C12" s="303" t="s">
        <v>47</v>
      </c>
      <c r="D12" s="317">
        <f>D4/D$8</f>
        <v>0.24409030885147887</v>
      </c>
      <c r="F12" s="303" t="s">
        <v>47</v>
      </c>
      <c r="G12" s="317">
        <f>G4/G$8</f>
        <v>8.9285574843238763E-2</v>
      </c>
      <c r="H12" s="317"/>
      <c r="I12" s="371">
        <f>D12/G12</f>
        <v>2.7338157286889309</v>
      </c>
      <c r="J12" s="372">
        <f>LN(I12)</f>
        <v>1.0056983361359635</v>
      </c>
      <c r="K12" s="372">
        <f>K8*J12</f>
        <v>1.0056983361359635</v>
      </c>
      <c r="L12" s="316"/>
      <c r="M12" s="297" t="str">
        <f>VLOOKUP(N12,Coeff_Descr!$A:$D,3,FALSE)</f>
        <v>ALL</v>
      </c>
      <c r="N12" s="297">
        <f>OtherTourDestination!B20</f>
        <v>10</v>
      </c>
      <c r="O12" s="297" t="str">
        <f>OtherTourDestination!C20</f>
        <v>Beta00010</v>
      </c>
      <c r="P12" s="299">
        <f>OtherTourDestination!E20</f>
        <v>0.517563261484</v>
      </c>
      <c r="Q12" s="337">
        <f si="0" t="shared"/>
        <v>0.517563261484</v>
      </c>
      <c r="T12" s="322">
        <v>3</v>
      </c>
      <c r="U12" s="322" t="s">
        <v>270</v>
      </c>
      <c r="V12" s="322"/>
      <c r="W12" s="322"/>
      <c r="X12" s="322"/>
      <c r="Y12" s="322"/>
    </row>
    <row r="13" spans="3:25" x14ac:dyDescent="0.25">
      <c r="C13" s="306" t="s">
        <v>50</v>
      </c>
      <c r="D13" s="318">
        <f ref="D13:D16" si="1" t="shared">D5/D$8</f>
        <v>0.42429969159281211</v>
      </c>
      <c r="F13" s="306" t="s">
        <v>50</v>
      </c>
      <c r="G13" s="318">
        <f ref="G13:G16" si="2" t="shared">G5/G$8</f>
        <v>0.22500214741412294</v>
      </c>
      <c r="H13" s="318"/>
      <c r="I13" s="371">
        <f ref="I13:I15" si="3" t="shared">D13/G13</f>
        <v>1.8857584092825403</v>
      </c>
      <c r="J13" s="372">
        <f ref="J13:J15" si="4" t="shared">LN(I13)</f>
        <v>0.634330079125216</v>
      </c>
      <c r="K13" s="372">
        <f>K8*(J13-J12)</f>
        <v>-0.37136825701074749</v>
      </c>
      <c r="L13" s="316"/>
      <c r="M13" s="297" t="str">
        <f>VLOOKUP(N13,Coeff_Descr!$A:$D,3,FALSE)</f>
        <v>ALL</v>
      </c>
      <c r="N13" s="297">
        <f>OtherTourDestination!B21</f>
        <v>11</v>
      </c>
      <c r="O13" s="297" t="str">
        <f>OtherTourDestination!C21</f>
        <v>Beta00011</v>
      </c>
      <c r="P13" s="299">
        <f>OtherTourDestination!E21</f>
        <v>-0.80352358260699996</v>
      </c>
      <c r="Q13" s="337">
        <f si="0" t="shared"/>
        <v>-0.80352358260699996</v>
      </c>
      <c r="T13" s="322">
        <v>4</v>
      </c>
      <c r="U13" s="322" t="s">
        <v>271</v>
      </c>
      <c r="V13" s="322"/>
      <c r="W13" s="322"/>
      <c r="X13" s="322"/>
      <c r="Y13" s="322"/>
    </row>
    <row r="14" spans="3:25" x14ac:dyDescent="0.25">
      <c r="C14" s="306" t="s">
        <v>53</v>
      </c>
      <c r="D14" s="318">
        <f si="1" t="shared"/>
        <v>0.21705631133929917</v>
      </c>
      <c r="F14" s="306" t="s">
        <v>53</v>
      </c>
      <c r="G14" s="318">
        <f si="2" t="shared"/>
        <v>0.4438041245968718</v>
      </c>
      <c r="H14" s="318"/>
      <c r="I14" s="371">
        <f si="3" t="shared"/>
        <v>0.48908132959886674</v>
      </c>
      <c r="J14" s="372">
        <f si="4" t="shared"/>
        <v>-0.71522648513851173</v>
      </c>
      <c r="K14" s="372">
        <f>K8*(J14-J13-J12)</f>
        <v>-2.3552549003996912</v>
      </c>
      <c r="L14" s="319"/>
      <c r="M14" s="297" t="str">
        <f>VLOOKUP(N14,Coeff_Descr!$A:$D,3,FALSE)</f>
        <v>ALL</v>
      </c>
      <c r="N14" s="297">
        <f>OtherTourDestination!B22</f>
        <v>12</v>
      </c>
      <c r="O14" s="297" t="str">
        <f>OtherTourDestination!C22</f>
        <v>Beta00012</v>
      </c>
      <c r="P14" s="299">
        <f>OtherTourDestination!E22</f>
        <v>-0.80534348065299999</v>
      </c>
      <c r="Q14" s="337">
        <f si="0" t="shared"/>
        <v>-0.80534348065299999</v>
      </c>
      <c r="T14" s="322">
        <v>5</v>
      </c>
      <c r="U14" s="294" t="s">
        <v>274</v>
      </c>
      <c r="V14" s="322"/>
      <c r="W14" s="322"/>
      <c r="X14" s="322"/>
      <c r="Y14" s="322"/>
    </row>
    <row ht="15.75" r="15" spans="3:25" thickBot="1" x14ac:dyDescent="0.3">
      <c r="C15" s="309" t="s">
        <v>56</v>
      </c>
      <c r="D15" s="318">
        <f si="1" t="shared"/>
        <v>0.11455368821640984</v>
      </c>
      <c r="F15" s="309" t="s">
        <v>56</v>
      </c>
      <c r="G15" s="318">
        <f si="2" t="shared"/>
        <v>0.24190815314576647</v>
      </c>
      <c r="H15" s="318"/>
      <c r="I15" s="373">
        <f si="3" t="shared"/>
        <v>0.47354207258729009</v>
      </c>
      <c r="J15" s="374">
        <f si="4" t="shared"/>
        <v>-0.74751451584231399</v>
      </c>
      <c r="K15" s="374">
        <f>K8*(J15-J14-J13-J12)</f>
        <v>-1.6723164459649817</v>
      </c>
      <c r="M15" s="297" t="str">
        <f>VLOOKUP(N15,Coeff_Descr!$A:$D,3,FALSE)</f>
        <v>ALL</v>
      </c>
      <c r="N15" s="297">
        <f>OtherTourDestination!B23</f>
        <v>13</v>
      </c>
      <c r="O15" s="297" t="str">
        <f>OtherTourDestination!C23</f>
        <v>Beta00013</v>
      </c>
      <c r="P15" s="299">
        <f>OtherTourDestination!E23</f>
        <v>-0.51977799879300002</v>
      </c>
      <c r="Q15" s="337">
        <f si="0" t="shared"/>
        <v>-0.51977799879300002</v>
      </c>
      <c r="T15" s="322">
        <v>6</v>
      </c>
      <c r="U15" s="322" t="s">
        <v>276</v>
      </c>
      <c r="V15" s="322"/>
      <c r="W15" s="322"/>
      <c r="X15" s="322"/>
      <c r="Y15" s="322"/>
    </row>
    <row ht="15.75" r="16" spans="3:25" thickBot="1" x14ac:dyDescent="0.3">
      <c r="C16" s="312" t="s">
        <v>4</v>
      </c>
      <c r="D16" s="320">
        <f si="1" t="shared"/>
        <v>1</v>
      </c>
      <c r="E16" s="314"/>
      <c r="F16" s="312" t="s">
        <v>4</v>
      </c>
      <c r="G16" s="320">
        <f si="2" t="shared"/>
        <v>1</v>
      </c>
      <c r="H16" s="369"/>
      <c r="I16" s="371"/>
      <c r="J16" s="371"/>
      <c r="K16" s="371"/>
      <c r="M16" s="297" t="str">
        <f>VLOOKUP(N16,Coeff_Descr!$A:$D,3,FALSE)</f>
        <v>ALL</v>
      </c>
      <c r="N16" s="297">
        <f>OtherTourDestination!B24</f>
        <v>14</v>
      </c>
      <c r="O16" s="297" t="str">
        <f>OtherTourDestination!C24</f>
        <v>Beta00014</v>
      </c>
      <c r="P16" s="299">
        <f>OtherTourDestination!E24</f>
        <v>-0.27562686954600002</v>
      </c>
      <c r="Q16" s="337">
        <f si="0" t="shared"/>
        <v>-0.27562686954600002</v>
      </c>
      <c r="T16" s="322">
        <v>7</v>
      </c>
      <c r="U16" s="322" t="s">
        <v>266</v>
      </c>
      <c r="V16" s="322"/>
      <c r="W16" s="322"/>
      <c r="X16" s="322"/>
      <c r="Y16" s="322"/>
    </row>
    <row r="17" spans="2:25" x14ac:dyDescent="0.25">
      <c r="M17" s="297" t="str">
        <f>VLOOKUP(N17,Coeff_Descr!$A:$D,3,FALSE)</f>
        <v>ALL</v>
      </c>
      <c r="N17" s="297">
        <f>OtherTourDestination!B25</f>
        <v>15</v>
      </c>
      <c r="O17" s="297" t="str">
        <f>OtherTourDestination!C25</f>
        <v>Beta00015</v>
      </c>
      <c r="P17" s="299">
        <f>OtherTourDestination!E25</f>
        <v>-0.55245424085299999</v>
      </c>
      <c r="Q17" s="337">
        <f si="0" t="shared"/>
        <v>-0.55245424085299999</v>
      </c>
      <c r="T17" s="322">
        <v>8</v>
      </c>
      <c r="U17" s="322" t="s">
        <v>272</v>
      </c>
      <c r="V17" s="322"/>
      <c r="W17" s="322"/>
      <c r="X17" s="322"/>
      <c r="Y17" s="322"/>
    </row>
    <row r="18" spans="2:25" x14ac:dyDescent="0.25">
      <c r="I18" s="375"/>
      <c r="J18" s="375"/>
      <c r="K18" s="372"/>
      <c r="M18" s="297" t="str">
        <f>VLOOKUP(N18,Coeff_Descr!$A:$D,3,FALSE)</f>
        <v>ALL</v>
      </c>
      <c r="N18" s="297">
        <f>OtherTourDestination!B26</f>
        <v>16</v>
      </c>
      <c r="O18" s="297" t="str">
        <f>OtherTourDestination!C26</f>
        <v>Beta00016</v>
      </c>
      <c r="P18" s="299">
        <f>OtherTourDestination!E26</f>
        <v>-0.493022087256</v>
      </c>
      <c r="Q18" s="337">
        <f si="0" t="shared"/>
        <v>-0.493022087256</v>
      </c>
    </row>
    <row r="19" spans="2:25" x14ac:dyDescent="0.25">
      <c r="C19" s="321" t="s">
        <v>82</v>
      </c>
      <c r="I19" s="375"/>
      <c r="J19" s="375"/>
      <c r="K19" s="372"/>
      <c r="M19" s="297" t="str">
        <f>VLOOKUP(N19,Coeff_Descr!$A:$D,3,FALSE)</f>
        <v>ALL</v>
      </c>
      <c r="N19" s="297">
        <f>OtherTourDestination!B27</f>
        <v>17</v>
      </c>
      <c r="O19" s="297" t="str">
        <f>OtherTourDestination!C27</f>
        <v>Beta00017</v>
      </c>
      <c r="P19" s="299">
        <f>OtherTourDestination!E27</f>
        <v>0</v>
      </c>
      <c r="Q19" s="337">
        <f si="0" t="shared"/>
        <v>0</v>
      </c>
    </row>
    <row r="20" spans="2:25" x14ac:dyDescent="0.25">
      <c r="C20" s="321" t="s">
        <v>85</v>
      </c>
      <c r="I20" s="375"/>
      <c r="J20" s="375"/>
      <c r="K20" s="372"/>
      <c r="M20" s="297" t="str">
        <f>VLOOKUP(N20,Coeff_Descr!$A:$D,3,FALSE)</f>
        <v>ALL</v>
      </c>
      <c r="N20" s="297">
        <f>OtherTourDestination!B28</f>
        <v>18</v>
      </c>
      <c r="O20" s="297" t="str">
        <f>OtherTourDestination!C28</f>
        <v>Beta00018</v>
      </c>
      <c r="P20" s="299">
        <f>OtherTourDestination!E28</f>
        <v>0</v>
      </c>
      <c r="Q20" s="337">
        <f si="0" t="shared"/>
        <v>0</v>
      </c>
    </row>
    <row ht="15.75" r="21" spans="2:25" thickBot="1" x14ac:dyDescent="0.3">
      <c r="C21" s="322"/>
      <c r="I21" s="375"/>
      <c r="J21" s="375"/>
      <c r="K21" s="372"/>
      <c r="M21" s="297" t="str">
        <f>VLOOKUP(N21,Coeff_Descr!$A:$D,3,FALSE)</f>
        <v>ALL</v>
      </c>
      <c r="N21" s="297">
        <f>OtherTourDestination!B29</f>
        <v>19</v>
      </c>
      <c r="O21" s="297" t="str">
        <f>OtherTourDestination!C29</f>
        <v>Beta00019</v>
      </c>
      <c r="P21" s="299">
        <f>OtherTourDestination!E29</f>
        <v>0</v>
      </c>
      <c r="Q21" s="337">
        <f si="0" t="shared"/>
        <v>0</v>
      </c>
    </row>
    <row r="22" spans="2:25" x14ac:dyDescent="0.25">
      <c r="B22" s="348" t="s">
        <v>258</v>
      </c>
      <c r="C22" s="323" t="s">
        <v>91</v>
      </c>
      <c r="D22" s="324"/>
      <c r="M22" s="297" t="str">
        <f>VLOOKUP(N22,Coeff_Descr!$A:$D,3,FALSE)</f>
        <v>ESCORT</v>
      </c>
      <c r="N22" s="297">
        <f>OtherTourDestination!B30</f>
        <v>20</v>
      </c>
      <c r="O22" s="297" t="str">
        <f>OtherTourDestination!C30</f>
        <v>Beta00020</v>
      </c>
      <c r="P22" s="299">
        <f>OtherTourDestination!E30</f>
        <v>0.63771148688699997</v>
      </c>
      <c r="Q22" s="337">
        <f si="0" t="shared"/>
        <v>0.63771148688699997</v>
      </c>
    </row>
    <row r="23" spans="2:25" x14ac:dyDescent="0.25">
      <c r="B23" s="345">
        <v>50</v>
      </c>
      <c r="C23" s="303" t="s">
        <v>47</v>
      </c>
      <c r="D23" s="361">
        <f>VLOOKUP($B23,$N:$P,3,FALSE)</f>
        <v>-28.552058518999999</v>
      </c>
      <c r="I23" s="376"/>
      <c r="J23" s="376"/>
      <c r="K23" s="376"/>
      <c r="M23" s="297" t="str">
        <f>VLOOKUP(N23,Coeff_Descr!$A:$D,3,FALSE)</f>
        <v>ESCORT</v>
      </c>
      <c r="N23" s="297">
        <f>OtherTourDestination!B31</f>
        <v>21</v>
      </c>
      <c r="O23" s="297" t="str">
        <f>OtherTourDestination!C31</f>
        <v>Beta00021</v>
      </c>
      <c r="P23" s="299">
        <f>OtherTourDestination!E31</f>
        <v>-12.0946718381</v>
      </c>
      <c r="Q23" s="337">
        <f si="0" t="shared"/>
        <v>-12.0946718381</v>
      </c>
    </row>
    <row r="24" spans="2:25" x14ac:dyDescent="0.25">
      <c r="B24" s="345">
        <v>51</v>
      </c>
      <c r="C24" s="306" t="s">
        <v>50</v>
      </c>
      <c r="D24" s="361">
        <f ref="D24:D26" si="5" t="shared">VLOOKUP($B24,$N:$P,3,FALSE)</f>
        <v>-7.25833529236</v>
      </c>
      <c r="M24" s="297" t="str">
        <f>VLOOKUP(N24,Coeff_Descr!$A:$D,3,FALSE)</f>
        <v>ESCORT</v>
      </c>
      <c r="N24" s="297">
        <f>OtherTourDestination!B32</f>
        <v>22</v>
      </c>
      <c r="O24" s="297" t="str">
        <f>OtherTourDestination!C32</f>
        <v>Beta00022</v>
      </c>
      <c r="P24" s="299">
        <f>OtherTourDestination!E32</f>
        <v>-4.03623745316</v>
      </c>
      <c r="Q24" s="337">
        <f si="0" t="shared"/>
        <v>-4.03623745316</v>
      </c>
    </row>
    <row r="25" spans="2:25" x14ac:dyDescent="0.25">
      <c r="B25" s="345">
        <v>52</v>
      </c>
      <c r="C25" s="306" t="s">
        <v>53</v>
      </c>
      <c r="D25" s="361">
        <f si="5" t="shared"/>
        <v>-2.64524710889</v>
      </c>
      <c r="M25" s="297" t="str">
        <f>VLOOKUP(N25,Coeff_Descr!$A:$D,3,FALSE)</f>
        <v>ESCORT</v>
      </c>
      <c r="N25" s="297">
        <f>OtherTourDestination!B33</f>
        <v>23</v>
      </c>
      <c r="O25" s="297" t="str">
        <f>OtherTourDestination!C33</f>
        <v>Beta00023</v>
      </c>
      <c r="P25" s="299">
        <f>OtherTourDestination!E33</f>
        <v>-2.16371815818</v>
      </c>
      <c r="Q25" s="337">
        <f si="0" t="shared"/>
        <v>-2.16371815818</v>
      </c>
    </row>
    <row ht="15.75" r="26" spans="2:25" thickBot="1" x14ac:dyDescent="0.3">
      <c r="B26" s="347">
        <v>53</v>
      </c>
      <c r="C26" s="326" t="s">
        <v>56</v>
      </c>
      <c r="D26" s="362">
        <f si="5" t="shared"/>
        <v>-0.76461618005800003</v>
      </c>
      <c r="M26" s="297" t="str">
        <f>VLOOKUP(N26,Coeff_Descr!$A:$D,3,FALSE)</f>
        <v>ESCORT</v>
      </c>
      <c r="N26" s="297">
        <f>OtherTourDestination!B34</f>
        <v>24</v>
      </c>
      <c r="O26" s="297" t="str">
        <f>OtherTourDestination!C34</f>
        <v>Beta00024</v>
      </c>
      <c r="P26" s="299">
        <f>OtherTourDestination!E34</f>
        <v>0.10429329553199999</v>
      </c>
      <c r="Q26" s="337">
        <f si="0" t="shared"/>
        <v>0.10429329553199999</v>
      </c>
    </row>
    <row r="27" spans="2:25" x14ac:dyDescent="0.25">
      <c r="C27" s="322"/>
      <c r="D27" s="328"/>
      <c r="M27" s="297" t="str">
        <f>VLOOKUP(N27,Coeff_Descr!$A:$D,3,FALSE)</f>
        <v>ESCORT</v>
      </c>
      <c r="N27" s="297">
        <f>OtherTourDestination!B35</f>
        <v>25</v>
      </c>
      <c r="O27" s="297" t="str">
        <f>OtherTourDestination!C35</f>
        <v>Beta00025</v>
      </c>
      <c r="P27" s="299">
        <f>OtherTourDestination!E35</f>
        <v>0</v>
      </c>
      <c r="Q27" s="337">
        <f si="0" t="shared"/>
        <v>0</v>
      </c>
    </row>
    <row r="28" spans="2:25" x14ac:dyDescent="0.25">
      <c r="C28" s="322"/>
      <c r="D28" s="328"/>
      <c r="M28" s="297" t="str">
        <f>VLOOKUP(N28,Coeff_Descr!$A:$D,3,FALSE)</f>
        <v>PERSBUS/MED</v>
      </c>
      <c r="N28" s="297">
        <f>OtherTourDestination!B36</f>
        <v>26</v>
      </c>
      <c r="O28" s="297" t="str">
        <f>OtherTourDestination!C36</f>
        <v>Beta00026</v>
      </c>
      <c r="P28" s="299">
        <f>OtherTourDestination!E36</f>
        <v>0.417326479157</v>
      </c>
      <c r="Q28" s="337">
        <f si="0" t="shared"/>
        <v>0.417326479157</v>
      </c>
    </row>
    <row r="29" spans="2:25" x14ac:dyDescent="0.25">
      <c r="C29" s="321" t="s">
        <v>82</v>
      </c>
      <c r="D29" s="329"/>
      <c r="M29" s="297" t="str">
        <f>VLOOKUP(N29,Coeff_Descr!$A:$D,3,FALSE)</f>
        <v>PERSBUS/MED</v>
      </c>
      <c r="N29" s="297">
        <f>OtherTourDestination!B37</f>
        <v>27</v>
      </c>
      <c r="O29" s="297" t="str">
        <f>OtherTourDestination!C37</f>
        <v>Beta00027</v>
      </c>
      <c r="P29" s="299">
        <f>OtherTourDestination!E37</f>
        <v>-14.8384910501</v>
      </c>
      <c r="Q29" s="337">
        <f si="0" t="shared"/>
        <v>-14.8384910501</v>
      </c>
    </row>
    <row r="30" spans="2:25" x14ac:dyDescent="0.25">
      <c r="C30" s="321" t="s">
        <v>107</v>
      </c>
      <c r="D30" s="329"/>
      <c r="M30" s="297" t="str">
        <f>VLOOKUP(N30,Coeff_Descr!$A:$D,3,FALSE)</f>
        <v>PERSBUS/MED</v>
      </c>
      <c r="N30" s="297">
        <f>OtherTourDestination!B38</f>
        <v>28</v>
      </c>
      <c r="O30" s="297" t="str">
        <f>OtherTourDestination!C38</f>
        <v>Beta00028</v>
      </c>
      <c r="P30" s="299">
        <f>OtherTourDestination!E38</f>
        <v>-5.1880432348000003</v>
      </c>
      <c r="Q30" s="337">
        <f si="0" t="shared"/>
        <v>-5.1880432348000003</v>
      </c>
    </row>
    <row ht="15.75" r="31" spans="2:25" thickBot="1" x14ac:dyDescent="0.3">
      <c r="C31" s="322"/>
      <c r="D31" s="328"/>
      <c r="M31" s="297" t="str">
        <f>VLOOKUP(N31,Coeff_Descr!$A:$D,3,FALSE)</f>
        <v>PERSBUS/MED</v>
      </c>
      <c r="N31" s="297">
        <f>OtherTourDestination!B39</f>
        <v>29</v>
      </c>
      <c r="O31" s="297" t="str">
        <f>OtherTourDestination!C39</f>
        <v>Beta00029</v>
      </c>
      <c r="P31" s="299">
        <f>OtherTourDestination!E39</f>
        <v>-2.6156308707</v>
      </c>
      <c r="Q31" s="337">
        <f si="0" t="shared"/>
        <v>-2.6156308707</v>
      </c>
    </row>
    <row r="32" spans="2:25" x14ac:dyDescent="0.25">
      <c r="B32" s="348" t="s">
        <v>258</v>
      </c>
      <c r="C32" s="323" t="s">
        <v>91</v>
      </c>
      <c r="D32" s="324"/>
      <c r="M32" s="297" t="str">
        <f>VLOOKUP(N32,Coeff_Descr!$A:$D,3,FALSE)</f>
        <v>PERSBUS/MED</v>
      </c>
      <c r="N32" s="297">
        <f>OtherTourDestination!B40</f>
        <v>30</v>
      </c>
      <c r="O32" s="297" t="str">
        <f>OtherTourDestination!C40</f>
        <v>Beta00030</v>
      </c>
      <c r="P32" s="299">
        <f>OtherTourDestination!E40</f>
        <v>-0.91046169190000004</v>
      </c>
      <c r="Q32" s="337">
        <f si="0" t="shared"/>
        <v>-0.91046169190000004</v>
      </c>
    </row>
    <row r="33" spans="2:17" x14ac:dyDescent="0.25">
      <c r="B33" s="345">
        <f>B23</f>
        <v>50</v>
      </c>
      <c r="C33" s="303" t="s">
        <v>47</v>
      </c>
      <c r="D33" s="377">
        <f>K12</f>
        <v>1.0056983361359635</v>
      </c>
      <c r="M33" s="297" t="str">
        <f>VLOOKUP(N33,Coeff_Descr!$A:$D,3,FALSE)</f>
        <v>PERSBUS/MED</v>
      </c>
      <c r="N33" s="297">
        <f>OtherTourDestination!B41</f>
        <v>31</v>
      </c>
      <c r="O33" s="297" t="str">
        <f>OtherTourDestination!C41</f>
        <v>Beta00031</v>
      </c>
      <c r="P33" s="299">
        <f>OtherTourDestination!E41</f>
        <v>5.7553461640599997E-2</v>
      </c>
      <c r="Q33" s="337">
        <f si="0" t="shared"/>
        <v>5.7553461640599997E-2</v>
      </c>
    </row>
    <row r="34" spans="2:17" x14ac:dyDescent="0.25">
      <c r="B34" s="345">
        <f ref="B34:B36" si="6" t="shared">B24</f>
        <v>51</v>
      </c>
      <c r="C34" s="306" t="s">
        <v>50</v>
      </c>
      <c r="D34" s="378">
        <f ref="D34:D36" si="7" t="shared">K13</f>
        <v>-0.37136825701074749</v>
      </c>
      <c r="M34" s="297" t="str">
        <f>VLOOKUP(N34,Coeff_Descr!$A:$D,3,FALSE)</f>
        <v>PERSBUS/MED</v>
      </c>
      <c r="N34" s="297">
        <f>OtherTourDestination!B42</f>
        <v>32</v>
      </c>
      <c r="O34" s="297" t="str">
        <f>OtherTourDestination!C42</f>
        <v>Beta00032</v>
      </c>
      <c r="P34" s="299">
        <f>OtherTourDestination!E42</f>
        <v>0.237798002151</v>
      </c>
      <c r="Q34" s="337">
        <f si="0" t="shared"/>
        <v>0.237798002151</v>
      </c>
    </row>
    <row r="35" spans="2:17" x14ac:dyDescent="0.25">
      <c r="B35" s="345">
        <f si="6" t="shared"/>
        <v>52</v>
      </c>
      <c r="C35" s="306" t="s">
        <v>53</v>
      </c>
      <c r="D35" s="378">
        <f si="7" t="shared"/>
        <v>-2.3552549003996912</v>
      </c>
      <c r="G35" s="330"/>
      <c r="H35" s="330"/>
      <c r="I35" s="330"/>
      <c r="J35" s="330"/>
      <c r="K35" s="330"/>
      <c r="M35" s="297" t="str">
        <f>VLOOKUP(N35,Coeff_Descr!$A:$D,3,FALSE)</f>
        <v>PERSBUS/MED</v>
      </c>
      <c r="N35" s="297">
        <f>OtherTourDestination!B43</f>
        <v>33</v>
      </c>
      <c r="O35" s="297" t="str">
        <f>OtherTourDestination!C43</f>
        <v>Beta00033</v>
      </c>
      <c r="P35" s="299">
        <f>OtherTourDestination!E43</f>
        <v>0</v>
      </c>
      <c r="Q35" s="337">
        <f si="0" t="shared"/>
        <v>0</v>
      </c>
    </row>
    <row ht="15.75" r="36" spans="2:17" thickBot="1" x14ac:dyDescent="0.3">
      <c r="B36" s="365">
        <f si="6" t="shared"/>
        <v>53</v>
      </c>
      <c r="C36" s="326" t="s">
        <v>56</v>
      </c>
      <c r="D36" s="327">
        <f si="7" t="shared"/>
        <v>-1.6723164459649817</v>
      </c>
      <c r="G36" s="331"/>
      <c r="H36" s="331"/>
      <c r="I36" s="331"/>
      <c r="J36" s="331"/>
      <c r="K36" s="331"/>
      <c r="M36" s="297" t="str">
        <f>VLOOKUP(N36,Coeff_Descr!$A:$D,3,FALSE)</f>
        <v>PERSBUS/MED</v>
      </c>
      <c r="N36" s="297">
        <f>OtherTourDestination!B44</f>
        <v>34</v>
      </c>
      <c r="O36" s="297" t="str">
        <f>OtherTourDestination!C44</f>
        <v>Beta00034</v>
      </c>
      <c r="P36" s="299">
        <f>OtherTourDestination!E44</f>
        <v>0</v>
      </c>
      <c r="Q36" s="337">
        <f si="0" t="shared"/>
        <v>0</v>
      </c>
    </row>
    <row ht="15.75" r="37" spans="2:17" thickTop="1" x14ac:dyDescent="0.25">
      <c r="C37" s="322"/>
      <c r="D37" s="325"/>
      <c r="M37" s="297" t="str">
        <f>VLOOKUP(N37,Coeff_Descr!$A:$D,3,FALSE)</f>
        <v>PERSBUS/MED</v>
      </c>
      <c r="N37" s="297">
        <f>OtherTourDestination!B45</f>
        <v>35</v>
      </c>
      <c r="O37" s="297" t="str">
        <f>OtherTourDestination!C45</f>
        <v>Beta00035</v>
      </c>
      <c r="P37" s="299">
        <f>OtherTourDestination!E45</f>
        <v>0</v>
      </c>
      <c r="Q37" s="337">
        <f si="0" t="shared"/>
        <v>0</v>
      </c>
    </row>
    <row r="38" spans="2:17" x14ac:dyDescent="0.25">
      <c r="C38" s="322"/>
      <c r="D38" s="325"/>
      <c r="M38" s="297" t="str">
        <f>VLOOKUP(N38,Coeff_Descr!$A:$D,3,FALSE)</f>
        <v>SHOP</v>
      </c>
      <c r="N38" s="297">
        <f>OtherTourDestination!B46</f>
        <v>36</v>
      </c>
      <c r="O38" s="297" t="str">
        <f>OtherTourDestination!C46</f>
        <v>Beta00036</v>
      </c>
      <c r="P38" s="299">
        <f>OtherTourDestination!E46</f>
        <v>0.61259135262599995</v>
      </c>
      <c r="Q38" s="337">
        <f si="0" t="shared"/>
        <v>0.61259135262599995</v>
      </c>
    </row>
    <row r="39" spans="2:17" x14ac:dyDescent="0.25">
      <c r="C39" s="321" t="s">
        <v>82</v>
      </c>
      <c r="D39" s="332"/>
      <c r="M39" s="297" t="str">
        <f>VLOOKUP(N39,Coeff_Descr!$A:$D,3,FALSE)</f>
        <v>SHOP</v>
      </c>
      <c r="N39" s="297">
        <f>OtherTourDestination!B47</f>
        <v>37</v>
      </c>
      <c r="O39" s="297" t="str">
        <f>OtherTourDestination!C47</f>
        <v>Beta00037</v>
      </c>
      <c r="P39" s="299">
        <f>OtherTourDestination!E47</f>
        <v>-20.810228388700001</v>
      </c>
      <c r="Q39" s="337">
        <f si="0" t="shared"/>
        <v>-20.810228388700001</v>
      </c>
    </row>
    <row r="40" spans="2:17" x14ac:dyDescent="0.25">
      <c r="C40" s="321" t="s">
        <v>125</v>
      </c>
      <c r="D40" s="332"/>
      <c r="M40" s="297" t="str">
        <f>VLOOKUP(N40,Coeff_Descr!$A:$D,3,FALSE)</f>
        <v>SHOP</v>
      </c>
      <c r="N40" s="297">
        <f>OtherTourDestination!B48</f>
        <v>38</v>
      </c>
      <c r="O40" s="297" t="str">
        <f>OtherTourDestination!C48</f>
        <v>Beta00038</v>
      </c>
      <c r="P40" s="299">
        <f>OtherTourDestination!E48</f>
        <v>-7.1836373472300004</v>
      </c>
      <c r="Q40" s="337">
        <f si="0" t="shared"/>
        <v>-7.1836373472300004</v>
      </c>
    </row>
    <row ht="15.75" r="41" spans="2:17" thickBot="1" x14ac:dyDescent="0.3">
      <c r="B41" s="346"/>
      <c r="C41" s="322"/>
      <c r="D41" s="325"/>
      <c r="M41" s="297" t="str">
        <f>VLOOKUP(N41,Coeff_Descr!$A:$D,3,FALSE)</f>
        <v>SHOP</v>
      </c>
      <c r="N41" s="297">
        <f>OtherTourDestination!B49</f>
        <v>39</v>
      </c>
      <c r="O41" s="297" t="str">
        <f>OtherTourDestination!C49</f>
        <v>Beta00039</v>
      </c>
      <c r="P41" s="299">
        <f>OtherTourDestination!E49</f>
        <v>-3.6600975390500001</v>
      </c>
      <c r="Q41" s="337">
        <f si="0" t="shared"/>
        <v>-3.6600975390500001</v>
      </c>
    </row>
    <row r="42" spans="2:17" x14ac:dyDescent="0.25">
      <c r="B42" s="348" t="s">
        <v>258</v>
      </c>
      <c r="C42" s="323" t="s">
        <v>91</v>
      </c>
      <c r="D42" s="333"/>
      <c r="M42" s="297" t="str">
        <f>VLOOKUP(N42,Coeff_Descr!$A:$D,3,FALSE)</f>
        <v>SHOP</v>
      </c>
      <c r="N42" s="297">
        <f>OtherTourDestination!B50</f>
        <v>40</v>
      </c>
      <c r="O42" s="297" t="str">
        <f>OtherTourDestination!C50</f>
        <v>Beta00040</v>
      </c>
      <c r="P42" s="299">
        <f>OtherTourDestination!E50</f>
        <v>-1.3605457273599999</v>
      </c>
      <c r="Q42" s="337">
        <f si="0" t="shared"/>
        <v>-1.3605457273599999</v>
      </c>
    </row>
    <row r="43" spans="2:17" x14ac:dyDescent="0.25">
      <c r="B43" s="345">
        <f>B33</f>
        <v>50</v>
      </c>
      <c r="C43" s="303" t="s">
        <v>47</v>
      </c>
      <c r="D43" s="363">
        <f>D23+D33</f>
        <v>-27.546360182864035</v>
      </c>
      <c r="M43" s="297" t="str">
        <f>VLOOKUP(N43,Coeff_Descr!$A:$D,3,FALSE)</f>
        <v>SHOP</v>
      </c>
      <c r="N43" s="297">
        <f>OtherTourDestination!B51</f>
        <v>41</v>
      </c>
      <c r="O43" s="297" t="str">
        <f>OtherTourDestination!C51</f>
        <v>Beta00041</v>
      </c>
      <c r="P43" s="299">
        <f>OtherTourDestination!E51</f>
        <v>-0.22141031751900001</v>
      </c>
      <c r="Q43" s="337">
        <f si="0" t="shared"/>
        <v>-0.22141031751900001</v>
      </c>
    </row>
    <row r="44" spans="2:17" x14ac:dyDescent="0.25">
      <c r="B44" s="345">
        <f ref="B44:B46" si="8" t="shared">B34</f>
        <v>51</v>
      </c>
      <c r="C44" s="306" t="s">
        <v>50</v>
      </c>
      <c r="D44" s="363">
        <f ref="D44:D46" si="9" t="shared">D24+D34</f>
        <v>-7.6297035493707472</v>
      </c>
      <c r="M44" s="297" t="str">
        <f>VLOOKUP(N44,Coeff_Descr!$A:$D,3,FALSE)</f>
        <v>SHOP</v>
      </c>
      <c r="N44" s="297">
        <f>OtherTourDestination!B52</f>
        <v>42</v>
      </c>
      <c r="O44" s="297" t="str">
        <f>OtherTourDestination!C52</f>
        <v>Beta00042</v>
      </c>
      <c r="P44" s="299">
        <f>OtherTourDestination!E52</f>
        <v>0.64228876129599999</v>
      </c>
      <c r="Q44" s="337">
        <f si="0" t="shared"/>
        <v>0.64228876129599999</v>
      </c>
    </row>
    <row r="45" spans="2:17" x14ac:dyDescent="0.25">
      <c r="B45" s="345">
        <f si="8" t="shared"/>
        <v>52</v>
      </c>
      <c r="C45" s="306" t="s">
        <v>53</v>
      </c>
      <c r="D45" s="363">
        <f si="9" t="shared"/>
        <v>-5.0005020092896917</v>
      </c>
      <c r="M45" s="297" t="str">
        <f>VLOOKUP(N45,Coeff_Descr!$A:$D,3,FALSE)</f>
        <v>MEAL</v>
      </c>
      <c r="N45" s="297">
        <f>OtherTourDestination!B53</f>
        <v>43</v>
      </c>
      <c r="O45" s="297" t="str">
        <f>OtherTourDestination!C53</f>
        <v>Beta00043</v>
      </c>
      <c r="P45" s="299">
        <f>OtherTourDestination!E53</f>
        <v>0.74588429254199995</v>
      </c>
      <c r="Q45" s="337">
        <f si="0" t="shared"/>
        <v>0.74588429254199995</v>
      </c>
    </row>
    <row ht="15.75" r="46" spans="2:17" thickBot="1" x14ac:dyDescent="0.3">
      <c r="B46" s="365">
        <f si="8" t="shared"/>
        <v>53</v>
      </c>
      <c r="C46" s="326" t="s">
        <v>56</v>
      </c>
      <c r="D46" s="364">
        <f si="9" t="shared"/>
        <v>-2.4369326260229816</v>
      </c>
      <c r="M46" s="297" t="str">
        <f>VLOOKUP(N46,Coeff_Descr!$A:$D,3,FALSE)</f>
        <v>MEAL</v>
      </c>
      <c r="N46" s="297">
        <f>OtherTourDestination!B54</f>
        <v>44</v>
      </c>
      <c r="O46" s="297" t="str">
        <f>OtherTourDestination!C54</f>
        <v>Beta00044</v>
      </c>
      <c r="P46" s="299">
        <f>OtherTourDestination!E54</f>
        <v>-32.156094092099998</v>
      </c>
      <c r="Q46" s="337">
        <f si="0" t="shared"/>
        <v>-32.156094092099998</v>
      </c>
    </row>
    <row ht="15.75" r="47" spans="2:17" thickTop="1" x14ac:dyDescent="0.25">
      <c r="M47" s="297" t="str">
        <f>VLOOKUP(N47,Coeff_Descr!$A:$D,3,FALSE)</f>
        <v>MEAL</v>
      </c>
      <c r="N47" s="297">
        <f>OtherTourDestination!B55</f>
        <v>45</v>
      </c>
      <c r="O47" s="297" t="str">
        <f>OtherTourDestination!C55</f>
        <v>Beta00045</v>
      </c>
      <c r="P47" s="299">
        <f>OtherTourDestination!E55</f>
        <v>-7.5551873767200002</v>
      </c>
      <c r="Q47" s="337">
        <f si="0" t="shared"/>
        <v>-7.5551873767200002</v>
      </c>
    </row>
    <row r="48" spans="2:17" x14ac:dyDescent="0.25">
      <c r="M48" s="297" t="str">
        <f>VLOOKUP(N48,Coeff_Descr!$A:$D,3,FALSE)</f>
        <v>MEAL</v>
      </c>
      <c r="N48" s="297">
        <f>OtherTourDestination!B56</f>
        <v>46</v>
      </c>
      <c r="O48" s="297" t="str">
        <f>OtherTourDestination!C56</f>
        <v>Beta00046</v>
      </c>
      <c r="P48" s="299">
        <f>OtherTourDestination!E56</f>
        <v>-3.4784098231399998</v>
      </c>
      <c r="Q48" s="337">
        <f si="0" t="shared"/>
        <v>-3.4784098231399998</v>
      </c>
    </row>
    <row r="49" spans="13:18" x14ac:dyDescent="0.25">
      <c r="M49" s="297" t="str">
        <f>VLOOKUP(N49,Coeff_Descr!$A:$D,3,FALSE)</f>
        <v>MEAL</v>
      </c>
      <c r="N49" s="297">
        <f>OtherTourDestination!B57</f>
        <v>47</v>
      </c>
      <c r="O49" s="297" t="str">
        <f>OtherTourDestination!C57</f>
        <v>Beta00047</v>
      </c>
      <c r="P49" s="299">
        <f>OtherTourDestination!E57</f>
        <v>-0.79171784712299997</v>
      </c>
      <c r="Q49" s="337">
        <f si="0" t="shared"/>
        <v>-0.79171784712299997</v>
      </c>
    </row>
    <row r="50" spans="13:18" x14ac:dyDescent="0.25">
      <c r="M50" s="297" t="str">
        <f>VLOOKUP(N50,Coeff_Descr!$A:$D,3,FALSE)</f>
        <v>MEAL</v>
      </c>
      <c r="N50" s="297">
        <f>OtherTourDestination!B58</f>
        <v>48</v>
      </c>
      <c r="O50" s="297" t="str">
        <f>OtherTourDestination!C58</f>
        <v>Beta00048</v>
      </c>
      <c r="P50" s="299">
        <f>OtherTourDestination!E58</f>
        <v>0.65760260093900003</v>
      </c>
      <c r="Q50" s="337">
        <f si="0" t="shared"/>
        <v>0.65760260093900003</v>
      </c>
    </row>
    <row r="51" spans="13:18" x14ac:dyDescent="0.25">
      <c r="M51" s="297" t="str">
        <f>VLOOKUP(N51,Coeff_Descr!$A:$D,3,FALSE)</f>
        <v>SOCREC</v>
      </c>
      <c r="N51" s="297">
        <f>OtherTourDestination!B59</f>
        <v>49</v>
      </c>
      <c r="O51" s="297" t="str">
        <f>OtherTourDestination!C59</f>
        <v>Beta00049</v>
      </c>
      <c r="P51" s="299">
        <f>OtherTourDestination!E59</f>
        <v>0.201576719663</v>
      </c>
      <c r="Q51" s="337">
        <f si="0" t="shared"/>
        <v>0.201576719663</v>
      </c>
    </row>
    <row r="52" spans="13:18" x14ac:dyDescent="0.25">
      <c r="M52" s="297" t="str">
        <f>VLOOKUP(N52,Coeff_Descr!$A:$D,3,FALSE)</f>
        <v>SOCREC</v>
      </c>
      <c r="N52" s="338">
        <f>OtherTourDestination!B60</f>
        <v>50</v>
      </c>
      <c r="O52" s="338" t="str">
        <f>OtherTourDestination!C60</f>
        <v>Beta00050</v>
      </c>
      <c r="P52" s="339">
        <f>OtherTourDestination!E60</f>
        <v>-28.552058518999999</v>
      </c>
      <c r="Q52" s="340">
        <f si="0" t="shared"/>
        <v>-27.546360182864035</v>
      </c>
      <c r="R52" s="297" t="str">
        <f>VLOOKUP(N52,Coeff_Descr!$A$2:$E$104,4,FALSE)</f>
        <v>distanceFromOrigin4</v>
      </c>
    </row>
    <row r="53" spans="13:18" x14ac:dyDescent="0.25">
      <c r="M53" s="297" t="str">
        <f>VLOOKUP(N53,Coeff_Descr!$A:$D,3,FALSE)</f>
        <v>SOCREC</v>
      </c>
      <c r="N53" s="338">
        <f>OtherTourDestination!B61</f>
        <v>51</v>
      </c>
      <c r="O53" s="338" t="str">
        <f>OtherTourDestination!C61</f>
        <v>Beta00051</v>
      </c>
      <c r="P53" s="339">
        <f>OtherTourDestination!E61</f>
        <v>-7.25833529236</v>
      </c>
      <c r="Q53" s="340">
        <f si="0" t="shared"/>
        <v>-7.6297035493707472</v>
      </c>
      <c r="R53" s="297" t="str">
        <f>VLOOKUP(N53,Coeff_Descr!$A$2:$E$104,4,FALSE)</f>
        <v>distanceFromOrigin8</v>
      </c>
    </row>
    <row r="54" spans="13:18" x14ac:dyDescent="0.25">
      <c r="M54" s="297" t="str">
        <f>VLOOKUP(N54,Coeff_Descr!$A:$D,3,FALSE)</f>
        <v>SOCREC</v>
      </c>
      <c r="N54" s="338">
        <f>OtherTourDestination!B62</f>
        <v>52</v>
      </c>
      <c r="O54" s="338" t="str">
        <f>OtherTourDestination!C62</f>
        <v>Beta00052</v>
      </c>
      <c r="P54" s="339">
        <f>OtherTourDestination!E62</f>
        <v>-2.64524710889</v>
      </c>
      <c r="Q54" s="340">
        <f si="0" t="shared"/>
        <v>-5.0005020092896917</v>
      </c>
      <c r="R54" s="297" t="str">
        <f>VLOOKUP(N54,Coeff_Descr!$A$2:$E$104,4,FALSE)</f>
        <v>distanceFromOrigin9</v>
      </c>
    </row>
    <row r="55" spans="13:18" x14ac:dyDescent="0.25">
      <c r="M55" s="297" t="str">
        <f>VLOOKUP(N55,Coeff_Descr!$A:$D,3,FALSE)</f>
        <v>SOCREC</v>
      </c>
      <c r="N55" s="338">
        <f>OtherTourDestination!B63</f>
        <v>53</v>
      </c>
      <c r="O55" s="338" t="str">
        <f>OtherTourDestination!C63</f>
        <v>Beta00053</v>
      </c>
      <c r="P55" s="339">
        <f>OtherTourDestination!E63</f>
        <v>-0.76461618005800003</v>
      </c>
      <c r="Q55" s="340">
        <f si="0" t="shared"/>
        <v>-2.4369326260229816</v>
      </c>
      <c r="R55" s="297" t="str">
        <f>VLOOKUP(N55,Coeff_Descr!$A$2:$E$104,4,FALSE)</f>
        <v>distanceFromOrigin3</v>
      </c>
    </row>
    <row r="56" spans="13:18" x14ac:dyDescent="0.25">
      <c r="M56" s="297" t="str">
        <f>VLOOKUP(N56,Coeff_Descr!$A:$D,3,FALSE)</f>
        <v>SOCREC</v>
      </c>
      <c r="N56" s="297">
        <f>OtherTourDestination!B64</f>
        <v>54</v>
      </c>
      <c r="O56" s="297" t="str">
        <f>OtherTourDestination!C64</f>
        <v>Beta00054</v>
      </c>
      <c r="P56" s="299">
        <f>OtherTourDestination!E64</f>
        <v>0.20818008309700001</v>
      </c>
      <c r="Q56" s="337">
        <f si="0" t="shared"/>
        <v>0.20818008309700001</v>
      </c>
    </row>
    <row r="57" spans="13:18" x14ac:dyDescent="0.25">
      <c r="M57" s="297" t="str">
        <f>VLOOKUP(N57,Coeff_Descr!$A:$D,3,FALSE)</f>
        <v>SOCREC</v>
      </c>
      <c r="N57" s="297">
        <f>OtherTourDestination!B65</f>
        <v>55</v>
      </c>
      <c r="O57" s="297" t="str">
        <f>OtherTourDestination!C65</f>
        <v>Beta00055</v>
      </c>
      <c r="P57" s="299">
        <f>OtherTourDestination!E65</f>
        <v>0.42522231451499998</v>
      </c>
      <c r="Q57" s="337">
        <f si="0" t="shared"/>
        <v>0.42522231451499998</v>
      </c>
    </row>
    <row r="58" spans="13:18" x14ac:dyDescent="0.25">
      <c r="M58" s="297" t="str">
        <f>VLOOKUP(N58,Coeff_Descr!$A:$D,3,FALSE)</f>
        <v>SOCREC</v>
      </c>
      <c r="N58" s="297">
        <f>OtherTourDestination!B66</f>
        <v>56</v>
      </c>
      <c r="O58" s="297" t="str">
        <f>OtherTourDestination!C66</f>
        <v>Beta00056</v>
      </c>
      <c r="P58" s="299">
        <f>OtherTourDestination!E66</f>
        <v>-0.743588483327</v>
      </c>
      <c r="Q58" s="337">
        <f si="0" t="shared"/>
        <v>-0.743588483327</v>
      </c>
    </row>
    <row r="59" spans="13:18" x14ac:dyDescent="0.25">
      <c r="M59" s="297" t="str">
        <f>VLOOKUP(N59,Coeff_Descr!$A:$D,3,FALSE)</f>
        <v>SOCREC</v>
      </c>
      <c r="N59" s="297">
        <f>OtherTourDestination!B67</f>
        <v>57</v>
      </c>
      <c r="O59" s="297" t="str">
        <f>OtherTourDestination!C67</f>
        <v>Beta00057</v>
      </c>
      <c r="P59" s="299">
        <f>OtherTourDestination!E67</f>
        <v>6.2100000000000002E-2</v>
      </c>
      <c r="Q59" s="337">
        <f si="0" t="shared"/>
        <v>6.2100000000000002E-2</v>
      </c>
    </row>
    <row r="60" spans="13:18" x14ac:dyDescent="0.25">
      <c r="M60" s="297">
        <f>VLOOKUP(N60,Coeff_Descr!$A:$D,3,FALSE)</f>
        <v>0</v>
      </c>
      <c r="N60" s="297">
        <f>OtherTourDestination!B68</f>
        <v>118</v>
      </c>
      <c r="O60" s="297" t="str">
        <f>OtherTourDestination!C68</f>
        <v>Beta00118</v>
      </c>
      <c r="P60" s="299">
        <f>OtherTourDestination!E68</f>
        <v>-3</v>
      </c>
      <c r="Q60" s="337">
        <f si="0" t="shared"/>
        <v>-3</v>
      </c>
    </row>
    <row r="61" spans="13:18" x14ac:dyDescent="0.25">
      <c r="M61" s="297" t="str">
        <f>VLOOKUP(N61,Coeff_Descr!$A:$D,3,FALSE)</f>
        <v>ESCORT</v>
      </c>
      <c r="N61" s="297">
        <f>OtherTourDestination!B69</f>
        <v>70</v>
      </c>
      <c r="O61" s="297" t="str">
        <f>OtherTourDestination!C69</f>
        <v>LSM_0070</v>
      </c>
      <c r="P61" s="299">
        <f>OtherTourDestination!E69</f>
        <v>0.29394695214400002</v>
      </c>
      <c r="Q61" s="337">
        <f si="0" t="shared"/>
        <v>0.29394695214400002</v>
      </c>
    </row>
    <row r="62" spans="13:18" x14ac:dyDescent="0.25">
      <c r="M62" s="297" t="str">
        <f>VLOOKUP(N62,Coeff_Descr!$A:$D,3,FALSE)</f>
        <v>ESCORT</v>
      </c>
      <c r="N62" s="297">
        <f>OtherTourDestination!B70</f>
        <v>71</v>
      </c>
      <c r="O62" s="297" t="str">
        <f>OtherTourDestination!C70</f>
        <v>Gamma071</v>
      </c>
      <c r="P62" s="299">
        <f>OtherTourDestination!E70</f>
        <v>0</v>
      </c>
      <c r="Q62" s="337">
        <f si="0" t="shared"/>
        <v>0</v>
      </c>
    </row>
    <row r="63" spans="13:18" x14ac:dyDescent="0.25">
      <c r="M63" s="297" t="str">
        <f>VLOOKUP(N63,Coeff_Descr!$A:$D,3,FALSE)</f>
        <v>ESCORT</v>
      </c>
      <c r="N63" s="297">
        <f>OtherTourDestination!B71</f>
        <v>72</v>
      </c>
      <c r="O63" s="297" t="str">
        <f>OtherTourDestination!C71</f>
        <v>Gamma072</v>
      </c>
      <c r="P63" s="299">
        <f>OtherTourDestination!E71</f>
        <v>-6.2798471793299999</v>
      </c>
      <c r="Q63" s="337">
        <f si="0" t="shared"/>
        <v>-6.2798471793299999</v>
      </c>
    </row>
    <row r="64" spans="13:18" x14ac:dyDescent="0.25">
      <c r="M64" s="297" t="str">
        <f>VLOOKUP(N64,Coeff_Descr!$A:$D,3,FALSE)</f>
        <v>ESCORT</v>
      </c>
      <c r="N64" s="297">
        <f>OtherTourDestination!B72</f>
        <v>73</v>
      </c>
      <c r="O64" s="297" t="str">
        <f>OtherTourDestination!C72</f>
        <v>Gamma073</v>
      </c>
      <c r="P64" s="299">
        <f>OtherTourDestination!E72</f>
        <v>3.2962256518299999</v>
      </c>
      <c r="Q64" s="337">
        <f si="0" t="shared"/>
        <v>3.2962256518299999</v>
      </c>
    </row>
    <row r="65" spans="13:17" x14ac:dyDescent="0.25">
      <c r="M65" s="297" t="str">
        <f>VLOOKUP(N65,Coeff_Descr!$A:$D,3,FALSE)</f>
        <v>ESCORT</v>
      </c>
      <c r="N65" s="297">
        <f>OtherTourDestination!B73</f>
        <v>74</v>
      </c>
      <c r="O65" s="297" t="str">
        <f>OtherTourDestination!C73</f>
        <v>Gamma074</v>
      </c>
      <c r="P65" s="299">
        <f>OtherTourDestination!E73</f>
        <v>-5.4150639062700003</v>
      </c>
      <c r="Q65" s="337">
        <f si="0" t="shared"/>
        <v>-5.4150639062700003</v>
      </c>
    </row>
    <row r="66" spans="13:17" x14ac:dyDescent="0.25">
      <c r="M66" s="297" t="str">
        <f>VLOOKUP(N66,Coeff_Descr!$A:$D,3,FALSE)</f>
        <v>ESCORT</v>
      </c>
      <c r="N66" s="297">
        <f>OtherTourDestination!B74</f>
        <v>75</v>
      </c>
      <c r="O66" s="297" t="str">
        <f>OtherTourDestination!C74</f>
        <v>Gamma075</v>
      </c>
      <c r="P66" s="299">
        <f>OtherTourDestination!E74</f>
        <v>-5.94820877094</v>
      </c>
      <c r="Q66" s="337">
        <f si="0" t="shared"/>
        <v>-5.94820877094</v>
      </c>
    </row>
    <row r="67" spans="13:17" x14ac:dyDescent="0.25">
      <c r="M67" s="297" t="str">
        <f>VLOOKUP(N67,Coeff_Descr!$A:$D,3,FALSE)</f>
        <v>ESCORT</v>
      </c>
      <c r="N67" s="297">
        <f>OtherTourDestination!B75</f>
        <v>76</v>
      </c>
      <c r="O67" s="297" t="str">
        <f>OtherTourDestination!C75</f>
        <v>Gamma076</v>
      </c>
      <c r="P67" s="299">
        <f>OtherTourDestination!E75</f>
        <v>-4.8479831726300002</v>
      </c>
      <c r="Q67" s="337">
        <f si="0" t="shared"/>
        <v>-4.8479831726300002</v>
      </c>
    </row>
    <row r="68" spans="13:17" x14ac:dyDescent="0.25">
      <c r="M68" s="297" t="str">
        <f>VLOOKUP(N68,Coeff_Descr!$A:$D,3,FALSE)</f>
        <v>ESCORT</v>
      </c>
      <c r="N68" s="297">
        <f>OtherTourDestination!B76</f>
        <v>77</v>
      </c>
      <c r="O68" s="297" t="str">
        <f>OtherTourDestination!C76</f>
        <v>Gamma077</v>
      </c>
      <c r="P68" s="299">
        <f>OtherTourDestination!E76</f>
        <v>-5.4883496585599998</v>
      </c>
      <c r="Q68" s="337">
        <f si="0" t="shared"/>
        <v>-5.4883496585599998</v>
      </c>
    </row>
    <row r="69" spans="13:17" x14ac:dyDescent="0.25">
      <c r="M69" s="297" t="str">
        <f>VLOOKUP(N69,Coeff_Descr!$A:$D,3,FALSE)</f>
        <v>ESCORT</v>
      </c>
      <c r="N69" s="297">
        <f>OtherTourDestination!B77</f>
        <v>78</v>
      </c>
      <c r="O69" s="297" t="str">
        <f>OtherTourDestination!C77</f>
        <v>Gamma078</v>
      </c>
      <c r="P69" s="299">
        <f>OtherTourDestination!E77</f>
        <v>-6.9308352438999998</v>
      </c>
      <c r="Q69" s="337">
        <f ref="Q69:Q103" si="10" t="shared">_xlfn.IFNA(VLOOKUP(N69,$B$43:$D$46,3,FALSE),P69)</f>
        <v>-6.9308352438999998</v>
      </c>
    </row>
    <row r="70" spans="13:17" x14ac:dyDescent="0.25">
      <c r="M70" s="297" t="str">
        <f>VLOOKUP(N70,Coeff_Descr!$A:$D,3,FALSE)</f>
        <v>ESCORT</v>
      </c>
      <c r="N70" s="297">
        <f>OtherTourDestination!B78</f>
        <v>79</v>
      </c>
      <c r="O70" s="297" t="str">
        <f>OtherTourDestination!C78</f>
        <v>Gamma079</v>
      </c>
      <c r="P70" s="299">
        <f>OtherTourDestination!E78</f>
        <v>-22.404820174200001</v>
      </c>
      <c r="Q70" s="337">
        <f si="10" t="shared"/>
        <v>-22.404820174200001</v>
      </c>
    </row>
    <row r="71" spans="13:17" x14ac:dyDescent="0.25">
      <c r="M71" s="297" t="str">
        <f>VLOOKUP(N71,Coeff_Descr!$A:$D,3,FALSE)</f>
        <v>ESCORT</v>
      </c>
      <c r="N71" s="297">
        <f>OtherTourDestination!B79</f>
        <v>80</v>
      </c>
      <c r="O71" s="297" t="str">
        <f>OtherTourDestination!C79</f>
        <v>Gamma080</v>
      </c>
      <c r="P71" s="299">
        <f>OtherTourDestination!E79</f>
        <v>-2.8929233973800002</v>
      </c>
      <c r="Q71" s="337">
        <f si="10" t="shared"/>
        <v>-2.8929233973800002</v>
      </c>
    </row>
    <row r="72" spans="13:17" x14ac:dyDescent="0.25">
      <c r="M72" s="297" t="str">
        <f>VLOOKUP(N72,Coeff_Descr!$A:$D,3,FALSE)</f>
        <v>ESCORT</v>
      </c>
      <c r="N72" s="297">
        <f>OtherTourDestination!B80</f>
        <v>81</v>
      </c>
      <c r="O72" s="297" t="str">
        <f>OtherTourDestination!C80</f>
        <v>Gamma081</v>
      </c>
      <c r="P72" s="299">
        <f>OtherTourDestination!E80</f>
        <v>-2.5610724948299999</v>
      </c>
      <c r="Q72" s="337">
        <f si="10" t="shared"/>
        <v>-2.5610724948299999</v>
      </c>
    </row>
    <row r="73" spans="13:17" x14ac:dyDescent="0.25">
      <c r="M73" s="297" t="str">
        <f>VLOOKUP(N73,Coeff_Descr!$A:$D,3,FALSE)</f>
        <v>ESCORT</v>
      </c>
      <c r="N73" s="297">
        <f>OtherTourDestination!B81</f>
        <v>82</v>
      </c>
      <c r="O73" s="297" t="str">
        <f>OtherTourDestination!C81</f>
        <v>Gamma082</v>
      </c>
      <c r="P73" s="299">
        <f>OtherTourDestination!E81</f>
        <v>-6.7871010869299999</v>
      </c>
      <c r="Q73" s="337">
        <f si="10" t="shared"/>
        <v>-6.7871010869299999</v>
      </c>
    </row>
    <row r="74" spans="13:17" x14ac:dyDescent="0.25">
      <c r="M74" s="297" t="str">
        <f>VLOOKUP(N74,Coeff_Descr!$A:$D,3,FALSE)</f>
        <v>ESCORT</v>
      </c>
      <c r="N74" s="297">
        <f>OtherTourDestination!B82</f>
        <v>83</v>
      </c>
      <c r="O74" s="297" t="str">
        <f>OtherTourDestination!C82</f>
        <v>Gamma083</v>
      </c>
      <c r="P74" s="299">
        <f>OtherTourDestination!E82</f>
        <v>-7.1983706387300002</v>
      </c>
      <c r="Q74" s="337">
        <f si="10" t="shared"/>
        <v>-7.1983706387300002</v>
      </c>
    </row>
    <row r="75" spans="13:17" x14ac:dyDescent="0.25">
      <c r="M75" s="297" t="str">
        <f>VLOOKUP(N75,Coeff_Descr!$A:$D,3,FALSE)</f>
        <v>ESCORT</v>
      </c>
      <c r="N75" s="297">
        <f>OtherTourDestination!B83</f>
        <v>84</v>
      </c>
      <c r="O75" s="297" t="str">
        <f>OtherTourDestination!C83</f>
        <v>Gamma084</v>
      </c>
      <c r="P75" s="299">
        <f>OtherTourDestination!E83</f>
        <v>-6.5584328775399996</v>
      </c>
      <c r="Q75" s="337">
        <f si="10" t="shared"/>
        <v>-6.5584328775399996</v>
      </c>
    </row>
    <row r="76" spans="13:17" x14ac:dyDescent="0.25">
      <c r="M76" s="297" t="str">
        <f>VLOOKUP(N76,Coeff_Descr!$A:$D,3,FALSE)</f>
        <v>ESCORT</v>
      </c>
      <c r="N76" s="297">
        <f>OtherTourDestination!B84</f>
        <v>85</v>
      </c>
      <c r="O76" s="297" t="str">
        <f>OtherTourDestination!C84</f>
        <v>Gamma085</v>
      </c>
      <c r="P76" s="299">
        <f>OtherTourDestination!E84</f>
        <v>-7.3832576457999997</v>
      </c>
      <c r="Q76" s="337">
        <f si="10" t="shared"/>
        <v>-7.3832576457999997</v>
      </c>
    </row>
    <row r="77" spans="13:17" x14ac:dyDescent="0.25">
      <c r="M77" s="297" t="str">
        <f>VLOOKUP(N77,Coeff_Descr!$A:$D,3,FALSE)</f>
        <v>ESCORT</v>
      </c>
      <c r="N77" s="297">
        <f>OtherTourDestination!B85</f>
        <v>86</v>
      </c>
      <c r="O77" s="297" t="str">
        <f>OtherTourDestination!C85</f>
        <v>Gamma086</v>
      </c>
      <c r="P77" s="299">
        <f>OtherTourDestination!E85</f>
        <v>-8.5452246906399996</v>
      </c>
      <c r="Q77" s="337">
        <f si="10" t="shared"/>
        <v>-8.5452246906399996</v>
      </c>
    </row>
    <row r="78" spans="13:17" x14ac:dyDescent="0.25">
      <c r="M78" s="297" t="str">
        <f>VLOOKUP(N78,Coeff_Descr!$A:$D,3,FALSE)</f>
        <v>ESCORT</v>
      </c>
      <c r="N78" s="297">
        <f>OtherTourDestination!B86</f>
        <v>87</v>
      </c>
      <c r="O78" s="297" t="str">
        <f>OtherTourDestination!C86</f>
        <v>Gamma087</v>
      </c>
      <c r="P78" s="299">
        <f>OtherTourDestination!E86</f>
        <v>-24.633851965200002</v>
      </c>
      <c r="Q78" s="337">
        <f si="10" t="shared"/>
        <v>-24.633851965200002</v>
      </c>
    </row>
    <row r="79" spans="13:17" x14ac:dyDescent="0.25">
      <c r="M79" s="297" t="str">
        <f>VLOOKUP(N79,Coeff_Descr!$A:$D,3,FALSE)</f>
        <v>ESCORT</v>
      </c>
      <c r="N79" s="297">
        <f>OtherTourDestination!B87</f>
        <v>88</v>
      </c>
      <c r="O79" s="297" t="str">
        <f>OtherTourDestination!C87</f>
        <v>Gamma088</v>
      </c>
      <c r="P79" s="299">
        <f>OtherTourDestination!E87</f>
        <v>0</v>
      </c>
      <c r="Q79" s="337">
        <f si="10" t="shared"/>
        <v>0</v>
      </c>
    </row>
    <row r="80" spans="13:17" x14ac:dyDescent="0.25">
      <c r="M80" s="297" t="str">
        <f>VLOOKUP(N80,Coeff_Descr!$A:$D,3,FALSE)</f>
        <v>PERSBUS/MED</v>
      </c>
      <c r="N80" s="297">
        <f>OtherTourDestination!B88</f>
        <v>89</v>
      </c>
      <c r="O80" s="297" t="str">
        <f>OtherTourDestination!C88</f>
        <v>Gamma089</v>
      </c>
      <c r="P80" s="299">
        <f>OtherTourDestination!E88</f>
        <v>-0.55009338373399996</v>
      </c>
      <c r="Q80" s="337">
        <f si="10" t="shared"/>
        <v>-0.55009338373399996</v>
      </c>
    </row>
    <row r="81" spans="13:17" x14ac:dyDescent="0.25">
      <c r="M81" s="297" t="str">
        <f>VLOOKUP(N81,Coeff_Descr!$A:$D,3,FALSE)</f>
        <v>PERSBUS/MED</v>
      </c>
      <c r="N81" s="297">
        <f>OtherTourDestination!B89</f>
        <v>90</v>
      </c>
      <c r="O81" s="297" t="str">
        <f>OtherTourDestination!C89</f>
        <v>Gamma090</v>
      </c>
      <c r="P81" s="299">
        <f>OtherTourDestination!E89</f>
        <v>-9.9117567037699992</v>
      </c>
      <c r="Q81" s="337">
        <f si="10" t="shared"/>
        <v>-9.9117567037699992</v>
      </c>
    </row>
    <row r="82" spans="13:17" x14ac:dyDescent="0.25">
      <c r="M82" s="297" t="str">
        <f>VLOOKUP(N82,Coeff_Descr!$A:$D,3,FALSE)</f>
        <v>PERSBUS/MED</v>
      </c>
      <c r="N82" s="297">
        <f>OtherTourDestination!B90</f>
        <v>91</v>
      </c>
      <c r="O82" s="297" t="str">
        <f>OtherTourDestination!C90</f>
        <v>Gamma091</v>
      </c>
      <c r="P82" s="299">
        <f>OtherTourDestination!E90</f>
        <v>-9.3194311560499994</v>
      </c>
      <c r="Q82" s="337">
        <f si="10" t="shared"/>
        <v>-9.3194311560499994</v>
      </c>
    </row>
    <row r="83" spans="13:17" x14ac:dyDescent="0.25">
      <c r="M83" s="297" t="str">
        <f>VLOOKUP(N83,Coeff_Descr!$A:$D,3,FALSE)</f>
        <v>PERSBUS/MED</v>
      </c>
      <c r="N83" s="297">
        <f>OtherTourDestination!B91</f>
        <v>92</v>
      </c>
      <c r="O83" s="297" t="str">
        <f>OtherTourDestination!C91</f>
        <v>Gamma092</v>
      </c>
      <c r="P83" s="299">
        <f>OtherTourDestination!E91</f>
        <v>-0.20086270196799999</v>
      </c>
      <c r="Q83" s="337">
        <f si="10" t="shared"/>
        <v>-0.20086270196799999</v>
      </c>
    </row>
    <row r="84" spans="13:17" x14ac:dyDescent="0.25">
      <c r="M84" s="297" t="str">
        <f>VLOOKUP(N84,Coeff_Descr!$A:$D,3,FALSE)</f>
        <v>PERSBUS/MED</v>
      </c>
      <c r="N84" s="297">
        <f>OtherTourDestination!B92</f>
        <v>93</v>
      </c>
      <c r="O84" s="297" t="str">
        <f>OtherTourDestination!C92</f>
        <v>Gamma093</v>
      </c>
      <c r="P84" s="299">
        <f>OtherTourDestination!E92</f>
        <v>-2.1843835309699999</v>
      </c>
      <c r="Q84" s="337">
        <f si="10" t="shared"/>
        <v>-2.1843835309699999</v>
      </c>
    </row>
    <row r="85" spans="13:17" x14ac:dyDescent="0.25">
      <c r="M85" s="297" t="str">
        <f>VLOOKUP(N85,Coeff_Descr!$A:$D,3,FALSE)</f>
        <v>PERSBUS/MED</v>
      </c>
      <c r="N85" s="297">
        <f>OtherTourDestination!B93</f>
        <v>94</v>
      </c>
      <c r="O85" s="297" t="str">
        <f>OtherTourDestination!C93</f>
        <v>Gamma094</v>
      </c>
      <c r="P85" s="299">
        <f>OtherTourDestination!E93</f>
        <v>0</v>
      </c>
      <c r="Q85" s="337">
        <f si="10" t="shared"/>
        <v>0</v>
      </c>
    </row>
    <row r="86" spans="13:17" x14ac:dyDescent="0.25">
      <c r="M86" s="297" t="str">
        <f>VLOOKUP(N86,Coeff_Descr!$A:$D,3,FALSE)</f>
        <v>PERSBUS/MED</v>
      </c>
      <c r="N86" s="297">
        <f>OtherTourDestination!B94</f>
        <v>95</v>
      </c>
      <c r="O86" s="297" t="str">
        <f>OtherTourDestination!C94</f>
        <v>Gamma095</v>
      </c>
      <c r="P86" s="299">
        <f>OtherTourDestination!E94</f>
        <v>-9.9476357147400005</v>
      </c>
      <c r="Q86" s="337">
        <f si="10" t="shared"/>
        <v>-9.9476357147400005</v>
      </c>
    </row>
    <row r="87" spans="13:17" x14ac:dyDescent="0.25">
      <c r="M87" s="297" t="str">
        <f>VLOOKUP(N87,Coeff_Descr!$A:$D,3,FALSE)</f>
        <v>PERSBUS/MED</v>
      </c>
      <c r="N87" s="297">
        <f>OtherTourDestination!B95</f>
        <v>96</v>
      </c>
      <c r="O87" s="297" t="str">
        <f>OtherTourDestination!C95</f>
        <v>Gamma096</v>
      </c>
      <c r="P87" s="299">
        <f>OtherTourDestination!E95</f>
        <v>-12.800107987600001</v>
      </c>
      <c r="Q87" s="337">
        <f si="10" t="shared"/>
        <v>-12.800107987600001</v>
      </c>
    </row>
    <row r="88" spans="13:17" x14ac:dyDescent="0.25">
      <c r="M88" s="297" t="str">
        <f>VLOOKUP(N88,Coeff_Descr!$A:$D,3,FALSE)</f>
        <v>PERSBUS/MED</v>
      </c>
      <c r="N88" s="297">
        <f>OtherTourDestination!B96</f>
        <v>97</v>
      </c>
      <c r="O88" s="297" t="str">
        <f>OtherTourDestination!C96</f>
        <v>Gamma097</v>
      </c>
      <c r="P88" s="299">
        <f>OtherTourDestination!E96</f>
        <v>-30</v>
      </c>
      <c r="Q88" s="337">
        <f si="10" t="shared"/>
        <v>-30</v>
      </c>
    </row>
    <row r="89" spans="13:17" x14ac:dyDescent="0.25">
      <c r="M89" s="297" t="str">
        <f>VLOOKUP(N89,Coeff_Descr!$A:$D,3,FALSE)</f>
        <v>SHOP</v>
      </c>
      <c r="N89" s="297">
        <f>OtherTourDestination!B97</f>
        <v>98</v>
      </c>
      <c r="O89" s="297" t="str">
        <f>OtherTourDestination!C97</f>
        <v>Gamma098</v>
      </c>
      <c r="P89" s="299">
        <f>OtherTourDestination!E97</f>
        <v>-21.699928591700001</v>
      </c>
      <c r="Q89" s="337">
        <f si="10" t="shared"/>
        <v>-21.699928591700001</v>
      </c>
    </row>
    <row r="90" spans="13:17" x14ac:dyDescent="0.25">
      <c r="M90" s="297" t="str">
        <f>VLOOKUP(N90,Coeff_Descr!$A:$D,3,FALSE)</f>
        <v>SHOP</v>
      </c>
      <c r="N90" s="297">
        <f>OtherTourDestination!B98</f>
        <v>99</v>
      </c>
      <c r="O90" s="297" t="str">
        <f>OtherTourDestination!C98</f>
        <v>Gamma099</v>
      </c>
      <c r="P90" s="299">
        <f>OtherTourDestination!E98</f>
        <v>-17.700475093400001</v>
      </c>
      <c r="Q90" s="337">
        <f si="10" t="shared"/>
        <v>-17.700475093400001</v>
      </c>
    </row>
    <row r="91" spans="13:17" x14ac:dyDescent="0.25">
      <c r="M91" s="297" t="str">
        <f>VLOOKUP(N91,Coeff_Descr!$A:$D,3,FALSE)</f>
        <v>SHOP</v>
      </c>
      <c r="N91" s="297">
        <f>OtherTourDestination!B99</f>
        <v>100</v>
      </c>
      <c r="O91" s="297" t="str">
        <f>OtherTourDestination!C99</f>
        <v>Gamma100</v>
      </c>
      <c r="P91" s="299">
        <f>OtherTourDestination!E99</f>
        <v>-0.7</v>
      </c>
      <c r="Q91" s="337">
        <f si="10" t="shared"/>
        <v>-0.7</v>
      </c>
    </row>
    <row r="92" spans="13:17" x14ac:dyDescent="0.25">
      <c r="M92" s="297" t="str">
        <f>VLOOKUP(N92,Coeff_Descr!$A:$D,3,FALSE)</f>
        <v>SHOP</v>
      </c>
      <c r="N92" s="297">
        <f>OtherTourDestination!B100</f>
        <v>101</v>
      </c>
      <c r="O92" s="297" t="str">
        <f>OtherTourDestination!C100</f>
        <v>Gamma101</v>
      </c>
      <c r="P92" s="299">
        <f>OtherTourDestination!E100</f>
        <v>-17.8758745875</v>
      </c>
      <c r="Q92" s="337">
        <f si="10" t="shared"/>
        <v>-17.8758745875</v>
      </c>
    </row>
    <row r="93" spans="13:17" x14ac:dyDescent="0.25">
      <c r="M93" s="297" t="str">
        <f>VLOOKUP(N93,Coeff_Descr!$A:$D,3,FALSE)</f>
        <v>MEAL</v>
      </c>
      <c r="N93" s="297">
        <f>OtherTourDestination!B101</f>
        <v>102</v>
      </c>
      <c r="O93" s="297" t="str">
        <f>OtherTourDestination!C101</f>
        <v>Gamma102</v>
      </c>
      <c r="P93" s="299">
        <f>OtherTourDestination!E101</f>
        <v>0</v>
      </c>
      <c r="Q93" s="337">
        <f si="10" t="shared"/>
        <v>0</v>
      </c>
    </row>
    <row r="94" spans="13:17" x14ac:dyDescent="0.25">
      <c r="M94" s="297" t="str">
        <f>VLOOKUP(N94,Coeff_Descr!$A:$D,3,FALSE)</f>
        <v>MEAL</v>
      </c>
      <c r="N94" s="297">
        <f>OtherTourDestination!B102</f>
        <v>103</v>
      </c>
      <c r="O94" s="297" t="str">
        <f>OtherTourDestination!C102</f>
        <v>Gamma103</v>
      </c>
      <c r="P94" s="299">
        <f>OtherTourDestination!E102</f>
        <v>5</v>
      </c>
      <c r="Q94" s="337">
        <f si="10" t="shared"/>
        <v>5</v>
      </c>
    </row>
    <row r="95" spans="13:17" x14ac:dyDescent="0.25">
      <c r="M95" s="297" t="str">
        <f>VLOOKUP(N95,Coeff_Descr!$A:$D,3,FALSE)</f>
        <v>MEAL</v>
      </c>
      <c r="N95" s="297">
        <f>OtherTourDestination!B103</f>
        <v>104</v>
      </c>
      <c r="O95" s="297" t="str">
        <f>OtherTourDestination!C103</f>
        <v>Gamma104</v>
      </c>
      <c r="P95" s="299">
        <f>OtherTourDestination!E103</f>
        <v>-30</v>
      </c>
      <c r="Q95" s="337">
        <f si="10" t="shared"/>
        <v>-30</v>
      </c>
    </row>
    <row r="96" spans="13:17" x14ac:dyDescent="0.25">
      <c r="M96" s="297" t="str">
        <f>VLOOKUP(N96,Coeff_Descr!$A:$D,3,FALSE)</f>
        <v>MEAL</v>
      </c>
      <c r="N96" s="297">
        <f>OtherTourDestination!B104</f>
        <v>105</v>
      </c>
      <c r="O96" s="297" t="str">
        <f>OtherTourDestination!C104</f>
        <v>Gamma105</v>
      </c>
      <c r="P96" s="299">
        <f>OtherTourDestination!E104</f>
        <v>-24.158093970700001</v>
      </c>
      <c r="Q96" s="337">
        <f si="10" t="shared"/>
        <v>-24.158093970700001</v>
      </c>
    </row>
    <row r="97" spans="13:17" x14ac:dyDescent="0.25">
      <c r="M97" s="297" t="str">
        <f>VLOOKUP(N97,Coeff_Descr!$A:$D,3,FALSE)</f>
        <v>SOCREC</v>
      </c>
      <c r="N97" s="297">
        <f>OtherTourDestination!B105</f>
        <v>106</v>
      </c>
      <c r="O97" s="297" t="str">
        <f>OtherTourDestination!C105</f>
        <v>Gamma106</v>
      </c>
      <c r="P97" s="299">
        <f>OtherTourDestination!E105</f>
        <v>-9.5803170794600003</v>
      </c>
      <c r="Q97" s="337">
        <f si="10" t="shared"/>
        <v>-9.5803170794600003</v>
      </c>
    </row>
    <row r="98" spans="13:17" x14ac:dyDescent="0.25">
      <c r="M98" s="297" t="str">
        <f>VLOOKUP(N98,Coeff_Descr!$A:$D,3,FALSE)</f>
        <v>SOCREC</v>
      </c>
      <c r="N98" s="297">
        <f>OtherTourDestination!B106</f>
        <v>107</v>
      </c>
      <c r="O98" s="297" t="str">
        <f>OtherTourDestination!C106</f>
        <v>Gamma107</v>
      </c>
      <c r="P98" s="299">
        <f>OtherTourDestination!E106</f>
        <v>0</v>
      </c>
      <c r="Q98" s="337">
        <f si="10" t="shared"/>
        <v>0</v>
      </c>
    </row>
    <row r="99" spans="13:17" x14ac:dyDescent="0.25">
      <c r="M99" s="297" t="str">
        <f>VLOOKUP(N99,Coeff_Descr!$A:$D,3,FALSE)</f>
        <v>SOCREC</v>
      </c>
      <c r="N99" s="297">
        <f>OtherTourDestination!B107</f>
        <v>108</v>
      </c>
      <c r="O99" s="297" t="str">
        <f>OtherTourDestination!C107</f>
        <v>Gamma108</v>
      </c>
      <c r="P99" s="299">
        <f>OtherTourDestination!E107</f>
        <v>-15.671349338700001</v>
      </c>
      <c r="Q99" s="337">
        <f si="10" t="shared"/>
        <v>-15.671349338700001</v>
      </c>
    </row>
    <row r="100" spans="13:17" x14ac:dyDescent="0.25">
      <c r="M100" s="297" t="str">
        <f>VLOOKUP(N100,Coeff_Descr!$A:$D,3,FALSE)</f>
        <v>SOCREC</v>
      </c>
      <c r="N100" s="297">
        <f>OtherTourDestination!B108</f>
        <v>109</v>
      </c>
      <c r="O100" s="297" t="str">
        <f>OtherTourDestination!C108</f>
        <v>Gamma109</v>
      </c>
      <c r="P100" s="299">
        <f>OtherTourDestination!E108</f>
        <v>-18.208541213899998</v>
      </c>
      <c r="Q100" s="337">
        <f si="10" t="shared"/>
        <v>-18.208541213899998</v>
      </c>
    </row>
    <row r="101" spans="13:17" x14ac:dyDescent="0.25">
      <c r="M101" s="297" t="str">
        <f>VLOOKUP(N101,Coeff_Descr!$A:$D,3,FALSE)</f>
        <v>SOCREC</v>
      </c>
      <c r="N101" s="297">
        <f>OtherTourDestination!B109</f>
        <v>110</v>
      </c>
      <c r="O101" s="297" t="str">
        <f>OtherTourDestination!C109</f>
        <v>Gamma110</v>
      </c>
      <c r="P101" s="299">
        <f>OtherTourDestination!E109</f>
        <v>-11.2471450075</v>
      </c>
      <c r="Q101" s="337">
        <f si="10" t="shared"/>
        <v>-11.2471450075</v>
      </c>
    </row>
    <row r="102" spans="13:17" x14ac:dyDescent="0.25">
      <c r="M102" s="297" t="str">
        <f>VLOOKUP(N102,Coeff_Descr!$A:$D,3,FALSE)</f>
        <v>SOCREC</v>
      </c>
      <c r="N102" s="297">
        <f>OtherTourDestination!B110</f>
        <v>111</v>
      </c>
      <c r="O102" s="297" t="str">
        <f>OtherTourDestination!C110</f>
        <v>Gamma111</v>
      </c>
      <c r="P102" s="299">
        <f>OtherTourDestination!E110</f>
        <v>-10.0807778908</v>
      </c>
      <c r="Q102" s="337">
        <f si="10" t="shared"/>
        <v>-10.0807778908</v>
      </c>
    </row>
    <row r="103" spans="13:17" x14ac:dyDescent="0.25">
      <c r="M103" s="297" t="str">
        <f>VLOOKUP(N103,Coeff_Descr!$A:$D,3,FALSE)</f>
        <v>SOCREC</v>
      </c>
      <c r="N103" s="297">
        <f>OtherTourDestination!B111</f>
        <v>112</v>
      </c>
      <c r="O103" s="297" t="str">
        <f>OtherTourDestination!C111</f>
        <v>Gamma112</v>
      </c>
      <c r="P103" s="299">
        <f>OtherTourDestination!E111</f>
        <v>-5.6623999999999999</v>
      </c>
      <c r="Q103" s="337">
        <f si="10" t="shared"/>
        <v>-5.6623999999999999</v>
      </c>
    </row>
    <row r="104" spans="13:17" x14ac:dyDescent="0.25">
      <c r="M104" s="297" t="str">
        <f>VLOOKUP(N104,Coeff_Descr!$A:$D,3,FALSE)</f>
        <v>SOCREC</v>
      </c>
      <c r="N104" s="297">
        <f>OtherTourDestination!B112</f>
        <v>113</v>
      </c>
      <c r="O104" s="297" t="str">
        <f>OtherTourDestination!C112</f>
        <v>Gamma113</v>
      </c>
      <c r="P104" s="299">
        <f>OtherTourDestination!E112</f>
        <v>-12.0597581892</v>
      </c>
      <c r="Q104" s="337">
        <f ref="Q104" si="11" t="shared">_xlfn.IFNA(VLOOKUP(N104,$B$43:$D$46,3,FALSE),P104)</f>
        <v>-12.0597581892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baseType="lpstr" size="2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2017-10-26T15:42:53Z</dcterms:modified>
</cp:coreProperties>
</file>