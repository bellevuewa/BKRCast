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inbkr\output\"/>
    </mc:Choice>
  </mc:AlternateContent>
  <xr:revisionPtr revIDLastSave="0" documentId="13_ncr:1_{0CEDF983-9ED7-409D-88B8-46D43CF1328C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6" i="6" l="1"/>
  <c r="B46" i="6" s="1"/>
  <c r="B35" i="6"/>
  <c r="B45" i="6" s="1"/>
  <c r="B34" i="6"/>
  <c r="B44" i="6" s="1"/>
  <c r="B33" i="6"/>
  <c r="B43" i="6" s="1"/>
  <c r="O104" i="6" l="1"/>
  <c r="P104" i="6"/>
  <c r="N104" i="6"/>
  <c r="M104" i="6" s="1"/>
  <c r="Q104" i="6" l="1"/>
  <c r="N4" i="6" l="1"/>
  <c r="M4" i="6" s="1"/>
  <c r="O4" i="6"/>
  <c r="N5" i="6"/>
  <c r="M5" i="6" s="1"/>
  <c r="O5" i="6"/>
  <c r="N6" i="6"/>
  <c r="M6" i="6" s="1"/>
  <c r="O6" i="6"/>
  <c r="N7" i="6"/>
  <c r="M7" i="6" s="1"/>
  <c r="O7" i="6"/>
  <c r="N8" i="6"/>
  <c r="M8" i="6" s="1"/>
  <c r="O8" i="6"/>
  <c r="N9" i="6"/>
  <c r="M9" i="6" s="1"/>
  <c r="O9" i="6"/>
  <c r="N10" i="6"/>
  <c r="M10" i="6" s="1"/>
  <c r="O10" i="6"/>
  <c r="N11" i="6"/>
  <c r="M11" i="6" s="1"/>
  <c r="O11" i="6"/>
  <c r="N12" i="6"/>
  <c r="M12" i="6" s="1"/>
  <c r="O12" i="6"/>
  <c r="N13" i="6"/>
  <c r="M13" i="6" s="1"/>
  <c r="O13" i="6"/>
  <c r="N14" i="6"/>
  <c r="M14" i="6" s="1"/>
  <c r="O14" i="6"/>
  <c r="N15" i="6"/>
  <c r="M15" i="6" s="1"/>
  <c r="O15" i="6"/>
  <c r="N16" i="6"/>
  <c r="M16" i="6" s="1"/>
  <c r="O16" i="6"/>
  <c r="N17" i="6"/>
  <c r="M17" i="6" s="1"/>
  <c r="O17" i="6"/>
  <c r="N18" i="6"/>
  <c r="M18" i="6" s="1"/>
  <c r="O18" i="6"/>
  <c r="N19" i="6"/>
  <c r="M19" i="6" s="1"/>
  <c r="O19" i="6"/>
  <c r="N20" i="6"/>
  <c r="M20" i="6" s="1"/>
  <c r="O20" i="6"/>
  <c r="N21" i="6"/>
  <c r="M21" i="6" s="1"/>
  <c r="O21" i="6"/>
  <c r="N22" i="6"/>
  <c r="M22" i="6" s="1"/>
  <c r="O22" i="6"/>
  <c r="N23" i="6"/>
  <c r="M23" i="6" s="1"/>
  <c r="O23" i="6"/>
  <c r="N24" i="6"/>
  <c r="M24" i="6" s="1"/>
  <c r="O24" i="6"/>
  <c r="N25" i="6"/>
  <c r="M25" i="6" s="1"/>
  <c r="O25" i="6"/>
  <c r="N26" i="6"/>
  <c r="M26" i="6" s="1"/>
  <c r="O26" i="6"/>
  <c r="N27" i="6"/>
  <c r="M27" i="6" s="1"/>
  <c r="O27" i="6"/>
  <c r="N28" i="6"/>
  <c r="M28" i="6" s="1"/>
  <c r="O28" i="6"/>
  <c r="N29" i="6"/>
  <c r="M29" i="6" s="1"/>
  <c r="O29" i="6"/>
  <c r="N30" i="6"/>
  <c r="M30" i="6" s="1"/>
  <c r="O30" i="6"/>
  <c r="N31" i="6"/>
  <c r="M31" i="6" s="1"/>
  <c r="O31" i="6"/>
  <c r="N32" i="6"/>
  <c r="M32" i="6" s="1"/>
  <c r="O32" i="6"/>
  <c r="N33" i="6"/>
  <c r="M33" i="6" s="1"/>
  <c r="O33" i="6"/>
  <c r="N34" i="6"/>
  <c r="M34" i="6" s="1"/>
  <c r="O34" i="6"/>
  <c r="N35" i="6"/>
  <c r="M35" i="6" s="1"/>
  <c r="O35" i="6"/>
  <c r="N36" i="6"/>
  <c r="O36" i="6"/>
  <c r="N37" i="6"/>
  <c r="M37" i="6" s="1"/>
  <c r="O37" i="6"/>
  <c r="N38" i="6"/>
  <c r="M38" i="6" s="1"/>
  <c r="O38" i="6"/>
  <c r="N39" i="6"/>
  <c r="M39" i="6" s="1"/>
  <c r="O39" i="6"/>
  <c r="N40" i="6"/>
  <c r="M40" i="6" s="1"/>
  <c r="O40" i="6"/>
  <c r="N41" i="6"/>
  <c r="M41" i="6" s="1"/>
  <c r="O41" i="6"/>
  <c r="N42" i="6"/>
  <c r="M42" i="6" s="1"/>
  <c r="O42" i="6"/>
  <c r="N43" i="6"/>
  <c r="M43" i="6" s="1"/>
  <c r="O43" i="6"/>
  <c r="N44" i="6"/>
  <c r="M44" i="6" s="1"/>
  <c r="O44" i="6"/>
  <c r="N45" i="6"/>
  <c r="M45" i="6" s="1"/>
  <c r="O45" i="6"/>
  <c r="N46" i="6"/>
  <c r="M46" i="6" s="1"/>
  <c r="O46" i="6"/>
  <c r="N47" i="6"/>
  <c r="M47" i="6" s="1"/>
  <c r="O47" i="6"/>
  <c r="N48" i="6"/>
  <c r="M48" i="6" s="1"/>
  <c r="O48" i="6"/>
  <c r="N49" i="6"/>
  <c r="M49" i="6" s="1"/>
  <c r="O49" i="6"/>
  <c r="N50" i="6"/>
  <c r="M50" i="6" s="1"/>
  <c r="O50" i="6"/>
  <c r="N51" i="6"/>
  <c r="M51" i="6" s="1"/>
  <c r="O51" i="6"/>
  <c r="N52" i="6"/>
  <c r="O52" i="6"/>
  <c r="N53" i="6"/>
  <c r="O53" i="6"/>
  <c r="N54" i="6"/>
  <c r="O54" i="6"/>
  <c r="N55" i="6"/>
  <c r="O55" i="6"/>
  <c r="N56" i="6"/>
  <c r="M56" i="6" s="1"/>
  <c r="O56" i="6"/>
  <c r="N57" i="6"/>
  <c r="M57" i="6" s="1"/>
  <c r="O57" i="6"/>
  <c r="N58" i="6"/>
  <c r="M58" i="6" s="1"/>
  <c r="O58" i="6"/>
  <c r="N59" i="6"/>
  <c r="M59" i="6" s="1"/>
  <c r="O59" i="6"/>
  <c r="N60" i="6"/>
  <c r="O60" i="6"/>
  <c r="N61" i="6"/>
  <c r="M61" i="6" s="1"/>
  <c r="O61" i="6"/>
  <c r="N62" i="6"/>
  <c r="M62" i="6" s="1"/>
  <c r="O62" i="6"/>
  <c r="N63" i="6"/>
  <c r="M63" i="6" s="1"/>
  <c r="O63" i="6"/>
  <c r="N64" i="6"/>
  <c r="M64" i="6" s="1"/>
  <c r="O64" i="6"/>
  <c r="N65" i="6"/>
  <c r="M65" i="6" s="1"/>
  <c r="O65" i="6"/>
  <c r="N66" i="6"/>
  <c r="M66" i="6" s="1"/>
  <c r="O66" i="6"/>
  <c r="N67" i="6"/>
  <c r="M67" i="6" s="1"/>
  <c r="O67" i="6"/>
  <c r="N68" i="6"/>
  <c r="M68" i="6" s="1"/>
  <c r="O68" i="6"/>
  <c r="N69" i="6"/>
  <c r="M69" i="6" s="1"/>
  <c r="O69" i="6"/>
  <c r="N70" i="6"/>
  <c r="M70" i="6" s="1"/>
  <c r="O70" i="6"/>
  <c r="N71" i="6"/>
  <c r="M71" i="6" s="1"/>
  <c r="O71" i="6"/>
  <c r="N72" i="6"/>
  <c r="M72" i="6" s="1"/>
  <c r="O72" i="6"/>
  <c r="N73" i="6"/>
  <c r="M73" i="6" s="1"/>
  <c r="O73" i="6"/>
  <c r="N74" i="6"/>
  <c r="M74" i="6" s="1"/>
  <c r="O74" i="6"/>
  <c r="N75" i="6"/>
  <c r="M75" i="6" s="1"/>
  <c r="O75" i="6"/>
  <c r="N76" i="6"/>
  <c r="M76" i="6" s="1"/>
  <c r="O76" i="6"/>
  <c r="N77" i="6"/>
  <c r="M77" i="6" s="1"/>
  <c r="O77" i="6"/>
  <c r="N78" i="6"/>
  <c r="M78" i="6" s="1"/>
  <c r="O78" i="6"/>
  <c r="N79" i="6"/>
  <c r="M79" i="6" s="1"/>
  <c r="O79" i="6"/>
  <c r="N80" i="6"/>
  <c r="M80" i="6" s="1"/>
  <c r="O80" i="6"/>
  <c r="N81" i="6"/>
  <c r="O81" i="6"/>
  <c r="N82" i="6"/>
  <c r="M82" i="6" s="1"/>
  <c r="O82" i="6"/>
  <c r="N83" i="6"/>
  <c r="M83" i="6" s="1"/>
  <c r="O83" i="6"/>
  <c r="N84" i="6"/>
  <c r="M84" i="6" s="1"/>
  <c r="O84" i="6"/>
  <c r="N85" i="6"/>
  <c r="M85" i="6" s="1"/>
  <c r="O85" i="6"/>
  <c r="N86" i="6"/>
  <c r="M86" i="6" s="1"/>
  <c r="O86" i="6"/>
  <c r="N87" i="6"/>
  <c r="M87" i="6" s="1"/>
  <c r="O87" i="6"/>
  <c r="N88" i="6"/>
  <c r="M88" i="6" s="1"/>
  <c r="O88" i="6"/>
  <c r="N89" i="6"/>
  <c r="M89" i="6" s="1"/>
  <c r="O89" i="6"/>
  <c r="N90" i="6"/>
  <c r="M90" i="6" s="1"/>
  <c r="O90" i="6"/>
  <c r="N91" i="6"/>
  <c r="M91" i="6" s="1"/>
  <c r="O91" i="6"/>
  <c r="N92" i="6"/>
  <c r="M92" i="6" s="1"/>
  <c r="O92" i="6"/>
  <c r="N93" i="6"/>
  <c r="M93" i="6" s="1"/>
  <c r="O93" i="6"/>
  <c r="N94" i="6"/>
  <c r="M94" i="6" s="1"/>
  <c r="O94" i="6"/>
  <c r="N95" i="6"/>
  <c r="M95" i="6" s="1"/>
  <c r="O95" i="6"/>
  <c r="N96" i="6"/>
  <c r="M96" i="6" s="1"/>
  <c r="O96" i="6"/>
  <c r="N97" i="6"/>
  <c r="M97" i="6" s="1"/>
  <c r="O97" i="6"/>
  <c r="N98" i="6"/>
  <c r="M98" i="6" s="1"/>
  <c r="O98" i="6"/>
  <c r="N99" i="6"/>
  <c r="M99" i="6" s="1"/>
  <c r="O99" i="6"/>
  <c r="N100" i="6"/>
  <c r="M100" i="6" s="1"/>
  <c r="O100" i="6"/>
  <c r="N101" i="6"/>
  <c r="M101" i="6" s="1"/>
  <c r="O101" i="6"/>
  <c r="N102" i="6"/>
  <c r="M102" i="6" s="1"/>
  <c r="O102" i="6"/>
  <c r="N103" i="6"/>
  <c r="M103" i="6" s="1"/>
  <c r="O103" i="6"/>
  <c r="N3" i="6"/>
  <c r="M3" i="6" s="1"/>
  <c r="O3" i="6"/>
  <c r="M55" i="6" l="1"/>
  <c r="R55" i="6"/>
  <c r="M54" i="6"/>
  <c r="R54" i="6"/>
  <c r="M53" i="6"/>
  <c r="R53" i="6"/>
  <c r="M52" i="6"/>
  <c r="R52" i="6"/>
  <c r="M36" i="6"/>
  <c r="M60" i="6"/>
  <c r="M81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P4" i="6" l="1"/>
  <c r="Q4" i="6" s="1"/>
  <c r="P5" i="6"/>
  <c r="Q5" i="6" s="1"/>
  <c r="P6" i="6"/>
  <c r="Q6" i="6" s="1"/>
  <c r="P7" i="6"/>
  <c r="Q7" i="6" s="1"/>
  <c r="P8" i="6"/>
  <c r="Q8" i="6" s="1"/>
  <c r="P9" i="6"/>
  <c r="Q9" i="6" s="1"/>
  <c r="P10" i="6"/>
  <c r="Q10" i="6" s="1"/>
  <c r="P11" i="6"/>
  <c r="Q11" i="6" s="1"/>
  <c r="P12" i="6"/>
  <c r="Q12" i="6" s="1"/>
  <c r="P13" i="6"/>
  <c r="Q13" i="6" s="1"/>
  <c r="P14" i="6"/>
  <c r="Q14" i="6" s="1"/>
  <c r="P15" i="6"/>
  <c r="Q15" i="6" s="1"/>
  <c r="P16" i="6"/>
  <c r="Q16" i="6" s="1"/>
  <c r="P17" i="6"/>
  <c r="Q17" i="6" s="1"/>
  <c r="P18" i="6"/>
  <c r="Q18" i="6" s="1"/>
  <c r="P19" i="6"/>
  <c r="Q19" i="6" s="1"/>
  <c r="P20" i="6"/>
  <c r="Q20" i="6" s="1"/>
  <c r="P21" i="6"/>
  <c r="Q21" i="6" s="1"/>
  <c r="P22" i="6"/>
  <c r="Q22" i="6" s="1"/>
  <c r="P23" i="6"/>
  <c r="Q23" i="6" s="1"/>
  <c r="P24" i="6"/>
  <c r="Q24" i="6" s="1"/>
  <c r="P25" i="6"/>
  <c r="Q25" i="6" s="1"/>
  <c r="P26" i="6"/>
  <c r="Q26" i="6" s="1"/>
  <c r="P27" i="6"/>
  <c r="Q27" i="6" s="1"/>
  <c r="P28" i="6"/>
  <c r="Q28" i="6" s="1"/>
  <c r="P29" i="6"/>
  <c r="Q29" i="6" s="1"/>
  <c r="P30" i="6"/>
  <c r="Q30" i="6" s="1"/>
  <c r="P31" i="6"/>
  <c r="Q31" i="6" s="1"/>
  <c r="P32" i="6"/>
  <c r="Q32" i="6" s="1"/>
  <c r="P33" i="6"/>
  <c r="Q33" i="6" s="1"/>
  <c r="P34" i="6"/>
  <c r="Q34" i="6" s="1"/>
  <c r="P35" i="6"/>
  <c r="Q35" i="6" s="1"/>
  <c r="P36" i="6"/>
  <c r="Q36" i="6" s="1"/>
  <c r="P37" i="6"/>
  <c r="Q37" i="6" s="1"/>
  <c r="P38" i="6"/>
  <c r="Q38" i="6" s="1"/>
  <c r="P39" i="6"/>
  <c r="Q39" i="6" s="1"/>
  <c r="P40" i="6"/>
  <c r="Q40" i="6" s="1"/>
  <c r="P41" i="6"/>
  <c r="Q41" i="6" s="1"/>
  <c r="P42" i="6"/>
  <c r="Q42" i="6" s="1"/>
  <c r="P43" i="6"/>
  <c r="Q43" i="6" s="1"/>
  <c r="P44" i="6"/>
  <c r="Q44" i="6" s="1"/>
  <c r="P45" i="6"/>
  <c r="Q45" i="6" s="1"/>
  <c r="P46" i="6"/>
  <c r="Q46" i="6" s="1"/>
  <c r="P47" i="6"/>
  <c r="Q47" i="6" s="1"/>
  <c r="P48" i="6"/>
  <c r="Q48" i="6" s="1"/>
  <c r="P49" i="6"/>
  <c r="Q49" i="6" s="1"/>
  <c r="P50" i="6"/>
  <c r="Q50" i="6" s="1"/>
  <c r="P51" i="6"/>
  <c r="Q51" i="6" s="1"/>
  <c r="P52" i="6"/>
  <c r="D23" i="6" s="1"/>
  <c r="P53" i="6"/>
  <c r="D24" i="6" s="1"/>
  <c r="P54" i="6"/>
  <c r="D25" i="6" s="1"/>
  <c r="P55" i="6"/>
  <c r="D26" i="6" s="1"/>
  <c r="P56" i="6"/>
  <c r="Q56" i="6" s="1"/>
  <c r="P57" i="6"/>
  <c r="Q57" i="6" s="1"/>
  <c r="P58" i="6"/>
  <c r="Q58" i="6" s="1"/>
  <c r="P59" i="6"/>
  <c r="Q59" i="6" s="1"/>
  <c r="P60" i="6"/>
  <c r="Q60" i="6" s="1"/>
  <c r="P61" i="6"/>
  <c r="Q61" i="6" s="1"/>
  <c r="P62" i="6"/>
  <c r="Q62" i="6" s="1"/>
  <c r="P63" i="6"/>
  <c r="Q63" i="6" s="1"/>
  <c r="P64" i="6"/>
  <c r="Q64" i="6" s="1"/>
  <c r="P65" i="6"/>
  <c r="Q65" i="6" s="1"/>
  <c r="P66" i="6"/>
  <c r="Q66" i="6" s="1"/>
  <c r="P67" i="6"/>
  <c r="Q67" i="6" s="1"/>
  <c r="P68" i="6"/>
  <c r="Q68" i="6" s="1"/>
  <c r="P69" i="6"/>
  <c r="Q69" i="6" s="1"/>
  <c r="P70" i="6"/>
  <c r="Q70" i="6" s="1"/>
  <c r="P71" i="6"/>
  <c r="Q71" i="6" s="1"/>
  <c r="P72" i="6"/>
  <c r="Q72" i="6" s="1"/>
  <c r="P73" i="6"/>
  <c r="Q73" i="6" s="1"/>
  <c r="P74" i="6"/>
  <c r="Q74" i="6" s="1"/>
  <c r="P75" i="6"/>
  <c r="Q75" i="6" s="1"/>
  <c r="P76" i="6"/>
  <c r="Q76" i="6" s="1"/>
  <c r="P77" i="6"/>
  <c r="Q77" i="6" s="1"/>
  <c r="P78" i="6"/>
  <c r="Q78" i="6" s="1"/>
  <c r="P79" i="6"/>
  <c r="Q79" i="6" s="1"/>
  <c r="P80" i="6"/>
  <c r="Q80" i="6" s="1"/>
  <c r="P81" i="6"/>
  <c r="Q81" i="6" s="1"/>
  <c r="P82" i="6"/>
  <c r="Q82" i="6" s="1"/>
  <c r="P83" i="6"/>
  <c r="Q83" i="6" s="1"/>
  <c r="P84" i="6"/>
  <c r="Q84" i="6" s="1"/>
  <c r="P85" i="6"/>
  <c r="Q85" i="6" s="1"/>
  <c r="P86" i="6"/>
  <c r="Q86" i="6" s="1"/>
  <c r="P87" i="6"/>
  <c r="Q87" i="6" s="1"/>
  <c r="P88" i="6"/>
  <c r="Q88" i="6" s="1"/>
  <c r="P89" i="6"/>
  <c r="Q89" i="6" s="1"/>
  <c r="P90" i="6"/>
  <c r="Q90" i="6" s="1"/>
  <c r="P91" i="6"/>
  <c r="Q91" i="6" s="1"/>
  <c r="P92" i="6"/>
  <c r="Q92" i="6" s="1"/>
  <c r="P93" i="6"/>
  <c r="Q93" i="6" s="1"/>
  <c r="P94" i="6"/>
  <c r="Q94" i="6" s="1"/>
  <c r="P95" i="6"/>
  <c r="Q95" i="6" s="1"/>
  <c r="P96" i="6"/>
  <c r="Q96" i="6" s="1"/>
  <c r="P97" i="6"/>
  <c r="Q97" i="6" s="1"/>
  <c r="P98" i="6"/>
  <c r="Q98" i="6" s="1"/>
  <c r="P99" i="6"/>
  <c r="Q99" i="6" s="1"/>
  <c r="P100" i="6"/>
  <c r="Q100" i="6" s="1"/>
  <c r="P101" i="6"/>
  <c r="Q101" i="6" s="1"/>
  <c r="P102" i="6"/>
  <c r="Q102" i="6" s="1"/>
  <c r="P103" i="6"/>
  <c r="Q103" i="6" s="1"/>
  <c r="P3" i="6"/>
  <c r="Q3" i="6" s="1"/>
  <c r="D4" i="6" l="1"/>
  <c r="G7" i="6"/>
  <c r="D7" i="6"/>
  <c r="G6" i="6"/>
  <c r="D6" i="6"/>
  <c r="G5" i="6"/>
  <c r="D5" i="6"/>
  <c r="G4" i="6"/>
  <c r="G8" i="6" l="1"/>
  <c r="G12" i="6" s="1"/>
  <c r="D8" i="6"/>
  <c r="D14" i="6" s="1"/>
  <c r="H15" i="1"/>
  <c r="J13" i="1"/>
  <c r="G14" i="6" l="1"/>
  <c r="I14" i="6" s="1"/>
  <c r="J14" i="6" s="1"/>
  <c r="G15" i="6"/>
  <c r="G16" i="6"/>
  <c r="G13" i="6"/>
  <c r="D13" i="6"/>
  <c r="D16" i="6"/>
  <c r="D12" i="6"/>
  <c r="D15" i="6"/>
  <c r="S15" i="1"/>
  <c r="U13" i="1"/>
  <c r="I13" i="6" l="1"/>
  <c r="J13" i="6" s="1"/>
  <c r="I15" i="6"/>
  <c r="J15" i="6" s="1"/>
  <c r="I12" i="6"/>
  <c r="J12" i="6" s="1"/>
  <c r="B26" i="1"/>
  <c r="C26" i="1"/>
  <c r="D26" i="1"/>
  <c r="E26" i="1"/>
  <c r="F26" i="1"/>
  <c r="G26" i="1"/>
  <c r="H26" i="1"/>
  <c r="S28" i="1"/>
  <c r="U26" i="1"/>
  <c r="J27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K12" i="6" l="1"/>
  <c r="D33" i="6" s="1"/>
  <c r="D43" i="6" s="1"/>
  <c r="Q52" i="6" s="1"/>
  <c r="K15" i="6"/>
  <c r="D36" i="6" s="1"/>
  <c r="D46" i="6" s="1"/>
  <c r="Q55" i="6" s="1"/>
  <c r="K14" i="6"/>
  <c r="D35" i="6" s="1"/>
  <c r="D45" i="6" s="1"/>
  <c r="Q54" i="6" s="1"/>
  <c r="K13" i="6"/>
  <c r="D34" i="6" s="1"/>
  <c r="D44" i="6" s="1"/>
  <c r="Q53" i="6" s="1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0" i="1" l="1"/>
  <c r="H21" i="1"/>
  <c r="H22" i="1"/>
  <c r="J24" i="1"/>
  <c r="J25" i="1"/>
  <c r="J23" i="1"/>
  <c r="U20" i="1"/>
  <c r="U21" i="1"/>
  <c r="B21" i="1"/>
  <c r="C21" i="1"/>
  <c r="J15" i="1"/>
  <c r="B22" i="1"/>
  <c r="D21" i="1"/>
  <c r="E21" i="1"/>
  <c r="F21" i="1"/>
  <c r="G21" i="1"/>
  <c r="F22" i="1"/>
  <c r="B20" i="1"/>
  <c r="E20" i="1"/>
  <c r="C22" i="1"/>
  <c r="D22" i="1"/>
  <c r="U15" i="1"/>
  <c r="U28" i="1" s="1"/>
  <c r="G22" i="1"/>
  <c r="F20" i="1"/>
  <c r="U22" i="1"/>
  <c r="D20" i="1"/>
  <c r="G20" i="1"/>
  <c r="E22" i="1"/>
  <c r="C20" i="1"/>
  <c r="F102" i="4"/>
  <c r="G101" i="4" s="1"/>
  <c r="B102" i="4"/>
  <c r="C102" i="4" s="1"/>
  <c r="F102" i="3"/>
  <c r="G101" i="3" s="1"/>
  <c r="B102" i="3"/>
  <c r="C14" i="3" s="1"/>
  <c r="F28" i="1" l="1"/>
  <c r="S36" i="1"/>
  <c r="S35" i="1"/>
  <c r="M39" i="1"/>
  <c r="N39" i="1"/>
  <c r="O39" i="1"/>
  <c r="P39" i="1"/>
  <c r="R39" i="1"/>
  <c r="S39" i="1"/>
  <c r="S34" i="1"/>
  <c r="S33" i="1"/>
  <c r="S38" i="1"/>
  <c r="S37" i="1"/>
  <c r="Q39" i="1"/>
  <c r="G28" i="1"/>
  <c r="S41" i="1"/>
  <c r="U39" i="1"/>
  <c r="H28" i="1"/>
  <c r="J21" i="1"/>
  <c r="O36" i="1"/>
  <c r="R41" i="1"/>
  <c r="Q41" i="1"/>
  <c r="O41" i="1"/>
  <c r="N41" i="1"/>
  <c r="R34" i="1"/>
  <c r="U35" i="1"/>
  <c r="Q36" i="1"/>
  <c r="Q38" i="1"/>
  <c r="M34" i="1"/>
  <c r="R36" i="1"/>
  <c r="N37" i="1"/>
  <c r="P35" i="1"/>
  <c r="M37" i="1"/>
  <c r="Q35" i="1"/>
  <c r="O37" i="1"/>
  <c r="O35" i="1"/>
  <c r="U41" i="1"/>
  <c r="T41" i="1"/>
  <c r="U37" i="1"/>
  <c r="R37" i="1"/>
  <c r="R35" i="1"/>
  <c r="P37" i="1"/>
  <c r="N35" i="1"/>
  <c r="O38" i="1"/>
  <c r="Q37" i="1"/>
  <c r="N38" i="1"/>
  <c r="M35" i="1"/>
  <c r="M38" i="1"/>
  <c r="E28" i="1"/>
  <c r="Q33" i="1"/>
  <c r="P36" i="1"/>
  <c r="N36" i="1"/>
  <c r="R38" i="1"/>
  <c r="Q34" i="1"/>
  <c r="M36" i="1"/>
  <c r="O34" i="1"/>
  <c r="M33" i="1"/>
  <c r="R33" i="1"/>
  <c r="J22" i="1"/>
  <c r="O33" i="1"/>
  <c r="C28" i="1"/>
  <c r="N33" i="1"/>
  <c r="P41" i="1"/>
  <c r="D28" i="1"/>
  <c r="P38" i="1"/>
  <c r="J20" i="1"/>
  <c r="B28" i="1"/>
  <c r="P33" i="1"/>
  <c r="U38" i="1"/>
  <c r="U34" i="1"/>
  <c r="M41" i="1"/>
  <c r="U33" i="1"/>
  <c r="N34" i="1"/>
  <c r="P34" i="1"/>
  <c r="U36" i="1"/>
  <c r="G11" i="4"/>
  <c r="G39" i="4"/>
  <c r="G15" i="4"/>
  <c r="C30" i="4"/>
  <c r="C54" i="4"/>
  <c r="C26" i="4"/>
  <c r="C46" i="4"/>
  <c r="G31" i="4"/>
  <c r="C14" i="4"/>
  <c r="C38" i="4"/>
  <c r="C22" i="4"/>
  <c r="C42" i="4"/>
  <c r="C58" i="4"/>
  <c r="C18" i="4"/>
  <c r="C34" i="4"/>
  <c r="C50" i="4"/>
  <c r="C62" i="4"/>
  <c r="C75" i="4"/>
  <c r="C13" i="4"/>
  <c r="C17" i="4"/>
  <c r="C21" i="4"/>
  <c r="C25" i="4"/>
  <c r="C29" i="4"/>
  <c r="C33" i="4"/>
  <c r="C37" i="4"/>
  <c r="C41" i="4"/>
  <c r="C45" i="4"/>
  <c r="C49" i="4"/>
  <c r="C53" i="4"/>
  <c r="C57" i="4"/>
  <c r="C61" i="4"/>
  <c r="C65" i="4"/>
  <c r="C71" i="4"/>
  <c r="C99" i="4"/>
  <c r="G27" i="4"/>
  <c r="G47" i="4"/>
  <c r="C66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87" i="4"/>
  <c r="G23" i="4"/>
  <c r="G43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83" i="4"/>
  <c r="G59" i="4"/>
  <c r="C73" i="4"/>
  <c r="C91" i="4"/>
  <c r="G19" i="4"/>
  <c r="G35" i="4"/>
  <c r="G51" i="4"/>
  <c r="C69" i="4"/>
  <c r="C79" i="4"/>
  <c r="C95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92" i="4"/>
  <c r="G102" i="4"/>
  <c r="G55" i="4"/>
  <c r="G63" i="4"/>
  <c r="G71" i="4"/>
  <c r="G83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90" i="4"/>
  <c r="G98" i="4"/>
  <c r="G67" i="4"/>
  <c r="G75" i="4"/>
  <c r="G79" i="4"/>
  <c r="G88" i="4"/>
  <c r="G96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4" i="4"/>
  <c r="G87" i="4"/>
  <c r="G89" i="4"/>
  <c r="G91" i="4"/>
  <c r="G93" i="4"/>
  <c r="G95" i="4"/>
  <c r="G97" i="4"/>
  <c r="G100" i="4"/>
  <c r="C70" i="4"/>
  <c r="C72" i="4"/>
  <c r="C74" i="4"/>
  <c r="C77" i="4"/>
  <c r="C81" i="4"/>
  <c r="C85" i="4"/>
  <c r="C89" i="4"/>
  <c r="C93" i="4"/>
  <c r="C97" i="4"/>
  <c r="C101" i="4"/>
  <c r="G99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J28" i="1" l="1"/>
  <c r="F39" i="1" l="1"/>
  <c r="AB39" i="1" s="1"/>
  <c r="E39" i="1"/>
  <c r="AA39" i="1" s="1"/>
  <c r="G39" i="1"/>
  <c r="AC39" i="1" s="1"/>
  <c r="D39" i="1"/>
  <c r="Z39" i="1" s="1"/>
  <c r="H39" i="1"/>
  <c r="AD39" i="1" s="1"/>
  <c r="C39" i="1"/>
  <c r="Y39" i="1" s="1"/>
  <c r="B39" i="1"/>
  <c r="X39" i="1" s="1"/>
  <c r="H36" i="1"/>
  <c r="AD36" i="1" s="1"/>
  <c r="H38" i="1"/>
  <c r="AD38" i="1" s="1"/>
  <c r="H37" i="1"/>
  <c r="AD37" i="1" s="1"/>
  <c r="H34" i="1"/>
  <c r="AD34" i="1" s="1"/>
  <c r="H35" i="1"/>
  <c r="AD35" i="1" s="1"/>
  <c r="H33" i="1"/>
  <c r="AD33" i="1" s="1"/>
  <c r="J39" i="1"/>
  <c r="AF39" i="1" s="1"/>
  <c r="H41" i="1"/>
  <c r="AD41" i="1" s="1"/>
  <c r="J33" i="1"/>
  <c r="AF33" i="1" s="1"/>
  <c r="G41" i="1"/>
  <c r="AC41" i="1" s="1"/>
  <c r="F41" i="1"/>
  <c r="AB41" i="1" s="1"/>
  <c r="C41" i="1"/>
  <c r="Y41" i="1" s="1"/>
  <c r="E41" i="1"/>
  <c r="AA41" i="1" s="1"/>
  <c r="D41" i="1"/>
  <c r="Z41" i="1" s="1"/>
  <c r="B41" i="1"/>
  <c r="X41" i="1" s="1"/>
  <c r="G38" i="1"/>
  <c r="AC38" i="1" s="1"/>
  <c r="F38" i="1"/>
  <c r="AB38" i="1" s="1"/>
  <c r="E38" i="1"/>
  <c r="AA38" i="1" s="1"/>
  <c r="G37" i="1"/>
  <c r="AC37" i="1" s="1"/>
  <c r="B37" i="1"/>
  <c r="X37" i="1" s="1"/>
  <c r="E37" i="1"/>
  <c r="AA37" i="1" s="1"/>
  <c r="G36" i="1"/>
  <c r="AC36" i="1" s="1"/>
  <c r="B36" i="1"/>
  <c r="X36" i="1" s="1"/>
  <c r="C36" i="1"/>
  <c r="Y36" i="1" s="1"/>
  <c r="C37" i="1"/>
  <c r="Y37" i="1" s="1"/>
  <c r="D37" i="1"/>
  <c r="Z37" i="1" s="1"/>
  <c r="J41" i="1"/>
  <c r="AF41" i="1" s="1"/>
  <c r="D34" i="1"/>
  <c r="Z34" i="1" s="1"/>
  <c r="J37" i="1"/>
  <c r="AF37" i="1" s="1"/>
  <c r="G34" i="1"/>
  <c r="AC34" i="1" s="1"/>
  <c r="C34" i="1"/>
  <c r="Y34" i="1" s="1"/>
  <c r="F34" i="1"/>
  <c r="AB34" i="1" s="1"/>
  <c r="F36" i="1"/>
  <c r="AB36" i="1" s="1"/>
  <c r="E34" i="1"/>
  <c r="AA34" i="1" s="1"/>
  <c r="E36" i="1"/>
  <c r="AA36" i="1" s="1"/>
  <c r="D36" i="1"/>
  <c r="Z36" i="1" s="1"/>
  <c r="B35" i="1"/>
  <c r="X35" i="1" s="1"/>
  <c r="D38" i="1"/>
  <c r="Z38" i="1" s="1"/>
  <c r="B38" i="1"/>
  <c r="X38" i="1" s="1"/>
  <c r="I41" i="1"/>
  <c r="AE41" i="1" s="1"/>
  <c r="J36" i="1"/>
  <c r="AF36" i="1" s="1"/>
  <c r="F37" i="1"/>
  <c r="AB37" i="1" s="1"/>
  <c r="B34" i="1"/>
  <c r="X34" i="1" s="1"/>
  <c r="C38" i="1"/>
  <c r="Y38" i="1" s="1"/>
  <c r="J38" i="1"/>
  <c r="AF38" i="1" s="1"/>
  <c r="G33" i="1"/>
  <c r="AC33" i="1" s="1"/>
  <c r="G35" i="1"/>
  <c r="AC35" i="1" s="1"/>
  <c r="C35" i="1"/>
  <c r="Y35" i="1" s="1"/>
  <c r="E35" i="1"/>
  <c r="AA35" i="1" s="1"/>
  <c r="E33" i="1"/>
  <c r="AA33" i="1" s="1"/>
  <c r="J34" i="1"/>
  <c r="AF34" i="1" s="1"/>
  <c r="C33" i="1"/>
  <c r="Y33" i="1" s="1"/>
  <c r="D33" i="1"/>
  <c r="Z33" i="1" s="1"/>
  <c r="F33" i="1"/>
  <c r="AB33" i="1" s="1"/>
  <c r="F35" i="1"/>
  <c r="AB35" i="1" s="1"/>
  <c r="D35" i="1"/>
  <c r="Z35" i="1" s="1"/>
  <c r="B33" i="1"/>
  <c r="X33" i="1" s="1"/>
  <c r="J35" i="1"/>
  <c r="AF35" i="1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<sst xmlns="http://schemas.openxmlformats.org/spreadsheetml/2006/main" count="716" uniqueCount="284">
  <si>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</si>
  <si>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</si>
  <si>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</si>
  <si>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</si>
  <si>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</si>
  <si>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</si>
  <si>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</si>
  <si>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</si>
  <si>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</si>
  <si>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</si>
  <si>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</si>
  <si>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</si>
  <si>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</si>
  <si>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</si>
  <si>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</si>
  <si>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</si>
  <si>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</si>
  <si>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</si>
  <si>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</si>
  <si>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</si>
  <si>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</si>
  <si>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</si>
  <si>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</si>
  <si>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</si>
  <si>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</si>
  <si>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</si>
  <si>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</si>
  <si>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</si>
  <si>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</si>
  <si>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</si>
  <si>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</si>
  <si>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</si>
  <si>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</si>
  <si>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</si>
  <si>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</si>
  <si>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</si>
  <si>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</si>
  <si>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</si>
  <si>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</si>
  <si>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</si>
  <si>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</si>
  <si>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</si>
  <si>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</si>
  <si>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</si>
  <si>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</si>
  <si>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</si>
  <si>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</si>
  <si>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</si>
  <si>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</si>
  <si>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</si>
  <si>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</si>
  <si>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</si>
  <si>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</si>
  <si>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</si>
  <si>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</si>
  <si>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</si>
  <si>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</si>
  <si>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</si>
  <si>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</si>
  <si>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</si>
  <si>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</si>
  <si>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</si>
  <si>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</si>
  <si>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</si>
  <si>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</si>
  <si>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</si>
  <si>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</si>
  <si>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</si>
  <si>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</si>
  <si>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</si>
  <si>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</si>
  <si>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</si>
  <si>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</si>
  <si>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</si>
  <si>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</si>
  <si>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</si>
  <si>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</si>
  <si>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</si>
  <si>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</si>
  <si>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</si>
  <si>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</si>
  <si>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</si>
  <si>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</si>
  <si>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</si>
  <si>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</si>
  <si>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</si>
  <si>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</si>
  <si>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</si>
  <si>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</si>
  <si>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</si>
  <si>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</si>
  <si>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</si>
  <si>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</si>
  <si>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</si>
  <si>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</si>
  <si>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</si>
  <si>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</si>
  <si>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</si>
  <si>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</si>
  <si>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</si>
  <si>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</si>
  <si>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</si>
  <si>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</si>
  <si>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</si>
  <si>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</si>
  <si>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</si>
  <si>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</si>
  <si>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</si>
  <si>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</si>
  <si>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</si>
  <si>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</si>
  <si>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</si>
  <si>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</si>
  <si>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</si>
  <si>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</si>
  <si>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</si>
  <si>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</si>
  <si>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</si>
  <si>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</si>
  <si>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</si>
  <si>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</si>
  <si>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</si>
  <si>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</si>
  <si>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</si>
  <si>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</si>
  <si>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</si>
  <si>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</si>
  <si>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</si>
  <si>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</si>
  <si>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</si>
  <si>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</si>
  <si>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</si>
  <si>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</si>
  <si>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</si>
  <si>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</si>
  <si>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</si>
  <si>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</si>
  <si>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</si>
  <si>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</si>
  <si>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</si>
  <si>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</si>
  <si>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</si>
  <si>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</si>
  <si>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</si>
  <si>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</si>
  <si>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</si>
  <si>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</si>
  <si>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</si>
  <si>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</si>
  <si>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</si>
  <si>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</si>
  <si>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</si>
  <si>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</si>
  <si>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</si>
  <si>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</si>
  <si>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</si>
  <si>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</si>
  <si>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</si>
  <si>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</si>
  <si>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</si>
  <si>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</si>
  <si>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</si>
  <si>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</si>
  <si>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</si>
  <si>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</si>
  <si>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</si>
  <si>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</si>
  <si>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</si>
  <si>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</si>
  <si>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</si>
  <si>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</si>
  <si>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</si>
  <si>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</si>
  <si>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</si>
  <si>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</si>
  <si>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</si>
  <si>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</si>
  <si>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</si>
  <si>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</si>
  <si>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</si>
  <si>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</si>
  <si>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</si>
  <si>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</si>
  <si>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</si>
  <si>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</si>
  <si>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</si>
  <si>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</si>
  <si>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</si>
  <si>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</si>
  <si>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</si>
  <si>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</si>
  <si>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</si>
  <si>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</si>
  <si>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</si>
  <si>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</si>
  <si>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</si>
  <si>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</si>
  <si>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</si>
  <si>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</si>
  <si>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</si>
  <si>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</si>
  <si>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</si>
  <si>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</si>
  <si>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</si>
  <si>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</si>
  <si>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</si>
  <si>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</si>
  <si>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</si>
  <si>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</si>
  <si>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</si>
  <si>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</si>
  <si>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</si>
  <si>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</si>
  <si>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</si>
  <si>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</si>
  <si>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</si>
  <si>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</si>
  <si>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</si>
  <si>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</si>
  <si>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</si>
  <si>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</si>
  <si>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</si>
  <si>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</si>
  <si>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</si>
  <si>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</si>
  <si>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</si>
  <si>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</si>
  <si>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</si>
  <si>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</si>
  <si>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</si>
  <si>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</si>
  <si>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</si>
  <si>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</si>
  <si>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</si>
  <si>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</si>
  <si>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</si>
  <si>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</si>
  <si>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</si>
  <si>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</si>
  <si>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</si>
  <si>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</si>
  <si>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</si>
  <si>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</si>
  <si>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</si>
  <si>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</si>
  <si>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</si>
  <si>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</si>
  <si>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</si>
  <si>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</si>
  <si>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</si>
  <si>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</si>
  <si>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</si>
  <si>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</si>
  <si>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</si>
  <si>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v0402)</t>
  </si>
  <si>
    <t>Oct</t>
  </si>
  <si>
    <t>Beta00118</t>
  </si>
  <si>
    <t>011:04:21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</si>
  <si>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</si>
  <si>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</si>
  <si>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</si>
  <si>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</si>
  <si>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</si>
  <si>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</si>
  <si>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</si>
  <si>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</si>
  <si>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</si>
  <si>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</si>
  <si>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</si>
  <si>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</si>
  <si>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</si>
  <si>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</si>
  <si>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</si>
  <si>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</si>
  <si>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</si>
  <si>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</si>
  <si>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</si>
  <si>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</si>
  <si>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</si>
  <si>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</si>
  <si>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</si>
  <si>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Copy (Ctrl-c) cells Q3:Q104</t>
  </si>
  <si>
    <t>CALIBRATION</t>
  </si>
  <si>
    <t>Damp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</si>
</sst>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8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64" fontId="0" fillId="0" borderId="4" xfId="0" applyNumberFormat="1" applyBorder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0" fillId="0" borderId="0" xfId="0" applyFont="1" applyAlignment="1">
      <alignment horizontal="left"/>
    </xf>
    <xf numFmtId="0" fontId="0" fillId="0" borderId="1" xfId="0" applyFont="1" applyBorder="1"/>
    <xf numFmtId="0" fontId="0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5" fillId="5" borderId="5" xfId="0" applyFont="1" applyFill="1" applyBorder="1"/>
    <xf numFmtId="0" fontId="7" fillId="5" borderId="6" xfId="0" applyFont="1" applyFill="1" applyBorder="1"/>
    <xf numFmtId="0" fontId="7" fillId="5" borderId="7" xfId="0" applyFont="1" applyFill="1" applyBorder="1"/>
    <xf numFmtId="0" fontId="7" fillId="5" borderId="8" xfId="0" applyFont="1" applyFill="1" applyBorder="1"/>
    <xf numFmtId="0" fontId="7" fillId="5" borderId="0" xfId="0" applyFont="1" applyFill="1" applyBorder="1"/>
    <xf numFmtId="0" fontId="7" fillId="5" borderId="9" xfId="0" applyFont="1" applyFill="1" applyBorder="1"/>
    <xf numFmtId="0" fontId="7" fillId="5" borderId="10" xfId="0" applyFont="1" applyFill="1" applyBorder="1"/>
    <xf numFmtId="0" fontId="7" fillId="5" borderId="3" xfId="0" applyFont="1" applyFill="1" applyBorder="1"/>
    <xf numFmtId="0" fontId="7" fillId="5" borderId="11" xfId="0" applyFont="1" applyFill="1" applyBorder="1"/>
    <xf numFmtId="0" fontId="8" fillId="0" borderId="0" xfId="0" applyFont="1"/>
    <xf numFmtId="166" fontId="7" fillId="6" borderId="0" xfId="0" applyNumberFormat="1" applyFont="1" applyFill="1" applyAlignment="1">
      <alignment horizontal="right"/>
    </xf>
    <xf numFmtId="166" fontId="7" fillId="6" borderId="1" xfId="0" applyNumberFormat="1" applyFont="1" applyFill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  <xf numFmtId="0" fontId="0" fillId="0" borderId="12" xfId="0" applyFont="1" applyBorder="1" applyAlignment="1">
      <alignment horizontal="left"/>
    </xf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1" fontId="0" fillId="0" borderId="0" xfId="0" applyNumberFormat="1" applyFont="1" applyAlignment="1">
      <alignment horizontal="right"/>
    </xf>
    <xf numFmtId="166" fontId="7" fillId="0" borderId="6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72" fontId="0" fillId="7" borderId="0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0.24409030885147889</c:v>
                </c:pt>
                <c:pt idx="1">
                  <c:v>0.23255645224268454</c:v>
                </c:pt>
                <c:pt idx="2">
                  <c:v>0.14413285834717779</c:v>
                </c:pt>
                <c:pt idx="3">
                  <c:v>9.5220762005899642E-2</c:v>
                </c:pt>
                <c:pt idx="4">
                  <c:v>5.8294665834802556E-2</c:v>
                </c:pt>
                <c:pt idx="5">
                  <c:v>2.8758230661792221E-2</c:v>
                </c:pt>
                <c:pt idx="6">
                  <c:v>2.8086449819451992E-2</c:v>
                </c:pt>
                <c:pt idx="7">
                  <c:v>3.9440450427000048E-2</c:v>
                </c:pt>
                <c:pt idx="8">
                  <c:v>7.3017500897403645E-3</c:v>
                </c:pt>
                <c:pt idx="9">
                  <c:v>7.5643835035622371E-3</c:v>
                </c:pt>
                <c:pt idx="10">
                  <c:v>3.836726819742721E-2</c:v>
                </c:pt>
                <c:pt idx="11">
                  <c:v>2.1088621551134105E-2</c:v>
                </c:pt>
                <c:pt idx="12">
                  <c:v>6.2991115279477259E-3</c:v>
                </c:pt>
                <c:pt idx="13">
                  <c:v>1.0636117818588298E-2</c:v>
                </c:pt>
                <c:pt idx="14">
                  <c:v>9.7847650836584404E-3</c:v>
                </c:pt>
                <c:pt idx="15">
                  <c:v>5.2752777194908429E-3</c:v>
                </c:pt>
                <c:pt idx="16">
                  <c:v>5.143299826747781E-3</c:v>
                </c:pt>
                <c:pt idx="17">
                  <c:v>3.7759034385333348E-3</c:v>
                </c:pt>
                <c:pt idx="18">
                  <c:v>1.2144893103985125E-3</c:v>
                </c:pt>
                <c:pt idx="19">
                  <c:v>3.4405543711992044E-3</c:v>
                </c:pt>
                <c:pt idx="20">
                  <c:v>1.7505334422279019E-3</c:v>
                </c:pt>
                <c:pt idx="21">
                  <c:v>0</c:v>
                </c:pt>
                <c:pt idx="22">
                  <c:v>3.7634155608744259E-3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4.0143303681820734E-3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0.10393812209346256</c:v>
                </c:pt>
                <c:pt idx="1">
                  <c:v>0.11795132472849421</c:v>
                </c:pt>
                <c:pt idx="2">
                  <c:v>0.10141025024557451</c:v>
                </c:pt>
                <c:pt idx="3">
                  <c:v>9.4135749465918378E-2</c:v>
                </c:pt>
                <c:pt idx="4">
                  <c:v>9.387471922075602E-2</c:v>
                </c:pt>
                <c:pt idx="5">
                  <c:v>9.3984626692403331E-2</c:v>
                </c:pt>
                <c:pt idx="6">
                  <c:v>6.9358483826428619E-2</c:v>
                </c:pt>
                <c:pt idx="7">
                  <c:v>6.3038804206708474E-2</c:v>
                </c:pt>
                <c:pt idx="8">
                  <c:v>5.4589667323821756E-2</c:v>
                </c:pt>
                <c:pt idx="9">
                  <c:v>3.5129175625270473E-2</c:v>
                </c:pt>
                <c:pt idx="10">
                  <c:v>3.2354011966175975E-2</c:v>
                </c:pt>
                <c:pt idx="11">
                  <c:v>2.8534727326432061E-2</c:v>
                </c:pt>
                <c:pt idx="12">
                  <c:v>2.2263132225557609E-2</c:v>
                </c:pt>
                <c:pt idx="13">
                  <c:v>2.0504612679200698E-2</c:v>
                </c:pt>
                <c:pt idx="14">
                  <c:v>1.4178063842502593E-2</c:v>
                </c:pt>
                <c:pt idx="15">
                  <c:v>1.292099713553652E-2</c:v>
                </c:pt>
                <c:pt idx="16">
                  <c:v>9.6855959389189235E-3</c:v>
                </c:pt>
                <c:pt idx="17">
                  <c:v>7.0821627042733397E-3</c:v>
                </c:pt>
                <c:pt idx="18">
                  <c:v>5.1587819504454683E-3</c:v>
                </c:pt>
                <c:pt idx="19">
                  <c:v>5.5778041861008262E-3</c:v>
                </c:pt>
                <c:pt idx="20">
                  <c:v>3.8261538567218724E-3</c:v>
                </c:pt>
                <c:pt idx="21">
                  <c:v>2.9675017344772871E-3</c:v>
                </c:pt>
                <c:pt idx="22">
                  <c:v>2.101980395254745E-3</c:v>
                </c:pt>
                <c:pt idx="23">
                  <c:v>1.559312253996167E-3</c:v>
                </c:pt>
                <c:pt idx="24">
                  <c:v>1.1128131504289827E-3</c:v>
                </c:pt>
                <c:pt idx="25">
                  <c:v>7.6248308455319181E-4</c:v>
                </c:pt>
                <c:pt idx="26">
                  <c:v>5.9075266010427468E-4</c:v>
                </c:pt>
                <c:pt idx="27">
                  <c:v>2.2668416027257052E-4</c:v>
                </c:pt>
                <c:pt idx="28">
                  <c:v>2.4042259422848389E-4</c:v>
                </c:pt>
                <c:pt idx="29">
                  <c:v>1.8546885840483045E-4</c:v>
                </c:pt>
                <c:pt idx="30">
                  <c:v>1.3738433955913366E-4</c:v>
                </c:pt>
                <c:pt idx="31">
                  <c:v>1.8546885840483045E-4</c:v>
                </c:pt>
                <c:pt idx="32">
                  <c:v>9.6169037691393552E-5</c:v>
                </c:pt>
                <c:pt idx="33">
                  <c:v>8.2430603735480197E-5</c:v>
                </c:pt>
                <c:pt idx="34">
                  <c:v>8.2430603735480197E-5</c:v>
                </c:pt>
                <c:pt idx="35">
                  <c:v>2.747686791182673E-5</c:v>
                </c:pt>
                <c:pt idx="36">
                  <c:v>3.4346084889783414E-5</c:v>
                </c:pt>
                <c:pt idx="37">
                  <c:v>3.4346084889783414E-5</c:v>
                </c:pt>
                <c:pt idx="38">
                  <c:v>6.8692169779566825E-6</c:v>
                </c:pt>
                <c:pt idx="39">
                  <c:v>6.8692169779566825E-6</c:v>
                </c:pt>
                <c:pt idx="40">
                  <c:v>2.0607650933870049E-5</c:v>
                </c:pt>
                <c:pt idx="41">
                  <c:v>6.8692169779566825E-6</c:v>
                </c:pt>
                <c:pt idx="42">
                  <c:v>1.3738433955913365E-5</c:v>
                </c:pt>
                <c:pt idx="43">
                  <c:v>6.8692169779566825E-6</c:v>
                </c:pt>
                <c:pt idx="44">
                  <c:v>0</c:v>
                </c:pt>
                <c:pt idx="45">
                  <c:v>6.8692169779566825E-6</c:v>
                </c:pt>
                <c:pt idx="46">
                  <c:v>0</c:v>
                </c:pt>
                <c:pt idx="47">
                  <c:v>6.8692169779566825E-6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98664"/>
        <c:axId val="128398272"/>
      </c:lineChart>
      <c:catAx>
        <c:axId val="128398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8398272"/>
        <c:crosses val="autoZero"/>
        <c:auto val="1"/>
        <c:lblAlgn val="ctr"/>
        <c:lblOffset val="100"/>
        <c:tickLblSkip val="10"/>
        <c:noMultiLvlLbl val="0"/>
      </c:catAx>
      <c:valAx>
        <c:axId val="1283982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839866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2.7078168972147348E-2</c:v>
                </c:pt>
                <c:pt idx="1">
                  <c:v>7.4947719389636222E-2</c:v>
                </c:pt>
                <c:pt idx="2">
                  <c:v>5.3136324144492292E-2</c:v>
                </c:pt>
                <c:pt idx="3">
                  <c:v>9.6159630164153867E-2</c:v>
                </c:pt>
                <c:pt idx="4">
                  <c:v>8.9075442365048704E-2</c:v>
                </c:pt>
                <c:pt idx="5">
                  <c:v>8.8711762242142611E-2</c:v>
                </c:pt>
                <c:pt idx="6">
                  <c:v>6.666581121174231E-2</c:v>
                </c:pt>
                <c:pt idx="7">
                  <c:v>0.10036565176585767</c:v>
                </c:pt>
                <c:pt idx="8">
                  <c:v>0.11562814427845627</c:v>
                </c:pt>
                <c:pt idx="9">
                  <c:v>6.3751010893565482E-2</c:v>
                </c:pt>
                <c:pt idx="10">
                  <c:v>1.8708562948899787E-2</c:v>
                </c:pt>
                <c:pt idx="11">
                  <c:v>6.6519946148712802E-3</c:v>
                </c:pt>
                <c:pt idx="12">
                  <c:v>5.0446722601041978E-3</c:v>
                </c:pt>
                <c:pt idx="13">
                  <c:v>1.6335723458513797E-3</c:v>
                </c:pt>
                <c:pt idx="14">
                  <c:v>6.6193951529498517E-3</c:v>
                </c:pt>
                <c:pt idx="15">
                  <c:v>1.6459317346601905E-2</c:v>
                </c:pt>
                <c:pt idx="16">
                  <c:v>1.3438252264509508E-3</c:v>
                </c:pt>
                <c:pt idx="17">
                  <c:v>1.2259485137583053E-2</c:v>
                </c:pt>
                <c:pt idx="18">
                  <c:v>3.9690558992608885E-2</c:v>
                </c:pt>
                <c:pt idx="19">
                  <c:v>9.4932736051268514E-3</c:v>
                </c:pt>
                <c:pt idx="20">
                  <c:v>1.5192631920005514E-2</c:v>
                </c:pt>
                <c:pt idx="21">
                  <c:v>2.036587627288337E-2</c:v>
                </c:pt>
                <c:pt idx="22">
                  <c:v>8.3041610071421367E-3</c:v>
                </c:pt>
                <c:pt idx="23">
                  <c:v>8.5849733839347894E-3</c:v>
                </c:pt>
                <c:pt idx="24">
                  <c:v>5.8557714622601625E-3</c:v>
                </c:pt>
                <c:pt idx="25">
                  <c:v>9.2724028748668776E-3</c:v>
                </c:pt>
                <c:pt idx="26">
                  <c:v>1.0956964293154002E-3</c:v>
                </c:pt>
                <c:pt idx="27">
                  <c:v>6.6789258147422371E-4</c:v>
                </c:pt>
                <c:pt idx="28">
                  <c:v>0</c:v>
                </c:pt>
                <c:pt idx="29">
                  <c:v>1.0074431856519366E-2</c:v>
                </c:pt>
                <c:pt idx="30">
                  <c:v>9.7142560729417005E-3</c:v>
                </c:pt>
                <c:pt idx="31">
                  <c:v>0</c:v>
                </c:pt>
                <c:pt idx="32">
                  <c:v>9.540244216927823E-4</c:v>
                </c:pt>
                <c:pt idx="33">
                  <c:v>0</c:v>
                </c:pt>
                <c:pt idx="34">
                  <c:v>3.763415560874425E-3</c:v>
                </c:pt>
                <c:pt idx="35">
                  <c:v>3.5021754307913971E-3</c:v>
                </c:pt>
                <c:pt idx="36">
                  <c:v>9.6062402362399359E-4</c:v>
                </c:pt>
                <c:pt idx="37">
                  <c:v>3.0385239648022025E-3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1.214489310398512E-3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4.0143303681820725E-3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1.1059439334510259E-2</c:v>
                </c:pt>
                <c:pt idx="1">
                  <c:v>3.2958503060236163E-2</c:v>
                </c:pt>
                <c:pt idx="2">
                  <c:v>4.6408429903075352E-2</c:v>
                </c:pt>
                <c:pt idx="3">
                  <c:v>5.4527844371020144E-2</c:v>
                </c:pt>
                <c:pt idx="4">
                  <c:v>5.3071570371693327E-2</c:v>
                </c:pt>
                <c:pt idx="5">
                  <c:v>5.307843958867129E-2</c:v>
                </c:pt>
                <c:pt idx="6">
                  <c:v>4.9623223448759073E-2</c:v>
                </c:pt>
                <c:pt idx="7">
                  <c:v>5.2748717173729365E-2</c:v>
                </c:pt>
                <c:pt idx="8">
                  <c:v>5.083220563687945E-2</c:v>
                </c:pt>
                <c:pt idx="9">
                  <c:v>4.8139472581520432E-2</c:v>
                </c:pt>
                <c:pt idx="10">
                  <c:v>4.4086634564525988E-2</c:v>
                </c:pt>
                <c:pt idx="11">
                  <c:v>4.0590203122746041E-2</c:v>
                </c:pt>
                <c:pt idx="12">
                  <c:v>3.1783866957005573E-2</c:v>
                </c:pt>
                <c:pt idx="13">
                  <c:v>2.8067620571931004E-2</c:v>
                </c:pt>
                <c:pt idx="14">
                  <c:v>2.3238561036427456E-2</c:v>
                </c:pt>
                <c:pt idx="15">
                  <c:v>2.3334730074118851E-2</c:v>
                </c:pt>
                <c:pt idx="16">
                  <c:v>3.166022105140235E-2</c:v>
                </c:pt>
                <c:pt idx="17">
                  <c:v>2.8362996901983142E-2</c:v>
                </c:pt>
                <c:pt idx="18">
                  <c:v>2.9936047589935223E-2</c:v>
                </c:pt>
                <c:pt idx="19">
                  <c:v>2.5560356374976816E-2</c:v>
                </c:pt>
                <c:pt idx="20">
                  <c:v>2.5484794988219293E-2</c:v>
                </c:pt>
                <c:pt idx="21">
                  <c:v>2.6432746931177316E-2</c:v>
                </c:pt>
                <c:pt idx="22">
                  <c:v>2.32316918194495E-2</c:v>
                </c:pt>
                <c:pt idx="23">
                  <c:v>2.2146355536932345E-2</c:v>
                </c:pt>
                <c:pt idx="24">
                  <c:v>1.8402632283945952E-2</c:v>
                </c:pt>
                <c:pt idx="25">
                  <c:v>1.7028788888354615E-2</c:v>
                </c:pt>
                <c:pt idx="26">
                  <c:v>1.5297746209909532E-2</c:v>
                </c:pt>
                <c:pt idx="27">
                  <c:v>1.1979914409556454E-2</c:v>
                </c:pt>
                <c:pt idx="28">
                  <c:v>1.2982820088338131E-2</c:v>
                </c:pt>
                <c:pt idx="29">
                  <c:v>1.0262610165067285E-2</c:v>
                </c:pt>
                <c:pt idx="30">
                  <c:v>8.8750283355200337E-3</c:v>
                </c:pt>
                <c:pt idx="31">
                  <c:v>7.5080541569066545E-3</c:v>
                </c:pt>
                <c:pt idx="32">
                  <c:v>6.4501947423013248E-3</c:v>
                </c:pt>
                <c:pt idx="33">
                  <c:v>6.5394945630147623E-3</c:v>
                </c:pt>
                <c:pt idx="34">
                  <c:v>4.822190318525591E-3</c:v>
                </c:pt>
                <c:pt idx="35">
                  <c:v>4.1764839225976631E-3</c:v>
                </c:pt>
                <c:pt idx="36">
                  <c:v>3.4552161399122113E-3</c:v>
                </c:pt>
                <c:pt idx="37">
                  <c:v>2.8163789609622399E-3</c:v>
                </c:pt>
                <c:pt idx="38">
                  <c:v>2.4729181120644057E-3</c:v>
                </c:pt>
                <c:pt idx="39">
                  <c:v>1.9371191877837846E-3</c:v>
                </c:pt>
                <c:pt idx="40">
                  <c:v>1.6760889426214306E-3</c:v>
                </c:pt>
                <c:pt idx="41">
                  <c:v>1.3944510465252065E-3</c:v>
                </c:pt>
                <c:pt idx="42">
                  <c:v>1.1265515843848959E-3</c:v>
                </c:pt>
                <c:pt idx="43">
                  <c:v>1.0578594146053292E-3</c:v>
                </c:pt>
                <c:pt idx="44">
                  <c:v>7.3500621664136507E-4</c:v>
                </c:pt>
                <c:pt idx="45">
                  <c:v>5.9075266010427468E-4</c:v>
                </c:pt>
                <c:pt idx="46">
                  <c:v>4.5336832054514105E-4</c:v>
                </c:pt>
                <c:pt idx="47">
                  <c:v>3.0224554703009405E-4</c:v>
                </c:pt>
                <c:pt idx="48">
                  <c:v>2.678994621403106E-4</c:v>
                </c:pt>
                <c:pt idx="49">
                  <c:v>2.7476867911826731E-4</c:v>
                </c:pt>
                <c:pt idx="50">
                  <c:v>1.5112277351504703E-4</c:v>
                </c:pt>
                <c:pt idx="51">
                  <c:v>1.4425355653709034E-4</c:v>
                </c:pt>
                <c:pt idx="52">
                  <c:v>8.2430603735480197E-5</c:v>
                </c:pt>
                <c:pt idx="53">
                  <c:v>4.1215301867740098E-5</c:v>
                </c:pt>
                <c:pt idx="54">
                  <c:v>4.8084518845696776E-5</c:v>
                </c:pt>
                <c:pt idx="55">
                  <c:v>4.8084518845696776E-5</c:v>
                </c:pt>
                <c:pt idx="56">
                  <c:v>4.8084518845696776E-5</c:v>
                </c:pt>
                <c:pt idx="57">
                  <c:v>4.1215301867740098E-5</c:v>
                </c:pt>
                <c:pt idx="58">
                  <c:v>2.0607650933870049E-5</c:v>
                </c:pt>
                <c:pt idx="59">
                  <c:v>2.0607650933870049E-5</c:v>
                </c:pt>
                <c:pt idx="60">
                  <c:v>1.3738433955913365E-5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99448"/>
        <c:axId val="128399840"/>
      </c:lineChart>
      <c:catAx>
        <c:axId val="1283994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399840"/>
        <c:crosses val="autoZero"/>
        <c:auto val="1"/>
        <c:lblAlgn val="ctr"/>
        <c:lblOffset val="100"/>
        <c:tickLblSkip val="10"/>
        <c:noMultiLvlLbl val="0"/>
      </c:catAx>
      <c:valAx>
        <c:axId val="12839984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3994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topLeftCell="A88" workbookViewId="0">
      <selection activeCell="E106" sqref="E106"/>
    </sheetView>
  </sheetViews>
  <sheetFormatPr defaultRowHeight="14.25" x14ac:dyDescent="0.45"/>
  <cols>
    <col min="1" max="1" customWidth="true" width="13.59765625" collapsed="true"/>
    <col min="2" max="2" bestFit="true" customWidth="true" width="11.59765625" collapsed="true"/>
    <col min="6" max="6" bestFit="true" customWidth="true" width="11.59765625" collapsed="true"/>
  </cols>
  <sheetData>
    <row r="1" spans="1:12" x14ac:dyDescent="0.45">
      <c r="A1" t="s">
        <v>1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4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341" t="n">
        <v>29293.1710115834</v>
      </c>
      <c r="C11" s="11">
        <f>B11/B$102</f>
        <v>0.24409030885147889</v>
      </c>
      <c r="E11" s="19">
        <v>0</v>
      </c>
      <c r="F11" s="343" t="n">
        <v>15451.0</v>
      </c>
      <c r="G11" s="11">
        <f>F11/F$102</f>
        <v>0.10393812209346256</v>
      </c>
      <c r="K11" s="8" t="n">
        <v>3.300222372865475</v>
      </c>
      <c r="L11" s="8" t="n">
        <v>5.904431763728877</v>
      </c>
    </row>
    <row r="12" spans="1:12" x14ac:dyDescent="0.45">
      <c r="A12">
        <v>1</v>
      </c>
      <c r="B12" s="341" t="n">
        <v>27908.9979337818</v>
      </c>
      <c r="C12" s="11">
        <f>B12/B$102</f>
        <v>0.23255645224268454</v>
      </c>
      <c r="E12" s="20">
        <v>1</v>
      </c>
      <c r="F12" s="343" t="n">
        <v>17396.0</v>
      </c>
      <c r="G12" s="11">
        <f>F12/F$102</f>
        <v>0.11795132472849421</v>
      </c>
      <c r="K12" s="8"/>
      <c r="L12" s="289"/>
    </row>
    <row r="13" spans="1:12" x14ac:dyDescent="0.45">
      <c r="A13">
        <v>2</v>
      </c>
      <c r="B13" s="341" t="n">
        <v>17297.3211751771</v>
      </c>
      <c r="C13" s="11">
        <f t="shared" ref="C13:C76" si="0">B13/B$102</f>
        <v>0.14413285834717779</v>
      </c>
      <c r="E13" s="21">
        <v>2</v>
      </c>
      <c r="F13" s="343" t="n">
        <v>14902.0</v>
      </c>
      <c r="G13" s="11">
        <f t="shared" ref="G13:G76" si="1">F13/F$102</f>
        <v>0.10141025024557451</v>
      </c>
    </row>
    <row r="14" spans="1:12" x14ac:dyDescent="0.45">
      <c r="A14">
        <v>3</v>
      </c>
      <c r="B14" s="341" t="n">
        <v>11427.4019252002</v>
      </c>
      <c r="C14" s="11">
        <f t="shared" si="0"/>
        <v>9.5220762005899642E-2</v>
      </c>
      <c r="E14" s="22">
        <v>3</v>
      </c>
      <c r="F14" s="343" t="n">
        <v>13766.0</v>
      </c>
      <c r="G14" s="11">
        <f t="shared" si="1"/>
        <v>9.4135749465918378E-2</v>
      </c>
    </row>
    <row r="15" spans="1:12" x14ac:dyDescent="0.45">
      <c r="A15">
        <v>4</v>
      </c>
      <c r="B15" s="341" t="n">
        <v>6995.91730371</v>
      </c>
      <c r="C15" s="11">
        <f t="shared" si="0"/>
        <v>5.8294665834802556E-2</v>
      </c>
      <c r="E15" s="23">
        <v>4</v>
      </c>
      <c r="F15" s="343" t="n">
        <v>13677.0</v>
      </c>
      <c r="G15" s="11">
        <f t="shared" si="1"/>
        <v>9.387471922075602E-2</v>
      </c>
    </row>
    <row r="16" spans="1:12" x14ac:dyDescent="0.45">
      <c r="A16">
        <v>5</v>
      </c>
      <c r="B16" s="341" t="n">
        <v>3451.2626606533</v>
      </c>
      <c r="C16" s="11">
        <f t="shared" si="0"/>
        <v>2.8758230661792221E-2</v>
      </c>
      <c r="E16" s="24">
        <v>5</v>
      </c>
      <c r="F16" s="343" t="n">
        <v>13523.0</v>
      </c>
      <c r="G16" s="11">
        <f t="shared" si="1"/>
        <v>9.3984626692403331E-2</v>
      </c>
    </row>
    <row r="17" spans="1:7" x14ac:dyDescent="0.45">
      <c r="A17">
        <v>6</v>
      </c>
      <c r="B17" s="341" t="n">
        <v>3370.64253612</v>
      </c>
      <c r="C17" s="11">
        <f t="shared" si="0"/>
        <v>2.8086449819451992E-2</v>
      </c>
      <c r="E17" s="25">
        <v>6</v>
      </c>
      <c r="F17" s="343" t="n">
        <v>10127.0</v>
      </c>
      <c r="G17" s="11">
        <f t="shared" si="1"/>
        <v>6.9358483826428619E-2</v>
      </c>
    </row>
    <row r="18" spans="1:7" x14ac:dyDescent="0.45">
      <c r="A18">
        <v>7</v>
      </c>
      <c r="B18" s="341" t="n">
        <v>4733.23117402</v>
      </c>
      <c r="C18" s="11">
        <f t="shared" si="0"/>
        <v>3.9440450427000048E-2</v>
      </c>
      <c r="E18" s="26">
        <v>7</v>
      </c>
      <c r="F18" s="343" t="n">
        <v>8968.0</v>
      </c>
      <c r="G18" s="11">
        <f t="shared" si="1"/>
        <v>6.3038804206708474E-2</v>
      </c>
    </row>
    <row r="19" spans="1:7" x14ac:dyDescent="0.45">
      <c r="A19">
        <v>8</v>
      </c>
      <c r="B19" s="341" t="n">
        <v>876.279828843</v>
      </c>
      <c r="C19" s="11">
        <f t="shared" si="0"/>
        <v>7.3017500897403645E-3</v>
      </c>
      <c r="E19" s="27">
        <v>8</v>
      </c>
      <c r="F19" s="343" t="n">
        <v>7935.0</v>
      </c>
      <c r="G19" s="11">
        <f t="shared" si="1"/>
        <v>5.4589667323821756E-2</v>
      </c>
    </row>
    <row r="20" spans="1:7" x14ac:dyDescent="0.45">
      <c r="A20">
        <v>9</v>
      </c>
      <c r="B20" s="341" t="n">
        <v>907.798349757</v>
      </c>
      <c r="C20" s="11">
        <f t="shared" si="0"/>
        <v>7.5643835035622371E-3</v>
      </c>
      <c r="E20" s="28">
        <v>9</v>
      </c>
      <c r="F20" s="343" t="n">
        <v>5375.0</v>
      </c>
      <c r="G20" s="11">
        <f t="shared" si="1"/>
        <v>3.5129175625270473E-2</v>
      </c>
    </row>
    <row r="21" spans="1:7" x14ac:dyDescent="0.45">
      <c r="A21">
        <v>10</v>
      </c>
      <c r="B21" s="341" t="n">
        <v>4604.439044888</v>
      </c>
      <c r="C21" s="11">
        <f t="shared" si="0"/>
        <v>3.836726819742721E-2</v>
      </c>
      <c r="E21" s="29">
        <v>10</v>
      </c>
      <c r="F21" s="343" t="n">
        <v>4623.0</v>
      </c>
      <c r="G21" s="11">
        <f t="shared" si="1"/>
        <v>3.2354011966175975E-2</v>
      </c>
    </row>
    <row r="22" spans="1:7" x14ac:dyDescent="0.45">
      <c r="A22">
        <v>11</v>
      </c>
      <c r="B22" s="341" t="n">
        <v>2530.8362318957</v>
      </c>
      <c r="C22" s="11">
        <f t="shared" si="0"/>
        <v>2.1088621551134105E-2</v>
      </c>
      <c r="E22" s="30">
        <v>11</v>
      </c>
      <c r="F22" s="343" t="n">
        <v>4059.0</v>
      </c>
      <c r="G22" s="11">
        <f t="shared" si="1"/>
        <v>2.8534727326432061E-2</v>
      </c>
    </row>
    <row r="23" spans="1:7" x14ac:dyDescent="0.45">
      <c r="A23">
        <v>12</v>
      </c>
      <c r="B23" s="341" t="n">
        <v>755.953614371</v>
      </c>
      <c r="C23" s="11">
        <f t="shared" si="0"/>
        <v>6.2991115279477259E-3</v>
      </c>
      <c r="E23" s="31">
        <v>12</v>
      </c>
      <c r="F23" s="343" t="n">
        <v>3439.0</v>
      </c>
      <c r="G23" s="11">
        <f t="shared" si="1"/>
        <v>2.2263132225557609E-2</v>
      </c>
    </row>
    <row r="24" spans="1:7" x14ac:dyDescent="0.45">
      <c r="A24">
        <v>13</v>
      </c>
      <c r="B24" s="341" t="n">
        <v>1276.4358389535</v>
      </c>
      <c r="C24" s="11">
        <f t="shared" si="0"/>
        <v>1.0636117818588298E-2</v>
      </c>
      <c r="E24" s="32">
        <v>13</v>
      </c>
      <c r="F24" s="343" t="n">
        <v>2886.0</v>
      </c>
      <c r="G24" s="11">
        <f t="shared" si="1"/>
        <v>2.0504612679200698E-2</v>
      </c>
    </row>
    <row r="25" spans="1:7" x14ac:dyDescent="0.45">
      <c r="A25">
        <v>14</v>
      </c>
      <c r="B25" s="341" t="n">
        <v>1174.265370274</v>
      </c>
      <c r="C25" s="11">
        <f t="shared" si="0"/>
        <v>9.7847650836584404E-3</v>
      </c>
      <c r="E25" s="33">
        <v>14</v>
      </c>
      <c r="F25" s="343" t="n">
        <v>2081.0</v>
      </c>
      <c r="G25" s="11">
        <f t="shared" si="1"/>
        <v>1.4178063842502593E-2</v>
      </c>
    </row>
    <row r="26" spans="1:7" x14ac:dyDescent="0.45">
      <c r="A26">
        <v>15</v>
      </c>
      <c r="B26" s="341" t="n">
        <v>633.083767634</v>
      </c>
      <c r="C26" s="11">
        <f t="shared" si="0"/>
        <v>5.2752777194908429E-3</v>
      </c>
      <c r="E26" s="34">
        <v>15</v>
      </c>
      <c r="F26" s="343" t="n">
        <v>1931.0</v>
      </c>
      <c r="G26" s="11">
        <f t="shared" si="1"/>
        <v>1.292099713553652E-2</v>
      </c>
    </row>
    <row r="27" spans="1:7" x14ac:dyDescent="0.45">
      <c r="A27">
        <v>16</v>
      </c>
      <c r="B27" s="341" t="n">
        <v>617.245158555</v>
      </c>
      <c r="C27" s="11">
        <f t="shared" si="0"/>
        <v>5.143299826747781E-3</v>
      </c>
      <c r="E27" s="35">
        <v>16</v>
      </c>
      <c r="F27" s="343" t="n">
        <v>1488.0</v>
      </c>
      <c r="G27" s="11">
        <f t="shared" si="1"/>
        <v>9.6855959389189235E-3</v>
      </c>
    </row>
    <row r="28" spans="1:7" x14ac:dyDescent="0.45">
      <c r="A28">
        <v>17</v>
      </c>
      <c r="B28" s="341" t="n">
        <v>453.144517161</v>
      </c>
      <c r="C28" s="11">
        <f t="shared" si="0"/>
        <v>3.7759034385333348E-3</v>
      </c>
      <c r="E28" s="36">
        <v>17</v>
      </c>
      <c r="F28" s="343" t="n">
        <v>1093.0</v>
      </c>
      <c r="G28" s="11">
        <f t="shared" si="1"/>
        <v>7.0821627042733397E-3</v>
      </c>
    </row>
    <row r="29" spans="1:7" x14ac:dyDescent="0.45">
      <c r="A29">
        <v>18</v>
      </c>
      <c r="B29" s="341" t="n">
        <v>145.750329985</v>
      </c>
      <c r="C29" s="11">
        <f t="shared" si="0"/>
        <v>1.2144893103985125E-3</v>
      </c>
      <c r="E29" s="37">
        <v>18</v>
      </c>
      <c r="F29" s="343" t="n">
        <v>783.0</v>
      </c>
      <c r="G29" s="11">
        <f t="shared" si="1"/>
        <v>5.1587819504454683E-3</v>
      </c>
    </row>
    <row r="30" spans="1:7" x14ac:dyDescent="0.45">
      <c r="A30">
        <v>19</v>
      </c>
      <c r="B30" s="341" t="n">
        <v>412.899422531</v>
      </c>
      <c r="C30" s="11">
        <f t="shared" si="0"/>
        <v>3.4405543711992044E-3</v>
      </c>
      <c r="E30" s="38">
        <v>19</v>
      </c>
      <c r="F30" s="343" t="n">
        <v>832.0</v>
      </c>
      <c r="G30" s="11">
        <f t="shared" si="1"/>
        <v>5.5778041861008262E-3</v>
      </c>
    </row>
    <row r="31" spans="1:7" x14ac:dyDescent="0.45">
      <c r="A31">
        <v>20</v>
      </c>
      <c r="B31" s="341" t="n">
        <v>210.080751366</v>
      </c>
      <c r="C31" s="11">
        <f t="shared" si="0"/>
        <v>1.7505334422279019E-3</v>
      </c>
      <c r="E31" s="39">
        <v>20</v>
      </c>
      <c r="F31" s="343" t="n">
        <v>607.0</v>
      </c>
      <c r="G31" s="11">
        <f t="shared" si="1"/>
        <v>3.8261538567218724E-3</v>
      </c>
    </row>
    <row r="32" spans="1:7" x14ac:dyDescent="0.45">
      <c r="A32">
        <v>21</v>
      </c>
      <c r="B32" s="341" t="n">
        <v>0.0</v>
      </c>
      <c r="C32" s="11">
        <f t="shared" si="0"/>
        <v>0</v>
      </c>
      <c r="E32" s="40">
        <v>21</v>
      </c>
      <c r="F32" s="343" t="n">
        <v>418.0</v>
      </c>
      <c r="G32" s="11">
        <f t="shared" si="1"/>
        <v>2.9675017344772871E-3</v>
      </c>
    </row>
    <row r="33" spans="1:7" x14ac:dyDescent="0.45">
      <c r="A33">
        <v>22</v>
      </c>
      <c r="B33" s="341" t="n">
        <v>451.645852435</v>
      </c>
      <c r="C33" s="11">
        <f t="shared" si="0"/>
        <v>3.7634155608744259E-3</v>
      </c>
      <c r="E33" s="41">
        <v>22</v>
      </c>
      <c r="F33" s="343" t="n">
        <v>322.0</v>
      </c>
      <c r="G33" s="11">
        <f t="shared" si="1"/>
        <v>2.101980395254745E-3</v>
      </c>
    </row>
    <row r="34" spans="1:7" x14ac:dyDescent="0.45">
      <c r="A34">
        <v>23</v>
      </c>
      <c r="B34" s="341" t="n">
        <v>0.0</v>
      </c>
      <c r="C34" s="11">
        <f t="shared" si="0"/>
        <v>0</v>
      </c>
      <c r="E34" s="42">
        <v>23</v>
      </c>
      <c r="F34" s="343" t="n">
        <v>205.0</v>
      </c>
      <c r="G34" s="11">
        <f t="shared" si="1"/>
        <v>1.559312253996167E-3</v>
      </c>
    </row>
    <row r="35" spans="1:7" x14ac:dyDescent="0.45">
      <c r="A35">
        <v>24</v>
      </c>
      <c r="B35" s="341" t="n">
        <v>0.0</v>
      </c>
      <c r="C35" s="11">
        <f t="shared" si="0"/>
        <v>0</v>
      </c>
      <c r="E35" s="43">
        <v>24</v>
      </c>
      <c r="F35" s="343" t="n">
        <v>150.0</v>
      </c>
      <c r="G35" s="11">
        <f t="shared" si="1"/>
        <v>1.1128131504289827E-3</v>
      </c>
    </row>
    <row r="36" spans="1:7" x14ac:dyDescent="0.45">
      <c r="A36">
        <v>25</v>
      </c>
      <c r="B36" s="341" t="n">
        <v>0.0</v>
      </c>
      <c r="C36" s="11">
        <f t="shared" si="0"/>
        <v>0</v>
      </c>
      <c r="E36" s="44">
        <v>25</v>
      </c>
      <c r="F36" s="343" t="n">
        <v>101.0</v>
      </c>
      <c r="G36" s="11">
        <f t="shared" si="1"/>
        <v>7.6248308455319181E-4</v>
      </c>
    </row>
    <row r="37" spans="1:7" x14ac:dyDescent="0.45">
      <c r="A37">
        <v>26</v>
      </c>
      <c r="B37" s="341" t="n">
        <v>0.0</v>
      </c>
      <c r="C37" s="11">
        <f t="shared" si="0"/>
        <v>0</v>
      </c>
      <c r="E37" s="45">
        <v>26</v>
      </c>
      <c r="F37" s="343" t="n">
        <v>59.0</v>
      </c>
      <c r="G37" s="11">
        <f t="shared" si="1"/>
        <v>5.9075266010427468E-4</v>
      </c>
    </row>
    <row r="38" spans="1:7" x14ac:dyDescent="0.45">
      <c r="A38">
        <v>27</v>
      </c>
      <c r="B38" s="341" t="n">
        <v>0.0</v>
      </c>
      <c r="C38" s="11">
        <f t="shared" si="0"/>
        <v>0</v>
      </c>
      <c r="E38" s="46">
        <v>27</v>
      </c>
      <c r="F38" s="343" t="n">
        <v>50.0</v>
      </c>
      <c r="G38" s="11">
        <f t="shared" si="1"/>
        <v>2.2668416027257052E-4</v>
      </c>
    </row>
    <row r="39" spans="1:7" x14ac:dyDescent="0.45">
      <c r="A39">
        <v>28</v>
      </c>
      <c r="B39" s="341" t="n">
        <v>0.0</v>
      </c>
      <c r="C39" s="11">
        <f t="shared" si="0"/>
        <v>0</v>
      </c>
      <c r="E39" s="47">
        <v>28</v>
      </c>
      <c r="F39" s="343" t="n">
        <v>46.0</v>
      </c>
      <c r="G39" s="11">
        <f t="shared" si="1"/>
        <v>2.4042259422848389E-4</v>
      </c>
    </row>
    <row r="40" spans="1:7" x14ac:dyDescent="0.45">
      <c r="A40">
        <v>29</v>
      </c>
      <c r="B40" s="341" t="n">
        <v>0.0</v>
      </c>
      <c r="C40" s="11">
        <f t="shared" si="0"/>
        <v>0</v>
      </c>
      <c r="E40" s="48">
        <v>29</v>
      </c>
      <c r="F40" s="343" t="n">
        <v>30.0</v>
      </c>
      <c r="G40" s="11">
        <f t="shared" si="1"/>
        <v>1.8546885840483045E-4</v>
      </c>
    </row>
    <row r="41" spans="1:7" x14ac:dyDescent="0.45">
      <c r="A41">
        <v>30</v>
      </c>
      <c r="B41" s="341" t="n">
        <v>0.0</v>
      </c>
      <c r="C41" s="11">
        <f t="shared" si="0"/>
        <v>0</v>
      </c>
      <c r="E41" s="49">
        <v>30</v>
      </c>
      <c r="F41" s="343" t="n">
        <v>31.0</v>
      </c>
      <c r="G41" s="11">
        <f t="shared" si="1"/>
        <v>1.3738433955913366E-4</v>
      </c>
    </row>
    <row r="42" spans="1:7" x14ac:dyDescent="0.45">
      <c r="A42">
        <v>31</v>
      </c>
      <c r="B42" s="341" t="n">
        <v>0.0</v>
      </c>
      <c r="C42" s="11">
        <f t="shared" si="0"/>
        <v>0</v>
      </c>
      <c r="E42" s="50">
        <v>31</v>
      </c>
      <c r="F42" s="343" t="n">
        <v>19.0</v>
      </c>
      <c r="G42" s="11">
        <f t="shared" si="1"/>
        <v>1.8546885840483045E-4</v>
      </c>
    </row>
    <row r="43" spans="1:7" x14ac:dyDescent="0.45">
      <c r="A43">
        <v>32</v>
      </c>
      <c r="B43" s="341" t="n">
        <v>0.0</v>
      </c>
      <c r="C43" s="11">
        <f t="shared" si="0"/>
        <v>0</v>
      </c>
      <c r="E43" s="51">
        <v>32</v>
      </c>
      <c r="F43" s="343" t="n">
        <v>12.0</v>
      </c>
      <c r="G43" s="11">
        <f t="shared" si="1"/>
        <v>9.6169037691393552E-5</v>
      </c>
    </row>
    <row r="44" spans="1:7" x14ac:dyDescent="0.45">
      <c r="A44">
        <v>33</v>
      </c>
      <c r="B44" s="341" t="n">
        <v>0.0</v>
      </c>
      <c r="C44" s="11">
        <f t="shared" si="0"/>
        <v>0</v>
      </c>
      <c r="E44" s="52">
        <v>33</v>
      </c>
      <c r="F44" s="343" t="n">
        <v>4.0</v>
      </c>
      <c r="G44" s="11">
        <f t="shared" si="1"/>
        <v>8.2430603735480197E-5</v>
      </c>
    </row>
    <row r="45" spans="1:7" x14ac:dyDescent="0.45">
      <c r="A45">
        <v>34</v>
      </c>
      <c r="B45" s="341" t="n">
        <v>0.0</v>
      </c>
      <c r="C45" s="11">
        <f t="shared" si="0"/>
        <v>0</v>
      </c>
      <c r="E45" s="53">
        <v>34</v>
      </c>
      <c r="F45" s="343" t="n">
        <v>6.0</v>
      </c>
      <c r="G45" s="11">
        <f t="shared" si="1"/>
        <v>8.2430603735480197E-5</v>
      </c>
    </row>
    <row r="46" spans="1:7" x14ac:dyDescent="0.45">
      <c r="A46">
        <v>35</v>
      </c>
      <c r="B46" s="341" t="n">
        <v>0.0</v>
      </c>
      <c r="C46" s="11">
        <f t="shared" si="0"/>
        <v>0</v>
      </c>
      <c r="E46" s="54">
        <v>35</v>
      </c>
      <c r="F46" s="343" t="n">
        <v>6.0</v>
      </c>
      <c r="G46" s="11">
        <f t="shared" si="1"/>
        <v>2.747686791182673E-5</v>
      </c>
    </row>
    <row r="47" spans="1:7" x14ac:dyDescent="0.45">
      <c r="A47">
        <v>36</v>
      </c>
      <c r="B47" s="341" t="n">
        <v>0.0</v>
      </c>
      <c r="C47" s="11">
        <f t="shared" si="0"/>
        <v>0</v>
      </c>
      <c r="E47" s="55">
        <v>36</v>
      </c>
      <c r="F47" s="343" t="n">
        <v>4.0</v>
      </c>
      <c r="G47" s="11">
        <f t="shared" si="1"/>
        <v>3.4346084889783414E-5</v>
      </c>
    </row>
    <row r="48" spans="1:7" x14ac:dyDescent="0.45">
      <c r="A48">
        <v>37</v>
      </c>
      <c r="B48" s="341" t="n">
        <v>481.758028516</v>
      </c>
      <c r="C48" s="11">
        <f t="shared" si="0"/>
        <v>4.0143303681820734E-3</v>
      </c>
      <c r="E48" s="56">
        <v>37</v>
      </c>
      <c r="F48" s="343" t="n">
        <v>5.0</v>
      </c>
      <c r="G48" s="11">
        <f t="shared" si="1"/>
        <v>3.4346084889783414E-5</v>
      </c>
    </row>
    <row r="49" spans="1:7" x14ac:dyDescent="0.45">
      <c r="A49">
        <v>38</v>
      </c>
      <c r="B49" s="341" t="n">
        <v>0.0</v>
      </c>
      <c r="C49" s="11">
        <f t="shared" si="0"/>
        <v>0</v>
      </c>
      <c r="E49" s="57">
        <v>38</v>
      </c>
      <c r="F49" s="343" t="n">
        <v>2.0</v>
      </c>
      <c r="G49" s="11">
        <f t="shared" si="1"/>
        <v>6.8692169779566825E-6</v>
      </c>
    </row>
    <row r="50" spans="1:7" x14ac:dyDescent="0.45">
      <c r="A50">
        <v>39</v>
      </c>
      <c r="B50" s="341" t="n">
        <v>0.0</v>
      </c>
      <c r="C50" s="11">
        <f t="shared" si="0"/>
        <v>0</v>
      </c>
      <c r="E50" s="58">
        <v>39</v>
      </c>
      <c r="F50" s="343" t="n">
        <v>2.0</v>
      </c>
      <c r="G50" s="11">
        <f t="shared" si="1"/>
        <v>6.8692169779566825E-6</v>
      </c>
    </row>
    <row r="51" spans="1:7" x14ac:dyDescent="0.45">
      <c r="A51">
        <v>40</v>
      </c>
      <c r="B51" s="341" t="n">
        <v>0.0</v>
      </c>
      <c r="C51" s="11">
        <f t="shared" si="0"/>
        <v>0</v>
      </c>
      <c r="E51" s="59">
        <v>40</v>
      </c>
      <c r="F51" s="343" t="n">
        <v>0.0</v>
      </c>
      <c r="G51" s="11">
        <f t="shared" si="1"/>
        <v>2.0607650933870049E-5</v>
      </c>
    </row>
    <row r="52" spans="1:7" x14ac:dyDescent="0.45">
      <c r="A52">
        <v>41</v>
      </c>
      <c r="B52" s="341" t="n">
        <v>0.0</v>
      </c>
      <c r="C52" s="11">
        <f t="shared" si="0"/>
        <v>0</v>
      </c>
      <c r="E52" s="60">
        <v>41</v>
      </c>
      <c r="F52" s="343" t="n">
        <v>0.0</v>
      </c>
      <c r="G52" s="11">
        <f t="shared" si="1"/>
        <v>6.8692169779566825E-6</v>
      </c>
    </row>
    <row r="53" spans="1:7" x14ac:dyDescent="0.45">
      <c r="A53">
        <v>42</v>
      </c>
      <c r="B53" s="341" t="n">
        <v>0.0</v>
      </c>
      <c r="C53" s="11">
        <f t="shared" si="0"/>
        <v>0</v>
      </c>
      <c r="E53" s="61">
        <v>42</v>
      </c>
      <c r="F53" s="343" t="n">
        <v>0.0</v>
      </c>
      <c r="G53" s="11">
        <f t="shared" si="1"/>
        <v>1.3738433955913365E-5</v>
      </c>
    </row>
    <row r="54" spans="1:7" x14ac:dyDescent="0.45">
      <c r="A54">
        <v>43</v>
      </c>
      <c r="B54" s="341" t="n">
        <v>0.0</v>
      </c>
      <c r="C54" s="11">
        <f t="shared" si="0"/>
        <v>0</v>
      </c>
      <c r="E54" s="62">
        <v>43</v>
      </c>
      <c r="F54" s="343" t="n">
        <v>0.0</v>
      </c>
      <c r="G54" s="11">
        <f t="shared" si="1"/>
        <v>6.8692169779566825E-6</v>
      </c>
    </row>
    <row r="55" spans="1:7" x14ac:dyDescent="0.45">
      <c r="A55">
        <v>44</v>
      </c>
      <c r="B55" s="341" t="n">
        <v>0.0</v>
      </c>
      <c r="C55" s="11">
        <f t="shared" si="0"/>
        <v>0</v>
      </c>
      <c r="E55" s="63">
        <v>44</v>
      </c>
      <c r="F55" s="343" t="n">
        <v>0.0</v>
      </c>
      <c r="G55" s="11">
        <f t="shared" si="1"/>
        <v>0</v>
      </c>
    </row>
    <row r="56" spans="1:7" x14ac:dyDescent="0.45">
      <c r="A56">
        <v>45</v>
      </c>
      <c r="B56" s="341" t="n">
        <v>0.0</v>
      </c>
      <c r="C56" s="11">
        <f t="shared" si="0"/>
        <v>0</v>
      </c>
      <c r="E56" s="64">
        <v>45</v>
      </c>
      <c r="F56" s="343" t="n">
        <v>1.0</v>
      </c>
      <c r="G56" s="11">
        <f t="shared" si="1"/>
        <v>6.8692169779566825E-6</v>
      </c>
    </row>
    <row r="57" spans="1:7" x14ac:dyDescent="0.45">
      <c r="A57">
        <v>46</v>
      </c>
      <c r="B57" s="341" t="n">
        <v>0.0</v>
      </c>
      <c r="C57" s="11">
        <f t="shared" si="0"/>
        <v>0</v>
      </c>
      <c r="E57" s="65">
        <v>46</v>
      </c>
      <c r="F57" s="343" t="n">
        <v>0.0</v>
      </c>
      <c r="G57" s="11">
        <f t="shared" si="1"/>
        <v>0</v>
      </c>
    </row>
    <row r="58" spans="1:7" x14ac:dyDescent="0.45">
      <c r="A58">
        <v>47</v>
      </c>
      <c r="B58" s="341" t="n">
        <v>0.0</v>
      </c>
      <c r="C58" s="11">
        <f t="shared" si="0"/>
        <v>0</v>
      </c>
      <c r="E58" s="66">
        <v>47</v>
      </c>
      <c r="F58" s="343" t="n">
        <v>0.0</v>
      </c>
      <c r="G58" s="11">
        <f t="shared" si="1"/>
        <v>6.8692169779566825E-6</v>
      </c>
    </row>
    <row r="59" spans="1:7" x14ac:dyDescent="0.45">
      <c r="A59">
        <v>48</v>
      </c>
      <c r="B59" s="341" t="n">
        <v>0.0</v>
      </c>
      <c r="C59" s="11">
        <f t="shared" si="0"/>
        <v>0</v>
      </c>
      <c r="E59" s="67">
        <v>48</v>
      </c>
      <c r="F59" s="343" t="n">
        <v>0.0</v>
      </c>
      <c r="G59" s="11">
        <f t="shared" si="1"/>
        <v>0</v>
      </c>
    </row>
    <row r="60" spans="1:7" x14ac:dyDescent="0.45">
      <c r="A60">
        <v>49</v>
      </c>
      <c r="B60" s="341" t="n">
        <v>0.0</v>
      </c>
      <c r="C60" s="11">
        <f t="shared" si="0"/>
        <v>0</v>
      </c>
      <c r="E60" s="68">
        <v>49</v>
      </c>
      <c r="F60" s="343" t="n">
        <v>0.0</v>
      </c>
      <c r="G60" s="11">
        <f t="shared" si="1"/>
        <v>0</v>
      </c>
    </row>
    <row r="61" spans="1:7" x14ac:dyDescent="0.45">
      <c r="A61">
        <v>50</v>
      </c>
      <c r="B61" s="341" t="n">
        <v>0.0</v>
      </c>
      <c r="C61" s="11">
        <f t="shared" si="0"/>
        <v>0</v>
      </c>
      <c r="E61" s="69">
        <v>50</v>
      </c>
      <c r="F61" s="343" t="n">
        <v>0.0</v>
      </c>
      <c r="G61" s="11">
        <f t="shared" si="1"/>
        <v>0</v>
      </c>
    </row>
    <row r="62" spans="1:7" x14ac:dyDescent="0.45">
      <c r="A62">
        <v>51</v>
      </c>
      <c r="B62" s="341" t="n">
        <v>0.0</v>
      </c>
      <c r="C62" s="11">
        <f t="shared" si="0"/>
        <v>0</v>
      </c>
      <c r="E62" s="70">
        <v>51</v>
      </c>
      <c r="F62" s="343" t="n">
        <v>0.0</v>
      </c>
      <c r="G62" s="11">
        <f t="shared" si="1"/>
        <v>0</v>
      </c>
    </row>
    <row r="63" spans="1:7" x14ac:dyDescent="0.45">
      <c r="A63">
        <v>52</v>
      </c>
      <c r="B63" s="341" t="n">
        <v>0.0</v>
      </c>
      <c r="C63" s="11">
        <f t="shared" si="0"/>
        <v>0</v>
      </c>
      <c r="E63" s="71">
        <v>52</v>
      </c>
      <c r="F63" s="343" t="n">
        <v>0.0</v>
      </c>
      <c r="G63" s="11">
        <f t="shared" si="1"/>
        <v>0</v>
      </c>
    </row>
    <row r="64" spans="1:7" x14ac:dyDescent="0.45">
      <c r="A64">
        <v>53</v>
      </c>
      <c r="B64" s="341" t="n">
        <v>0.0</v>
      </c>
      <c r="C64" s="11">
        <f t="shared" si="0"/>
        <v>0</v>
      </c>
      <c r="E64" s="72">
        <v>53</v>
      </c>
      <c r="F64" s="343" t="n">
        <v>0.0</v>
      </c>
      <c r="G64" s="11">
        <f t="shared" si="1"/>
        <v>0</v>
      </c>
    </row>
    <row r="65" spans="1:7" x14ac:dyDescent="0.45">
      <c r="A65">
        <v>54</v>
      </c>
      <c r="B65" s="341" t="n">
        <v>0.0</v>
      </c>
      <c r="C65" s="11">
        <f t="shared" si="0"/>
        <v>0</v>
      </c>
      <c r="E65" s="73">
        <v>54</v>
      </c>
      <c r="F65" s="343" t="n">
        <v>0.0</v>
      </c>
      <c r="G65" s="11">
        <f t="shared" si="1"/>
        <v>0</v>
      </c>
    </row>
    <row r="66" spans="1:7" x14ac:dyDescent="0.45">
      <c r="A66">
        <v>55</v>
      </c>
      <c r="B66" s="341" t="n">
        <v>0.0</v>
      </c>
      <c r="C66" s="11">
        <f t="shared" si="0"/>
        <v>0</v>
      </c>
      <c r="E66" s="74">
        <v>55</v>
      </c>
      <c r="F66" s="343" t="n">
        <v>0.0</v>
      </c>
      <c r="G66" s="11">
        <f t="shared" si="1"/>
        <v>0</v>
      </c>
    </row>
    <row r="67" spans="1:7" x14ac:dyDescent="0.45">
      <c r="A67">
        <v>56</v>
      </c>
      <c r="B67" s="341" t="n">
        <v>0.0</v>
      </c>
      <c r="C67" s="11">
        <f t="shared" si="0"/>
        <v>0</v>
      </c>
      <c r="E67" s="75">
        <v>56</v>
      </c>
      <c r="F67" s="343" t="n">
        <v>0.0</v>
      </c>
      <c r="G67" s="11">
        <f t="shared" si="1"/>
        <v>0</v>
      </c>
    </row>
    <row r="68" spans="1:7" x14ac:dyDescent="0.45">
      <c r="A68">
        <v>57</v>
      </c>
      <c r="B68" s="341" t="n">
        <v>0.0</v>
      </c>
      <c r="C68" s="11">
        <f t="shared" si="0"/>
        <v>0</v>
      </c>
      <c r="E68" s="76">
        <v>57</v>
      </c>
      <c r="F68" s="343" t="n">
        <v>0.0</v>
      </c>
      <c r="G68" s="11">
        <f t="shared" si="1"/>
        <v>0</v>
      </c>
    </row>
    <row r="69" spans="1:7" x14ac:dyDescent="0.45">
      <c r="A69">
        <v>58</v>
      </c>
      <c r="B69" s="341" t="n">
        <v>0.0</v>
      </c>
      <c r="C69" s="11">
        <f t="shared" si="0"/>
        <v>0</v>
      </c>
      <c r="E69" s="77">
        <v>58</v>
      </c>
      <c r="F69" s="343" t="n">
        <v>0.0</v>
      </c>
      <c r="G69" s="11">
        <f t="shared" si="1"/>
        <v>0</v>
      </c>
    </row>
    <row r="70" spans="1:7" x14ac:dyDescent="0.45">
      <c r="A70">
        <v>59</v>
      </c>
      <c r="B70" s="341" t="n">
        <v>0.0</v>
      </c>
      <c r="C70" s="11">
        <f t="shared" si="0"/>
        <v>0</v>
      </c>
      <c r="E70" s="78">
        <v>59</v>
      </c>
      <c r="F70" s="343" t="n">
        <v>0.0</v>
      </c>
      <c r="G70" s="11">
        <f t="shared" si="1"/>
        <v>0</v>
      </c>
    </row>
    <row r="71" spans="1:7" x14ac:dyDescent="0.45">
      <c r="A71">
        <v>60</v>
      </c>
      <c r="B71" s="341" t="n">
        <v>0.0</v>
      </c>
      <c r="C71" s="11">
        <f t="shared" si="0"/>
        <v>0</v>
      </c>
      <c r="E71" s="79">
        <v>60</v>
      </c>
      <c r="F71" s="343" t="n">
        <v>0.0</v>
      </c>
      <c r="G71" s="11">
        <f t="shared" si="1"/>
        <v>0</v>
      </c>
    </row>
    <row r="72" spans="1:7" x14ac:dyDescent="0.45">
      <c r="A72">
        <v>61</v>
      </c>
      <c r="B72" s="341" t="n">
        <v>0.0</v>
      </c>
      <c r="C72" s="11">
        <f t="shared" si="0"/>
        <v>0</v>
      </c>
      <c r="E72" s="80">
        <v>61</v>
      </c>
      <c r="F72" s="343" t="n">
        <v>0.0</v>
      </c>
      <c r="G72" s="11">
        <f t="shared" si="1"/>
        <v>0</v>
      </c>
    </row>
    <row r="73" spans="1:7" x14ac:dyDescent="0.45">
      <c r="A73">
        <v>62</v>
      </c>
      <c r="B73" s="341" t="n">
        <v>0.0</v>
      </c>
      <c r="C73" s="11">
        <f t="shared" si="0"/>
        <v>0</v>
      </c>
      <c r="E73" s="81">
        <v>62</v>
      </c>
      <c r="F73" s="343" t="n">
        <v>0.0</v>
      </c>
      <c r="G73" s="11">
        <f t="shared" si="1"/>
        <v>0</v>
      </c>
    </row>
    <row r="74" spans="1:7" x14ac:dyDescent="0.45">
      <c r="A74">
        <v>63</v>
      </c>
      <c r="B74" s="341" t="n">
        <v>0.0</v>
      </c>
      <c r="C74" s="11">
        <f t="shared" si="0"/>
        <v>0</v>
      </c>
      <c r="E74" s="82">
        <v>63</v>
      </c>
      <c r="F74" s="343" t="n">
        <v>0.0</v>
      </c>
      <c r="G74" s="11">
        <f t="shared" si="1"/>
        <v>0</v>
      </c>
    </row>
    <row r="75" spans="1:7" x14ac:dyDescent="0.45">
      <c r="A75">
        <v>64</v>
      </c>
      <c r="B75" s="341" t="n">
        <v>0.0</v>
      </c>
      <c r="C75" s="11">
        <f t="shared" si="0"/>
        <v>0</v>
      </c>
      <c r="E75" s="83">
        <v>64</v>
      </c>
      <c r="F75" s="343" t="n">
        <v>0.0</v>
      </c>
      <c r="G75" s="11">
        <f t="shared" si="1"/>
        <v>0</v>
      </c>
    </row>
    <row r="76" spans="1:7" x14ac:dyDescent="0.45">
      <c r="A76">
        <v>65</v>
      </c>
      <c r="B76" s="341" t="n">
        <v>0.0</v>
      </c>
      <c r="C76" s="11">
        <f t="shared" si="0"/>
        <v>0</v>
      </c>
      <c r="E76" s="84">
        <v>65</v>
      </c>
      <c r="F76" s="343" t="n">
        <v>0.0</v>
      </c>
      <c r="G76" s="11">
        <f t="shared" si="1"/>
        <v>0</v>
      </c>
    </row>
    <row r="77" spans="1:7" x14ac:dyDescent="0.45">
      <c r="A77">
        <v>66</v>
      </c>
      <c r="B77" s="341" t="n">
        <v>0.0</v>
      </c>
      <c r="C77" s="11">
        <f t="shared" ref="C77:C102" si="2">B77/B$102</f>
        <v>0</v>
      </c>
      <c r="E77" s="85">
        <v>66</v>
      </c>
      <c r="F77" s="343" t="n">
        <v>0.0</v>
      </c>
      <c r="G77" s="11">
        <f t="shared" ref="G77:G102" si="3">F77/F$102</f>
        <v>0</v>
      </c>
    </row>
    <row r="78" spans="1:7" x14ac:dyDescent="0.45">
      <c r="A78">
        <v>67</v>
      </c>
      <c r="B78" s="341" t="n">
        <v>0.0</v>
      </c>
      <c r="C78" s="11">
        <f t="shared" si="2"/>
        <v>0</v>
      </c>
      <c r="E78" s="86">
        <v>67</v>
      </c>
      <c r="F78" s="343" t="n">
        <v>0.0</v>
      </c>
      <c r="G78" s="11">
        <f t="shared" si="3"/>
        <v>0</v>
      </c>
    </row>
    <row r="79" spans="1:7" x14ac:dyDescent="0.45">
      <c r="A79">
        <v>68</v>
      </c>
      <c r="B79" s="341" t="n">
        <v>0.0</v>
      </c>
      <c r="C79" s="11">
        <f t="shared" si="2"/>
        <v>0</v>
      </c>
      <c r="E79" s="87">
        <v>68</v>
      </c>
      <c r="F79" s="343" t="n">
        <v>0.0</v>
      </c>
      <c r="G79" s="11">
        <f t="shared" si="3"/>
        <v>0</v>
      </c>
    </row>
    <row r="80" spans="1:7" x14ac:dyDescent="0.45">
      <c r="A80">
        <v>69</v>
      </c>
      <c r="B80" s="341" t="n">
        <v>0.0</v>
      </c>
      <c r="C80" s="11">
        <f t="shared" si="2"/>
        <v>0</v>
      </c>
      <c r="E80" s="88">
        <v>69</v>
      </c>
      <c r="F80" s="343" t="n">
        <v>0.0</v>
      </c>
      <c r="G80" s="11">
        <f t="shared" si="3"/>
        <v>0</v>
      </c>
    </row>
    <row r="81" spans="1:7" x14ac:dyDescent="0.45">
      <c r="A81">
        <v>70</v>
      </c>
      <c r="B81" s="341" t="n">
        <v>0.0</v>
      </c>
      <c r="C81" s="11">
        <f t="shared" si="2"/>
        <v>0</v>
      </c>
      <c r="E81" s="89">
        <v>70</v>
      </c>
      <c r="F81" s="343" t="n">
        <v>0.0</v>
      </c>
      <c r="G81" s="11">
        <f t="shared" si="3"/>
        <v>0</v>
      </c>
    </row>
    <row r="82" spans="1:7" x14ac:dyDescent="0.45">
      <c r="A82">
        <v>71</v>
      </c>
      <c r="B82" s="341" t="n">
        <v>0.0</v>
      </c>
      <c r="C82" s="11">
        <f t="shared" si="2"/>
        <v>0</v>
      </c>
      <c r="E82" s="90">
        <v>71</v>
      </c>
      <c r="F82" s="343" t="n">
        <v>0.0</v>
      </c>
      <c r="G82" s="11">
        <f t="shared" si="3"/>
        <v>0</v>
      </c>
    </row>
    <row r="83" spans="1:7" x14ac:dyDescent="0.45">
      <c r="A83">
        <v>72</v>
      </c>
      <c r="B83" s="341" t="n">
        <v>0.0</v>
      </c>
      <c r="C83" s="11">
        <f t="shared" si="2"/>
        <v>0</v>
      </c>
      <c r="E83" s="91">
        <v>72</v>
      </c>
      <c r="F83" s="343" t="n">
        <v>0.0</v>
      </c>
      <c r="G83" s="11">
        <f t="shared" si="3"/>
        <v>0</v>
      </c>
    </row>
    <row r="84" spans="1:7" x14ac:dyDescent="0.45">
      <c r="A84">
        <v>73</v>
      </c>
      <c r="B84" s="341" t="n">
        <v>0.0</v>
      </c>
      <c r="C84" s="11">
        <f t="shared" si="2"/>
        <v>0</v>
      </c>
      <c r="E84" s="92">
        <v>73</v>
      </c>
      <c r="F84" s="343" t="n">
        <v>0.0</v>
      </c>
      <c r="G84" s="11">
        <f t="shared" si="3"/>
        <v>0</v>
      </c>
    </row>
    <row r="85" spans="1:7" x14ac:dyDescent="0.45">
      <c r="A85">
        <v>74</v>
      </c>
      <c r="B85" s="341" t="n">
        <v>0.0</v>
      </c>
      <c r="C85" s="11">
        <f t="shared" si="2"/>
        <v>0</v>
      </c>
      <c r="E85" s="93">
        <v>74</v>
      </c>
      <c r="F85" s="343" t="n">
        <v>0.0</v>
      </c>
      <c r="G85" s="11">
        <f t="shared" si="3"/>
        <v>0</v>
      </c>
    </row>
    <row r="86" spans="1:7" x14ac:dyDescent="0.45">
      <c r="A86">
        <v>75</v>
      </c>
      <c r="B86" s="341" t="n">
        <v>0.0</v>
      </c>
      <c r="C86" s="11">
        <f t="shared" si="2"/>
        <v>0</v>
      </c>
      <c r="E86" s="94">
        <v>75</v>
      </c>
      <c r="F86" s="343" t="n">
        <v>0.0</v>
      </c>
      <c r="G86" s="11">
        <f t="shared" si="3"/>
        <v>0</v>
      </c>
    </row>
    <row r="87" spans="1:7" x14ac:dyDescent="0.45">
      <c r="A87">
        <v>76</v>
      </c>
      <c r="B87" s="341" t="n">
        <v>0.0</v>
      </c>
      <c r="C87" s="11">
        <f t="shared" si="2"/>
        <v>0</v>
      </c>
      <c r="E87" s="95">
        <v>76</v>
      </c>
      <c r="F87" s="343" t="n">
        <v>0.0</v>
      </c>
      <c r="G87" s="11">
        <f t="shared" si="3"/>
        <v>0</v>
      </c>
    </row>
    <row r="88" spans="1:7" x14ac:dyDescent="0.45">
      <c r="A88">
        <v>77</v>
      </c>
      <c r="B88" s="341" t="n">
        <v>0.0</v>
      </c>
      <c r="C88" s="11">
        <f t="shared" si="2"/>
        <v>0</v>
      </c>
      <c r="E88" s="96">
        <v>77</v>
      </c>
      <c r="F88" s="343" t="n">
        <v>0.0</v>
      </c>
      <c r="G88" s="11">
        <f t="shared" si="3"/>
        <v>0</v>
      </c>
    </row>
    <row r="89" spans="1:7" x14ac:dyDescent="0.45">
      <c r="A89">
        <v>78</v>
      </c>
      <c r="B89" s="341" t="n">
        <v>0.0</v>
      </c>
      <c r="C89" s="11">
        <f t="shared" si="2"/>
        <v>0</v>
      </c>
      <c r="E89" s="97">
        <v>78</v>
      </c>
      <c r="F89" s="343" t="n">
        <v>0.0</v>
      </c>
      <c r="G89" s="11">
        <f t="shared" si="3"/>
        <v>0</v>
      </c>
    </row>
    <row r="90" spans="1:7" x14ac:dyDescent="0.45">
      <c r="A90">
        <v>79</v>
      </c>
      <c r="B90" s="341" t="n">
        <v>0.0</v>
      </c>
      <c r="C90" s="11">
        <f t="shared" si="2"/>
        <v>0</v>
      </c>
      <c r="E90" s="98">
        <v>79</v>
      </c>
      <c r="F90" s="343" t="n">
        <v>0.0</v>
      </c>
      <c r="G90" s="11">
        <f t="shared" si="3"/>
        <v>0</v>
      </c>
    </row>
    <row r="91" spans="1:7" x14ac:dyDescent="0.45">
      <c r="A91">
        <v>80</v>
      </c>
      <c r="B91" s="341" t="n">
        <v>0.0</v>
      </c>
      <c r="C91" s="11">
        <f t="shared" si="2"/>
        <v>0</v>
      </c>
      <c r="E91" s="99">
        <v>80</v>
      </c>
      <c r="F91" s="343" t="n">
        <v>0.0</v>
      </c>
      <c r="G91" s="11">
        <f t="shared" si="3"/>
        <v>0</v>
      </c>
    </row>
    <row r="92" spans="1:7" x14ac:dyDescent="0.45">
      <c r="A92">
        <v>81</v>
      </c>
      <c r="B92" s="341" t="n">
        <v>0.0</v>
      </c>
      <c r="C92" s="11">
        <f t="shared" si="2"/>
        <v>0</v>
      </c>
      <c r="E92" s="100">
        <v>81</v>
      </c>
      <c r="F92" s="343" t="n">
        <v>0.0</v>
      </c>
      <c r="G92" s="11">
        <f t="shared" si="3"/>
        <v>0</v>
      </c>
    </row>
    <row r="93" spans="1:7" x14ac:dyDescent="0.45">
      <c r="A93">
        <v>82</v>
      </c>
      <c r="B93" s="341" t="n">
        <v>0.0</v>
      </c>
      <c r="C93" s="11">
        <f t="shared" si="2"/>
        <v>0</v>
      </c>
      <c r="E93" s="101">
        <v>82</v>
      </c>
      <c r="F93" s="343" t="n">
        <v>0.0</v>
      </c>
      <c r="G93" s="11">
        <f t="shared" si="3"/>
        <v>0</v>
      </c>
    </row>
    <row r="94" spans="1:7" x14ac:dyDescent="0.45">
      <c r="A94">
        <v>83</v>
      </c>
      <c r="B94" s="341" t="n">
        <v>0.0</v>
      </c>
      <c r="C94" s="11">
        <f t="shared" si="2"/>
        <v>0</v>
      </c>
      <c r="E94" s="102">
        <v>83</v>
      </c>
      <c r="F94" s="343" t="n">
        <v>0.0</v>
      </c>
      <c r="G94" s="11">
        <f t="shared" si="3"/>
        <v>0</v>
      </c>
    </row>
    <row r="95" spans="1:7" x14ac:dyDescent="0.45">
      <c r="A95">
        <v>84</v>
      </c>
      <c r="B95" s="341" t="n">
        <v>0.0</v>
      </c>
      <c r="C95" s="11">
        <f t="shared" si="2"/>
        <v>0</v>
      </c>
      <c r="E95" s="103">
        <v>84</v>
      </c>
      <c r="F95" s="343" t="n">
        <v>0.0</v>
      </c>
      <c r="G95" s="11">
        <f t="shared" si="3"/>
        <v>0</v>
      </c>
    </row>
    <row r="96" spans="1:7" x14ac:dyDescent="0.45">
      <c r="A96">
        <v>85</v>
      </c>
      <c r="B96" s="341" t="n">
        <v>0.0</v>
      </c>
      <c r="C96" s="11">
        <f t="shared" si="2"/>
        <v>0</v>
      </c>
      <c r="E96" s="104">
        <v>85</v>
      </c>
      <c r="F96" s="343" t="n">
        <v>0.0</v>
      </c>
      <c r="G96" s="11">
        <f t="shared" si="3"/>
        <v>0</v>
      </c>
    </row>
    <row r="97" spans="1:7" x14ac:dyDescent="0.45">
      <c r="A97">
        <v>86</v>
      </c>
      <c r="B97" s="341" t="n">
        <v>0.0</v>
      </c>
      <c r="C97" s="11">
        <f t="shared" si="2"/>
        <v>0</v>
      </c>
      <c r="E97" s="105">
        <v>86</v>
      </c>
      <c r="F97" s="343" t="n">
        <v>0.0</v>
      </c>
      <c r="G97" s="11">
        <f t="shared" si="3"/>
        <v>0</v>
      </c>
    </row>
    <row r="98" spans="1:7" x14ac:dyDescent="0.45">
      <c r="A98">
        <v>87</v>
      </c>
      <c r="B98" s="341" t="n">
        <v>0.0</v>
      </c>
      <c r="C98" s="11">
        <f t="shared" si="2"/>
        <v>0</v>
      </c>
      <c r="E98" s="106">
        <v>87</v>
      </c>
      <c r="F98" s="343" t="n">
        <v>0.0</v>
      </c>
      <c r="G98" s="11">
        <f t="shared" si="3"/>
        <v>0</v>
      </c>
    </row>
    <row r="99" spans="1:7" x14ac:dyDescent="0.45">
      <c r="A99">
        <v>88</v>
      </c>
      <c r="B99" s="341" t="n">
        <v>0.0</v>
      </c>
      <c r="C99" s="11">
        <f t="shared" si="2"/>
        <v>0</v>
      </c>
      <c r="E99" s="107">
        <v>88</v>
      </c>
      <c r="F99" s="343" t="n">
        <v>0.0</v>
      </c>
      <c r="G99" s="11">
        <f t="shared" si="3"/>
        <v>0</v>
      </c>
    </row>
    <row r="100" spans="1:7" x14ac:dyDescent="0.45">
      <c r="A100">
        <v>89</v>
      </c>
      <c r="B100" s="341" t="n">
        <v>0.0</v>
      </c>
      <c r="C100" s="11">
        <f t="shared" si="2"/>
        <v>0</v>
      </c>
      <c r="E100" s="108">
        <v>89</v>
      </c>
      <c r="F100" s="343" t="n">
        <v>0.0</v>
      </c>
      <c r="G100" s="11">
        <f t="shared" si="3"/>
        <v>0</v>
      </c>
    </row>
    <row r="101" spans="1:7" ht="14.65" thickBot="1" x14ac:dyDescent="0.5">
      <c r="A101" s="1">
        <v>90</v>
      </c>
      <c r="B101" s="342" t="n">
        <v>0.0</v>
      </c>
      <c r="C101" s="11">
        <f t="shared" si="2"/>
        <v>0</v>
      </c>
      <c r="E101" s="292">
        <v>90</v>
      </c>
      <c r="F101" s="344" t="n">
        <v>0.0</v>
      </c>
      <c r="G101" s="11">
        <f t="shared" si="3"/>
        <v>0</v>
      </c>
    </row>
    <row r="102" spans="1:7" x14ac:dyDescent="0.45">
      <c r="B102" s="341">
        <f>SUM(B11:B101)</f>
        <v>120009.56182741099</v>
      </c>
      <c r="C102" s="11">
        <f t="shared" si="2"/>
        <v>1</v>
      </c>
      <c r="F102" s="341">
        <f>SUM(F11:F101)</f>
        <v>145577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A6" sqref="A6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243</v>
      </c>
    </row>
    <row r="3" spans="1:12" x14ac:dyDescent="0.45">
      <c r="A3" t="s">
        <v>245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4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35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8" t="n">
        <v>3249.639193436</v>
      </c>
      <c r="C11" s="11">
        <f>B11/B$102</f>
        <v>2.7078168972147348E-2</v>
      </c>
      <c r="E11" s="109">
        <v>0</v>
      </c>
      <c r="F11" s="199" t="n">
        <v>1639.0</v>
      </c>
      <c r="G11" s="11">
        <f>F11/F$102</f>
        <v>1.1059439334510259E-2</v>
      </c>
      <c r="K11" s="8" t="n">
        <v>8.51006535826044</v>
      </c>
      <c r="L11" s="8" t="n">
        <v>13.403814994344426</v>
      </c>
    </row>
    <row r="12" spans="1:12" x14ac:dyDescent="0.45">
      <c r="A12">
        <v>1</v>
      </c>
      <c r="B12" s="8" t="n">
        <v>8994.442963914</v>
      </c>
      <c r="C12" s="11">
        <f>B12/B$102</f>
        <v>7.4947719389636222E-2</v>
      </c>
      <c r="E12" s="110">
        <v>1</v>
      </c>
      <c r="F12" s="200" t="n">
        <v>4906.0</v>
      </c>
      <c r="G12" s="11">
        <f>F12/F$102</f>
        <v>3.2958503060236163E-2</v>
      </c>
      <c r="K12" s="8"/>
      <c r="L12" s="290"/>
    </row>
    <row r="13" spans="1:12" x14ac:dyDescent="0.45">
      <c r="A13">
        <v>2</v>
      </c>
      <c r="B13" s="8" t="n">
        <v>6376.8669776998</v>
      </c>
      <c r="C13" s="11">
        <f t="shared" ref="C13:C76" si="0">B13/B$102</f>
        <v>5.3136324144492292E-2</v>
      </c>
      <c r="E13" s="111">
        <v>2</v>
      </c>
      <c r="F13" s="201" t="n">
        <v>7015.0</v>
      </c>
      <c r="G13" s="11">
        <f t="shared" ref="G13:G76" si="1">F13/F$102</f>
        <v>4.6408429903075352E-2</v>
      </c>
    </row>
    <row r="14" spans="1:12" x14ac:dyDescent="0.45">
      <c r="A14">
        <v>3</v>
      </c>
      <c r="B14" s="8" t="n">
        <v>11540.075081486</v>
      </c>
      <c r="C14" s="11">
        <f t="shared" si="0"/>
        <v>9.6159630164153867E-2</v>
      </c>
      <c r="E14" s="112">
        <v>3</v>
      </c>
      <c r="F14" s="202" t="n">
        <v>8147.0</v>
      </c>
      <c r="G14" s="11">
        <f t="shared" si="1"/>
        <v>5.4527844371020144E-2</v>
      </c>
    </row>
    <row r="15" spans="1:12" x14ac:dyDescent="0.45">
      <c r="A15">
        <v>4</v>
      </c>
      <c r="B15" s="8" t="n">
        <v>10689.9048078123</v>
      </c>
      <c r="C15" s="11">
        <f t="shared" si="0"/>
        <v>8.9075442365048704E-2</v>
      </c>
      <c r="E15" s="113">
        <v>4</v>
      </c>
      <c r="F15" s="203" t="n">
        <v>7854.0</v>
      </c>
      <c r="G15" s="11">
        <f t="shared" si="1"/>
        <v>5.3071570371693327E-2</v>
      </c>
    </row>
    <row r="16" spans="1:12" x14ac:dyDescent="0.45">
      <c r="A16">
        <v>5</v>
      </c>
      <c r="B16" s="8" t="n">
        <v>10646.259715617</v>
      </c>
      <c r="C16" s="11">
        <f t="shared" si="0"/>
        <v>8.8711762242142611E-2</v>
      </c>
      <c r="E16" s="114">
        <v>5</v>
      </c>
      <c r="F16" s="204" t="n">
        <v>7441.0</v>
      </c>
      <c r="G16" s="11">
        <f t="shared" si="1"/>
        <v>5.307843958867129E-2</v>
      </c>
    </row>
    <row r="17" spans="1:7" x14ac:dyDescent="0.45">
      <c r="A17">
        <v>6</v>
      </c>
      <c r="B17" s="8" t="n">
        <v>8000.5347923901</v>
      </c>
      <c r="C17" s="11">
        <f t="shared" si="0"/>
        <v>6.666581121174231E-2</v>
      </c>
      <c r="E17" s="115">
        <v>6</v>
      </c>
      <c r="F17" s="205" t="n">
        <v>7415.0</v>
      </c>
      <c r="G17" s="11">
        <f t="shared" si="1"/>
        <v>4.9623223448759073E-2</v>
      </c>
    </row>
    <row r="18" spans="1:7" x14ac:dyDescent="0.45">
      <c r="A18">
        <v>7</v>
      </c>
      <c r="B18" s="8" t="n">
        <v>12044.8378909431</v>
      </c>
      <c r="C18" s="11">
        <f t="shared" si="0"/>
        <v>0.10036565176585767</v>
      </c>
      <c r="E18" s="116">
        <v>7</v>
      </c>
      <c r="F18" s="206" t="n">
        <v>7622.0</v>
      </c>
      <c r="G18" s="11">
        <f t="shared" si="1"/>
        <v>5.2748717173729365E-2</v>
      </c>
    </row>
    <row r="19" spans="1:7" x14ac:dyDescent="0.45">
      <c r="A19">
        <v>8</v>
      </c>
      <c r="B19" s="8" t="n">
        <v>13876.4829297742</v>
      </c>
      <c r="C19" s="11">
        <f t="shared" si="0"/>
        <v>0.11562814427845627</v>
      </c>
      <c r="E19" s="117">
        <v>8</v>
      </c>
      <c r="F19" s="207" t="n">
        <v>7436.0</v>
      </c>
      <c r="G19" s="11">
        <f t="shared" si="1"/>
        <v>5.083220563687945E-2</v>
      </c>
    </row>
    <row r="20" spans="1:7" x14ac:dyDescent="0.45">
      <c r="A20">
        <v>9</v>
      </c>
      <c r="B20" s="8" t="n">
        <v>7650.7308833913</v>
      </c>
      <c r="C20" s="11">
        <f t="shared" si="0"/>
        <v>6.3751010893565482E-2</v>
      </c>
      <c r="E20" s="118">
        <v>9</v>
      </c>
      <c r="F20" s="208" t="n">
        <v>7075.0</v>
      </c>
      <c r="G20" s="11">
        <f t="shared" si="1"/>
        <v>4.8139472581520432E-2</v>
      </c>
    </row>
    <row r="21" spans="1:7" x14ac:dyDescent="0.45">
      <c r="A21">
        <v>10</v>
      </c>
      <c r="B21" s="8" t="n">
        <v>2245.206441918</v>
      </c>
      <c r="C21" s="11">
        <f t="shared" si="0"/>
        <v>1.8708562948899787E-2</v>
      </c>
      <c r="E21" s="119">
        <v>10</v>
      </c>
      <c r="F21" s="209" t="n">
        <v>6517.0</v>
      </c>
      <c r="G21" s="11">
        <f t="shared" si="1"/>
        <v>4.4086634564525988E-2</v>
      </c>
    </row>
    <row r="22" spans="1:7" x14ac:dyDescent="0.45">
      <c r="A22">
        <v>11</v>
      </c>
      <c r="B22" s="8" t="n">
        <v>798.302959009</v>
      </c>
      <c r="C22" s="11">
        <f t="shared" si="0"/>
        <v>6.6519946148712802E-3</v>
      </c>
      <c r="E22" s="120">
        <v>11</v>
      </c>
      <c r="F22" s="210" t="n">
        <v>5903.0</v>
      </c>
      <c r="G22" s="11">
        <f t="shared" si="1"/>
        <v>4.0590203122746041E-2</v>
      </c>
    </row>
    <row r="23" spans="1:7" x14ac:dyDescent="0.45">
      <c r="A23">
        <v>12</v>
      </c>
      <c r="B23" s="8" t="n">
        <v>605.408907498</v>
      </c>
      <c r="C23" s="11">
        <f t="shared" si="0"/>
        <v>5.0446722601041978E-3</v>
      </c>
      <c r="E23" s="121">
        <v>12</v>
      </c>
      <c r="F23" s="211" t="n">
        <v>4773.0</v>
      </c>
      <c r="G23" s="11">
        <f t="shared" si="1"/>
        <v>3.1783866957005573E-2</v>
      </c>
    </row>
    <row r="24" spans="1:7" x14ac:dyDescent="0.45">
      <c r="A24">
        <v>13</v>
      </c>
      <c r="B24" s="8" t="n">
        <v>196.044301439</v>
      </c>
      <c r="C24" s="11">
        <f t="shared" si="0"/>
        <v>1.6335723458513797E-3</v>
      </c>
      <c r="E24" s="122">
        <v>13</v>
      </c>
      <c r="F24" s="212" t="n">
        <v>4055.0</v>
      </c>
      <c r="G24" s="11">
        <f t="shared" si="1"/>
        <v>2.8067620571931004E-2</v>
      </c>
    </row>
    <row r="25" spans="1:7" x14ac:dyDescent="0.45">
      <c r="A25">
        <v>14</v>
      </c>
      <c r="B25" s="8" t="n">
        <v>794.390711868</v>
      </c>
      <c r="C25" s="11">
        <f t="shared" si="0"/>
        <v>6.6193951529498517E-3</v>
      </c>
      <c r="E25" s="123">
        <v>14</v>
      </c>
      <c r="F25" s="213" t="n">
        <v>3184.0</v>
      </c>
      <c r="G25" s="11">
        <f t="shared" si="1"/>
        <v>2.3238561036427456E-2</v>
      </c>
    </row>
    <row r="26" spans="1:7" x14ac:dyDescent="0.45">
      <c r="A26">
        <v>15</v>
      </c>
      <c r="B26" s="8" t="n">
        <v>1975.275462744</v>
      </c>
      <c r="C26" s="11">
        <f t="shared" si="0"/>
        <v>1.6459317346601905E-2</v>
      </c>
      <c r="E26" s="124">
        <v>15</v>
      </c>
      <c r="F26" s="214" t="n">
        <v>3439.0</v>
      </c>
      <c r="G26" s="11">
        <f t="shared" si="1"/>
        <v>2.3334730074118851E-2</v>
      </c>
    </row>
    <row r="27" spans="1:7" x14ac:dyDescent="0.45">
      <c r="A27">
        <v>16</v>
      </c>
      <c r="B27" s="8" t="n">
        <v>161.271876599</v>
      </c>
      <c r="C27" s="11">
        <f t="shared" si="0"/>
        <v>1.3438252264509508E-3</v>
      </c>
      <c r="E27" s="125">
        <v>16</v>
      </c>
      <c r="F27" s="215" t="n">
        <v>4767.0</v>
      </c>
      <c r="G27" s="11">
        <f t="shared" si="1"/>
        <v>3.166022105140235E-2</v>
      </c>
    </row>
    <row r="28" spans="1:7" x14ac:dyDescent="0.45">
      <c r="A28">
        <v>17</v>
      </c>
      <c r="B28" s="8" t="n">
        <v>1471.255439591</v>
      </c>
      <c r="C28" s="11">
        <f t="shared" si="0"/>
        <v>1.2259485137583053E-2</v>
      </c>
      <c r="E28" s="126">
        <v>17</v>
      </c>
      <c r="F28" s="216" t="n">
        <v>3765.0</v>
      </c>
      <c r="G28" s="11">
        <f t="shared" si="1"/>
        <v>2.8362996901983142E-2</v>
      </c>
    </row>
    <row r="29" spans="1:7" x14ac:dyDescent="0.45">
      <c r="A29">
        <v>18</v>
      </c>
      <c r="B29" s="8" t="n">
        <v>4763.246593388</v>
      </c>
      <c r="C29" s="11">
        <f t="shared" si="0"/>
        <v>3.9690558992608885E-2</v>
      </c>
      <c r="E29" s="127">
        <v>18</v>
      </c>
      <c r="F29" s="217" t="n">
        <v>4329.0</v>
      </c>
      <c r="G29" s="11">
        <f t="shared" si="1"/>
        <v>2.9936047589935223E-2</v>
      </c>
    </row>
    <row r="30" spans="1:7" x14ac:dyDescent="0.45">
      <c r="A30">
        <v>19</v>
      </c>
      <c r="B30" s="8" t="n">
        <v>1139.283605659</v>
      </c>
      <c r="C30" s="11">
        <f t="shared" si="0"/>
        <v>9.4932736051268514E-3</v>
      </c>
      <c r="E30" s="128">
        <v>19</v>
      </c>
      <c r="F30" s="218" t="n">
        <v>3877.0</v>
      </c>
      <c r="G30" s="11">
        <f t="shared" si="1"/>
        <v>2.5560356374976816E-2</v>
      </c>
    </row>
    <row r="31" spans="1:7" x14ac:dyDescent="0.45">
      <c r="A31">
        <v>20</v>
      </c>
      <c r="B31" s="8" t="n">
        <v>1823.261099725</v>
      </c>
      <c r="C31" s="11">
        <f t="shared" si="0"/>
        <v>1.5192631920005514E-2</v>
      </c>
      <c r="E31" s="129">
        <v>20</v>
      </c>
      <c r="F31" s="219" t="n">
        <v>3726.0</v>
      </c>
      <c r="G31" s="11">
        <f t="shared" si="1"/>
        <v>2.5484794988219293E-2</v>
      </c>
    </row>
    <row r="32" spans="1:7" x14ac:dyDescent="0.45">
      <c r="A32">
        <v>21</v>
      </c>
      <c r="B32" s="8" t="n">
        <v>2444.0998877399998</v>
      </c>
      <c r="C32" s="11">
        <f t="shared" si="0"/>
        <v>2.036587627288337E-2</v>
      </c>
      <c r="E32" s="130">
        <v>21</v>
      </c>
      <c r="F32" s="220" t="n">
        <v>3969.0</v>
      </c>
      <c r="G32" s="11">
        <f t="shared" si="1"/>
        <v>2.6432746931177316E-2</v>
      </c>
    </row>
    <row r="33" spans="1:7" x14ac:dyDescent="0.45">
      <c r="A33">
        <v>22</v>
      </c>
      <c r="B33" s="8" t="n">
        <v>996.5787238114</v>
      </c>
      <c r="C33" s="11">
        <f t="shared" si="0"/>
        <v>8.3041610071421367E-3</v>
      </c>
      <c r="E33" s="131">
        <v>22</v>
      </c>
      <c r="F33" s="221" t="n">
        <v>3306.0</v>
      </c>
      <c r="G33" s="11">
        <f t="shared" si="1"/>
        <v>2.32316918194495E-2</v>
      </c>
    </row>
    <row r="34" spans="1:7" x14ac:dyDescent="0.45">
      <c r="A34">
        <v>23</v>
      </c>
      <c r="B34" s="8" t="n">
        <v>1030.278894106</v>
      </c>
      <c r="C34" s="11">
        <f t="shared" si="0"/>
        <v>8.5849733839347894E-3</v>
      </c>
      <c r="E34" s="132">
        <v>23</v>
      </c>
      <c r="F34" s="222" t="n">
        <v>3229.0</v>
      </c>
      <c r="G34" s="11">
        <f t="shared" si="1"/>
        <v>2.2146355536932345E-2</v>
      </c>
    </row>
    <row r="35" spans="1:7" x14ac:dyDescent="0.45">
      <c r="A35">
        <v>24</v>
      </c>
      <c r="B35" s="8" t="n">
        <v>702.7485673473</v>
      </c>
      <c r="C35" s="11">
        <f t="shared" si="0"/>
        <v>5.8557714622601625E-3</v>
      </c>
      <c r="E35" s="133">
        <v>24</v>
      </c>
      <c r="F35" s="223" t="n">
        <v>2653.0</v>
      </c>
      <c r="G35" s="11">
        <f t="shared" si="1"/>
        <v>1.8402632283945952E-2</v>
      </c>
    </row>
    <row r="36" spans="1:7" x14ac:dyDescent="0.45">
      <c r="A36">
        <v>25</v>
      </c>
      <c r="B36" s="8" t="n">
        <v>1112.7770061</v>
      </c>
      <c r="C36" s="11">
        <f t="shared" si="0"/>
        <v>9.2724028748668776E-3</v>
      </c>
      <c r="E36" s="134">
        <v>25</v>
      </c>
      <c r="F36" s="224" t="n">
        <v>2559.0</v>
      </c>
      <c r="G36" s="11">
        <f t="shared" si="1"/>
        <v>1.7028788888354615E-2</v>
      </c>
    </row>
    <row r="37" spans="1:7" x14ac:dyDescent="0.45">
      <c r="A37">
        <v>26</v>
      </c>
      <c r="B37" s="8" t="n">
        <v>131.494048378</v>
      </c>
      <c r="C37" s="11">
        <f t="shared" si="0"/>
        <v>1.0956964293154002E-3</v>
      </c>
      <c r="E37" s="135">
        <v>26</v>
      </c>
      <c r="F37" s="225" t="n">
        <v>2072.0</v>
      </c>
      <c r="G37" s="11">
        <f t="shared" si="1"/>
        <v>1.5297746209909532E-2</v>
      </c>
    </row>
    <row r="38" spans="1:7" x14ac:dyDescent="0.45">
      <c r="A38">
        <v>27</v>
      </c>
      <c r="B38" s="8" t="n">
        <v>80.1534960505</v>
      </c>
      <c r="C38" s="11">
        <f t="shared" si="0"/>
        <v>6.6789258147422371E-4</v>
      </c>
      <c r="E38" s="136">
        <v>27</v>
      </c>
      <c r="F38" s="226" t="n">
        <v>1874.0</v>
      </c>
      <c r="G38" s="11">
        <f t="shared" si="1"/>
        <v>1.1979914409556454E-2</v>
      </c>
    </row>
    <row r="39" spans="1:7" x14ac:dyDescent="0.45">
      <c r="A39">
        <v>28</v>
      </c>
      <c r="B39" s="8" t="n">
        <v>0.0</v>
      </c>
      <c r="C39" s="11">
        <f t="shared" si="0"/>
        <v>0</v>
      </c>
      <c r="E39" s="137">
        <v>28</v>
      </c>
      <c r="F39" s="227" t="n">
        <v>1848.0</v>
      </c>
      <c r="G39" s="11">
        <f t="shared" si="1"/>
        <v>1.2982820088338131E-2</v>
      </c>
    </row>
    <row r="40" spans="1:7" x14ac:dyDescent="0.45">
      <c r="A40">
        <v>29</v>
      </c>
      <c r="B40" s="8" t="n">
        <v>1209.028152761</v>
      </c>
      <c r="C40" s="11">
        <f t="shared" si="0"/>
        <v>1.0074431856519366E-2</v>
      </c>
      <c r="E40" s="138">
        <v>29</v>
      </c>
      <c r="F40" s="228" t="n">
        <v>1484.0</v>
      </c>
      <c r="G40" s="11">
        <f t="shared" si="1"/>
        <v>1.0262610165067285E-2</v>
      </c>
    </row>
    <row r="41" spans="1:7" x14ac:dyDescent="0.45">
      <c r="A41">
        <v>30</v>
      </c>
      <c r="B41" s="8" t="n">
        <v>1165.803614793</v>
      </c>
      <c r="C41" s="11">
        <f t="shared" si="0"/>
        <v>9.7142560729417005E-3</v>
      </c>
      <c r="E41" s="139">
        <v>30</v>
      </c>
      <c r="F41" s="229" t="n">
        <v>1223.0</v>
      </c>
      <c r="G41" s="11">
        <f t="shared" si="1"/>
        <v>8.8750283355200337E-3</v>
      </c>
    </row>
    <row r="42" spans="1:7" x14ac:dyDescent="0.45">
      <c r="A42">
        <v>31</v>
      </c>
      <c r="B42" s="8" t="n">
        <v>0.0</v>
      </c>
      <c r="C42" s="11">
        <f t="shared" si="0"/>
        <v>0</v>
      </c>
      <c r="E42" s="140">
        <v>31</v>
      </c>
      <c r="F42" s="230" t="n">
        <v>1188.0</v>
      </c>
      <c r="G42" s="11">
        <f t="shared" si="1"/>
        <v>7.5080541569066545E-3</v>
      </c>
    </row>
    <row r="43" spans="1:7" x14ac:dyDescent="0.45">
      <c r="A43">
        <v>32</v>
      </c>
      <c r="B43" s="8" t="n">
        <v>114.49205282</v>
      </c>
      <c r="C43" s="11">
        <f t="shared" si="0"/>
        <v>9.540244216927823E-4</v>
      </c>
      <c r="E43" s="141">
        <v>32</v>
      </c>
      <c r="F43" s="231" t="n">
        <v>990.0</v>
      </c>
      <c r="G43" s="11">
        <f t="shared" si="1"/>
        <v>6.4501947423013248E-3</v>
      </c>
    </row>
    <row r="44" spans="1:7" x14ac:dyDescent="0.45">
      <c r="A44">
        <v>33</v>
      </c>
      <c r="B44" s="8" t="n">
        <v>0.0</v>
      </c>
      <c r="C44" s="11">
        <f t="shared" si="0"/>
        <v>0</v>
      </c>
      <c r="E44" s="142">
        <v>33</v>
      </c>
      <c r="F44" s="232" t="n">
        <v>884.0</v>
      </c>
      <c r="G44" s="11">
        <f t="shared" si="1"/>
        <v>6.5394945630147623E-3</v>
      </c>
    </row>
    <row r="45" spans="1:7" x14ac:dyDescent="0.45">
      <c r="A45">
        <v>34</v>
      </c>
      <c r="B45" s="8" t="n">
        <v>451.645852435</v>
      </c>
      <c r="C45" s="11">
        <f t="shared" si="0"/>
        <v>3.763415560874425E-3</v>
      </c>
      <c r="E45" s="143">
        <v>34</v>
      </c>
      <c r="F45" s="233" t="n">
        <v>770.0</v>
      </c>
      <c r="G45" s="11">
        <f t="shared" si="1"/>
        <v>4.822190318525591E-3</v>
      </c>
    </row>
    <row r="46" spans="1:7" x14ac:dyDescent="0.45">
      <c r="A46">
        <v>35</v>
      </c>
      <c r="B46" s="8" t="n">
        <v>420.294538892</v>
      </c>
      <c r="C46" s="11">
        <f t="shared" si="0"/>
        <v>3.5021754307913971E-3</v>
      </c>
      <c r="E46" s="144">
        <v>35</v>
      </c>
      <c r="F46" s="234" t="n">
        <v>620.0</v>
      </c>
      <c r="G46" s="11">
        <f t="shared" si="1"/>
        <v>4.1764839225976631E-3</v>
      </c>
    </row>
    <row r="47" spans="1:7" x14ac:dyDescent="0.45">
      <c r="A47">
        <v>36</v>
      </c>
      <c r="B47" s="8" t="n">
        <v>115.284068156</v>
      </c>
      <c r="C47" s="11">
        <f t="shared" si="0"/>
        <v>9.6062402362399359E-4</v>
      </c>
      <c r="E47" s="145">
        <v>36</v>
      </c>
      <c r="F47" s="235" t="n">
        <v>582.0</v>
      </c>
      <c r="G47" s="11">
        <f t="shared" si="1"/>
        <v>3.4552161399122113E-3</v>
      </c>
    </row>
    <row r="48" spans="1:7" x14ac:dyDescent="0.45">
      <c r="A48">
        <v>37</v>
      </c>
      <c r="B48" s="8" t="n">
        <v>364.651929618</v>
      </c>
      <c r="C48" s="11">
        <f t="shared" si="0"/>
        <v>3.0385239648022025E-3</v>
      </c>
      <c r="E48" s="146">
        <v>37</v>
      </c>
      <c r="F48" s="236" t="n">
        <v>404.0</v>
      </c>
      <c r="G48" s="11">
        <f t="shared" si="1"/>
        <v>2.8163789609622399E-3</v>
      </c>
    </row>
    <row r="49" spans="1:7" x14ac:dyDescent="0.45">
      <c r="A49">
        <v>38</v>
      </c>
      <c r="B49" s="8" t="n">
        <v>0.0</v>
      </c>
      <c r="C49" s="11">
        <f t="shared" si="0"/>
        <v>0</v>
      </c>
      <c r="E49" s="147">
        <v>38</v>
      </c>
      <c r="F49" s="237" t="n">
        <v>356.0</v>
      </c>
      <c r="G49" s="11">
        <f t="shared" si="1"/>
        <v>2.4729181120644057E-3</v>
      </c>
    </row>
    <row r="50" spans="1:7" x14ac:dyDescent="0.45">
      <c r="A50">
        <v>39</v>
      </c>
      <c r="B50" s="8" t="n">
        <v>0.0</v>
      </c>
      <c r="C50" s="11">
        <f t="shared" si="0"/>
        <v>0</v>
      </c>
      <c r="E50" s="148">
        <v>39</v>
      </c>
      <c r="F50" s="238" t="n">
        <v>279.0</v>
      </c>
      <c r="G50" s="11">
        <f t="shared" si="1"/>
        <v>1.9371191877837846E-3</v>
      </c>
    </row>
    <row r="51" spans="1:7" x14ac:dyDescent="0.45">
      <c r="A51">
        <v>40</v>
      </c>
      <c r="B51" s="8" t="n">
        <v>0.0</v>
      </c>
      <c r="C51" s="11">
        <f t="shared" si="0"/>
        <v>0</v>
      </c>
      <c r="E51" s="149">
        <v>40</v>
      </c>
      <c r="F51" s="239" t="n">
        <v>237.0</v>
      </c>
      <c r="G51" s="11">
        <f t="shared" si="1"/>
        <v>1.6760889426214306E-3</v>
      </c>
    </row>
    <row r="52" spans="1:7" x14ac:dyDescent="0.45">
      <c r="A52">
        <v>41</v>
      </c>
      <c r="B52" s="8" t="n">
        <v>145.750329985</v>
      </c>
      <c r="C52" s="11">
        <f t="shared" si="0"/>
        <v>1.214489310398512E-3</v>
      </c>
      <c r="E52" s="150">
        <v>41</v>
      </c>
      <c r="F52" s="240" t="n">
        <v>207.0</v>
      </c>
      <c r="G52" s="11">
        <f t="shared" si="1"/>
        <v>1.3944510465252065E-3</v>
      </c>
    </row>
    <row r="53" spans="1:7" x14ac:dyDescent="0.45">
      <c r="A53">
        <v>42</v>
      </c>
      <c r="B53" s="8" t="n">
        <v>0.0</v>
      </c>
      <c r="C53" s="11">
        <f t="shared" si="0"/>
        <v>0</v>
      </c>
      <c r="E53" s="151">
        <v>42</v>
      </c>
      <c r="F53" s="241" t="n">
        <v>164.0</v>
      </c>
      <c r="G53" s="11">
        <f t="shared" si="1"/>
        <v>1.1265515843848959E-3</v>
      </c>
    </row>
    <row r="54" spans="1:7" x14ac:dyDescent="0.45">
      <c r="A54">
        <v>43</v>
      </c>
      <c r="B54" s="8" t="n">
        <v>0.0</v>
      </c>
      <c r="C54" s="11">
        <f t="shared" si="0"/>
        <v>0</v>
      </c>
      <c r="E54" s="152">
        <v>43</v>
      </c>
      <c r="F54" s="242" t="n">
        <v>167.0</v>
      </c>
      <c r="G54" s="11">
        <f t="shared" si="1"/>
        <v>1.0578594146053292E-3</v>
      </c>
    </row>
    <row r="55" spans="1:7" x14ac:dyDescent="0.45">
      <c r="A55">
        <v>44</v>
      </c>
      <c r="B55" s="8" t="n">
        <v>0.0</v>
      </c>
      <c r="C55" s="11">
        <f t="shared" si="0"/>
        <v>0</v>
      </c>
      <c r="E55" s="153">
        <v>44</v>
      </c>
      <c r="F55" s="243" t="n">
        <v>97.0</v>
      </c>
      <c r="G55" s="11">
        <f t="shared" si="1"/>
        <v>7.3500621664136507E-4</v>
      </c>
    </row>
    <row r="56" spans="1:7" x14ac:dyDescent="0.45">
      <c r="A56">
        <v>45</v>
      </c>
      <c r="B56" s="8" t="n">
        <v>0.0</v>
      </c>
      <c r="C56" s="11">
        <f t="shared" si="0"/>
        <v>0</v>
      </c>
      <c r="E56" s="154">
        <v>45</v>
      </c>
      <c r="F56" s="244" t="n">
        <v>95.0</v>
      </c>
      <c r="G56" s="11">
        <f t="shared" si="1"/>
        <v>5.9075266010427468E-4</v>
      </c>
    </row>
    <row r="57" spans="1:7" x14ac:dyDescent="0.45">
      <c r="A57">
        <v>46</v>
      </c>
      <c r="B57" s="8" t="n">
        <v>0.0</v>
      </c>
      <c r="C57" s="11">
        <f t="shared" si="0"/>
        <v>0</v>
      </c>
      <c r="E57" s="155">
        <v>46</v>
      </c>
      <c r="F57" s="245" t="n">
        <v>66.0</v>
      </c>
      <c r="G57" s="11">
        <f t="shared" si="1"/>
        <v>4.5336832054514105E-4</v>
      </c>
    </row>
    <row r="58" spans="1:7" x14ac:dyDescent="0.45">
      <c r="A58">
        <v>47</v>
      </c>
      <c r="B58" s="8" t="n">
        <v>0.0</v>
      </c>
      <c r="C58" s="11">
        <f t="shared" si="0"/>
        <v>0</v>
      </c>
      <c r="E58" s="156">
        <v>47</v>
      </c>
      <c r="F58" s="246" t="n">
        <v>49.0</v>
      </c>
      <c r="G58" s="11">
        <f t="shared" si="1"/>
        <v>3.0224554703009405E-4</v>
      </c>
    </row>
    <row r="59" spans="1:7" x14ac:dyDescent="0.45">
      <c r="A59">
        <v>48</v>
      </c>
      <c r="B59" s="8" t="n">
        <v>0.0</v>
      </c>
      <c r="C59" s="11">
        <f t="shared" si="0"/>
        <v>0</v>
      </c>
      <c r="E59" s="157">
        <v>48</v>
      </c>
      <c r="F59" s="247" t="n">
        <v>31.0</v>
      </c>
      <c r="G59" s="11">
        <f t="shared" si="1"/>
        <v>2.678994621403106E-4</v>
      </c>
    </row>
    <row r="60" spans="1:7" x14ac:dyDescent="0.45">
      <c r="A60">
        <v>49</v>
      </c>
      <c r="B60" s="8" t="n">
        <v>0.0</v>
      </c>
      <c r="C60" s="11">
        <f t="shared" si="0"/>
        <v>0</v>
      </c>
      <c r="E60" s="158">
        <v>49</v>
      </c>
      <c r="F60" s="248" t="n">
        <v>30.0</v>
      </c>
      <c r="G60" s="11">
        <f t="shared" si="1"/>
        <v>2.7476867911826731E-4</v>
      </c>
    </row>
    <row r="61" spans="1:7" x14ac:dyDescent="0.45">
      <c r="A61">
        <v>50</v>
      </c>
      <c r="B61" s="8" t="n">
        <v>0.0</v>
      </c>
      <c r="C61" s="11">
        <f t="shared" si="0"/>
        <v>0</v>
      </c>
      <c r="E61" s="159">
        <v>50</v>
      </c>
      <c r="F61" s="249" t="n">
        <v>26.0</v>
      </c>
      <c r="G61" s="11">
        <f t="shared" si="1"/>
        <v>1.5112277351504703E-4</v>
      </c>
    </row>
    <row r="62" spans="1:7" x14ac:dyDescent="0.45">
      <c r="A62">
        <v>51</v>
      </c>
      <c r="B62" s="8" t="n">
        <v>0.0</v>
      </c>
      <c r="C62" s="11">
        <f t="shared" si="0"/>
        <v>0</v>
      </c>
      <c r="E62" s="160">
        <v>51</v>
      </c>
      <c r="F62" s="250" t="n">
        <v>14.0</v>
      </c>
      <c r="G62" s="11">
        <f t="shared" si="1"/>
        <v>1.4425355653709034E-4</v>
      </c>
    </row>
    <row r="63" spans="1:7" x14ac:dyDescent="0.45">
      <c r="A63">
        <v>52</v>
      </c>
      <c r="B63" s="8" t="n">
        <v>0.0</v>
      </c>
      <c r="C63" s="11">
        <f t="shared" si="0"/>
        <v>0</v>
      </c>
      <c r="E63" s="161">
        <v>52</v>
      </c>
      <c r="F63" s="251" t="n">
        <v>13.0</v>
      </c>
      <c r="G63" s="11">
        <f t="shared" si="1"/>
        <v>8.2430603735480197E-5</v>
      </c>
    </row>
    <row r="64" spans="1:7" x14ac:dyDescent="0.45">
      <c r="A64">
        <v>53</v>
      </c>
      <c r="B64" s="8" t="n">
        <v>0.0</v>
      </c>
      <c r="C64" s="11">
        <f t="shared" si="0"/>
        <v>0</v>
      </c>
      <c r="E64" s="162">
        <v>53</v>
      </c>
      <c r="F64" s="252" t="n">
        <v>13.0</v>
      </c>
      <c r="G64" s="11">
        <f t="shared" si="1"/>
        <v>4.1215301867740098E-5</v>
      </c>
    </row>
    <row r="65" spans="1:7" x14ac:dyDescent="0.45">
      <c r="A65">
        <v>54</v>
      </c>
      <c r="B65" s="8" t="n">
        <v>0.0</v>
      </c>
      <c r="C65" s="11">
        <f t="shared" si="0"/>
        <v>0</v>
      </c>
      <c r="E65" s="163">
        <v>54</v>
      </c>
      <c r="F65" s="253" t="n">
        <v>11.0</v>
      </c>
      <c r="G65" s="11">
        <f t="shared" si="1"/>
        <v>4.8084518845696776E-5</v>
      </c>
    </row>
    <row r="66" spans="1:7" x14ac:dyDescent="0.45">
      <c r="A66">
        <v>55</v>
      </c>
      <c r="B66" s="8" t="n">
        <v>0.0</v>
      </c>
      <c r="C66" s="11">
        <f t="shared" si="0"/>
        <v>0</v>
      </c>
      <c r="E66" s="164">
        <v>55</v>
      </c>
      <c r="F66" s="254" t="n">
        <v>3.0</v>
      </c>
      <c r="G66" s="11">
        <f t="shared" si="1"/>
        <v>4.8084518845696776E-5</v>
      </c>
    </row>
    <row r="67" spans="1:7" x14ac:dyDescent="0.45">
      <c r="A67">
        <v>56</v>
      </c>
      <c r="B67" s="8" t="n">
        <v>0.0</v>
      </c>
      <c r="C67" s="11">
        <f t="shared" si="0"/>
        <v>0</v>
      </c>
      <c r="E67" s="165">
        <v>56</v>
      </c>
      <c r="F67" s="255" t="n">
        <v>4.0</v>
      </c>
      <c r="G67" s="11">
        <f t="shared" si="1"/>
        <v>4.8084518845696776E-5</v>
      </c>
    </row>
    <row r="68" spans="1:7" x14ac:dyDescent="0.45">
      <c r="A68">
        <v>57</v>
      </c>
      <c r="B68" s="8" t="n">
        <v>0.0</v>
      </c>
      <c r="C68" s="11">
        <f t="shared" si="0"/>
        <v>0</v>
      </c>
      <c r="E68" s="166">
        <v>57</v>
      </c>
      <c r="F68" s="256" t="n">
        <v>2.0</v>
      </c>
      <c r="G68" s="11">
        <f t="shared" si="1"/>
        <v>4.1215301867740098E-5</v>
      </c>
    </row>
    <row r="69" spans="1:7" x14ac:dyDescent="0.45">
      <c r="A69">
        <v>58</v>
      </c>
      <c r="B69" s="8" t="n">
        <v>0.0</v>
      </c>
      <c r="C69" s="11">
        <f t="shared" si="0"/>
        <v>0</v>
      </c>
      <c r="E69" s="167">
        <v>58</v>
      </c>
      <c r="F69" s="257" t="n">
        <v>2.0</v>
      </c>
      <c r="G69" s="11">
        <f t="shared" si="1"/>
        <v>2.0607650933870049E-5</v>
      </c>
    </row>
    <row r="70" spans="1:7" x14ac:dyDescent="0.45">
      <c r="A70">
        <v>59</v>
      </c>
      <c r="B70" s="8" t="n">
        <v>0.0</v>
      </c>
      <c r="C70" s="11">
        <f t="shared" si="0"/>
        <v>0</v>
      </c>
      <c r="E70" s="168">
        <v>59</v>
      </c>
      <c r="F70" s="258" t="n">
        <v>0.0</v>
      </c>
      <c r="G70" s="11">
        <f t="shared" si="1"/>
        <v>2.0607650933870049E-5</v>
      </c>
    </row>
    <row r="71" spans="1:7" x14ac:dyDescent="0.45">
      <c r="A71">
        <v>60</v>
      </c>
      <c r="B71" s="8" t="n">
        <v>481.758028516</v>
      </c>
      <c r="C71" s="11">
        <f t="shared" si="0"/>
        <v>4.0143303681820725E-3</v>
      </c>
      <c r="E71" s="169">
        <v>60</v>
      </c>
      <c r="F71" s="259" t="n">
        <v>3.0</v>
      </c>
      <c r="G71" s="11">
        <f t="shared" si="1"/>
        <v>1.3738433955913365E-5</v>
      </c>
    </row>
    <row r="72" spans="1:7" x14ac:dyDescent="0.45">
      <c r="A72">
        <v>61</v>
      </c>
      <c r="B72" s="8" t="n">
        <v>0.0</v>
      </c>
      <c r="C72" s="11">
        <f t="shared" si="0"/>
        <v>0</v>
      </c>
      <c r="E72" s="170">
        <v>61</v>
      </c>
      <c r="F72" s="260" t="n">
        <v>0.0</v>
      </c>
      <c r="G72" s="11">
        <f t="shared" si="1"/>
        <v>2.0607650933870049E-5</v>
      </c>
    </row>
    <row r="73" spans="1:7" x14ac:dyDescent="0.45">
      <c r="A73">
        <v>62</v>
      </c>
      <c r="B73" s="8" t="n">
        <v>0.0</v>
      </c>
      <c r="C73" s="11">
        <f t="shared" si="0"/>
        <v>0</v>
      </c>
      <c r="E73" s="171">
        <v>62</v>
      </c>
      <c r="F73" s="261" t="n">
        <v>0.0</v>
      </c>
      <c r="G73" s="11">
        <f t="shared" si="1"/>
        <v>6.8692169779566825E-6</v>
      </c>
    </row>
    <row r="74" spans="1:7" x14ac:dyDescent="0.45">
      <c r="A74">
        <v>63</v>
      </c>
      <c r="B74" s="8" t="n">
        <v>0.0</v>
      </c>
      <c r="C74" s="11">
        <f t="shared" si="0"/>
        <v>0</v>
      </c>
      <c r="E74" s="172">
        <v>63</v>
      </c>
      <c r="F74" s="262" t="n">
        <v>0.0</v>
      </c>
      <c r="G74" s="11">
        <f t="shared" si="1"/>
        <v>0</v>
      </c>
    </row>
    <row r="75" spans="1:7" x14ac:dyDescent="0.45">
      <c r="A75">
        <v>64</v>
      </c>
      <c r="B75" s="8" t="n">
        <v>0.0</v>
      </c>
      <c r="C75" s="11">
        <f t="shared" si="0"/>
        <v>0</v>
      </c>
      <c r="E75" s="173">
        <v>64</v>
      </c>
      <c r="F75" s="263" t="n">
        <v>1.0</v>
      </c>
      <c r="G75" s="11">
        <f t="shared" si="1"/>
        <v>6.8692169779566825E-6</v>
      </c>
    </row>
    <row r="76" spans="1:7" x14ac:dyDescent="0.45">
      <c r="A76">
        <v>65</v>
      </c>
      <c r="B76" s="8" t="n">
        <v>0.0</v>
      </c>
      <c r="C76" s="11">
        <f t="shared" si="0"/>
        <v>0</v>
      </c>
      <c r="E76" s="174">
        <v>65</v>
      </c>
      <c r="F76" s="264" t="n">
        <v>2.0</v>
      </c>
      <c r="G76" s="11">
        <f t="shared" si="1"/>
        <v>6.8692169779566825E-6</v>
      </c>
    </row>
    <row r="77" spans="1:7" x14ac:dyDescent="0.45">
      <c r="A77">
        <v>66</v>
      </c>
      <c r="B77" s="8" t="n">
        <v>0.0</v>
      </c>
      <c r="C77" s="11">
        <f t="shared" ref="C77:C102" si="2">B77/B$102</f>
        <v>0</v>
      </c>
      <c r="E77" s="175">
        <v>66</v>
      </c>
      <c r="F77" s="265" t="n">
        <v>0.0</v>
      </c>
      <c r="G77" s="11">
        <f t="shared" ref="G77:G102" si="3">F77/F$102</f>
        <v>6.8692169779566825E-6</v>
      </c>
    </row>
    <row r="78" spans="1:7" x14ac:dyDescent="0.45">
      <c r="A78">
        <v>67</v>
      </c>
      <c r="B78" s="8" t="n">
        <v>0.0</v>
      </c>
      <c r="C78" s="11">
        <f t="shared" si="2"/>
        <v>0</v>
      </c>
      <c r="E78" s="176">
        <v>67</v>
      </c>
      <c r="F78" s="266" t="n">
        <v>1.0</v>
      </c>
      <c r="G78" s="11">
        <f t="shared" si="3"/>
        <v>1.3738433955913365E-5</v>
      </c>
    </row>
    <row r="79" spans="1:7" x14ac:dyDescent="0.45">
      <c r="A79">
        <v>68</v>
      </c>
      <c r="B79" s="8" t="n">
        <v>0.0</v>
      </c>
      <c r="C79" s="11">
        <f t="shared" si="2"/>
        <v>0</v>
      </c>
      <c r="E79" s="177">
        <v>68</v>
      </c>
      <c r="F79" s="267" t="n">
        <v>0.0</v>
      </c>
      <c r="G79" s="11">
        <f t="shared" si="3"/>
        <v>0</v>
      </c>
    </row>
    <row r="80" spans="1:7" x14ac:dyDescent="0.45">
      <c r="A80">
        <v>69</v>
      </c>
      <c r="B80" s="8" t="n">
        <v>0.0</v>
      </c>
      <c r="C80" s="11">
        <f t="shared" si="2"/>
        <v>0</v>
      </c>
      <c r="E80" s="178">
        <v>69</v>
      </c>
      <c r="F80" s="268" t="n">
        <v>0.0</v>
      </c>
      <c r="G80" s="11">
        <f t="shared" si="3"/>
        <v>2.0607650933870049E-5</v>
      </c>
    </row>
    <row r="81" spans="1:7" x14ac:dyDescent="0.45">
      <c r="A81">
        <v>70</v>
      </c>
      <c r="B81" s="8" t="n">
        <v>0.0</v>
      </c>
      <c r="C81" s="11">
        <f t="shared" si="2"/>
        <v>0</v>
      </c>
      <c r="E81" s="179">
        <v>70</v>
      </c>
      <c r="F81" s="269" t="n">
        <v>1.0</v>
      </c>
      <c r="G81" s="11">
        <f t="shared" si="3"/>
        <v>0</v>
      </c>
    </row>
    <row r="82" spans="1:7" x14ac:dyDescent="0.45">
      <c r="A82">
        <v>71</v>
      </c>
      <c r="B82" s="8" t="n">
        <v>0.0</v>
      </c>
      <c r="C82" s="11">
        <f t="shared" si="2"/>
        <v>0</v>
      </c>
      <c r="E82" s="180">
        <v>71</v>
      </c>
      <c r="F82" s="270" t="n">
        <v>1.0</v>
      </c>
      <c r="G82" s="11">
        <f t="shared" si="3"/>
        <v>6.8692169779566825E-6</v>
      </c>
    </row>
    <row r="83" spans="1:7" x14ac:dyDescent="0.45">
      <c r="A83">
        <v>72</v>
      </c>
      <c r="B83" s="8" t="n">
        <v>0.0</v>
      </c>
      <c r="C83" s="11">
        <f t="shared" si="2"/>
        <v>0</v>
      </c>
      <c r="E83" s="181">
        <v>72</v>
      </c>
      <c r="F83" s="271" t="n">
        <v>0.0</v>
      </c>
      <c r="G83" s="11">
        <f t="shared" si="3"/>
        <v>0</v>
      </c>
    </row>
    <row r="84" spans="1:7" x14ac:dyDescent="0.45">
      <c r="A84">
        <v>73</v>
      </c>
      <c r="B84" s="8" t="n">
        <v>0.0</v>
      </c>
      <c r="C84" s="11">
        <f t="shared" si="2"/>
        <v>0</v>
      </c>
      <c r="E84" s="182">
        <v>73</v>
      </c>
      <c r="F84" s="272" t="n">
        <v>0.0</v>
      </c>
      <c r="G84" s="11">
        <f t="shared" si="3"/>
        <v>0</v>
      </c>
    </row>
    <row r="85" spans="1:7" x14ac:dyDescent="0.45">
      <c r="A85">
        <v>74</v>
      </c>
      <c r="B85" s="8" t="n">
        <v>0.0</v>
      </c>
      <c r="C85" s="11">
        <f t="shared" si="2"/>
        <v>0</v>
      </c>
      <c r="E85" s="183">
        <v>74</v>
      </c>
      <c r="F85" s="273" t="n">
        <v>0.0</v>
      </c>
      <c r="G85" s="11">
        <f t="shared" si="3"/>
        <v>0</v>
      </c>
    </row>
    <row r="86" spans="1:7" x14ac:dyDescent="0.45">
      <c r="A86">
        <v>75</v>
      </c>
      <c r="B86" s="8" t="n">
        <v>0.0</v>
      </c>
      <c r="C86" s="11">
        <f t="shared" si="2"/>
        <v>0</v>
      </c>
      <c r="E86" s="184">
        <v>75</v>
      </c>
      <c r="F86" s="274" t="n">
        <v>0.0</v>
      </c>
      <c r="G86" s="11">
        <f t="shared" si="3"/>
        <v>0</v>
      </c>
    </row>
    <row r="87" spans="1:7" x14ac:dyDescent="0.45">
      <c r="A87">
        <v>76</v>
      </c>
      <c r="B87" s="8" t="n">
        <v>0.0</v>
      </c>
      <c r="C87" s="11">
        <f t="shared" si="2"/>
        <v>0</v>
      </c>
      <c r="E87" s="185">
        <v>76</v>
      </c>
      <c r="F87" s="275" t="n">
        <v>0.0</v>
      </c>
      <c r="G87" s="11">
        <f t="shared" si="3"/>
        <v>0</v>
      </c>
    </row>
    <row r="88" spans="1:7" x14ac:dyDescent="0.45">
      <c r="A88">
        <v>77</v>
      </c>
      <c r="B88" s="8" t="n">
        <v>0.0</v>
      </c>
      <c r="C88" s="11">
        <f t="shared" si="2"/>
        <v>0</v>
      </c>
      <c r="E88" s="186">
        <v>77</v>
      </c>
      <c r="F88" s="276" t="n">
        <v>0.0</v>
      </c>
      <c r="G88" s="11">
        <f t="shared" si="3"/>
        <v>0</v>
      </c>
    </row>
    <row r="89" spans="1:7" x14ac:dyDescent="0.45">
      <c r="A89">
        <v>78</v>
      </c>
      <c r="B89" s="8" t="n">
        <v>0.0</v>
      </c>
      <c r="C89" s="11">
        <f t="shared" si="2"/>
        <v>0</v>
      </c>
      <c r="E89" s="187">
        <v>78</v>
      </c>
      <c r="F89" s="277" t="n">
        <v>0.0</v>
      </c>
      <c r="G89" s="11">
        <f t="shared" si="3"/>
        <v>0</v>
      </c>
    </row>
    <row r="90" spans="1:7" x14ac:dyDescent="0.45">
      <c r="A90">
        <v>79</v>
      </c>
      <c r="B90" s="8" t="n">
        <v>0.0</v>
      </c>
      <c r="C90" s="11">
        <f t="shared" si="2"/>
        <v>0</v>
      </c>
      <c r="E90" s="188">
        <v>79</v>
      </c>
      <c r="F90" s="278" t="n">
        <v>0.0</v>
      </c>
      <c r="G90" s="11">
        <f t="shared" si="3"/>
        <v>0</v>
      </c>
    </row>
    <row r="91" spans="1:7" x14ac:dyDescent="0.45">
      <c r="A91">
        <v>80</v>
      </c>
      <c r="B91" s="8" t="n">
        <v>0.0</v>
      </c>
      <c r="C91" s="11">
        <f t="shared" si="2"/>
        <v>0</v>
      </c>
      <c r="E91" s="189">
        <v>80</v>
      </c>
      <c r="F91" s="279" t="n">
        <v>0.0</v>
      </c>
      <c r="G91" s="11">
        <f t="shared" si="3"/>
        <v>0</v>
      </c>
    </row>
    <row r="92" spans="1:7" x14ac:dyDescent="0.45">
      <c r="A92">
        <v>81</v>
      </c>
      <c r="B92" s="8" t="n">
        <v>0.0</v>
      </c>
      <c r="C92" s="11">
        <f t="shared" si="2"/>
        <v>0</v>
      </c>
      <c r="E92" s="190">
        <v>81</v>
      </c>
      <c r="F92" s="280" t="n">
        <v>0.0</v>
      </c>
      <c r="G92" s="11">
        <f t="shared" si="3"/>
        <v>0</v>
      </c>
    </row>
    <row r="93" spans="1:7" x14ac:dyDescent="0.45">
      <c r="A93">
        <v>82</v>
      </c>
      <c r="B93" s="8" t="n">
        <v>0.0</v>
      </c>
      <c r="C93" s="11">
        <f t="shared" si="2"/>
        <v>0</v>
      </c>
      <c r="E93" s="191">
        <v>82</v>
      </c>
      <c r="F93" s="281" t="n">
        <v>0.0</v>
      </c>
      <c r="G93" s="11">
        <f t="shared" si="3"/>
        <v>0</v>
      </c>
    </row>
    <row r="94" spans="1:7" x14ac:dyDescent="0.45">
      <c r="A94">
        <v>83</v>
      </c>
      <c r="B94" s="8" t="n">
        <v>0.0</v>
      </c>
      <c r="C94" s="11">
        <f t="shared" si="2"/>
        <v>0</v>
      </c>
      <c r="E94" s="192">
        <v>83</v>
      </c>
      <c r="F94" s="282" t="n">
        <v>0.0</v>
      </c>
      <c r="G94" s="11">
        <f t="shared" si="3"/>
        <v>0</v>
      </c>
    </row>
    <row r="95" spans="1:7" x14ac:dyDescent="0.45">
      <c r="A95">
        <v>84</v>
      </c>
      <c r="B95" s="8" t="n">
        <v>0.0</v>
      </c>
      <c r="C95" s="11">
        <f t="shared" si="2"/>
        <v>0</v>
      </c>
      <c r="E95" s="193">
        <v>84</v>
      </c>
      <c r="F95" s="283" t="n">
        <v>0.0</v>
      </c>
      <c r="G95" s="11">
        <f t="shared" si="3"/>
        <v>0</v>
      </c>
    </row>
    <row r="96" spans="1:7" x14ac:dyDescent="0.45">
      <c r="A96">
        <v>85</v>
      </c>
      <c r="B96" s="8" t="n">
        <v>0.0</v>
      </c>
      <c r="C96" s="11">
        <f t="shared" si="2"/>
        <v>0</v>
      </c>
      <c r="E96" s="194">
        <v>85</v>
      </c>
      <c r="F96" s="284" t="n">
        <v>0.0</v>
      </c>
      <c r="G96" s="11">
        <f t="shared" si="3"/>
        <v>0</v>
      </c>
    </row>
    <row r="97" spans="1:7" x14ac:dyDescent="0.45">
      <c r="A97">
        <v>86</v>
      </c>
      <c r="B97" s="8" t="n">
        <v>0.0</v>
      </c>
      <c r="C97" s="11">
        <f t="shared" si="2"/>
        <v>0</v>
      </c>
      <c r="E97" s="195">
        <v>86</v>
      </c>
      <c r="F97" s="285" t="n">
        <v>0.0</v>
      </c>
      <c r="G97" s="11">
        <f t="shared" si="3"/>
        <v>0</v>
      </c>
    </row>
    <row r="98" spans="1:7" x14ac:dyDescent="0.45">
      <c r="A98">
        <v>87</v>
      </c>
      <c r="B98" s="8" t="n">
        <v>0.0</v>
      </c>
      <c r="C98" s="11">
        <f t="shared" si="2"/>
        <v>0</v>
      </c>
      <c r="E98" s="196">
        <v>87</v>
      </c>
      <c r="F98" s="286" t="n">
        <v>0.0</v>
      </c>
      <c r="G98" s="11">
        <f t="shared" si="3"/>
        <v>0</v>
      </c>
    </row>
    <row r="99" spans="1:7" x14ac:dyDescent="0.45">
      <c r="A99">
        <v>88</v>
      </c>
      <c r="B99" s="8" t="n">
        <v>0.0</v>
      </c>
      <c r="C99" s="11">
        <f t="shared" si="2"/>
        <v>0</v>
      </c>
      <c r="E99" s="197">
        <v>88</v>
      </c>
      <c r="F99" s="287" t="n">
        <v>0.0</v>
      </c>
      <c r="G99" s="11">
        <f t="shared" si="3"/>
        <v>0</v>
      </c>
    </row>
    <row r="100" spans="1:7" x14ac:dyDescent="0.45">
      <c r="A100">
        <v>89</v>
      </c>
      <c r="B100" s="8" t="n">
        <v>0.0</v>
      </c>
      <c r="C100" s="11">
        <f t="shared" si="2"/>
        <v>0</v>
      </c>
      <c r="E100" s="198">
        <v>89</v>
      </c>
      <c r="F100" s="288" t="n">
        <v>0.0</v>
      </c>
      <c r="G100" s="11">
        <f t="shared" si="3"/>
        <v>0</v>
      </c>
    </row>
    <row r="101" spans="1:7" ht="14.65" thickBot="1" x14ac:dyDescent="0.5">
      <c r="A101" s="1">
        <v>90</v>
      </c>
      <c r="B101" s="9" t="n">
        <v>0.0</v>
      </c>
      <c r="C101" s="11">
        <f t="shared" si="2"/>
        <v>0</v>
      </c>
      <c r="E101" s="292">
        <v>90</v>
      </c>
      <c r="F101" s="292" t="n">
        <v>0.0</v>
      </c>
      <c r="G101" s="11">
        <f t="shared" si="3"/>
        <v>0</v>
      </c>
    </row>
    <row r="102" spans="1:7" x14ac:dyDescent="0.45">
      <c r="B102" s="8">
        <f>SUM(B11:B101)</f>
        <v>120009.56182741102</v>
      </c>
      <c r="C102" s="11">
        <f t="shared" si="2"/>
        <v>1</v>
      </c>
      <c r="F102" s="8">
        <f>SUM(F11:F101)</f>
        <v>145577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A10" workbookViewId="0">
      <selection activeCell="I44" sqref="I44"/>
    </sheetView>
  </sheetViews>
  <sheetFormatPr defaultRowHeight="14.25" x14ac:dyDescent="0.45"/>
  <cols>
    <col min="13" max="14" bestFit="true" customWidth="true" width="10.59765625" collapsed="true"/>
    <col min="15" max="18" bestFit="true" customWidth="true" width="11.59765625" collapsed="true"/>
    <col min="19" max="19" bestFit="true" customWidth="true" width="10.59765625" collapsed="true"/>
  </cols>
  <sheetData>
    <row r="1" spans="1:21" x14ac:dyDescent="0.45">
      <c r="A1" t="s">
        <v>2</v>
      </c>
    </row>
    <row r="2" spans="1:21" x14ac:dyDescent="0.45">
      <c r="A2" t="s">
        <v>243</v>
      </c>
    </row>
    <row r="3" spans="1:21" x14ac:dyDescent="0.45">
      <c r="A3" t="s">
        <v>14</v>
      </c>
    </row>
    <row r="5" spans="1:21" ht="14.65" thickBot="1" x14ac:dyDescent="0.5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294" t="s">
        <v>248</v>
      </c>
      <c r="B7" s="12" t="n">
        <v>30516.464453899</v>
      </c>
      <c r="C7" s="12" t="n">
        <v>1319.807376248</v>
      </c>
      <c r="D7" s="12" t="n">
        <v>3040.7711595897</v>
      </c>
      <c r="E7" s="12" t="n">
        <v>3410.941196756</v>
      </c>
      <c r="F7" s="12" t="n">
        <v>3672.205598719</v>
      </c>
      <c r="G7" s="12" t="n">
        <v>1106.709116145</v>
      </c>
      <c r="H7" s="12" t="n">
        <v>2290.633530187</v>
      </c>
      <c r="I7" s="12"/>
      <c r="J7" s="12">
        <f>SUM(B7:I7)</f>
        <v>45357.532431543703</v>
      </c>
      <c r="K7" s="12"/>
      <c r="L7" t="str">
        <f>$A$7</f>
        <v>Bellevue</v>
      </c>
      <c r="M7" s="343" t="n">
        <v>32503.0</v>
      </c>
      <c r="N7" s="343" t="n">
        <v>3243.0</v>
      </c>
      <c r="O7" s="343" t="n">
        <v>4120.0</v>
      </c>
      <c r="P7" s="343" t="n">
        <v>2798.0</v>
      </c>
      <c r="Q7" s="343" t="n">
        <v>2884.0</v>
      </c>
      <c r="R7" s="343" t="n">
        <v>324.0</v>
      </c>
      <c r="S7" s="343" t="n">
        <v>8480.0</v>
      </c>
      <c r="T7" s="291"/>
      <c r="U7" s="12">
        <f>SUM(M7:T7)</f>
        <v>53499</v>
      </c>
    </row>
    <row r="8" spans="1:21" x14ac:dyDescent="0.45">
      <c r="A8" t="s">
        <v>249</v>
      </c>
      <c r="B8" s="12" t="n">
        <v>1765.2336084078</v>
      </c>
      <c r="C8" s="12" t="n">
        <v>355.77460079269997</v>
      </c>
      <c r="D8" s="12" t="n">
        <v>0.0</v>
      </c>
      <c r="E8" s="12" t="n">
        <v>80.1534960505</v>
      </c>
      <c r="F8" s="12" t="n">
        <v>102.702875</v>
      </c>
      <c r="G8" s="12" t="n">
        <v>131.494048378</v>
      </c>
      <c r="H8" s="12" t="n">
        <v>117.6075445587</v>
      </c>
      <c r="I8" s="12"/>
      <c r="J8" s="12">
        <f t="shared" ref="J8:J14" si="0">SUM(B8:I8)</f>
        <v>2552.9661731877</v>
      </c>
      <c r="K8" s="12"/>
      <c r="L8" t="str">
        <f>$A$8</f>
        <v>Bellevue Downtown</v>
      </c>
      <c r="M8" s="343" t="n">
        <v>2598.0</v>
      </c>
      <c r="N8" s="343" t="n">
        <v>924.0</v>
      </c>
      <c r="O8" s="343" t="n">
        <v>715.0</v>
      </c>
      <c r="P8" s="343" t="n">
        <v>230.0</v>
      </c>
      <c r="Q8" s="343" t="n">
        <v>349.0</v>
      </c>
      <c r="R8" s="343" t="n">
        <v>19.0</v>
      </c>
      <c r="S8" s="343" t="n">
        <v>775.0</v>
      </c>
      <c r="T8" s="291"/>
      <c r="U8" s="12">
        <f t="shared" ref="U8:U14" si="1">SUM(M8:T8)</f>
        <v>5477</v>
      </c>
    </row>
    <row r="9" spans="1:21" x14ac:dyDescent="0.45">
      <c r="A9" t="s">
        <v>250</v>
      </c>
      <c r="B9" s="12" t="n">
        <v>0.0</v>
      </c>
      <c r="C9" s="12" t="n">
        <v>0.0</v>
      </c>
      <c r="D9" s="12" t="n">
        <v>22861.903025398602</v>
      </c>
      <c r="E9" s="12" t="n">
        <v>3973.395168847</v>
      </c>
      <c r="F9" s="12" t="n">
        <v>1410.832695743</v>
      </c>
      <c r="G9" s="12" t="n">
        <v>462.673980303</v>
      </c>
      <c r="H9" s="12" t="n">
        <v>3702.905689416</v>
      </c>
      <c r="I9" s="12"/>
      <c r="J9" s="12">
        <f t="shared" si="0"/>
        <v>32411.710559707601</v>
      </c>
      <c r="K9" s="13"/>
      <c r="L9" t="str">
        <f>$A$9</f>
        <v>Kirkland</v>
      </c>
      <c r="M9" s="343" t="n">
        <v>2621.0</v>
      </c>
      <c r="N9" s="343" t="n">
        <v>564.0</v>
      </c>
      <c r="O9" s="343" t="n">
        <v>19281.0</v>
      </c>
      <c r="P9" s="343" t="n">
        <v>2252.0</v>
      </c>
      <c r="Q9" s="343" t="n">
        <v>1377.0</v>
      </c>
      <c r="R9" s="343" t="n">
        <v>70.0</v>
      </c>
      <c r="S9" s="343" t="n">
        <v>21267.0</v>
      </c>
      <c r="T9" s="291"/>
      <c r="U9" s="12">
        <f t="shared" si="1"/>
        <v>47461</v>
      </c>
    </row>
    <row r="10" spans="1:21" x14ac:dyDescent="0.45">
      <c r="A10" t="s">
        <v>251</v>
      </c>
      <c r="B10" s="12" t="n">
        <v>3023.1104186019998</v>
      </c>
      <c r="C10" s="12" t="n">
        <v>0.0</v>
      </c>
      <c r="D10" s="12" t="n">
        <v>2465.43626534</v>
      </c>
      <c r="E10" s="12" t="n">
        <v>31367.574942535</v>
      </c>
      <c r="F10" s="12" t="n">
        <v>453.746371195</v>
      </c>
      <c r="G10" s="12" t="n">
        <v>0.0</v>
      </c>
      <c r="H10" s="12" t="n">
        <v>2377.4846653</v>
      </c>
      <c r="I10" s="12"/>
      <c r="J10" s="12">
        <f t="shared" si="0"/>
        <v>39687.352662971993</v>
      </c>
      <c r="K10" s="13"/>
      <c r="L10" t="str">
        <f>$A$10</f>
        <v>Redmond</v>
      </c>
      <c r="M10" s="343" t="n">
        <v>5662.0</v>
      </c>
      <c r="N10" s="343" t="n">
        <v>504.0</v>
      </c>
      <c r="O10" s="343" t="n">
        <v>5963.0</v>
      </c>
      <c r="P10" s="343" t="n">
        <v>14157.0</v>
      </c>
      <c r="Q10" s="343" t="n">
        <v>416.0</v>
      </c>
      <c r="R10" s="343" t="n">
        <v>46.0</v>
      </c>
      <c r="S10" s="343" t="n">
        <v>12273.0</v>
      </c>
      <c r="T10" s="291"/>
      <c r="U10" s="12">
        <f t="shared" si="1"/>
        <v>39140</v>
      </c>
    </row>
    <row r="11" spans="1:21" x14ac:dyDescent="0.45">
      <c r="A11" t="s">
        <v>247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t="shared" si="0"/>
        <v>0</v>
      </c>
      <c r="K11" s="13"/>
      <c r="L11" t="str">
        <f>$A$11</f>
        <v>Seattle</v>
      </c>
      <c r="M11" s="343" t="n">
        <v>0.0</v>
      </c>
      <c r="N11" s="343" t="n">
        <v>0.0</v>
      </c>
      <c r="O11" s="343" t="n">
        <v>0.0</v>
      </c>
      <c r="P11" s="343" t="n">
        <v>0.0</v>
      </c>
      <c r="Q11" s="343" t="n">
        <v>0.0</v>
      </c>
      <c r="R11" s="343" t="n">
        <v>0.0</v>
      </c>
      <c r="S11" s="343" t="n">
        <v>0.0</v>
      </c>
      <c r="T11" s="291"/>
      <c r="U11" s="12">
        <f t="shared" si="1"/>
        <v>0</v>
      </c>
    </row>
    <row r="12" spans="1:21" x14ac:dyDescent="0.4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t="shared" si="0"/>
        <v>0</v>
      </c>
      <c r="K12" s="13"/>
      <c r="L12" t="str">
        <f>$A$12</f>
        <v>Seattle Downtown</v>
      </c>
      <c r="M12" s="343" t="n">
        <v>0.0</v>
      </c>
      <c r="N12" s="343" t="n">
        <v>0.0</v>
      </c>
      <c r="O12" s="343" t="n">
        <v>0.0</v>
      </c>
      <c r="P12" s="343" t="n">
        <v>0.0</v>
      </c>
      <c r="Q12" s="343" t="n">
        <v>0.0</v>
      </c>
      <c r="R12" s="343" t="n">
        <v>0.0</v>
      </c>
      <c r="S12" s="343" t="n">
        <v>0.0</v>
      </c>
      <c r="T12" s="291"/>
      <c r="U12" s="12">
        <f t="shared" si="1"/>
        <v>0</v>
      </c>
    </row>
    <row r="13" spans="1:21" x14ac:dyDescent="0.45">
      <c r="A13" t="s">
        <v>253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t="shared" si="0"/>
        <v>0</v>
      </c>
      <c r="K13" s="13"/>
      <c r="L13" t="str">
        <f>$A$13</f>
        <v>Rest</v>
      </c>
      <c r="M13" s="343" t="n">
        <v>0.0</v>
      </c>
      <c r="N13" s="343" t="n">
        <v>0.0</v>
      </c>
      <c r="O13" s="343" t="n">
        <v>0.0</v>
      </c>
      <c r="P13" s="343" t="n">
        <v>0.0</v>
      </c>
      <c r="Q13" s="343" t="n">
        <v>0.0</v>
      </c>
      <c r="R13" s="343" t="n">
        <v>0.0</v>
      </c>
      <c r="S13" s="343" t="n">
        <v>0.0</v>
      </c>
      <c r="T13" s="291"/>
      <c r="U13" s="12">
        <f t="shared" si="1"/>
        <v>0</v>
      </c>
    </row>
    <row r="14" spans="1:21" x14ac:dyDescent="0.4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4.65" thickBot="1" x14ac:dyDescent="0.5">
      <c r="A15" s="1" t="s">
        <v>4</v>
      </c>
      <c r="B15" s="15">
        <f t="shared" ref="B15:J15" si="2">SUM(B7:B14)</f>
        <v>35304.808480908803</v>
      </c>
      <c r="C15" s="15">
        <f t="shared" si="2"/>
        <v>1675.5819770407002</v>
      </c>
      <c r="D15" s="15">
        <f t="shared" si="2"/>
        <v>28368.110450328302</v>
      </c>
      <c r="E15" s="15">
        <f t="shared" si="2"/>
        <v>38832.0648041885</v>
      </c>
      <c r="F15" s="15">
        <f t="shared" si="2"/>
        <v>5639.4875406570009</v>
      </c>
      <c r="G15" s="15">
        <f t="shared" si="2"/>
        <v>1700.8771448259999</v>
      </c>
      <c r="H15" s="15">
        <f t="shared" si="2"/>
        <v>8488.6314294617005</v>
      </c>
      <c r="I15" s="15">
        <f t="shared" si="2"/>
        <v>0</v>
      </c>
      <c r="J15" s="15">
        <f t="shared" si="2"/>
        <v>120009.561827411</v>
      </c>
      <c r="K15" s="12"/>
      <c r="L15" s="15" t="s">
        <v>4</v>
      </c>
      <c r="M15" s="15">
        <f t="shared" ref="M15:U15" si="3">SUM(M7:M14)</f>
        <v>43173</v>
      </c>
      <c r="N15" s="15">
        <f t="shared" si="3"/>
        <v>5180</v>
      </c>
      <c r="O15" s="15">
        <f t="shared" si="3"/>
        <v>30067</v>
      </c>
      <c r="P15" s="15">
        <f t="shared" si="3"/>
        <v>19158</v>
      </c>
      <c r="Q15" s="15">
        <f t="shared" si="3"/>
        <v>5169</v>
      </c>
      <c r="R15" s="15">
        <f t="shared" si="3"/>
        <v>452</v>
      </c>
      <c r="S15" s="15">
        <f t="shared" si="3"/>
        <v>42378</v>
      </c>
      <c r="T15" s="15">
        <f t="shared" si="3"/>
        <v>0</v>
      </c>
      <c r="U15" s="15">
        <f t="shared" si="3"/>
        <v>145577</v>
      </c>
    </row>
    <row r="18" spans="1:32" ht="14.65" thickBot="1" x14ac:dyDescent="0.5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2">
        <f t="shared" ref="B20:G20" si="4">($U7/$J7)*B7</f>
        <v>35994.02887013663</v>
      </c>
      <c r="C20" s="12">
        <f t="shared" si="4"/>
        <v>1556.70670419424</v>
      </c>
      <c r="D20" s="12">
        <f t="shared" si="4"/>
        <v>3586.5755376444481</v>
      </c>
      <c r="E20" s="12">
        <f t="shared" si="4"/>
        <v>4023.189386694743</v>
      </c>
      <c r="F20" s="12">
        <f t="shared" si="4"/>
        <v>4331.3495420496238</v>
      </c>
      <c r="G20" s="12">
        <f t="shared" si="4"/>
        <v>1305.3582906874697</v>
      </c>
      <c r="H20" s="12">
        <f t="shared" ref="H20" si="5">($U7/$J7)*H7</f>
        <v>2701.7916685928394</v>
      </c>
      <c r="I20" s="12"/>
      <c r="J20" s="12">
        <f>SUM(B20:I20)</f>
        <v>53499</v>
      </c>
      <c r="K20" s="12"/>
      <c r="L20" t="str">
        <f>$A$7</f>
        <v>Bellevue</v>
      </c>
      <c r="M20" s="12">
        <f t="shared" ref="M20:M26" si="6">M7</f>
        <v>32163</v>
      </c>
      <c r="N20" s="12">
        <f t="shared" ref="N20:U20" si="7">N7</f>
        <v>3131</v>
      </c>
      <c r="O20" s="12">
        <f t="shared" si="7"/>
        <v>3983</v>
      </c>
      <c r="P20" s="12">
        <f t="shared" si="7"/>
        <v>2717</v>
      </c>
      <c r="Q20" s="12">
        <f t="shared" si="7"/>
        <v>2964</v>
      </c>
      <c r="R20" s="12">
        <f t="shared" si="7"/>
        <v>316</v>
      </c>
      <c r="S20" s="12">
        <f t="shared" ref="S20" si="8">S7</f>
        <v>8225</v>
      </c>
      <c r="T20" s="12"/>
      <c r="U20" s="12">
        <f t="shared" si="7"/>
        <v>53499</v>
      </c>
    </row>
    <row r="21" spans="1:32" x14ac:dyDescent="0.45">
      <c r="A21" t="str">
        <f>$A$8</f>
        <v>Bellevue Downtown</v>
      </c>
      <c r="B21" s="12">
        <f t="shared" ref="B21:G26" si="9">($U8/$J8)*B8</f>
        <v>3787.0397872046906</v>
      </c>
      <c r="C21" s="12">
        <f t="shared" si="9"/>
        <v>763.26020650268674</v>
      </c>
      <c r="D21" s="12">
        <f t="shared" si="9"/>
        <v>0</v>
      </c>
      <c r="E21" s="12">
        <f t="shared" si="9"/>
        <v>171.95711501356902</v>
      </c>
      <c r="F21" s="12">
        <f t="shared" si="9"/>
        <v>220.33337232692097</v>
      </c>
      <c r="G21" s="12">
        <f t="shared" si="9"/>
        <v>282.10044869770229</v>
      </c>
      <c r="H21" s="12">
        <f t="shared" ref="H21" si="10">($U8/$J8)*H8</f>
        <v>252.30907025443048</v>
      </c>
      <c r="I21" s="12"/>
      <c r="J21" s="12">
        <f t="shared" ref="J21:J27" si="11">SUM(B21:I21)</f>
        <v>5477</v>
      </c>
      <c r="K21" s="12"/>
      <c r="L21" t="str">
        <f>$A$8</f>
        <v>Bellevue Downtown</v>
      </c>
      <c r="M21" s="12">
        <f t="shared" si="6"/>
        <v>2533</v>
      </c>
      <c r="N21" s="12">
        <f t="shared" ref="N21:R26" si="12">N8</f>
        <v>882</v>
      </c>
      <c r="O21" s="12">
        <f t="shared" si="12"/>
        <v>709</v>
      </c>
      <c r="P21" s="12">
        <f t="shared" si="12"/>
        <v>218</v>
      </c>
      <c r="Q21" s="12">
        <f t="shared" si="12"/>
        <v>359</v>
      </c>
      <c r="R21" s="12">
        <f t="shared" si="12"/>
        <v>25</v>
      </c>
      <c r="S21" s="12">
        <f t="shared" ref="S21" si="13">S8</f>
        <v>751</v>
      </c>
      <c r="T21" s="12"/>
      <c r="U21" s="12">
        <f t="shared" ref="U21:U26" si="14">U8</f>
        <v>5477</v>
      </c>
    </row>
    <row r="22" spans="1:32" x14ac:dyDescent="0.45">
      <c r="A22" t="str">
        <f>$A$9</f>
        <v>Kirkland</v>
      </c>
      <c r="B22" s="12">
        <f t="shared" si="9"/>
        <v>0</v>
      </c>
      <c r="C22" s="12">
        <f t="shared" si="9"/>
        <v>0</v>
      </c>
      <c r="D22" s="12">
        <f t="shared" si="9"/>
        <v>33477.060011677204</v>
      </c>
      <c r="E22" s="12">
        <f t="shared" si="9"/>
        <v>5818.307792217578</v>
      </c>
      <c r="F22" s="12">
        <f t="shared" si="9"/>
        <v>2065.9054834303874</v>
      </c>
      <c r="G22" s="12">
        <f t="shared" si="9"/>
        <v>677.50110685175719</v>
      </c>
      <c r="H22" s="12">
        <f t="shared" ref="H22" si="15">($U9/$J9)*H9</f>
        <v>5422.2256058230769</v>
      </c>
      <c r="I22" s="12"/>
      <c r="J22" s="12">
        <f t="shared" si="11"/>
        <v>47461.000000000007</v>
      </c>
      <c r="K22" s="13"/>
      <c r="L22" t="str">
        <f>$A$9</f>
        <v>Kirkland</v>
      </c>
      <c r="M22" s="12">
        <f t="shared" si="6"/>
        <v>2644</v>
      </c>
      <c r="N22" s="12">
        <f t="shared" si="12"/>
        <v>635</v>
      </c>
      <c r="O22" s="12">
        <f t="shared" si="12"/>
        <v>19272</v>
      </c>
      <c r="P22" s="12">
        <f t="shared" si="12"/>
        <v>2163</v>
      </c>
      <c r="Q22" s="12">
        <f t="shared" si="12"/>
        <v>1422</v>
      </c>
      <c r="R22" s="12">
        <f t="shared" si="12"/>
        <v>62</v>
      </c>
      <c r="S22" s="12">
        <f t="shared" ref="S22" si="16">S9</f>
        <v>21263</v>
      </c>
      <c r="T22" s="12"/>
      <c r="U22" s="12">
        <f t="shared" si="14"/>
        <v>47461</v>
      </c>
    </row>
    <row r="23" spans="1:32" x14ac:dyDescent="0.45">
      <c r="A23" t="str">
        <f>$A$10</f>
        <v>Redmond</v>
      </c>
      <c r="B23" s="12">
        <f t="shared" si="9"/>
        <v>2981.4168455352324</v>
      </c>
      <c r="C23" s="12">
        <f t="shared" si="9"/>
        <v>0</v>
      </c>
      <c r="D23" s="12">
        <f t="shared" si="9"/>
        <v>2431.4339191346148</v>
      </c>
      <c r="E23" s="12">
        <f t="shared" si="9"/>
        <v>30934.965445459908</v>
      </c>
      <c r="F23" s="12">
        <f t="shared" si="9"/>
        <v>447.48847622537204</v>
      </c>
      <c r="G23" s="12">
        <f t="shared" si="9"/>
        <v>0</v>
      </c>
      <c r="H23" s="12">
        <f t="shared" ref="H23" si="17">($U10/$J10)*H10</f>
        <v>2344.6953136448778</v>
      </c>
      <c r="I23" s="12"/>
      <c r="J23" s="12">
        <f>SUM(B23:I23)</f>
        <v>39140.000000000007</v>
      </c>
      <c r="K23" s="13"/>
      <c r="L23" t="str">
        <f>$A$10</f>
        <v>Redmond</v>
      </c>
      <c r="M23" s="12">
        <f t="shared" si="6"/>
        <v>5833</v>
      </c>
      <c r="N23" s="12">
        <f t="shared" si="12"/>
        <v>532</v>
      </c>
      <c r="O23" s="12">
        <f t="shared" si="12"/>
        <v>6103</v>
      </c>
      <c r="P23" s="12">
        <f t="shared" si="12"/>
        <v>14060</v>
      </c>
      <c r="Q23" s="12">
        <f t="shared" si="12"/>
        <v>424</v>
      </c>
      <c r="R23" s="12">
        <f t="shared" si="12"/>
        <v>49</v>
      </c>
      <c r="S23" s="12">
        <f t="shared" ref="S23" si="18">S10</f>
        <v>12139</v>
      </c>
      <c r="T23" s="12"/>
      <c r="U23" s="12">
        <f t="shared" si="14"/>
        <v>39140</v>
      </c>
    </row>
    <row r="24" spans="1:32" x14ac:dyDescent="0.45">
      <c r="A24" t="str">
        <f>$A$11</f>
        <v>Seattle</v>
      </c>
      <c r="B24" s="12" t="e">
        <f t="shared" si="9"/>
        <v>#DIV/0!</v>
      </c>
      <c r="C24" s="12" t="e">
        <f t="shared" si="9"/>
        <v>#DIV/0!</v>
      </c>
      <c r="D24" s="12" t="e">
        <f t="shared" si="9"/>
        <v>#DIV/0!</v>
      </c>
      <c r="E24" s="12" t="e">
        <f t="shared" si="9"/>
        <v>#DIV/0!</v>
      </c>
      <c r="F24" s="12" t="e">
        <f t="shared" si="9"/>
        <v>#DIV/0!</v>
      </c>
      <c r="G24" s="12" t="e">
        <f t="shared" si="9"/>
        <v>#DIV/0!</v>
      </c>
      <c r="H24" s="12" t="e">
        <f t="shared" ref="H24" si="19">($U11/$J11)*H11</f>
        <v>#DIV/0!</v>
      </c>
      <c r="I24" s="12"/>
      <c r="J24" s="12" t="e">
        <f t="shared" si="11"/>
        <v>#DIV/0!</v>
      </c>
      <c r="K24" s="13"/>
      <c r="L24" t="str">
        <f>$A$11</f>
        <v>Seattle</v>
      </c>
      <c r="M24" s="12">
        <f t="shared" si="6"/>
        <v>0</v>
      </c>
      <c r="N24" s="12">
        <f t="shared" si="12"/>
        <v>0</v>
      </c>
      <c r="O24" s="12">
        <f t="shared" si="12"/>
        <v>0</v>
      </c>
      <c r="P24" s="12">
        <f t="shared" si="12"/>
        <v>0</v>
      </c>
      <c r="Q24" s="12">
        <f t="shared" si="12"/>
        <v>0</v>
      </c>
      <c r="R24" s="12">
        <f t="shared" si="12"/>
        <v>0</v>
      </c>
      <c r="S24" s="12">
        <f t="shared" ref="S24" si="20">S11</f>
        <v>0</v>
      </c>
      <c r="T24" s="12"/>
      <c r="U24" s="12">
        <f t="shared" si="14"/>
        <v>0</v>
      </c>
    </row>
    <row r="25" spans="1:32" x14ac:dyDescent="0.45">
      <c r="A25" t="str">
        <f>$A$12</f>
        <v>Seattle Downtown</v>
      </c>
      <c r="B25" s="12" t="e">
        <f t="shared" si="9"/>
        <v>#DIV/0!</v>
      </c>
      <c r="C25" s="12" t="e">
        <f t="shared" si="9"/>
        <v>#DIV/0!</v>
      </c>
      <c r="D25" s="12" t="e">
        <f t="shared" si="9"/>
        <v>#DIV/0!</v>
      </c>
      <c r="E25" s="12" t="e">
        <f t="shared" si="9"/>
        <v>#DIV/0!</v>
      </c>
      <c r="F25" s="12" t="e">
        <f t="shared" si="9"/>
        <v>#DIV/0!</v>
      </c>
      <c r="G25" s="12" t="e">
        <f t="shared" si="9"/>
        <v>#DIV/0!</v>
      </c>
      <c r="H25" s="12" t="e">
        <f t="shared" ref="H25:H26" si="21">($U12/$J12)*H12</f>
        <v>#DIV/0!</v>
      </c>
      <c r="I25" s="12"/>
      <c r="J25" s="12" t="e">
        <f t="shared" si="11"/>
        <v>#DIV/0!</v>
      </c>
      <c r="K25" s="13"/>
      <c r="L25" t="str">
        <f>$A$12</f>
        <v>Seattle Downtown</v>
      </c>
      <c r="M25" s="12">
        <f t="shared" si="6"/>
        <v>0</v>
      </c>
      <c r="N25" s="12">
        <f t="shared" si="12"/>
        <v>0</v>
      </c>
      <c r="O25" s="12">
        <f t="shared" si="12"/>
        <v>0</v>
      </c>
      <c r="P25" s="12">
        <f t="shared" si="12"/>
        <v>0</v>
      </c>
      <c r="Q25" s="12">
        <f t="shared" si="12"/>
        <v>0</v>
      </c>
      <c r="R25" s="12">
        <f t="shared" si="12"/>
        <v>0</v>
      </c>
      <c r="S25" s="12">
        <f t="shared" ref="S25:S26" si="22">S12</f>
        <v>0</v>
      </c>
      <c r="T25" s="12"/>
      <c r="U25" s="12">
        <f t="shared" si="14"/>
        <v>0</v>
      </c>
    </row>
    <row r="26" spans="1:32" x14ac:dyDescent="0.45">
      <c r="A26" t="str">
        <f>$A$13</f>
        <v>Rest</v>
      </c>
      <c r="B26" s="12" t="e">
        <f t="shared" si="9"/>
        <v>#DIV/0!</v>
      </c>
      <c r="C26" s="12" t="e">
        <f t="shared" si="9"/>
        <v>#DIV/0!</v>
      </c>
      <c r="D26" s="12" t="e">
        <f t="shared" si="9"/>
        <v>#DIV/0!</v>
      </c>
      <c r="E26" s="12" t="e">
        <f t="shared" si="9"/>
        <v>#DIV/0!</v>
      </c>
      <c r="F26" s="12" t="e">
        <f t="shared" si="9"/>
        <v>#DIV/0!</v>
      </c>
      <c r="G26" s="12" t="e">
        <f t="shared" si="9"/>
        <v>#DIV/0!</v>
      </c>
      <c r="H26" s="12" t="e">
        <f t="shared" si="21"/>
        <v>#DIV/0!</v>
      </c>
      <c r="I26" s="12"/>
      <c r="J26" s="12" t="e">
        <f t="shared" si="11"/>
        <v>#DIV/0!</v>
      </c>
      <c r="K26" s="13"/>
      <c r="L26" t="str">
        <f>$A$13</f>
        <v>Rest</v>
      </c>
      <c r="M26" s="12">
        <f t="shared" si="6"/>
        <v>0</v>
      </c>
      <c r="N26" s="12">
        <f t="shared" si="12"/>
        <v>0</v>
      </c>
      <c r="O26" s="12">
        <f t="shared" si="12"/>
        <v>0</v>
      </c>
      <c r="P26" s="12">
        <f t="shared" si="12"/>
        <v>0</v>
      </c>
      <c r="Q26" s="12">
        <f t="shared" si="12"/>
        <v>0</v>
      </c>
      <c r="R26" s="12">
        <f t="shared" si="12"/>
        <v>0</v>
      </c>
      <c r="S26" s="12">
        <f t="shared" si="22"/>
        <v>0</v>
      </c>
      <c r="T26" s="12"/>
      <c r="U26" s="12">
        <f t="shared" si="14"/>
        <v>0</v>
      </c>
    </row>
    <row r="27" spans="1:32" x14ac:dyDescent="0.45">
      <c r="A27" s="7" t="s">
        <v>13</v>
      </c>
      <c r="B27" s="14"/>
      <c r="C27" s="14"/>
      <c r="D27" s="14"/>
      <c r="E27" s="14"/>
      <c r="F27" s="14"/>
      <c r="G27" s="14"/>
      <c r="H27" s="12"/>
      <c r="I27" s="14"/>
      <c r="J27" s="12">
        <f t="shared" si="11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4.65" thickBot="1" x14ac:dyDescent="0.5">
      <c r="A28" s="1" t="s">
        <v>4</v>
      </c>
      <c r="B28" s="15" t="e">
        <f t="shared" ref="B28:J28" si="23">SUM(B20:B27)</f>
        <v>#DIV/0!</v>
      </c>
      <c r="C28" s="15" t="e">
        <f t="shared" si="23"/>
        <v>#DIV/0!</v>
      </c>
      <c r="D28" s="15" t="e">
        <f t="shared" si="23"/>
        <v>#DIV/0!</v>
      </c>
      <c r="E28" s="15" t="e">
        <f t="shared" si="23"/>
        <v>#DIV/0!</v>
      </c>
      <c r="F28" s="15" t="e">
        <f t="shared" si="23"/>
        <v>#DIV/0!</v>
      </c>
      <c r="G28" s="15" t="e">
        <f t="shared" si="23"/>
        <v>#DIV/0!</v>
      </c>
      <c r="H28" s="15" t="e">
        <f t="shared" si="23"/>
        <v>#DIV/0!</v>
      </c>
      <c r="I28" s="15">
        <f t="shared" si="23"/>
        <v>0</v>
      </c>
      <c r="J28" s="15" t="e">
        <f t="shared" si="23"/>
        <v>#DIV/0!</v>
      </c>
      <c r="K28" s="12"/>
      <c r="L28" s="15" t="s">
        <v>4</v>
      </c>
      <c r="M28" s="15">
        <f t="shared" ref="M28:U28" si="24">M15</f>
        <v>43173</v>
      </c>
      <c r="N28" s="15">
        <f t="shared" si="24"/>
        <v>5180</v>
      </c>
      <c r="O28" s="15">
        <f t="shared" si="24"/>
        <v>30067</v>
      </c>
      <c r="P28" s="15">
        <f t="shared" si="24"/>
        <v>19158</v>
      </c>
      <c r="Q28" s="15">
        <f t="shared" si="24"/>
        <v>5169</v>
      </c>
      <c r="R28" s="15">
        <f t="shared" si="24"/>
        <v>452</v>
      </c>
      <c r="S28" s="15">
        <f t="shared" si="24"/>
        <v>42378</v>
      </c>
      <c r="T28" s="15"/>
      <c r="U28" s="15">
        <f t="shared" si="24"/>
        <v>145577</v>
      </c>
    </row>
    <row r="31" spans="1:32" ht="14.65" thickBot="1" x14ac:dyDescent="0.5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6" t="e">
        <f t="shared" ref="B33:G33" si="25">B20/$J$28</f>
        <v>#DIV/0!</v>
      </c>
      <c r="C33" s="16" t="e">
        <f t="shared" si="25"/>
        <v>#DIV/0!</v>
      </c>
      <c r="D33" s="16" t="e">
        <f t="shared" si="25"/>
        <v>#DIV/0!</v>
      </c>
      <c r="E33" s="16" t="e">
        <f t="shared" si="25"/>
        <v>#DIV/0!</v>
      </c>
      <c r="F33" s="16" t="e">
        <f t="shared" si="25"/>
        <v>#DIV/0!</v>
      </c>
      <c r="G33" s="16" t="e">
        <f t="shared" si="25"/>
        <v>#DIV/0!</v>
      </c>
      <c r="H33" s="16" t="e">
        <f t="shared" ref="H33" si="26">H20/$J$28</f>
        <v>#DIV/0!</v>
      </c>
      <c r="I33" s="12"/>
      <c r="J33" s="16" t="e">
        <f t="shared" ref="J33:J39" si="27">J20/$J$28</f>
        <v>#DIV/0!</v>
      </c>
      <c r="K33" s="12"/>
      <c r="L33" t="str">
        <f>$A$7</f>
        <v>Bellevue</v>
      </c>
      <c r="M33" s="16">
        <f t="shared" ref="M33:R33" si="28">M20/$U$28</f>
        <v>0.22093462566202079</v>
      </c>
      <c r="N33" s="16">
        <f t="shared" si="28"/>
        <v>2.1507518357982373E-2</v>
      </c>
      <c r="O33" s="16">
        <f t="shared" si="28"/>
        <v>2.7360091223201467E-2</v>
      </c>
      <c r="P33" s="16">
        <f t="shared" si="28"/>
        <v>1.8663662529108307E-2</v>
      </c>
      <c r="Q33" s="16">
        <f t="shared" si="28"/>
        <v>2.0360359122663606E-2</v>
      </c>
      <c r="R33" s="16">
        <f t="shared" si="28"/>
        <v>2.1706725650343117E-3</v>
      </c>
      <c r="S33" s="16">
        <f t="shared" ref="S33" si="29">S20/$U$28</f>
        <v>5.6499309643693714E-2</v>
      </c>
      <c r="T33" s="16"/>
      <c r="U33" s="16">
        <f t="shared" ref="U33:U39" si="30">U20/$U$28</f>
        <v>0.36749623910370455</v>
      </c>
      <c r="W33" t="str">
        <f>$A$7</f>
        <v>Bellevue</v>
      </c>
      <c r="X33" s="16" t="e">
        <f t="shared" ref="X33:AD33" si="31">M33-B33</f>
        <v>#DIV/0!</v>
      </c>
      <c r="Y33" s="16" t="e">
        <f t="shared" si="31"/>
        <v>#DIV/0!</v>
      </c>
      <c r="Z33" s="16" t="e">
        <f t="shared" si="31"/>
        <v>#DIV/0!</v>
      </c>
      <c r="AA33" s="16" t="e">
        <f t="shared" si="31"/>
        <v>#DIV/0!</v>
      </c>
      <c r="AB33" s="16" t="e">
        <f t="shared" si="31"/>
        <v>#DIV/0!</v>
      </c>
      <c r="AC33" s="16" t="e">
        <f t="shared" si="31"/>
        <v>#DIV/0!</v>
      </c>
      <c r="AD33" s="16" t="e">
        <f t="shared" si="31"/>
        <v>#DIV/0!</v>
      </c>
      <c r="AE33" s="16"/>
      <c r="AF33" s="16" t="e">
        <f t="shared" ref="AF33:AF39" si="32">U33-J33</f>
        <v>#DIV/0!</v>
      </c>
    </row>
    <row r="34" spans="1:32" x14ac:dyDescent="0.45">
      <c r="A34" t="str">
        <f>$A$8</f>
        <v>Bellevue Downtown</v>
      </c>
      <c r="B34" s="16" t="e">
        <f t="shared" ref="B34:G39" si="33">B21/$J$28</f>
        <v>#DIV/0!</v>
      </c>
      <c r="C34" s="16" t="e">
        <f t="shared" si="33"/>
        <v>#DIV/0!</v>
      </c>
      <c r="D34" s="16" t="e">
        <f t="shared" si="33"/>
        <v>#DIV/0!</v>
      </c>
      <c r="E34" s="16" t="e">
        <f t="shared" si="33"/>
        <v>#DIV/0!</v>
      </c>
      <c r="F34" s="16" t="e">
        <f t="shared" si="33"/>
        <v>#DIV/0!</v>
      </c>
      <c r="G34" s="16" t="e">
        <f t="shared" si="33"/>
        <v>#DIV/0!</v>
      </c>
      <c r="H34" s="16" t="e">
        <f t="shared" ref="H34" si="34">H21/$J$28</f>
        <v>#DIV/0!</v>
      </c>
      <c r="I34" s="12"/>
      <c r="J34" s="16" t="e">
        <f t="shared" si="27"/>
        <v>#DIV/0!</v>
      </c>
      <c r="K34" s="12"/>
      <c r="L34" t="str">
        <f>$A$8</f>
        <v>Bellevue Downtown</v>
      </c>
      <c r="M34" s="16">
        <f t="shared" ref="M34:R39" si="35">M21/$U$28</f>
        <v>1.7399726605164277E-2</v>
      </c>
      <c r="N34" s="16">
        <f t="shared" si="35"/>
        <v>6.0586493745577938E-3</v>
      </c>
      <c r="O34" s="16">
        <f t="shared" si="35"/>
        <v>4.8702748373712877E-3</v>
      </c>
      <c r="P34" s="16">
        <f t="shared" si="35"/>
        <v>1.4974893011945568E-3</v>
      </c>
      <c r="Q34" s="16">
        <f t="shared" si="35"/>
        <v>2.4660488950864492E-3</v>
      </c>
      <c r="R34" s="16">
        <f t="shared" si="35"/>
        <v>1.7173042444891708E-4</v>
      </c>
      <c r="S34" s="16">
        <f t="shared" ref="S34" si="36">S21/$U$28</f>
        <v>5.1587819504454683E-3</v>
      </c>
      <c r="T34" s="16"/>
      <c r="U34" s="16">
        <f t="shared" si="30"/>
        <v>3.7622701388268752E-2</v>
      </c>
      <c r="W34" t="str">
        <f>$A$8</f>
        <v>Bellevue Downtown</v>
      </c>
      <c r="X34" s="16" t="e">
        <f t="shared" ref="X34:X38" si="37">M34-B34</f>
        <v>#DIV/0!</v>
      </c>
      <c r="Y34" s="16" t="e">
        <f t="shared" ref="Y34:AD38" si="38">N34-C34</f>
        <v>#DIV/0!</v>
      </c>
      <c r="Z34" s="16" t="e">
        <f t="shared" si="38"/>
        <v>#DIV/0!</v>
      </c>
      <c r="AA34" s="16" t="e">
        <f t="shared" si="38"/>
        <v>#DIV/0!</v>
      </c>
      <c r="AB34" s="16" t="e">
        <f t="shared" si="38"/>
        <v>#DIV/0!</v>
      </c>
      <c r="AC34" s="16" t="e">
        <f t="shared" si="38"/>
        <v>#DIV/0!</v>
      </c>
      <c r="AD34" s="16" t="e">
        <f t="shared" si="38"/>
        <v>#DIV/0!</v>
      </c>
      <c r="AE34" s="16"/>
      <c r="AF34" s="16" t="e">
        <f t="shared" si="32"/>
        <v>#DIV/0!</v>
      </c>
    </row>
    <row r="35" spans="1:32" x14ac:dyDescent="0.45">
      <c r="A35" t="str">
        <f>$A$9</f>
        <v>Kirkland</v>
      </c>
      <c r="B35" s="16" t="e">
        <f t="shared" si="33"/>
        <v>#DIV/0!</v>
      </c>
      <c r="C35" s="16" t="e">
        <f t="shared" si="33"/>
        <v>#DIV/0!</v>
      </c>
      <c r="D35" s="16" t="e">
        <f t="shared" si="33"/>
        <v>#DIV/0!</v>
      </c>
      <c r="E35" s="16" t="e">
        <f t="shared" si="33"/>
        <v>#DIV/0!</v>
      </c>
      <c r="F35" s="16" t="e">
        <f t="shared" si="33"/>
        <v>#DIV/0!</v>
      </c>
      <c r="G35" s="16" t="e">
        <f t="shared" si="33"/>
        <v>#DIV/0!</v>
      </c>
      <c r="H35" s="16" t="e">
        <f t="shared" ref="H35" si="39">H22/$J$28</f>
        <v>#DIV/0!</v>
      </c>
      <c r="I35" s="12"/>
      <c r="J35" s="16" t="e">
        <f t="shared" si="27"/>
        <v>#DIV/0!</v>
      </c>
      <c r="K35" s="13"/>
      <c r="L35" t="str">
        <f>$A$9</f>
        <v>Kirkland</v>
      </c>
      <c r="M35" s="16">
        <f t="shared" si="35"/>
        <v>1.8162209689717469E-2</v>
      </c>
      <c r="N35" s="16">
        <f t="shared" si="35"/>
        <v>4.3619527810024932E-3</v>
      </c>
      <c r="O35" s="16">
        <f t="shared" si="35"/>
        <v>0.13238354959918119</v>
      </c>
      <c r="P35" s="16">
        <f t="shared" si="35"/>
        <v>1.4858116323320304E-2</v>
      </c>
      <c r="Q35" s="16">
        <f t="shared" si="35"/>
        <v>9.7680265426544031E-3</v>
      </c>
      <c r="R35" s="16">
        <f t="shared" si="35"/>
        <v>4.2589145263331431E-4</v>
      </c>
      <c r="S35" s="16">
        <f t="shared" ref="S35" si="40">S22/$U$28</f>
        <v>0.14606016060229293</v>
      </c>
      <c r="T35" s="16"/>
      <c r="U35" s="16">
        <f t="shared" si="30"/>
        <v>0.32601990699080213</v>
      </c>
      <c r="W35" t="str">
        <f>$A$9</f>
        <v>Kirkland</v>
      </c>
      <c r="X35" s="16" t="e">
        <f t="shared" si="37"/>
        <v>#DIV/0!</v>
      </c>
      <c r="Y35" s="16" t="e">
        <f t="shared" si="38"/>
        <v>#DIV/0!</v>
      </c>
      <c r="Z35" s="16" t="e">
        <f t="shared" si="38"/>
        <v>#DIV/0!</v>
      </c>
      <c r="AA35" s="16" t="e">
        <f t="shared" si="38"/>
        <v>#DIV/0!</v>
      </c>
      <c r="AB35" s="16" t="e">
        <f t="shared" si="38"/>
        <v>#DIV/0!</v>
      </c>
      <c r="AC35" s="16" t="e">
        <f t="shared" si="38"/>
        <v>#DIV/0!</v>
      </c>
      <c r="AD35" s="16" t="e">
        <f t="shared" si="38"/>
        <v>#DIV/0!</v>
      </c>
      <c r="AE35" s="16"/>
      <c r="AF35" s="16" t="e">
        <f t="shared" si="32"/>
        <v>#DIV/0!</v>
      </c>
    </row>
    <row r="36" spans="1:32" x14ac:dyDescent="0.45">
      <c r="A36" t="str">
        <f>$A$10</f>
        <v>Redmond</v>
      </c>
      <c r="B36" s="16" t="e">
        <f t="shared" si="33"/>
        <v>#DIV/0!</v>
      </c>
      <c r="C36" s="16" t="e">
        <f t="shared" si="33"/>
        <v>#DIV/0!</v>
      </c>
      <c r="D36" s="16" t="e">
        <f t="shared" si="33"/>
        <v>#DIV/0!</v>
      </c>
      <c r="E36" s="16" t="e">
        <f t="shared" si="33"/>
        <v>#DIV/0!</v>
      </c>
      <c r="F36" s="16" t="e">
        <f t="shared" si="33"/>
        <v>#DIV/0!</v>
      </c>
      <c r="G36" s="16" t="e">
        <f t="shared" si="33"/>
        <v>#DIV/0!</v>
      </c>
      <c r="H36" s="16" t="e">
        <f t="shared" ref="H36" si="41">H23/$J$28</f>
        <v>#DIV/0!</v>
      </c>
      <c r="I36" s="12"/>
      <c r="J36" s="16" t="e">
        <f t="shared" si="27"/>
        <v>#DIV/0!</v>
      </c>
      <c r="K36" s="13"/>
      <c r="L36" t="str">
        <f>$A$10</f>
        <v>Redmond</v>
      </c>
      <c r="M36" s="16">
        <f t="shared" si="35"/>
        <v>4.0068142632421332E-2</v>
      </c>
      <c r="N36" s="16">
        <f t="shared" si="35"/>
        <v>3.6544234322729552E-3</v>
      </c>
      <c r="O36" s="16">
        <f t="shared" si="35"/>
        <v>4.1922831216469635E-2</v>
      </c>
      <c r="P36" s="16">
        <f t="shared" si="35"/>
        <v>9.6581190710070958E-2</v>
      </c>
      <c r="Q36" s="16">
        <f t="shared" si="35"/>
        <v>2.9125479986536335E-3</v>
      </c>
      <c r="R36" s="16">
        <f t="shared" si="35"/>
        <v>3.3659163191987744E-4</v>
      </c>
      <c r="S36" s="16">
        <f t="shared" ref="S36" si="42">S23/$U$28</f>
        <v>8.3385424895416171E-2</v>
      </c>
      <c r="T36" s="16"/>
      <c r="U36" s="16">
        <f t="shared" si="30"/>
        <v>0.26886115251722459</v>
      </c>
      <c r="W36" t="str">
        <f>$A$10</f>
        <v>Redmond</v>
      </c>
      <c r="X36" s="16" t="e">
        <f t="shared" si="37"/>
        <v>#DIV/0!</v>
      </c>
      <c r="Y36" s="16" t="e">
        <f t="shared" si="38"/>
        <v>#DIV/0!</v>
      </c>
      <c r="Z36" s="16" t="e">
        <f t="shared" si="38"/>
        <v>#DIV/0!</v>
      </c>
      <c r="AA36" s="16" t="e">
        <f t="shared" si="38"/>
        <v>#DIV/0!</v>
      </c>
      <c r="AB36" s="16" t="e">
        <f t="shared" si="38"/>
        <v>#DIV/0!</v>
      </c>
      <c r="AC36" s="16" t="e">
        <f t="shared" si="38"/>
        <v>#DIV/0!</v>
      </c>
      <c r="AD36" s="16" t="e">
        <f t="shared" si="38"/>
        <v>#DIV/0!</v>
      </c>
      <c r="AE36" s="16"/>
      <c r="AF36" s="16" t="e">
        <f t="shared" si="32"/>
        <v>#DIV/0!</v>
      </c>
    </row>
    <row r="37" spans="1:32" x14ac:dyDescent="0.45">
      <c r="A37" t="str">
        <f>$A$11</f>
        <v>Seattle</v>
      </c>
      <c r="B37" s="16" t="e">
        <f t="shared" si="33"/>
        <v>#DIV/0!</v>
      </c>
      <c r="C37" s="16" t="e">
        <f t="shared" si="33"/>
        <v>#DIV/0!</v>
      </c>
      <c r="D37" s="16" t="e">
        <f t="shared" si="33"/>
        <v>#DIV/0!</v>
      </c>
      <c r="E37" s="16" t="e">
        <f t="shared" si="33"/>
        <v>#DIV/0!</v>
      </c>
      <c r="F37" s="16" t="e">
        <f t="shared" si="33"/>
        <v>#DIV/0!</v>
      </c>
      <c r="G37" s="16" t="e">
        <f t="shared" si="33"/>
        <v>#DIV/0!</v>
      </c>
      <c r="H37" s="16" t="e">
        <f t="shared" ref="H37" si="43">H24/$J$28</f>
        <v>#DIV/0!</v>
      </c>
      <c r="I37" s="12"/>
      <c r="J37" s="16" t="e">
        <f t="shared" si="27"/>
        <v>#DIV/0!</v>
      </c>
      <c r="K37" s="13"/>
      <c r="L37" t="str">
        <f>$A$11</f>
        <v>Seattle</v>
      </c>
      <c r="M37" s="16">
        <f t="shared" si="35"/>
        <v>0</v>
      </c>
      <c r="N37" s="16">
        <f t="shared" si="35"/>
        <v>0</v>
      </c>
      <c r="O37" s="16">
        <f t="shared" si="35"/>
        <v>0</v>
      </c>
      <c r="P37" s="16">
        <f t="shared" si="35"/>
        <v>0</v>
      </c>
      <c r="Q37" s="16">
        <f t="shared" si="35"/>
        <v>0</v>
      </c>
      <c r="R37" s="16">
        <f t="shared" si="35"/>
        <v>0</v>
      </c>
      <c r="S37" s="16">
        <f t="shared" ref="S37" si="44">S24/$U$28</f>
        <v>0</v>
      </c>
      <c r="T37" s="16"/>
      <c r="U37" s="16">
        <f t="shared" si="30"/>
        <v>0</v>
      </c>
      <c r="W37" t="str">
        <f>$A$11</f>
        <v>Seattle</v>
      </c>
      <c r="X37" s="16" t="e">
        <f t="shared" si="37"/>
        <v>#DIV/0!</v>
      </c>
      <c r="Y37" s="16" t="e">
        <f t="shared" si="38"/>
        <v>#DIV/0!</v>
      </c>
      <c r="Z37" s="16" t="e">
        <f t="shared" si="38"/>
        <v>#DIV/0!</v>
      </c>
      <c r="AA37" s="16" t="e">
        <f t="shared" si="38"/>
        <v>#DIV/0!</v>
      </c>
      <c r="AB37" s="16" t="e">
        <f t="shared" si="38"/>
        <v>#DIV/0!</v>
      </c>
      <c r="AC37" s="16" t="e">
        <f t="shared" si="38"/>
        <v>#DIV/0!</v>
      </c>
      <c r="AD37" s="16" t="e">
        <f t="shared" si="38"/>
        <v>#DIV/0!</v>
      </c>
      <c r="AE37" s="16"/>
      <c r="AF37" s="16" t="e">
        <f t="shared" si="32"/>
        <v>#DIV/0!</v>
      </c>
    </row>
    <row r="38" spans="1:32" x14ac:dyDescent="0.45">
      <c r="A38" t="str">
        <f>$A$12</f>
        <v>Seattle Downtown</v>
      </c>
      <c r="B38" s="16" t="e">
        <f t="shared" si="33"/>
        <v>#DIV/0!</v>
      </c>
      <c r="C38" s="16" t="e">
        <f t="shared" si="33"/>
        <v>#DIV/0!</v>
      </c>
      <c r="D38" s="16" t="e">
        <f t="shared" si="33"/>
        <v>#DIV/0!</v>
      </c>
      <c r="E38" s="16" t="e">
        <f t="shared" si="33"/>
        <v>#DIV/0!</v>
      </c>
      <c r="F38" s="16" t="e">
        <f t="shared" si="33"/>
        <v>#DIV/0!</v>
      </c>
      <c r="G38" s="16" t="e">
        <f t="shared" si="33"/>
        <v>#DIV/0!</v>
      </c>
      <c r="H38" s="16" t="e">
        <f t="shared" ref="H38:H39" si="45">H25/$J$28</f>
        <v>#DIV/0!</v>
      </c>
      <c r="I38" s="12"/>
      <c r="J38" s="16" t="e">
        <f t="shared" si="27"/>
        <v>#DIV/0!</v>
      </c>
      <c r="K38" s="13"/>
      <c r="L38" t="str">
        <f>$A$12</f>
        <v>Seattle Downtown</v>
      </c>
      <c r="M38" s="16">
        <f t="shared" si="35"/>
        <v>0</v>
      </c>
      <c r="N38" s="16">
        <f t="shared" si="35"/>
        <v>0</v>
      </c>
      <c r="O38" s="16">
        <f t="shared" si="35"/>
        <v>0</v>
      </c>
      <c r="P38" s="16">
        <f t="shared" si="35"/>
        <v>0</v>
      </c>
      <c r="Q38" s="16">
        <f t="shared" si="35"/>
        <v>0</v>
      </c>
      <c r="R38" s="16">
        <f t="shared" si="35"/>
        <v>0</v>
      </c>
      <c r="S38" s="16">
        <f t="shared" ref="S38:S39" si="46">S25/$U$28</f>
        <v>0</v>
      </c>
      <c r="T38" s="16"/>
      <c r="U38" s="16">
        <f t="shared" si="30"/>
        <v>0</v>
      </c>
      <c r="W38" t="str">
        <f>$A$12</f>
        <v>Seattle Downtown</v>
      </c>
      <c r="X38" s="16" t="e">
        <f t="shared" si="37"/>
        <v>#DIV/0!</v>
      </c>
      <c r="Y38" s="16" t="e">
        <f t="shared" si="38"/>
        <v>#DIV/0!</v>
      </c>
      <c r="Z38" s="16" t="e">
        <f t="shared" si="38"/>
        <v>#DIV/0!</v>
      </c>
      <c r="AA38" s="16" t="e">
        <f t="shared" si="38"/>
        <v>#DIV/0!</v>
      </c>
      <c r="AB38" s="16" t="e">
        <f t="shared" si="38"/>
        <v>#DIV/0!</v>
      </c>
      <c r="AC38" s="16" t="e">
        <f t="shared" si="38"/>
        <v>#DIV/0!</v>
      </c>
      <c r="AD38" s="16" t="e">
        <f t="shared" si="38"/>
        <v>#DIV/0!</v>
      </c>
      <c r="AE38" s="16"/>
      <c r="AF38" s="16" t="e">
        <f t="shared" si="32"/>
        <v>#DIV/0!</v>
      </c>
    </row>
    <row r="39" spans="1:32" x14ac:dyDescent="0.45">
      <c r="A39" t="str">
        <f>$A$13</f>
        <v>Rest</v>
      </c>
      <c r="B39" s="16" t="e">
        <f t="shared" si="33"/>
        <v>#DIV/0!</v>
      </c>
      <c r="C39" s="16" t="e">
        <f t="shared" si="33"/>
        <v>#DIV/0!</v>
      </c>
      <c r="D39" s="16" t="e">
        <f t="shared" si="33"/>
        <v>#DIV/0!</v>
      </c>
      <c r="E39" s="16" t="e">
        <f t="shared" si="33"/>
        <v>#DIV/0!</v>
      </c>
      <c r="F39" s="16" t="e">
        <f t="shared" si="33"/>
        <v>#DIV/0!</v>
      </c>
      <c r="G39" s="16" t="e">
        <f t="shared" si="33"/>
        <v>#DIV/0!</v>
      </c>
      <c r="H39" s="16" t="e">
        <f t="shared" si="45"/>
        <v>#DIV/0!</v>
      </c>
      <c r="I39" s="12"/>
      <c r="J39" s="16" t="e">
        <f t="shared" si="27"/>
        <v>#DIV/0!</v>
      </c>
      <c r="K39" s="13"/>
      <c r="L39" t="str">
        <f>$A$13</f>
        <v>Rest</v>
      </c>
      <c r="M39" s="16">
        <f t="shared" si="35"/>
        <v>0</v>
      </c>
      <c r="N39" s="16">
        <f t="shared" si="35"/>
        <v>0</v>
      </c>
      <c r="O39" s="16">
        <f t="shared" si="35"/>
        <v>0</v>
      </c>
      <c r="P39" s="16">
        <f t="shared" si="35"/>
        <v>0</v>
      </c>
      <c r="Q39" s="16">
        <f t="shared" si="35"/>
        <v>0</v>
      </c>
      <c r="R39" s="16">
        <f t="shared" si="35"/>
        <v>0</v>
      </c>
      <c r="S39" s="16">
        <f t="shared" si="46"/>
        <v>0</v>
      </c>
      <c r="T39" s="16"/>
      <c r="U39" s="16">
        <f t="shared" si="30"/>
        <v>0</v>
      </c>
      <c r="W39" t="str">
        <f>$A$13</f>
        <v>Rest</v>
      </c>
      <c r="X39" s="16" t="e">
        <f t="shared" ref="X39" si="47">M39-B39</f>
        <v>#DIV/0!</v>
      </c>
      <c r="Y39" s="16" t="e">
        <f t="shared" ref="Y39" si="48">N39-C39</f>
        <v>#DIV/0!</v>
      </c>
      <c r="Z39" s="16" t="e">
        <f t="shared" ref="Z39" si="49">O39-D39</f>
        <v>#DIV/0!</v>
      </c>
      <c r="AA39" s="16" t="e">
        <f t="shared" ref="AA39" si="50">P39-E39</f>
        <v>#DIV/0!</v>
      </c>
      <c r="AB39" s="16" t="e">
        <f t="shared" ref="AB39" si="51">Q39-F39</f>
        <v>#DIV/0!</v>
      </c>
      <c r="AC39" s="16" t="e">
        <f t="shared" ref="AC39:AD39" si="52">R39-G39</f>
        <v>#DIV/0!</v>
      </c>
      <c r="AD39" s="16" t="e">
        <f t="shared" si="52"/>
        <v>#DIV/0!</v>
      </c>
      <c r="AE39" s="16"/>
      <c r="AF39" s="16" t="e">
        <f t="shared" si="32"/>
        <v>#DIV/0!</v>
      </c>
    </row>
    <row r="40" spans="1:32" x14ac:dyDescent="0.4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6"/>
      <c r="AE40" s="17"/>
      <c r="AF40" s="17"/>
    </row>
    <row r="41" spans="1:32" ht="14.65" thickBot="1" x14ac:dyDescent="0.5">
      <c r="A41" s="1" t="s">
        <v>4</v>
      </c>
      <c r="B41" s="18" t="e">
        <f t="shared" ref="B41:J41" si="53">B28/$J$28</f>
        <v>#DIV/0!</v>
      </c>
      <c r="C41" s="18" t="e">
        <f t="shared" si="53"/>
        <v>#DIV/0!</v>
      </c>
      <c r="D41" s="18" t="e">
        <f t="shared" si="53"/>
        <v>#DIV/0!</v>
      </c>
      <c r="E41" s="18" t="e">
        <f t="shared" si="53"/>
        <v>#DIV/0!</v>
      </c>
      <c r="F41" s="18" t="e">
        <f t="shared" si="53"/>
        <v>#DIV/0!</v>
      </c>
      <c r="G41" s="18" t="e">
        <f t="shared" si="53"/>
        <v>#DIV/0!</v>
      </c>
      <c r="H41" s="18" t="e">
        <f t="shared" si="53"/>
        <v>#DIV/0!</v>
      </c>
      <c r="I41" s="18" t="e">
        <f t="shared" si="53"/>
        <v>#DIV/0!</v>
      </c>
      <c r="J41" s="18" t="e">
        <f t="shared" si="53"/>
        <v>#DIV/0!</v>
      </c>
      <c r="K41" s="12"/>
      <c r="L41" s="15" t="s">
        <v>4</v>
      </c>
      <c r="M41" s="18">
        <f>M28/$U$28</f>
        <v>0.29656470458932388</v>
      </c>
      <c r="N41" s="18">
        <f>N28/$U$28</f>
        <v>3.5582543945815615E-2</v>
      </c>
      <c r="O41" s="18">
        <f>O28/$U$28</f>
        <v>0.20653674687622359</v>
      </c>
      <c r="P41" s="18">
        <f>P28/$U$28</f>
        <v>0.13160045886369412</v>
      </c>
      <c r="Q41" s="18">
        <f t="shared" ref="Q41:S41" si="54">Q28/$U$28</f>
        <v>3.5506982559058091E-2</v>
      </c>
      <c r="R41" s="18">
        <f t="shared" si="54"/>
        <v>3.1048860740364205E-3</v>
      </c>
      <c r="S41" s="18">
        <f t="shared" si="54"/>
        <v>0.29110367709184831</v>
      </c>
      <c r="T41" s="18">
        <f>T28/$U$28</f>
        <v>0</v>
      </c>
      <c r="U41" s="18">
        <f>U28/$U$28</f>
        <v>1</v>
      </c>
      <c r="W41" s="15" t="s">
        <v>4</v>
      </c>
      <c r="X41" s="18" t="e">
        <f t="shared" ref="X41:AF41" si="55">M41-B41</f>
        <v>#DIV/0!</v>
      </c>
      <c r="Y41" s="18" t="e">
        <f t="shared" si="55"/>
        <v>#DIV/0!</v>
      </c>
      <c r="Z41" s="18" t="e">
        <f t="shared" si="55"/>
        <v>#DIV/0!</v>
      </c>
      <c r="AA41" s="18" t="e">
        <f t="shared" si="55"/>
        <v>#DIV/0!</v>
      </c>
      <c r="AB41" s="18" t="e">
        <f t="shared" si="55"/>
        <v>#DIV/0!</v>
      </c>
      <c r="AC41" s="18" t="e">
        <f t="shared" si="55"/>
        <v>#DIV/0!</v>
      </c>
      <c r="AD41" s="295" t="e">
        <f t="shared" si="55"/>
        <v>#DIV/0!</v>
      </c>
      <c r="AE41" s="18" t="e">
        <f t="shared" si="55"/>
        <v>#DIV/0!</v>
      </c>
      <c r="AF41" s="18" t="e">
        <f t="shared" si="55"/>
        <v>#DIV/0!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B3" sqref="B3"/>
    </sheetView>
  </sheetViews>
  <sheetFormatPr defaultRowHeight="14.25" x14ac:dyDescent="0.45"/>
  <sheetData>
    <row r="1" spans="1:3" x14ac:dyDescent="0.45">
      <c r="A1" s="10" t="s">
        <v>19</v>
      </c>
    </row>
    <row r="2" spans="1:3" x14ac:dyDescent="0.45">
      <c r="A2">
        <v>1</v>
      </c>
      <c r="B2" t="s">
        <v>246</v>
      </c>
    </row>
    <row r="3" spans="1:3" x14ac:dyDescent="0.45">
      <c r="B3" t="s">
        <v>20</v>
      </c>
      <c r="C3" t="s">
        <v>21</v>
      </c>
    </row>
    <row r="4" spans="1:3" x14ac:dyDescent="0.45">
      <c r="B4" t="s">
        <v>22</v>
      </c>
      <c r="C4" t="s">
        <v>23</v>
      </c>
    </row>
    <row r="5" spans="1:3" x14ac:dyDescent="0.45">
      <c r="B5" t="s">
        <v>24</v>
      </c>
      <c r="C5" t="s">
        <v>25</v>
      </c>
    </row>
    <row r="6" spans="1:3" x14ac:dyDescent="0.45">
      <c r="B6" t="s">
        <v>26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29</v>
      </c>
    </row>
    <row r="12" spans="1:3" x14ac:dyDescent="0.45">
      <c r="A12">
        <v>4</v>
      </c>
      <c r="B12" t="s">
        <v>30</v>
      </c>
    </row>
    <row r="14" spans="1:3" x14ac:dyDescent="0.45">
      <c r="A14">
        <v>5</v>
      </c>
      <c r="B14" t="s">
        <v>31</v>
      </c>
    </row>
    <row r="15" spans="1:3" x14ac:dyDescent="0.4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68" workbookViewId="0">
      <selection activeCell="K98" sqref="K98"/>
    </sheetView>
  </sheetViews>
  <sheetFormatPr defaultRowHeight="14.25" x14ac:dyDescent="0.45"/>
  <cols>
    <col min="2" max="2" bestFit="true" customWidth="true" width="10.73046875" collapsed="true"/>
    <col min="3" max="3" bestFit="true" customWidth="true" width="13.73046875" collapsed="true"/>
  </cols>
  <sheetData>
    <row r="1" spans="1:4" x14ac:dyDescent="0.45">
      <c r="A1" s="298" t="s">
        <v>42</v>
      </c>
    </row>
    <row r="2" spans="1:4" x14ac:dyDescent="0.45">
      <c r="A2" t="s">
        <v>258</v>
      </c>
      <c r="B2" t="s">
        <v>259</v>
      </c>
      <c r="C2" t="s">
        <v>91</v>
      </c>
      <c r="D2" t="s">
        <v>260</v>
      </c>
    </row>
    <row r="3" spans="1:4" x14ac:dyDescent="0.45">
      <c r="A3">
        <v>1</v>
      </c>
      <c r="B3" t="s">
        <v>45</v>
      </c>
      <c r="C3" t="s">
        <v>277</v>
      </c>
      <c r="D3" t="s">
        <v>46</v>
      </c>
    </row>
    <row r="4" spans="1:4" x14ac:dyDescent="0.45">
      <c r="A4">
        <v>2</v>
      </c>
      <c r="B4" t="s">
        <v>48</v>
      </c>
      <c r="C4" t="s">
        <v>277</v>
      </c>
      <c r="D4" t="s">
        <v>49</v>
      </c>
    </row>
    <row r="5" spans="1:4" x14ac:dyDescent="0.45">
      <c r="A5">
        <v>3</v>
      </c>
      <c r="B5" t="s">
        <v>51</v>
      </c>
      <c r="C5" t="s">
        <v>277</v>
      </c>
      <c r="D5" t="s">
        <v>52</v>
      </c>
    </row>
    <row r="6" spans="1:4" x14ac:dyDescent="0.45">
      <c r="A6">
        <v>4</v>
      </c>
      <c r="B6" t="s">
        <v>54</v>
      </c>
      <c r="C6" t="s">
        <v>277</v>
      </c>
      <c r="D6" t="s">
        <v>55</v>
      </c>
    </row>
    <row r="7" spans="1:4" x14ac:dyDescent="0.45">
      <c r="A7">
        <v>5</v>
      </c>
      <c r="B7" t="s">
        <v>57</v>
      </c>
      <c r="C7" t="s">
        <v>277</v>
      </c>
      <c r="D7" t="s">
        <v>58</v>
      </c>
    </row>
    <row r="8" spans="1:4" x14ac:dyDescent="0.45">
      <c r="A8">
        <v>6</v>
      </c>
      <c r="B8" t="s">
        <v>59</v>
      </c>
      <c r="C8" t="s">
        <v>277</v>
      </c>
      <c r="D8" t="s">
        <v>60</v>
      </c>
    </row>
    <row r="9" spans="1:4" x14ac:dyDescent="0.45">
      <c r="A9">
        <v>7</v>
      </c>
      <c r="B9" t="s">
        <v>61</v>
      </c>
      <c r="C9" t="s">
        <v>277</v>
      </c>
      <c r="D9" t="s">
        <v>62</v>
      </c>
    </row>
    <row r="10" spans="1:4" x14ac:dyDescent="0.45">
      <c r="A10">
        <v>8</v>
      </c>
      <c r="B10" t="s">
        <v>64</v>
      </c>
      <c r="C10" t="s">
        <v>277</v>
      </c>
      <c r="D10" t="s">
        <v>65</v>
      </c>
    </row>
    <row r="11" spans="1:4" x14ac:dyDescent="0.45">
      <c r="A11">
        <v>9</v>
      </c>
      <c r="B11" t="s">
        <v>66</v>
      </c>
      <c r="C11" t="s">
        <v>277</v>
      </c>
      <c r="D11" t="s">
        <v>67</v>
      </c>
    </row>
    <row r="12" spans="1:4" x14ac:dyDescent="0.45">
      <c r="A12">
        <v>10</v>
      </c>
      <c r="B12" t="s">
        <v>68</v>
      </c>
      <c r="C12" t="s">
        <v>277</v>
      </c>
      <c r="D12" t="s">
        <v>69</v>
      </c>
    </row>
    <row r="13" spans="1:4" x14ac:dyDescent="0.45">
      <c r="A13">
        <v>11</v>
      </c>
      <c r="B13" t="s">
        <v>70</v>
      </c>
      <c r="C13" t="s">
        <v>277</v>
      </c>
      <c r="D13" t="s">
        <v>71</v>
      </c>
    </row>
    <row r="14" spans="1:4" x14ac:dyDescent="0.45">
      <c r="A14">
        <v>12</v>
      </c>
      <c r="B14" t="s">
        <v>72</v>
      </c>
      <c r="C14" t="s">
        <v>277</v>
      </c>
      <c r="D14" t="s">
        <v>73</v>
      </c>
    </row>
    <row r="15" spans="1:4" x14ac:dyDescent="0.45">
      <c r="A15">
        <v>13</v>
      </c>
      <c r="B15" t="s">
        <v>74</v>
      </c>
      <c r="C15" t="s">
        <v>277</v>
      </c>
      <c r="D15" t="s">
        <v>75</v>
      </c>
    </row>
    <row r="16" spans="1:4" x14ac:dyDescent="0.45">
      <c r="A16">
        <v>14</v>
      </c>
      <c r="B16" t="s">
        <v>76</v>
      </c>
      <c r="C16" t="s">
        <v>277</v>
      </c>
      <c r="D16" t="s">
        <v>77</v>
      </c>
    </row>
    <row r="17" spans="1:4" x14ac:dyDescent="0.45">
      <c r="A17">
        <v>15</v>
      </c>
      <c r="B17" t="s">
        <v>78</v>
      </c>
      <c r="C17" t="s">
        <v>277</v>
      </c>
      <c r="D17" t="s">
        <v>79</v>
      </c>
    </row>
    <row r="18" spans="1:4" x14ac:dyDescent="0.45">
      <c r="A18">
        <v>16</v>
      </c>
      <c r="B18" t="s">
        <v>80</v>
      </c>
      <c r="C18" t="s">
        <v>277</v>
      </c>
      <c r="D18" t="s">
        <v>81</v>
      </c>
    </row>
    <row r="19" spans="1:4" x14ac:dyDescent="0.45">
      <c r="A19">
        <v>17</v>
      </c>
      <c r="B19" t="s">
        <v>83</v>
      </c>
      <c r="C19" t="s">
        <v>277</v>
      </c>
      <c r="D19" t="s">
        <v>84</v>
      </c>
    </row>
    <row r="20" spans="1:4" x14ac:dyDescent="0.45">
      <c r="A20">
        <v>18</v>
      </c>
      <c r="B20" t="s">
        <v>86</v>
      </c>
      <c r="C20" t="s">
        <v>277</v>
      </c>
      <c r="D20" t="s">
        <v>87</v>
      </c>
    </row>
    <row r="21" spans="1:4" x14ac:dyDescent="0.45">
      <c r="A21">
        <v>19</v>
      </c>
      <c r="B21" t="s">
        <v>89</v>
      </c>
      <c r="C21" t="s">
        <v>277</v>
      </c>
      <c r="D21" t="s">
        <v>90</v>
      </c>
    </row>
    <row r="22" spans="1:4" x14ac:dyDescent="0.45">
      <c r="A22">
        <v>20</v>
      </c>
      <c r="B22" t="s">
        <v>92</v>
      </c>
      <c r="C22" t="s">
        <v>88</v>
      </c>
      <c r="D22" t="s">
        <v>93</v>
      </c>
    </row>
    <row r="23" spans="1:4" x14ac:dyDescent="0.45">
      <c r="A23">
        <v>21</v>
      </c>
      <c r="B23" t="s">
        <v>94</v>
      </c>
      <c r="C23" t="s">
        <v>88</v>
      </c>
      <c r="D23" t="s">
        <v>95</v>
      </c>
    </row>
    <row r="24" spans="1:4" x14ac:dyDescent="0.45">
      <c r="A24">
        <v>22</v>
      </c>
      <c r="B24" t="s">
        <v>96</v>
      </c>
      <c r="C24" t="s">
        <v>88</v>
      </c>
      <c r="D24" t="s">
        <v>97</v>
      </c>
    </row>
    <row r="25" spans="1:4" x14ac:dyDescent="0.45">
      <c r="A25">
        <v>23</v>
      </c>
      <c r="B25" t="s">
        <v>98</v>
      </c>
      <c r="C25" t="s">
        <v>88</v>
      </c>
      <c r="D25" t="s">
        <v>99</v>
      </c>
    </row>
    <row r="26" spans="1:4" x14ac:dyDescent="0.45">
      <c r="A26">
        <v>24</v>
      </c>
      <c r="B26" t="s">
        <v>100</v>
      </c>
      <c r="C26" t="s">
        <v>88</v>
      </c>
      <c r="D26" t="s">
        <v>101</v>
      </c>
    </row>
    <row r="27" spans="1:4" x14ac:dyDescent="0.45">
      <c r="A27">
        <v>25</v>
      </c>
      <c r="B27" t="s">
        <v>103</v>
      </c>
      <c r="C27" t="s">
        <v>88</v>
      </c>
      <c r="D27" t="s">
        <v>104</v>
      </c>
    </row>
    <row r="28" spans="1:4" x14ac:dyDescent="0.45">
      <c r="A28">
        <v>26</v>
      </c>
      <c r="B28" t="s">
        <v>105</v>
      </c>
      <c r="C28" t="s">
        <v>102</v>
      </c>
      <c r="D28" t="s">
        <v>93</v>
      </c>
    </row>
    <row r="29" spans="1:4" x14ac:dyDescent="0.45">
      <c r="A29">
        <v>27</v>
      </c>
      <c r="B29" t="s">
        <v>106</v>
      </c>
      <c r="C29" t="s">
        <v>102</v>
      </c>
      <c r="D29" t="s">
        <v>95</v>
      </c>
    </row>
    <row r="30" spans="1:4" x14ac:dyDescent="0.45">
      <c r="A30">
        <v>28</v>
      </c>
      <c r="B30" t="s">
        <v>108</v>
      </c>
      <c r="C30" t="s">
        <v>102</v>
      </c>
      <c r="D30" t="s">
        <v>97</v>
      </c>
    </row>
    <row r="31" spans="1:4" x14ac:dyDescent="0.45">
      <c r="A31">
        <v>29</v>
      </c>
      <c r="B31" t="s">
        <v>109</v>
      </c>
      <c r="C31" t="s">
        <v>102</v>
      </c>
      <c r="D31" t="s">
        <v>99</v>
      </c>
    </row>
    <row r="32" spans="1:4" x14ac:dyDescent="0.45">
      <c r="A32">
        <v>30</v>
      </c>
      <c r="B32" t="s">
        <v>110</v>
      </c>
      <c r="C32" t="s">
        <v>102</v>
      </c>
      <c r="D32" t="s">
        <v>111</v>
      </c>
    </row>
    <row r="33" spans="1:4" x14ac:dyDescent="0.45">
      <c r="A33">
        <v>31</v>
      </c>
      <c r="B33" t="s">
        <v>112</v>
      </c>
      <c r="C33" t="s">
        <v>102</v>
      </c>
      <c r="D33" t="s">
        <v>113</v>
      </c>
    </row>
    <row r="34" spans="1:4" x14ac:dyDescent="0.45">
      <c r="A34">
        <v>32</v>
      </c>
      <c r="B34" t="s">
        <v>114</v>
      </c>
      <c r="C34" t="s">
        <v>102</v>
      </c>
      <c r="D34" t="s">
        <v>115</v>
      </c>
    </row>
    <row r="35" spans="1:4" x14ac:dyDescent="0.45">
      <c r="A35">
        <v>33</v>
      </c>
      <c r="B35" t="s">
        <v>116</v>
      </c>
      <c r="C35" t="s">
        <v>102</v>
      </c>
      <c r="D35" t="s">
        <v>117</v>
      </c>
    </row>
    <row r="36" spans="1:4" x14ac:dyDescent="0.45">
      <c r="A36">
        <v>34</v>
      </c>
      <c r="B36" t="s">
        <v>118</v>
      </c>
      <c r="C36" t="s">
        <v>102</v>
      </c>
      <c r="D36" t="s">
        <v>119</v>
      </c>
    </row>
    <row r="37" spans="1:4" x14ac:dyDescent="0.45">
      <c r="A37">
        <v>35</v>
      </c>
      <c r="B37" t="s">
        <v>121</v>
      </c>
      <c r="C37" t="s">
        <v>102</v>
      </c>
      <c r="D37" t="s">
        <v>122</v>
      </c>
    </row>
    <row r="38" spans="1:4" x14ac:dyDescent="0.45">
      <c r="A38">
        <v>36</v>
      </c>
      <c r="B38" t="s">
        <v>123</v>
      </c>
      <c r="C38" t="s">
        <v>120</v>
      </c>
      <c r="D38" t="s">
        <v>93</v>
      </c>
    </row>
    <row r="39" spans="1:4" x14ac:dyDescent="0.45">
      <c r="A39">
        <v>37</v>
      </c>
      <c r="B39" t="s">
        <v>124</v>
      </c>
      <c r="C39" t="s">
        <v>120</v>
      </c>
      <c r="D39" t="s">
        <v>95</v>
      </c>
    </row>
    <row r="40" spans="1:4" x14ac:dyDescent="0.45">
      <c r="A40">
        <v>38</v>
      </c>
      <c r="B40" t="s">
        <v>126</v>
      </c>
      <c r="C40" t="s">
        <v>120</v>
      </c>
      <c r="D40" t="s">
        <v>97</v>
      </c>
    </row>
    <row r="41" spans="1:4" x14ac:dyDescent="0.45">
      <c r="A41">
        <v>39</v>
      </c>
      <c r="B41" t="s">
        <v>127</v>
      </c>
      <c r="C41" t="s">
        <v>120</v>
      </c>
      <c r="D41" t="s">
        <v>99</v>
      </c>
    </row>
    <row r="42" spans="1:4" x14ac:dyDescent="0.45">
      <c r="A42">
        <v>40</v>
      </c>
      <c r="B42" t="s">
        <v>128</v>
      </c>
      <c r="C42" t="s">
        <v>120</v>
      </c>
      <c r="D42" t="s">
        <v>111</v>
      </c>
    </row>
    <row r="43" spans="1:4" x14ac:dyDescent="0.45">
      <c r="A43">
        <v>41</v>
      </c>
      <c r="B43" t="s">
        <v>129</v>
      </c>
      <c r="C43" t="s">
        <v>120</v>
      </c>
      <c r="D43" t="s">
        <v>113</v>
      </c>
    </row>
    <row r="44" spans="1:4" x14ac:dyDescent="0.45">
      <c r="A44">
        <v>42</v>
      </c>
      <c r="B44" t="s">
        <v>131</v>
      </c>
      <c r="C44" t="s">
        <v>120</v>
      </c>
      <c r="D44" t="s">
        <v>132</v>
      </c>
    </row>
    <row r="45" spans="1:4" x14ac:dyDescent="0.45">
      <c r="A45">
        <v>43</v>
      </c>
      <c r="B45" t="s">
        <v>133</v>
      </c>
      <c r="C45" t="s">
        <v>130</v>
      </c>
      <c r="D45" t="s">
        <v>93</v>
      </c>
    </row>
    <row r="46" spans="1:4" x14ac:dyDescent="0.45">
      <c r="A46">
        <v>44</v>
      </c>
      <c r="B46" t="s">
        <v>134</v>
      </c>
      <c r="C46" t="s">
        <v>130</v>
      </c>
      <c r="D46" t="s">
        <v>135</v>
      </c>
    </row>
    <row r="47" spans="1:4" x14ac:dyDescent="0.45">
      <c r="A47">
        <v>45</v>
      </c>
      <c r="B47" t="s">
        <v>136</v>
      </c>
      <c r="C47" t="s">
        <v>130</v>
      </c>
      <c r="D47" t="s">
        <v>137</v>
      </c>
    </row>
    <row r="48" spans="1:4" x14ac:dyDescent="0.45">
      <c r="A48">
        <v>46</v>
      </c>
      <c r="B48" t="s">
        <v>138</v>
      </c>
      <c r="C48" t="s">
        <v>130</v>
      </c>
      <c r="D48" t="s">
        <v>139</v>
      </c>
    </row>
    <row r="49" spans="1:4" x14ac:dyDescent="0.45">
      <c r="A49">
        <v>47</v>
      </c>
      <c r="B49" t="s">
        <v>140</v>
      </c>
      <c r="C49" t="s">
        <v>130</v>
      </c>
      <c r="D49" t="s">
        <v>141</v>
      </c>
    </row>
    <row r="50" spans="1:4" x14ac:dyDescent="0.45">
      <c r="A50">
        <v>48</v>
      </c>
      <c r="B50" t="s">
        <v>143</v>
      </c>
      <c r="C50" t="s">
        <v>130</v>
      </c>
      <c r="D50" t="s">
        <v>144</v>
      </c>
    </row>
    <row r="51" spans="1:4" x14ac:dyDescent="0.45">
      <c r="A51">
        <v>49</v>
      </c>
      <c r="B51" t="s">
        <v>145</v>
      </c>
      <c r="C51" t="s">
        <v>142</v>
      </c>
      <c r="D51" t="s">
        <v>93</v>
      </c>
    </row>
    <row r="52" spans="1:4" x14ac:dyDescent="0.45">
      <c r="A52">
        <v>50</v>
      </c>
      <c r="B52" t="s">
        <v>146</v>
      </c>
      <c r="C52" t="s">
        <v>142</v>
      </c>
      <c r="D52" t="s">
        <v>95</v>
      </c>
    </row>
    <row r="53" spans="1:4" x14ac:dyDescent="0.45">
      <c r="A53">
        <v>51</v>
      </c>
      <c r="B53" t="s">
        <v>147</v>
      </c>
      <c r="C53" t="s">
        <v>142</v>
      </c>
      <c r="D53" t="s">
        <v>97</v>
      </c>
    </row>
    <row r="54" spans="1:4" x14ac:dyDescent="0.45">
      <c r="A54">
        <v>52</v>
      </c>
      <c r="B54" t="s">
        <v>148</v>
      </c>
      <c r="C54" t="s">
        <v>142</v>
      </c>
      <c r="D54" t="s">
        <v>99</v>
      </c>
    </row>
    <row r="55" spans="1:4" x14ac:dyDescent="0.45">
      <c r="A55">
        <v>53</v>
      </c>
      <c r="B55" t="s">
        <v>149</v>
      </c>
      <c r="C55" t="s">
        <v>142</v>
      </c>
      <c r="D55" t="s">
        <v>111</v>
      </c>
    </row>
    <row r="56" spans="1:4" x14ac:dyDescent="0.45">
      <c r="A56">
        <v>54</v>
      </c>
      <c r="B56" t="s">
        <v>150</v>
      </c>
      <c r="C56" t="s">
        <v>142</v>
      </c>
      <c r="D56" t="s">
        <v>151</v>
      </c>
    </row>
    <row r="57" spans="1:4" x14ac:dyDescent="0.45">
      <c r="A57">
        <v>55</v>
      </c>
      <c r="B57" t="s">
        <v>152</v>
      </c>
      <c r="C57" t="s">
        <v>142</v>
      </c>
      <c r="D57" t="s">
        <v>115</v>
      </c>
    </row>
    <row r="58" spans="1:4" x14ac:dyDescent="0.45">
      <c r="A58">
        <v>56</v>
      </c>
      <c r="B58" t="s">
        <v>153</v>
      </c>
      <c r="C58" t="s">
        <v>142</v>
      </c>
      <c r="D58" t="s">
        <v>119</v>
      </c>
    </row>
    <row r="59" spans="1:4" x14ac:dyDescent="0.45">
      <c r="A59">
        <v>57</v>
      </c>
      <c r="B59" t="s">
        <v>154</v>
      </c>
      <c r="C59" t="s">
        <v>142</v>
      </c>
      <c r="D59" t="s">
        <v>122</v>
      </c>
    </row>
    <row r="60" spans="1:4" x14ac:dyDescent="0.45">
      <c r="A60">
        <v>118</v>
      </c>
      <c r="B60" t="s">
        <v>256</v>
      </c>
    </row>
    <row r="61" spans="1:4" x14ac:dyDescent="0.45">
      <c r="A61">
        <v>70</v>
      </c>
      <c r="B61" t="s">
        <v>155</v>
      </c>
      <c r="C61" t="s">
        <v>88</v>
      </c>
    </row>
    <row r="62" spans="1:4" x14ac:dyDescent="0.45">
      <c r="A62">
        <v>71</v>
      </c>
      <c r="B62" t="s">
        <v>156</v>
      </c>
      <c r="C62" t="s">
        <v>88</v>
      </c>
      <c r="D62" t="s">
        <v>157</v>
      </c>
    </row>
    <row r="63" spans="1:4" x14ac:dyDescent="0.45">
      <c r="A63">
        <v>72</v>
      </c>
      <c r="B63" t="s">
        <v>158</v>
      </c>
      <c r="C63" t="s">
        <v>88</v>
      </c>
      <c r="D63" t="s">
        <v>159</v>
      </c>
    </row>
    <row r="64" spans="1:4" x14ac:dyDescent="0.45">
      <c r="A64">
        <v>73</v>
      </c>
      <c r="B64" t="s">
        <v>160</v>
      </c>
      <c r="C64" t="s">
        <v>88</v>
      </c>
      <c r="D64" t="s">
        <v>161</v>
      </c>
    </row>
    <row r="65" spans="1:4" x14ac:dyDescent="0.45">
      <c r="A65">
        <v>74</v>
      </c>
      <c r="B65" t="s">
        <v>162</v>
      </c>
      <c r="C65" t="s">
        <v>88</v>
      </c>
      <c r="D65" t="s">
        <v>163</v>
      </c>
    </row>
    <row r="66" spans="1:4" x14ac:dyDescent="0.45">
      <c r="A66">
        <v>75</v>
      </c>
      <c r="B66" t="s">
        <v>164</v>
      </c>
      <c r="C66" t="s">
        <v>88</v>
      </c>
      <c r="D66" t="s">
        <v>165</v>
      </c>
    </row>
    <row r="67" spans="1:4" x14ac:dyDescent="0.45">
      <c r="A67">
        <v>76</v>
      </c>
      <c r="B67" t="s">
        <v>166</v>
      </c>
      <c r="C67" t="s">
        <v>88</v>
      </c>
      <c r="D67" t="s">
        <v>167</v>
      </c>
    </row>
    <row r="68" spans="1:4" x14ac:dyDescent="0.45">
      <c r="A68">
        <v>77</v>
      </c>
      <c r="B68" t="s">
        <v>168</v>
      </c>
      <c r="C68" t="s">
        <v>88</v>
      </c>
      <c r="D68" t="s">
        <v>169</v>
      </c>
    </row>
    <row r="69" spans="1:4" x14ac:dyDescent="0.45">
      <c r="A69">
        <v>78</v>
      </c>
      <c r="B69" t="s">
        <v>170</v>
      </c>
      <c r="C69" t="s">
        <v>88</v>
      </c>
      <c r="D69" t="s">
        <v>171</v>
      </c>
    </row>
    <row r="70" spans="1:4" x14ac:dyDescent="0.45">
      <c r="A70">
        <v>79</v>
      </c>
      <c r="B70" t="s">
        <v>172</v>
      </c>
      <c r="C70" t="s">
        <v>88</v>
      </c>
      <c r="D70" t="s">
        <v>173</v>
      </c>
    </row>
    <row r="71" spans="1:4" x14ac:dyDescent="0.45">
      <c r="A71">
        <v>80</v>
      </c>
      <c r="B71" t="s">
        <v>174</v>
      </c>
      <c r="C71" t="s">
        <v>88</v>
      </c>
      <c r="D71" t="s">
        <v>175</v>
      </c>
    </row>
    <row r="72" spans="1:4" x14ac:dyDescent="0.45">
      <c r="A72">
        <v>81</v>
      </c>
      <c r="B72" t="s">
        <v>176</v>
      </c>
      <c r="C72" t="s">
        <v>88</v>
      </c>
      <c r="D72" t="s">
        <v>177</v>
      </c>
    </row>
    <row r="73" spans="1:4" x14ac:dyDescent="0.45">
      <c r="A73">
        <v>82</v>
      </c>
      <c r="B73" t="s">
        <v>178</v>
      </c>
      <c r="C73" t="s">
        <v>88</v>
      </c>
      <c r="D73" t="s">
        <v>177</v>
      </c>
    </row>
    <row r="74" spans="1:4" x14ac:dyDescent="0.45">
      <c r="A74">
        <v>83</v>
      </c>
      <c r="B74" t="s">
        <v>179</v>
      </c>
      <c r="C74" t="s">
        <v>88</v>
      </c>
      <c r="D74" t="s">
        <v>180</v>
      </c>
    </row>
    <row r="75" spans="1:4" x14ac:dyDescent="0.45">
      <c r="A75">
        <v>84</v>
      </c>
      <c r="B75" t="s">
        <v>181</v>
      </c>
      <c r="C75" t="s">
        <v>88</v>
      </c>
      <c r="D75" t="s">
        <v>182</v>
      </c>
    </row>
    <row r="76" spans="1:4" x14ac:dyDescent="0.45">
      <c r="A76">
        <v>85</v>
      </c>
      <c r="B76" t="s">
        <v>183</v>
      </c>
      <c r="C76" t="s">
        <v>88</v>
      </c>
      <c r="D76" t="s">
        <v>184</v>
      </c>
    </row>
    <row r="77" spans="1:4" x14ac:dyDescent="0.45">
      <c r="A77">
        <v>86</v>
      </c>
      <c r="B77" t="s">
        <v>185</v>
      </c>
      <c r="C77" t="s">
        <v>88</v>
      </c>
      <c r="D77" t="s">
        <v>186</v>
      </c>
    </row>
    <row r="78" spans="1:4" x14ac:dyDescent="0.45">
      <c r="A78">
        <v>87</v>
      </c>
      <c r="B78" t="s">
        <v>187</v>
      </c>
      <c r="C78" t="s">
        <v>88</v>
      </c>
      <c r="D78" t="s">
        <v>188</v>
      </c>
    </row>
    <row r="79" spans="1:4" x14ac:dyDescent="0.45">
      <c r="A79">
        <v>88</v>
      </c>
      <c r="B79" t="s">
        <v>189</v>
      </c>
      <c r="C79" t="s">
        <v>88</v>
      </c>
      <c r="D79" t="s">
        <v>190</v>
      </c>
    </row>
    <row r="80" spans="1:4" x14ac:dyDescent="0.45">
      <c r="A80">
        <v>89</v>
      </c>
      <c r="B80" t="s">
        <v>191</v>
      </c>
      <c r="C80" t="s">
        <v>102</v>
      </c>
      <c r="D80" t="s">
        <v>192</v>
      </c>
    </row>
    <row r="81" spans="1:4" x14ac:dyDescent="0.45">
      <c r="A81">
        <v>90</v>
      </c>
      <c r="B81" t="s">
        <v>193</v>
      </c>
      <c r="C81" t="s">
        <v>102</v>
      </c>
      <c r="D81" t="s">
        <v>194</v>
      </c>
    </row>
    <row r="82" spans="1:4" x14ac:dyDescent="0.45">
      <c r="A82">
        <v>91</v>
      </c>
      <c r="B82" t="s">
        <v>195</v>
      </c>
      <c r="C82" t="s">
        <v>102</v>
      </c>
      <c r="D82" t="s">
        <v>196</v>
      </c>
    </row>
    <row r="83" spans="1:4" x14ac:dyDescent="0.45">
      <c r="A83">
        <v>92</v>
      </c>
      <c r="B83" t="s">
        <v>197</v>
      </c>
      <c r="C83" t="s">
        <v>102</v>
      </c>
      <c r="D83" t="s">
        <v>198</v>
      </c>
    </row>
    <row r="84" spans="1:4" x14ac:dyDescent="0.45">
      <c r="A84">
        <v>93</v>
      </c>
      <c r="B84" t="s">
        <v>199</v>
      </c>
      <c r="C84" t="s">
        <v>102</v>
      </c>
      <c r="D84" t="s">
        <v>200</v>
      </c>
    </row>
    <row r="85" spans="1:4" x14ac:dyDescent="0.45">
      <c r="A85">
        <v>94</v>
      </c>
      <c r="B85" t="s">
        <v>201</v>
      </c>
      <c r="C85" t="s">
        <v>102</v>
      </c>
      <c r="D85" t="s">
        <v>202</v>
      </c>
    </row>
    <row r="86" spans="1:4" x14ac:dyDescent="0.45">
      <c r="A86">
        <v>95</v>
      </c>
      <c r="B86" t="s">
        <v>203</v>
      </c>
      <c r="C86" t="s">
        <v>102</v>
      </c>
      <c r="D86" t="s">
        <v>204</v>
      </c>
    </row>
    <row r="87" spans="1:4" x14ac:dyDescent="0.45">
      <c r="A87">
        <v>96</v>
      </c>
      <c r="B87" t="s">
        <v>205</v>
      </c>
      <c r="C87" t="s">
        <v>102</v>
      </c>
      <c r="D87" t="s">
        <v>206</v>
      </c>
    </row>
    <row r="88" spans="1:4" x14ac:dyDescent="0.45">
      <c r="A88">
        <v>97</v>
      </c>
      <c r="B88" t="s">
        <v>207</v>
      </c>
      <c r="C88" t="s">
        <v>102</v>
      </c>
      <c r="D88" t="s">
        <v>208</v>
      </c>
    </row>
    <row r="89" spans="1:4" x14ac:dyDescent="0.45">
      <c r="A89">
        <v>98</v>
      </c>
      <c r="B89" t="s">
        <v>209</v>
      </c>
      <c r="C89" t="s">
        <v>120</v>
      </c>
      <c r="D89" t="s">
        <v>194</v>
      </c>
    </row>
    <row r="90" spans="1:4" x14ac:dyDescent="0.45">
      <c r="A90">
        <v>99</v>
      </c>
      <c r="B90" t="s">
        <v>210</v>
      </c>
      <c r="C90" t="s">
        <v>120</v>
      </c>
      <c r="D90" t="s">
        <v>196</v>
      </c>
    </row>
    <row r="91" spans="1:4" x14ac:dyDescent="0.45">
      <c r="A91">
        <v>100</v>
      </c>
      <c r="B91" t="s">
        <v>211</v>
      </c>
      <c r="C91" t="s">
        <v>120</v>
      </c>
      <c r="D91" t="s">
        <v>198</v>
      </c>
    </row>
    <row r="92" spans="1:4" x14ac:dyDescent="0.45">
      <c r="A92">
        <v>101</v>
      </c>
      <c r="B92" t="s">
        <v>212</v>
      </c>
      <c r="C92" t="s">
        <v>120</v>
      </c>
      <c r="D92" t="s">
        <v>200</v>
      </c>
    </row>
    <row r="93" spans="1:4" x14ac:dyDescent="0.45">
      <c r="A93">
        <v>102</v>
      </c>
      <c r="B93" t="s">
        <v>213</v>
      </c>
      <c r="C93" t="s">
        <v>130</v>
      </c>
      <c r="D93" t="s">
        <v>194</v>
      </c>
    </row>
    <row r="94" spans="1:4" x14ac:dyDescent="0.45">
      <c r="A94">
        <v>103</v>
      </c>
      <c r="B94" t="s">
        <v>214</v>
      </c>
      <c r="C94" t="s">
        <v>130</v>
      </c>
      <c r="D94" t="s">
        <v>196</v>
      </c>
    </row>
    <row r="95" spans="1:4" x14ac:dyDescent="0.45">
      <c r="A95">
        <v>104</v>
      </c>
      <c r="B95" t="s">
        <v>215</v>
      </c>
      <c r="C95" t="s">
        <v>130</v>
      </c>
      <c r="D95" t="s">
        <v>198</v>
      </c>
    </row>
    <row r="96" spans="1:4" x14ac:dyDescent="0.45">
      <c r="A96">
        <v>105</v>
      </c>
      <c r="B96" t="s">
        <v>216</v>
      </c>
      <c r="C96" t="s">
        <v>130</v>
      </c>
      <c r="D96" t="s">
        <v>200</v>
      </c>
    </row>
    <row r="97" spans="1:4" x14ac:dyDescent="0.45">
      <c r="A97">
        <v>106</v>
      </c>
      <c r="B97" t="s">
        <v>217</v>
      </c>
      <c r="C97" t="s">
        <v>142</v>
      </c>
      <c r="D97" t="s">
        <v>194</v>
      </c>
    </row>
    <row r="98" spans="1:4" x14ac:dyDescent="0.45">
      <c r="A98">
        <v>107</v>
      </c>
      <c r="B98" t="s">
        <v>218</v>
      </c>
      <c r="C98" t="s">
        <v>142</v>
      </c>
      <c r="D98" t="s">
        <v>219</v>
      </c>
    </row>
    <row r="99" spans="1:4" x14ac:dyDescent="0.45">
      <c r="A99">
        <v>108</v>
      </c>
      <c r="B99" t="s">
        <v>220</v>
      </c>
      <c r="C99" t="s">
        <v>142</v>
      </c>
      <c r="D99" t="s">
        <v>196</v>
      </c>
    </row>
    <row r="100" spans="1:4" x14ac:dyDescent="0.45">
      <c r="A100">
        <v>109</v>
      </c>
      <c r="B100" t="s">
        <v>221</v>
      </c>
      <c r="C100" t="s">
        <v>142</v>
      </c>
      <c r="D100" t="s">
        <v>198</v>
      </c>
    </row>
    <row r="101" spans="1:4" x14ac:dyDescent="0.45">
      <c r="A101">
        <v>110</v>
      </c>
      <c r="B101" t="s">
        <v>222</v>
      </c>
      <c r="C101" t="s">
        <v>142</v>
      </c>
      <c r="D101" t="s">
        <v>200</v>
      </c>
    </row>
    <row r="102" spans="1:4" x14ac:dyDescent="0.45">
      <c r="A102">
        <v>111</v>
      </c>
      <c r="B102" t="s">
        <v>223</v>
      </c>
      <c r="C102" t="s">
        <v>142</v>
      </c>
      <c r="D102" t="s">
        <v>206</v>
      </c>
    </row>
    <row r="103" spans="1:4" x14ac:dyDescent="0.45">
      <c r="A103">
        <v>112</v>
      </c>
      <c r="B103" t="s">
        <v>224</v>
      </c>
      <c r="C103" t="s">
        <v>142</v>
      </c>
      <c r="D103" t="s">
        <v>225</v>
      </c>
    </row>
    <row r="104" spans="1:4" x14ac:dyDescent="0.45">
      <c r="A104">
        <v>113</v>
      </c>
      <c r="B104" t="s">
        <v>226</v>
      </c>
      <c r="C104" t="s">
        <v>142</v>
      </c>
      <c r="D104" t="s">
        <v>208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sqref="A1:N1048576"/>
    </sheetView>
  </sheetViews>
  <sheetFormatPr defaultRowHeight="14.25" x14ac:dyDescent="0.45"/>
  <sheetData>
    <row r="1" spans="1:11" x14ac:dyDescent="0.45">
      <c r="A1" s="351" t="s">
        <v>227</v>
      </c>
      <c r="B1" s="352"/>
      <c r="C1" s="352"/>
      <c r="D1" s="352"/>
      <c r="E1" s="352"/>
      <c r="F1" s="352"/>
      <c r="G1" s="352"/>
      <c r="H1" s="352" t="s">
        <v>228</v>
      </c>
      <c r="I1" s="352"/>
      <c r="J1" s="352"/>
      <c r="K1" s="353"/>
    </row>
    <row r="2" spans="1:11" x14ac:dyDescent="0.45">
      <c r="A2" s="354">
        <v>1</v>
      </c>
      <c r="B2" s="355" t="s">
        <v>264</v>
      </c>
      <c r="C2" s="355"/>
      <c r="D2" s="355"/>
      <c r="E2" s="355"/>
      <c r="F2" s="355"/>
      <c r="G2" s="355"/>
      <c r="H2" s="355"/>
      <c r="I2" s="355"/>
      <c r="J2" s="355"/>
      <c r="K2" s="356"/>
    </row>
    <row r="3" spans="1:11" x14ac:dyDescent="0.45">
      <c r="A3" s="354">
        <v>2</v>
      </c>
      <c r="B3" s="355" t="s">
        <v>229</v>
      </c>
      <c r="C3" s="355"/>
      <c r="D3" s="355"/>
      <c r="E3" s="355"/>
      <c r="F3" s="355"/>
      <c r="G3" s="355"/>
      <c r="H3" s="355"/>
      <c r="I3" s="355"/>
      <c r="J3" s="355"/>
      <c r="K3" s="356"/>
    </row>
    <row r="4" spans="1:11" x14ac:dyDescent="0.45">
      <c r="A4" s="354">
        <v>3</v>
      </c>
      <c r="B4" s="355" t="s">
        <v>230</v>
      </c>
      <c r="C4" s="355"/>
      <c r="D4" s="355"/>
      <c r="E4" s="355"/>
      <c r="F4" s="355"/>
      <c r="G4" s="355"/>
      <c r="H4" s="355"/>
      <c r="I4" s="355"/>
      <c r="J4" s="355"/>
      <c r="K4" s="356"/>
    </row>
    <row r="5" spans="1:11" x14ac:dyDescent="0.45">
      <c r="A5" s="357">
        <v>4</v>
      </c>
      <c r="B5" s="358" t="s">
        <v>231</v>
      </c>
      <c r="C5" s="358"/>
      <c r="D5" s="358"/>
      <c r="E5" s="358"/>
      <c r="F5" s="358"/>
      <c r="G5" s="358"/>
      <c r="H5" s="358"/>
      <c r="I5" s="358"/>
      <c r="J5" s="358"/>
      <c r="K5" s="359"/>
    </row>
    <row r="8" spans="1:11" x14ac:dyDescent="0.45">
      <c r="A8" t="s">
        <v>232</v>
      </c>
      <c r="B8" t="s">
        <v>233</v>
      </c>
      <c r="C8" t="s">
        <v>234</v>
      </c>
      <c r="D8" t="s">
        <v>254</v>
      </c>
    </row>
    <row r="9" spans="1:11" x14ac:dyDescent="0.4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0.46135416666666668</v>
      </c>
      <c r="G9" t="s">
        <v>239</v>
      </c>
      <c r="H9">
        <v>31</v>
      </c>
      <c r="I9" t="s">
        <v>255</v>
      </c>
      <c r="J9">
        <v>16</v>
      </c>
    </row>
    <row r="10" spans="1:11" x14ac:dyDescent="0.45">
      <c r="A10" t="s">
        <v>240</v>
      </c>
    </row>
    <row r="11" spans="1:11" x14ac:dyDescent="0.4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4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45">
      <c r="B13">
        <v>3</v>
      </c>
      <c r="C13" t="s">
        <v>51</v>
      </c>
      <c r="D13" t="s">
        <v>241</v>
      </c>
      <c r="E13" s="336">
        <v>-0.2117</v>
      </c>
      <c r="F13">
        <v>0</v>
      </c>
    </row>
    <row r="14" spans="1:11" x14ac:dyDescent="0.45">
      <c r="B14">
        <v>4</v>
      </c>
      <c r="C14" t="s">
        <v>54</v>
      </c>
      <c r="D14" t="s">
        <v>242</v>
      </c>
      <c r="E14" s="336">
        <v>0.27120783067900001</v>
      </c>
      <c r="F14">
        <v>0.28080475059900001</v>
      </c>
    </row>
    <row r="15" spans="1:11" x14ac:dyDescent="0.4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59</v>
      </c>
      <c r="D16" t="s">
        <v>242</v>
      </c>
      <c r="E16" s="336">
        <v>-8.2865473150899996E-2</v>
      </c>
      <c r="F16">
        <v>0.12955742148800001</v>
      </c>
    </row>
    <row r="17" spans="2:6" x14ac:dyDescent="0.4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64</v>
      </c>
      <c r="D18" t="s">
        <v>241</v>
      </c>
      <c r="E18" s="336">
        <v>6.9400000000000003E-2</v>
      </c>
      <c r="F18">
        <v>0</v>
      </c>
    </row>
    <row r="19" spans="2:6" x14ac:dyDescent="0.45">
      <c r="B19">
        <v>9</v>
      </c>
      <c r="C19" t="s">
        <v>66</v>
      </c>
      <c r="D19" t="s">
        <v>242</v>
      </c>
      <c r="E19" s="336">
        <v>-9.5820044919499997E-2</v>
      </c>
      <c r="F19">
        <v>0.17082561533000001</v>
      </c>
    </row>
    <row r="20" spans="2:6" x14ac:dyDescent="0.4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4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4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4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45">
      <c r="B30">
        <v>20</v>
      </c>
      <c r="C30" t="s">
        <v>92</v>
      </c>
      <c r="D30" t="s">
        <v>242</v>
      </c>
      <c r="E30">
        <v>0.63771148688699997</v>
      </c>
      <c r="F30" s="336">
        <v>6.0015015733300002E-2</v>
      </c>
    </row>
    <row r="31" spans="2:6" x14ac:dyDescent="0.4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100</v>
      </c>
      <c r="D34" t="s">
        <v>242</v>
      </c>
      <c r="E34">
        <v>0.10429329553199999</v>
      </c>
      <c r="F34" s="336">
        <v>1.6423300294899999E-2</v>
      </c>
    </row>
    <row r="35" spans="2:6" x14ac:dyDescent="0.45">
      <c r="B35">
        <v>25</v>
      </c>
      <c r="C35" t="s">
        <v>103</v>
      </c>
      <c r="D35" t="s">
        <v>241</v>
      </c>
      <c r="E35">
        <v>0</v>
      </c>
      <c r="F35" s="336">
        <v>0</v>
      </c>
    </row>
    <row r="36" spans="2:6" x14ac:dyDescent="0.45">
      <c r="B36">
        <v>26</v>
      </c>
      <c r="C36" t="s">
        <v>105</v>
      </c>
      <c r="D36" t="s">
        <v>242</v>
      </c>
      <c r="E36">
        <v>0.417326479157</v>
      </c>
      <c r="F36" s="336">
        <v>9.4301876730200004E-2</v>
      </c>
    </row>
    <row r="37" spans="2:6" x14ac:dyDescent="0.4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4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110</v>
      </c>
      <c r="D40" t="s">
        <v>242</v>
      </c>
      <c r="E40">
        <v>-0.91046169190000004</v>
      </c>
      <c r="F40" s="336">
        <v>9.2244527309799998E-2</v>
      </c>
    </row>
    <row r="41" spans="2:6" x14ac:dyDescent="0.45">
      <c r="B41">
        <v>31</v>
      </c>
      <c r="C41" t="s">
        <v>112</v>
      </c>
      <c r="D41" t="s">
        <v>242</v>
      </c>
      <c r="E41" s="336">
        <v>5.7553461640599997E-2</v>
      </c>
      <c r="F41" s="336">
        <v>1.69631861578E-2</v>
      </c>
    </row>
    <row r="42" spans="2:6" x14ac:dyDescent="0.45">
      <c r="B42">
        <v>32</v>
      </c>
      <c r="C42" t="s">
        <v>114</v>
      </c>
      <c r="D42" t="s">
        <v>242</v>
      </c>
      <c r="E42">
        <v>0.237798002151</v>
      </c>
      <c r="F42" s="336">
        <v>2.05709725741E-2</v>
      </c>
    </row>
    <row r="43" spans="2:6" x14ac:dyDescent="0.45">
      <c r="B43">
        <v>33</v>
      </c>
      <c r="C43" t="s">
        <v>116</v>
      </c>
      <c r="D43" t="s">
        <v>241</v>
      </c>
      <c r="E43">
        <v>0</v>
      </c>
      <c r="F43" s="336">
        <v>0</v>
      </c>
    </row>
    <row r="44" spans="2:6" x14ac:dyDescent="0.45">
      <c r="B44">
        <v>34</v>
      </c>
      <c r="C44" t="s">
        <v>118</v>
      </c>
      <c r="D44" t="s">
        <v>241</v>
      </c>
      <c r="E44">
        <v>0</v>
      </c>
      <c r="F44" s="336">
        <v>0</v>
      </c>
    </row>
    <row r="45" spans="2:6" x14ac:dyDescent="0.45">
      <c r="B45">
        <v>35</v>
      </c>
      <c r="C45" t="s">
        <v>121</v>
      </c>
      <c r="D45" t="s">
        <v>241</v>
      </c>
      <c r="E45">
        <v>0</v>
      </c>
      <c r="F45" s="336">
        <v>0</v>
      </c>
    </row>
    <row r="46" spans="2:6" x14ac:dyDescent="0.45">
      <c r="B46">
        <v>36</v>
      </c>
      <c r="C46" t="s">
        <v>123</v>
      </c>
      <c r="D46" t="s">
        <v>242</v>
      </c>
      <c r="E46" s="336">
        <v>0.61259135262599995</v>
      </c>
      <c r="F46" s="336">
        <v>9.8788050589500007E-2</v>
      </c>
    </row>
    <row r="47" spans="2:6" x14ac:dyDescent="0.4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129</v>
      </c>
      <c r="D51" t="s">
        <v>242</v>
      </c>
      <c r="E51">
        <v>-0.22141031751900001</v>
      </c>
      <c r="F51" s="336">
        <v>1.8224220405400001E-2</v>
      </c>
    </row>
    <row r="52" spans="2:6" x14ac:dyDescent="0.45">
      <c r="B52">
        <v>42</v>
      </c>
      <c r="C52" t="s">
        <v>131</v>
      </c>
      <c r="D52" t="s">
        <v>242</v>
      </c>
      <c r="E52">
        <v>0.64228876129599999</v>
      </c>
      <c r="F52" s="336">
        <v>2.3327425635499999E-2</v>
      </c>
    </row>
    <row r="53" spans="2:6" x14ac:dyDescent="0.45">
      <c r="B53">
        <v>43</v>
      </c>
      <c r="C53" t="s">
        <v>133</v>
      </c>
      <c r="D53" t="s">
        <v>242</v>
      </c>
      <c r="E53">
        <v>0.74588429254199995</v>
      </c>
      <c r="F53" s="336">
        <v>9.8514285453599998E-2</v>
      </c>
    </row>
    <row r="54" spans="2:6" x14ac:dyDescent="0.4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143</v>
      </c>
      <c r="D58" t="s">
        <v>242</v>
      </c>
      <c r="E58">
        <v>0.65760260093900003</v>
      </c>
      <c r="F58" s="336">
        <v>2.9500746847800002E-2</v>
      </c>
    </row>
    <row r="59" spans="2:6" x14ac:dyDescent="0.45">
      <c r="B59">
        <v>49</v>
      </c>
      <c r="C59" t="s">
        <v>145</v>
      </c>
      <c r="D59" t="s">
        <v>242</v>
      </c>
      <c r="E59">
        <v>0.201576719663</v>
      </c>
      <c r="F59" s="336">
        <v>0.11309559824400001</v>
      </c>
    </row>
    <row r="60" spans="2:6" x14ac:dyDescent="0.4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150</v>
      </c>
      <c r="D64" t="s">
        <v>242</v>
      </c>
      <c r="E64">
        <v>0.20818008309700001</v>
      </c>
      <c r="F64" s="336">
        <v>4.2700310294800002E-2</v>
      </c>
    </row>
    <row r="65" spans="2:6" x14ac:dyDescent="0.45">
      <c r="B65">
        <v>55</v>
      </c>
      <c r="C65" t="s">
        <v>152</v>
      </c>
      <c r="D65" t="s">
        <v>242</v>
      </c>
      <c r="E65">
        <v>0.42522231451499998</v>
      </c>
      <c r="F65" s="336">
        <v>4.5274903018000003E-2</v>
      </c>
    </row>
    <row r="66" spans="2:6" x14ac:dyDescent="0.45">
      <c r="B66">
        <v>56</v>
      </c>
      <c r="C66" t="s">
        <v>153</v>
      </c>
      <c r="D66" t="s">
        <v>242</v>
      </c>
      <c r="E66">
        <v>-0.743588483327</v>
      </c>
      <c r="F66" s="336">
        <v>4.4293261467400001E-2</v>
      </c>
    </row>
    <row r="67" spans="2:6" x14ac:dyDescent="0.45">
      <c r="B67">
        <v>57</v>
      </c>
      <c r="C67" t="s">
        <v>154</v>
      </c>
      <c r="D67" t="s">
        <v>241</v>
      </c>
      <c r="E67" s="336">
        <v>6.2100000000000002E-2</v>
      </c>
      <c r="F67" s="336">
        <v>0</v>
      </c>
    </row>
    <row r="68" spans="2:6" x14ac:dyDescent="0.45">
      <c r="B68">
        <v>118</v>
      </c>
      <c r="C68" t="s">
        <v>256</v>
      </c>
      <c r="D68" t="s">
        <v>241</v>
      </c>
      <c r="E68" s="336">
        <v>-3</v>
      </c>
      <c r="F68" s="336">
        <v>0</v>
      </c>
    </row>
    <row r="69" spans="2:6" x14ac:dyDescent="0.45">
      <c r="B69">
        <v>70</v>
      </c>
      <c r="C69" t="s">
        <v>155</v>
      </c>
      <c r="D69" t="s">
        <v>242</v>
      </c>
      <c r="E69">
        <v>0.29394695214400002</v>
      </c>
      <c r="F69" s="336">
        <v>8.1089668188599993E-3</v>
      </c>
    </row>
    <row r="70" spans="2:6" x14ac:dyDescent="0.4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4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4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4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4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4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4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4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4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4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4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45">
      <c r="B115">
        <v>17</v>
      </c>
      <c r="C115" t="s">
        <v>257</v>
      </c>
      <c r="D115" t="s">
        <v>239</v>
      </c>
      <c r="E115">
        <v>31</v>
      </c>
      <c r="F115" t="s">
        <v>255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Y104"/>
  <sheetViews>
    <sheetView tabSelected="1" zoomScaleNormal="100" workbookViewId="0">
      <selection activeCell="K9" sqref="K9"/>
    </sheetView>
  </sheetViews>
  <sheetFormatPr defaultColWidth="9.1328125" defaultRowHeight="14.25" x14ac:dyDescent="0.45"/>
  <cols>
    <col min="1" max="2" style="297" width="9.1328125" collapsed="true"/>
    <col min="3" max="3" bestFit="true" customWidth="true" style="297" width="12.73046875" collapsed="true"/>
    <col min="4" max="4" customWidth="true" style="296" width="18.86328125" collapsed="true"/>
    <col min="5" max="5" customWidth="true" style="297" width="6.73046875" collapsed="true"/>
    <col min="6" max="6" customWidth="true" style="297" width="12.73046875" collapsed="true"/>
    <col min="7" max="7" customWidth="true" style="296" width="18.86328125" collapsed="true"/>
    <col min="8" max="8" customWidth="true" style="296" width="8.73046875" collapsed="true"/>
    <col min="9" max="9" customWidth="true" style="296" width="6.59765625" collapsed="true"/>
    <col min="10" max="10" customWidth="true" style="296" width="10.1328125" collapsed="true"/>
    <col min="11" max="11" customWidth="true" style="296" width="9.86328125" collapsed="true"/>
    <col min="12" max="14" style="297" width="9.1328125" collapsed="true"/>
    <col min="15" max="15" customWidth="true" style="297" width="13.0" collapsed="true"/>
    <col min="16" max="16" bestFit="true" customWidth="true" style="299" width="19.59765625" collapsed="true"/>
    <col min="17" max="17" customWidth="true" style="334" width="19.59765625" collapsed="true"/>
    <col min="18" max="16384" style="297" width="9.1328125" collapsed="true"/>
  </cols>
  <sheetData>
    <row r="1" spans="3:25" x14ac:dyDescent="0.45">
      <c r="C1" s="10" t="s">
        <v>40</v>
      </c>
      <c r="F1" s="10" t="s">
        <v>41</v>
      </c>
      <c r="N1" s="298" t="s">
        <v>263</v>
      </c>
      <c r="S1" s="298"/>
      <c r="T1" s="298" t="s">
        <v>263</v>
      </c>
      <c r="U1" s="322"/>
      <c r="V1" s="322"/>
      <c r="W1" s="322"/>
      <c r="X1" s="322"/>
      <c r="Y1" s="322"/>
    </row>
    <row r="2" spans="3:25" ht="14.65" thickBot="1" x14ac:dyDescent="0.5">
      <c r="C2" s="298" t="s">
        <v>43</v>
      </c>
      <c r="M2" s="10" t="s">
        <v>91</v>
      </c>
      <c r="N2" s="10" t="s">
        <v>258</v>
      </c>
      <c r="O2" s="10" t="s">
        <v>259</v>
      </c>
      <c r="P2" s="349" t="s">
        <v>261</v>
      </c>
      <c r="Q2" s="350" t="s">
        <v>262</v>
      </c>
      <c r="T2" s="322"/>
      <c r="U2" s="298" t="s">
        <v>265</v>
      </c>
      <c r="V2"/>
      <c r="W2" s="322"/>
      <c r="X2" s="322"/>
      <c r="Y2" s="322"/>
    </row>
    <row r="3" spans="3:25" x14ac:dyDescent="0.45">
      <c r="C3" s="300" t="s">
        <v>3</v>
      </c>
      <c r="D3" s="301" t="s">
        <v>44</v>
      </c>
      <c r="F3" s="300" t="s">
        <v>3</v>
      </c>
      <c r="G3" s="301" t="s">
        <v>44</v>
      </c>
      <c r="H3" s="366"/>
      <c r="I3" s="366"/>
      <c r="J3" s="366"/>
      <c r="K3" s="366"/>
      <c r="L3" s="302"/>
      <c r="M3" s="297" t="str">
        <f>VLOOKUP(N3,Coeff_Descr!$A:$D,3,FALSE)</f>
        <v>ALL</v>
      </c>
      <c r="N3" s="297">
        <f>OtherTourDestination!B11</f>
        <v>1</v>
      </c>
      <c r="O3" s="297" t="str">
        <f>OtherTourDestination!C11</f>
        <v>Beta00001</v>
      </c>
      <c r="P3" s="299">
        <f>OtherTourDestination!E11</f>
        <v>1</v>
      </c>
      <c r="Q3" s="337">
        <f>_xlfn.IFNA(VLOOKUP(N3,$B$43:$D$46,3,FALSE),P3)</f>
        <v>1</v>
      </c>
      <c r="T3">
        <v>1</v>
      </c>
      <c r="U3" s="294" t="s">
        <v>281</v>
      </c>
      <c r="V3"/>
      <c r="W3" s="322"/>
      <c r="X3" s="322"/>
      <c r="Y3" s="322"/>
    </row>
    <row r="4" spans="3:25" x14ac:dyDescent="0.45">
      <c r="C4" s="303" t="s">
        <v>47</v>
      </c>
      <c r="D4" s="304">
        <f>TLFD!B11</f>
        <v>29293.171011583399</v>
      </c>
      <c r="F4" s="303" t="s">
        <v>47</v>
      </c>
      <c r="G4" s="304">
        <f>TLFD!F11</f>
        <v>15131</v>
      </c>
      <c r="H4" s="304"/>
      <c r="I4" s="304"/>
      <c r="J4" s="304"/>
      <c r="K4" s="304"/>
      <c r="L4" s="305"/>
      <c r="M4" s="297" t="str">
        <f>VLOOKUP(N4,Coeff_Descr!$A:$D,3,FALSE)</f>
        <v>ALL</v>
      </c>
      <c r="N4" s="297">
        <f>OtherTourDestination!B12</f>
        <v>2</v>
      </c>
      <c r="O4" s="297" t="str">
        <f>OtherTourDestination!C12</f>
        <v>Beta00002</v>
      </c>
      <c r="P4" s="299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273</v>
      </c>
      <c r="V4"/>
      <c r="W4" s="322"/>
      <c r="X4" s="322"/>
      <c r="Y4" s="322"/>
    </row>
    <row r="5" spans="3:25" x14ac:dyDescent="0.45">
      <c r="C5" s="306" t="s">
        <v>50</v>
      </c>
      <c r="D5" s="307">
        <f>TLFD!B12+TLFD!B13+(TLFD!B14/2)</f>
        <v>50920.020071559004</v>
      </c>
      <c r="F5" s="306" t="s">
        <v>50</v>
      </c>
      <c r="G5" s="307">
        <f>TLFD!F12+TLFD!F13+(TLFD!F14/2)</f>
        <v>38786</v>
      </c>
      <c r="H5" s="307"/>
      <c r="I5" s="307"/>
      <c r="J5" s="307"/>
      <c r="K5" s="307"/>
      <c r="L5" s="305"/>
      <c r="M5" s="297" t="str">
        <f>VLOOKUP(N5,Coeff_Descr!$A:$D,3,FALSE)</f>
        <v>ALL</v>
      </c>
      <c r="N5" s="297">
        <f>OtherTourDestination!B13</f>
        <v>3</v>
      </c>
      <c r="O5" s="297" t="str">
        <f>OtherTourDestination!C13</f>
        <v>Beta00003</v>
      </c>
      <c r="P5" s="299">
        <f>OtherTourDestination!E13</f>
        <v>-0.2117</v>
      </c>
      <c r="Q5" s="337">
        <f t="shared" ref="Q5:Q68" si="0">_xlfn.IFNA(VLOOKUP(N5,$B$43:$D$46,3,FALSE),P5)</f>
        <v>-0.2117</v>
      </c>
      <c r="T5">
        <v>3</v>
      </c>
      <c r="U5" s="322" t="s">
        <v>275</v>
      </c>
      <c r="V5" s="322"/>
      <c r="W5" s="322"/>
      <c r="X5" s="322"/>
      <c r="Y5" s="322"/>
    </row>
    <row r="6" spans="3:25" x14ac:dyDescent="0.45">
      <c r="C6" s="306" t="s">
        <v>53</v>
      </c>
      <c r="D6" s="307">
        <f>(TLFD!B14/2)+SUM(TLFD!B15:B20)</f>
        <v>26048.832815703398</v>
      </c>
      <c r="F6" s="306" t="s">
        <v>53</v>
      </c>
      <c r="G6" s="307">
        <f>(TLFD!F14/2)+SUM(TLFD!F15:F20)</f>
        <v>66535</v>
      </c>
      <c r="H6" s="307"/>
      <c r="I6" s="307"/>
      <c r="J6" s="307"/>
      <c r="K6" s="307"/>
      <c r="L6" s="308"/>
      <c r="M6" s="297" t="str">
        <f>VLOOKUP(N6,Coeff_Descr!$A:$D,3,FALSE)</f>
        <v>ALL</v>
      </c>
      <c r="N6" s="297">
        <f>OtherTourDestination!B14</f>
        <v>4</v>
      </c>
      <c r="O6" s="297" t="str">
        <f>OtherTourDestination!C14</f>
        <v>Beta00004</v>
      </c>
      <c r="P6" s="299">
        <f>OtherTourDestination!E14</f>
        <v>0.27120783067900001</v>
      </c>
      <c r="Q6" s="337">
        <f t="shared" si="0"/>
        <v>0.27120783067900001</v>
      </c>
      <c r="T6">
        <v>4</v>
      </c>
      <c r="U6" s="322" t="s">
        <v>266</v>
      </c>
      <c r="V6" s="322"/>
      <c r="W6" s="322"/>
      <c r="X6" s="322"/>
      <c r="Y6" s="322"/>
    </row>
    <row r="7" spans="3:25" x14ac:dyDescent="0.45">
      <c r="C7" s="309" t="s">
        <v>56</v>
      </c>
      <c r="D7" s="310">
        <f>SUM(TLFD!B21:B101)</f>
        <v>13747.5379285652</v>
      </c>
      <c r="F7" s="309" t="s">
        <v>56</v>
      </c>
      <c r="G7" s="310">
        <f>SUM(TLFD!F21:F101)</f>
        <v>25125</v>
      </c>
      <c r="H7" s="367"/>
      <c r="I7" s="367"/>
      <c r="J7" s="367"/>
      <c r="K7" s="367"/>
      <c r="L7" s="311"/>
      <c r="M7" s="297" t="str">
        <f>VLOOKUP(N7,Coeff_Descr!$A:$D,3,FALSE)</f>
        <v>ALL</v>
      </c>
      <c r="N7" s="297">
        <f>OtherTourDestination!B15</f>
        <v>5</v>
      </c>
      <c r="O7" s="297" t="str">
        <f>OtherTourDestination!C15</f>
        <v>Beta00005</v>
      </c>
      <c r="P7" s="299">
        <f>OtherTourDestination!E15</f>
        <v>-0.34490013167299999</v>
      </c>
      <c r="Q7" s="337">
        <f t="shared" si="0"/>
        <v>-0.34490013167299999</v>
      </c>
      <c r="T7" s="322">
        <v>5</v>
      </c>
      <c r="U7" s="322" t="s">
        <v>267</v>
      </c>
      <c r="V7" s="322"/>
      <c r="W7" s="322"/>
      <c r="X7" s="322"/>
      <c r="Y7" s="322"/>
    </row>
    <row r="8" spans="3:25" ht="14.65" thickBot="1" x14ac:dyDescent="0.5">
      <c r="C8" s="312" t="s">
        <v>4</v>
      </c>
      <c r="D8" s="313">
        <f>SUM(D4:D7)</f>
        <v>120009.561827411</v>
      </c>
      <c r="E8" s="314"/>
      <c r="F8" s="312" t="s">
        <v>4</v>
      </c>
      <c r="G8" s="313">
        <f>SUM(G4:G7)</f>
        <v>145577</v>
      </c>
      <c r="H8" s="368"/>
      <c r="I8" s="368"/>
      <c r="J8" s="368" t="s">
        <v>283</v>
      </c>
      <c r="K8" s="380">
        <v>1</v>
      </c>
      <c r="M8" s="297" t="str">
        <f>VLOOKUP(N8,Coeff_Descr!$A:$D,3,FALSE)</f>
        <v>ALL</v>
      </c>
      <c r="N8" s="297">
        <f>OtherTourDestination!B16</f>
        <v>6</v>
      </c>
      <c r="O8" s="297" t="str">
        <f>OtherTourDestination!C16</f>
        <v>Beta00006</v>
      </c>
      <c r="P8" s="299">
        <f>OtherTourDestination!E16</f>
        <v>-8.2865473150899996E-2</v>
      </c>
      <c r="Q8" s="337">
        <f t="shared" si="0"/>
        <v>-8.2865473150899996E-2</v>
      </c>
      <c r="T8" s="322"/>
      <c r="U8" s="322"/>
      <c r="V8" s="322"/>
      <c r="W8" s="322"/>
      <c r="X8" s="322"/>
      <c r="Y8" s="322"/>
    </row>
    <row r="9" spans="3:25" x14ac:dyDescent="0.45">
      <c r="M9" s="297" t="str">
        <f>VLOOKUP(N9,Coeff_Descr!$A:$D,3,FALSE)</f>
        <v>ALL</v>
      </c>
      <c r="N9" s="297">
        <f>OtherTourDestination!B17</f>
        <v>7</v>
      </c>
      <c r="O9" s="297" t="str">
        <f>OtherTourDestination!C17</f>
        <v>Beta00007</v>
      </c>
      <c r="P9" s="299">
        <f>OtherTourDestination!E17</f>
        <v>-3.9895313632499998</v>
      </c>
      <c r="Q9" s="337">
        <f t="shared" si="0"/>
        <v>-3.9895313632499998</v>
      </c>
      <c r="T9" s="322"/>
      <c r="U9" s="360" t="s">
        <v>268</v>
      </c>
      <c r="V9" s="322"/>
      <c r="W9" s="322"/>
      <c r="X9" s="322"/>
      <c r="Y9" s="322"/>
    </row>
    <row r="10" spans="3:25" ht="14.65" thickBot="1" x14ac:dyDescent="0.5">
      <c r="C10" s="315" t="s">
        <v>63</v>
      </c>
      <c r="I10" s="379" t="s">
        <v>282</v>
      </c>
      <c r="J10" s="370"/>
      <c r="K10" s="370"/>
      <c r="L10" s="302"/>
      <c r="M10" s="297" t="str">
        <f>VLOOKUP(N10,Coeff_Descr!$A:$D,3,FALSE)</f>
        <v>ALL</v>
      </c>
      <c r="N10" s="297">
        <f>OtherTourDestination!B18</f>
        <v>8</v>
      </c>
      <c r="O10" s="297" t="str">
        <f>OtherTourDestination!C18</f>
        <v>Beta00008</v>
      </c>
      <c r="P10" s="299">
        <f>OtherTourDestination!E18</f>
        <v>6.9400000000000003E-2</v>
      </c>
      <c r="Q10" s="337">
        <f t="shared" si="0"/>
        <v>6.9400000000000003E-2</v>
      </c>
      <c r="T10" s="322">
        <v>1</v>
      </c>
      <c r="U10" s="294" t="s">
        <v>281</v>
      </c>
      <c r="V10" s="322"/>
      <c r="W10" s="322"/>
      <c r="X10" s="322"/>
      <c r="Y10" s="322"/>
    </row>
    <row r="11" spans="3:25" x14ac:dyDescent="0.45">
      <c r="C11" s="300" t="s">
        <v>3</v>
      </c>
      <c r="D11" s="301" t="s">
        <v>44</v>
      </c>
      <c r="F11" s="300" t="s">
        <v>3</v>
      </c>
      <c r="G11" s="301" t="s">
        <v>44</v>
      </c>
      <c r="H11" s="366"/>
      <c r="I11" s="301" t="s">
        <v>278</v>
      </c>
      <c r="J11" s="301" t="s">
        <v>279</v>
      </c>
      <c r="K11" s="301" t="s">
        <v>280</v>
      </c>
      <c r="L11" s="316"/>
      <c r="M11" s="297" t="str">
        <f>VLOOKUP(N11,Coeff_Descr!$A:$D,3,FALSE)</f>
        <v>ALL</v>
      </c>
      <c r="N11" s="297">
        <f>OtherTourDestination!B19</f>
        <v>9</v>
      </c>
      <c r="O11" s="297" t="str">
        <f>OtherTourDestination!C19</f>
        <v>Beta00009</v>
      </c>
      <c r="P11" s="299">
        <f>OtherTourDestination!E19</f>
        <v>-9.5820044919499997E-2</v>
      </c>
      <c r="Q11" s="337">
        <f t="shared" si="0"/>
        <v>-9.5820044919499997E-2</v>
      </c>
      <c r="T11" s="322">
        <v>2</v>
      </c>
      <c r="U11" s="322" t="s">
        <v>269</v>
      </c>
      <c r="V11" s="322"/>
      <c r="W11" s="322"/>
      <c r="X11" s="322"/>
      <c r="Y11" s="322"/>
    </row>
    <row r="12" spans="3:25" x14ac:dyDescent="0.45">
      <c r="C12" s="303" t="s">
        <v>47</v>
      </c>
      <c r="D12" s="317">
        <f>D4/D$8</f>
        <v>0.24409030885147887</v>
      </c>
      <c r="F12" s="303" t="s">
        <v>47</v>
      </c>
      <c r="G12" s="317">
        <f>G4/G$8</f>
        <v>0.10393812209346256</v>
      </c>
      <c r="H12" s="317"/>
      <c r="I12" s="371">
        <f>D12/G12</f>
        <v>2.34841946280297</v>
      </c>
      <c r="J12" s="372">
        <f>LN(I12)</f>
        <v>0.85374253286004831</v>
      </c>
      <c r="K12" s="372">
        <f>K8*J12</f>
        <v>0.85374253286004831</v>
      </c>
      <c r="L12" s="316"/>
      <c r="M12" s="297" t="str">
        <f>VLOOKUP(N12,Coeff_Descr!$A:$D,3,FALSE)</f>
        <v>ALL</v>
      </c>
      <c r="N12" s="297">
        <f>OtherTourDestination!B20</f>
        <v>10</v>
      </c>
      <c r="O12" s="297" t="str">
        <f>OtherTourDestination!C20</f>
        <v>Beta00010</v>
      </c>
      <c r="P12" s="299">
        <f>OtherTourDestination!E20</f>
        <v>0.517563261484</v>
      </c>
      <c r="Q12" s="337">
        <f t="shared" si="0"/>
        <v>0.517563261484</v>
      </c>
      <c r="T12" s="322">
        <v>3</v>
      </c>
      <c r="U12" s="322" t="s">
        <v>270</v>
      </c>
      <c r="V12" s="322"/>
      <c r="W12" s="322"/>
      <c r="X12" s="322"/>
      <c r="Y12" s="322"/>
    </row>
    <row r="13" spans="3:25" x14ac:dyDescent="0.45">
      <c r="C13" s="306" t="s">
        <v>50</v>
      </c>
      <c r="D13" s="318">
        <f t="shared" ref="D13:D16" si="1">D5/D$8</f>
        <v>0.42429969159281211</v>
      </c>
      <c r="F13" s="306" t="s">
        <v>50</v>
      </c>
      <c r="G13" s="318">
        <f t="shared" ref="G13:G16" si="2">G5/G$8</f>
        <v>0.26642944970702792</v>
      </c>
      <c r="H13" s="318"/>
      <c r="I13" s="371">
        <f t="shared" ref="I13:I15" si="3">D13/G13</f>
        <v>1.5925405095397001</v>
      </c>
      <c r="J13" s="372">
        <f t="shared" ref="J13:J15" si="4">LN(I13)</f>
        <v>0.46533054584218703</v>
      </c>
      <c r="K13" s="372">
        <f>K8*(J13-J12)</f>
        <v>-0.38841198701786128</v>
      </c>
      <c r="L13" s="316"/>
      <c r="M13" s="297" t="str">
        <f>VLOOKUP(N13,Coeff_Descr!$A:$D,3,FALSE)</f>
        <v>ALL</v>
      </c>
      <c r="N13" s="297">
        <f>OtherTourDestination!B21</f>
        <v>11</v>
      </c>
      <c r="O13" s="297" t="str">
        <f>OtherTourDestination!C21</f>
        <v>Beta00011</v>
      </c>
      <c r="P13" s="299">
        <f>OtherTourDestination!E21</f>
        <v>-0.80352358260699996</v>
      </c>
      <c r="Q13" s="337">
        <f t="shared" si="0"/>
        <v>-0.80352358260699996</v>
      </c>
      <c r="T13" s="322">
        <v>4</v>
      </c>
      <c r="U13" s="322" t="s">
        <v>271</v>
      </c>
      <c r="V13" s="322"/>
      <c r="W13" s="322"/>
      <c r="X13" s="322"/>
      <c r="Y13" s="322"/>
    </row>
    <row r="14" spans="3:25" x14ac:dyDescent="0.45">
      <c r="C14" s="306" t="s">
        <v>53</v>
      </c>
      <c r="D14" s="318">
        <f t="shared" si="1"/>
        <v>0.21705631133929917</v>
      </c>
      <c r="F14" s="306" t="s">
        <v>53</v>
      </c>
      <c r="G14" s="318">
        <f t="shared" si="2"/>
        <v>0.45704335162834786</v>
      </c>
      <c r="H14" s="318"/>
      <c r="I14" s="371">
        <f t="shared" si="3"/>
        <v>0.47491405479583915</v>
      </c>
      <c r="J14" s="372">
        <f t="shared" si="4"/>
        <v>-0.74462142859053637</v>
      </c>
      <c r="K14" s="372">
        <f>K8*(J14-J13-J12)</f>
        <v>-2.0636945072927717</v>
      </c>
      <c r="L14" s="319"/>
      <c r="M14" s="297" t="str">
        <f>VLOOKUP(N14,Coeff_Descr!$A:$D,3,FALSE)</f>
        <v>ALL</v>
      </c>
      <c r="N14" s="297">
        <f>OtherTourDestination!B22</f>
        <v>12</v>
      </c>
      <c r="O14" s="297" t="str">
        <f>OtherTourDestination!C22</f>
        <v>Beta00012</v>
      </c>
      <c r="P14" s="299">
        <f>OtherTourDestination!E22</f>
        <v>-0.80534348065299999</v>
      </c>
      <c r="Q14" s="337">
        <f t="shared" si="0"/>
        <v>-0.80534348065299999</v>
      </c>
      <c r="T14" s="322">
        <v>5</v>
      </c>
      <c r="U14" s="294" t="s">
        <v>274</v>
      </c>
      <c r="V14" s="322"/>
      <c r="W14" s="322"/>
      <c r="X14" s="322"/>
      <c r="Y14" s="322"/>
    </row>
    <row r="15" spans="3:25" ht="14.65" thickBot="1" x14ac:dyDescent="0.5">
      <c r="C15" s="309" t="s">
        <v>56</v>
      </c>
      <c r="D15" s="318">
        <f t="shared" si="1"/>
        <v>0.11455368821640984</v>
      </c>
      <c r="F15" s="309" t="s">
        <v>56</v>
      </c>
      <c r="G15" s="318">
        <f t="shared" si="2"/>
        <v>0.17258907657116165</v>
      </c>
      <c r="H15" s="318"/>
      <c r="I15" s="373">
        <f t="shared" si="3"/>
        <v>0.66373660774050924</v>
      </c>
      <c r="J15" s="374">
        <f t="shared" si="4"/>
        <v>-0.40986988329167301</v>
      </c>
      <c r="K15" s="374">
        <f>K8*(J15-J14-J13-J12)</f>
        <v>-0.98432153340337192</v>
      </c>
      <c r="M15" s="297" t="str">
        <f>VLOOKUP(N15,Coeff_Descr!$A:$D,3,FALSE)</f>
        <v>ALL</v>
      </c>
      <c r="N15" s="297">
        <f>OtherTourDestination!B23</f>
        <v>13</v>
      </c>
      <c r="O15" s="297" t="str">
        <f>OtherTourDestination!C23</f>
        <v>Beta00013</v>
      </c>
      <c r="P15" s="299">
        <f>OtherTourDestination!E23</f>
        <v>-0.51977799879300002</v>
      </c>
      <c r="Q15" s="337">
        <f t="shared" si="0"/>
        <v>-0.51977799879300002</v>
      </c>
      <c r="T15" s="322">
        <v>6</v>
      </c>
      <c r="U15" s="322" t="s">
        <v>276</v>
      </c>
      <c r="V15" s="322"/>
      <c r="W15" s="322"/>
      <c r="X15" s="322"/>
      <c r="Y15" s="322"/>
    </row>
    <row r="16" spans="3:25" ht="14.65" thickBot="1" x14ac:dyDescent="0.5">
      <c r="C16" s="312" t="s">
        <v>4</v>
      </c>
      <c r="D16" s="320">
        <f t="shared" si="1"/>
        <v>1</v>
      </c>
      <c r="E16" s="314"/>
      <c r="F16" s="312" t="s">
        <v>4</v>
      </c>
      <c r="G16" s="320">
        <f t="shared" si="2"/>
        <v>1</v>
      </c>
      <c r="H16" s="369"/>
      <c r="I16" s="371"/>
      <c r="J16" s="371"/>
      <c r="K16" s="371"/>
      <c r="M16" s="297" t="str">
        <f>VLOOKUP(N16,Coeff_Descr!$A:$D,3,FALSE)</f>
        <v>ALL</v>
      </c>
      <c r="N16" s="297">
        <f>OtherTourDestination!B24</f>
        <v>14</v>
      </c>
      <c r="O16" s="297" t="str">
        <f>OtherTourDestination!C24</f>
        <v>Beta00014</v>
      </c>
      <c r="P16" s="299">
        <f>OtherTourDestination!E24</f>
        <v>-0.27562686954600002</v>
      </c>
      <c r="Q16" s="337">
        <f t="shared" si="0"/>
        <v>-0.27562686954600002</v>
      </c>
      <c r="T16" s="322">
        <v>7</v>
      </c>
      <c r="U16" s="322" t="s">
        <v>266</v>
      </c>
      <c r="V16" s="322"/>
      <c r="W16" s="322"/>
      <c r="X16" s="322"/>
      <c r="Y16" s="322"/>
    </row>
    <row r="17" spans="2:25" x14ac:dyDescent="0.45">
      <c r="M17" s="297" t="str">
        <f>VLOOKUP(N17,Coeff_Descr!$A:$D,3,FALSE)</f>
        <v>ALL</v>
      </c>
      <c r="N17" s="297">
        <f>OtherTourDestination!B25</f>
        <v>15</v>
      </c>
      <c r="O17" s="297" t="str">
        <f>OtherTourDestination!C25</f>
        <v>Beta00015</v>
      </c>
      <c r="P17" s="299">
        <f>OtherTourDestination!E25</f>
        <v>-0.55245424085299999</v>
      </c>
      <c r="Q17" s="337">
        <f t="shared" si="0"/>
        <v>-0.55245424085299999</v>
      </c>
      <c r="T17" s="322">
        <v>8</v>
      </c>
      <c r="U17" s="322" t="s">
        <v>272</v>
      </c>
      <c r="V17" s="322"/>
      <c r="W17" s="322"/>
      <c r="X17" s="322"/>
      <c r="Y17" s="322"/>
    </row>
    <row r="18" spans="2:25" x14ac:dyDescent="0.45">
      <c r="I18" s="375"/>
      <c r="J18" s="375"/>
      <c r="K18" s="372"/>
      <c r="M18" s="297" t="str">
        <f>VLOOKUP(N18,Coeff_Descr!$A:$D,3,FALSE)</f>
        <v>ALL</v>
      </c>
      <c r="N18" s="297">
        <f>OtherTourDestination!B26</f>
        <v>16</v>
      </c>
      <c r="O18" s="297" t="str">
        <f>OtherTourDestination!C26</f>
        <v>Beta00016</v>
      </c>
      <c r="P18" s="299">
        <f>OtherTourDestination!E26</f>
        <v>-0.493022087256</v>
      </c>
      <c r="Q18" s="337">
        <f t="shared" si="0"/>
        <v>-0.493022087256</v>
      </c>
    </row>
    <row r="19" spans="2:25" x14ac:dyDescent="0.45">
      <c r="C19" s="321" t="s">
        <v>82</v>
      </c>
      <c r="I19" s="375"/>
      <c r="J19" s="375"/>
      <c r="K19" s="372"/>
      <c r="M19" s="297" t="str">
        <f>VLOOKUP(N19,Coeff_Descr!$A:$D,3,FALSE)</f>
        <v>ALL</v>
      </c>
      <c r="N19" s="297">
        <f>OtherTourDestination!B27</f>
        <v>17</v>
      </c>
      <c r="O19" s="297" t="str">
        <f>OtherTourDestination!C27</f>
        <v>Beta00017</v>
      </c>
      <c r="P19" s="299">
        <f>OtherTourDestination!E27</f>
        <v>0</v>
      </c>
      <c r="Q19" s="337">
        <f t="shared" si="0"/>
        <v>0</v>
      </c>
    </row>
    <row r="20" spans="2:25" x14ac:dyDescent="0.45">
      <c r="C20" s="321" t="s">
        <v>85</v>
      </c>
      <c r="I20" s="375"/>
      <c r="J20" s="375"/>
      <c r="K20" s="372"/>
      <c r="M20" s="297" t="str">
        <f>VLOOKUP(N20,Coeff_Descr!$A:$D,3,FALSE)</f>
        <v>ALL</v>
      </c>
      <c r="N20" s="297">
        <f>OtherTourDestination!B28</f>
        <v>18</v>
      </c>
      <c r="O20" s="297" t="str">
        <f>OtherTourDestination!C28</f>
        <v>Beta00018</v>
      </c>
      <c r="P20" s="299">
        <f>OtherTourDestination!E28</f>
        <v>0</v>
      </c>
      <c r="Q20" s="337">
        <f t="shared" si="0"/>
        <v>0</v>
      </c>
    </row>
    <row r="21" spans="2:25" ht="14.65" thickBot="1" x14ac:dyDescent="0.5">
      <c r="C21" s="322"/>
      <c r="I21" s="375"/>
      <c r="J21" s="375"/>
      <c r="K21" s="372"/>
      <c r="M21" s="297" t="str">
        <f>VLOOKUP(N21,Coeff_Descr!$A:$D,3,FALSE)</f>
        <v>ALL</v>
      </c>
      <c r="N21" s="297">
        <f>OtherTourDestination!B29</f>
        <v>19</v>
      </c>
      <c r="O21" s="297" t="str">
        <f>OtherTourDestination!C29</f>
        <v>Beta00019</v>
      </c>
      <c r="P21" s="299">
        <f>OtherTourDestination!E29</f>
        <v>0</v>
      </c>
      <c r="Q21" s="337">
        <f t="shared" si="0"/>
        <v>0</v>
      </c>
    </row>
    <row r="22" spans="2:25" x14ac:dyDescent="0.45">
      <c r="B22" s="348" t="s">
        <v>258</v>
      </c>
      <c r="C22" s="323" t="s">
        <v>91</v>
      </c>
      <c r="D22" s="324"/>
      <c r="M22" s="297" t="str">
        <f>VLOOKUP(N22,Coeff_Descr!$A:$D,3,FALSE)</f>
        <v>ESCORT</v>
      </c>
      <c r="N22" s="297">
        <f>OtherTourDestination!B30</f>
        <v>20</v>
      </c>
      <c r="O22" s="297" t="str">
        <f>OtherTourDestination!C30</f>
        <v>Beta00020</v>
      </c>
      <c r="P22" s="299">
        <f>OtherTourDestination!E30</f>
        <v>0.63771148688699997</v>
      </c>
      <c r="Q22" s="337">
        <f t="shared" si="0"/>
        <v>0.63771148688699997</v>
      </c>
    </row>
    <row r="23" spans="2:25" x14ac:dyDescent="0.45">
      <c r="B23" s="345">
        <v>50</v>
      </c>
      <c r="C23" s="303" t="s">
        <v>47</v>
      </c>
      <c r="D23" s="361">
        <f>VLOOKUP($B23,$N:$P,3,FALSE)</f>
        <v>-28.552058518999999</v>
      </c>
      <c r="I23" s="376"/>
      <c r="J23" s="376"/>
      <c r="K23" s="376"/>
      <c r="M23" s="297" t="str">
        <f>VLOOKUP(N23,Coeff_Descr!$A:$D,3,FALSE)</f>
        <v>ESCORT</v>
      </c>
      <c r="N23" s="297">
        <f>OtherTourDestination!B31</f>
        <v>21</v>
      </c>
      <c r="O23" s="297" t="str">
        <f>OtherTourDestination!C31</f>
        <v>Beta00021</v>
      </c>
      <c r="P23" s="299">
        <f>OtherTourDestination!E31</f>
        <v>-12.0946718381</v>
      </c>
      <c r="Q23" s="337">
        <f t="shared" si="0"/>
        <v>-12.0946718381</v>
      </c>
    </row>
    <row r="24" spans="2:25" x14ac:dyDescent="0.45">
      <c r="B24" s="345">
        <v>51</v>
      </c>
      <c r="C24" s="306" t="s">
        <v>50</v>
      </c>
      <c r="D24" s="361">
        <f t="shared" ref="D24:D26" si="5">VLOOKUP($B24,$N:$P,3,FALSE)</f>
        <v>-7.25833529236</v>
      </c>
      <c r="M24" s="297" t="str">
        <f>VLOOKUP(N24,Coeff_Descr!$A:$D,3,FALSE)</f>
        <v>ESCORT</v>
      </c>
      <c r="N24" s="297">
        <f>OtherTourDestination!B32</f>
        <v>22</v>
      </c>
      <c r="O24" s="297" t="str">
        <f>OtherTourDestination!C32</f>
        <v>Beta00022</v>
      </c>
      <c r="P24" s="299">
        <f>OtherTourDestination!E32</f>
        <v>-4.03623745316</v>
      </c>
      <c r="Q24" s="337">
        <f t="shared" si="0"/>
        <v>-4.03623745316</v>
      </c>
    </row>
    <row r="25" spans="2:25" x14ac:dyDescent="0.45">
      <c r="B25" s="345">
        <v>52</v>
      </c>
      <c r="C25" s="306" t="s">
        <v>53</v>
      </c>
      <c r="D25" s="361">
        <f t="shared" si="5"/>
        <v>-2.64524710889</v>
      </c>
      <c r="M25" s="297" t="str">
        <f>VLOOKUP(N25,Coeff_Descr!$A:$D,3,FALSE)</f>
        <v>ESCORT</v>
      </c>
      <c r="N25" s="297">
        <f>OtherTourDestination!B33</f>
        <v>23</v>
      </c>
      <c r="O25" s="297" t="str">
        <f>OtherTourDestination!C33</f>
        <v>Beta00023</v>
      </c>
      <c r="P25" s="299">
        <f>OtherTourDestination!E33</f>
        <v>-2.16371815818</v>
      </c>
      <c r="Q25" s="337">
        <f t="shared" si="0"/>
        <v>-2.16371815818</v>
      </c>
    </row>
    <row r="26" spans="2:25" ht="14.65" thickBot="1" x14ac:dyDescent="0.5">
      <c r="B26" s="347">
        <v>53</v>
      </c>
      <c r="C26" s="326" t="s">
        <v>56</v>
      </c>
      <c r="D26" s="362">
        <f t="shared" si="5"/>
        <v>-0.76461618005800003</v>
      </c>
      <c r="M26" s="297" t="str">
        <f>VLOOKUP(N26,Coeff_Descr!$A:$D,3,FALSE)</f>
        <v>ESCORT</v>
      </c>
      <c r="N26" s="297">
        <f>OtherTourDestination!B34</f>
        <v>24</v>
      </c>
      <c r="O26" s="297" t="str">
        <f>OtherTourDestination!C34</f>
        <v>Beta00024</v>
      </c>
      <c r="P26" s="299">
        <f>OtherTourDestination!E34</f>
        <v>0.10429329553199999</v>
      </c>
      <c r="Q26" s="337">
        <f t="shared" si="0"/>
        <v>0.10429329553199999</v>
      </c>
    </row>
    <row r="27" spans="2:25" x14ac:dyDescent="0.45">
      <c r="C27" s="322"/>
      <c r="D27" s="328"/>
      <c r="M27" s="297" t="str">
        <f>VLOOKUP(N27,Coeff_Descr!$A:$D,3,FALSE)</f>
        <v>ESCORT</v>
      </c>
      <c r="N27" s="297">
        <f>OtherTourDestination!B35</f>
        <v>25</v>
      </c>
      <c r="O27" s="297" t="str">
        <f>OtherTourDestination!C35</f>
        <v>Beta00025</v>
      </c>
      <c r="P27" s="299">
        <f>OtherTourDestination!E35</f>
        <v>0</v>
      </c>
      <c r="Q27" s="337">
        <f t="shared" si="0"/>
        <v>0</v>
      </c>
    </row>
    <row r="28" spans="2:25" x14ac:dyDescent="0.45">
      <c r="C28" s="322"/>
      <c r="D28" s="328"/>
      <c r="M28" s="297" t="str">
        <f>VLOOKUP(N28,Coeff_Descr!$A:$D,3,FALSE)</f>
        <v>PERSBUS/MED</v>
      </c>
      <c r="N28" s="297">
        <f>OtherTourDestination!B36</f>
        <v>26</v>
      </c>
      <c r="O28" s="297" t="str">
        <f>OtherTourDestination!C36</f>
        <v>Beta00026</v>
      </c>
      <c r="P28" s="299">
        <f>OtherTourDestination!E36</f>
        <v>0.417326479157</v>
      </c>
      <c r="Q28" s="337">
        <f t="shared" si="0"/>
        <v>0.417326479157</v>
      </c>
    </row>
    <row r="29" spans="2:25" x14ac:dyDescent="0.45">
      <c r="C29" s="321" t="s">
        <v>82</v>
      </c>
      <c r="D29" s="329"/>
      <c r="M29" s="297" t="str">
        <f>VLOOKUP(N29,Coeff_Descr!$A:$D,3,FALSE)</f>
        <v>PERSBUS/MED</v>
      </c>
      <c r="N29" s="297">
        <f>OtherTourDestination!B37</f>
        <v>27</v>
      </c>
      <c r="O29" s="297" t="str">
        <f>OtherTourDestination!C37</f>
        <v>Beta00027</v>
      </c>
      <c r="P29" s="299">
        <f>OtherTourDestination!E37</f>
        <v>-14.8384910501</v>
      </c>
      <c r="Q29" s="337">
        <f t="shared" si="0"/>
        <v>-14.8384910501</v>
      </c>
    </row>
    <row r="30" spans="2:25" x14ac:dyDescent="0.45">
      <c r="C30" s="321" t="s">
        <v>107</v>
      </c>
      <c r="D30" s="329"/>
      <c r="M30" s="297" t="str">
        <f>VLOOKUP(N30,Coeff_Descr!$A:$D,3,FALSE)</f>
        <v>PERSBUS/MED</v>
      </c>
      <c r="N30" s="297">
        <f>OtherTourDestination!B38</f>
        <v>28</v>
      </c>
      <c r="O30" s="297" t="str">
        <f>OtherTourDestination!C38</f>
        <v>Beta00028</v>
      </c>
      <c r="P30" s="299">
        <f>OtherTourDestination!E38</f>
        <v>-5.1880432348000003</v>
      </c>
      <c r="Q30" s="337">
        <f t="shared" si="0"/>
        <v>-5.1880432348000003</v>
      </c>
    </row>
    <row r="31" spans="2:25" ht="14.65" thickBot="1" x14ac:dyDescent="0.5">
      <c r="C31" s="322"/>
      <c r="D31" s="328"/>
      <c r="M31" s="297" t="str">
        <f>VLOOKUP(N31,Coeff_Descr!$A:$D,3,FALSE)</f>
        <v>PERSBUS/MED</v>
      </c>
      <c r="N31" s="297">
        <f>OtherTourDestination!B39</f>
        <v>29</v>
      </c>
      <c r="O31" s="297" t="str">
        <f>OtherTourDestination!C39</f>
        <v>Beta00029</v>
      </c>
      <c r="P31" s="299">
        <f>OtherTourDestination!E39</f>
        <v>-2.6156308707</v>
      </c>
      <c r="Q31" s="337">
        <f t="shared" si="0"/>
        <v>-2.6156308707</v>
      </c>
    </row>
    <row r="32" spans="2:25" x14ac:dyDescent="0.45">
      <c r="B32" s="348" t="s">
        <v>258</v>
      </c>
      <c r="C32" s="323" t="s">
        <v>91</v>
      </c>
      <c r="D32" s="324"/>
      <c r="M32" s="297" t="str">
        <f>VLOOKUP(N32,Coeff_Descr!$A:$D,3,FALSE)</f>
        <v>PERSBUS/MED</v>
      </c>
      <c r="N32" s="297">
        <f>OtherTourDestination!B40</f>
        <v>30</v>
      </c>
      <c r="O32" s="297" t="str">
        <f>OtherTourDestination!C40</f>
        <v>Beta00030</v>
      </c>
      <c r="P32" s="299">
        <f>OtherTourDestination!E40</f>
        <v>-0.91046169190000004</v>
      </c>
      <c r="Q32" s="337">
        <f t="shared" si="0"/>
        <v>-0.91046169190000004</v>
      </c>
    </row>
    <row r="33" spans="2:17" x14ac:dyDescent="0.45">
      <c r="B33" s="345">
        <f>B23</f>
        <v>50</v>
      </c>
      <c r="C33" s="303" t="s">
        <v>47</v>
      </c>
      <c r="D33" s="377">
        <f>K12</f>
        <v>0.85374253286004831</v>
      </c>
      <c r="M33" s="297" t="str">
        <f>VLOOKUP(N33,Coeff_Descr!$A:$D,3,FALSE)</f>
        <v>PERSBUS/MED</v>
      </c>
      <c r="N33" s="297">
        <f>OtherTourDestination!B41</f>
        <v>31</v>
      </c>
      <c r="O33" s="297" t="str">
        <f>OtherTourDestination!C41</f>
        <v>Beta00031</v>
      </c>
      <c r="P33" s="299">
        <f>OtherTourDestination!E41</f>
        <v>5.7553461640599997E-2</v>
      </c>
      <c r="Q33" s="337">
        <f t="shared" si="0"/>
        <v>5.7553461640599997E-2</v>
      </c>
    </row>
    <row r="34" spans="2:17" x14ac:dyDescent="0.45">
      <c r="B34" s="345">
        <f t="shared" ref="B34:B36" si="6">B24</f>
        <v>51</v>
      </c>
      <c r="C34" s="306" t="s">
        <v>50</v>
      </c>
      <c r="D34" s="378">
        <f t="shared" ref="D34:D36" si="7">K13</f>
        <v>-0.38841198701786128</v>
      </c>
      <c r="M34" s="297" t="str">
        <f>VLOOKUP(N34,Coeff_Descr!$A:$D,3,FALSE)</f>
        <v>PERSBUS/MED</v>
      </c>
      <c r="N34" s="297">
        <f>OtherTourDestination!B42</f>
        <v>32</v>
      </c>
      <c r="O34" s="297" t="str">
        <f>OtherTourDestination!C42</f>
        <v>Beta00032</v>
      </c>
      <c r="P34" s="299">
        <f>OtherTourDestination!E42</f>
        <v>0.237798002151</v>
      </c>
      <c r="Q34" s="337">
        <f t="shared" si="0"/>
        <v>0.237798002151</v>
      </c>
    </row>
    <row r="35" spans="2:17" x14ac:dyDescent="0.45">
      <c r="B35" s="345">
        <f t="shared" si="6"/>
        <v>52</v>
      </c>
      <c r="C35" s="306" t="s">
        <v>53</v>
      </c>
      <c r="D35" s="378">
        <f t="shared" si="7"/>
        <v>-2.0636945072927717</v>
      </c>
      <c r="G35" s="330"/>
      <c r="H35" s="330"/>
      <c r="I35" s="330"/>
      <c r="J35" s="330"/>
      <c r="K35" s="330"/>
      <c r="M35" s="297" t="str">
        <f>VLOOKUP(N35,Coeff_Descr!$A:$D,3,FALSE)</f>
        <v>PERSBUS/MED</v>
      </c>
      <c r="N35" s="297">
        <f>OtherTourDestination!B43</f>
        <v>33</v>
      </c>
      <c r="O35" s="297" t="str">
        <f>OtherTourDestination!C43</f>
        <v>Beta00033</v>
      </c>
      <c r="P35" s="299">
        <f>OtherTourDestination!E43</f>
        <v>0</v>
      </c>
      <c r="Q35" s="337">
        <f t="shared" si="0"/>
        <v>0</v>
      </c>
    </row>
    <row r="36" spans="2:17" ht="14.65" thickBot="1" x14ac:dyDescent="0.5">
      <c r="B36" s="365">
        <f t="shared" si="6"/>
        <v>53</v>
      </c>
      <c r="C36" s="326" t="s">
        <v>56</v>
      </c>
      <c r="D36" s="327">
        <f t="shared" si="7"/>
        <v>-0.98432153340337192</v>
      </c>
      <c r="G36" s="331"/>
      <c r="H36" s="331"/>
      <c r="I36" s="331"/>
      <c r="J36" s="331"/>
      <c r="K36" s="331"/>
      <c r="M36" s="297" t="str">
        <f>VLOOKUP(N36,Coeff_Descr!$A:$D,3,FALSE)</f>
        <v>PERSBUS/MED</v>
      </c>
      <c r="N36" s="297">
        <f>OtherTourDestination!B44</f>
        <v>34</v>
      </c>
      <c r="O36" s="297" t="str">
        <f>OtherTourDestination!C44</f>
        <v>Beta00034</v>
      </c>
      <c r="P36" s="299">
        <f>OtherTourDestination!E44</f>
        <v>0</v>
      </c>
      <c r="Q36" s="337">
        <f t="shared" si="0"/>
        <v>0</v>
      </c>
    </row>
    <row r="37" spans="2:17" ht="14.65" thickTop="1" x14ac:dyDescent="0.45">
      <c r="C37" s="322"/>
      <c r="D37" s="325"/>
      <c r="M37" s="297" t="str">
        <f>VLOOKUP(N37,Coeff_Descr!$A:$D,3,FALSE)</f>
        <v>PERSBUS/MED</v>
      </c>
      <c r="N37" s="297">
        <f>OtherTourDestination!B45</f>
        <v>35</v>
      </c>
      <c r="O37" s="297" t="str">
        <f>OtherTourDestination!C45</f>
        <v>Beta00035</v>
      </c>
      <c r="P37" s="299">
        <f>OtherTourDestination!E45</f>
        <v>0</v>
      </c>
      <c r="Q37" s="337">
        <f t="shared" si="0"/>
        <v>0</v>
      </c>
    </row>
    <row r="38" spans="2:17" x14ac:dyDescent="0.45">
      <c r="C38" s="322"/>
      <c r="D38" s="325"/>
      <c r="M38" s="297" t="str">
        <f>VLOOKUP(N38,Coeff_Descr!$A:$D,3,FALSE)</f>
        <v>SHOP</v>
      </c>
      <c r="N38" s="297">
        <f>OtherTourDestination!B46</f>
        <v>36</v>
      </c>
      <c r="O38" s="297" t="str">
        <f>OtherTourDestination!C46</f>
        <v>Beta00036</v>
      </c>
      <c r="P38" s="299">
        <f>OtherTourDestination!E46</f>
        <v>0.61259135262599995</v>
      </c>
      <c r="Q38" s="337">
        <f t="shared" si="0"/>
        <v>0.61259135262599995</v>
      </c>
    </row>
    <row r="39" spans="2:17" x14ac:dyDescent="0.45">
      <c r="C39" s="321" t="s">
        <v>82</v>
      </c>
      <c r="D39" s="332"/>
      <c r="M39" s="297" t="str">
        <f>VLOOKUP(N39,Coeff_Descr!$A:$D,3,FALSE)</f>
        <v>SHOP</v>
      </c>
      <c r="N39" s="297">
        <f>OtherTourDestination!B47</f>
        <v>37</v>
      </c>
      <c r="O39" s="297" t="str">
        <f>OtherTourDestination!C47</f>
        <v>Beta00037</v>
      </c>
      <c r="P39" s="299">
        <f>OtherTourDestination!E47</f>
        <v>-20.810228388700001</v>
      </c>
      <c r="Q39" s="337">
        <f t="shared" si="0"/>
        <v>-20.810228388700001</v>
      </c>
    </row>
    <row r="40" spans="2:17" x14ac:dyDescent="0.45">
      <c r="C40" s="321" t="s">
        <v>125</v>
      </c>
      <c r="D40" s="332"/>
      <c r="M40" s="297" t="str">
        <f>VLOOKUP(N40,Coeff_Descr!$A:$D,3,FALSE)</f>
        <v>SHOP</v>
      </c>
      <c r="N40" s="297">
        <f>OtherTourDestination!B48</f>
        <v>38</v>
      </c>
      <c r="O40" s="297" t="str">
        <f>OtherTourDestination!C48</f>
        <v>Beta00038</v>
      </c>
      <c r="P40" s="299">
        <f>OtherTourDestination!E48</f>
        <v>-7.1836373472300004</v>
      </c>
      <c r="Q40" s="337">
        <f t="shared" si="0"/>
        <v>-7.1836373472300004</v>
      </c>
    </row>
    <row r="41" spans="2:17" ht="14.65" thickBot="1" x14ac:dyDescent="0.5">
      <c r="B41" s="346"/>
      <c r="C41" s="322"/>
      <c r="D41" s="325"/>
      <c r="M41" s="297" t="str">
        <f>VLOOKUP(N41,Coeff_Descr!$A:$D,3,FALSE)</f>
        <v>SHOP</v>
      </c>
      <c r="N41" s="297">
        <f>OtherTourDestination!B49</f>
        <v>39</v>
      </c>
      <c r="O41" s="297" t="str">
        <f>OtherTourDestination!C49</f>
        <v>Beta00039</v>
      </c>
      <c r="P41" s="299">
        <f>OtherTourDestination!E49</f>
        <v>-3.6600975390500001</v>
      </c>
      <c r="Q41" s="337">
        <f t="shared" si="0"/>
        <v>-3.6600975390500001</v>
      </c>
    </row>
    <row r="42" spans="2:17" x14ac:dyDescent="0.45">
      <c r="B42" s="348" t="s">
        <v>258</v>
      </c>
      <c r="C42" s="323" t="s">
        <v>91</v>
      </c>
      <c r="D42" s="333"/>
      <c r="M42" s="297" t="str">
        <f>VLOOKUP(N42,Coeff_Descr!$A:$D,3,FALSE)</f>
        <v>SHOP</v>
      </c>
      <c r="N42" s="297">
        <f>OtherTourDestination!B50</f>
        <v>40</v>
      </c>
      <c r="O42" s="297" t="str">
        <f>OtherTourDestination!C50</f>
        <v>Beta00040</v>
      </c>
      <c r="P42" s="299">
        <f>OtherTourDestination!E50</f>
        <v>-1.3605457273599999</v>
      </c>
      <c r="Q42" s="337">
        <f t="shared" si="0"/>
        <v>-1.3605457273599999</v>
      </c>
    </row>
    <row r="43" spans="2:17" x14ac:dyDescent="0.45">
      <c r="B43" s="345">
        <f>B33</f>
        <v>50</v>
      </c>
      <c r="C43" s="303" t="s">
        <v>47</v>
      </c>
      <c r="D43" s="363">
        <f>D23+D33</f>
        <v>-27.698315986139949</v>
      </c>
      <c r="M43" s="297" t="str">
        <f>VLOOKUP(N43,Coeff_Descr!$A:$D,3,FALSE)</f>
        <v>SHOP</v>
      </c>
      <c r="N43" s="297">
        <f>OtherTourDestination!B51</f>
        <v>41</v>
      </c>
      <c r="O43" s="297" t="str">
        <f>OtherTourDestination!C51</f>
        <v>Beta00041</v>
      </c>
      <c r="P43" s="299">
        <f>OtherTourDestination!E51</f>
        <v>-0.22141031751900001</v>
      </c>
      <c r="Q43" s="337">
        <f t="shared" si="0"/>
        <v>-0.22141031751900001</v>
      </c>
    </row>
    <row r="44" spans="2:17" x14ac:dyDescent="0.45">
      <c r="B44" s="345">
        <f t="shared" ref="B44:B46" si="8">B34</f>
        <v>51</v>
      </c>
      <c r="C44" s="306" t="s">
        <v>50</v>
      </c>
      <c r="D44" s="363">
        <f t="shared" ref="D44:D46" si="9">D24+D34</f>
        <v>-7.6467472793778608</v>
      </c>
      <c r="M44" s="297" t="str">
        <f>VLOOKUP(N44,Coeff_Descr!$A:$D,3,FALSE)</f>
        <v>SHOP</v>
      </c>
      <c r="N44" s="297">
        <f>OtherTourDestination!B52</f>
        <v>42</v>
      </c>
      <c r="O44" s="297" t="str">
        <f>OtherTourDestination!C52</f>
        <v>Beta00042</v>
      </c>
      <c r="P44" s="299">
        <f>OtherTourDestination!E52</f>
        <v>0.64228876129599999</v>
      </c>
      <c r="Q44" s="337">
        <f t="shared" si="0"/>
        <v>0.64228876129599999</v>
      </c>
    </row>
    <row r="45" spans="2:17" x14ac:dyDescent="0.45">
      <c r="B45" s="345">
        <f t="shared" si="8"/>
        <v>52</v>
      </c>
      <c r="C45" s="306" t="s">
        <v>53</v>
      </c>
      <c r="D45" s="363">
        <f t="shared" si="9"/>
        <v>-4.7089416161827717</v>
      </c>
      <c r="M45" s="297" t="str">
        <f>VLOOKUP(N45,Coeff_Descr!$A:$D,3,FALSE)</f>
        <v>MEAL</v>
      </c>
      <c r="N45" s="297">
        <f>OtherTourDestination!B53</f>
        <v>43</v>
      </c>
      <c r="O45" s="297" t="str">
        <f>OtherTourDestination!C53</f>
        <v>Beta00043</v>
      </c>
      <c r="P45" s="299">
        <f>OtherTourDestination!E53</f>
        <v>0.74588429254199995</v>
      </c>
      <c r="Q45" s="337">
        <f t="shared" si="0"/>
        <v>0.74588429254199995</v>
      </c>
    </row>
    <row r="46" spans="2:17" ht="14.65" thickBot="1" x14ac:dyDescent="0.5">
      <c r="B46" s="365">
        <f t="shared" si="8"/>
        <v>53</v>
      </c>
      <c r="C46" s="326" t="s">
        <v>56</v>
      </c>
      <c r="D46" s="364">
        <f t="shared" si="9"/>
        <v>-1.7489377134613719</v>
      </c>
      <c r="M46" s="297" t="str">
        <f>VLOOKUP(N46,Coeff_Descr!$A:$D,3,FALSE)</f>
        <v>MEAL</v>
      </c>
      <c r="N46" s="297">
        <f>OtherTourDestination!B54</f>
        <v>44</v>
      </c>
      <c r="O46" s="297" t="str">
        <f>OtherTourDestination!C54</f>
        <v>Beta00044</v>
      </c>
      <c r="P46" s="299">
        <f>OtherTourDestination!E54</f>
        <v>-32.156094092099998</v>
      </c>
      <c r="Q46" s="337">
        <f t="shared" si="0"/>
        <v>-32.156094092099998</v>
      </c>
    </row>
    <row r="47" spans="2:17" ht="14.65" thickTop="1" x14ac:dyDescent="0.45">
      <c r="M47" s="297" t="str">
        <f>VLOOKUP(N47,Coeff_Descr!$A:$D,3,FALSE)</f>
        <v>MEAL</v>
      </c>
      <c r="N47" s="297">
        <f>OtherTourDestination!B55</f>
        <v>45</v>
      </c>
      <c r="O47" s="297" t="str">
        <f>OtherTourDestination!C55</f>
        <v>Beta00045</v>
      </c>
      <c r="P47" s="299">
        <f>OtherTourDestination!E55</f>
        <v>-7.5551873767200002</v>
      </c>
      <c r="Q47" s="337">
        <f t="shared" si="0"/>
        <v>-7.5551873767200002</v>
      </c>
    </row>
    <row r="48" spans="2:17" x14ac:dyDescent="0.45">
      <c r="M48" s="297" t="str">
        <f>VLOOKUP(N48,Coeff_Descr!$A:$D,3,FALSE)</f>
        <v>MEAL</v>
      </c>
      <c r="N48" s="297">
        <f>OtherTourDestination!B56</f>
        <v>46</v>
      </c>
      <c r="O48" s="297" t="str">
        <f>OtherTourDestination!C56</f>
        <v>Beta00046</v>
      </c>
      <c r="P48" s="299">
        <f>OtherTourDestination!E56</f>
        <v>-3.4784098231399998</v>
      </c>
      <c r="Q48" s="337">
        <f t="shared" si="0"/>
        <v>-3.4784098231399998</v>
      </c>
    </row>
    <row r="49" spans="13:18" x14ac:dyDescent="0.45">
      <c r="M49" s="297" t="str">
        <f>VLOOKUP(N49,Coeff_Descr!$A:$D,3,FALSE)</f>
        <v>MEAL</v>
      </c>
      <c r="N49" s="297">
        <f>OtherTourDestination!B57</f>
        <v>47</v>
      </c>
      <c r="O49" s="297" t="str">
        <f>OtherTourDestination!C57</f>
        <v>Beta00047</v>
      </c>
      <c r="P49" s="299">
        <f>OtherTourDestination!E57</f>
        <v>-0.79171784712299997</v>
      </c>
      <c r="Q49" s="337">
        <f t="shared" si="0"/>
        <v>-0.79171784712299997</v>
      </c>
    </row>
    <row r="50" spans="13:18" x14ac:dyDescent="0.45">
      <c r="M50" s="297" t="str">
        <f>VLOOKUP(N50,Coeff_Descr!$A:$D,3,FALSE)</f>
        <v>MEAL</v>
      </c>
      <c r="N50" s="297">
        <f>OtherTourDestination!B58</f>
        <v>48</v>
      </c>
      <c r="O50" s="297" t="str">
        <f>OtherTourDestination!C58</f>
        <v>Beta00048</v>
      </c>
      <c r="P50" s="299">
        <f>OtherTourDestination!E58</f>
        <v>0.65760260093900003</v>
      </c>
      <c r="Q50" s="337">
        <f t="shared" si="0"/>
        <v>0.65760260093900003</v>
      </c>
    </row>
    <row r="51" spans="13:18" x14ac:dyDescent="0.45">
      <c r="M51" s="297" t="str">
        <f>VLOOKUP(N51,Coeff_Descr!$A:$D,3,FALSE)</f>
        <v>SOCREC</v>
      </c>
      <c r="N51" s="297">
        <f>OtherTourDestination!B59</f>
        <v>49</v>
      </c>
      <c r="O51" s="297" t="str">
        <f>OtherTourDestination!C59</f>
        <v>Beta00049</v>
      </c>
      <c r="P51" s="299">
        <f>OtherTourDestination!E59</f>
        <v>0.201576719663</v>
      </c>
      <c r="Q51" s="337">
        <f t="shared" si="0"/>
        <v>0.201576719663</v>
      </c>
    </row>
    <row r="52" spans="13:18" x14ac:dyDescent="0.45">
      <c r="M52" s="297" t="str">
        <f>VLOOKUP(N52,Coeff_Descr!$A:$D,3,FALSE)</f>
        <v>SOCREC</v>
      </c>
      <c r="N52" s="338">
        <f>OtherTourDestination!B60</f>
        <v>50</v>
      </c>
      <c r="O52" s="338" t="str">
        <f>OtherTourDestination!C60</f>
        <v>Beta00050</v>
      </c>
      <c r="P52" s="339">
        <f>OtherTourDestination!E60</f>
        <v>-28.552058518999999</v>
      </c>
      <c r="Q52" s="340">
        <f t="shared" si="0"/>
        <v>-27.698315986139949</v>
      </c>
      <c r="R52" s="297" t="str">
        <f>VLOOKUP(N52,Coeff_Descr!$A$2:$E$104,4,FALSE)</f>
        <v>distanceFromOrigin4</v>
      </c>
    </row>
    <row r="53" spans="13:18" x14ac:dyDescent="0.45">
      <c r="M53" s="297" t="str">
        <f>VLOOKUP(N53,Coeff_Descr!$A:$D,3,FALSE)</f>
        <v>SOCREC</v>
      </c>
      <c r="N53" s="338">
        <f>OtherTourDestination!B61</f>
        <v>51</v>
      </c>
      <c r="O53" s="338" t="str">
        <f>OtherTourDestination!C61</f>
        <v>Beta00051</v>
      </c>
      <c r="P53" s="339">
        <f>OtherTourDestination!E61</f>
        <v>-7.25833529236</v>
      </c>
      <c r="Q53" s="340">
        <f t="shared" si="0"/>
        <v>-7.6467472793778608</v>
      </c>
      <c r="R53" s="297" t="str">
        <f>VLOOKUP(N53,Coeff_Descr!$A$2:$E$104,4,FALSE)</f>
        <v>distanceFromOrigin8</v>
      </c>
    </row>
    <row r="54" spans="13:18" x14ac:dyDescent="0.45">
      <c r="M54" s="297" t="str">
        <f>VLOOKUP(N54,Coeff_Descr!$A:$D,3,FALSE)</f>
        <v>SOCREC</v>
      </c>
      <c r="N54" s="338">
        <f>OtherTourDestination!B62</f>
        <v>52</v>
      </c>
      <c r="O54" s="338" t="str">
        <f>OtherTourDestination!C62</f>
        <v>Beta00052</v>
      </c>
      <c r="P54" s="339">
        <f>OtherTourDestination!E62</f>
        <v>-2.64524710889</v>
      </c>
      <c r="Q54" s="340">
        <f t="shared" si="0"/>
        <v>-4.7089416161827717</v>
      </c>
      <c r="R54" s="297" t="str">
        <f>VLOOKUP(N54,Coeff_Descr!$A$2:$E$104,4,FALSE)</f>
        <v>distanceFromOrigin9</v>
      </c>
    </row>
    <row r="55" spans="13:18" x14ac:dyDescent="0.45">
      <c r="M55" s="297" t="str">
        <f>VLOOKUP(N55,Coeff_Descr!$A:$D,3,FALSE)</f>
        <v>SOCREC</v>
      </c>
      <c r="N55" s="338">
        <f>OtherTourDestination!B63</f>
        <v>53</v>
      </c>
      <c r="O55" s="338" t="str">
        <f>OtherTourDestination!C63</f>
        <v>Beta00053</v>
      </c>
      <c r="P55" s="339">
        <f>OtherTourDestination!E63</f>
        <v>-0.76461618005800003</v>
      </c>
      <c r="Q55" s="340">
        <f t="shared" si="0"/>
        <v>-1.7489377134613719</v>
      </c>
      <c r="R55" s="297" t="str">
        <f>VLOOKUP(N55,Coeff_Descr!$A$2:$E$104,4,FALSE)</f>
        <v>distanceFromOrigin3</v>
      </c>
    </row>
    <row r="56" spans="13:18" x14ac:dyDescent="0.45">
      <c r="M56" s="297" t="str">
        <f>VLOOKUP(N56,Coeff_Descr!$A:$D,3,FALSE)</f>
        <v>SOCREC</v>
      </c>
      <c r="N56" s="297">
        <f>OtherTourDestination!B64</f>
        <v>54</v>
      </c>
      <c r="O56" s="297" t="str">
        <f>OtherTourDestination!C64</f>
        <v>Beta00054</v>
      </c>
      <c r="P56" s="299">
        <f>OtherTourDestination!E64</f>
        <v>0.20818008309700001</v>
      </c>
      <c r="Q56" s="337">
        <f t="shared" si="0"/>
        <v>0.20818008309700001</v>
      </c>
    </row>
    <row r="57" spans="13:18" x14ac:dyDescent="0.45">
      <c r="M57" s="297" t="str">
        <f>VLOOKUP(N57,Coeff_Descr!$A:$D,3,FALSE)</f>
        <v>SOCREC</v>
      </c>
      <c r="N57" s="297">
        <f>OtherTourDestination!B65</f>
        <v>55</v>
      </c>
      <c r="O57" s="297" t="str">
        <f>OtherTourDestination!C65</f>
        <v>Beta00055</v>
      </c>
      <c r="P57" s="299">
        <f>OtherTourDestination!E65</f>
        <v>0.42522231451499998</v>
      </c>
      <c r="Q57" s="337">
        <f t="shared" si="0"/>
        <v>0.42522231451499998</v>
      </c>
    </row>
    <row r="58" spans="13:18" x14ac:dyDescent="0.45">
      <c r="M58" s="297" t="str">
        <f>VLOOKUP(N58,Coeff_Descr!$A:$D,3,FALSE)</f>
        <v>SOCREC</v>
      </c>
      <c r="N58" s="297">
        <f>OtherTourDestination!B66</f>
        <v>56</v>
      </c>
      <c r="O58" s="297" t="str">
        <f>OtherTourDestination!C66</f>
        <v>Beta00056</v>
      </c>
      <c r="P58" s="299">
        <f>OtherTourDestination!E66</f>
        <v>-0.743588483327</v>
      </c>
      <c r="Q58" s="337">
        <f t="shared" si="0"/>
        <v>-0.743588483327</v>
      </c>
    </row>
    <row r="59" spans="13:18" x14ac:dyDescent="0.45">
      <c r="M59" s="297" t="str">
        <f>VLOOKUP(N59,Coeff_Descr!$A:$D,3,FALSE)</f>
        <v>SOCREC</v>
      </c>
      <c r="N59" s="297">
        <f>OtherTourDestination!B67</f>
        <v>57</v>
      </c>
      <c r="O59" s="297" t="str">
        <f>OtherTourDestination!C67</f>
        <v>Beta00057</v>
      </c>
      <c r="P59" s="299">
        <f>OtherTourDestination!E67</f>
        <v>6.2100000000000002E-2</v>
      </c>
      <c r="Q59" s="337">
        <f t="shared" si="0"/>
        <v>6.2100000000000002E-2</v>
      </c>
    </row>
    <row r="60" spans="13:18" x14ac:dyDescent="0.45">
      <c r="M60" s="297">
        <f>VLOOKUP(N60,Coeff_Descr!$A:$D,3,FALSE)</f>
        <v>0</v>
      </c>
      <c r="N60" s="297">
        <f>OtherTourDestination!B68</f>
        <v>118</v>
      </c>
      <c r="O60" s="297" t="str">
        <f>OtherTourDestination!C68</f>
        <v>Beta00118</v>
      </c>
      <c r="P60" s="299">
        <f>OtherTourDestination!E68</f>
        <v>-3</v>
      </c>
      <c r="Q60" s="337">
        <f t="shared" si="0"/>
        <v>-3</v>
      </c>
    </row>
    <row r="61" spans="13:18" x14ac:dyDescent="0.45">
      <c r="M61" s="297" t="str">
        <f>VLOOKUP(N61,Coeff_Descr!$A:$D,3,FALSE)</f>
        <v>ESCORT</v>
      </c>
      <c r="N61" s="297">
        <f>OtherTourDestination!B69</f>
        <v>70</v>
      </c>
      <c r="O61" s="297" t="str">
        <f>OtherTourDestination!C69</f>
        <v>LSM_0070</v>
      </c>
      <c r="P61" s="299">
        <f>OtherTourDestination!E69</f>
        <v>0.29394695214400002</v>
      </c>
      <c r="Q61" s="337">
        <f t="shared" si="0"/>
        <v>0.29394695214400002</v>
      </c>
    </row>
    <row r="62" spans="13:18" x14ac:dyDescent="0.45">
      <c r="M62" s="297" t="str">
        <f>VLOOKUP(N62,Coeff_Descr!$A:$D,3,FALSE)</f>
        <v>ESCORT</v>
      </c>
      <c r="N62" s="297">
        <f>OtherTourDestination!B70</f>
        <v>71</v>
      </c>
      <c r="O62" s="297" t="str">
        <f>OtherTourDestination!C70</f>
        <v>Gamma071</v>
      </c>
      <c r="P62" s="299">
        <f>OtherTourDestination!E70</f>
        <v>0</v>
      </c>
      <c r="Q62" s="337">
        <f t="shared" si="0"/>
        <v>0</v>
      </c>
    </row>
    <row r="63" spans="13:18" x14ac:dyDescent="0.45">
      <c r="M63" s="297" t="str">
        <f>VLOOKUP(N63,Coeff_Descr!$A:$D,3,FALSE)</f>
        <v>ESCORT</v>
      </c>
      <c r="N63" s="297">
        <f>OtherTourDestination!B71</f>
        <v>72</v>
      </c>
      <c r="O63" s="297" t="str">
        <f>OtherTourDestination!C71</f>
        <v>Gamma072</v>
      </c>
      <c r="P63" s="299">
        <f>OtherTourDestination!E71</f>
        <v>-6.2798471793299999</v>
      </c>
      <c r="Q63" s="337">
        <f t="shared" si="0"/>
        <v>-6.2798471793299999</v>
      </c>
    </row>
    <row r="64" spans="13:18" x14ac:dyDescent="0.45">
      <c r="M64" s="297" t="str">
        <f>VLOOKUP(N64,Coeff_Descr!$A:$D,3,FALSE)</f>
        <v>ESCORT</v>
      </c>
      <c r="N64" s="297">
        <f>OtherTourDestination!B72</f>
        <v>73</v>
      </c>
      <c r="O64" s="297" t="str">
        <f>OtherTourDestination!C72</f>
        <v>Gamma073</v>
      </c>
      <c r="P64" s="299">
        <f>OtherTourDestination!E72</f>
        <v>3.2962256518299999</v>
      </c>
      <c r="Q64" s="337">
        <f t="shared" si="0"/>
        <v>3.2962256518299999</v>
      </c>
    </row>
    <row r="65" spans="13:17" x14ac:dyDescent="0.45">
      <c r="M65" s="297" t="str">
        <f>VLOOKUP(N65,Coeff_Descr!$A:$D,3,FALSE)</f>
        <v>ESCORT</v>
      </c>
      <c r="N65" s="297">
        <f>OtherTourDestination!B73</f>
        <v>74</v>
      </c>
      <c r="O65" s="297" t="str">
        <f>OtherTourDestination!C73</f>
        <v>Gamma074</v>
      </c>
      <c r="P65" s="299">
        <f>OtherTourDestination!E73</f>
        <v>-5.4150639062700003</v>
      </c>
      <c r="Q65" s="337">
        <f t="shared" si="0"/>
        <v>-5.4150639062700003</v>
      </c>
    </row>
    <row r="66" spans="13:17" x14ac:dyDescent="0.45">
      <c r="M66" s="297" t="str">
        <f>VLOOKUP(N66,Coeff_Descr!$A:$D,3,FALSE)</f>
        <v>ESCORT</v>
      </c>
      <c r="N66" s="297">
        <f>OtherTourDestination!B74</f>
        <v>75</v>
      </c>
      <c r="O66" s="297" t="str">
        <f>OtherTourDestination!C74</f>
        <v>Gamma075</v>
      </c>
      <c r="P66" s="299">
        <f>OtherTourDestination!E74</f>
        <v>-5.94820877094</v>
      </c>
      <c r="Q66" s="337">
        <f t="shared" si="0"/>
        <v>-5.94820877094</v>
      </c>
    </row>
    <row r="67" spans="13:17" x14ac:dyDescent="0.45">
      <c r="M67" s="297" t="str">
        <f>VLOOKUP(N67,Coeff_Descr!$A:$D,3,FALSE)</f>
        <v>ESCORT</v>
      </c>
      <c r="N67" s="297">
        <f>OtherTourDestination!B75</f>
        <v>76</v>
      </c>
      <c r="O67" s="297" t="str">
        <f>OtherTourDestination!C75</f>
        <v>Gamma076</v>
      </c>
      <c r="P67" s="299">
        <f>OtherTourDestination!E75</f>
        <v>-4.8479831726300002</v>
      </c>
      <c r="Q67" s="337">
        <f t="shared" si="0"/>
        <v>-4.8479831726300002</v>
      </c>
    </row>
    <row r="68" spans="13:17" x14ac:dyDescent="0.45">
      <c r="M68" s="297" t="str">
        <f>VLOOKUP(N68,Coeff_Descr!$A:$D,3,FALSE)</f>
        <v>ESCORT</v>
      </c>
      <c r="N68" s="297">
        <f>OtherTourDestination!B76</f>
        <v>77</v>
      </c>
      <c r="O68" s="297" t="str">
        <f>OtherTourDestination!C76</f>
        <v>Gamma077</v>
      </c>
      <c r="P68" s="299">
        <f>OtherTourDestination!E76</f>
        <v>-5.4883496585599998</v>
      </c>
      <c r="Q68" s="337">
        <f t="shared" si="0"/>
        <v>-5.4883496585599998</v>
      </c>
    </row>
    <row r="69" spans="13:17" x14ac:dyDescent="0.45">
      <c r="M69" s="297" t="str">
        <f>VLOOKUP(N69,Coeff_Descr!$A:$D,3,FALSE)</f>
        <v>ESCORT</v>
      </c>
      <c r="N69" s="297">
        <f>OtherTourDestination!B77</f>
        <v>78</v>
      </c>
      <c r="O69" s="297" t="str">
        <f>OtherTourDestination!C77</f>
        <v>Gamma078</v>
      </c>
      <c r="P69" s="299">
        <f>OtherTourDestination!E77</f>
        <v>-6.9308352438999998</v>
      </c>
      <c r="Q69" s="337">
        <f t="shared" ref="Q69:Q103" si="10">_xlfn.IFNA(VLOOKUP(N69,$B$43:$D$46,3,FALSE),P69)</f>
        <v>-6.9308352438999998</v>
      </c>
    </row>
    <row r="70" spans="13:17" x14ac:dyDescent="0.45">
      <c r="M70" s="297" t="str">
        <f>VLOOKUP(N70,Coeff_Descr!$A:$D,3,FALSE)</f>
        <v>ESCORT</v>
      </c>
      <c r="N70" s="297">
        <f>OtherTourDestination!B78</f>
        <v>79</v>
      </c>
      <c r="O70" s="297" t="str">
        <f>OtherTourDestination!C78</f>
        <v>Gamma079</v>
      </c>
      <c r="P70" s="299">
        <f>OtherTourDestination!E78</f>
        <v>-22.404820174200001</v>
      </c>
      <c r="Q70" s="337">
        <f t="shared" si="10"/>
        <v>-22.404820174200001</v>
      </c>
    </row>
    <row r="71" spans="13:17" x14ac:dyDescent="0.45">
      <c r="M71" s="297" t="str">
        <f>VLOOKUP(N71,Coeff_Descr!$A:$D,3,FALSE)</f>
        <v>ESCORT</v>
      </c>
      <c r="N71" s="297">
        <f>OtherTourDestination!B79</f>
        <v>80</v>
      </c>
      <c r="O71" s="297" t="str">
        <f>OtherTourDestination!C79</f>
        <v>Gamma080</v>
      </c>
      <c r="P71" s="299">
        <f>OtherTourDestination!E79</f>
        <v>-2.8929233973800002</v>
      </c>
      <c r="Q71" s="337">
        <f t="shared" si="10"/>
        <v>-2.8929233973800002</v>
      </c>
    </row>
    <row r="72" spans="13:17" x14ac:dyDescent="0.45">
      <c r="M72" s="297" t="str">
        <f>VLOOKUP(N72,Coeff_Descr!$A:$D,3,FALSE)</f>
        <v>ESCORT</v>
      </c>
      <c r="N72" s="297">
        <f>OtherTourDestination!B80</f>
        <v>81</v>
      </c>
      <c r="O72" s="297" t="str">
        <f>OtherTourDestination!C80</f>
        <v>Gamma081</v>
      </c>
      <c r="P72" s="299">
        <f>OtherTourDestination!E80</f>
        <v>-2.5610724948299999</v>
      </c>
      <c r="Q72" s="337">
        <f t="shared" si="10"/>
        <v>-2.5610724948299999</v>
      </c>
    </row>
    <row r="73" spans="13:17" x14ac:dyDescent="0.45">
      <c r="M73" s="297" t="str">
        <f>VLOOKUP(N73,Coeff_Descr!$A:$D,3,FALSE)</f>
        <v>ESCORT</v>
      </c>
      <c r="N73" s="297">
        <f>OtherTourDestination!B81</f>
        <v>82</v>
      </c>
      <c r="O73" s="297" t="str">
        <f>OtherTourDestination!C81</f>
        <v>Gamma082</v>
      </c>
      <c r="P73" s="299">
        <f>OtherTourDestination!E81</f>
        <v>-6.7871010869299999</v>
      </c>
      <c r="Q73" s="337">
        <f t="shared" si="10"/>
        <v>-6.7871010869299999</v>
      </c>
    </row>
    <row r="74" spans="13:17" x14ac:dyDescent="0.45">
      <c r="M74" s="297" t="str">
        <f>VLOOKUP(N74,Coeff_Descr!$A:$D,3,FALSE)</f>
        <v>ESCORT</v>
      </c>
      <c r="N74" s="297">
        <f>OtherTourDestination!B82</f>
        <v>83</v>
      </c>
      <c r="O74" s="297" t="str">
        <f>OtherTourDestination!C82</f>
        <v>Gamma083</v>
      </c>
      <c r="P74" s="299">
        <f>OtherTourDestination!E82</f>
        <v>-7.1983706387300002</v>
      </c>
      <c r="Q74" s="337">
        <f t="shared" si="10"/>
        <v>-7.1983706387300002</v>
      </c>
    </row>
    <row r="75" spans="13:17" x14ac:dyDescent="0.45">
      <c r="M75" s="297" t="str">
        <f>VLOOKUP(N75,Coeff_Descr!$A:$D,3,FALSE)</f>
        <v>ESCORT</v>
      </c>
      <c r="N75" s="297">
        <f>OtherTourDestination!B83</f>
        <v>84</v>
      </c>
      <c r="O75" s="297" t="str">
        <f>OtherTourDestination!C83</f>
        <v>Gamma084</v>
      </c>
      <c r="P75" s="299">
        <f>OtherTourDestination!E83</f>
        <v>-6.5584328775399996</v>
      </c>
      <c r="Q75" s="337">
        <f t="shared" si="10"/>
        <v>-6.5584328775399996</v>
      </c>
    </row>
    <row r="76" spans="13:17" x14ac:dyDescent="0.45">
      <c r="M76" s="297" t="str">
        <f>VLOOKUP(N76,Coeff_Descr!$A:$D,3,FALSE)</f>
        <v>ESCORT</v>
      </c>
      <c r="N76" s="297">
        <f>OtherTourDestination!B84</f>
        <v>85</v>
      </c>
      <c r="O76" s="297" t="str">
        <f>OtherTourDestination!C84</f>
        <v>Gamma085</v>
      </c>
      <c r="P76" s="299">
        <f>OtherTourDestination!E84</f>
        <v>-7.3832576457999997</v>
      </c>
      <c r="Q76" s="337">
        <f t="shared" si="10"/>
        <v>-7.3832576457999997</v>
      </c>
    </row>
    <row r="77" spans="13:17" x14ac:dyDescent="0.45">
      <c r="M77" s="297" t="str">
        <f>VLOOKUP(N77,Coeff_Descr!$A:$D,3,FALSE)</f>
        <v>ESCORT</v>
      </c>
      <c r="N77" s="297">
        <f>OtherTourDestination!B85</f>
        <v>86</v>
      </c>
      <c r="O77" s="297" t="str">
        <f>OtherTourDestination!C85</f>
        <v>Gamma086</v>
      </c>
      <c r="P77" s="299">
        <f>OtherTourDestination!E85</f>
        <v>-8.5452246906399996</v>
      </c>
      <c r="Q77" s="337">
        <f t="shared" si="10"/>
        <v>-8.5452246906399996</v>
      </c>
    </row>
    <row r="78" spans="13:17" x14ac:dyDescent="0.45">
      <c r="M78" s="297" t="str">
        <f>VLOOKUP(N78,Coeff_Descr!$A:$D,3,FALSE)</f>
        <v>ESCORT</v>
      </c>
      <c r="N78" s="297">
        <f>OtherTourDestination!B86</f>
        <v>87</v>
      </c>
      <c r="O78" s="297" t="str">
        <f>OtherTourDestination!C86</f>
        <v>Gamma087</v>
      </c>
      <c r="P78" s="299">
        <f>OtherTourDestination!E86</f>
        <v>-24.633851965200002</v>
      </c>
      <c r="Q78" s="337">
        <f t="shared" si="10"/>
        <v>-24.633851965200002</v>
      </c>
    </row>
    <row r="79" spans="13:17" x14ac:dyDescent="0.45">
      <c r="M79" s="297" t="str">
        <f>VLOOKUP(N79,Coeff_Descr!$A:$D,3,FALSE)</f>
        <v>ESCORT</v>
      </c>
      <c r="N79" s="297">
        <f>OtherTourDestination!B87</f>
        <v>88</v>
      </c>
      <c r="O79" s="297" t="str">
        <f>OtherTourDestination!C87</f>
        <v>Gamma088</v>
      </c>
      <c r="P79" s="299">
        <f>OtherTourDestination!E87</f>
        <v>0</v>
      </c>
      <c r="Q79" s="337">
        <f t="shared" si="10"/>
        <v>0</v>
      </c>
    </row>
    <row r="80" spans="13:17" x14ac:dyDescent="0.45">
      <c r="M80" s="297" t="str">
        <f>VLOOKUP(N80,Coeff_Descr!$A:$D,3,FALSE)</f>
        <v>PERSBUS/MED</v>
      </c>
      <c r="N80" s="297">
        <f>OtherTourDestination!B88</f>
        <v>89</v>
      </c>
      <c r="O80" s="297" t="str">
        <f>OtherTourDestination!C88</f>
        <v>Gamma089</v>
      </c>
      <c r="P80" s="299">
        <f>OtherTourDestination!E88</f>
        <v>-0.55009338373399996</v>
      </c>
      <c r="Q80" s="337">
        <f t="shared" si="10"/>
        <v>-0.55009338373399996</v>
      </c>
    </row>
    <row r="81" spans="13:17" x14ac:dyDescent="0.45">
      <c r="M81" s="297" t="str">
        <f>VLOOKUP(N81,Coeff_Descr!$A:$D,3,FALSE)</f>
        <v>PERSBUS/MED</v>
      </c>
      <c r="N81" s="297">
        <f>OtherTourDestination!B89</f>
        <v>90</v>
      </c>
      <c r="O81" s="297" t="str">
        <f>OtherTourDestination!C89</f>
        <v>Gamma090</v>
      </c>
      <c r="P81" s="299">
        <f>OtherTourDestination!E89</f>
        <v>-9.9117567037699992</v>
      </c>
      <c r="Q81" s="337">
        <f t="shared" si="10"/>
        <v>-9.9117567037699992</v>
      </c>
    </row>
    <row r="82" spans="13:17" x14ac:dyDescent="0.45">
      <c r="M82" s="297" t="str">
        <f>VLOOKUP(N82,Coeff_Descr!$A:$D,3,FALSE)</f>
        <v>PERSBUS/MED</v>
      </c>
      <c r="N82" s="297">
        <f>OtherTourDestination!B90</f>
        <v>91</v>
      </c>
      <c r="O82" s="297" t="str">
        <f>OtherTourDestination!C90</f>
        <v>Gamma091</v>
      </c>
      <c r="P82" s="299">
        <f>OtherTourDestination!E90</f>
        <v>-9.3194311560499994</v>
      </c>
      <c r="Q82" s="337">
        <f t="shared" si="10"/>
        <v>-9.3194311560499994</v>
      </c>
    </row>
    <row r="83" spans="13:17" x14ac:dyDescent="0.45">
      <c r="M83" s="297" t="str">
        <f>VLOOKUP(N83,Coeff_Descr!$A:$D,3,FALSE)</f>
        <v>PERSBUS/MED</v>
      </c>
      <c r="N83" s="297">
        <f>OtherTourDestination!B91</f>
        <v>92</v>
      </c>
      <c r="O83" s="297" t="str">
        <f>OtherTourDestination!C91</f>
        <v>Gamma092</v>
      </c>
      <c r="P83" s="299">
        <f>OtherTourDestination!E91</f>
        <v>-0.20086270196799999</v>
      </c>
      <c r="Q83" s="337">
        <f t="shared" si="10"/>
        <v>-0.20086270196799999</v>
      </c>
    </row>
    <row r="84" spans="13:17" x14ac:dyDescent="0.45">
      <c r="M84" s="297" t="str">
        <f>VLOOKUP(N84,Coeff_Descr!$A:$D,3,FALSE)</f>
        <v>PERSBUS/MED</v>
      </c>
      <c r="N84" s="297">
        <f>OtherTourDestination!B92</f>
        <v>93</v>
      </c>
      <c r="O84" s="297" t="str">
        <f>OtherTourDestination!C92</f>
        <v>Gamma093</v>
      </c>
      <c r="P84" s="299">
        <f>OtherTourDestination!E92</f>
        <v>-2.1843835309699999</v>
      </c>
      <c r="Q84" s="337">
        <f t="shared" si="10"/>
        <v>-2.1843835309699999</v>
      </c>
    </row>
    <row r="85" spans="13:17" x14ac:dyDescent="0.45">
      <c r="M85" s="297" t="str">
        <f>VLOOKUP(N85,Coeff_Descr!$A:$D,3,FALSE)</f>
        <v>PERSBUS/MED</v>
      </c>
      <c r="N85" s="297">
        <f>OtherTourDestination!B93</f>
        <v>94</v>
      </c>
      <c r="O85" s="297" t="str">
        <f>OtherTourDestination!C93</f>
        <v>Gamma094</v>
      </c>
      <c r="P85" s="299">
        <f>OtherTourDestination!E93</f>
        <v>0</v>
      </c>
      <c r="Q85" s="337">
        <f t="shared" si="10"/>
        <v>0</v>
      </c>
    </row>
    <row r="86" spans="13:17" x14ac:dyDescent="0.45">
      <c r="M86" s="297" t="str">
        <f>VLOOKUP(N86,Coeff_Descr!$A:$D,3,FALSE)</f>
        <v>PERSBUS/MED</v>
      </c>
      <c r="N86" s="297">
        <f>OtherTourDestination!B94</f>
        <v>95</v>
      </c>
      <c r="O86" s="297" t="str">
        <f>OtherTourDestination!C94</f>
        <v>Gamma095</v>
      </c>
      <c r="P86" s="299">
        <f>OtherTourDestination!E94</f>
        <v>-9.9476357147400005</v>
      </c>
      <c r="Q86" s="337">
        <f t="shared" si="10"/>
        <v>-9.9476357147400005</v>
      </c>
    </row>
    <row r="87" spans="13:17" x14ac:dyDescent="0.45">
      <c r="M87" s="297" t="str">
        <f>VLOOKUP(N87,Coeff_Descr!$A:$D,3,FALSE)</f>
        <v>PERSBUS/MED</v>
      </c>
      <c r="N87" s="297">
        <f>OtherTourDestination!B95</f>
        <v>96</v>
      </c>
      <c r="O87" s="297" t="str">
        <f>OtherTourDestination!C95</f>
        <v>Gamma096</v>
      </c>
      <c r="P87" s="299">
        <f>OtherTourDestination!E95</f>
        <v>-12.800107987600001</v>
      </c>
      <c r="Q87" s="337">
        <f t="shared" si="10"/>
        <v>-12.800107987600001</v>
      </c>
    </row>
    <row r="88" spans="13:17" x14ac:dyDescent="0.45">
      <c r="M88" s="297" t="str">
        <f>VLOOKUP(N88,Coeff_Descr!$A:$D,3,FALSE)</f>
        <v>PERSBUS/MED</v>
      </c>
      <c r="N88" s="297">
        <f>OtherTourDestination!B96</f>
        <v>97</v>
      </c>
      <c r="O88" s="297" t="str">
        <f>OtherTourDestination!C96</f>
        <v>Gamma097</v>
      </c>
      <c r="P88" s="299">
        <f>OtherTourDestination!E96</f>
        <v>-30</v>
      </c>
      <c r="Q88" s="337">
        <f t="shared" si="10"/>
        <v>-30</v>
      </c>
    </row>
    <row r="89" spans="13:17" x14ac:dyDescent="0.45">
      <c r="M89" s="297" t="str">
        <f>VLOOKUP(N89,Coeff_Descr!$A:$D,3,FALSE)</f>
        <v>SHOP</v>
      </c>
      <c r="N89" s="297">
        <f>OtherTourDestination!B97</f>
        <v>98</v>
      </c>
      <c r="O89" s="297" t="str">
        <f>OtherTourDestination!C97</f>
        <v>Gamma098</v>
      </c>
      <c r="P89" s="299">
        <f>OtherTourDestination!E97</f>
        <v>-21.699928591700001</v>
      </c>
      <c r="Q89" s="337">
        <f t="shared" si="10"/>
        <v>-21.699928591700001</v>
      </c>
    </row>
    <row r="90" spans="13:17" x14ac:dyDescent="0.45">
      <c r="M90" s="297" t="str">
        <f>VLOOKUP(N90,Coeff_Descr!$A:$D,3,FALSE)</f>
        <v>SHOP</v>
      </c>
      <c r="N90" s="297">
        <f>OtherTourDestination!B98</f>
        <v>99</v>
      </c>
      <c r="O90" s="297" t="str">
        <f>OtherTourDestination!C98</f>
        <v>Gamma099</v>
      </c>
      <c r="P90" s="299">
        <f>OtherTourDestination!E98</f>
        <v>-17.700475093400001</v>
      </c>
      <c r="Q90" s="337">
        <f t="shared" si="10"/>
        <v>-17.700475093400001</v>
      </c>
    </row>
    <row r="91" spans="13:17" x14ac:dyDescent="0.45">
      <c r="M91" s="297" t="str">
        <f>VLOOKUP(N91,Coeff_Descr!$A:$D,3,FALSE)</f>
        <v>SHOP</v>
      </c>
      <c r="N91" s="297">
        <f>OtherTourDestination!B99</f>
        <v>100</v>
      </c>
      <c r="O91" s="297" t="str">
        <f>OtherTourDestination!C99</f>
        <v>Gamma100</v>
      </c>
      <c r="P91" s="299">
        <f>OtherTourDestination!E99</f>
        <v>-0.7</v>
      </c>
      <c r="Q91" s="337">
        <f t="shared" si="10"/>
        <v>-0.7</v>
      </c>
    </row>
    <row r="92" spans="13:17" x14ac:dyDescent="0.45">
      <c r="M92" s="297" t="str">
        <f>VLOOKUP(N92,Coeff_Descr!$A:$D,3,FALSE)</f>
        <v>SHOP</v>
      </c>
      <c r="N92" s="297">
        <f>OtherTourDestination!B100</f>
        <v>101</v>
      </c>
      <c r="O92" s="297" t="str">
        <f>OtherTourDestination!C100</f>
        <v>Gamma101</v>
      </c>
      <c r="P92" s="299">
        <f>OtherTourDestination!E100</f>
        <v>-17.8758745875</v>
      </c>
      <c r="Q92" s="337">
        <f t="shared" si="10"/>
        <v>-17.8758745875</v>
      </c>
    </row>
    <row r="93" spans="13:17" x14ac:dyDescent="0.45">
      <c r="M93" s="297" t="str">
        <f>VLOOKUP(N93,Coeff_Descr!$A:$D,3,FALSE)</f>
        <v>MEAL</v>
      </c>
      <c r="N93" s="297">
        <f>OtherTourDestination!B101</f>
        <v>102</v>
      </c>
      <c r="O93" s="297" t="str">
        <f>OtherTourDestination!C101</f>
        <v>Gamma102</v>
      </c>
      <c r="P93" s="299">
        <f>OtherTourDestination!E101</f>
        <v>0</v>
      </c>
      <c r="Q93" s="337">
        <f t="shared" si="10"/>
        <v>0</v>
      </c>
    </row>
    <row r="94" spans="13:17" x14ac:dyDescent="0.45">
      <c r="M94" s="297" t="str">
        <f>VLOOKUP(N94,Coeff_Descr!$A:$D,3,FALSE)</f>
        <v>MEAL</v>
      </c>
      <c r="N94" s="297">
        <f>OtherTourDestination!B102</f>
        <v>103</v>
      </c>
      <c r="O94" s="297" t="str">
        <f>OtherTourDestination!C102</f>
        <v>Gamma103</v>
      </c>
      <c r="P94" s="299">
        <f>OtherTourDestination!E102</f>
        <v>5</v>
      </c>
      <c r="Q94" s="337">
        <f t="shared" si="10"/>
        <v>5</v>
      </c>
    </row>
    <row r="95" spans="13:17" x14ac:dyDescent="0.45">
      <c r="M95" s="297" t="str">
        <f>VLOOKUP(N95,Coeff_Descr!$A:$D,3,FALSE)</f>
        <v>MEAL</v>
      </c>
      <c r="N95" s="297">
        <f>OtherTourDestination!B103</f>
        <v>104</v>
      </c>
      <c r="O95" s="297" t="str">
        <f>OtherTourDestination!C103</f>
        <v>Gamma104</v>
      </c>
      <c r="P95" s="299">
        <f>OtherTourDestination!E103</f>
        <v>-30</v>
      </c>
      <c r="Q95" s="337">
        <f t="shared" si="10"/>
        <v>-30</v>
      </c>
    </row>
    <row r="96" spans="13:17" x14ac:dyDescent="0.45">
      <c r="M96" s="297" t="str">
        <f>VLOOKUP(N96,Coeff_Descr!$A:$D,3,FALSE)</f>
        <v>MEAL</v>
      </c>
      <c r="N96" s="297">
        <f>OtherTourDestination!B104</f>
        <v>105</v>
      </c>
      <c r="O96" s="297" t="str">
        <f>OtherTourDestination!C104</f>
        <v>Gamma105</v>
      </c>
      <c r="P96" s="299">
        <f>OtherTourDestination!E104</f>
        <v>-24.158093970700001</v>
      </c>
      <c r="Q96" s="337">
        <f t="shared" si="10"/>
        <v>-24.158093970700001</v>
      </c>
    </row>
    <row r="97" spans="13:17" x14ac:dyDescent="0.45">
      <c r="M97" s="297" t="str">
        <f>VLOOKUP(N97,Coeff_Descr!$A:$D,3,FALSE)</f>
        <v>SOCREC</v>
      </c>
      <c r="N97" s="297">
        <f>OtherTourDestination!B105</f>
        <v>106</v>
      </c>
      <c r="O97" s="297" t="str">
        <f>OtherTourDestination!C105</f>
        <v>Gamma106</v>
      </c>
      <c r="P97" s="299">
        <f>OtherTourDestination!E105</f>
        <v>-9.5803170794600003</v>
      </c>
      <c r="Q97" s="337">
        <f t="shared" si="10"/>
        <v>-9.5803170794600003</v>
      </c>
    </row>
    <row r="98" spans="13:17" x14ac:dyDescent="0.45">
      <c r="M98" s="297" t="str">
        <f>VLOOKUP(N98,Coeff_Descr!$A:$D,3,FALSE)</f>
        <v>SOCREC</v>
      </c>
      <c r="N98" s="297">
        <f>OtherTourDestination!B106</f>
        <v>107</v>
      </c>
      <c r="O98" s="297" t="str">
        <f>OtherTourDestination!C106</f>
        <v>Gamma107</v>
      </c>
      <c r="P98" s="299">
        <f>OtherTourDestination!E106</f>
        <v>0</v>
      </c>
      <c r="Q98" s="337">
        <f t="shared" si="10"/>
        <v>0</v>
      </c>
    </row>
    <row r="99" spans="13:17" x14ac:dyDescent="0.45">
      <c r="M99" s="297" t="str">
        <f>VLOOKUP(N99,Coeff_Descr!$A:$D,3,FALSE)</f>
        <v>SOCREC</v>
      </c>
      <c r="N99" s="297">
        <f>OtherTourDestination!B107</f>
        <v>108</v>
      </c>
      <c r="O99" s="297" t="str">
        <f>OtherTourDestination!C107</f>
        <v>Gamma108</v>
      </c>
      <c r="P99" s="299">
        <f>OtherTourDestination!E107</f>
        <v>-15.671349338700001</v>
      </c>
      <c r="Q99" s="337">
        <f t="shared" si="10"/>
        <v>-15.671349338700001</v>
      </c>
    </row>
    <row r="100" spans="13:17" x14ac:dyDescent="0.45">
      <c r="M100" s="297" t="str">
        <f>VLOOKUP(N100,Coeff_Descr!$A:$D,3,FALSE)</f>
        <v>SOCREC</v>
      </c>
      <c r="N100" s="297">
        <f>OtherTourDestination!B108</f>
        <v>109</v>
      </c>
      <c r="O100" s="297" t="str">
        <f>OtherTourDestination!C108</f>
        <v>Gamma109</v>
      </c>
      <c r="P100" s="299">
        <f>OtherTourDestination!E108</f>
        <v>-18.208541213899998</v>
      </c>
      <c r="Q100" s="337">
        <f t="shared" si="10"/>
        <v>-18.208541213899998</v>
      </c>
    </row>
    <row r="101" spans="13:17" x14ac:dyDescent="0.45">
      <c r="M101" s="297" t="str">
        <f>VLOOKUP(N101,Coeff_Descr!$A:$D,3,FALSE)</f>
        <v>SOCREC</v>
      </c>
      <c r="N101" s="297">
        <f>OtherTourDestination!B109</f>
        <v>110</v>
      </c>
      <c r="O101" s="297" t="str">
        <f>OtherTourDestination!C109</f>
        <v>Gamma110</v>
      </c>
      <c r="P101" s="299">
        <f>OtherTourDestination!E109</f>
        <v>-11.2471450075</v>
      </c>
      <c r="Q101" s="337">
        <f t="shared" si="10"/>
        <v>-11.2471450075</v>
      </c>
    </row>
    <row r="102" spans="13:17" x14ac:dyDescent="0.45">
      <c r="M102" s="297" t="str">
        <f>VLOOKUP(N102,Coeff_Descr!$A:$D,3,FALSE)</f>
        <v>SOCREC</v>
      </c>
      <c r="N102" s="297">
        <f>OtherTourDestination!B110</f>
        <v>111</v>
      </c>
      <c r="O102" s="297" t="str">
        <f>OtherTourDestination!C110</f>
        <v>Gamma111</v>
      </c>
      <c r="P102" s="299">
        <f>OtherTourDestination!E110</f>
        <v>-10.0807778908</v>
      </c>
      <c r="Q102" s="337">
        <f t="shared" si="10"/>
        <v>-10.0807778908</v>
      </c>
    </row>
    <row r="103" spans="13:17" x14ac:dyDescent="0.45">
      <c r="M103" s="297" t="str">
        <f>VLOOKUP(N103,Coeff_Descr!$A:$D,3,FALSE)</f>
        <v>SOCREC</v>
      </c>
      <c r="N103" s="297">
        <f>OtherTourDestination!B111</f>
        <v>112</v>
      </c>
      <c r="O103" s="297" t="str">
        <f>OtherTourDestination!C111</f>
        <v>Gamma112</v>
      </c>
      <c r="P103" s="299">
        <f>OtherTourDestination!E111</f>
        <v>-5.6623999999999999</v>
      </c>
      <c r="Q103" s="337">
        <f t="shared" si="10"/>
        <v>-5.6623999999999999</v>
      </c>
    </row>
    <row r="104" spans="13:17" x14ac:dyDescent="0.45">
      <c r="M104" s="297" t="str">
        <f>VLOOKUP(N104,Coeff_Descr!$A:$D,3,FALSE)</f>
        <v>SOCREC</v>
      </c>
      <c r="N104" s="297">
        <f>OtherTourDestination!B112</f>
        <v>113</v>
      </c>
      <c r="O104" s="297" t="str">
        <f>OtherTourDestination!C112</f>
        <v>Gamma113</v>
      </c>
      <c r="P104" s="299">
        <f>OtherTourDestination!E112</f>
        <v>-12.0597581892</v>
      </c>
      <c r="Q104" s="337">
        <f t="shared" ref="Q104" si="11">_xlfn.IFNA(VLOOKUP(N104,$B$43:$D$46,3,FALSE),P104)</f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2022-01-21T23:37:50Z</dcterms:modified>
</cp:coreProperties>
</file>