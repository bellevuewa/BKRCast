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B556FFD1-BE22-45AC-B2CD-802AF722D480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<sst xmlns="http://schemas.openxmlformats.org/spreadsheetml/2006/main" count="716" uniqueCount="285">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</sst>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0.1131667139152048</c:v>
                </c:pt>
                <c:pt idx="1">
                  <c:v>0.26666984315078768</c:v>
                </c:pt>
                <c:pt idx="2">
                  <c:v>0.11415359182338904</c:v>
                </c:pt>
                <c:pt idx="3">
                  <c:v>0.13783826419714201</c:v>
                </c:pt>
                <c:pt idx="4">
                  <c:v>0.10246305290610136</c:v>
                </c:pt>
                <c:pt idx="5">
                  <c:v>7.0810628705619855E-2</c:v>
                </c:pt>
                <c:pt idx="6">
                  <c:v>5.0939335974360657E-2</c:v>
                </c:pt>
                <c:pt idx="7">
                  <c:v>3.9244096930079735E-2</c:v>
                </c:pt>
                <c:pt idx="8">
                  <c:v>3.2459484594830883E-2</c:v>
                </c:pt>
                <c:pt idx="9">
                  <c:v>4.7973167752033705E-3</c:v>
                </c:pt>
                <c:pt idx="10">
                  <c:v>2.1037333096828384E-2</c:v>
                </c:pt>
                <c:pt idx="11">
                  <c:v>1.8487859151178229E-2</c:v>
                </c:pt>
                <c:pt idx="12">
                  <c:v>6.6600847456722298E-3</c:v>
                </c:pt>
                <c:pt idx="13">
                  <c:v>4.5966203560937882E-3</c:v>
                </c:pt>
                <c:pt idx="14">
                  <c:v>6.2756122281080896E-3</c:v>
                </c:pt>
                <c:pt idx="15">
                  <c:v>4.1476769411269535E-4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1.5379217667451951E-3</c:v>
                </c:pt>
                <c:pt idx="20">
                  <c:v>7.3317824460072186E-4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7.7142937439412789E-3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0.16611575566463269</c:v>
                </c:pt>
                <c:pt idx="1">
                  <c:v>0.12773724762913258</c:v>
                </c:pt>
                <c:pt idx="2">
                  <c:v>8.4456119207390198E-2</c:v>
                </c:pt>
                <c:pt idx="3">
                  <c:v>6.0024922628693786E-2</c:v>
                </c:pt>
                <c:pt idx="4">
                  <c:v>0.12575981840413272</c:v>
                </c:pt>
                <c:pt idx="5">
                  <c:v>7.8219611651621432E-2</c:v>
                </c:pt>
                <c:pt idx="6">
                  <c:v>9.1751545963528719E-2</c:v>
                </c:pt>
                <c:pt idx="7">
                  <c:v>3.714407736545583E-2</c:v>
                </c:pt>
                <c:pt idx="8">
                  <c:v>4.5650533262348691E-2</c:v>
                </c:pt>
                <c:pt idx="9">
                  <c:v>2.4770518753400535E-2</c:v>
                </c:pt>
                <c:pt idx="10">
                  <c:v>2.0008307542897927E-2</c:v>
                </c:pt>
                <c:pt idx="11">
                  <c:v>2.1979886385575298E-2</c:v>
                </c:pt>
                <c:pt idx="12">
                  <c:v>1.9511025045486723E-2</c:v>
                </c:pt>
                <c:pt idx="13">
                  <c:v>1.3011250285206138E-2</c:v>
                </c:pt>
                <c:pt idx="14">
                  <c:v>1.3256966342750498E-2</c:v>
                </c:pt>
                <c:pt idx="15">
                  <c:v>2.1786823768933299E-2</c:v>
                </c:pt>
                <c:pt idx="16">
                  <c:v>7.7517565772923262E-3</c:v>
                </c:pt>
                <c:pt idx="17">
                  <c:v>1.1806071526774275E-2</c:v>
                </c:pt>
                <c:pt idx="18">
                  <c:v>5.3472494427510842E-3</c:v>
                </c:pt>
                <c:pt idx="19">
                  <c:v>2.7613804562128135E-3</c:v>
                </c:pt>
                <c:pt idx="20">
                  <c:v>2.8783881026625091E-3</c:v>
                </c:pt>
                <c:pt idx="21">
                  <c:v>2.2055941355767598E-3</c:v>
                </c:pt>
                <c:pt idx="22">
                  <c:v>2.2640979588016076E-3</c:v>
                </c:pt>
                <c:pt idx="23">
                  <c:v>1.6147055210057977E-3</c:v>
                </c:pt>
                <c:pt idx="24">
                  <c:v>4.7622112105026064E-3</c:v>
                </c:pt>
                <c:pt idx="25">
                  <c:v>1.6907604911980997E-3</c:v>
                </c:pt>
                <c:pt idx="26">
                  <c:v>6.961954963756882E-4</c:v>
                </c:pt>
                <c:pt idx="27">
                  <c:v>9.3606117159756393E-4</c:v>
                </c:pt>
                <c:pt idx="28">
                  <c:v>4.2707790954138854E-4</c:v>
                </c:pt>
                <c:pt idx="29">
                  <c:v>1.1466749352070159E-3</c:v>
                </c:pt>
                <c:pt idx="30">
                  <c:v>5.96738996893447E-4</c:v>
                </c:pt>
                <c:pt idx="31">
                  <c:v>4.5632982115381243E-4</c:v>
                </c:pt>
                <c:pt idx="32">
                  <c:v>4.2707790954138854E-4</c:v>
                </c:pt>
                <c:pt idx="33">
                  <c:v>2.2816491057690621E-4</c:v>
                </c:pt>
                <c:pt idx="34">
                  <c:v>1.6966108735205846E-4</c:v>
                </c:pt>
                <c:pt idx="35">
                  <c:v>6.4354205547332519E-5</c:v>
                </c:pt>
                <c:pt idx="36">
                  <c:v>3.9197561560647988E-4</c:v>
                </c:pt>
                <c:pt idx="37">
                  <c:v>7.6054970192302067E-5</c:v>
                </c:pt>
                <c:pt idx="38">
                  <c:v>2.9251911612423873E-5</c:v>
                </c:pt>
                <c:pt idx="39">
                  <c:v>2.3401529289939099E-5</c:v>
                </c:pt>
                <c:pt idx="40">
                  <c:v>5.8503823224847747E-6</c:v>
                </c:pt>
                <c:pt idx="41">
                  <c:v>2.3401529289939099E-5</c:v>
                </c:pt>
                <c:pt idx="42">
                  <c:v>5.8503823224847747E-6</c:v>
                </c:pt>
                <c:pt idx="43">
                  <c:v>0</c:v>
                </c:pt>
                <c:pt idx="44">
                  <c:v>1.1700764644969549E-5</c:v>
                </c:pt>
                <c:pt idx="45">
                  <c:v>1.1700764644969549E-5</c:v>
                </c:pt>
                <c:pt idx="46">
                  <c:v>5.8503823224847747E-6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8984"/>
        <c:axId val="337237416"/>
      </c:lineChart>
      <c:catAx>
        <c:axId val="337238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7237416"/>
        <c:crosses val="autoZero"/>
        <c:auto val="1"/>
        <c:lblAlgn val="ctr"/>
        <c:lblOffset val="100"/>
        <c:tickLblSkip val="10"/>
        <c:noMultiLvlLbl val="0"/>
      </c:catAx>
      <c:valAx>
        <c:axId val="3372374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723898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2.0163154411934253E-2</c:v>
                </c:pt>
                <c:pt idx="2">
                  <c:v>6.1870221671743754E-2</c:v>
                </c:pt>
                <c:pt idx="3">
                  <c:v>2.8895015915848282E-2</c:v>
                </c:pt>
                <c:pt idx="4">
                  <c:v>0.12756443267130585</c:v>
                </c:pt>
                <c:pt idx="5">
                  <c:v>9.7401308613989962E-2</c:v>
                </c:pt>
                <c:pt idx="6">
                  <c:v>5.6204246218690919E-2</c:v>
                </c:pt>
                <c:pt idx="7">
                  <c:v>0.11731615983901819</c:v>
                </c:pt>
                <c:pt idx="8">
                  <c:v>5.8627742567950461E-2</c:v>
                </c:pt>
                <c:pt idx="9">
                  <c:v>4.0702212793397578E-2</c:v>
                </c:pt>
                <c:pt idx="10">
                  <c:v>0.1222419157753234</c:v>
                </c:pt>
                <c:pt idx="11">
                  <c:v>5.415720407064302E-2</c:v>
                </c:pt>
                <c:pt idx="12">
                  <c:v>3.1658083637528422E-2</c:v>
                </c:pt>
                <c:pt idx="13">
                  <c:v>1.2143770412223755E-2</c:v>
                </c:pt>
                <c:pt idx="14">
                  <c:v>4.0746105516124044E-2</c:v>
                </c:pt>
                <c:pt idx="15">
                  <c:v>2.5803356577891307E-2</c:v>
                </c:pt>
                <c:pt idx="16">
                  <c:v>0</c:v>
                </c:pt>
                <c:pt idx="17">
                  <c:v>6.1708586777553835E-3</c:v>
                </c:pt>
                <c:pt idx="18">
                  <c:v>0</c:v>
                </c:pt>
                <c:pt idx="19">
                  <c:v>8.7706880104085373E-3</c:v>
                </c:pt>
                <c:pt idx="20">
                  <c:v>9.8383688394463424E-3</c:v>
                </c:pt>
                <c:pt idx="21">
                  <c:v>9.6414757352755731E-3</c:v>
                </c:pt>
                <c:pt idx="22">
                  <c:v>0</c:v>
                </c:pt>
                <c:pt idx="23">
                  <c:v>6.2380476753337308E-3</c:v>
                </c:pt>
                <c:pt idx="24">
                  <c:v>2.2021912793808576E-2</c:v>
                </c:pt>
                <c:pt idx="25">
                  <c:v>0</c:v>
                </c:pt>
                <c:pt idx="26">
                  <c:v>2.5147943896850451E-2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7.0087904727088096E-3</c:v>
                </c:pt>
                <c:pt idx="32">
                  <c:v>0</c:v>
                </c:pt>
                <c:pt idx="33">
                  <c:v>4.1476769411269524E-4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1.5379217667451949E-3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7.7142937439412772E-3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8.8399276892744943E-3</c:v>
                </c:pt>
                <c:pt idx="1">
                  <c:v>3.1545261482837907E-2</c:v>
                </c:pt>
                <c:pt idx="2">
                  <c:v>4.5036243118487793E-2</c:v>
                </c:pt>
                <c:pt idx="3">
                  <c:v>5.8369264431430597E-2</c:v>
                </c:pt>
                <c:pt idx="4">
                  <c:v>5.6280677942303528E-2</c:v>
                </c:pt>
                <c:pt idx="5">
                  <c:v>5.0699413206653055E-2</c:v>
                </c:pt>
                <c:pt idx="6">
                  <c:v>4.1853635135056078E-2</c:v>
                </c:pt>
                <c:pt idx="7">
                  <c:v>4.0472944906949672E-2</c:v>
                </c:pt>
                <c:pt idx="8">
                  <c:v>3.3376431149775634E-2</c:v>
                </c:pt>
                <c:pt idx="9">
                  <c:v>2.8947691731654665E-2</c:v>
                </c:pt>
                <c:pt idx="10">
                  <c:v>2.9076400142749328E-2</c:v>
                </c:pt>
                <c:pt idx="11">
                  <c:v>2.7040467094524626E-2</c:v>
                </c:pt>
                <c:pt idx="12">
                  <c:v>2.4284937020634299E-2</c:v>
                </c:pt>
                <c:pt idx="13">
                  <c:v>2.0950219096817976E-2</c:v>
                </c:pt>
                <c:pt idx="14">
                  <c:v>1.823564169918504E-2</c:v>
                </c:pt>
                <c:pt idx="15">
                  <c:v>1.8007476788608135E-2</c:v>
                </c:pt>
                <c:pt idx="16">
                  <c:v>1.789046914215844E-2</c:v>
                </c:pt>
                <c:pt idx="17">
                  <c:v>1.5702426153549134E-2</c:v>
                </c:pt>
                <c:pt idx="18">
                  <c:v>5.4619169362717851E-2</c:v>
                </c:pt>
                <c:pt idx="19">
                  <c:v>4.0701109817526573E-2</c:v>
                </c:pt>
                <c:pt idx="20">
                  <c:v>3.5617127579287304E-2</c:v>
                </c:pt>
                <c:pt idx="21">
                  <c:v>4.0092670055988155E-2</c:v>
                </c:pt>
                <c:pt idx="22">
                  <c:v>3.8027485096151031E-2</c:v>
                </c:pt>
                <c:pt idx="23">
                  <c:v>2.667774339053057E-2</c:v>
                </c:pt>
                <c:pt idx="24">
                  <c:v>2.3699898788385822E-2</c:v>
                </c:pt>
                <c:pt idx="25">
                  <c:v>2.0821510685723313E-2</c:v>
                </c:pt>
                <c:pt idx="26">
                  <c:v>1.553861544851956E-2</c:v>
                </c:pt>
                <c:pt idx="27">
                  <c:v>1.2946896079658805E-2</c:v>
                </c:pt>
                <c:pt idx="28">
                  <c:v>1.2894242638756442E-2</c:v>
                </c:pt>
                <c:pt idx="29">
                  <c:v>1.1063072971818709E-2</c:v>
                </c:pt>
                <c:pt idx="30">
                  <c:v>1.4538200071374664E-2</c:v>
                </c:pt>
                <c:pt idx="31">
                  <c:v>1.2157094466123361E-2</c:v>
                </c:pt>
                <c:pt idx="32">
                  <c:v>1.6802298030176271E-2</c:v>
                </c:pt>
                <c:pt idx="33">
                  <c:v>9.0095887766265519E-3</c:v>
                </c:pt>
                <c:pt idx="34">
                  <c:v>5.6397685588753226E-3</c:v>
                </c:pt>
                <c:pt idx="35">
                  <c:v>5.2711944725587819E-3</c:v>
                </c:pt>
                <c:pt idx="36">
                  <c:v>7.3539305793633618E-3</c:v>
                </c:pt>
                <c:pt idx="37">
                  <c:v>5.628067794230353E-3</c:v>
                </c:pt>
                <c:pt idx="38">
                  <c:v>2.8666873380175394E-3</c:v>
                </c:pt>
                <c:pt idx="39">
                  <c:v>2.9895453667897198E-3</c:v>
                </c:pt>
                <c:pt idx="40">
                  <c:v>3.9314569207097687E-3</c:v>
                </c:pt>
                <c:pt idx="41">
                  <c:v>2.5039636340234836E-3</c:v>
                </c:pt>
                <c:pt idx="42">
                  <c:v>1.6790597265531303E-3</c:v>
                </c:pt>
                <c:pt idx="43">
                  <c:v>1.0823207296596833E-3</c:v>
                </c:pt>
                <c:pt idx="44">
                  <c:v>1.0530688180472594E-3</c:v>
                </c:pt>
                <c:pt idx="45">
                  <c:v>1.3338871695265286E-3</c:v>
                </c:pt>
                <c:pt idx="46">
                  <c:v>1.3280367872040438E-3</c:v>
                </c:pt>
                <c:pt idx="47">
                  <c:v>1.2344306700442873E-3</c:v>
                </c:pt>
                <c:pt idx="48">
                  <c:v>5.6163670295853829E-4</c:v>
                </c:pt>
                <c:pt idx="49">
                  <c:v>5.3238479134611451E-4</c:v>
                </c:pt>
                <c:pt idx="50">
                  <c:v>4.4462905650884284E-4</c:v>
                </c:pt>
                <c:pt idx="51">
                  <c:v>5.7918784992599265E-4</c:v>
                </c:pt>
                <c:pt idx="52">
                  <c:v>5.3238479134611451E-4</c:v>
                </c:pt>
                <c:pt idx="53">
                  <c:v>3.6857408631654076E-4</c:v>
                </c:pt>
                <c:pt idx="54">
                  <c:v>1.8721223431951279E-4</c:v>
                </c:pt>
                <c:pt idx="55">
                  <c:v>2.1646414593193665E-4</c:v>
                </c:pt>
                <c:pt idx="56">
                  <c:v>1.7551146967454323E-4</c:v>
                </c:pt>
                <c:pt idx="57">
                  <c:v>8.7755734837271615E-5</c:v>
                </c:pt>
                <c:pt idx="58">
                  <c:v>9.3606117159756395E-5</c:v>
                </c:pt>
                <c:pt idx="59">
                  <c:v>8.1905352514786848E-5</c:v>
                </c:pt>
                <c:pt idx="60">
                  <c:v>7.0204587869817286E-5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3104"/>
        <c:axId val="337238592"/>
      </c:lineChart>
      <c:catAx>
        <c:axId val="33723310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238592"/>
        <c:crosses val="autoZero"/>
        <c:auto val="1"/>
        <c:lblAlgn val="ctr"/>
        <c:lblOffset val="100"/>
        <c:tickLblSkip val="10"/>
        <c:noMultiLvlLbl val="0"/>
      </c:catAx>
      <c:valAx>
        <c:axId val="33723859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2331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6813.2459325225</v>
      </c>
      <c r="C11" s="11">
        <f>B11/B$102</f>
        <v>0.1131667139152048</v>
      </c>
      <c r="E11" s="19">
        <v>0</v>
      </c>
      <c r="F11" s="343" t="n">
        <v>27964.0</v>
      </c>
      <c r="G11" s="11">
        <f>F11/F$102</f>
        <v>0.16611575566463269</v>
      </c>
      <c r="K11" s="8" t="n">
        <v>3.493832024713724</v>
      </c>
      <c r="L11" s="8" t="n">
        <v>5.427881274862464</v>
      </c>
    </row>
    <row r="12" spans="1:12" x14ac:dyDescent="0.25">
      <c r="A12">
        <v>1</v>
      </c>
      <c r="B12" s="341" t="n">
        <v>16054.9614044188</v>
      </c>
      <c r="C12" s="11">
        <f>B12/B$102</f>
        <v>0.26666984315078768</v>
      </c>
      <c r="E12" s="20">
        <v>1</v>
      </c>
      <c r="F12" s="343" t="n">
        <v>21731.0</v>
      </c>
      <c r="G12" s="11">
        <f>F12/F$102</f>
        <v>0.12773724762913258</v>
      </c>
      <c r="K12" s="8"/>
      <c r="L12" s="289"/>
    </row>
    <row r="13" spans="1:12" x14ac:dyDescent="0.25">
      <c r="A13">
        <v>2</v>
      </c>
      <c r="B13" s="341" t="n">
        <v>6872.661300003</v>
      </c>
      <c r="C13" s="11">
        <f ref="C13:C76" si="0" t="shared">B13/B$102</f>
        <v>0.11415359182338904</v>
      </c>
      <c r="E13" s="21">
        <v>2</v>
      </c>
      <c r="F13" s="343" t="n">
        <v>14308.0</v>
      </c>
      <c r="G13" s="11">
        <f ref="G13:G76" si="1" t="shared">F13/F$102</f>
        <v>8.4456119207390198E-2</v>
      </c>
    </row>
    <row r="14" spans="1:12" x14ac:dyDescent="0.25">
      <c r="A14">
        <v>3</v>
      </c>
      <c r="B14" s="341" t="n">
        <v>8298.606192549</v>
      </c>
      <c r="C14" s="11">
        <f si="0" t="shared"/>
        <v>0.13783826419714201</v>
      </c>
      <c r="E14" s="22">
        <v>3</v>
      </c>
      <c r="F14" s="343" t="n">
        <v>10493.0</v>
      </c>
      <c r="G14" s="11">
        <f si="1" t="shared"/>
        <v>6.0024922628693786E-2</v>
      </c>
    </row>
    <row r="15" spans="1:12" x14ac:dyDescent="0.25">
      <c r="A15">
        <v>4</v>
      </c>
      <c r="B15" s="341" t="n">
        <v>6168.8278672598</v>
      </c>
      <c r="C15" s="11">
        <f si="0" t="shared"/>
        <v>0.10246305290610136</v>
      </c>
      <c r="E15" s="23">
        <v>4</v>
      </c>
      <c r="F15" s="343" t="n">
        <v>21535.0</v>
      </c>
      <c r="G15" s="11">
        <f si="1" t="shared"/>
        <v>0.12575981840413272</v>
      </c>
    </row>
    <row r="16" spans="1:12" x14ac:dyDescent="0.25">
      <c r="A16">
        <v>5</v>
      </c>
      <c r="B16" s="341" t="n">
        <v>4263.1813836127</v>
      </c>
      <c r="C16" s="11">
        <f si="0" t="shared"/>
        <v>7.0810628705619855E-2</v>
      </c>
      <c r="E16" s="24">
        <v>5</v>
      </c>
      <c r="F16" s="343" t="n">
        <v>13141.0</v>
      </c>
      <c r="G16" s="11">
        <f si="1" t="shared"/>
        <v>7.8219611651621432E-2</v>
      </c>
    </row>
    <row r="17" spans="1:7" x14ac:dyDescent="0.25">
      <c r="A17">
        <v>6</v>
      </c>
      <c r="B17" s="341" t="n">
        <v>3066.822492458</v>
      </c>
      <c r="C17" s="11">
        <f si="0" t="shared"/>
        <v>5.0939335974360657E-2</v>
      </c>
      <c r="E17" s="25">
        <v>6</v>
      </c>
      <c r="F17" s="343" t="n">
        <v>15093.0</v>
      </c>
      <c r="G17" s="11">
        <f si="1" t="shared"/>
        <v>9.1751545963528719E-2</v>
      </c>
    </row>
    <row r="18" spans="1:7" x14ac:dyDescent="0.25">
      <c r="A18">
        <v>7</v>
      </c>
      <c r="B18" s="341" t="n">
        <v>2362.706086745</v>
      </c>
      <c r="C18" s="11">
        <f si="0" t="shared"/>
        <v>3.9244096930079735E-2</v>
      </c>
      <c r="E18" s="26">
        <v>7</v>
      </c>
      <c r="F18" s="343" t="n">
        <v>6077.0</v>
      </c>
      <c r="G18" s="11">
        <f si="1" t="shared"/>
        <v>3.714407736545583E-2</v>
      </c>
    </row>
    <row r="19" spans="1:7" x14ac:dyDescent="0.25">
      <c r="A19">
        <v>8</v>
      </c>
      <c r="B19" s="341" t="n">
        <v>1954.235867918</v>
      </c>
      <c r="C19" s="11">
        <f si="0" t="shared"/>
        <v>3.2459484594830883E-2</v>
      </c>
      <c r="E19" s="27">
        <v>8</v>
      </c>
      <c r="F19" s="343" t="n">
        <v>6775.0</v>
      </c>
      <c r="G19" s="11">
        <f si="1" t="shared"/>
        <v>4.5650533262348691E-2</v>
      </c>
    </row>
    <row r="20" spans="1:7" x14ac:dyDescent="0.25">
      <c r="A20">
        <v>9</v>
      </c>
      <c r="B20" s="341" t="n">
        <v>288.824318343</v>
      </c>
      <c r="C20" s="11">
        <f si="0" t="shared"/>
        <v>4.7973167752033705E-3</v>
      </c>
      <c r="E20" s="28">
        <v>9</v>
      </c>
      <c r="F20" s="343" t="n">
        <v>4282.0</v>
      </c>
      <c r="G20" s="11">
        <f si="1" t="shared"/>
        <v>2.4770518753400535E-2</v>
      </c>
    </row>
    <row r="21" spans="1:7" x14ac:dyDescent="0.25">
      <c r="A21">
        <v>10</v>
      </c>
      <c r="B21" s="341" t="n">
        <v>1266.5608039170002</v>
      </c>
      <c r="C21" s="11">
        <f si="0" t="shared"/>
        <v>2.1037333096828384E-2</v>
      </c>
      <c r="E21" s="29">
        <v>10</v>
      </c>
      <c r="F21" s="343" t="n">
        <v>3238.0</v>
      </c>
      <c r="G21" s="11">
        <f si="1" t="shared"/>
        <v>2.0008307542897927E-2</v>
      </c>
    </row>
    <row r="22" spans="1:7" x14ac:dyDescent="0.25">
      <c r="A22">
        <v>11</v>
      </c>
      <c r="B22" s="341" t="n">
        <v>1113.06873554</v>
      </c>
      <c r="C22" s="11">
        <f si="0" t="shared"/>
        <v>1.8487859151178229E-2</v>
      </c>
      <c r="E22" s="30">
        <v>11</v>
      </c>
      <c r="F22" s="343" t="n">
        <v>3686.0</v>
      </c>
      <c r="G22" s="11">
        <f si="1" t="shared"/>
        <v>2.1979886385575298E-2</v>
      </c>
    </row>
    <row r="23" spans="1:7" x14ac:dyDescent="0.25">
      <c r="A23">
        <v>12</v>
      </c>
      <c r="B23" s="341" t="n">
        <v>400.972986966</v>
      </c>
      <c r="C23" s="11">
        <f si="0" t="shared"/>
        <v>6.6600847456722298E-3</v>
      </c>
      <c r="E23" s="31">
        <v>12</v>
      </c>
      <c r="F23" s="343" t="n">
        <v>2923.0</v>
      </c>
      <c r="G23" s="11">
        <f si="1" t="shared"/>
        <v>1.9511025045486723E-2</v>
      </c>
    </row>
    <row r="24" spans="1:7" x14ac:dyDescent="0.25">
      <c r="A24">
        <v>13</v>
      </c>
      <c r="B24" s="341" t="n">
        <v>276.741312538</v>
      </c>
      <c r="C24" s="11">
        <f si="0" t="shared"/>
        <v>4.5966203560937882E-3</v>
      </c>
      <c r="E24" s="32">
        <v>13</v>
      </c>
      <c r="F24" s="343" t="n">
        <v>2059.0</v>
      </c>
      <c r="G24" s="11">
        <f si="1" t="shared"/>
        <v>1.3011250285206138E-2</v>
      </c>
    </row>
    <row r="25" spans="1:7" x14ac:dyDescent="0.25">
      <c r="A25">
        <v>14</v>
      </c>
      <c r="B25" s="341" t="n">
        <v>377.825669828</v>
      </c>
      <c r="C25" s="11">
        <f si="0" t="shared"/>
        <v>6.2756122281080896E-3</v>
      </c>
      <c r="E25" s="33">
        <v>14</v>
      </c>
      <c r="F25" s="343" t="n">
        <v>1887.0</v>
      </c>
      <c r="G25" s="11">
        <f si="1" t="shared"/>
        <v>1.3256966342750498E-2</v>
      </c>
    </row>
    <row r="26" spans="1:7" x14ac:dyDescent="0.25">
      <c r="A26">
        <v>15</v>
      </c>
      <c r="B26" s="341" t="n">
        <v>24.97125</v>
      </c>
      <c r="C26" s="11">
        <f si="0" t="shared"/>
        <v>4.1476769411269535E-4</v>
      </c>
      <c r="E26" s="34">
        <v>15</v>
      </c>
      <c r="F26" s="343" t="n">
        <v>3500.0</v>
      </c>
      <c r="G26" s="11">
        <f si="1" t="shared"/>
        <v>2.1786823768933299E-2</v>
      </c>
    </row>
    <row r="27" spans="1:7" x14ac:dyDescent="0.25">
      <c r="A27">
        <v>16</v>
      </c>
      <c r="B27" s="341" t="n">
        <v>0.0</v>
      </c>
      <c r="C27" s="11">
        <f si="0" t="shared"/>
        <v>0</v>
      </c>
      <c r="E27" s="35">
        <v>16</v>
      </c>
      <c r="F27" s="343" t="n">
        <v>1140.0</v>
      </c>
      <c r="G27" s="11">
        <f si="1" t="shared"/>
        <v>7.7517565772923262E-3</v>
      </c>
    </row>
    <row r="28" spans="1:7" x14ac:dyDescent="0.25">
      <c r="A28">
        <v>17</v>
      </c>
      <c r="B28" s="341" t="n">
        <v>0.0</v>
      </c>
      <c r="C28" s="11">
        <f si="0" t="shared"/>
        <v>0</v>
      </c>
      <c r="E28" s="36">
        <v>17</v>
      </c>
      <c r="F28" s="343" t="n">
        <v>1704.0</v>
      </c>
      <c r="G28" s="11">
        <f si="1" t="shared"/>
        <v>1.1806071526774275E-2</v>
      </c>
    </row>
    <row r="29" spans="1:7" x14ac:dyDescent="0.25">
      <c r="A29">
        <v>18</v>
      </c>
      <c r="B29" s="341" t="n">
        <v>0.0</v>
      </c>
      <c r="C29" s="11">
        <f si="0" t="shared"/>
        <v>0</v>
      </c>
      <c r="E29" s="37">
        <v>18</v>
      </c>
      <c r="F29" s="343" t="n">
        <v>793.0</v>
      </c>
      <c r="G29" s="11">
        <f si="1" t="shared"/>
        <v>5.3472494427510842E-3</v>
      </c>
    </row>
    <row r="30" spans="1:7" x14ac:dyDescent="0.25">
      <c r="A30">
        <v>19</v>
      </c>
      <c r="B30" s="341" t="n">
        <v>92.59117685140001</v>
      </c>
      <c r="C30" s="11">
        <f si="0" t="shared"/>
        <v>1.5379217667451951E-3</v>
      </c>
      <c r="E30" s="38">
        <v>19</v>
      </c>
      <c r="F30" s="343" t="n">
        <v>411.0</v>
      </c>
      <c r="G30" s="11">
        <f si="1" t="shared"/>
        <v>2.7613804562128135E-3</v>
      </c>
    </row>
    <row r="31" spans="1:7" x14ac:dyDescent="0.25">
      <c r="A31">
        <v>20</v>
      </c>
      <c r="B31" s="341" t="n">
        <v>44.1412807708</v>
      </c>
      <c r="C31" s="11">
        <f si="0" t="shared"/>
        <v>7.3317824460072186E-4</v>
      </c>
      <c r="E31" s="39">
        <v>20</v>
      </c>
      <c r="F31" s="343" t="n">
        <v>394.0</v>
      </c>
      <c r="G31" s="11">
        <f si="1" t="shared"/>
        <v>2.8783881026625091E-3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297.0</v>
      </c>
      <c r="G32" s="11">
        <f si="1" t="shared"/>
        <v>2.2055941355767598E-3</v>
      </c>
    </row>
    <row r="33" spans="1:7" x14ac:dyDescent="0.25">
      <c r="A33">
        <v>22</v>
      </c>
      <c r="B33" s="341" t="n">
        <v>0.0</v>
      </c>
      <c r="C33" s="11">
        <f si="0" t="shared"/>
        <v>0</v>
      </c>
      <c r="E33" s="41">
        <v>22</v>
      </c>
      <c r="F33" s="343" t="n">
        <v>356.0</v>
      </c>
      <c r="G33" s="11">
        <f si="1" t="shared"/>
        <v>2.2640979588016076E-3</v>
      </c>
    </row>
    <row r="34" spans="1:7" x14ac:dyDescent="0.25">
      <c r="A34">
        <v>23</v>
      </c>
      <c r="B34" s="341" t="n">
        <v>0.0</v>
      </c>
      <c r="C34" s="11">
        <f si="0" t="shared"/>
        <v>0</v>
      </c>
      <c r="E34" s="42">
        <v>23</v>
      </c>
      <c r="F34" s="343" t="n">
        <v>266.0</v>
      </c>
      <c r="G34" s="11">
        <f si="1" t="shared"/>
        <v>1.6147055210057977E-3</v>
      </c>
    </row>
    <row r="35" spans="1:7" x14ac:dyDescent="0.25">
      <c r="A35">
        <v>24</v>
      </c>
      <c r="B35" s="341" t="n">
        <v>0.0</v>
      </c>
      <c r="C35" s="11">
        <f si="0" t="shared"/>
        <v>0</v>
      </c>
      <c r="E35" s="43">
        <v>24</v>
      </c>
      <c r="F35" s="343" t="n">
        <v>623.0</v>
      </c>
      <c r="G35" s="11">
        <f si="1" t="shared"/>
        <v>4.7622112105026064E-3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324.0</v>
      </c>
      <c r="G36" s="11">
        <f si="1" t="shared"/>
        <v>1.6907604911980997E-3</v>
      </c>
    </row>
    <row r="37" spans="1:7" x14ac:dyDescent="0.25">
      <c r="A37">
        <v>26</v>
      </c>
      <c r="B37" s="341" t="n">
        <v>0.0</v>
      </c>
      <c r="C37" s="11">
        <f si="0" t="shared"/>
        <v>0</v>
      </c>
      <c r="E37" s="45">
        <v>26</v>
      </c>
      <c r="F37" s="343" t="n">
        <v>126.0</v>
      </c>
      <c r="G37" s="11">
        <f si="1" t="shared"/>
        <v>6.961954963756882E-4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125.0</v>
      </c>
      <c r="G38" s="11">
        <f si="1" t="shared"/>
        <v>9.3606117159756393E-4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126.0</v>
      </c>
      <c r="G39" s="11">
        <f si="1" t="shared"/>
        <v>4.2707790954138854E-4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130.0</v>
      </c>
      <c r="G40" s="11">
        <f si="1" t="shared"/>
        <v>1.1466749352070159E-3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115.0</v>
      </c>
      <c r="G41" s="11">
        <f si="1" t="shared"/>
        <v>5.96738996893447E-4</v>
      </c>
    </row>
    <row r="42" spans="1:7" x14ac:dyDescent="0.25">
      <c r="A42">
        <v>31</v>
      </c>
      <c r="B42" s="341" t="n">
        <v>0.0</v>
      </c>
      <c r="C42" s="11">
        <f si="0" t="shared"/>
        <v>0</v>
      </c>
      <c r="E42" s="50">
        <v>31</v>
      </c>
      <c r="F42" s="343" t="n">
        <v>60.0</v>
      </c>
      <c r="G42" s="11">
        <f si="1" t="shared"/>
        <v>4.5632982115381243E-4</v>
      </c>
    </row>
    <row r="43" spans="1:7" x14ac:dyDescent="0.25">
      <c r="A43">
        <v>32</v>
      </c>
      <c r="B43" s="341" t="n">
        <v>464.442048857</v>
      </c>
      <c r="C43" s="11">
        <f si="0" t="shared"/>
        <v>7.7142937439412789E-3</v>
      </c>
      <c r="E43" s="51">
        <v>32</v>
      </c>
      <c r="F43" s="343" t="n">
        <v>61.0</v>
      </c>
      <c r="G43" s="11">
        <f si="1" t="shared"/>
        <v>4.2707790954138854E-4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45.0</v>
      </c>
      <c r="G44" s="11">
        <f si="1" t="shared"/>
        <v>2.2816491057690621E-4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23.0</v>
      </c>
      <c r="G45" s="11">
        <f si="1" t="shared"/>
        <v>1.6966108735205846E-4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15.0</v>
      </c>
      <c r="G46" s="11">
        <f si="1" t="shared"/>
        <v>6.4354205547332519E-5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48.0</v>
      </c>
      <c r="G47" s="11">
        <f si="1" t="shared"/>
        <v>3.9197561560647988E-4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14.0</v>
      </c>
      <c r="G48" s="11">
        <f si="1" t="shared"/>
        <v>7.6054970192302067E-5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11.0</v>
      </c>
      <c r="G49" s="11">
        <f si="1" t="shared"/>
        <v>2.9251911612423873E-5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11.0</v>
      </c>
      <c r="G50" s="11">
        <f si="1" t="shared"/>
        <v>2.3401529289939099E-5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2.0</v>
      </c>
      <c r="G51" s="11">
        <f si="1" t="shared"/>
        <v>5.8503823224847747E-6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4.0</v>
      </c>
      <c r="G52" s="11">
        <f si="1" t="shared"/>
        <v>2.3401529289939099E-5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0.0</v>
      </c>
      <c r="G53" s="11">
        <f si="1" t="shared"/>
        <v>5.8503823224847747E-6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1.0</v>
      </c>
      <c r="G54" s="11">
        <f si="1" t="shared"/>
        <v>0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1.0</v>
      </c>
      <c r="G55" s="11">
        <f si="1" t="shared"/>
        <v>1.1700764644969549E-5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3.0</v>
      </c>
      <c r="G56" s="11">
        <f si="1" t="shared"/>
        <v>1.1700764644969549E-5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1.0</v>
      </c>
      <c r="G57" s="11">
        <f si="1" t="shared"/>
        <v>5.8503823224847747E-6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1.0</v>
      </c>
      <c r="G58" s="11">
        <f si="1" t="shared"/>
        <v>0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0.0</v>
      </c>
      <c r="G59" s="11">
        <f si="1" t="shared"/>
        <v>0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1.0</v>
      </c>
      <c r="G60" s="11">
        <f si="1" t="shared"/>
        <v>0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0.0</v>
      </c>
      <c r="G61" s="11">
        <f si="1" t="shared"/>
        <v>0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2.0</v>
      </c>
      <c r="G62" s="11">
        <f si="1" t="shared"/>
        <v>0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0.0</v>
      </c>
      <c r="G63" s="11">
        <f si="1" t="shared"/>
        <v>0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0.0</v>
      </c>
      <c r="G64" s="11">
        <f si="1" t="shared"/>
        <v>0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1.0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60205.388111098</v>
      </c>
      <c r="C102" s="11">
        <f si="2" t="shared"/>
        <v>1</v>
      </c>
      <c r="F102" s="341">
        <f>SUM(F11:F101)</f>
        <v>170929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1528.0</v>
      </c>
      <c r="G11" s="11">
        <f>F11/F$102</f>
        <v>8.8399276892744943E-3</v>
      </c>
      <c r="K11" s="8" t="n">
        <v>9.17593557833008</v>
      </c>
      <c r="L11" s="8" t="n">
        <v>15.110060795353316</v>
      </c>
    </row>
    <row r="12" spans="1:12" x14ac:dyDescent="0.25">
      <c r="A12">
        <v>1</v>
      </c>
      <c r="B12" s="8" t="n">
        <v>1213.9305369145</v>
      </c>
      <c r="C12" s="11">
        <f>B12/B$102</f>
        <v>2.0163154411934253E-2</v>
      </c>
      <c r="E12" s="110">
        <v>1</v>
      </c>
      <c r="F12" s="200" t="n">
        <v>5279.0</v>
      </c>
      <c r="G12" s="11">
        <f>F12/F$102</f>
        <v>3.1545261482837907E-2</v>
      </c>
      <c r="K12" s="8"/>
      <c r="L12" s="290"/>
    </row>
    <row r="13" spans="1:12" x14ac:dyDescent="0.25">
      <c r="A13">
        <v>2</v>
      </c>
      <c r="B13" s="8" t="n">
        <v>3724.920708267</v>
      </c>
      <c r="C13" s="11">
        <f ref="C13:C76" si="0" t="shared">B13/B$102</f>
        <v>6.1870221671743754E-2</v>
      </c>
      <c r="E13" s="111">
        <v>2</v>
      </c>
      <c r="F13" s="201" t="n">
        <v>7802.0</v>
      </c>
      <c r="G13" s="11">
        <f ref="G13:G76" si="1" t="shared">F13/F$102</f>
        <v>4.5036243118487793E-2</v>
      </c>
    </row>
    <row r="14" spans="1:12" x14ac:dyDescent="0.25">
      <c r="A14">
        <v>3</v>
      </c>
      <c r="B14" s="8" t="n">
        <v>1739.63564769</v>
      </c>
      <c r="C14" s="11">
        <f si="0" t="shared"/>
        <v>2.8895015915848282E-2</v>
      </c>
      <c r="E14" s="112">
        <v>3</v>
      </c>
      <c r="F14" s="202" t="n">
        <v>9797.0</v>
      </c>
      <c r="G14" s="11">
        <f si="1" t="shared"/>
        <v>5.8369264431430597E-2</v>
      </c>
    </row>
    <row r="15" spans="1:12" x14ac:dyDescent="0.25">
      <c r="A15">
        <v>4</v>
      </c>
      <c r="B15" s="8" t="n">
        <v>7680.066178148</v>
      </c>
      <c r="C15" s="11">
        <f si="0" t="shared"/>
        <v>0.12756443267130585</v>
      </c>
      <c r="E15" s="113">
        <v>4</v>
      </c>
      <c r="F15" s="203" t="n">
        <v>9824.0</v>
      </c>
      <c r="G15" s="11">
        <f si="1" t="shared"/>
        <v>5.6280677942303528E-2</v>
      </c>
    </row>
    <row r="16" spans="1:12" x14ac:dyDescent="0.25">
      <c r="A16">
        <v>5</v>
      </c>
      <c r="B16" s="8" t="n">
        <v>5864.0835876341</v>
      </c>
      <c r="C16" s="11">
        <f si="0" t="shared"/>
        <v>9.7401308613989962E-2</v>
      </c>
      <c r="E16" s="114">
        <v>5</v>
      </c>
      <c r="F16" s="204" t="n">
        <v>8300.0</v>
      </c>
      <c r="G16" s="11">
        <f si="1" t="shared"/>
        <v>5.0699413206653055E-2</v>
      </c>
    </row>
    <row r="17" spans="1:7" x14ac:dyDescent="0.25">
      <c r="A17">
        <v>6</v>
      </c>
      <c r="B17" s="8" t="n">
        <v>3383.798457088</v>
      </c>
      <c r="C17" s="11">
        <f si="0" t="shared"/>
        <v>5.6204246218690919E-2</v>
      </c>
      <c r="E17" s="115">
        <v>6</v>
      </c>
      <c r="F17" s="205" t="n">
        <v>7162.0</v>
      </c>
      <c r="G17" s="11">
        <f si="1" t="shared"/>
        <v>4.1853635135056078E-2</v>
      </c>
    </row>
    <row r="18" spans="1:7" x14ac:dyDescent="0.25">
      <c r="A18">
        <v>7</v>
      </c>
      <c r="B18" s="8" t="n">
        <v>7063.0649348117</v>
      </c>
      <c r="C18" s="11">
        <f si="0" t="shared"/>
        <v>0.11731615983901819</v>
      </c>
      <c r="E18" s="116">
        <v>7</v>
      </c>
      <c r="F18" s="206" t="n">
        <v>6965.0</v>
      </c>
      <c r="G18" s="11">
        <f si="1" t="shared"/>
        <v>4.0472944906949672E-2</v>
      </c>
    </row>
    <row r="19" spans="1:7" x14ac:dyDescent="0.25">
      <c r="A19">
        <v>8</v>
      </c>
      <c r="B19" s="8" t="n">
        <v>3529.705995381</v>
      </c>
      <c r="C19" s="11">
        <f si="0" t="shared"/>
        <v>5.8627742567950461E-2</v>
      </c>
      <c r="E19" s="117">
        <v>8</v>
      </c>
      <c r="F19" s="207" t="n">
        <v>5695.0</v>
      </c>
      <c r="G19" s="11">
        <f si="1" t="shared"/>
        <v>3.3376431149775634E-2</v>
      </c>
    </row>
    <row r="20" spans="1:7" x14ac:dyDescent="0.25">
      <c r="A20">
        <v>9</v>
      </c>
      <c r="B20" s="8" t="n">
        <v>2450.492518207</v>
      </c>
      <c r="C20" s="11">
        <f si="0" t="shared"/>
        <v>4.0702212793397578E-2</v>
      </c>
      <c r="E20" s="118">
        <v>9</v>
      </c>
      <c r="F20" s="208" t="n">
        <v>5145.0</v>
      </c>
      <c r="G20" s="11">
        <f si="1" t="shared"/>
        <v>2.8947691731654665E-2</v>
      </c>
    </row>
    <row r="21" spans="1:7" x14ac:dyDescent="0.25">
      <c r="A21">
        <v>10</v>
      </c>
      <c r="B21" s="8" t="n">
        <v>7359.6219826975</v>
      </c>
      <c r="C21" s="11">
        <f si="0" t="shared"/>
        <v>0.1222419157753234</v>
      </c>
      <c r="E21" s="119">
        <v>10</v>
      </c>
      <c r="F21" s="209" t="n">
        <v>4937.0</v>
      </c>
      <c r="G21" s="11">
        <f si="1" t="shared"/>
        <v>2.9076400142749328E-2</v>
      </c>
    </row>
    <row r="22" spans="1:7" x14ac:dyDescent="0.25">
      <c r="A22">
        <v>11</v>
      </c>
      <c r="B22" s="8" t="n">
        <v>3260.555490085</v>
      </c>
      <c r="C22" s="11">
        <f si="0" t="shared"/>
        <v>5.415720407064302E-2</v>
      </c>
      <c r="E22" s="120">
        <v>11</v>
      </c>
      <c r="F22" s="210" t="n">
        <v>4533.0</v>
      </c>
      <c r="G22" s="11">
        <f si="1" t="shared"/>
        <v>2.7040467094524626E-2</v>
      </c>
    </row>
    <row r="23" spans="1:7" x14ac:dyDescent="0.25">
      <c r="A23">
        <v>12</v>
      </c>
      <c r="B23" s="8" t="n">
        <v>1905.987212251</v>
      </c>
      <c r="C23" s="11">
        <f si="0" t="shared"/>
        <v>3.1658083637528422E-2</v>
      </c>
      <c r="E23" s="121">
        <v>12</v>
      </c>
      <c r="F23" s="211" t="n">
        <v>4035.0</v>
      </c>
      <c r="G23" s="11">
        <f si="1" t="shared"/>
        <v>2.4284937020634299E-2</v>
      </c>
    </row>
    <row r="24" spans="1:7" x14ac:dyDescent="0.25">
      <c r="A24">
        <v>13</v>
      </c>
      <c r="B24" s="8" t="n">
        <v>731.1204108</v>
      </c>
      <c r="C24" s="11">
        <f si="0" t="shared"/>
        <v>1.2143770412223755E-2</v>
      </c>
      <c r="E24" s="122">
        <v>13</v>
      </c>
      <c r="F24" s="212" t="n">
        <v>3438.0</v>
      </c>
      <c r="G24" s="11">
        <f si="1" t="shared"/>
        <v>2.0950219096817976E-2</v>
      </c>
    </row>
    <row r="25" spans="1:7" x14ac:dyDescent="0.25">
      <c r="A25">
        <v>14</v>
      </c>
      <c r="B25" s="8" t="n">
        <v>2453.135096614</v>
      </c>
      <c r="C25" s="11">
        <f si="0" t="shared"/>
        <v>4.0746105516124044E-2</v>
      </c>
      <c r="E25" s="123">
        <v>14</v>
      </c>
      <c r="F25" s="213" t="n">
        <v>3094.0</v>
      </c>
      <c r="G25" s="11">
        <f si="1" t="shared"/>
        <v>1.823564169918504E-2</v>
      </c>
    </row>
    <row r="26" spans="1:7" x14ac:dyDescent="0.25">
      <c r="A26">
        <v>15</v>
      </c>
      <c r="B26" s="8" t="n">
        <v>1553.501097341</v>
      </c>
      <c r="C26" s="11">
        <f si="0" t="shared"/>
        <v>2.5803356577891307E-2</v>
      </c>
      <c r="E26" s="124">
        <v>15</v>
      </c>
      <c r="F26" s="214" t="n">
        <v>2913.0</v>
      </c>
      <c r="G26" s="11">
        <f si="1" t="shared"/>
        <v>1.8007476788608135E-2</v>
      </c>
    </row>
    <row r="27" spans="1:7" x14ac:dyDescent="0.25">
      <c r="A27">
        <v>16</v>
      </c>
      <c r="B27" s="8" t="n">
        <v>0.0</v>
      </c>
      <c r="C27" s="11">
        <f si="0" t="shared"/>
        <v>0</v>
      </c>
      <c r="E27" s="125">
        <v>16</v>
      </c>
      <c r="F27" s="215" t="n">
        <v>2914.0</v>
      </c>
      <c r="G27" s="11">
        <f si="1" t="shared"/>
        <v>1.789046914215844E-2</v>
      </c>
    </row>
    <row r="28" spans="1:7" x14ac:dyDescent="0.25">
      <c r="A28">
        <v>17</v>
      </c>
      <c r="B28" s="8" t="n">
        <v>371.518941673</v>
      </c>
      <c r="C28" s="11">
        <f si="0" t="shared"/>
        <v>6.1708586777553835E-3</v>
      </c>
      <c r="E28" s="126">
        <v>17</v>
      </c>
      <c r="F28" s="216" t="n">
        <v>2469.0</v>
      </c>
      <c r="G28" s="11">
        <f si="1" t="shared"/>
        <v>1.5702426153549134E-2</v>
      </c>
    </row>
    <row r="29" spans="1:7" x14ac:dyDescent="0.25">
      <c r="A29">
        <v>18</v>
      </c>
      <c r="B29" s="8" t="n">
        <v>0.0</v>
      </c>
      <c r="C29" s="11">
        <f si="0" t="shared"/>
        <v>0</v>
      </c>
      <c r="E29" s="127">
        <v>18</v>
      </c>
      <c r="F29" s="217" t="n">
        <v>9291.0</v>
      </c>
      <c r="G29" s="11">
        <f si="1" t="shared"/>
        <v>5.4619169362717851E-2</v>
      </c>
    </row>
    <row r="30" spans="1:7" x14ac:dyDescent="0.25">
      <c r="A30">
        <v>19</v>
      </c>
      <c r="B30" s="8" t="n">
        <v>528.042675668</v>
      </c>
      <c r="C30" s="11">
        <f si="0" t="shared"/>
        <v>8.7706880104085373E-3</v>
      </c>
      <c r="E30" s="128">
        <v>19</v>
      </c>
      <c r="F30" s="218" t="n">
        <v>6826.0</v>
      </c>
      <c r="G30" s="11">
        <f si="1" t="shared"/>
        <v>4.0701109817526573E-2</v>
      </c>
    </row>
    <row r="31" spans="1:7" x14ac:dyDescent="0.25">
      <c r="A31">
        <v>20</v>
      </c>
      <c r="B31" s="8" t="n">
        <v>592.322814359</v>
      </c>
      <c r="C31" s="11">
        <f si="0" t="shared"/>
        <v>9.8383688394463424E-3</v>
      </c>
      <c r="E31" s="129">
        <v>20</v>
      </c>
      <c r="F31" s="219" t="n">
        <v>5631.0</v>
      </c>
      <c r="G31" s="11">
        <f si="1" t="shared"/>
        <v>3.5617127579287304E-2</v>
      </c>
    </row>
    <row r="32" spans="1:7" x14ac:dyDescent="0.25">
      <c r="A32">
        <v>21</v>
      </c>
      <c r="B32" s="8" t="n">
        <v>580.468788606</v>
      </c>
      <c r="C32" s="11">
        <f si="0" t="shared"/>
        <v>9.6414757352755731E-3</v>
      </c>
      <c r="E32" s="130">
        <v>21</v>
      </c>
      <c r="F32" s="220" t="n">
        <v>6688.0</v>
      </c>
      <c r="G32" s="11">
        <f si="1" t="shared"/>
        <v>4.0092670055988155E-2</v>
      </c>
    </row>
    <row r="33" spans="1:7" x14ac:dyDescent="0.25">
      <c r="A33">
        <v>22</v>
      </c>
      <c r="B33" s="8" t="n">
        <v>0.0</v>
      </c>
      <c r="C33" s="11">
        <f si="0" t="shared"/>
        <v>0</v>
      </c>
      <c r="E33" s="131">
        <v>22</v>
      </c>
      <c r="F33" s="221" t="n">
        <v>6134.0</v>
      </c>
      <c r="G33" s="11">
        <f si="1" t="shared"/>
        <v>3.8027485096151031E-2</v>
      </c>
    </row>
    <row r="34" spans="1:7" x14ac:dyDescent="0.25">
      <c r="A34">
        <v>23</v>
      </c>
      <c r="B34" s="8" t="n">
        <v>375.564081349</v>
      </c>
      <c r="C34" s="11">
        <f si="0" t="shared"/>
        <v>6.2380476753337308E-3</v>
      </c>
      <c r="E34" s="132">
        <v>23</v>
      </c>
      <c r="F34" s="222" t="n">
        <v>4231.0</v>
      </c>
      <c r="G34" s="11">
        <f si="1" t="shared"/>
        <v>2.667774339053057E-2</v>
      </c>
    </row>
    <row r="35" spans="1:7" x14ac:dyDescent="0.25">
      <c r="A35">
        <v>24</v>
      </c>
      <c r="B35" s="8" t="n">
        <v>1325.8378067</v>
      </c>
      <c r="C35" s="11">
        <f si="0" t="shared"/>
        <v>2.2021912793808576E-2</v>
      </c>
      <c r="E35" s="133">
        <v>24</v>
      </c>
      <c r="F35" s="223" t="n">
        <v>3707.0</v>
      </c>
      <c r="G35" s="11">
        <f si="1" t="shared"/>
        <v>2.3699898788385822E-2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134">
        <v>25</v>
      </c>
      <c r="F36" s="224" t="n">
        <v>3381.0</v>
      </c>
      <c r="G36" s="11">
        <f si="1" t="shared"/>
        <v>2.0821510685723313E-2</v>
      </c>
    </row>
    <row r="37" spans="1:7" x14ac:dyDescent="0.25">
      <c r="A37">
        <v>26</v>
      </c>
      <c r="B37" s="8" t="n">
        <v>1514.041722506</v>
      </c>
      <c r="C37" s="11">
        <f si="0" t="shared"/>
        <v>2.5147943896850451E-2</v>
      </c>
      <c r="E37" s="135">
        <v>26</v>
      </c>
      <c r="F37" s="225" t="n">
        <v>2512.0</v>
      </c>
      <c r="G37" s="11">
        <f si="1" t="shared"/>
        <v>1.553861544851956E-2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136">
        <v>27</v>
      </c>
      <c r="F38" s="226" t="n">
        <v>1958.0</v>
      </c>
      <c r="G38" s="11">
        <f si="1" t="shared"/>
        <v>1.2946896079658805E-2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2267.0</v>
      </c>
      <c r="G39" s="11">
        <f si="1" t="shared"/>
        <v>1.2894242638756442E-2</v>
      </c>
    </row>
    <row r="40" spans="1:7" x14ac:dyDescent="0.25">
      <c r="A40">
        <v>29</v>
      </c>
      <c r="B40" s="8" t="n">
        <v>0.0</v>
      </c>
      <c r="C40" s="11">
        <f si="0" t="shared"/>
        <v>0</v>
      </c>
      <c r="E40" s="138">
        <v>29</v>
      </c>
      <c r="F40" s="228" t="n">
        <v>1640.0</v>
      </c>
      <c r="G40" s="11">
        <f si="1" t="shared"/>
        <v>1.1063072971818709E-2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139">
        <v>30</v>
      </c>
      <c r="F41" s="229" t="n">
        <v>2254.0</v>
      </c>
      <c r="G41" s="11">
        <f si="1" t="shared"/>
        <v>1.4538200071374664E-2</v>
      </c>
    </row>
    <row r="42" spans="1:7" x14ac:dyDescent="0.25">
      <c r="A42">
        <v>31</v>
      </c>
      <c r="B42" s="8" t="n">
        <v>421.9669505988</v>
      </c>
      <c r="C42" s="11">
        <f si="0" t="shared"/>
        <v>7.0087904727088096E-3</v>
      </c>
      <c r="E42" s="140">
        <v>31</v>
      </c>
      <c r="F42" s="230" t="n">
        <v>1945.0</v>
      </c>
      <c r="G42" s="11">
        <f si="1" t="shared"/>
        <v>1.2157094466123361E-2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141">
        <v>32</v>
      </c>
      <c r="F43" s="231" t="n">
        <v>2808.0</v>
      </c>
      <c r="G43" s="11">
        <f si="1" t="shared"/>
        <v>1.6802298030176271E-2</v>
      </c>
    </row>
    <row r="44" spans="1:7" x14ac:dyDescent="0.25">
      <c r="A44">
        <v>33</v>
      </c>
      <c r="B44" s="8" t="n">
        <v>24.97125</v>
      </c>
      <c r="C44" s="11">
        <f si="0" t="shared"/>
        <v>4.1476769411269524E-4</v>
      </c>
      <c r="E44" s="142">
        <v>33</v>
      </c>
      <c r="F44" s="232" t="n">
        <v>1349.0</v>
      </c>
      <c r="G44" s="11">
        <f si="1" t="shared"/>
        <v>9.0095887766265519E-3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143">
        <v>34</v>
      </c>
      <c r="F45" s="233" t="n">
        <v>845.0</v>
      </c>
      <c r="G45" s="11">
        <f si="1" t="shared"/>
        <v>5.6397685588753226E-3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144">
        <v>35</v>
      </c>
      <c r="F46" s="234" t="n">
        <v>703.0</v>
      </c>
      <c r="G46" s="11">
        <f si="1" t="shared"/>
        <v>5.2711944725587819E-3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145">
        <v>36</v>
      </c>
      <c r="F47" s="235" t="n">
        <v>1141.0</v>
      </c>
      <c r="G47" s="11">
        <f si="1" t="shared"/>
        <v>7.3539305793633618E-3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146">
        <v>37</v>
      </c>
      <c r="F48" s="236" t="n">
        <v>717.0</v>
      </c>
      <c r="G48" s="11">
        <f si="1" t="shared"/>
        <v>5.628067794230353E-3</v>
      </c>
    </row>
    <row r="49" spans="1:7" x14ac:dyDescent="0.25">
      <c r="A49">
        <v>38</v>
      </c>
      <c r="B49" s="8" t="n">
        <v>92.59117685140001</v>
      </c>
      <c r="C49" s="11">
        <f si="0" t="shared"/>
        <v>1.5379217667451949E-3</v>
      </c>
      <c r="E49" s="147">
        <v>38</v>
      </c>
      <c r="F49" s="237" t="n">
        <v>752.0</v>
      </c>
      <c r="G49" s="11">
        <f si="1" t="shared"/>
        <v>2.8666873380175394E-3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412.0</v>
      </c>
      <c r="G50" s="11">
        <f si="1" t="shared"/>
        <v>2.9895453667897198E-3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149">
        <v>40</v>
      </c>
      <c r="F51" s="239" t="n">
        <v>570.0</v>
      </c>
      <c r="G51" s="11">
        <f si="1" t="shared"/>
        <v>3.9314569207097687E-3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150">
        <v>41</v>
      </c>
      <c r="F52" s="240" t="n">
        <v>365.0</v>
      </c>
      <c r="G52" s="11">
        <f si="1" t="shared"/>
        <v>2.5039636340234836E-3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267.0</v>
      </c>
      <c r="G53" s="11">
        <f si="1" t="shared"/>
        <v>1.6790597265531303E-3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178.0</v>
      </c>
      <c r="G54" s="11">
        <f si="1" t="shared"/>
        <v>1.0823207296596833E-3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148.0</v>
      </c>
      <c r="G55" s="11">
        <f si="1" t="shared"/>
        <v>1.0530688180472594E-3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164.0</v>
      </c>
      <c r="G56" s="11">
        <f si="1" t="shared"/>
        <v>1.3338871695265286E-3</v>
      </c>
    </row>
    <row r="57" spans="1:7" x14ac:dyDescent="0.25">
      <c r="A57">
        <v>46</v>
      </c>
      <c r="B57" s="8" t="n">
        <v>464.442048857</v>
      </c>
      <c r="C57" s="11">
        <f si="0" t="shared"/>
        <v>7.7142937439412772E-3</v>
      </c>
      <c r="E57" s="155">
        <v>46</v>
      </c>
      <c r="F57" s="245" t="n">
        <v>252.0</v>
      </c>
      <c r="G57" s="11">
        <f si="1" t="shared"/>
        <v>1.3280367872040438E-3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201.0</v>
      </c>
      <c r="G58" s="11">
        <f si="1" t="shared"/>
        <v>1.2344306700442873E-3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109.0</v>
      </c>
      <c r="G59" s="11">
        <f si="1" t="shared"/>
        <v>5.6163670295853829E-4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102.0</v>
      </c>
      <c r="G60" s="11">
        <f si="1" t="shared"/>
        <v>5.3238479134611451E-4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70.0</v>
      </c>
      <c r="G61" s="11">
        <f si="1" t="shared"/>
        <v>4.4462905650884284E-4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89.0</v>
      </c>
      <c r="G62" s="11">
        <f si="1" t="shared"/>
        <v>5.7918784992599265E-4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77.0</v>
      </c>
      <c r="G63" s="11">
        <f si="1" t="shared"/>
        <v>5.3238479134611451E-4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58.0</v>
      </c>
      <c r="G64" s="11">
        <f si="1" t="shared"/>
        <v>3.6857408631654076E-4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49.0</v>
      </c>
      <c r="G65" s="11">
        <f si="1" t="shared"/>
        <v>1.8721223431951279E-4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32.0</v>
      </c>
      <c r="G66" s="11">
        <f si="1" t="shared"/>
        <v>2.1646414593193665E-4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24.0</v>
      </c>
      <c r="G67" s="11">
        <f si="1" t="shared"/>
        <v>1.7551146967454323E-4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30.0</v>
      </c>
      <c r="G68" s="11">
        <f si="1" t="shared"/>
        <v>8.7755734837271615E-5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27.0</v>
      </c>
      <c r="G69" s="11">
        <f si="1" t="shared"/>
        <v>9.3606117159756395E-5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14.0</v>
      </c>
      <c r="G70" s="11">
        <f si="1" t="shared"/>
        <v>8.1905352514786848E-5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12.0</v>
      </c>
      <c r="G71" s="11">
        <f si="1" t="shared"/>
        <v>7.0204587869817286E-5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6.0</v>
      </c>
      <c r="G72" s="11">
        <f si="1" t="shared"/>
        <v>7.0204587869817286E-5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21.0</v>
      </c>
      <c r="G73" s="11">
        <f si="1" t="shared"/>
        <v>8.1905352514786848E-5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8.0</v>
      </c>
      <c r="G74" s="11">
        <f si="1" t="shared"/>
        <v>2.9251911612423873E-5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5.0</v>
      </c>
      <c r="G75" s="11">
        <f si="1" t="shared"/>
        <v>4.0952676257393424E-5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5.0</v>
      </c>
      <c r="G76" s="11">
        <f si="1" t="shared"/>
        <v>2.9251911612423873E-5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3.0</v>
      </c>
      <c r="G77" s="11">
        <f ref="G77:G102" si="3" t="shared">F77/F$102</f>
        <v>2.9251911612423873E-5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5.0</v>
      </c>
      <c r="G78" s="11">
        <f si="3" t="shared"/>
        <v>2.3401529289939099E-5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4.0</v>
      </c>
      <c r="G79" s="11">
        <f si="3" t="shared"/>
        <v>2.9251911612423873E-5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2.0</v>
      </c>
      <c r="G80" s="11">
        <f si="3" t="shared"/>
        <v>5.8503823224847747E-6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0.0</v>
      </c>
      <c r="G82" s="11">
        <f si="3" t="shared"/>
        <v>5.8503823224847747E-6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1.0</v>
      </c>
      <c r="G83" s="11">
        <f si="3" t="shared"/>
        <v>5.8503823224847747E-6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1.0</v>
      </c>
      <c r="G84" s="11">
        <f si="3" t="shared"/>
        <v>5.8503823224847747E-6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0.0</v>
      </c>
      <c r="G101" s="11">
        <f si="3" t="shared"/>
        <v>0</v>
      </c>
    </row>
    <row r="102" spans="1:7" x14ac:dyDescent="0.25">
      <c r="B102" s="8">
        <f>SUM(B11:B101)</f>
        <v>60205.388111098015</v>
      </c>
      <c r="C102" s="11">
        <f si="2" t="shared"/>
        <v>1</v>
      </c>
      <c r="F102" s="8">
        <f>SUM(F11:F101)</f>
        <v>170929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11338.0</v>
      </c>
      <c r="N7" s="343" t="n">
        <v>8101.0</v>
      </c>
      <c r="O7" s="343" t="n">
        <v>510.0</v>
      </c>
      <c r="P7" s="343" t="n">
        <v>1946.0</v>
      </c>
      <c r="Q7" s="343" t="n">
        <v>226.0</v>
      </c>
      <c r="R7" s="343" t="n">
        <v>168.0</v>
      </c>
      <c r="S7" s="343" t="n">
        <v>1579.0</v>
      </c>
      <c r="T7" s="291"/>
      <c r="U7" s="12">
        <f>SUM(M7:T7)</f>
        <v>23994</v>
      </c>
    </row>
    <row r="8" spans="1:21" x14ac:dyDescent="0.2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1607.0709929650002</v>
      </c>
      <c r="K8" s="12"/>
      <c r="L8" t="str">
        <f>$A$8</f>
        <v>Bellevue Downtown</v>
      </c>
      <c r="M8" s="343" t="n">
        <v>430.0</v>
      </c>
      <c r="N8" s="343" t="n">
        <v>2443.0</v>
      </c>
      <c r="O8" s="343" t="n">
        <v>26.0</v>
      </c>
      <c r="P8" s="343" t="n">
        <v>22.0</v>
      </c>
      <c r="Q8" s="343" t="n">
        <v>8.0</v>
      </c>
      <c r="R8" s="343" t="n">
        <v>1.0</v>
      </c>
      <c r="S8" s="343" t="n">
        <v>6.0</v>
      </c>
      <c r="T8" s="291"/>
      <c r="U8" s="12">
        <f ref="U8:U14" si="1" t="shared">SUM(M8:T8)</f>
        <v>2750</v>
      </c>
    </row>
    <row r="9" spans="1:21" x14ac:dyDescent="0.2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si="0" t="shared"/>
        <v>20932.738866469503</v>
      </c>
      <c r="K9" s="13"/>
      <c r="L9" t="str">
        <f>$A$9</f>
        <v>Kirkland</v>
      </c>
      <c r="M9" s="343" t="n">
        <v>804.0</v>
      </c>
      <c r="N9" s="343" t="n">
        <v>1565.0</v>
      </c>
      <c r="O9" s="343" t="n">
        <v>14100.0</v>
      </c>
      <c r="P9" s="343" t="n">
        <v>2420.0</v>
      </c>
      <c r="Q9" s="343" t="n">
        <v>855.0</v>
      </c>
      <c r="R9" s="343" t="n">
        <v>75.0</v>
      </c>
      <c r="S9" s="343" t="n">
        <v>1351.0</v>
      </c>
      <c r="T9" s="291"/>
      <c r="U9" s="12">
        <f si="1" t="shared"/>
        <v>21130</v>
      </c>
    </row>
    <row r="10" spans="1:21" x14ac:dyDescent="0.2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si="0" t="shared"/>
        <v>19696.594297641499</v>
      </c>
      <c r="K10" s="13"/>
      <c r="L10" t="str">
        <f>$A$10</f>
        <v>Redmond</v>
      </c>
      <c r="M10" s="343" t="n">
        <v>1801.0</v>
      </c>
      <c r="N10" s="343" t="n">
        <v>875.0</v>
      </c>
      <c r="O10" s="343" t="n">
        <v>2193.0</v>
      </c>
      <c r="P10" s="343" t="n">
        <v>11269.0</v>
      </c>
      <c r="Q10" s="343" t="n">
        <v>83.0</v>
      </c>
      <c r="R10" s="343" t="n">
        <v>12.0</v>
      </c>
      <c r="S10" s="343" t="n">
        <v>611.0</v>
      </c>
      <c r="T10" s="291"/>
      <c r="U10" s="12">
        <f si="1" t="shared"/>
        <v>16729</v>
      </c>
    </row>
    <row r="11" spans="1:21" x14ac:dyDescent="0.25">
      <c r="A11" t="s">
        <v>248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611.0</v>
      </c>
      <c r="N11" s="343" t="n">
        <v>1133.0</v>
      </c>
      <c r="O11" s="343" t="n">
        <v>1061.0</v>
      </c>
      <c r="P11" s="343" t="n">
        <v>289.0</v>
      </c>
      <c r="Q11" s="343" t="n">
        <v>14407.0</v>
      </c>
      <c r="R11" s="343" t="n">
        <v>1982.0</v>
      </c>
      <c r="S11" s="343" t="n">
        <v>1496.0</v>
      </c>
      <c r="T11" s="291"/>
      <c r="U11" s="12">
        <f si="1" t="shared"/>
        <v>23007</v>
      </c>
    </row>
    <row r="12" spans="1:21" x14ac:dyDescent="0.25">
      <c r="A12" t="s">
        <v>253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28.0</v>
      </c>
      <c r="N12" s="343" t="n">
        <v>75.0</v>
      </c>
      <c r="O12" s="343" t="n">
        <v>9.0</v>
      </c>
      <c r="P12" s="343" t="n">
        <v>6.0</v>
      </c>
      <c r="Q12" s="343" t="n">
        <v>146.0</v>
      </c>
      <c r="R12" s="343" t="n">
        <v>1409.0</v>
      </c>
      <c r="S12" s="343" t="n">
        <v>5.0</v>
      </c>
      <c r="T12" s="291"/>
      <c r="U12" s="12">
        <f si="1" t="shared"/>
        <v>1704</v>
      </c>
    </row>
    <row r="13" spans="1:21" x14ac:dyDescent="0.25">
      <c r="A13" t="s">
        <v>254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343" t="n">
        <v>3490.0</v>
      </c>
      <c r="N13" s="343" t="n">
        <v>3554.0</v>
      </c>
      <c r="O13" s="343" t="n">
        <v>3413.0</v>
      </c>
      <c r="P13" s="343" t="n">
        <v>5977.0</v>
      </c>
      <c r="Q13" s="343" t="n">
        <v>1613.0</v>
      </c>
      <c r="R13" s="343" t="n">
        <v>328.0</v>
      </c>
      <c r="S13" s="343" t="n">
        <v>60077.0</v>
      </c>
      <c r="T13" s="291"/>
      <c r="U13" s="12">
        <f si="1" t="shared"/>
        <v>81615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11391.920525616601</v>
      </c>
      <c r="C15" s="15">
        <f si="2" t="shared"/>
        <v>4339.0500914909999</v>
      </c>
      <c r="D15" s="15">
        <f si="2" t="shared"/>
        <v>16125.5887760818</v>
      </c>
      <c r="E15" s="15">
        <f si="2" t="shared"/>
        <v>21834.343091736398</v>
      </c>
      <c r="F15" s="15">
        <f si="2" t="shared"/>
        <v>1490.1393184322001</v>
      </c>
      <c r="G15" s="15">
        <f si="2" t="shared"/>
        <v>194.27564340800001</v>
      </c>
      <c r="H15" s="15">
        <f si="2" t="shared"/>
        <v>4830.070664332</v>
      </c>
      <c r="I15" s="15">
        <f si="2" t="shared"/>
        <v>0</v>
      </c>
      <c r="J15" s="15">
        <f si="2" t="shared"/>
        <v>60205.388111098</v>
      </c>
      <c r="K15" s="12"/>
      <c r="L15" s="15" t="s">
        <v>4</v>
      </c>
      <c r="M15" s="15">
        <f ref="M15:U15" si="3" t="shared">SUM(M7:M14)</f>
        <v>17943</v>
      </c>
      <c r="N15" s="15">
        <f si="3" t="shared"/>
        <v>20255</v>
      </c>
      <c r="O15" s="15">
        <f si="3" t="shared"/>
        <v>22330</v>
      </c>
      <c r="P15" s="15">
        <f si="3" t="shared"/>
        <v>22835</v>
      </c>
      <c r="Q15" s="15">
        <f si="3" t="shared"/>
        <v>18760</v>
      </c>
      <c r="R15" s="15">
        <f si="3" t="shared"/>
        <v>3417</v>
      </c>
      <c r="S15" s="15">
        <f si="3" t="shared"/>
        <v>65389</v>
      </c>
      <c r="T15" s="15">
        <f si="3" t="shared"/>
        <v>0</v>
      </c>
      <c r="U15" s="15">
        <f si="3" t="shared"/>
        <v>170929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13601.386249102919</v>
      </c>
      <c r="C20" s="12">
        <f si="4" t="shared"/>
        <v>3805.0206509676332</v>
      </c>
      <c r="D20" s="12">
        <f si="4" t="shared"/>
        <v>2364.8028341814052</v>
      </c>
      <c r="E20" s="12">
        <f si="4" t="shared"/>
        <v>791.99283625682835</v>
      </c>
      <c r="F20" s="12">
        <f si="4" t="shared"/>
        <v>493.16999631610975</v>
      </c>
      <c r="G20" s="12">
        <f si="4" t="shared"/>
        <v>259.41643666993087</v>
      </c>
      <c r="H20" s="12">
        <f ref="H20" si="5" t="shared">($U7/$J7)*H7</f>
        <v>2678.2109965051768</v>
      </c>
      <c r="I20" s="12"/>
      <c r="J20" s="12">
        <f>SUM(B20:I20)</f>
        <v>23994</v>
      </c>
      <c r="K20" s="12"/>
      <c r="L20" t="str">
        <f>$A$7</f>
        <v>Bellevue</v>
      </c>
      <c r="M20" s="12">
        <f ref="M20:M26" si="6" t="shared">M7</f>
        <v>10669</v>
      </c>
      <c r="N20" s="12">
        <f ref="N20:U20" si="7" t="shared">N7</f>
        <v>9094</v>
      </c>
      <c r="O20" s="12">
        <f si="7" t="shared"/>
        <v>492</v>
      </c>
      <c r="P20" s="12">
        <f si="7" t="shared"/>
        <v>1982</v>
      </c>
      <c r="Q20" s="12">
        <f si="7" t="shared"/>
        <v>245</v>
      </c>
      <c r="R20" s="12">
        <f si="7" t="shared"/>
        <v>131</v>
      </c>
      <c r="S20" s="12">
        <f ref="S20" si="8" t="shared">S7</f>
        <v>1381</v>
      </c>
      <c r="T20" s="12"/>
      <c r="U20" s="12">
        <f si="7" t="shared"/>
        <v>23994</v>
      </c>
    </row>
    <row r="21" spans="1:32" x14ac:dyDescent="0.25">
      <c r="A21" t="str">
        <f>$A$8</f>
        <v>Bellevue Downtown</v>
      </c>
      <c r="B21" s="12">
        <f ref="B21:G26" si="9" t="shared">($U8/$J8)*B8</f>
        <v>721.17930360279433</v>
      </c>
      <c r="C21" s="12">
        <f si="9" t="shared"/>
        <v>665.42903619086724</v>
      </c>
      <c r="D21" s="12">
        <f si="9" t="shared"/>
        <v>0</v>
      </c>
      <c r="E21" s="12">
        <f si="9" t="shared"/>
        <v>1363.3916602063382</v>
      </c>
      <c r="F21" s="12">
        <f si="9" t="shared"/>
        <v>0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2750</v>
      </c>
      <c r="K21" s="12"/>
      <c r="L21" t="str">
        <f>$A$8</f>
        <v>Bellevue Downtown</v>
      </c>
      <c r="M21" s="12">
        <f si="6" t="shared"/>
        <v>362</v>
      </c>
      <c r="N21" s="12">
        <f ref="N21:R26" si="12" t="shared">N8</f>
        <v>2338</v>
      </c>
      <c r="O21" s="12">
        <f si="12" t="shared"/>
        <v>20</v>
      </c>
      <c r="P21" s="12">
        <f si="12" t="shared"/>
        <v>18</v>
      </c>
      <c r="Q21" s="12">
        <f si="12" t="shared"/>
        <v>4</v>
      </c>
      <c r="R21" s="12">
        <f si="12" t="shared"/>
        <v>4</v>
      </c>
      <c r="S21" s="12">
        <f ref="S21" si="13" t="shared">S8</f>
        <v>4</v>
      </c>
      <c r="T21" s="12"/>
      <c r="U21" s="12">
        <f ref="U21:U26" si="14" t="shared">U8</f>
        <v>2750</v>
      </c>
    </row>
    <row r="22" spans="1:32" x14ac:dyDescent="0.25">
      <c r="A22" t="str">
        <f>$A$9</f>
        <v>Kirkland</v>
      </c>
      <c r="B22" s="12">
        <f si="9" t="shared"/>
        <v>301.27949411124314</v>
      </c>
      <c r="C22" s="12">
        <f si="9" t="shared"/>
        <v>1110.9916341839878</v>
      </c>
      <c r="D22" s="12">
        <f si="9" t="shared"/>
        <v>12997.456610996669</v>
      </c>
      <c r="E22" s="12">
        <f si="9" t="shared"/>
        <v>2852.2807927331601</v>
      </c>
      <c r="F22" s="12">
        <f si="9" t="shared"/>
        <v>1131.3688308418027</v>
      </c>
      <c r="G22" s="12">
        <f si="9" t="shared"/>
        <v>0</v>
      </c>
      <c r="H22" s="12">
        <f ref="H22" si="15" t="shared">($U9/$J9)*H9</f>
        <v>2736.6226371331331</v>
      </c>
      <c r="I22" s="12"/>
      <c r="J22" s="12">
        <f si="11" t="shared"/>
        <v>21129.999999999996</v>
      </c>
      <c r="K22" s="13"/>
      <c r="L22" t="str">
        <f>$A$9</f>
        <v>Kirkland</v>
      </c>
      <c r="M22" s="12">
        <f si="6" t="shared"/>
        <v>791</v>
      </c>
      <c r="N22" s="12">
        <f si="12" t="shared"/>
        <v>1807</v>
      </c>
      <c r="O22" s="12">
        <f si="12" t="shared"/>
        <v>14230</v>
      </c>
      <c r="P22" s="12">
        <f si="12" t="shared"/>
        <v>2337</v>
      </c>
      <c r="Q22" s="12">
        <f si="12" t="shared"/>
        <v>716</v>
      </c>
      <c r="R22" s="12">
        <f si="12" t="shared"/>
        <v>55</v>
      </c>
      <c r="S22" s="12">
        <f ref="S22" si="16" t="shared">S9</f>
        <v>1194</v>
      </c>
      <c r="T22" s="12"/>
      <c r="U22" s="12">
        <f si="14" t="shared"/>
        <v>21130</v>
      </c>
    </row>
    <row r="23" spans="1:32" x14ac:dyDescent="0.25">
      <c r="A23" t="str">
        <f>$A$10</f>
        <v>Redmond</v>
      </c>
      <c r="B23" s="12">
        <f si="9" t="shared"/>
        <v>412.77276539616895</v>
      </c>
      <c r="C23" s="12">
        <f si="9" t="shared"/>
        <v>0</v>
      </c>
      <c r="D23" s="12">
        <f si="9" t="shared"/>
        <v>1255.7263368554115</v>
      </c>
      <c r="E23" s="12">
        <f si="9" t="shared"/>
        <v>14964.273402218452</v>
      </c>
      <c r="F23" s="12">
        <f si="9" t="shared"/>
        <v>0</v>
      </c>
      <c r="G23" s="12">
        <f si="9" t="shared"/>
        <v>0</v>
      </c>
      <c r="H23" s="12">
        <f ref="H23" si="17" t="shared">($U10/$J10)*H10</f>
        <v>96.22749552996747</v>
      </c>
      <c r="I23" s="12"/>
      <c r="J23" s="12">
        <f>SUM(B23:I23)</f>
        <v>16729.000000000004</v>
      </c>
      <c r="K23" s="13"/>
      <c r="L23" t="str">
        <f>$A$10</f>
        <v>Redmond</v>
      </c>
      <c r="M23" s="12">
        <f si="6" t="shared"/>
        <v>1730</v>
      </c>
      <c r="N23" s="12">
        <f si="12" t="shared"/>
        <v>887</v>
      </c>
      <c r="O23" s="12">
        <f si="12" t="shared"/>
        <v>2164</v>
      </c>
      <c r="P23" s="12">
        <f si="12" t="shared"/>
        <v>11345</v>
      </c>
      <c r="Q23" s="12">
        <f si="12" t="shared"/>
        <v>82</v>
      </c>
      <c r="R23" s="12">
        <f si="12" t="shared"/>
        <v>24</v>
      </c>
      <c r="S23" s="12">
        <f ref="S23" si="18" t="shared">S10</f>
        <v>497</v>
      </c>
      <c r="T23" s="12"/>
      <c r="U23" s="12">
        <f si="14" t="shared"/>
        <v>16729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660</v>
      </c>
      <c r="N24" s="12">
        <f si="12" t="shared"/>
        <v>1569</v>
      </c>
      <c r="O24" s="12">
        <f si="12" t="shared"/>
        <v>1431</v>
      </c>
      <c r="P24" s="12">
        <f si="12" t="shared"/>
        <v>350</v>
      </c>
      <c r="Q24" s="12">
        <f si="12" t="shared"/>
        <v>15796</v>
      </c>
      <c r="R24" s="12">
        <f si="12" t="shared"/>
        <v>1618</v>
      </c>
      <c r="S24" s="12">
        <f ref="S24" si="20" t="shared">S11</f>
        <v>1583</v>
      </c>
      <c r="T24" s="12"/>
      <c r="U24" s="12">
        <f si="14" t="shared"/>
        <v>23007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44</v>
      </c>
      <c r="N25" s="12">
        <f si="12" t="shared"/>
        <v>112</v>
      </c>
      <c r="O25" s="12">
        <f si="12" t="shared"/>
        <v>16</v>
      </c>
      <c r="P25" s="12">
        <f si="12" t="shared"/>
        <v>7</v>
      </c>
      <c r="Q25" s="12">
        <f si="12" t="shared"/>
        <v>197</v>
      </c>
      <c r="R25" s="12">
        <f si="12" t="shared"/>
        <v>1317</v>
      </c>
      <c r="S25" s="12">
        <f ref="S25:S26" si="22" t="shared">S12</f>
        <v>11</v>
      </c>
      <c r="T25" s="12"/>
      <c r="U25" s="12">
        <f si="14" t="shared"/>
        <v>1704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3687</v>
      </c>
      <c r="N26" s="12">
        <f si="12" t="shared"/>
        <v>4448</v>
      </c>
      <c r="O26" s="12">
        <f si="12" t="shared"/>
        <v>3977</v>
      </c>
      <c r="P26" s="12">
        <f si="12" t="shared"/>
        <v>6796</v>
      </c>
      <c r="Q26" s="12">
        <f si="12" t="shared"/>
        <v>1720</v>
      </c>
      <c r="R26" s="12">
        <f si="12" t="shared"/>
        <v>268</v>
      </c>
      <c r="S26" s="12">
        <f si="22" t="shared"/>
        <v>60719</v>
      </c>
      <c r="T26" s="12"/>
      <c r="U26" s="12">
        <f si="14" t="shared"/>
        <v>81615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17943</v>
      </c>
      <c r="N28" s="15">
        <f si="24" t="shared"/>
        <v>20255</v>
      </c>
      <c r="O28" s="15">
        <f si="24" t="shared"/>
        <v>22330</v>
      </c>
      <c r="P28" s="15">
        <f si="24" t="shared"/>
        <v>22835</v>
      </c>
      <c r="Q28" s="15">
        <f si="24" t="shared"/>
        <v>18760</v>
      </c>
      <c r="R28" s="15">
        <f si="24" t="shared"/>
        <v>3417</v>
      </c>
      <c r="S28" s="15">
        <f si="24" t="shared"/>
        <v>65389</v>
      </c>
      <c r="T28" s="15">
        <f si="24" t="shared"/>
        <v>0</v>
      </c>
      <c r="U28" s="15">
        <f si="24" t="shared"/>
        <v>170929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6.2417728998590057E-2</v>
      </c>
      <c r="N33" s="16">
        <f si="28" t="shared"/>
        <v>5.3203376840676539E-2</v>
      </c>
      <c r="O33" s="16">
        <f si="28" t="shared"/>
        <v>2.8783881026625091E-3</v>
      </c>
      <c r="P33" s="16">
        <f si="28" t="shared"/>
        <v>1.1595457763164823E-2</v>
      </c>
      <c r="Q33" s="16">
        <f si="28" t="shared"/>
        <v>1.4333436690087697E-3</v>
      </c>
      <c r="R33" s="16">
        <f si="28" t="shared"/>
        <v>7.6640008424550541E-4</v>
      </c>
      <c r="S33" s="16">
        <f ref="S33" si="29" t="shared">S20/$U$28</f>
        <v>8.0793779873514736E-3</v>
      </c>
      <c r="T33" s="16"/>
      <c r="U33" s="16">
        <f ref="U33:U39" si="30" t="shared">U20/$U$28</f>
        <v>0.14037407344569969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2.1178384007394884E-3</v>
      </c>
      <c r="N34" s="16">
        <f si="34" t="shared"/>
        <v>1.3678193869969402E-2</v>
      </c>
      <c r="O34" s="16">
        <f si="34" t="shared"/>
        <v>1.1700764644969549E-4</v>
      </c>
      <c r="P34" s="16">
        <f si="34" t="shared"/>
        <v>1.0530688180472594E-4</v>
      </c>
      <c r="Q34" s="16">
        <f si="34" t="shared"/>
        <v>2.3401529289939099E-5</v>
      </c>
      <c r="R34" s="16">
        <f si="34" t="shared"/>
        <v>2.3401529289939099E-5</v>
      </c>
      <c r="S34" s="16">
        <f ref="S34" si="35" t="shared">S21/$U$28</f>
        <v>2.3401529289939099E-5</v>
      </c>
      <c r="T34" s="16"/>
      <c r="U34" s="16">
        <f si="30" t="shared"/>
        <v>1.6088551386833131E-2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4.6276524170854568E-3</v>
      </c>
      <c r="N35" s="16">
        <f si="34" t="shared"/>
        <v>1.0571640856729988E-2</v>
      </c>
      <c r="O35" s="16">
        <f si="34" t="shared"/>
        <v>8.3250940448958338E-2</v>
      </c>
      <c r="P35" s="16">
        <f si="34" t="shared"/>
        <v>1.3672343487646918E-2</v>
      </c>
      <c r="Q35" s="16">
        <f si="34" t="shared"/>
        <v>4.1888737428990982E-3</v>
      </c>
      <c r="R35" s="16">
        <f si="34" t="shared"/>
        <v>3.2177102773666257E-4</v>
      </c>
      <c r="S35" s="16">
        <f ref="S35" si="39" t="shared">S22/$U$28</f>
        <v>6.9853564930468202E-3</v>
      </c>
      <c r="T35" s="16"/>
      <c r="U35" s="16">
        <f si="30" t="shared"/>
        <v>0.12361857847410328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1.012116141789866E-2</v>
      </c>
      <c r="N36" s="16">
        <f si="34" t="shared"/>
        <v>5.1892891200439953E-3</v>
      </c>
      <c r="O36" s="16">
        <f si="34" t="shared"/>
        <v>1.2660227345857051E-2</v>
      </c>
      <c r="P36" s="16">
        <f si="34" t="shared"/>
        <v>6.6372587448589759E-2</v>
      </c>
      <c r="Q36" s="16">
        <f si="34" t="shared"/>
        <v>4.797313504437515E-4</v>
      </c>
      <c r="R36" s="16">
        <f si="34" t="shared"/>
        <v>1.4040917573963457E-4</v>
      </c>
      <c r="S36" s="16">
        <f ref="S36" si="41" t="shared">S23/$U$28</f>
        <v>2.9076400142749328E-3</v>
      </c>
      <c r="T36" s="16"/>
      <c r="U36" s="16">
        <f si="30" t="shared"/>
        <v>9.7871045872847784E-2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3.8612523328399513E-3</v>
      </c>
      <c r="N37" s="16">
        <f si="34" t="shared"/>
        <v>9.1792498639786113E-3</v>
      </c>
      <c r="O37" s="16">
        <f si="34" t="shared"/>
        <v>8.371897103475712E-3</v>
      </c>
      <c r="P37" s="16">
        <f si="34" t="shared"/>
        <v>2.047633812869671E-3</v>
      </c>
      <c r="Q37" s="16">
        <f si="34" t="shared"/>
        <v>9.2412639165969493E-2</v>
      </c>
      <c r="R37" s="16">
        <f si="34" t="shared"/>
        <v>9.4659185977803654E-3</v>
      </c>
      <c r="S37" s="16">
        <f ref="S37" si="43" t="shared">S24/$U$28</f>
        <v>9.2611552164933979E-3</v>
      </c>
      <c r="T37" s="16"/>
      <c r="U37" s="16">
        <f si="30" t="shared"/>
        <v>0.13459974609340719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2.5741682218933008E-4</v>
      </c>
      <c r="N38" s="16">
        <f si="34" t="shared"/>
        <v>6.5524282011829478E-4</v>
      </c>
      <c r="O38" s="16">
        <f si="34" t="shared"/>
        <v>9.3606117159756395E-5</v>
      </c>
      <c r="P38" s="16">
        <f si="34" t="shared"/>
        <v>4.0952676257393424E-5</v>
      </c>
      <c r="Q38" s="16">
        <f si="34" t="shared"/>
        <v>1.1525253175295005E-3</v>
      </c>
      <c r="R38" s="16">
        <f si="34" t="shared"/>
        <v>7.7049535187124476E-3</v>
      </c>
      <c r="S38" s="16">
        <f ref="S38:S39" si="45" t="shared">S25/$U$28</f>
        <v>6.4354205547332519E-5</v>
      </c>
      <c r="T38" s="16"/>
      <c r="U38" s="16">
        <f si="30" t="shared"/>
        <v>9.9690514775140557E-3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2.1570359623001363E-2</v>
      </c>
      <c r="N39" s="16">
        <f si="34" t="shared"/>
        <v>2.6022500570412277E-2</v>
      </c>
      <c r="O39" s="16">
        <f si="34" t="shared"/>
        <v>2.3266970496521946E-2</v>
      </c>
      <c r="P39" s="16">
        <f si="34" t="shared"/>
        <v>3.9759198263606528E-2</v>
      </c>
      <c r="Q39" s="16">
        <f si="34" t="shared"/>
        <v>1.0062657594673811E-2</v>
      </c>
      <c r="R39" s="16">
        <f si="34" t="shared"/>
        <v>1.5679024624259195E-3</v>
      </c>
      <c r="S39" s="16">
        <f si="45" t="shared"/>
        <v>0.35522936423895302</v>
      </c>
      <c r="T39" s="16"/>
      <c r="U39" s="16">
        <f si="30" t="shared"/>
        <v>0.47747895324959488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0.10497341001234431</v>
      </c>
      <c r="N41" s="18">
        <f>N28/$U$28</f>
        <v>0.1184994939419291</v>
      </c>
      <c r="O41" s="18">
        <f>O28/$U$28</f>
        <v>0.130639037261085</v>
      </c>
      <c r="P41" s="18">
        <f>P28/$U$28</f>
        <v>0.13359348033393983</v>
      </c>
      <c r="Q41" s="18">
        <f ref="Q41:S41" si="54" t="shared">Q28/$U$28</f>
        <v>0.10975317236981437</v>
      </c>
      <c r="R41" s="18">
        <f si="54" t="shared"/>
        <v>1.9990756395930474E-2</v>
      </c>
      <c r="S41" s="18">
        <f si="54" t="shared"/>
        <v>0.38255064968495689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topLeftCell="F1" workbookViewId="0">
      <selection activeCell="T18" sqref="T18"/>
    </sheetView>
  </sheetViews>
  <sheetFormatPr defaultColWidth="9.140625"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6813.2459325225</v>
      </c>
      <c r="F4" s="302" t="s">
        <v>48</v>
      </c>
      <c r="G4" s="303">
        <f>TLFD!F11</f>
        <v>28394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27076.925800696299</v>
      </c>
      <c r="F5" s="305" t="s">
        <v>51</v>
      </c>
      <c r="G5" s="306">
        <f>TLFD!F12+TLFD!F13+(TLFD!F14/2)</f>
        <v>41400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22253.901112610998</v>
      </c>
      <c r="F6" s="305" t="s">
        <v>54</v>
      </c>
      <c r="G6" s="306">
        <f>(TLFD!F14/2)+SUM(TLFD!F15:F20)</f>
        <v>74065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4061.3152652682006</v>
      </c>
      <c r="F7" s="308" t="s">
        <v>57</v>
      </c>
      <c r="G7" s="309">
        <f>SUM(TLFD!F21:F101)</f>
        <v>27070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60205.388111098</v>
      </c>
      <c r="E8" s="313"/>
      <c r="F8" s="311" t="s">
        <v>4</v>
      </c>
      <c r="G8" s="312">
        <f>SUM(G4:G7)</f>
        <v>170929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0.1131667139152048</v>
      </c>
      <c r="F12" s="302" t="s">
        <v>48</v>
      </c>
      <c r="G12" s="316">
        <f>G4/G$8</f>
        <v>0.16611575566463269</v>
      </c>
      <c r="H12" s="316"/>
      <c r="I12" s="356">
        <f>D12/G12</f>
        <v>0.68125213928337114</v>
      </c>
      <c r="J12" s="357">
        <f>LN(I12)</f>
        <v>-0.38382279277714232</v>
      </c>
      <c r="K12" s="357">
        <f>K8*J12</f>
        <v>-0.38382279277714232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0.44974256707274768</v>
      </c>
      <c r="F13" s="305" t="s">
        <v>51</v>
      </c>
      <c r="G13" s="317">
        <f ref="G13:G16" si="2" t="shared">G5/G$8</f>
        <v>0.24220582815086966</v>
      </c>
      <c r="H13" s="317"/>
      <c r="I13" s="356">
        <f ref="I13:I15" si="3" t="shared">D13/G13</f>
        <v>1.8568610446178184</v>
      </c>
      <c r="J13" s="357">
        <f ref="J13:J15" si="4" t="shared">LN(I13)</f>
        <v>0.61888745168596471</v>
      </c>
      <c r="K13" s="357">
        <f>K8*(J13-J12)</f>
        <v>1.0027102444631071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0.36963304798476682</v>
      </c>
      <c r="F14" s="305" t="s">
        <v>54</v>
      </c>
      <c r="G14" s="317">
        <f si="2" t="shared"/>
        <v>0.43330856671483481</v>
      </c>
      <c r="H14" s="317"/>
      <c r="I14" s="356">
        <f si="3" t="shared"/>
        <v>0.85304809638814838</v>
      </c>
      <c r="J14" s="357">
        <f si="4" t="shared"/>
        <v>-0.15893934809978688</v>
      </c>
      <c r="K14" s="357">
        <f>K8*(J14-J13-J12)</f>
        <v>-0.39400400700860921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6.7457671027280619E-2</v>
      </c>
      <c r="F15" s="308" t="s">
        <v>57</v>
      </c>
      <c r="G15" s="317">
        <f si="2" t="shared"/>
        <v>0.15836984946966284</v>
      </c>
      <c r="H15" s="317"/>
      <c r="I15" s="358">
        <f si="3" t="shared"/>
        <v>0.42595021245002029</v>
      </c>
      <c r="J15" s="359">
        <f si="4" t="shared"/>
        <v>-0.85343281172590335</v>
      </c>
      <c r="K15" s="359">
        <f>K8*(J15-J14-J13-J12)</f>
        <v>-0.92955812253493897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-0.38382279277714232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1.0027102444631071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-0.39400400700860921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-0.92955812253493897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-21.194051181477143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-6.1809271027668933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-4.0541015460586092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-2.2901038498949386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-21.194051181477143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-6.1809271027668933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-4.0541015460586092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-2.2901038498949386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2019-10-07T21:07:53Z</dcterms:modified>
</cp:coreProperties>
</file>