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286908DD-C438-4104-8E3C-D664FB0A227B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P84" i="6"/>
  <c r="O84" i="6"/>
  <c r="N84" i="6"/>
  <c r="M84" i="6" s="1"/>
  <c r="P83" i="6"/>
  <c r="O83" i="6"/>
  <c r="N83" i="6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P54" i="6"/>
  <c r="O54" i="6"/>
  <c r="N54" i="6"/>
  <c r="M54" i="6" s="1"/>
  <c r="P53" i="6"/>
  <c r="O53" i="6"/>
  <c r="N53" i="6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P46" i="6"/>
  <c r="O46" i="6"/>
  <c r="N46" i="6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M42" i="6" s="1"/>
  <c r="P41" i="6"/>
  <c r="O41" i="6"/>
  <c r="N41" i="6"/>
  <c r="M41" i="6" s="1"/>
  <c r="P40" i="6"/>
  <c r="O40" i="6"/>
  <c r="N40" i="6"/>
  <c r="R40" i="6" s="1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P30" i="6"/>
  <c r="O30" i="6"/>
  <c r="N30" i="6"/>
  <c r="M30" i="6" s="1"/>
  <c r="P29" i="6"/>
  <c r="O29" i="6"/>
  <c r="N29" i="6"/>
  <c r="M29" i="6" s="1"/>
  <c r="P28" i="6"/>
  <c r="O28" i="6"/>
  <c r="N28" i="6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P22" i="6"/>
  <c r="O22" i="6"/>
  <c r="N22" i="6"/>
  <c r="M22" i="6" s="1"/>
  <c r="P21" i="6"/>
  <c r="O21" i="6"/>
  <c r="N21" i="6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P4" i="6"/>
  <c r="O4" i="6"/>
  <c r="N4" i="6"/>
  <c r="M4" i="6" s="1"/>
  <c r="P3" i="6"/>
  <c r="O3" i="6"/>
  <c r="N3" i="6"/>
  <c r="B36" i="6"/>
  <c r="B46" i="6" s="1"/>
  <c r="B35" i="6"/>
  <c r="B45" i="6" s="1"/>
  <c r="B34" i="6"/>
  <c r="B44" i="6" s="1"/>
  <c r="B33" i="6"/>
  <c r="B43" i="6" s="1"/>
  <c r="D24" i="6" l="1"/>
  <c r="D23" i="6"/>
  <c r="Q75" i="6"/>
  <c r="Q36" i="6"/>
  <c r="D25" i="6"/>
  <c r="D26" i="6"/>
  <c r="M40" i="6"/>
  <c r="Q33" i="6"/>
  <c r="R39" i="6"/>
  <c r="R41" i="6"/>
  <c r="R42" i="6"/>
  <c r="Q25" i="6"/>
  <c r="Q5" i="6"/>
  <c r="Q78" i="6"/>
  <c r="Q79" i="6"/>
  <c r="Q77" i="6"/>
  <c r="Q83" i="6"/>
  <c r="Q99" i="6"/>
  <c r="Q21" i="6"/>
  <c r="Q80" i="6"/>
  <c r="Q35" i="6"/>
  <c r="Q37" i="6"/>
  <c r="Q20" i="6"/>
  <c r="Q89" i="6"/>
  <c r="Q27" i="6"/>
  <c r="Q88" i="6"/>
  <c r="Q85" i="6"/>
  <c r="Q70" i="6"/>
  <c r="Q93" i="6"/>
  <c r="Q82" i="6"/>
  <c r="Q95" i="6"/>
  <c r="Q29" i="6"/>
  <c r="Q96" i="6"/>
  <c r="Q23" i="6"/>
  <c r="Q28" i="6"/>
  <c r="Q50" i="6"/>
  <c r="Q16" i="6"/>
  <c r="Q15" i="6"/>
  <c r="Q102" i="6"/>
  <c r="Q51" i="6"/>
  <c r="Q58" i="6"/>
  <c r="Q26" i="6"/>
  <c r="Q49" i="6"/>
  <c r="Q60" i="6"/>
  <c r="Q67" i="6"/>
  <c r="Q103" i="6"/>
  <c r="Q87" i="6"/>
  <c r="Q44" i="6"/>
  <c r="Q101" i="6"/>
  <c r="Q9" i="6"/>
  <c r="Q68" i="6"/>
  <c r="Q104" i="6"/>
  <c r="Q31" i="6"/>
  <c r="Q97" i="6"/>
  <c r="Q11" i="6"/>
  <c r="Q3" i="6"/>
  <c r="Q10" i="6"/>
  <c r="Q38" i="6"/>
  <c r="Q59" i="6"/>
  <c r="Q6" i="6"/>
  <c r="Q69" i="6"/>
  <c r="Q12" i="6"/>
  <c r="Q71" i="6"/>
  <c r="Q45" i="6"/>
  <c r="Q61" i="6"/>
  <c r="Q86" i="6"/>
  <c r="Q94" i="6"/>
  <c r="Q7" i="6"/>
  <c r="Q13" i="6"/>
  <c r="Q72" i="6"/>
  <c r="Q46" i="6"/>
  <c r="Q34" i="6"/>
  <c r="Q43" i="6"/>
  <c r="Q62" i="6"/>
  <c r="Q66" i="6"/>
  <c r="Q17" i="6"/>
  <c r="Q73" i="6"/>
  <c r="Q81" i="6"/>
  <c r="Q22" i="6"/>
  <c r="Q18" i="6"/>
  <c r="Q4" i="6"/>
  <c r="Q84" i="6"/>
  <c r="Q90" i="6"/>
  <c r="Q8" i="6"/>
  <c r="Q63" i="6"/>
  <c r="Q74" i="6"/>
  <c r="Q19" i="6"/>
  <c r="Q47" i="6"/>
  <c r="M21" i="6"/>
  <c r="M46" i="6"/>
  <c r="M85" i="6"/>
  <c r="Q98" i="6"/>
  <c r="M3" i="6"/>
  <c r="M28" i="6"/>
  <c r="M47" i="6"/>
  <c r="M93" i="6"/>
  <c r="M10" i="6"/>
  <c r="M35" i="6"/>
  <c r="Q14" i="6"/>
  <c r="M23" i="6"/>
  <c r="M5" i="6"/>
  <c r="M31" i="6"/>
  <c r="Q91" i="6"/>
  <c r="Q30" i="6"/>
  <c r="Q64" i="6"/>
  <c r="Q92" i="6"/>
  <c r="Q32" i="6"/>
  <c r="Q65" i="6"/>
  <c r="Q57" i="6"/>
  <c r="M53" i="6"/>
  <c r="M83" i="6"/>
  <c r="M55" i="6"/>
  <c r="Q48" i="6"/>
  <c r="Q76" i="6"/>
  <c r="Q100" i="6"/>
  <c r="Q24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G7" i="6" l="1"/>
  <c r="D7" i="6"/>
  <c r="G6" i="6"/>
  <c r="D6" i="6"/>
  <c r="G5" i="6"/>
  <c r="D5" i="6"/>
  <c r="G4" i="6"/>
  <c r="D4" i="6"/>
  <c r="G8" i="6" l="1"/>
  <c r="G15" i="6" s="1"/>
  <c r="D8" i="6"/>
  <c r="D14" i="6" s="1"/>
  <c r="U13" i="1"/>
  <c r="S15" i="1"/>
  <c r="H15" i="1"/>
  <c r="J13" i="1"/>
  <c r="F26" i="1" l="1"/>
  <c r="C26" i="1"/>
  <c r="E26" i="1"/>
  <c r="H26" i="1"/>
  <c r="B26" i="1"/>
  <c r="D26" i="1"/>
  <c r="G26" i="1"/>
  <c r="G12" i="6"/>
  <c r="G16" i="6"/>
  <c r="G13" i="6"/>
  <c r="D16" i="6"/>
  <c r="D12" i="6"/>
  <c r="D13" i="6"/>
  <c r="G14" i="6"/>
  <c r="I14" i="6" s="1"/>
  <c r="J14" i="6" s="1"/>
  <c r="D15" i="6"/>
  <c r="I15" i="6" s="1"/>
  <c r="J15" i="6" s="1"/>
  <c r="S28" i="1"/>
  <c r="U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I12" i="6" l="1"/>
  <c r="J12" i="6" s="1"/>
  <c r="K12" i="6" s="1"/>
  <c r="D33" i="6" s="1"/>
  <c r="D43" i="6" s="1"/>
  <c r="Q39" i="6" s="1"/>
  <c r="I13" i="6"/>
  <c r="J13" i="6" s="1"/>
  <c r="Q54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K14" i="6" l="1"/>
  <c r="D35" i="6" s="1"/>
  <c r="D45" i="6" s="1"/>
  <c r="Q41" i="6" s="1"/>
  <c r="K15" i="6"/>
  <c r="D36" i="6" s="1"/>
  <c r="D46" i="6" s="1"/>
  <c r="Q42" i="6" s="1"/>
  <c r="K13" i="6"/>
  <c r="D34" i="6" s="1"/>
  <c r="D44" i="6" s="1"/>
  <c r="Q40" i="6" s="1"/>
  <c r="Q55" i="6"/>
  <c r="Q56" i="6"/>
  <c r="Q15" i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G25" i="1"/>
  <c r="G23" i="1"/>
  <c r="G24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H20" i="1" l="1"/>
  <c r="H21" i="1"/>
  <c r="H22" i="1"/>
  <c r="J23" i="1"/>
  <c r="J25" i="1"/>
  <c r="F21" i="1"/>
  <c r="J24" i="1"/>
  <c r="E21" i="1"/>
  <c r="D21" i="1"/>
  <c r="U20" i="1"/>
  <c r="U22" i="1"/>
  <c r="G22" i="1"/>
  <c r="U21" i="1"/>
  <c r="G21" i="1"/>
  <c r="B21" i="1"/>
  <c r="C21" i="1"/>
  <c r="J15" i="1"/>
  <c r="E20" i="1"/>
  <c r="U15" i="1"/>
  <c r="U28" i="1" s="1"/>
  <c r="F22" i="1"/>
  <c r="D20" i="1"/>
  <c r="F20" i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H28" i="1" l="1"/>
  <c r="S35" i="1"/>
  <c r="S36" i="1"/>
  <c r="S38" i="1"/>
  <c r="S37" i="1"/>
  <c r="S39" i="1"/>
  <c r="S34" i="1"/>
  <c r="R39" i="1"/>
  <c r="N39" i="1"/>
  <c r="S33" i="1"/>
  <c r="Q39" i="1"/>
  <c r="P39" i="1"/>
  <c r="O39" i="1"/>
  <c r="M39" i="1"/>
  <c r="F28" i="1"/>
  <c r="G28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G39" i="1" l="1"/>
  <c r="AC39" i="1" s="1"/>
  <c r="D39" i="1"/>
  <c r="Z39" i="1" s="1"/>
  <c r="B39" i="1"/>
  <c r="X39" i="1" s="1"/>
  <c r="H39" i="1"/>
  <c r="AD39" i="1" s="1"/>
  <c r="E39" i="1"/>
  <c r="AA39" i="1" s="1"/>
  <c r="C39" i="1"/>
  <c r="Y39" i="1" s="1"/>
  <c r="F39" i="1"/>
  <c r="AB39" i="1" s="1"/>
  <c r="H33" i="1"/>
  <c r="AD33" i="1" s="1"/>
  <c r="H36" i="1"/>
  <c r="AD36" i="1" s="1"/>
  <c r="H38" i="1"/>
  <c r="AD38" i="1" s="1"/>
  <c r="H37" i="1"/>
  <c r="AD37" i="1" s="1"/>
  <c r="H35" i="1"/>
  <c r="AD35" i="1" s="1"/>
  <c r="H34" i="1"/>
  <c r="AD34" i="1" s="1"/>
  <c r="J40" i="1"/>
  <c r="G38" i="1"/>
  <c r="AC38" i="1" s="1"/>
  <c r="J39" i="1"/>
  <c r="AF39" i="1" s="1"/>
  <c r="G37" i="1"/>
  <c r="AC37" i="1" s="1"/>
  <c r="G35" i="1"/>
  <c r="AC35" i="1" s="1"/>
  <c r="G34" i="1"/>
  <c r="AC34" i="1" s="1"/>
  <c r="G36" i="1"/>
  <c r="AC36" i="1" s="1"/>
  <c r="H41" i="1"/>
  <c r="AD41" i="1" s="1"/>
  <c r="J35" i="1"/>
  <c r="AF35" i="1" s="1"/>
  <c r="G41" i="1"/>
  <c r="AC41" i="1" s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I41" i="1"/>
  <c r="AE41" i="1" s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  <c r="Q52" i="6" l="1"/>
  <c r="Q53" i="6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<sst xmlns="http://schemas.openxmlformats.org/spreadsheetml/2006/main" count="716" uniqueCount="285">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</sst>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8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171" fontId="0" fillId="5" borderId="0" xfId="0" applyNumberFormat="1" applyFont="1" applyFill="1" applyBorder="1" applyAlignment="1">
      <alignment horizontal="right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0.1131667139152048</c:v>
                </c:pt>
                <c:pt idx="1">
                  <c:v>0.26666984315078768</c:v>
                </c:pt>
                <c:pt idx="2">
                  <c:v>0.11415359182338904</c:v>
                </c:pt>
                <c:pt idx="3">
                  <c:v>0.13783826419714201</c:v>
                </c:pt>
                <c:pt idx="4">
                  <c:v>0.10246305290610136</c:v>
                </c:pt>
                <c:pt idx="5">
                  <c:v>7.0810628705619855E-2</c:v>
                </c:pt>
                <c:pt idx="6">
                  <c:v>5.0939335974360657E-2</c:v>
                </c:pt>
                <c:pt idx="7">
                  <c:v>3.9244096930079735E-2</c:v>
                </c:pt>
                <c:pt idx="8">
                  <c:v>3.2459484594830883E-2</c:v>
                </c:pt>
                <c:pt idx="9">
                  <c:v>4.7973167752033705E-3</c:v>
                </c:pt>
                <c:pt idx="10">
                  <c:v>2.1037333096828384E-2</c:v>
                </c:pt>
                <c:pt idx="11">
                  <c:v>1.8487859151178229E-2</c:v>
                </c:pt>
                <c:pt idx="12">
                  <c:v>6.6600847456722298E-3</c:v>
                </c:pt>
                <c:pt idx="13">
                  <c:v>4.5966203560937882E-3</c:v>
                </c:pt>
                <c:pt idx="14">
                  <c:v>6.2756122281080896E-3</c:v>
                </c:pt>
                <c:pt idx="15">
                  <c:v>4.1476769411269535E-4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1.5379217667451951E-3</c:v>
                </c:pt>
                <c:pt idx="20">
                  <c:v>7.3317824460072186E-4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7.7142937439412789E-3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0.21387734277696913</c:v>
                </c:pt>
                <c:pt idx="1">
                  <c:v>0.17945408982458247</c:v>
                </c:pt>
                <c:pt idx="2">
                  <c:v>0.14082921924941103</c:v>
                </c:pt>
                <c:pt idx="3">
                  <c:v>0.11008238171696103</c:v>
                </c:pt>
                <c:pt idx="4">
                  <c:v>9.6112003121201661E-2</c:v>
                </c:pt>
                <c:pt idx="5">
                  <c:v>7.5869209645713601E-2</c:v>
                </c:pt>
                <c:pt idx="6">
                  <c:v>5.0134301706156868E-2</c:v>
                </c:pt>
                <c:pt idx="7">
                  <c:v>3.8414789694032205E-2</c:v>
                </c:pt>
                <c:pt idx="8">
                  <c:v>3.0581773982983448E-2</c:v>
                </c:pt>
                <c:pt idx="9">
                  <c:v>1.5545985204303657E-2</c:v>
                </c:pt>
                <c:pt idx="10">
                  <c:v>1.3340135952341651E-2</c:v>
                </c:pt>
                <c:pt idx="11">
                  <c:v>8.598310349484552E-3</c:v>
                </c:pt>
                <c:pt idx="12">
                  <c:v>6.1973859936075388E-3</c:v>
                </c:pt>
                <c:pt idx="13">
                  <c:v>5.3870740234990468E-3</c:v>
                </c:pt>
                <c:pt idx="14">
                  <c:v>4.3816869494755478E-3</c:v>
                </c:pt>
                <c:pt idx="15">
                  <c:v>3.2112363259855043E-3</c:v>
                </c:pt>
                <c:pt idx="16">
                  <c:v>2.2958839153073935E-3</c:v>
                </c:pt>
                <c:pt idx="17">
                  <c:v>1.5606008313200582E-3</c:v>
                </c:pt>
                <c:pt idx="18">
                  <c:v>1.0203928512477305E-3</c:v>
                </c:pt>
                <c:pt idx="19">
                  <c:v>6.1523686619348447E-4</c:v>
                </c:pt>
                <c:pt idx="20">
                  <c:v>8.2531774733272305E-4</c:v>
                </c:pt>
                <c:pt idx="21">
                  <c:v>5.1019642562386523E-4</c:v>
                </c:pt>
                <c:pt idx="22">
                  <c:v>1.9507510391500728E-4</c:v>
                </c:pt>
                <c:pt idx="23">
                  <c:v>2.7010399003616394E-4</c:v>
                </c:pt>
                <c:pt idx="24">
                  <c:v>1.6506354946654463E-4</c:v>
                </c:pt>
                <c:pt idx="25">
                  <c:v>1.3505199501808197E-4</c:v>
                </c:pt>
                <c:pt idx="26">
                  <c:v>1.050404405696193E-4</c:v>
                </c:pt>
                <c:pt idx="27">
                  <c:v>1.5005777224231329E-5</c:v>
                </c:pt>
                <c:pt idx="28">
                  <c:v>6.0023108896925315E-5</c:v>
                </c:pt>
                <c:pt idx="29">
                  <c:v>1.2004621779385063E-4</c:v>
                </c:pt>
                <c:pt idx="30">
                  <c:v>7.5028886121156649E-5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1.5005777224231329E-5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238984"/>
        <c:axId val="337237416"/>
      </c:lineChart>
      <c:catAx>
        <c:axId val="337238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37237416"/>
        <c:crosses val="autoZero"/>
        <c:auto val="1"/>
        <c:lblAlgn val="ctr"/>
        <c:lblOffset val="100"/>
        <c:tickLblSkip val="10"/>
        <c:noMultiLvlLbl val="0"/>
      </c:catAx>
      <c:valAx>
        <c:axId val="3372374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3723898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2.0163154411934253E-2</c:v>
                </c:pt>
                <c:pt idx="2">
                  <c:v>6.1870221671743754E-2</c:v>
                </c:pt>
                <c:pt idx="3">
                  <c:v>2.8895015915848282E-2</c:v>
                </c:pt>
                <c:pt idx="4">
                  <c:v>0.12756443267130585</c:v>
                </c:pt>
                <c:pt idx="5">
                  <c:v>9.7401308613989962E-2</c:v>
                </c:pt>
                <c:pt idx="6">
                  <c:v>5.6204246218690919E-2</c:v>
                </c:pt>
                <c:pt idx="7">
                  <c:v>0.11731615983901819</c:v>
                </c:pt>
                <c:pt idx="8">
                  <c:v>5.8627742567950461E-2</c:v>
                </c:pt>
                <c:pt idx="9">
                  <c:v>4.0702212793397578E-2</c:v>
                </c:pt>
                <c:pt idx="10">
                  <c:v>0.1222419157753234</c:v>
                </c:pt>
                <c:pt idx="11">
                  <c:v>5.415720407064302E-2</c:v>
                </c:pt>
                <c:pt idx="12">
                  <c:v>3.1658083637528422E-2</c:v>
                </c:pt>
                <c:pt idx="13">
                  <c:v>1.2143770412223755E-2</c:v>
                </c:pt>
                <c:pt idx="14">
                  <c:v>4.0746105516124044E-2</c:v>
                </c:pt>
                <c:pt idx="15">
                  <c:v>2.5803356577891307E-2</c:v>
                </c:pt>
                <c:pt idx="16">
                  <c:v>0</c:v>
                </c:pt>
                <c:pt idx="17">
                  <c:v>6.1708586777553835E-3</c:v>
                </c:pt>
                <c:pt idx="18">
                  <c:v>0</c:v>
                </c:pt>
                <c:pt idx="19">
                  <c:v>8.7706880104085373E-3</c:v>
                </c:pt>
                <c:pt idx="20">
                  <c:v>9.8383688394463424E-3</c:v>
                </c:pt>
                <c:pt idx="21">
                  <c:v>9.6414757352755731E-3</c:v>
                </c:pt>
                <c:pt idx="22">
                  <c:v>0</c:v>
                </c:pt>
                <c:pt idx="23">
                  <c:v>6.2380476753337308E-3</c:v>
                </c:pt>
                <c:pt idx="24">
                  <c:v>2.2021912793808576E-2</c:v>
                </c:pt>
                <c:pt idx="25">
                  <c:v>0</c:v>
                </c:pt>
                <c:pt idx="26">
                  <c:v>2.5147943896850451E-2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7.0087904727088096E-3</c:v>
                </c:pt>
                <c:pt idx="32">
                  <c:v>0</c:v>
                </c:pt>
                <c:pt idx="33">
                  <c:v>4.1476769411269524E-4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1.5379217667451949E-3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7.7142937439412772E-3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9.1685298840053428E-3</c:v>
                </c:pt>
                <c:pt idx="1">
                  <c:v>4.1596014465569243E-2</c:v>
                </c:pt>
                <c:pt idx="2">
                  <c:v>8.9254362929727951E-2</c:v>
                </c:pt>
                <c:pt idx="3">
                  <c:v>0.10543059077744932</c:v>
                </c:pt>
                <c:pt idx="4">
                  <c:v>8.8909230053570626E-2</c:v>
                </c:pt>
                <c:pt idx="5">
                  <c:v>8.0040815714049904E-2</c:v>
                </c:pt>
                <c:pt idx="6">
                  <c:v>7.1922690235740758E-2</c:v>
                </c:pt>
                <c:pt idx="7">
                  <c:v>7.0182020077729931E-2</c:v>
                </c:pt>
                <c:pt idx="8">
                  <c:v>5.4335919328941641E-2</c:v>
                </c:pt>
                <c:pt idx="9">
                  <c:v>5.4065815338905476E-2</c:v>
                </c:pt>
                <c:pt idx="10">
                  <c:v>5.3510601581608919E-2</c:v>
                </c:pt>
                <c:pt idx="11">
                  <c:v>4.536246454885131E-2</c:v>
                </c:pt>
                <c:pt idx="12">
                  <c:v>4.0560615837097282E-2</c:v>
                </c:pt>
                <c:pt idx="13">
                  <c:v>3.1197010849176934E-2</c:v>
                </c:pt>
                <c:pt idx="14">
                  <c:v>2.5914977266247505E-2</c:v>
                </c:pt>
                <c:pt idx="15">
                  <c:v>2.1068111222820787E-2</c:v>
                </c:pt>
                <c:pt idx="16">
                  <c:v>2.2283579177983525E-2</c:v>
                </c:pt>
                <c:pt idx="17">
                  <c:v>1.592112963490944E-2</c:v>
                </c:pt>
                <c:pt idx="18">
                  <c:v>1.3040020407857025E-2</c:v>
                </c:pt>
                <c:pt idx="19">
                  <c:v>9.9188187452169084E-3</c:v>
                </c:pt>
                <c:pt idx="20">
                  <c:v>8.3882294683453127E-3</c:v>
                </c:pt>
                <c:pt idx="21">
                  <c:v>6.8426344142494856E-3</c:v>
                </c:pt>
                <c:pt idx="22">
                  <c:v>6.6325535331102472E-3</c:v>
                </c:pt>
                <c:pt idx="23">
                  <c:v>5.6421722363109795E-3</c:v>
                </c:pt>
                <c:pt idx="24">
                  <c:v>3.8264731921789888E-3</c:v>
                </c:pt>
                <c:pt idx="25">
                  <c:v>3.4813403160216683E-3</c:v>
                </c:pt>
                <c:pt idx="26">
                  <c:v>3.061178553743191E-3</c:v>
                </c:pt>
                <c:pt idx="27">
                  <c:v>2.3108896925316245E-3</c:v>
                </c:pt>
                <c:pt idx="28">
                  <c:v>2.5809936825677885E-3</c:v>
                </c:pt>
                <c:pt idx="29">
                  <c:v>1.8156990441319909E-3</c:v>
                </c:pt>
                <c:pt idx="30">
                  <c:v>1.9207394847016101E-3</c:v>
                </c:pt>
                <c:pt idx="31">
                  <c:v>1.9357452619258415E-3</c:v>
                </c:pt>
                <c:pt idx="32">
                  <c:v>1.1704506234900436E-3</c:v>
                </c:pt>
                <c:pt idx="33">
                  <c:v>9.6036974235080505E-4</c:v>
                </c:pt>
                <c:pt idx="34">
                  <c:v>1.0654101829204244E-3</c:v>
                </c:pt>
                <c:pt idx="35">
                  <c:v>7.6529463843579774E-4</c:v>
                </c:pt>
                <c:pt idx="36">
                  <c:v>6.7525997509040978E-4</c:v>
                </c:pt>
                <c:pt idx="37">
                  <c:v>4.9519064839963385E-4</c:v>
                </c:pt>
                <c:pt idx="38">
                  <c:v>3.7514443060578323E-4</c:v>
                </c:pt>
                <c:pt idx="39">
                  <c:v>4.2016176227847722E-4</c:v>
                </c:pt>
                <c:pt idx="40">
                  <c:v>3.4513287615732058E-4</c:v>
                </c:pt>
                <c:pt idx="41">
                  <c:v>1.8006932669077595E-4</c:v>
                </c:pt>
                <c:pt idx="42">
                  <c:v>1.6506354946654463E-4</c:v>
                </c:pt>
                <c:pt idx="43">
                  <c:v>2.4009243558770126E-4</c:v>
                </c:pt>
                <c:pt idx="44">
                  <c:v>2.1008088113923861E-4</c:v>
                </c:pt>
                <c:pt idx="45">
                  <c:v>1.8006932669077595E-4</c:v>
                </c:pt>
                <c:pt idx="46">
                  <c:v>1.500577722423133E-4</c:v>
                </c:pt>
                <c:pt idx="47">
                  <c:v>1.8006932669077595E-4</c:v>
                </c:pt>
                <c:pt idx="48">
                  <c:v>4.5017331672693988E-5</c:v>
                </c:pt>
                <c:pt idx="49">
                  <c:v>6.0023108896925315E-5</c:v>
                </c:pt>
                <c:pt idx="50">
                  <c:v>9.0034663345387977E-5</c:v>
                </c:pt>
                <c:pt idx="51">
                  <c:v>1.5005777224231329E-5</c:v>
                </c:pt>
                <c:pt idx="52">
                  <c:v>1.5005777224231329E-5</c:v>
                </c:pt>
                <c:pt idx="53">
                  <c:v>0</c:v>
                </c:pt>
                <c:pt idx="54">
                  <c:v>3.0011554448462658E-5</c:v>
                </c:pt>
                <c:pt idx="55">
                  <c:v>0</c:v>
                </c:pt>
                <c:pt idx="56">
                  <c:v>1.5005777224231329E-5</c:v>
                </c:pt>
                <c:pt idx="57">
                  <c:v>0</c:v>
                </c:pt>
                <c:pt idx="58">
                  <c:v>1.5005777224231329E-5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233104"/>
        <c:axId val="337238592"/>
      </c:lineChart>
      <c:catAx>
        <c:axId val="337233104"/>
        <c:scaling>
          <c:orientation val="minMax"/>
        </c:scaling>
        <c:delete val="0"/>
        <c:axPos val="b"/>
        <c:majorTickMark val="none"/>
        <c:minorTickMark val="none"/>
        <c:tickLblPos val="nextTo"/>
        <c:crossAx val="337238592"/>
        <c:crosses val="autoZero"/>
        <c:auto val="1"/>
        <c:lblAlgn val="ctr"/>
        <c:lblOffset val="100"/>
        <c:tickLblSkip val="10"/>
        <c:noMultiLvlLbl val="0"/>
      </c:catAx>
      <c:valAx>
        <c:axId val="33723859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3723310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L31" sqref="L3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6" max="6" bestFit="true" customWidth="true" width="10.59765625" collapsed="true"/>
    <col min="12" max="12" bestFit="true" customWidth="true" width="15.73046875" collapsed="true"/>
  </cols>
  <sheetData>
    <row r="1" spans="1:12" x14ac:dyDescent="0.45">
      <c r="A1" t="s">
        <v>1</v>
      </c>
    </row>
    <row r="2" spans="1:12" x14ac:dyDescent="0.45">
      <c r="A2" t="s">
        <v>244</v>
      </c>
    </row>
    <row r="3" spans="1:12" x14ac:dyDescent="0.45">
      <c r="A3" t="s">
        <v>245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341" t="n">
        <v>6813.2459325225</v>
      </c>
      <c r="C11" s="11">
        <f>B11/B$102</f>
        <v>0.1131667139152048</v>
      </c>
      <c r="E11" s="19">
        <v>0</v>
      </c>
      <c r="F11" s="343" t="n">
        <v>14423.0</v>
      </c>
      <c r="G11" s="11">
        <f>F11/F$102</f>
        <v>0.21387734277696913</v>
      </c>
      <c r="K11" s="8" t="n">
        <v>3.493832024713724</v>
      </c>
      <c r="L11" s="8" t="n">
        <v>3.614116359687906</v>
      </c>
    </row>
    <row r="12" spans="1:12" x14ac:dyDescent="0.45">
      <c r="A12">
        <v>1</v>
      </c>
      <c r="B12" s="341" t="n">
        <v>16054.9614044188</v>
      </c>
      <c r="C12" s="11">
        <f>B12/B$102</f>
        <v>0.26666984315078768</v>
      </c>
      <c r="E12" s="20">
        <v>1</v>
      </c>
      <c r="F12" s="343" t="n">
        <v>11947.0</v>
      </c>
      <c r="G12" s="11">
        <f>F12/F$102</f>
        <v>0.17945408982458247</v>
      </c>
      <c r="K12" s="8"/>
      <c r="L12" s="289"/>
    </row>
    <row r="13" spans="1:12" x14ac:dyDescent="0.45">
      <c r="A13">
        <v>2</v>
      </c>
      <c r="B13" s="341" t="n">
        <v>6872.661300003</v>
      </c>
      <c r="C13" s="11">
        <f t="shared" ref="C13:C76" si="0">B13/B$102</f>
        <v>0.11415359182338904</v>
      </c>
      <c r="E13" s="21">
        <v>2</v>
      </c>
      <c r="F13" s="343" t="n">
        <v>9419.0</v>
      </c>
      <c r="G13" s="11">
        <f t="shared" ref="G13:G76" si="1">F13/F$102</f>
        <v>0.14082921924941103</v>
      </c>
    </row>
    <row r="14" spans="1:12" x14ac:dyDescent="0.45">
      <c r="A14">
        <v>3</v>
      </c>
      <c r="B14" s="341" t="n">
        <v>8298.606192549</v>
      </c>
      <c r="C14" s="11">
        <f t="shared" si="0"/>
        <v>0.13783826419714201</v>
      </c>
      <c r="E14" s="22">
        <v>3</v>
      </c>
      <c r="F14" s="343" t="n">
        <v>7197.0</v>
      </c>
      <c r="G14" s="11">
        <f t="shared" si="1"/>
        <v>0.11008238171696103</v>
      </c>
    </row>
    <row r="15" spans="1:12" x14ac:dyDescent="0.45">
      <c r="A15">
        <v>4</v>
      </c>
      <c r="B15" s="341" t="n">
        <v>6168.8278672598</v>
      </c>
      <c r="C15" s="11">
        <f t="shared" si="0"/>
        <v>0.10246305290610136</v>
      </c>
      <c r="E15" s="23">
        <v>4</v>
      </c>
      <c r="F15" s="343" t="n">
        <v>6456.0</v>
      </c>
      <c r="G15" s="11">
        <f t="shared" si="1"/>
        <v>9.6112003121201661E-2</v>
      </c>
    </row>
    <row r="16" spans="1:12" x14ac:dyDescent="0.45">
      <c r="A16">
        <v>5</v>
      </c>
      <c r="B16" s="341" t="n">
        <v>4263.1813836127</v>
      </c>
      <c r="C16" s="11">
        <f t="shared" si="0"/>
        <v>7.0810628705619855E-2</v>
      </c>
      <c r="E16" s="24">
        <v>5</v>
      </c>
      <c r="F16" s="343" t="n">
        <v>5251.0</v>
      </c>
      <c r="G16" s="11">
        <f t="shared" si="1"/>
        <v>7.5869209645713601E-2</v>
      </c>
    </row>
    <row r="17" spans="1:7" x14ac:dyDescent="0.45">
      <c r="A17">
        <v>6</v>
      </c>
      <c r="B17" s="341" t="n">
        <v>3066.822492458</v>
      </c>
      <c r="C17" s="11">
        <f t="shared" si="0"/>
        <v>5.0939335974360657E-2</v>
      </c>
      <c r="E17" s="25">
        <v>6</v>
      </c>
      <c r="F17" s="343" t="n">
        <v>3349.0</v>
      </c>
      <c r="G17" s="11">
        <f t="shared" si="1"/>
        <v>5.0134301706156868E-2</v>
      </c>
    </row>
    <row r="18" spans="1:7" x14ac:dyDescent="0.45">
      <c r="A18">
        <v>7</v>
      </c>
      <c r="B18" s="341" t="n">
        <v>2362.706086745</v>
      </c>
      <c r="C18" s="11">
        <f t="shared" si="0"/>
        <v>3.9244096930079735E-2</v>
      </c>
      <c r="E18" s="26">
        <v>7</v>
      </c>
      <c r="F18" s="343" t="n">
        <v>2664.0</v>
      </c>
      <c r="G18" s="11">
        <f t="shared" si="1"/>
        <v>3.8414789694032205E-2</v>
      </c>
    </row>
    <row r="19" spans="1:7" x14ac:dyDescent="0.45">
      <c r="A19">
        <v>8</v>
      </c>
      <c r="B19" s="341" t="n">
        <v>1954.235867918</v>
      </c>
      <c r="C19" s="11">
        <f t="shared" si="0"/>
        <v>3.2459484594830883E-2</v>
      </c>
      <c r="E19" s="27">
        <v>8</v>
      </c>
      <c r="F19" s="343" t="n">
        <v>1973.0</v>
      </c>
      <c r="G19" s="11">
        <f t="shared" si="1"/>
        <v>3.0581773982983448E-2</v>
      </c>
    </row>
    <row r="20" spans="1:7" x14ac:dyDescent="0.45">
      <c r="A20">
        <v>9</v>
      </c>
      <c r="B20" s="341" t="n">
        <v>288.824318343</v>
      </c>
      <c r="C20" s="11">
        <f t="shared" si="0"/>
        <v>4.7973167752033705E-3</v>
      </c>
      <c r="E20" s="28">
        <v>9</v>
      </c>
      <c r="F20" s="343" t="n">
        <v>996.0</v>
      </c>
      <c r="G20" s="11">
        <f t="shared" si="1"/>
        <v>1.5545985204303657E-2</v>
      </c>
    </row>
    <row r="21" spans="1:7" x14ac:dyDescent="0.45">
      <c r="A21">
        <v>10</v>
      </c>
      <c r="B21" s="341" t="n">
        <v>1266.5608039170002</v>
      </c>
      <c r="C21" s="11">
        <f t="shared" si="0"/>
        <v>2.1037333096828384E-2</v>
      </c>
      <c r="E21" s="29">
        <v>10</v>
      </c>
      <c r="F21" s="343" t="n">
        <v>827.0</v>
      </c>
      <c r="G21" s="11">
        <f t="shared" si="1"/>
        <v>1.3340135952341651E-2</v>
      </c>
    </row>
    <row r="22" spans="1:7" x14ac:dyDescent="0.45">
      <c r="A22">
        <v>11</v>
      </c>
      <c r="B22" s="341" t="n">
        <v>1113.06873554</v>
      </c>
      <c r="C22" s="11">
        <f t="shared" si="0"/>
        <v>1.8487859151178229E-2</v>
      </c>
      <c r="E22" s="30">
        <v>11</v>
      </c>
      <c r="F22" s="343" t="n">
        <v>560.0</v>
      </c>
      <c r="G22" s="11">
        <f t="shared" si="1"/>
        <v>8.598310349484552E-3</v>
      </c>
    </row>
    <row r="23" spans="1:7" x14ac:dyDescent="0.45">
      <c r="A23">
        <v>12</v>
      </c>
      <c r="B23" s="341" t="n">
        <v>400.972986966</v>
      </c>
      <c r="C23" s="11">
        <f t="shared" si="0"/>
        <v>6.6600847456722298E-3</v>
      </c>
      <c r="E23" s="31">
        <v>12</v>
      </c>
      <c r="F23" s="343" t="n">
        <v>435.0</v>
      </c>
      <c r="G23" s="11">
        <f t="shared" si="1"/>
        <v>6.1973859936075388E-3</v>
      </c>
    </row>
    <row r="24" spans="1:7" x14ac:dyDescent="0.45">
      <c r="A24">
        <v>13</v>
      </c>
      <c r="B24" s="341" t="n">
        <v>276.741312538</v>
      </c>
      <c r="C24" s="11">
        <f t="shared" si="0"/>
        <v>4.5966203560937882E-3</v>
      </c>
      <c r="E24" s="32">
        <v>13</v>
      </c>
      <c r="F24" s="343" t="n">
        <v>337.0</v>
      </c>
      <c r="G24" s="11">
        <f t="shared" si="1"/>
        <v>5.3870740234990468E-3</v>
      </c>
    </row>
    <row r="25" spans="1:7" x14ac:dyDescent="0.45">
      <c r="A25">
        <v>14</v>
      </c>
      <c r="B25" s="341" t="n">
        <v>377.825669828</v>
      </c>
      <c r="C25" s="11">
        <f t="shared" si="0"/>
        <v>6.2756122281080896E-3</v>
      </c>
      <c r="E25" s="33">
        <v>14</v>
      </c>
      <c r="F25" s="343" t="n">
        <v>320.0</v>
      </c>
      <c r="G25" s="11">
        <f t="shared" si="1"/>
        <v>4.3816869494755478E-3</v>
      </c>
    </row>
    <row r="26" spans="1:7" x14ac:dyDescent="0.45">
      <c r="A26">
        <v>15</v>
      </c>
      <c r="B26" s="341" t="n">
        <v>24.97125</v>
      </c>
      <c r="C26" s="11">
        <f t="shared" si="0"/>
        <v>4.1476769411269535E-4</v>
      </c>
      <c r="E26" s="34">
        <v>15</v>
      </c>
      <c r="F26" s="343" t="n">
        <v>210.0</v>
      </c>
      <c r="G26" s="11">
        <f t="shared" si="1"/>
        <v>3.2112363259855043E-3</v>
      </c>
    </row>
    <row r="27" spans="1:7" x14ac:dyDescent="0.45">
      <c r="A27">
        <v>16</v>
      </c>
      <c r="B27" s="341" t="n">
        <v>0.0</v>
      </c>
      <c r="C27" s="11">
        <f t="shared" si="0"/>
        <v>0</v>
      </c>
      <c r="E27" s="35">
        <v>16</v>
      </c>
      <c r="F27" s="343" t="n">
        <v>108.0</v>
      </c>
      <c r="G27" s="11">
        <f t="shared" si="1"/>
        <v>2.2958839153073935E-3</v>
      </c>
    </row>
    <row r="28" spans="1:7" x14ac:dyDescent="0.45">
      <c r="A28">
        <v>17</v>
      </c>
      <c r="B28" s="341" t="n">
        <v>0.0</v>
      </c>
      <c r="C28" s="11">
        <f t="shared" si="0"/>
        <v>0</v>
      </c>
      <c r="E28" s="36">
        <v>17</v>
      </c>
      <c r="F28" s="343" t="n">
        <v>99.0</v>
      </c>
      <c r="G28" s="11">
        <f t="shared" si="1"/>
        <v>1.5606008313200582E-3</v>
      </c>
    </row>
    <row r="29" spans="1:7" x14ac:dyDescent="0.45">
      <c r="A29">
        <v>18</v>
      </c>
      <c r="B29" s="341" t="n">
        <v>0.0</v>
      </c>
      <c r="C29" s="11">
        <f t="shared" si="0"/>
        <v>0</v>
      </c>
      <c r="E29" s="37">
        <v>18</v>
      </c>
      <c r="F29" s="343" t="n">
        <v>70.0</v>
      </c>
      <c r="G29" s="11">
        <f t="shared" si="1"/>
        <v>1.0203928512477305E-3</v>
      </c>
    </row>
    <row r="30" spans="1:7" x14ac:dyDescent="0.45">
      <c r="A30">
        <v>19</v>
      </c>
      <c r="B30" s="341" t="n">
        <v>92.59117685140001</v>
      </c>
      <c r="C30" s="11">
        <f t="shared" si="0"/>
        <v>1.5379217667451951E-3</v>
      </c>
      <c r="E30" s="38">
        <v>19</v>
      </c>
      <c r="F30" s="343" t="n">
        <v>45.0</v>
      </c>
      <c r="G30" s="11">
        <f t="shared" si="1"/>
        <v>6.1523686619348447E-4</v>
      </c>
    </row>
    <row r="31" spans="1:7" x14ac:dyDescent="0.45">
      <c r="A31">
        <v>20</v>
      </c>
      <c r="B31" s="341" t="n">
        <v>44.1412807708</v>
      </c>
      <c r="C31" s="11">
        <f t="shared" si="0"/>
        <v>7.3317824460072186E-4</v>
      </c>
      <c r="E31" s="39">
        <v>20</v>
      </c>
      <c r="F31" s="343" t="n">
        <v>43.0</v>
      </c>
      <c r="G31" s="11">
        <f t="shared" si="1"/>
        <v>8.2531774733272305E-4</v>
      </c>
    </row>
    <row r="32" spans="1:7" x14ac:dyDescent="0.45">
      <c r="A32">
        <v>21</v>
      </c>
      <c r="B32" s="341" t="n">
        <v>0.0</v>
      </c>
      <c r="C32" s="11">
        <f t="shared" si="0"/>
        <v>0</v>
      </c>
      <c r="E32" s="40">
        <v>21</v>
      </c>
      <c r="F32" s="343" t="n">
        <v>32.0</v>
      </c>
      <c r="G32" s="11">
        <f t="shared" si="1"/>
        <v>5.1019642562386523E-4</v>
      </c>
    </row>
    <row r="33" spans="1:7" x14ac:dyDescent="0.45">
      <c r="A33">
        <v>22</v>
      </c>
      <c r="B33" s="341" t="n">
        <v>0.0</v>
      </c>
      <c r="C33" s="11">
        <f t="shared" si="0"/>
        <v>0</v>
      </c>
      <c r="E33" s="41">
        <v>22</v>
      </c>
      <c r="F33" s="343" t="n">
        <v>27.0</v>
      </c>
      <c r="G33" s="11">
        <f t="shared" si="1"/>
        <v>1.9507510391500728E-4</v>
      </c>
    </row>
    <row r="34" spans="1:7" x14ac:dyDescent="0.45">
      <c r="A34">
        <v>23</v>
      </c>
      <c r="B34" s="341" t="n">
        <v>0.0</v>
      </c>
      <c r="C34" s="11">
        <f t="shared" si="0"/>
        <v>0</v>
      </c>
      <c r="E34" s="42">
        <v>23</v>
      </c>
      <c r="F34" s="343" t="n">
        <v>12.0</v>
      </c>
      <c r="G34" s="11">
        <f t="shared" si="1"/>
        <v>2.7010399003616394E-4</v>
      </c>
    </row>
    <row r="35" spans="1:7" x14ac:dyDescent="0.45">
      <c r="A35">
        <v>24</v>
      </c>
      <c r="B35" s="341" t="n">
        <v>0.0</v>
      </c>
      <c r="C35" s="11">
        <f t="shared" si="0"/>
        <v>0</v>
      </c>
      <c r="E35" s="43">
        <v>24</v>
      </c>
      <c r="F35" s="343" t="n">
        <v>8.0</v>
      </c>
      <c r="G35" s="11">
        <f t="shared" si="1"/>
        <v>1.6506354946654463E-4</v>
      </c>
    </row>
    <row r="36" spans="1:7" x14ac:dyDescent="0.45">
      <c r="A36">
        <v>25</v>
      </c>
      <c r="B36" s="341" t="n">
        <v>0.0</v>
      </c>
      <c r="C36" s="11">
        <f t="shared" si="0"/>
        <v>0</v>
      </c>
      <c r="E36" s="44">
        <v>25</v>
      </c>
      <c r="F36" s="343" t="n">
        <v>13.0</v>
      </c>
      <c r="G36" s="11">
        <f t="shared" si="1"/>
        <v>1.3505199501808197E-4</v>
      </c>
    </row>
    <row r="37" spans="1:7" x14ac:dyDescent="0.45">
      <c r="A37">
        <v>26</v>
      </c>
      <c r="B37" s="341" t="n">
        <v>0.0</v>
      </c>
      <c r="C37" s="11">
        <f t="shared" si="0"/>
        <v>0</v>
      </c>
      <c r="E37" s="45">
        <v>26</v>
      </c>
      <c r="F37" s="343" t="n">
        <v>8.0</v>
      </c>
      <c r="G37" s="11">
        <f t="shared" si="1"/>
        <v>1.050404405696193E-4</v>
      </c>
    </row>
    <row r="38" spans="1:7" x14ac:dyDescent="0.45">
      <c r="A38">
        <v>27</v>
      </c>
      <c r="B38" s="341" t="n">
        <v>0.0</v>
      </c>
      <c r="C38" s="11">
        <f t="shared" si="0"/>
        <v>0</v>
      </c>
      <c r="E38" s="46">
        <v>27</v>
      </c>
      <c r="F38" s="343" t="n">
        <v>5.0</v>
      </c>
      <c r="G38" s="11">
        <f t="shared" si="1"/>
        <v>1.5005777224231329E-5</v>
      </c>
    </row>
    <row r="39" spans="1:7" x14ac:dyDescent="0.45">
      <c r="A39">
        <v>28</v>
      </c>
      <c r="B39" s="341" t="n">
        <v>0.0</v>
      </c>
      <c r="C39" s="11">
        <f t="shared" si="0"/>
        <v>0</v>
      </c>
      <c r="E39" s="47">
        <v>28</v>
      </c>
      <c r="F39" s="343" t="n">
        <v>4.0</v>
      </c>
      <c r="G39" s="11">
        <f t="shared" si="1"/>
        <v>6.0023108896925315E-5</v>
      </c>
    </row>
    <row r="40" spans="1:7" x14ac:dyDescent="0.45">
      <c r="A40">
        <v>29</v>
      </c>
      <c r="B40" s="341" t="n">
        <v>0.0</v>
      </c>
      <c r="C40" s="11">
        <f t="shared" si="0"/>
        <v>0</v>
      </c>
      <c r="E40" s="48">
        <v>29</v>
      </c>
      <c r="F40" s="343" t="n">
        <v>1.0</v>
      </c>
      <c r="G40" s="11">
        <f t="shared" si="1"/>
        <v>1.2004621779385063E-4</v>
      </c>
    </row>
    <row r="41" spans="1:7" x14ac:dyDescent="0.45">
      <c r="A41">
        <v>30</v>
      </c>
      <c r="B41" s="341" t="n">
        <v>0.0</v>
      </c>
      <c r="C41" s="11">
        <f t="shared" si="0"/>
        <v>0</v>
      </c>
      <c r="E41" s="49">
        <v>30</v>
      </c>
      <c r="F41" s="343" t="n">
        <v>0.0</v>
      </c>
      <c r="G41" s="11">
        <f t="shared" si="1"/>
        <v>7.5028886121156649E-5</v>
      </c>
    </row>
    <row r="42" spans="1:7" x14ac:dyDescent="0.45">
      <c r="A42">
        <v>31</v>
      </c>
      <c r="B42" s="341" t="n">
        <v>0.0</v>
      </c>
      <c r="C42" s="11">
        <f t="shared" si="0"/>
        <v>0</v>
      </c>
      <c r="E42" s="50">
        <v>31</v>
      </c>
      <c r="F42" s="343" t="n">
        <v>1.0</v>
      </c>
      <c r="G42" s="11">
        <f t="shared" si="1"/>
        <v>0</v>
      </c>
    </row>
    <row r="43" spans="1:7" x14ac:dyDescent="0.45">
      <c r="A43">
        <v>32</v>
      </c>
      <c r="B43" s="341" t="n">
        <v>464.442048857</v>
      </c>
      <c r="C43" s="11">
        <f t="shared" si="0"/>
        <v>7.7142937439412789E-3</v>
      </c>
      <c r="E43" s="51">
        <v>32</v>
      </c>
      <c r="F43" s="343" t="n">
        <v>0.0</v>
      </c>
      <c r="G43" s="11">
        <f t="shared" si="1"/>
        <v>0</v>
      </c>
    </row>
    <row r="44" spans="1:7" x14ac:dyDescent="0.45">
      <c r="A44">
        <v>33</v>
      </c>
      <c r="B44" s="341" t="n">
        <v>0.0</v>
      </c>
      <c r="C44" s="11">
        <f t="shared" si="0"/>
        <v>0</v>
      </c>
      <c r="E44" s="52">
        <v>33</v>
      </c>
      <c r="F44" s="343" t="n">
        <v>0.0</v>
      </c>
      <c r="G44" s="11">
        <f t="shared" si="1"/>
        <v>0</v>
      </c>
    </row>
    <row r="45" spans="1:7" x14ac:dyDescent="0.45">
      <c r="A45">
        <v>34</v>
      </c>
      <c r="B45" s="341" t="n">
        <v>0.0</v>
      </c>
      <c r="C45" s="11">
        <f t="shared" si="0"/>
        <v>0</v>
      </c>
      <c r="E45" s="53">
        <v>34</v>
      </c>
      <c r="F45" s="343" t="n">
        <v>0.0</v>
      </c>
      <c r="G45" s="11">
        <f t="shared" si="1"/>
        <v>0</v>
      </c>
    </row>
    <row r="46" spans="1:7" x14ac:dyDescent="0.45">
      <c r="A46">
        <v>35</v>
      </c>
      <c r="B46" s="341" t="n">
        <v>0.0</v>
      </c>
      <c r="C46" s="11">
        <f t="shared" si="0"/>
        <v>0</v>
      </c>
      <c r="E46" s="54">
        <v>35</v>
      </c>
      <c r="F46" s="343" t="n">
        <v>0.0</v>
      </c>
      <c r="G46" s="11">
        <f t="shared" si="1"/>
        <v>0</v>
      </c>
    </row>
    <row r="47" spans="1:7" x14ac:dyDescent="0.45">
      <c r="A47">
        <v>36</v>
      </c>
      <c r="B47" s="341" t="n">
        <v>0.0</v>
      </c>
      <c r="C47" s="11">
        <f t="shared" si="0"/>
        <v>0</v>
      </c>
      <c r="E47" s="55">
        <v>36</v>
      </c>
      <c r="F47" s="343" t="n">
        <v>0.0</v>
      </c>
      <c r="G47" s="11">
        <f t="shared" si="1"/>
        <v>1.5005777224231329E-5</v>
      </c>
    </row>
    <row r="48" spans="1:7" x14ac:dyDescent="0.45">
      <c r="A48">
        <v>37</v>
      </c>
      <c r="B48" s="341" t="n">
        <v>0.0</v>
      </c>
      <c r="C48" s="11">
        <f t="shared" si="0"/>
        <v>0</v>
      </c>
      <c r="E48" s="56">
        <v>37</v>
      </c>
      <c r="F48" s="343" t="n">
        <v>0.0</v>
      </c>
      <c r="G48" s="11">
        <f t="shared" si="1"/>
        <v>0</v>
      </c>
    </row>
    <row r="49" spans="1:7" x14ac:dyDescent="0.45">
      <c r="A49">
        <v>38</v>
      </c>
      <c r="B49" s="341" t="n">
        <v>0.0</v>
      </c>
      <c r="C49" s="11">
        <f t="shared" si="0"/>
        <v>0</v>
      </c>
      <c r="E49" s="57">
        <v>38</v>
      </c>
      <c r="F49" s="343" t="n">
        <v>1.0</v>
      </c>
      <c r="G49" s="11">
        <f t="shared" si="1"/>
        <v>0</v>
      </c>
    </row>
    <row r="50" spans="1:7" x14ac:dyDescent="0.45">
      <c r="A50">
        <v>39</v>
      </c>
      <c r="B50" s="341" t="n">
        <v>0.0</v>
      </c>
      <c r="C50" s="11">
        <f t="shared" si="0"/>
        <v>0</v>
      </c>
      <c r="E50" s="58">
        <v>39</v>
      </c>
      <c r="F50" s="343" t="n">
        <v>1.0</v>
      </c>
      <c r="G50" s="11">
        <f t="shared" si="1"/>
        <v>0</v>
      </c>
    </row>
    <row r="51" spans="1:7" x14ac:dyDescent="0.45">
      <c r="A51">
        <v>40</v>
      </c>
      <c r="B51" s="341" t="n">
        <v>0.0</v>
      </c>
      <c r="C51" s="11">
        <f t="shared" si="0"/>
        <v>0</v>
      </c>
      <c r="E51" s="59">
        <v>40</v>
      </c>
      <c r="F51" s="343" t="n">
        <v>0.0</v>
      </c>
      <c r="G51" s="11">
        <f t="shared" si="1"/>
        <v>0</v>
      </c>
    </row>
    <row r="52" spans="1:7" x14ac:dyDescent="0.45">
      <c r="A52">
        <v>41</v>
      </c>
      <c r="B52" s="341" t="n">
        <v>0.0</v>
      </c>
      <c r="C52" s="11">
        <f t="shared" si="0"/>
        <v>0</v>
      </c>
      <c r="E52" s="60">
        <v>41</v>
      </c>
      <c r="F52" s="343" t="n">
        <v>1.0</v>
      </c>
      <c r="G52" s="11">
        <f t="shared" si="1"/>
        <v>0</v>
      </c>
    </row>
    <row r="53" spans="1:7" x14ac:dyDescent="0.45">
      <c r="A53">
        <v>42</v>
      </c>
      <c r="B53" s="341" t="n">
        <v>0.0</v>
      </c>
      <c r="C53" s="11">
        <f t="shared" si="0"/>
        <v>0</v>
      </c>
      <c r="E53" s="61">
        <v>42</v>
      </c>
      <c r="F53" s="343" t="n">
        <v>0.0</v>
      </c>
      <c r="G53" s="11">
        <f t="shared" si="1"/>
        <v>0</v>
      </c>
    </row>
    <row r="54" spans="1:7" x14ac:dyDescent="0.45">
      <c r="A54">
        <v>43</v>
      </c>
      <c r="B54" s="341" t="n">
        <v>0.0</v>
      </c>
      <c r="C54" s="11">
        <f t="shared" si="0"/>
        <v>0</v>
      </c>
      <c r="E54" s="62">
        <v>43</v>
      </c>
      <c r="F54" s="343" t="n">
        <v>0.0</v>
      </c>
      <c r="G54" s="11">
        <f t="shared" si="1"/>
        <v>0</v>
      </c>
    </row>
    <row r="55" spans="1:7" x14ac:dyDescent="0.45">
      <c r="A55">
        <v>44</v>
      </c>
      <c r="B55" s="341" t="n">
        <v>0.0</v>
      </c>
      <c r="C55" s="11">
        <f t="shared" si="0"/>
        <v>0</v>
      </c>
      <c r="E55" s="63">
        <v>44</v>
      </c>
      <c r="F55" s="343" t="n">
        <v>0.0</v>
      </c>
      <c r="G55" s="11">
        <f t="shared" si="1"/>
        <v>0</v>
      </c>
    </row>
    <row r="56" spans="1:7" x14ac:dyDescent="0.45">
      <c r="A56">
        <v>45</v>
      </c>
      <c r="B56" s="341" t="n">
        <v>0.0</v>
      </c>
      <c r="C56" s="11">
        <f t="shared" si="0"/>
        <v>0</v>
      </c>
      <c r="E56" s="64">
        <v>45</v>
      </c>
      <c r="F56" s="343" t="n">
        <v>0.0</v>
      </c>
      <c r="G56" s="11">
        <f t="shared" si="1"/>
        <v>0</v>
      </c>
    </row>
    <row r="57" spans="1:7" x14ac:dyDescent="0.45">
      <c r="A57">
        <v>46</v>
      </c>
      <c r="B57" s="341" t="n">
        <v>0.0</v>
      </c>
      <c r="C57" s="11">
        <f t="shared" si="0"/>
        <v>0</v>
      </c>
      <c r="E57" s="65">
        <v>46</v>
      </c>
      <c r="F57" s="343" t="n">
        <v>0.0</v>
      </c>
      <c r="G57" s="11">
        <f t="shared" si="1"/>
        <v>0</v>
      </c>
    </row>
    <row r="58" spans="1:7" x14ac:dyDescent="0.45">
      <c r="A58">
        <v>47</v>
      </c>
      <c r="B58" s="341" t="n">
        <v>0.0</v>
      </c>
      <c r="C58" s="11">
        <f t="shared" si="0"/>
        <v>0</v>
      </c>
      <c r="E58" s="66">
        <v>47</v>
      </c>
      <c r="F58" s="343" t="n">
        <v>0.0</v>
      </c>
      <c r="G58" s="11">
        <f t="shared" si="1"/>
        <v>0</v>
      </c>
    </row>
    <row r="59" spans="1:7" x14ac:dyDescent="0.45">
      <c r="A59">
        <v>48</v>
      </c>
      <c r="B59" s="341" t="n">
        <v>0.0</v>
      </c>
      <c r="C59" s="11">
        <f t="shared" si="0"/>
        <v>0</v>
      </c>
      <c r="E59" s="67">
        <v>48</v>
      </c>
      <c r="F59" s="343" t="n">
        <v>0.0</v>
      </c>
      <c r="G59" s="11">
        <f t="shared" si="1"/>
        <v>0</v>
      </c>
    </row>
    <row r="60" spans="1:7" x14ac:dyDescent="0.45">
      <c r="A60">
        <v>49</v>
      </c>
      <c r="B60" s="341" t="n">
        <v>0.0</v>
      </c>
      <c r="C60" s="11">
        <f t="shared" si="0"/>
        <v>0</v>
      </c>
      <c r="E60" s="68">
        <v>49</v>
      </c>
      <c r="F60" s="343" t="n">
        <v>0.0</v>
      </c>
      <c r="G60" s="11">
        <f t="shared" si="1"/>
        <v>0</v>
      </c>
    </row>
    <row r="61" spans="1:7" x14ac:dyDescent="0.45">
      <c r="A61">
        <v>50</v>
      </c>
      <c r="B61" s="341" t="n">
        <v>0.0</v>
      </c>
      <c r="C61" s="11">
        <f t="shared" si="0"/>
        <v>0</v>
      </c>
      <c r="E61" s="69">
        <v>50</v>
      </c>
      <c r="F61" s="343" t="n">
        <v>0.0</v>
      </c>
      <c r="G61" s="11">
        <f t="shared" si="1"/>
        <v>0</v>
      </c>
    </row>
    <row r="62" spans="1:7" x14ac:dyDescent="0.45">
      <c r="A62">
        <v>51</v>
      </c>
      <c r="B62" s="341" t="n">
        <v>0.0</v>
      </c>
      <c r="C62" s="11">
        <f t="shared" si="0"/>
        <v>0</v>
      </c>
      <c r="E62" s="70">
        <v>51</v>
      </c>
      <c r="F62" s="343" t="n">
        <v>0.0</v>
      </c>
      <c r="G62" s="11">
        <f t="shared" si="1"/>
        <v>0</v>
      </c>
    </row>
    <row r="63" spans="1:7" x14ac:dyDescent="0.45">
      <c r="A63">
        <v>52</v>
      </c>
      <c r="B63" s="341" t="n">
        <v>0.0</v>
      </c>
      <c r="C63" s="11">
        <f t="shared" si="0"/>
        <v>0</v>
      </c>
      <c r="E63" s="71">
        <v>52</v>
      </c>
      <c r="F63" s="343" t="n">
        <v>0.0</v>
      </c>
      <c r="G63" s="11">
        <f t="shared" si="1"/>
        <v>0</v>
      </c>
    </row>
    <row r="64" spans="1:7" x14ac:dyDescent="0.45">
      <c r="A64">
        <v>53</v>
      </c>
      <c r="B64" s="341" t="n">
        <v>0.0</v>
      </c>
      <c r="C64" s="11">
        <f t="shared" si="0"/>
        <v>0</v>
      </c>
      <c r="E64" s="72">
        <v>53</v>
      </c>
      <c r="F64" s="343" t="n">
        <v>0.0</v>
      </c>
      <c r="G64" s="11">
        <f t="shared" si="1"/>
        <v>0</v>
      </c>
    </row>
    <row r="65" spans="1:7" x14ac:dyDescent="0.45">
      <c r="A65">
        <v>54</v>
      </c>
      <c r="B65" s="341" t="n">
        <v>0.0</v>
      </c>
      <c r="C65" s="11">
        <f t="shared" si="0"/>
        <v>0</v>
      </c>
      <c r="E65" s="73">
        <v>54</v>
      </c>
      <c r="F65" s="343" t="n">
        <v>0.0</v>
      </c>
      <c r="G65" s="11">
        <f t="shared" si="1"/>
        <v>0</v>
      </c>
    </row>
    <row r="66" spans="1:7" x14ac:dyDescent="0.45">
      <c r="A66">
        <v>55</v>
      </c>
      <c r="B66" s="341" t="n">
        <v>0.0</v>
      </c>
      <c r="C66" s="11">
        <f t="shared" si="0"/>
        <v>0</v>
      </c>
      <c r="E66" s="74">
        <v>55</v>
      </c>
      <c r="F66" s="343" t="n">
        <v>0.0</v>
      </c>
      <c r="G66" s="11">
        <f t="shared" si="1"/>
        <v>0</v>
      </c>
    </row>
    <row r="67" spans="1:7" x14ac:dyDescent="0.45">
      <c r="A67">
        <v>56</v>
      </c>
      <c r="B67" s="341" t="n">
        <v>0.0</v>
      </c>
      <c r="C67" s="11">
        <f t="shared" si="0"/>
        <v>0</v>
      </c>
      <c r="E67" s="75">
        <v>56</v>
      </c>
      <c r="F67" s="343" t="n">
        <v>0.0</v>
      </c>
      <c r="G67" s="11">
        <f t="shared" si="1"/>
        <v>0</v>
      </c>
    </row>
    <row r="68" spans="1:7" x14ac:dyDescent="0.45">
      <c r="A68">
        <v>57</v>
      </c>
      <c r="B68" s="341" t="n">
        <v>0.0</v>
      </c>
      <c r="C68" s="11">
        <f t="shared" si="0"/>
        <v>0</v>
      </c>
      <c r="E68" s="76">
        <v>57</v>
      </c>
      <c r="F68" s="343" t="n">
        <v>0.0</v>
      </c>
      <c r="G68" s="11">
        <f t="shared" si="1"/>
        <v>0</v>
      </c>
    </row>
    <row r="69" spans="1:7" x14ac:dyDescent="0.45">
      <c r="A69">
        <v>58</v>
      </c>
      <c r="B69" s="341" t="n">
        <v>0.0</v>
      </c>
      <c r="C69" s="11">
        <f t="shared" si="0"/>
        <v>0</v>
      </c>
      <c r="E69" s="77">
        <v>58</v>
      </c>
      <c r="F69" s="343" t="n">
        <v>0.0</v>
      </c>
      <c r="G69" s="11">
        <f t="shared" si="1"/>
        <v>0</v>
      </c>
    </row>
    <row r="70" spans="1:7" x14ac:dyDescent="0.45">
      <c r="A70">
        <v>59</v>
      </c>
      <c r="B70" s="341" t="n">
        <v>0.0</v>
      </c>
      <c r="C70" s="11">
        <f t="shared" si="0"/>
        <v>0</v>
      </c>
      <c r="E70" s="78">
        <v>59</v>
      </c>
      <c r="F70" s="343" t="n">
        <v>0.0</v>
      </c>
      <c r="G70" s="11">
        <f t="shared" si="1"/>
        <v>0</v>
      </c>
    </row>
    <row r="71" spans="1:7" x14ac:dyDescent="0.45">
      <c r="A71">
        <v>60</v>
      </c>
      <c r="B71" s="341" t="n">
        <v>0.0</v>
      </c>
      <c r="C71" s="11">
        <f t="shared" si="0"/>
        <v>0</v>
      </c>
      <c r="E71" s="79">
        <v>60</v>
      </c>
      <c r="F71" s="343" t="n">
        <v>0.0</v>
      </c>
      <c r="G71" s="11">
        <f t="shared" si="1"/>
        <v>0</v>
      </c>
    </row>
    <row r="72" spans="1:7" x14ac:dyDescent="0.45">
      <c r="A72">
        <v>61</v>
      </c>
      <c r="B72" s="341" t="n">
        <v>0.0</v>
      </c>
      <c r="C72" s="11">
        <f t="shared" si="0"/>
        <v>0</v>
      </c>
      <c r="E72" s="80">
        <v>61</v>
      </c>
      <c r="F72" s="343" t="n">
        <v>0.0</v>
      </c>
      <c r="G72" s="11">
        <f t="shared" si="1"/>
        <v>0</v>
      </c>
    </row>
    <row r="73" spans="1:7" x14ac:dyDescent="0.45">
      <c r="A73">
        <v>62</v>
      </c>
      <c r="B73" s="341" t="n">
        <v>0.0</v>
      </c>
      <c r="C73" s="11">
        <f t="shared" si="0"/>
        <v>0</v>
      </c>
      <c r="E73" s="81">
        <v>62</v>
      </c>
      <c r="F73" s="343" t="n">
        <v>0.0</v>
      </c>
      <c r="G73" s="11">
        <f t="shared" si="1"/>
        <v>0</v>
      </c>
    </row>
    <row r="74" spans="1:7" x14ac:dyDescent="0.45">
      <c r="A74">
        <v>63</v>
      </c>
      <c r="B74" s="341" t="n">
        <v>0.0</v>
      </c>
      <c r="C74" s="11">
        <f t="shared" si="0"/>
        <v>0</v>
      </c>
      <c r="E74" s="82">
        <v>63</v>
      </c>
      <c r="F74" s="343" t="n">
        <v>0.0</v>
      </c>
      <c r="G74" s="11">
        <f t="shared" si="1"/>
        <v>0</v>
      </c>
    </row>
    <row r="75" spans="1:7" x14ac:dyDescent="0.45">
      <c r="A75">
        <v>64</v>
      </c>
      <c r="B75" s="341" t="n">
        <v>0.0</v>
      </c>
      <c r="C75" s="11">
        <f t="shared" si="0"/>
        <v>0</v>
      </c>
      <c r="E75" s="83">
        <v>64</v>
      </c>
      <c r="F75" s="343" t="n">
        <v>0.0</v>
      </c>
      <c r="G75" s="11">
        <f t="shared" si="1"/>
        <v>0</v>
      </c>
    </row>
    <row r="76" spans="1:7" x14ac:dyDescent="0.45">
      <c r="A76">
        <v>65</v>
      </c>
      <c r="B76" s="341" t="n">
        <v>0.0</v>
      </c>
      <c r="C76" s="11">
        <f t="shared" si="0"/>
        <v>0</v>
      </c>
      <c r="E76" s="84">
        <v>65</v>
      </c>
      <c r="F76" s="343" t="n">
        <v>0.0</v>
      </c>
      <c r="G76" s="11">
        <f t="shared" si="1"/>
        <v>0</v>
      </c>
    </row>
    <row r="77" spans="1:7" x14ac:dyDescent="0.45">
      <c r="A77">
        <v>66</v>
      </c>
      <c r="B77" s="341" t="n">
        <v>0.0</v>
      </c>
      <c r="C77" s="11">
        <f t="shared" ref="C77:C102" si="2">B77/B$102</f>
        <v>0</v>
      </c>
      <c r="E77" s="85">
        <v>66</v>
      </c>
      <c r="F77" s="343" t="n">
        <v>0.0</v>
      </c>
      <c r="G77" s="11">
        <f t="shared" ref="G77:G102" si="3">F77/F$102</f>
        <v>0</v>
      </c>
    </row>
    <row r="78" spans="1:7" x14ac:dyDescent="0.45">
      <c r="A78">
        <v>67</v>
      </c>
      <c r="B78" s="341" t="n">
        <v>0.0</v>
      </c>
      <c r="C78" s="11">
        <f t="shared" si="2"/>
        <v>0</v>
      </c>
      <c r="E78" s="86">
        <v>67</v>
      </c>
      <c r="F78" s="343" t="n">
        <v>0.0</v>
      </c>
      <c r="G78" s="11">
        <f t="shared" si="3"/>
        <v>0</v>
      </c>
    </row>
    <row r="79" spans="1:7" x14ac:dyDescent="0.45">
      <c r="A79">
        <v>68</v>
      </c>
      <c r="B79" s="341" t="n">
        <v>0.0</v>
      </c>
      <c r="C79" s="11">
        <f t="shared" si="2"/>
        <v>0</v>
      </c>
      <c r="E79" s="87">
        <v>68</v>
      </c>
      <c r="F79" s="343" t="n">
        <v>0.0</v>
      </c>
      <c r="G79" s="11">
        <f t="shared" si="3"/>
        <v>0</v>
      </c>
    </row>
    <row r="80" spans="1:7" x14ac:dyDescent="0.45">
      <c r="A80">
        <v>69</v>
      </c>
      <c r="B80" s="341" t="n">
        <v>0.0</v>
      </c>
      <c r="C80" s="11">
        <f t="shared" si="2"/>
        <v>0</v>
      </c>
      <c r="E80" s="88">
        <v>69</v>
      </c>
      <c r="F80" s="343" t="n">
        <v>0.0</v>
      </c>
      <c r="G80" s="11">
        <f t="shared" si="3"/>
        <v>0</v>
      </c>
    </row>
    <row r="81" spans="1:7" x14ac:dyDescent="0.45">
      <c r="A81">
        <v>70</v>
      </c>
      <c r="B81" s="341" t="n">
        <v>0.0</v>
      </c>
      <c r="C81" s="11">
        <f t="shared" si="2"/>
        <v>0</v>
      </c>
      <c r="E81" s="89">
        <v>70</v>
      </c>
      <c r="F81" s="343" t="n">
        <v>0.0</v>
      </c>
      <c r="G81" s="11">
        <f t="shared" si="3"/>
        <v>0</v>
      </c>
    </row>
    <row r="82" spans="1:7" x14ac:dyDescent="0.45">
      <c r="A82">
        <v>71</v>
      </c>
      <c r="B82" s="341" t="n">
        <v>0.0</v>
      </c>
      <c r="C82" s="11">
        <f t="shared" si="2"/>
        <v>0</v>
      </c>
      <c r="E82" s="90">
        <v>71</v>
      </c>
      <c r="F82" s="343" t="n">
        <v>0.0</v>
      </c>
      <c r="G82" s="11">
        <f t="shared" si="3"/>
        <v>0</v>
      </c>
    </row>
    <row r="83" spans="1:7" x14ac:dyDescent="0.45">
      <c r="A83">
        <v>72</v>
      </c>
      <c r="B83" s="341" t="n">
        <v>0.0</v>
      </c>
      <c r="C83" s="11">
        <f t="shared" si="2"/>
        <v>0</v>
      </c>
      <c r="E83" s="91">
        <v>72</v>
      </c>
      <c r="F83" s="343" t="n">
        <v>0.0</v>
      </c>
      <c r="G83" s="11">
        <f t="shared" si="3"/>
        <v>0</v>
      </c>
    </row>
    <row r="84" spans="1:7" x14ac:dyDescent="0.45">
      <c r="A84">
        <v>73</v>
      </c>
      <c r="B84" s="341" t="n">
        <v>0.0</v>
      </c>
      <c r="C84" s="11">
        <f t="shared" si="2"/>
        <v>0</v>
      </c>
      <c r="E84" s="92">
        <v>73</v>
      </c>
      <c r="F84" s="343" t="n">
        <v>0.0</v>
      </c>
      <c r="G84" s="11">
        <f t="shared" si="3"/>
        <v>0</v>
      </c>
    </row>
    <row r="85" spans="1:7" x14ac:dyDescent="0.45">
      <c r="A85">
        <v>74</v>
      </c>
      <c r="B85" s="341" t="n">
        <v>0.0</v>
      </c>
      <c r="C85" s="11">
        <f t="shared" si="2"/>
        <v>0</v>
      </c>
      <c r="E85" s="93">
        <v>74</v>
      </c>
      <c r="F85" s="343" t="n">
        <v>0.0</v>
      </c>
      <c r="G85" s="11">
        <f t="shared" si="3"/>
        <v>0</v>
      </c>
    </row>
    <row r="86" spans="1:7" x14ac:dyDescent="0.45">
      <c r="A86">
        <v>75</v>
      </c>
      <c r="B86" s="341" t="n">
        <v>0.0</v>
      </c>
      <c r="C86" s="11">
        <f t="shared" si="2"/>
        <v>0</v>
      </c>
      <c r="E86" s="94">
        <v>75</v>
      </c>
      <c r="F86" s="343" t="n">
        <v>0.0</v>
      </c>
      <c r="G86" s="11">
        <f t="shared" si="3"/>
        <v>0</v>
      </c>
    </row>
    <row r="87" spans="1:7" x14ac:dyDescent="0.45">
      <c r="A87">
        <v>76</v>
      </c>
      <c r="B87" s="341" t="n">
        <v>0.0</v>
      </c>
      <c r="C87" s="11">
        <f t="shared" si="2"/>
        <v>0</v>
      </c>
      <c r="E87" s="95">
        <v>76</v>
      </c>
      <c r="F87" s="343" t="n">
        <v>0.0</v>
      </c>
      <c r="G87" s="11">
        <f t="shared" si="3"/>
        <v>0</v>
      </c>
    </row>
    <row r="88" spans="1:7" x14ac:dyDescent="0.45">
      <c r="A88">
        <v>77</v>
      </c>
      <c r="B88" s="341" t="n">
        <v>0.0</v>
      </c>
      <c r="C88" s="11">
        <f t="shared" si="2"/>
        <v>0</v>
      </c>
      <c r="E88" s="96">
        <v>77</v>
      </c>
      <c r="F88" s="343" t="n">
        <v>0.0</v>
      </c>
      <c r="G88" s="11">
        <f t="shared" si="3"/>
        <v>0</v>
      </c>
    </row>
    <row r="89" spans="1:7" x14ac:dyDescent="0.45">
      <c r="A89">
        <v>78</v>
      </c>
      <c r="B89" s="341" t="n">
        <v>0.0</v>
      </c>
      <c r="C89" s="11">
        <f t="shared" si="2"/>
        <v>0</v>
      </c>
      <c r="E89" s="97">
        <v>78</v>
      </c>
      <c r="F89" s="343" t="n">
        <v>0.0</v>
      </c>
      <c r="G89" s="11">
        <f t="shared" si="3"/>
        <v>0</v>
      </c>
    </row>
    <row r="90" spans="1:7" x14ac:dyDescent="0.45">
      <c r="A90">
        <v>79</v>
      </c>
      <c r="B90" s="341" t="n">
        <v>0.0</v>
      </c>
      <c r="C90" s="11">
        <f t="shared" si="2"/>
        <v>0</v>
      </c>
      <c r="E90" s="98">
        <v>79</v>
      </c>
      <c r="F90" s="343" t="n">
        <v>0.0</v>
      </c>
      <c r="G90" s="11">
        <f t="shared" si="3"/>
        <v>0</v>
      </c>
    </row>
    <row r="91" spans="1:7" x14ac:dyDescent="0.45">
      <c r="A91">
        <v>80</v>
      </c>
      <c r="B91" s="341" t="n">
        <v>0.0</v>
      </c>
      <c r="C91" s="11">
        <f t="shared" si="2"/>
        <v>0</v>
      </c>
      <c r="E91" s="99">
        <v>80</v>
      </c>
      <c r="F91" s="343" t="n">
        <v>0.0</v>
      </c>
      <c r="G91" s="11">
        <f t="shared" si="3"/>
        <v>0</v>
      </c>
    </row>
    <row r="92" spans="1:7" x14ac:dyDescent="0.45">
      <c r="A92">
        <v>81</v>
      </c>
      <c r="B92" s="341" t="n">
        <v>0.0</v>
      </c>
      <c r="C92" s="11">
        <f t="shared" si="2"/>
        <v>0</v>
      </c>
      <c r="E92" s="100">
        <v>81</v>
      </c>
      <c r="F92" s="343" t="n">
        <v>0.0</v>
      </c>
      <c r="G92" s="11">
        <f t="shared" si="3"/>
        <v>0</v>
      </c>
    </row>
    <row r="93" spans="1:7" x14ac:dyDescent="0.45">
      <c r="A93">
        <v>82</v>
      </c>
      <c r="B93" s="341" t="n">
        <v>0.0</v>
      </c>
      <c r="C93" s="11">
        <f t="shared" si="2"/>
        <v>0</v>
      </c>
      <c r="E93" s="101">
        <v>82</v>
      </c>
      <c r="F93" s="343" t="n">
        <v>0.0</v>
      </c>
      <c r="G93" s="11">
        <f t="shared" si="3"/>
        <v>0</v>
      </c>
    </row>
    <row r="94" spans="1:7" x14ac:dyDescent="0.45">
      <c r="A94">
        <v>83</v>
      </c>
      <c r="B94" s="341" t="n">
        <v>0.0</v>
      </c>
      <c r="C94" s="11">
        <f t="shared" si="2"/>
        <v>0</v>
      </c>
      <c r="E94" s="102">
        <v>83</v>
      </c>
      <c r="F94" s="343" t="n">
        <v>0.0</v>
      </c>
      <c r="G94" s="11">
        <f t="shared" si="3"/>
        <v>0</v>
      </c>
    </row>
    <row r="95" spans="1:7" x14ac:dyDescent="0.45">
      <c r="A95">
        <v>84</v>
      </c>
      <c r="B95" s="341" t="n">
        <v>0.0</v>
      </c>
      <c r="C95" s="11">
        <f t="shared" si="2"/>
        <v>0</v>
      </c>
      <c r="E95" s="103">
        <v>84</v>
      </c>
      <c r="F95" s="343" t="n">
        <v>0.0</v>
      </c>
      <c r="G95" s="11">
        <f t="shared" si="3"/>
        <v>0</v>
      </c>
    </row>
    <row r="96" spans="1:7" x14ac:dyDescent="0.45">
      <c r="A96">
        <v>85</v>
      </c>
      <c r="B96" s="341" t="n">
        <v>0.0</v>
      </c>
      <c r="C96" s="11">
        <f t="shared" si="2"/>
        <v>0</v>
      </c>
      <c r="E96" s="104">
        <v>85</v>
      </c>
      <c r="F96" s="343" t="n">
        <v>0.0</v>
      </c>
      <c r="G96" s="11">
        <f t="shared" si="3"/>
        <v>0</v>
      </c>
    </row>
    <row r="97" spans="1:7" x14ac:dyDescent="0.45">
      <c r="A97">
        <v>86</v>
      </c>
      <c r="B97" s="341" t="n">
        <v>0.0</v>
      </c>
      <c r="C97" s="11">
        <f t="shared" si="2"/>
        <v>0</v>
      </c>
      <c r="E97" s="105">
        <v>86</v>
      </c>
      <c r="F97" s="343" t="n">
        <v>0.0</v>
      </c>
      <c r="G97" s="11">
        <f t="shared" si="3"/>
        <v>0</v>
      </c>
    </row>
    <row r="98" spans="1:7" x14ac:dyDescent="0.45">
      <c r="A98">
        <v>87</v>
      </c>
      <c r="B98" s="341" t="n">
        <v>0.0</v>
      </c>
      <c r="C98" s="11">
        <f t="shared" si="2"/>
        <v>0</v>
      </c>
      <c r="E98" s="106">
        <v>87</v>
      </c>
      <c r="F98" s="343" t="n">
        <v>0.0</v>
      </c>
      <c r="G98" s="11">
        <f t="shared" si="3"/>
        <v>0</v>
      </c>
    </row>
    <row r="99" spans="1:7" x14ac:dyDescent="0.45">
      <c r="A99">
        <v>88</v>
      </c>
      <c r="B99" s="341" t="n">
        <v>0.0</v>
      </c>
      <c r="C99" s="11">
        <f t="shared" si="2"/>
        <v>0</v>
      </c>
      <c r="E99" s="107">
        <v>88</v>
      </c>
      <c r="F99" s="343" t="n">
        <v>0.0</v>
      </c>
      <c r="G99" s="11">
        <f t="shared" si="3"/>
        <v>0</v>
      </c>
    </row>
    <row r="100" spans="1:7" x14ac:dyDescent="0.45">
      <c r="A100">
        <v>89</v>
      </c>
      <c r="B100" s="341" t="n">
        <v>0.0</v>
      </c>
      <c r="C100" s="11">
        <f t="shared" si="2"/>
        <v>0</v>
      </c>
      <c r="E100" s="108">
        <v>89</v>
      </c>
      <c r="F100" s="343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342" t="n">
        <v>0.0</v>
      </c>
      <c r="C101" s="11">
        <f t="shared" si="2"/>
        <v>0</v>
      </c>
      <c r="E101" s="292">
        <v>90</v>
      </c>
      <c r="F101" s="344" t="n">
        <v>0.0</v>
      </c>
      <c r="G101" s="11">
        <f t="shared" si="3"/>
        <v>0</v>
      </c>
    </row>
    <row r="102" spans="1:7" x14ac:dyDescent="0.45">
      <c r="B102" s="341">
        <f>SUM(B11:B101)</f>
        <v>60205.388111098</v>
      </c>
      <c r="C102" s="11">
        <f t="shared" si="2"/>
        <v>1</v>
      </c>
      <c r="F102" s="341">
        <f>SUM(F11:F101)</f>
        <v>66641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G19" sqref="G19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244</v>
      </c>
    </row>
    <row r="3" spans="1:12" x14ac:dyDescent="0.45">
      <c r="A3" t="s">
        <v>246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620.0</v>
      </c>
      <c r="G11" s="11">
        <f>F11/F$102</f>
        <v>9.1685298840053428E-3</v>
      </c>
      <c r="K11" s="8" t="n">
        <v>9.17593557833008</v>
      </c>
      <c r="L11" s="8" t="n">
        <v>8.697465375342393</v>
      </c>
    </row>
    <row r="12" spans="1:12" x14ac:dyDescent="0.45">
      <c r="A12">
        <v>1</v>
      </c>
      <c r="B12" s="8" t="n">
        <v>1213.9305369145</v>
      </c>
      <c r="C12" s="11">
        <f>B12/B$102</f>
        <v>2.0163154411934253E-2</v>
      </c>
      <c r="E12" s="110">
        <v>1</v>
      </c>
      <c r="F12" s="200" t="n">
        <v>2880.0</v>
      </c>
      <c r="G12" s="11">
        <f>F12/F$102</f>
        <v>4.1596014465569243E-2</v>
      </c>
      <c r="K12" s="8"/>
      <c r="L12" s="290"/>
    </row>
    <row r="13" spans="1:12" x14ac:dyDescent="0.45">
      <c r="A13">
        <v>2</v>
      </c>
      <c r="B13" s="8" t="n">
        <v>3724.920708267</v>
      </c>
      <c r="C13" s="11">
        <f t="shared" ref="C13:C76" si="0">B13/B$102</f>
        <v>6.1870221671743754E-2</v>
      </c>
      <c r="E13" s="111">
        <v>2</v>
      </c>
      <c r="F13" s="201" t="n">
        <v>6047.0</v>
      </c>
      <c r="G13" s="11">
        <f t="shared" ref="G13:G76" si="1">F13/F$102</f>
        <v>8.9254362929727951E-2</v>
      </c>
    </row>
    <row r="14" spans="1:12" x14ac:dyDescent="0.45">
      <c r="A14">
        <v>3</v>
      </c>
      <c r="B14" s="8" t="n">
        <v>1739.63564769</v>
      </c>
      <c r="C14" s="11">
        <f t="shared" si="0"/>
        <v>2.8895015915848282E-2</v>
      </c>
      <c r="E14" s="112">
        <v>3</v>
      </c>
      <c r="F14" s="202" t="n">
        <v>6956.0</v>
      </c>
      <c r="G14" s="11">
        <f t="shared" si="1"/>
        <v>0.10543059077744932</v>
      </c>
    </row>
    <row r="15" spans="1:12" x14ac:dyDescent="0.45">
      <c r="A15">
        <v>4</v>
      </c>
      <c r="B15" s="8" t="n">
        <v>7680.066178148</v>
      </c>
      <c r="C15" s="11">
        <f t="shared" si="0"/>
        <v>0.12756443267130585</v>
      </c>
      <c r="E15" s="113">
        <v>4</v>
      </c>
      <c r="F15" s="203" t="n">
        <v>5866.0</v>
      </c>
      <c r="G15" s="11">
        <f t="shared" si="1"/>
        <v>8.8909230053570626E-2</v>
      </c>
    </row>
    <row r="16" spans="1:12" x14ac:dyDescent="0.45">
      <c r="A16">
        <v>5</v>
      </c>
      <c r="B16" s="8" t="n">
        <v>5864.0835876341</v>
      </c>
      <c r="C16" s="11">
        <f t="shared" si="0"/>
        <v>9.7401308613989962E-2</v>
      </c>
      <c r="E16" s="114">
        <v>5</v>
      </c>
      <c r="F16" s="204" t="n">
        <v>5378.0</v>
      </c>
      <c r="G16" s="11">
        <f t="shared" si="1"/>
        <v>8.0040815714049904E-2</v>
      </c>
    </row>
    <row r="17" spans="1:7" x14ac:dyDescent="0.45">
      <c r="A17">
        <v>6</v>
      </c>
      <c r="B17" s="8" t="n">
        <v>3383.798457088</v>
      </c>
      <c r="C17" s="11">
        <f t="shared" si="0"/>
        <v>5.6204246218690919E-2</v>
      </c>
      <c r="E17" s="115">
        <v>6</v>
      </c>
      <c r="F17" s="205" t="n">
        <v>4781.0</v>
      </c>
      <c r="G17" s="11">
        <f t="shared" si="1"/>
        <v>7.1922690235740758E-2</v>
      </c>
    </row>
    <row r="18" spans="1:7" x14ac:dyDescent="0.45">
      <c r="A18">
        <v>7</v>
      </c>
      <c r="B18" s="8" t="n">
        <v>7063.0649348117</v>
      </c>
      <c r="C18" s="11">
        <f t="shared" si="0"/>
        <v>0.11731615983901819</v>
      </c>
      <c r="E18" s="116">
        <v>7</v>
      </c>
      <c r="F18" s="206" t="n">
        <v>4665.0</v>
      </c>
      <c r="G18" s="11">
        <f t="shared" si="1"/>
        <v>7.0182020077729931E-2</v>
      </c>
    </row>
    <row r="19" spans="1:7" x14ac:dyDescent="0.45">
      <c r="A19">
        <v>8</v>
      </c>
      <c r="B19" s="8" t="n">
        <v>3529.705995381</v>
      </c>
      <c r="C19" s="11">
        <f t="shared" si="0"/>
        <v>5.8627742567950461E-2</v>
      </c>
      <c r="E19" s="117">
        <v>8</v>
      </c>
      <c r="F19" s="207" t="n">
        <v>3583.0</v>
      </c>
      <c r="G19" s="11">
        <f t="shared" si="1"/>
        <v>5.4335919328941641E-2</v>
      </c>
    </row>
    <row r="20" spans="1:7" x14ac:dyDescent="0.45">
      <c r="A20">
        <v>9</v>
      </c>
      <c r="B20" s="8" t="n">
        <v>2450.492518207</v>
      </c>
      <c r="C20" s="11">
        <f t="shared" si="0"/>
        <v>4.0702212793397578E-2</v>
      </c>
      <c r="E20" s="118">
        <v>9</v>
      </c>
      <c r="F20" s="208" t="n">
        <v>3590.0</v>
      </c>
      <c r="G20" s="11">
        <f t="shared" si="1"/>
        <v>5.4065815338905476E-2</v>
      </c>
    </row>
    <row r="21" spans="1:7" x14ac:dyDescent="0.45">
      <c r="A21">
        <v>10</v>
      </c>
      <c r="B21" s="8" t="n">
        <v>7359.6219826975</v>
      </c>
      <c r="C21" s="11">
        <f t="shared" si="0"/>
        <v>0.1222419157753234</v>
      </c>
      <c r="E21" s="119">
        <v>10</v>
      </c>
      <c r="F21" s="209" t="n">
        <v>3587.0</v>
      </c>
      <c r="G21" s="11">
        <f t="shared" si="1"/>
        <v>5.3510601581608919E-2</v>
      </c>
    </row>
    <row r="22" spans="1:7" x14ac:dyDescent="0.45">
      <c r="A22">
        <v>11</v>
      </c>
      <c r="B22" s="8" t="n">
        <v>3260.555490085</v>
      </c>
      <c r="C22" s="11">
        <f t="shared" si="0"/>
        <v>5.415720407064302E-2</v>
      </c>
      <c r="E22" s="120">
        <v>11</v>
      </c>
      <c r="F22" s="210" t="n">
        <v>3166.0</v>
      </c>
      <c r="G22" s="11">
        <f t="shared" si="1"/>
        <v>4.536246454885131E-2</v>
      </c>
    </row>
    <row r="23" spans="1:7" x14ac:dyDescent="0.45">
      <c r="A23">
        <v>12</v>
      </c>
      <c r="B23" s="8" t="n">
        <v>1905.987212251</v>
      </c>
      <c r="C23" s="11">
        <f t="shared" si="0"/>
        <v>3.1658083637528422E-2</v>
      </c>
      <c r="E23" s="121">
        <v>12</v>
      </c>
      <c r="F23" s="211" t="n">
        <v>2741.0</v>
      </c>
      <c r="G23" s="11">
        <f t="shared" si="1"/>
        <v>4.0560615837097282E-2</v>
      </c>
    </row>
    <row r="24" spans="1:7" x14ac:dyDescent="0.45">
      <c r="A24">
        <v>13</v>
      </c>
      <c r="B24" s="8" t="n">
        <v>731.1204108</v>
      </c>
      <c r="C24" s="11">
        <f t="shared" si="0"/>
        <v>1.2143770412223755E-2</v>
      </c>
      <c r="E24" s="122">
        <v>13</v>
      </c>
      <c r="F24" s="212" t="n">
        <v>2141.0</v>
      </c>
      <c r="G24" s="11">
        <f t="shared" si="1"/>
        <v>3.1197010849176934E-2</v>
      </c>
    </row>
    <row r="25" spans="1:7" x14ac:dyDescent="0.45">
      <c r="A25">
        <v>14</v>
      </c>
      <c r="B25" s="8" t="n">
        <v>2453.135096614</v>
      </c>
      <c r="C25" s="11">
        <f t="shared" si="0"/>
        <v>4.0746105516124044E-2</v>
      </c>
      <c r="E25" s="123">
        <v>14</v>
      </c>
      <c r="F25" s="213" t="n">
        <v>1748.0</v>
      </c>
      <c r="G25" s="11">
        <f t="shared" si="1"/>
        <v>2.5914977266247505E-2</v>
      </c>
    </row>
    <row r="26" spans="1:7" x14ac:dyDescent="0.45">
      <c r="A26">
        <v>15</v>
      </c>
      <c r="B26" s="8" t="n">
        <v>1553.501097341</v>
      </c>
      <c r="C26" s="11">
        <f t="shared" si="0"/>
        <v>2.5803356577891307E-2</v>
      </c>
      <c r="E26" s="124">
        <v>15</v>
      </c>
      <c r="F26" s="214" t="n">
        <v>1347.0</v>
      </c>
      <c r="G26" s="11">
        <f t="shared" si="1"/>
        <v>2.1068111222820787E-2</v>
      </c>
    </row>
    <row r="27" spans="1:7" x14ac:dyDescent="0.45">
      <c r="A27">
        <v>16</v>
      </c>
      <c r="B27" s="8" t="n">
        <v>0.0</v>
      </c>
      <c r="C27" s="11">
        <f t="shared" si="0"/>
        <v>0</v>
      </c>
      <c r="E27" s="125">
        <v>16</v>
      </c>
      <c r="F27" s="215" t="n">
        <v>1408.0</v>
      </c>
      <c r="G27" s="11">
        <f t="shared" si="1"/>
        <v>2.2283579177983525E-2</v>
      </c>
    </row>
    <row r="28" spans="1:7" x14ac:dyDescent="0.45">
      <c r="A28">
        <v>17</v>
      </c>
      <c r="B28" s="8" t="n">
        <v>371.518941673</v>
      </c>
      <c r="C28" s="11">
        <f t="shared" si="0"/>
        <v>6.1708586777553835E-3</v>
      </c>
      <c r="E28" s="126">
        <v>17</v>
      </c>
      <c r="F28" s="216" t="n">
        <v>1001.0</v>
      </c>
      <c r="G28" s="11">
        <f t="shared" si="1"/>
        <v>1.592112963490944E-2</v>
      </c>
    </row>
    <row r="29" spans="1:7" x14ac:dyDescent="0.45">
      <c r="A29">
        <v>18</v>
      </c>
      <c r="B29" s="8" t="n">
        <v>0.0</v>
      </c>
      <c r="C29" s="11">
        <f t="shared" si="0"/>
        <v>0</v>
      </c>
      <c r="E29" s="127">
        <v>18</v>
      </c>
      <c r="F29" s="217" t="n">
        <v>939.0</v>
      </c>
      <c r="G29" s="11">
        <f t="shared" si="1"/>
        <v>1.3040020407857025E-2</v>
      </c>
    </row>
    <row r="30" spans="1:7" x14ac:dyDescent="0.45">
      <c r="A30">
        <v>19</v>
      </c>
      <c r="B30" s="8" t="n">
        <v>528.042675668</v>
      </c>
      <c r="C30" s="11">
        <f t="shared" si="0"/>
        <v>8.7706880104085373E-3</v>
      </c>
      <c r="E30" s="128">
        <v>19</v>
      </c>
      <c r="F30" s="218" t="n">
        <v>703.0</v>
      </c>
      <c r="G30" s="11">
        <f t="shared" si="1"/>
        <v>9.9188187452169084E-3</v>
      </c>
    </row>
    <row r="31" spans="1:7" x14ac:dyDescent="0.45">
      <c r="A31">
        <v>20</v>
      </c>
      <c r="B31" s="8" t="n">
        <v>592.322814359</v>
      </c>
      <c r="C31" s="11">
        <f t="shared" si="0"/>
        <v>9.8383688394463424E-3</v>
      </c>
      <c r="E31" s="129">
        <v>20</v>
      </c>
      <c r="F31" s="219" t="n">
        <v>558.0</v>
      </c>
      <c r="G31" s="11">
        <f t="shared" si="1"/>
        <v>8.3882294683453127E-3</v>
      </c>
    </row>
    <row r="32" spans="1:7" x14ac:dyDescent="0.45">
      <c r="A32">
        <v>21</v>
      </c>
      <c r="B32" s="8" t="n">
        <v>580.468788606</v>
      </c>
      <c r="C32" s="11">
        <f t="shared" si="0"/>
        <v>9.6414757352755731E-3</v>
      </c>
      <c r="E32" s="130">
        <v>21</v>
      </c>
      <c r="F32" s="220" t="n">
        <v>530.0</v>
      </c>
      <c r="G32" s="11">
        <f t="shared" si="1"/>
        <v>6.8426344142494856E-3</v>
      </c>
    </row>
    <row r="33" spans="1:7" x14ac:dyDescent="0.45">
      <c r="A33">
        <v>22</v>
      </c>
      <c r="B33" s="8" t="n">
        <v>0.0</v>
      </c>
      <c r="C33" s="11">
        <f t="shared" si="0"/>
        <v>0</v>
      </c>
      <c r="E33" s="131">
        <v>22</v>
      </c>
      <c r="F33" s="221" t="n">
        <v>418.0</v>
      </c>
      <c r="G33" s="11">
        <f t="shared" si="1"/>
        <v>6.6325535331102472E-3</v>
      </c>
    </row>
    <row r="34" spans="1:7" x14ac:dyDescent="0.45">
      <c r="A34">
        <v>23</v>
      </c>
      <c r="B34" s="8" t="n">
        <v>375.564081349</v>
      </c>
      <c r="C34" s="11">
        <f t="shared" si="0"/>
        <v>6.2380476753337308E-3</v>
      </c>
      <c r="E34" s="132">
        <v>23</v>
      </c>
      <c r="F34" s="222" t="n">
        <v>351.0</v>
      </c>
      <c r="G34" s="11">
        <f t="shared" si="1"/>
        <v>5.6421722363109795E-3</v>
      </c>
    </row>
    <row r="35" spans="1:7" x14ac:dyDescent="0.45">
      <c r="A35">
        <v>24</v>
      </c>
      <c r="B35" s="8" t="n">
        <v>1325.8378067</v>
      </c>
      <c r="C35" s="11">
        <f t="shared" si="0"/>
        <v>2.2021912793808576E-2</v>
      </c>
      <c r="E35" s="133">
        <v>24</v>
      </c>
      <c r="F35" s="223" t="n">
        <v>272.0</v>
      </c>
      <c r="G35" s="11">
        <f t="shared" si="1"/>
        <v>3.8264731921789888E-3</v>
      </c>
    </row>
    <row r="36" spans="1:7" x14ac:dyDescent="0.45">
      <c r="A36">
        <v>25</v>
      </c>
      <c r="B36" s="8" t="n">
        <v>0.0</v>
      </c>
      <c r="C36" s="11">
        <f t="shared" si="0"/>
        <v>0</v>
      </c>
      <c r="E36" s="134">
        <v>25</v>
      </c>
      <c r="F36" s="224" t="n">
        <v>257.0</v>
      </c>
      <c r="G36" s="11">
        <f t="shared" si="1"/>
        <v>3.4813403160216683E-3</v>
      </c>
    </row>
    <row r="37" spans="1:7" x14ac:dyDescent="0.45">
      <c r="A37">
        <v>26</v>
      </c>
      <c r="B37" s="8" t="n">
        <v>1514.041722506</v>
      </c>
      <c r="C37" s="11">
        <f t="shared" si="0"/>
        <v>2.5147943896850451E-2</v>
      </c>
      <c r="E37" s="135">
        <v>26</v>
      </c>
      <c r="F37" s="225" t="n">
        <v>203.0</v>
      </c>
      <c r="G37" s="11">
        <f t="shared" si="1"/>
        <v>3.061178553743191E-3</v>
      </c>
    </row>
    <row r="38" spans="1:7" x14ac:dyDescent="0.45">
      <c r="A38">
        <v>27</v>
      </c>
      <c r="B38" s="8" t="n">
        <v>0.0</v>
      </c>
      <c r="C38" s="11">
        <f t="shared" si="0"/>
        <v>0</v>
      </c>
      <c r="E38" s="136">
        <v>27</v>
      </c>
      <c r="F38" s="226" t="n">
        <v>149.0</v>
      </c>
      <c r="G38" s="11">
        <f t="shared" si="1"/>
        <v>2.3108896925316245E-3</v>
      </c>
    </row>
    <row r="39" spans="1:7" x14ac:dyDescent="0.45">
      <c r="A39">
        <v>28</v>
      </c>
      <c r="B39" s="8" t="n">
        <v>0.0</v>
      </c>
      <c r="C39" s="11">
        <f t="shared" si="0"/>
        <v>0</v>
      </c>
      <c r="E39" s="137">
        <v>28</v>
      </c>
      <c r="F39" s="227" t="n">
        <v>142.0</v>
      </c>
      <c r="G39" s="11">
        <f t="shared" si="1"/>
        <v>2.5809936825677885E-3</v>
      </c>
    </row>
    <row r="40" spans="1:7" x14ac:dyDescent="0.45">
      <c r="A40">
        <v>29</v>
      </c>
      <c r="B40" s="8" t="n">
        <v>0.0</v>
      </c>
      <c r="C40" s="11">
        <f t="shared" si="0"/>
        <v>0</v>
      </c>
      <c r="E40" s="138">
        <v>29</v>
      </c>
      <c r="F40" s="228" t="n">
        <v>137.0</v>
      </c>
      <c r="G40" s="11">
        <f t="shared" si="1"/>
        <v>1.8156990441319909E-3</v>
      </c>
    </row>
    <row r="41" spans="1:7" x14ac:dyDescent="0.45">
      <c r="A41">
        <v>30</v>
      </c>
      <c r="B41" s="8" t="n">
        <v>0.0</v>
      </c>
      <c r="C41" s="11">
        <f t="shared" si="0"/>
        <v>0</v>
      </c>
      <c r="E41" s="139">
        <v>30</v>
      </c>
      <c r="F41" s="229" t="n">
        <v>103.0</v>
      </c>
      <c r="G41" s="11">
        <f t="shared" si="1"/>
        <v>1.9207394847016101E-3</v>
      </c>
    </row>
    <row r="42" spans="1:7" x14ac:dyDescent="0.45">
      <c r="A42">
        <v>31</v>
      </c>
      <c r="B42" s="8" t="n">
        <v>421.9669505988</v>
      </c>
      <c r="C42" s="11">
        <f t="shared" si="0"/>
        <v>7.0087904727088096E-3</v>
      </c>
      <c r="E42" s="140">
        <v>31</v>
      </c>
      <c r="F42" s="230" t="n">
        <v>94.0</v>
      </c>
      <c r="G42" s="11">
        <f t="shared" si="1"/>
        <v>1.9357452619258415E-3</v>
      </c>
    </row>
    <row r="43" spans="1:7" x14ac:dyDescent="0.45">
      <c r="A43">
        <v>32</v>
      </c>
      <c r="B43" s="8" t="n">
        <v>0.0</v>
      </c>
      <c r="C43" s="11">
        <f t="shared" si="0"/>
        <v>0</v>
      </c>
      <c r="E43" s="141">
        <v>32</v>
      </c>
      <c r="F43" s="231" t="n">
        <v>70.0</v>
      </c>
      <c r="G43" s="11">
        <f t="shared" si="1"/>
        <v>1.1704506234900436E-3</v>
      </c>
    </row>
    <row r="44" spans="1:7" x14ac:dyDescent="0.45">
      <c r="A44">
        <v>33</v>
      </c>
      <c r="B44" s="8" t="n">
        <v>24.97125</v>
      </c>
      <c r="C44" s="11">
        <f t="shared" si="0"/>
        <v>4.1476769411269524E-4</v>
      </c>
      <c r="E44" s="142">
        <v>33</v>
      </c>
      <c r="F44" s="232" t="n">
        <v>55.0</v>
      </c>
      <c r="G44" s="11">
        <f t="shared" si="1"/>
        <v>9.6036974235080505E-4</v>
      </c>
    </row>
    <row r="45" spans="1:7" x14ac:dyDescent="0.45">
      <c r="A45">
        <v>34</v>
      </c>
      <c r="B45" s="8" t="n">
        <v>0.0</v>
      </c>
      <c r="C45" s="11">
        <f t="shared" si="0"/>
        <v>0</v>
      </c>
      <c r="E45" s="143">
        <v>34</v>
      </c>
      <c r="F45" s="233" t="n">
        <v>56.0</v>
      </c>
      <c r="G45" s="11">
        <f t="shared" si="1"/>
        <v>1.0654101829204244E-3</v>
      </c>
    </row>
    <row r="46" spans="1:7" x14ac:dyDescent="0.45">
      <c r="A46">
        <v>35</v>
      </c>
      <c r="B46" s="8" t="n">
        <v>0.0</v>
      </c>
      <c r="C46" s="11">
        <f t="shared" si="0"/>
        <v>0</v>
      </c>
      <c r="E46" s="144">
        <v>35</v>
      </c>
      <c r="F46" s="234" t="n">
        <v>53.0</v>
      </c>
      <c r="G46" s="11">
        <f t="shared" si="1"/>
        <v>7.6529463843579774E-4</v>
      </c>
    </row>
    <row r="47" spans="1:7" x14ac:dyDescent="0.45">
      <c r="A47">
        <v>36</v>
      </c>
      <c r="B47" s="8" t="n">
        <v>0.0</v>
      </c>
      <c r="C47" s="11">
        <f t="shared" si="0"/>
        <v>0</v>
      </c>
      <c r="E47" s="145">
        <v>36</v>
      </c>
      <c r="F47" s="235" t="n">
        <v>41.0</v>
      </c>
      <c r="G47" s="11">
        <f t="shared" si="1"/>
        <v>6.7525997509040978E-4</v>
      </c>
    </row>
    <row r="48" spans="1:7" x14ac:dyDescent="0.45">
      <c r="A48">
        <v>37</v>
      </c>
      <c r="B48" s="8" t="n">
        <v>0.0</v>
      </c>
      <c r="C48" s="11">
        <f t="shared" si="0"/>
        <v>0</v>
      </c>
      <c r="E48" s="146">
        <v>37</v>
      </c>
      <c r="F48" s="236" t="n">
        <v>22.0</v>
      </c>
      <c r="G48" s="11">
        <f t="shared" si="1"/>
        <v>4.9519064839963385E-4</v>
      </c>
    </row>
    <row r="49" spans="1:7" x14ac:dyDescent="0.45">
      <c r="A49">
        <v>38</v>
      </c>
      <c r="B49" s="8" t="n">
        <v>92.59117685140001</v>
      </c>
      <c r="C49" s="11">
        <f t="shared" si="0"/>
        <v>1.5379217667451949E-3</v>
      </c>
      <c r="E49" s="147">
        <v>38</v>
      </c>
      <c r="F49" s="237" t="n">
        <v>37.0</v>
      </c>
      <c r="G49" s="11">
        <f t="shared" si="1"/>
        <v>3.7514443060578323E-4</v>
      </c>
    </row>
    <row r="50" spans="1:7" x14ac:dyDescent="0.45">
      <c r="A50">
        <v>39</v>
      </c>
      <c r="B50" s="8" t="n">
        <v>0.0</v>
      </c>
      <c r="C50" s="11">
        <f t="shared" si="0"/>
        <v>0</v>
      </c>
      <c r="E50" s="148">
        <v>39</v>
      </c>
      <c r="F50" s="238" t="n">
        <v>24.0</v>
      </c>
      <c r="G50" s="11">
        <f t="shared" si="1"/>
        <v>4.2016176227847722E-4</v>
      </c>
    </row>
    <row r="51" spans="1:7" x14ac:dyDescent="0.45">
      <c r="A51">
        <v>40</v>
      </c>
      <c r="B51" s="8" t="n">
        <v>0.0</v>
      </c>
      <c r="C51" s="11">
        <f t="shared" si="0"/>
        <v>0</v>
      </c>
      <c r="E51" s="149">
        <v>40</v>
      </c>
      <c r="F51" s="239" t="n">
        <v>19.0</v>
      </c>
      <c r="G51" s="11">
        <f t="shared" si="1"/>
        <v>3.4513287615732058E-4</v>
      </c>
    </row>
    <row r="52" spans="1:7" x14ac:dyDescent="0.45">
      <c r="A52">
        <v>41</v>
      </c>
      <c r="B52" s="8" t="n">
        <v>0.0</v>
      </c>
      <c r="C52" s="11">
        <f t="shared" si="0"/>
        <v>0</v>
      </c>
      <c r="E52" s="150">
        <v>41</v>
      </c>
      <c r="F52" s="240" t="n">
        <v>13.0</v>
      </c>
      <c r="G52" s="11">
        <f t="shared" si="1"/>
        <v>1.8006932669077595E-4</v>
      </c>
    </row>
    <row r="53" spans="1:7" x14ac:dyDescent="0.45">
      <c r="A53">
        <v>42</v>
      </c>
      <c r="B53" s="8" t="n">
        <v>0.0</v>
      </c>
      <c r="C53" s="11">
        <f t="shared" si="0"/>
        <v>0</v>
      </c>
      <c r="E53" s="151">
        <v>42</v>
      </c>
      <c r="F53" s="241" t="n">
        <v>16.0</v>
      </c>
      <c r="G53" s="11">
        <f t="shared" si="1"/>
        <v>1.6506354946654463E-4</v>
      </c>
    </row>
    <row r="54" spans="1:7" x14ac:dyDescent="0.45">
      <c r="A54">
        <v>43</v>
      </c>
      <c r="B54" s="8" t="n">
        <v>0.0</v>
      </c>
      <c r="C54" s="11">
        <f t="shared" si="0"/>
        <v>0</v>
      </c>
      <c r="E54" s="152">
        <v>43</v>
      </c>
      <c r="F54" s="242" t="n">
        <v>16.0</v>
      </c>
      <c r="G54" s="11">
        <f t="shared" si="1"/>
        <v>2.4009243558770126E-4</v>
      </c>
    </row>
    <row r="55" spans="1:7" x14ac:dyDescent="0.45">
      <c r="A55">
        <v>44</v>
      </c>
      <c r="B55" s="8" t="n">
        <v>0.0</v>
      </c>
      <c r="C55" s="11">
        <f t="shared" si="0"/>
        <v>0</v>
      </c>
      <c r="E55" s="153">
        <v>44</v>
      </c>
      <c r="F55" s="243" t="n">
        <v>13.0</v>
      </c>
      <c r="G55" s="11">
        <f t="shared" si="1"/>
        <v>2.1008088113923861E-4</v>
      </c>
    </row>
    <row r="56" spans="1:7" x14ac:dyDescent="0.45">
      <c r="A56">
        <v>45</v>
      </c>
      <c r="B56" s="8" t="n">
        <v>0.0</v>
      </c>
      <c r="C56" s="11">
        <f t="shared" si="0"/>
        <v>0</v>
      </c>
      <c r="E56" s="154">
        <v>45</v>
      </c>
      <c r="F56" s="244" t="n">
        <v>11.0</v>
      </c>
      <c r="G56" s="11">
        <f t="shared" si="1"/>
        <v>1.8006932669077595E-4</v>
      </c>
    </row>
    <row r="57" spans="1:7" x14ac:dyDescent="0.45">
      <c r="A57">
        <v>46</v>
      </c>
      <c r="B57" s="8" t="n">
        <v>464.442048857</v>
      </c>
      <c r="C57" s="11">
        <f t="shared" si="0"/>
        <v>7.7142937439412772E-3</v>
      </c>
      <c r="E57" s="155">
        <v>46</v>
      </c>
      <c r="F57" s="245" t="n">
        <v>11.0</v>
      </c>
      <c r="G57" s="11">
        <f t="shared" si="1"/>
        <v>1.500577722423133E-4</v>
      </c>
    </row>
    <row r="58" spans="1:7" x14ac:dyDescent="0.45">
      <c r="A58">
        <v>47</v>
      </c>
      <c r="B58" s="8" t="n">
        <v>0.0</v>
      </c>
      <c r="C58" s="11">
        <f t="shared" si="0"/>
        <v>0</v>
      </c>
      <c r="E58" s="156">
        <v>47</v>
      </c>
      <c r="F58" s="246" t="n">
        <v>5.0</v>
      </c>
      <c r="G58" s="11">
        <f t="shared" si="1"/>
        <v>1.8006932669077595E-4</v>
      </c>
    </row>
    <row r="59" spans="1:7" x14ac:dyDescent="0.45">
      <c r="A59">
        <v>48</v>
      </c>
      <c r="B59" s="8" t="n">
        <v>0.0</v>
      </c>
      <c r="C59" s="11">
        <f t="shared" si="0"/>
        <v>0</v>
      </c>
      <c r="E59" s="157">
        <v>48</v>
      </c>
      <c r="F59" s="247" t="n">
        <v>1.0</v>
      </c>
      <c r="G59" s="11">
        <f t="shared" si="1"/>
        <v>4.5017331672693988E-5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158">
        <v>49</v>
      </c>
      <c r="F60" s="248" t="n">
        <v>3.0</v>
      </c>
      <c r="G60" s="11">
        <f t="shared" si="1"/>
        <v>6.0023108896925315E-5</v>
      </c>
    </row>
    <row r="61" spans="1:7" x14ac:dyDescent="0.45">
      <c r="A61">
        <v>50</v>
      </c>
      <c r="B61" s="8" t="n">
        <v>0.0</v>
      </c>
      <c r="C61" s="11">
        <f t="shared" si="0"/>
        <v>0</v>
      </c>
      <c r="E61" s="159">
        <v>50</v>
      </c>
      <c r="F61" s="249" t="n">
        <v>4.0</v>
      </c>
      <c r="G61" s="11">
        <f t="shared" si="1"/>
        <v>9.0034663345387977E-5</v>
      </c>
    </row>
    <row r="62" spans="1:7" x14ac:dyDescent="0.45">
      <c r="A62">
        <v>51</v>
      </c>
      <c r="B62" s="8" t="n">
        <v>0.0</v>
      </c>
      <c r="C62" s="11">
        <f t="shared" si="0"/>
        <v>0</v>
      </c>
      <c r="E62" s="160">
        <v>51</v>
      </c>
      <c r="F62" s="250" t="n">
        <v>2.0</v>
      </c>
      <c r="G62" s="11">
        <f t="shared" si="1"/>
        <v>1.5005777224231329E-5</v>
      </c>
    </row>
    <row r="63" spans="1:7" x14ac:dyDescent="0.45">
      <c r="A63">
        <v>52</v>
      </c>
      <c r="B63" s="8" t="n">
        <v>0.0</v>
      </c>
      <c r="C63" s="11">
        <f t="shared" si="0"/>
        <v>0</v>
      </c>
      <c r="E63" s="161">
        <v>52</v>
      </c>
      <c r="F63" s="251" t="n">
        <v>2.0</v>
      </c>
      <c r="G63" s="11">
        <f t="shared" si="1"/>
        <v>1.5005777224231329E-5</v>
      </c>
    </row>
    <row r="64" spans="1:7" x14ac:dyDescent="0.45">
      <c r="A64">
        <v>53</v>
      </c>
      <c r="B64" s="8" t="n">
        <v>0.0</v>
      </c>
      <c r="C64" s="11">
        <f t="shared" si="0"/>
        <v>0</v>
      </c>
      <c r="E64" s="162">
        <v>53</v>
      </c>
      <c r="F64" s="252" t="n">
        <v>3.0</v>
      </c>
      <c r="G64" s="11">
        <f t="shared" si="1"/>
        <v>0</v>
      </c>
    </row>
    <row r="65" spans="1:7" x14ac:dyDescent="0.45">
      <c r="A65">
        <v>54</v>
      </c>
      <c r="B65" s="8" t="n">
        <v>0.0</v>
      </c>
      <c r="C65" s="11">
        <f t="shared" si="0"/>
        <v>0</v>
      </c>
      <c r="E65" s="163">
        <v>54</v>
      </c>
      <c r="F65" s="253" t="n">
        <v>2.0</v>
      </c>
      <c r="G65" s="11">
        <f t="shared" si="1"/>
        <v>3.0011554448462658E-5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164">
        <v>55</v>
      </c>
      <c r="F66" s="254" t="n">
        <v>1.0</v>
      </c>
      <c r="G66" s="11">
        <f t="shared" si="1"/>
        <v>0</v>
      </c>
    </row>
    <row r="67" spans="1:7" x14ac:dyDescent="0.45">
      <c r="A67">
        <v>56</v>
      </c>
      <c r="B67" s="8" t="n">
        <v>0.0</v>
      </c>
      <c r="C67" s="11">
        <f t="shared" si="0"/>
        <v>0</v>
      </c>
      <c r="E67" s="165">
        <v>56</v>
      </c>
      <c r="F67" s="255" t="n">
        <v>0.0</v>
      </c>
      <c r="G67" s="11">
        <f t="shared" si="1"/>
        <v>1.5005777224231329E-5</v>
      </c>
    </row>
    <row r="68" spans="1:7" x14ac:dyDescent="0.45">
      <c r="A68">
        <v>57</v>
      </c>
      <c r="B68" s="8" t="n">
        <v>0.0</v>
      </c>
      <c r="C68" s="11">
        <f t="shared" si="0"/>
        <v>0</v>
      </c>
      <c r="E68" s="166">
        <v>57</v>
      </c>
      <c r="F68" s="256" t="n">
        <v>0.0</v>
      </c>
      <c r="G68" s="11">
        <f t="shared" si="1"/>
        <v>0</v>
      </c>
    </row>
    <row r="69" spans="1:7" x14ac:dyDescent="0.45">
      <c r="A69">
        <v>58</v>
      </c>
      <c r="B69" s="8" t="n">
        <v>0.0</v>
      </c>
      <c r="C69" s="11">
        <f t="shared" si="0"/>
        <v>0</v>
      </c>
      <c r="E69" s="167">
        <v>58</v>
      </c>
      <c r="F69" s="257" t="n">
        <v>1.0</v>
      </c>
      <c r="G69" s="11">
        <f t="shared" si="1"/>
        <v>1.5005777224231329E-5</v>
      </c>
    </row>
    <row r="70" spans="1:7" x14ac:dyDescent="0.45">
      <c r="A70">
        <v>59</v>
      </c>
      <c r="B70" s="8" t="n">
        <v>0.0</v>
      </c>
      <c r="C70" s="11">
        <f t="shared" si="0"/>
        <v>0</v>
      </c>
      <c r="E70" s="168">
        <v>59</v>
      </c>
      <c r="F70" s="258" t="n">
        <v>0.0</v>
      </c>
      <c r="G70" s="11">
        <f t="shared" si="1"/>
        <v>0</v>
      </c>
    </row>
    <row r="71" spans="1:7" x14ac:dyDescent="0.45">
      <c r="A71">
        <v>60</v>
      </c>
      <c r="B71" s="8" t="n">
        <v>0.0</v>
      </c>
      <c r="C71" s="11">
        <f t="shared" si="0"/>
        <v>0</v>
      </c>
      <c r="E71" s="169">
        <v>60</v>
      </c>
      <c r="F71" s="259" t="n">
        <v>0.0</v>
      </c>
      <c r="G71" s="11">
        <f t="shared" si="1"/>
        <v>0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0.0</v>
      </c>
      <c r="G72" s="11">
        <f t="shared" si="1"/>
        <v>1.5005777224231329E-5</v>
      </c>
    </row>
    <row r="73" spans="1:7" x14ac:dyDescent="0.45">
      <c r="A73">
        <v>62</v>
      </c>
      <c r="B73" s="8" t="n">
        <v>0.0</v>
      </c>
      <c r="C73" s="11">
        <f t="shared" si="0"/>
        <v>0</v>
      </c>
      <c r="E73" s="171">
        <v>62</v>
      </c>
      <c r="F73" s="261" t="n">
        <v>0.0</v>
      </c>
      <c r="G73" s="11">
        <f t="shared" si="1"/>
        <v>0</v>
      </c>
    </row>
    <row r="74" spans="1:7" x14ac:dyDescent="0.45">
      <c r="A74">
        <v>63</v>
      </c>
      <c r="B74" s="8" t="n">
        <v>0.0</v>
      </c>
      <c r="C74" s="11">
        <f t="shared" si="0"/>
        <v>0</v>
      </c>
      <c r="E74" s="172">
        <v>63</v>
      </c>
      <c r="F74" s="262" t="n">
        <v>0.0</v>
      </c>
      <c r="G74" s="11">
        <f t="shared" si="1"/>
        <v>0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0.0</v>
      </c>
      <c r="G75" s="11">
        <f t="shared" si="1"/>
        <v>0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174">
        <v>65</v>
      </c>
      <c r="F76" s="264" t="n">
        <v>0.0</v>
      </c>
      <c r="G76" s="11">
        <f t="shared" si="1"/>
        <v>0</v>
      </c>
    </row>
    <row r="77" spans="1:7" x14ac:dyDescent="0.45">
      <c r="A77">
        <v>66</v>
      </c>
      <c r="B77" s="8" t="n">
        <v>0.0</v>
      </c>
      <c r="C77" s="11">
        <f t="shared" ref="C77:C102" si="2">B77/B$102</f>
        <v>0</v>
      </c>
      <c r="E77" s="175">
        <v>66</v>
      </c>
      <c r="F77" s="265" t="n">
        <v>0.0</v>
      </c>
      <c r="G77" s="11">
        <f t="shared" ref="G77:G102" si="3">F77/F$102</f>
        <v>0</v>
      </c>
    </row>
    <row r="78" spans="1:7" x14ac:dyDescent="0.45">
      <c r="A78">
        <v>67</v>
      </c>
      <c r="B78" s="8" t="n">
        <v>0.0</v>
      </c>
      <c r="C78" s="11">
        <f t="shared" si="2"/>
        <v>0</v>
      </c>
      <c r="E78" s="176">
        <v>67</v>
      </c>
      <c r="F78" s="266" t="n">
        <v>0.0</v>
      </c>
      <c r="G78" s="11">
        <f t="shared" si="3"/>
        <v>0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0.0</v>
      </c>
      <c r="G79" s="11">
        <f t="shared" si="3"/>
        <v>0</v>
      </c>
    </row>
    <row r="80" spans="1:7" x14ac:dyDescent="0.45">
      <c r="A80">
        <v>69</v>
      </c>
      <c r="B80" s="8" t="n">
        <v>0.0</v>
      </c>
      <c r="C80" s="11">
        <f t="shared" si="2"/>
        <v>0</v>
      </c>
      <c r="E80" s="178">
        <v>69</v>
      </c>
      <c r="F80" s="268" t="n">
        <v>0.0</v>
      </c>
      <c r="G80" s="11">
        <f t="shared" si="3"/>
        <v>0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1.0</v>
      </c>
      <c r="G81" s="11">
        <f t="shared" si="3"/>
        <v>0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0.0</v>
      </c>
      <c r="G82" s="11">
        <f t="shared" si="3"/>
        <v>0</v>
      </c>
    </row>
    <row r="83" spans="1:7" x14ac:dyDescent="0.45">
      <c r="A83">
        <v>72</v>
      </c>
      <c r="B83" s="8" t="n">
        <v>0.0</v>
      </c>
      <c r="C83" s="11">
        <f t="shared" si="2"/>
        <v>0</v>
      </c>
      <c r="E83" s="181">
        <v>72</v>
      </c>
      <c r="F83" s="271" t="n">
        <v>0.0</v>
      </c>
      <c r="G83" s="11">
        <f t="shared" si="3"/>
        <v>0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0.0</v>
      </c>
      <c r="G84" s="11">
        <f t="shared" si="3"/>
        <v>0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0.0</v>
      </c>
      <c r="G85" s="11">
        <f t="shared" si="3"/>
        <v>0</v>
      </c>
    </row>
    <row r="86" spans="1:7" x14ac:dyDescent="0.45">
      <c r="A86">
        <v>75</v>
      </c>
      <c r="B86" s="8" t="n">
        <v>0.0</v>
      </c>
      <c r="C86" s="11">
        <f t="shared" si="2"/>
        <v>0</v>
      </c>
      <c r="E86" s="184">
        <v>75</v>
      </c>
      <c r="F86" s="274" t="n">
        <v>0.0</v>
      </c>
      <c r="G86" s="11">
        <f t="shared" si="3"/>
        <v>0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0.0</v>
      </c>
      <c r="G87" s="11">
        <f t="shared" si="3"/>
        <v>0</v>
      </c>
    </row>
    <row r="88" spans="1:7" x14ac:dyDescent="0.45">
      <c r="A88">
        <v>77</v>
      </c>
      <c r="B88" s="8" t="n">
        <v>0.0</v>
      </c>
      <c r="C88" s="11">
        <f t="shared" si="2"/>
        <v>0</v>
      </c>
      <c r="E88" s="186">
        <v>77</v>
      </c>
      <c r="F88" s="276" t="n">
        <v>0.0</v>
      </c>
      <c r="G88" s="11">
        <f t="shared" si="3"/>
        <v>0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187">
        <v>78</v>
      </c>
      <c r="F89" s="277" t="n">
        <v>0.0</v>
      </c>
      <c r="G89" s="11">
        <f t="shared" si="3"/>
        <v>0</v>
      </c>
    </row>
    <row r="90" spans="1:7" x14ac:dyDescent="0.45">
      <c r="A90">
        <v>79</v>
      </c>
      <c r="B90" s="8" t="n">
        <v>0.0</v>
      </c>
      <c r="C90" s="11">
        <f t="shared" si="2"/>
        <v>0</v>
      </c>
      <c r="E90" s="188">
        <v>79</v>
      </c>
      <c r="F90" s="278" t="n">
        <v>0.0</v>
      </c>
      <c r="G90" s="11">
        <f t="shared" si="3"/>
        <v>0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0.0</v>
      </c>
      <c r="G91" s="11">
        <f t="shared" si="3"/>
        <v>0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90">
        <v>81</v>
      </c>
      <c r="F92" s="280" t="n">
        <v>0.0</v>
      </c>
      <c r="G92" s="11">
        <f t="shared" si="3"/>
        <v>0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91">
        <v>82</v>
      </c>
      <c r="F93" s="281" t="n">
        <v>0.0</v>
      </c>
      <c r="G93" s="11">
        <f t="shared" si="3"/>
        <v>0</v>
      </c>
    </row>
    <row r="94" spans="1:7" x14ac:dyDescent="0.45">
      <c r="A94">
        <v>83</v>
      </c>
      <c r="B94" s="8" t="n">
        <v>0.0</v>
      </c>
      <c r="C94" s="11">
        <f t="shared" si="2"/>
        <v>0</v>
      </c>
      <c r="E94" s="192">
        <v>83</v>
      </c>
      <c r="F94" s="282" t="n">
        <v>0.0</v>
      </c>
      <c r="G94" s="11">
        <f t="shared" si="3"/>
        <v>0</v>
      </c>
    </row>
    <row r="95" spans="1:7" x14ac:dyDescent="0.45">
      <c r="A95">
        <v>84</v>
      </c>
      <c r="B95" s="8" t="n">
        <v>0.0</v>
      </c>
      <c r="C95" s="11">
        <f t="shared" si="2"/>
        <v>0</v>
      </c>
      <c r="E95" s="193">
        <v>84</v>
      </c>
      <c r="F95" s="283" t="n">
        <v>0.0</v>
      </c>
      <c r="G95" s="11">
        <f t="shared" si="3"/>
        <v>0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0.0</v>
      </c>
      <c r="G96" s="11">
        <f t="shared" si="3"/>
        <v>0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0.0</v>
      </c>
      <c r="G97" s="11">
        <f t="shared" si="3"/>
        <v>0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0.0</v>
      </c>
      <c r="G98" s="11">
        <f t="shared" si="3"/>
        <v>0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0.0</v>
      </c>
      <c r="G99" s="11">
        <f t="shared" si="3"/>
        <v>0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9" t="n">
        <v>0.0</v>
      </c>
      <c r="C101" s="11">
        <f t="shared" si="2"/>
        <v>0</v>
      </c>
      <c r="E101" s="292">
        <v>90</v>
      </c>
      <c r="F101" s="292" t="n">
        <v>0.0</v>
      </c>
      <c r="G101" s="11">
        <f t="shared" si="3"/>
        <v>0</v>
      </c>
    </row>
    <row r="102" spans="1:7" x14ac:dyDescent="0.45">
      <c r="B102" s="8">
        <f>SUM(B11:B101)</f>
        <v>60205.388111098015</v>
      </c>
      <c r="C102" s="11">
        <f t="shared" si="2"/>
        <v>1</v>
      </c>
      <c r="F102" s="8">
        <f>SUM(F11:F101)</f>
        <v>66641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3" zoomScaleNormal="100" workbookViewId="0">
      <selection activeCell="AD37" sqref="AD37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59765625" collapsed="true"/>
    <col min="15" max="15" bestFit="true" customWidth="true" width="12.3984375" collapsed="true"/>
    <col min="16" max="19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244</v>
      </c>
    </row>
    <row r="3" spans="1:21" x14ac:dyDescent="0.45">
      <c r="A3" t="s">
        <v>14</v>
      </c>
    </row>
    <row r="5" spans="1:21" ht="14.65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94" t="s">
        <v>249</v>
      </c>
      <c r="B7" s="12" t="n">
        <v>10186.0086381006</v>
      </c>
      <c r="C7" s="12" t="n">
        <v>2849.560516044</v>
      </c>
      <c r="D7" s="12" t="n">
        <v>1770.988754765</v>
      </c>
      <c r="E7" s="12" t="n">
        <v>593.11938678</v>
      </c>
      <c r="F7" s="12" t="n">
        <v>369.3324893894</v>
      </c>
      <c r="G7" s="12" t="n">
        <v>194.275643408</v>
      </c>
      <c r="H7" s="12" t="n">
        <v>2005.698525535</v>
      </c>
      <c r="I7" s="12"/>
      <c r="J7" s="12">
        <f>SUM(B7:I7)</f>
        <v>17968.983954021998</v>
      </c>
      <c r="K7" s="12"/>
      <c r="L7" t="str">
        <f>$A$7</f>
        <v>Bellevue</v>
      </c>
      <c r="M7" s="343" t="n">
        <v>10551.0</v>
      </c>
      <c r="N7" s="343" t="n">
        <v>8174.0</v>
      </c>
      <c r="O7" s="343" t="n">
        <v>852.0</v>
      </c>
      <c r="P7" s="343" t="n">
        <v>2828.0</v>
      </c>
      <c r="Q7" s="343" t="n">
        <v>228.0</v>
      </c>
      <c r="R7" s="343" t="n">
        <v>153.0</v>
      </c>
      <c r="S7" s="343" t="n">
        <v>1335.0</v>
      </c>
      <c r="T7" s="291"/>
      <c r="U7" s="12">
        <f>SUM(M7:T7)</f>
        <v>23780</v>
      </c>
    </row>
    <row r="8" spans="1:21" x14ac:dyDescent="0.45">
      <c r="A8" t="s">
        <v>250</v>
      </c>
      <c r="B8" s="12" t="n">
        <v>421.449578017</v>
      </c>
      <c r="C8" s="12" t="n">
        <v>388.869709796</v>
      </c>
      <c r="D8" s="12" t="n">
        <v>0.0</v>
      </c>
      <c r="E8" s="12" t="n">
        <v>796.751705152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1607.0709929650002</v>
      </c>
      <c r="K8" s="12"/>
      <c r="L8" t="str">
        <f>$A$8</f>
        <v>Bellevue Downtown</v>
      </c>
      <c r="M8" s="343" t="n">
        <v>437.0</v>
      </c>
      <c r="N8" s="343" t="n">
        <v>2539.0</v>
      </c>
      <c r="O8" s="343" t="n">
        <v>47.0</v>
      </c>
      <c r="P8" s="343" t="n">
        <v>32.0</v>
      </c>
      <c r="Q8" s="343" t="n">
        <v>4.0</v>
      </c>
      <c r="R8" s="343" t="n">
        <v>2.0</v>
      </c>
      <c r="S8" s="343" t="n">
        <v>12.0</v>
      </c>
      <c r="T8" s="291"/>
      <c r="U8" s="12">
        <f t="shared" ref="U8:U14" si="1">SUM(M8:T8)</f>
        <v>2965</v>
      </c>
    </row>
    <row r="9" spans="1:21" x14ac:dyDescent="0.45">
      <c r="A9" t="s">
        <v>251</v>
      </c>
      <c r="B9" s="12" t="n">
        <v>298.46687061299997</v>
      </c>
      <c r="C9" s="12" t="n">
        <v>1100.619865651</v>
      </c>
      <c r="D9" s="12" t="n">
        <v>12876.117613169</v>
      </c>
      <c r="E9" s="12" t="n">
        <v>2825.6530529167</v>
      </c>
      <c r="F9" s="12" t="n">
        <v>1120.8068290428</v>
      </c>
      <c r="G9" s="12" t="n">
        <v>0.0</v>
      </c>
      <c r="H9" s="12" t="n">
        <v>2711.074635077</v>
      </c>
      <c r="I9" s="12"/>
      <c r="J9" s="12">
        <f t="shared" si="0"/>
        <v>20932.738866469503</v>
      </c>
      <c r="K9" s="13"/>
      <c r="L9" t="str">
        <f>$A$9</f>
        <v>Kirkland</v>
      </c>
      <c r="M9" s="343" t="n">
        <v>544.0</v>
      </c>
      <c r="N9" s="343" t="n">
        <v>1220.0</v>
      </c>
      <c r="O9" s="343" t="n">
        <v>15988.0</v>
      </c>
      <c r="P9" s="343" t="n">
        <v>2654.0</v>
      </c>
      <c r="Q9" s="343" t="n">
        <v>547.0</v>
      </c>
      <c r="R9" s="343" t="n">
        <v>46.0</v>
      </c>
      <c r="S9" s="343" t="n">
        <v>1021.0</v>
      </c>
      <c r="T9" s="291"/>
      <c r="U9" s="12">
        <f t="shared" si="1"/>
        <v>22147</v>
      </c>
    </row>
    <row r="10" spans="1:21" x14ac:dyDescent="0.45">
      <c r="A10" t="s">
        <v>252</v>
      </c>
      <c r="B10" s="12" t="n">
        <v>485.995438886</v>
      </c>
      <c r="C10" s="12" t="n">
        <v>0.0</v>
      </c>
      <c r="D10" s="12" t="n">
        <v>1478.4824081478</v>
      </c>
      <c r="E10" s="12" t="n">
        <v>17618.8189468877</v>
      </c>
      <c r="F10" s="12" t="n">
        <v>0.0</v>
      </c>
      <c r="G10" s="12" t="n">
        <v>0.0</v>
      </c>
      <c r="H10" s="12" t="n">
        <v>113.29750372</v>
      </c>
      <c r="I10" s="12"/>
      <c r="J10" s="12">
        <f t="shared" si="0"/>
        <v>19696.594297641499</v>
      </c>
      <c r="K10" s="13"/>
      <c r="L10" t="str">
        <f>$A$10</f>
        <v>Redmond</v>
      </c>
      <c r="M10" s="343" t="n">
        <v>1392.0</v>
      </c>
      <c r="N10" s="343" t="n">
        <v>641.0</v>
      </c>
      <c r="O10" s="343" t="n">
        <v>2438.0</v>
      </c>
      <c r="P10" s="343" t="n">
        <v>12686.0</v>
      </c>
      <c r="Q10" s="343" t="n">
        <v>42.0</v>
      </c>
      <c r="R10" s="343" t="n">
        <v>17.0</v>
      </c>
      <c r="S10" s="343" t="n">
        <v>413.0</v>
      </c>
      <c r="T10" s="291"/>
      <c r="U10" s="12">
        <f t="shared" si="1"/>
        <v>17749</v>
      </c>
    </row>
    <row r="11" spans="1:21" x14ac:dyDescent="0.45">
      <c r="A11" t="s">
        <v>248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t="shared" si="0"/>
        <v>0</v>
      </c>
      <c r="K11" s="13"/>
      <c r="L11" t="str">
        <f>$A$11</f>
        <v>Seattle</v>
      </c>
      <c r="M11" s="343" t="n">
        <v>0.0</v>
      </c>
      <c r="N11" s="343" t="n">
        <v>0.0</v>
      </c>
      <c r="O11" s="343" t="n">
        <v>0.0</v>
      </c>
      <c r="P11" s="343" t="n">
        <v>0.0</v>
      </c>
      <c r="Q11" s="343" t="n">
        <v>0.0</v>
      </c>
      <c r="R11" s="343" t="n">
        <v>0.0</v>
      </c>
      <c r="S11" s="343" t="n">
        <v>0.0</v>
      </c>
      <c r="T11" s="291"/>
      <c r="U11" s="12">
        <f t="shared" si="1"/>
        <v>0</v>
      </c>
    </row>
    <row r="12" spans="1:21" x14ac:dyDescent="0.45">
      <c r="A12" t="s">
        <v>253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t="shared" si="0"/>
        <v>0</v>
      </c>
      <c r="K12" s="13"/>
      <c r="L12" t="str">
        <f>$A$12</f>
        <v>Seattle Downtown</v>
      </c>
      <c r="M12" s="343" t="n">
        <v>0.0</v>
      </c>
      <c r="N12" s="343" t="n">
        <v>0.0</v>
      </c>
      <c r="O12" s="343" t="n">
        <v>0.0</v>
      </c>
      <c r="P12" s="343" t="n">
        <v>0.0</v>
      </c>
      <c r="Q12" s="343" t="n">
        <v>0.0</v>
      </c>
      <c r="R12" s="343" t="n">
        <v>0.0</v>
      </c>
      <c r="S12" s="343" t="n">
        <v>0.0</v>
      </c>
      <c r="T12" s="291"/>
      <c r="U12" s="12">
        <f t="shared" si="1"/>
        <v>0</v>
      </c>
    </row>
    <row r="13" spans="1:21" x14ac:dyDescent="0.45">
      <c r="A13" t="s">
        <v>254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t="shared" si="0"/>
        <v>0</v>
      </c>
      <c r="K13" s="13"/>
      <c r="L13" t="str">
        <f>$A$13</f>
        <v>Rest</v>
      </c>
      <c r="M13" s="343" t="n">
        <v>0.0</v>
      </c>
      <c r="N13" s="343" t="n">
        <v>0.0</v>
      </c>
      <c r="O13" s="343" t="n">
        <v>0.0</v>
      </c>
      <c r="P13" s="343" t="n">
        <v>0.0</v>
      </c>
      <c r="Q13" s="343" t="n">
        <v>0.0</v>
      </c>
      <c r="R13" s="343" t="n">
        <v>0.0</v>
      </c>
      <c r="S13" s="343" t="n">
        <v>0.0</v>
      </c>
      <c r="T13" s="291"/>
      <c r="U13" s="12">
        <f t="shared" si="1"/>
        <v>0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4.65" thickBot="1" x14ac:dyDescent="0.5">
      <c r="A15" s="1" t="s">
        <v>4</v>
      </c>
      <c r="B15" s="15">
        <f t="shared" ref="B15:J15" si="2">SUM(B7:B14)</f>
        <v>11391.920525616601</v>
      </c>
      <c r="C15" s="15">
        <f t="shared" si="2"/>
        <v>4339.0500914909999</v>
      </c>
      <c r="D15" s="15">
        <f t="shared" si="2"/>
        <v>16125.5887760818</v>
      </c>
      <c r="E15" s="15">
        <f t="shared" si="2"/>
        <v>21834.343091736398</v>
      </c>
      <c r="F15" s="15">
        <f t="shared" si="2"/>
        <v>1490.1393184322001</v>
      </c>
      <c r="G15" s="15">
        <f t="shared" si="2"/>
        <v>194.27564340800001</v>
      </c>
      <c r="H15" s="15">
        <f t="shared" si="2"/>
        <v>4830.070664332</v>
      </c>
      <c r="I15" s="15">
        <f t="shared" si="2"/>
        <v>0</v>
      </c>
      <c r="J15" s="15">
        <f t="shared" si="2"/>
        <v>60205.388111098</v>
      </c>
      <c r="K15" s="12"/>
      <c r="L15" s="15" t="s">
        <v>4</v>
      </c>
      <c r="M15" s="15">
        <f t="shared" ref="M15:U15" si="3">SUM(M7:M14)</f>
        <v>12765</v>
      </c>
      <c r="N15" s="15">
        <f t="shared" si="3"/>
        <v>12495</v>
      </c>
      <c r="O15" s="15">
        <f t="shared" si="3"/>
        <v>19416</v>
      </c>
      <c r="P15" s="15">
        <f t="shared" si="3"/>
        <v>18046</v>
      </c>
      <c r="Q15" s="15">
        <f t="shared" si="3"/>
        <v>924</v>
      </c>
      <c r="R15" s="15">
        <f t="shared" si="3"/>
        <v>241</v>
      </c>
      <c r="S15" s="15">
        <f t="shared" si="3"/>
        <v>2754</v>
      </c>
      <c r="T15" s="15">
        <f t="shared" si="3"/>
        <v>0</v>
      </c>
      <c r="U15" s="15">
        <f t="shared" si="3"/>
        <v>66641</v>
      </c>
    </row>
    <row r="18" spans="1:32" ht="14.65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>
        <f t="shared" ref="B20:G20" si="4">($U7/$J7)*B7</f>
        <v>13480.076894376403</v>
      </c>
      <c r="C20" s="12">
        <f t="shared" si="4"/>
        <v>3771.0840660169342</v>
      </c>
      <c r="D20" s="12">
        <f t="shared" si="4"/>
        <v>2343.7114027187554</v>
      </c>
      <c r="E20" s="12">
        <f t="shared" si="4"/>
        <v>784.9291342080262</v>
      </c>
      <c r="F20" s="12">
        <f t="shared" si="4"/>
        <v>488.77146421593272</v>
      </c>
      <c r="G20" s="12">
        <f t="shared" si="4"/>
        <v>257.10272834921051</v>
      </c>
      <c r="H20" s="12">
        <f t="shared" ref="H20" si="5">($U7/$J7)*H7</f>
        <v>2654.3243101147418</v>
      </c>
      <c r="I20" s="12"/>
      <c r="J20" s="12">
        <f>SUM(B20:I20)</f>
        <v>23780.000000000007</v>
      </c>
      <c r="K20" s="12"/>
      <c r="L20" t="str">
        <f>$A$7</f>
        <v>Bellevue</v>
      </c>
      <c r="M20" s="12">
        <f t="shared" ref="M20:M26" si="6">M7</f>
        <v>10378</v>
      </c>
      <c r="N20" s="12">
        <f t="shared" ref="N20:U20" si="7">N7</f>
        <v>8159</v>
      </c>
      <c r="O20" s="12">
        <f t="shared" si="7"/>
        <v>829</v>
      </c>
      <c r="P20" s="12">
        <f t="shared" si="7"/>
        <v>2639</v>
      </c>
      <c r="Q20" s="12">
        <f t="shared" si="7"/>
        <v>260</v>
      </c>
      <c r="R20" s="12">
        <f t="shared" si="7"/>
        <v>176</v>
      </c>
      <c r="S20" s="12">
        <f t="shared" ref="S20" si="8">S7</f>
        <v>1339</v>
      </c>
      <c r="T20" s="12"/>
      <c r="U20" s="12">
        <f t="shared" si="7"/>
        <v>23780</v>
      </c>
    </row>
    <row r="21" spans="1:32" x14ac:dyDescent="0.45">
      <c r="A21" t="str">
        <f>$A$8</f>
        <v>Bellevue Downtown</v>
      </c>
      <c r="B21" s="12">
        <f t="shared" ref="B21:G26" si="9">($U8/$J8)*B8</f>
        <v>777.56241279355822</v>
      </c>
      <c r="C21" s="12">
        <f t="shared" si="9"/>
        <v>717.45348811124404</v>
      </c>
      <c r="D21" s="12">
        <f t="shared" si="9"/>
        <v>0</v>
      </c>
      <c r="E21" s="12">
        <f t="shared" si="9"/>
        <v>1469.9840990951973</v>
      </c>
      <c r="F21" s="12">
        <f t="shared" si="9"/>
        <v>0</v>
      </c>
      <c r="G21" s="12">
        <f t="shared" si="9"/>
        <v>0</v>
      </c>
      <c r="H21" s="12">
        <f t="shared" ref="H21" si="10">($U8/$J8)*H8</f>
        <v>0</v>
      </c>
      <c r="I21" s="12"/>
      <c r="J21" s="12">
        <f t="shared" ref="J21:J27" si="11">SUM(B21:I21)</f>
        <v>2964.9999999999995</v>
      </c>
      <c r="K21" s="12"/>
      <c r="L21" t="str">
        <f>$A$8</f>
        <v>Bellevue Downtown</v>
      </c>
      <c r="M21" s="12">
        <f t="shared" si="6"/>
        <v>409</v>
      </c>
      <c r="N21" s="12">
        <f t="shared" ref="N21:R26" si="12">N8</f>
        <v>2465</v>
      </c>
      <c r="O21" s="12">
        <f t="shared" si="12"/>
        <v>39</v>
      </c>
      <c r="P21" s="12">
        <f t="shared" si="12"/>
        <v>42</v>
      </c>
      <c r="Q21" s="12">
        <f t="shared" si="12"/>
        <v>5</v>
      </c>
      <c r="R21" s="12">
        <f t="shared" si="12"/>
        <v>2</v>
      </c>
      <c r="S21" s="12">
        <f t="shared" ref="S21" si="13">S8</f>
        <v>3</v>
      </c>
      <c r="T21" s="12"/>
      <c r="U21" s="12">
        <f t="shared" ref="U21:U26" si="14">U8</f>
        <v>2965</v>
      </c>
    </row>
    <row r="22" spans="1:32" x14ac:dyDescent="0.45">
      <c r="A22" t="str">
        <f>$A$9</f>
        <v>Kirkland</v>
      </c>
      <c r="B22" s="12">
        <f t="shared" si="9"/>
        <v>315.78026294754864</v>
      </c>
      <c r="C22" s="12">
        <f t="shared" si="9"/>
        <v>1164.4643503205291</v>
      </c>
      <c r="D22" s="12">
        <f t="shared" si="9"/>
        <v>13623.032255737968</v>
      </c>
      <c r="E22" s="12">
        <f t="shared" si="9"/>
        <v>2989.5628356205061</v>
      </c>
      <c r="F22" s="12">
        <f t="shared" si="9"/>
        <v>1185.8223140867678</v>
      </c>
      <c r="G22" s="12">
        <f t="shared" si="9"/>
        <v>0</v>
      </c>
      <c r="H22" s="12">
        <f t="shared" ref="H22" si="15">($U9/$J9)*H9</f>
        <v>2868.3379812866779</v>
      </c>
      <c r="I22" s="12"/>
      <c r="J22" s="12">
        <f t="shared" si="11"/>
        <v>22146.999999999996</v>
      </c>
      <c r="K22" s="13"/>
      <c r="L22" t="str">
        <f>$A$9</f>
        <v>Kirkland</v>
      </c>
      <c r="M22" s="12">
        <f t="shared" si="6"/>
        <v>567</v>
      </c>
      <c r="N22" s="12">
        <f t="shared" si="12"/>
        <v>1267</v>
      </c>
      <c r="O22" s="12">
        <f t="shared" si="12"/>
        <v>16008</v>
      </c>
      <c r="P22" s="12">
        <f t="shared" si="12"/>
        <v>2637</v>
      </c>
      <c r="Q22" s="12">
        <f t="shared" si="12"/>
        <v>606</v>
      </c>
      <c r="R22" s="12">
        <f t="shared" si="12"/>
        <v>52</v>
      </c>
      <c r="S22" s="12">
        <f t="shared" ref="S22" si="16">S9</f>
        <v>1010</v>
      </c>
      <c r="T22" s="12"/>
      <c r="U22" s="12">
        <f t="shared" si="14"/>
        <v>22147</v>
      </c>
    </row>
    <row r="23" spans="1:32" x14ac:dyDescent="0.45">
      <c r="A23" t="str">
        <f>$A$10</f>
        <v>Redmond</v>
      </c>
      <c r="B23" s="12">
        <f t="shared" si="9"/>
        <v>437.94033193954226</v>
      </c>
      <c r="C23" s="12">
        <f t="shared" si="9"/>
        <v>0</v>
      </c>
      <c r="D23" s="12">
        <f t="shared" si="9"/>
        <v>1332.2904389292066</v>
      </c>
      <c r="E23" s="12">
        <f t="shared" si="9"/>
        <v>15876.674554126086</v>
      </c>
      <c r="F23" s="12">
        <f t="shared" si="9"/>
        <v>0</v>
      </c>
      <c r="G23" s="12">
        <f t="shared" si="9"/>
        <v>0</v>
      </c>
      <c r="H23" s="12">
        <f t="shared" ref="H23" si="17">($U10/$J10)*H10</f>
        <v>102.09467500516423</v>
      </c>
      <c r="I23" s="12"/>
      <c r="J23" s="12">
        <f>SUM(B23:I23)</f>
        <v>17748.999999999996</v>
      </c>
      <c r="K23" s="13"/>
      <c r="L23" t="str">
        <f>$A$10</f>
        <v>Redmond</v>
      </c>
      <c r="M23" s="12">
        <f t="shared" si="6"/>
        <v>1411</v>
      </c>
      <c r="N23" s="12">
        <f t="shared" si="12"/>
        <v>604</v>
      </c>
      <c r="O23" s="12">
        <f t="shared" si="12"/>
        <v>2540</v>
      </c>
      <c r="P23" s="12">
        <f t="shared" si="12"/>
        <v>12728</v>
      </c>
      <c r="Q23" s="12">
        <f t="shared" si="12"/>
        <v>53</v>
      </c>
      <c r="R23" s="12">
        <f t="shared" si="12"/>
        <v>11</v>
      </c>
      <c r="S23" s="12">
        <f t="shared" ref="S23" si="18">S10</f>
        <v>402</v>
      </c>
      <c r="T23" s="12"/>
      <c r="U23" s="12">
        <f t="shared" si="14"/>
        <v>17749</v>
      </c>
    </row>
    <row r="24" spans="1:32" x14ac:dyDescent="0.45">
      <c r="A24" t="str">
        <f>$A$11</f>
        <v>Seattle</v>
      </c>
      <c r="B24" s="12" t="e">
        <f t="shared" si="9"/>
        <v>#DIV/0!</v>
      </c>
      <c r="C24" s="12" t="e">
        <f t="shared" si="9"/>
        <v>#DIV/0!</v>
      </c>
      <c r="D24" s="12" t="e">
        <f t="shared" si="9"/>
        <v>#DIV/0!</v>
      </c>
      <c r="E24" s="12" t="e">
        <f t="shared" si="9"/>
        <v>#DIV/0!</v>
      </c>
      <c r="F24" s="12" t="e">
        <f t="shared" si="9"/>
        <v>#DIV/0!</v>
      </c>
      <c r="G24" s="12" t="e">
        <f t="shared" si="9"/>
        <v>#DIV/0!</v>
      </c>
      <c r="H24" s="12" t="e">
        <f t="shared" ref="H24" si="19">($U11/$J11)*H11</f>
        <v>#DIV/0!</v>
      </c>
      <c r="I24" s="12"/>
      <c r="J24" s="12" t="e">
        <f t="shared" si="11"/>
        <v>#DIV/0!</v>
      </c>
      <c r="K24" s="13"/>
      <c r="L24" t="str">
        <f>$A$11</f>
        <v>Seattle</v>
      </c>
      <c r="M24" s="12">
        <f t="shared" si="6"/>
        <v>0</v>
      </c>
      <c r="N24" s="12">
        <f t="shared" si="12"/>
        <v>0</v>
      </c>
      <c r="O24" s="12">
        <f t="shared" si="12"/>
        <v>0</v>
      </c>
      <c r="P24" s="12">
        <f t="shared" si="12"/>
        <v>0</v>
      </c>
      <c r="Q24" s="12">
        <f t="shared" si="12"/>
        <v>0</v>
      </c>
      <c r="R24" s="12">
        <f t="shared" si="12"/>
        <v>0</v>
      </c>
      <c r="S24" s="12">
        <f t="shared" ref="S24" si="20">S11</f>
        <v>0</v>
      </c>
      <c r="T24" s="12"/>
      <c r="U24" s="12">
        <f t="shared" si="14"/>
        <v>0</v>
      </c>
    </row>
    <row r="25" spans="1:32" x14ac:dyDescent="0.45">
      <c r="A25" t="str">
        <f>$A$12</f>
        <v>Seattle Downtown</v>
      </c>
      <c r="B25" s="12" t="e">
        <f t="shared" si="9"/>
        <v>#DIV/0!</v>
      </c>
      <c r="C25" s="12" t="e">
        <f t="shared" si="9"/>
        <v>#DIV/0!</v>
      </c>
      <c r="D25" s="12" t="e">
        <f t="shared" si="9"/>
        <v>#DIV/0!</v>
      </c>
      <c r="E25" s="12" t="e">
        <f t="shared" si="9"/>
        <v>#DIV/0!</v>
      </c>
      <c r="F25" s="12" t="e">
        <f t="shared" si="9"/>
        <v>#DIV/0!</v>
      </c>
      <c r="G25" s="12" t="e">
        <f t="shared" si="9"/>
        <v>#DIV/0!</v>
      </c>
      <c r="H25" s="12" t="e">
        <f t="shared" ref="H25:H26" si="21">($U12/$J12)*H12</f>
        <v>#DIV/0!</v>
      </c>
      <c r="I25" s="12"/>
      <c r="J25" s="12" t="e">
        <f t="shared" si="11"/>
        <v>#DIV/0!</v>
      </c>
      <c r="K25" s="13"/>
      <c r="L25" t="str">
        <f>$A$12</f>
        <v>Seattle Downtown</v>
      </c>
      <c r="M25" s="12">
        <f t="shared" si="6"/>
        <v>0</v>
      </c>
      <c r="N25" s="12">
        <f t="shared" si="12"/>
        <v>0</v>
      </c>
      <c r="O25" s="12">
        <f t="shared" si="12"/>
        <v>0</v>
      </c>
      <c r="P25" s="12">
        <f t="shared" si="12"/>
        <v>0</v>
      </c>
      <c r="Q25" s="12">
        <f t="shared" si="12"/>
        <v>0</v>
      </c>
      <c r="R25" s="12">
        <f t="shared" si="12"/>
        <v>0</v>
      </c>
      <c r="S25" s="12">
        <f t="shared" ref="S25:S26" si="22">S12</f>
        <v>0</v>
      </c>
      <c r="T25" s="12"/>
      <c r="U25" s="12">
        <f t="shared" si="14"/>
        <v>0</v>
      </c>
    </row>
    <row r="26" spans="1:32" x14ac:dyDescent="0.45">
      <c r="A26" t="str">
        <f>$A$13</f>
        <v>Rest</v>
      </c>
      <c r="B26" s="12" t="e">
        <f t="shared" si="9"/>
        <v>#DIV/0!</v>
      </c>
      <c r="C26" s="12" t="e">
        <f t="shared" si="9"/>
        <v>#DIV/0!</v>
      </c>
      <c r="D26" s="12" t="e">
        <f t="shared" si="9"/>
        <v>#DIV/0!</v>
      </c>
      <c r="E26" s="12" t="e">
        <f t="shared" si="9"/>
        <v>#DIV/0!</v>
      </c>
      <c r="F26" s="12" t="e">
        <f t="shared" si="9"/>
        <v>#DIV/0!</v>
      </c>
      <c r="G26" s="12" t="e">
        <f t="shared" si="9"/>
        <v>#DIV/0!</v>
      </c>
      <c r="H26" s="12" t="e">
        <f t="shared" si="21"/>
        <v>#DIV/0!</v>
      </c>
      <c r="I26" s="12"/>
      <c r="J26" s="12" t="e">
        <f t="shared" si="11"/>
        <v>#DIV/0!</v>
      </c>
      <c r="K26" s="13"/>
      <c r="L26" t="str">
        <f>$A$13</f>
        <v>Rest</v>
      </c>
      <c r="M26" s="12">
        <f t="shared" si="6"/>
        <v>0</v>
      </c>
      <c r="N26" s="12">
        <f t="shared" si="12"/>
        <v>0</v>
      </c>
      <c r="O26" s="12">
        <f t="shared" si="12"/>
        <v>0</v>
      </c>
      <c r="P26" s="12">
        <f t="shared" si="12"/>
        <v>0</v>
      </c>
      <c r="Q26" s="12">
        <f t="shared" si="12"/>
        <v>0</v>
      </c>
      <c r="R26" s="12">
        <f t="shared" si="12"/>
        <v>0</v>
      </c>
      <c r="S26" s="12">
        <f t="shared" si="22"/>
        <v>0</v>
      </c>
      <c r="T26" s="12"/>
      <c r="U26" s="12">
        <f t="shared" si="14"/>
        <v>0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5" t="e">
        <f t="shared" ref="B28:J28" si="23">SUM(B20:B27)</f>
        <v>#DIV/0!</v>
      </c>
      <c r="C28" s="15" t="e">
        <f t="shared" si="23"/>
        <v>#DIV/0!</v>
      </c>
      <c r="D28" s="15" t="e">
        <f t="shared" si="23"/>
        <v>#DIV/0!</v>
      </c>
      <c r="E28" s="15" t="e">
        <f t="shared" si="23"/>
        <v>#DIV/0!</v>
      </c>
      <c r="F28" s="15" t="e">
        <f t="shared" si="23"/>
        <v>#DIV/0!</v>
      </c>
      <c r="G28" s="15" t="e">
        <f t="shared" si="23"/>
        <v>#DIV/0!</v>
      </c>
      <c r="H28" s="15" t="e">
        <f t="shared" si="23"/>
        <v>#DIV/0!</v>
      </c>
      <c r="I28" s="15">
        <f t="shared" si="23"/>
        <v>0</v>
      </c>
      <c r="J28" s="15" t="e">
        <f t="shared" si="23"/>
        <v>#DIV/0!</v>
      </c>
      <c r="K28" s="12"/>
      <c r="L28" s="15" t="s">
        <v>4</v>
      </c>
      <c r="M28" s="15">
        <f t="shared" ref="M28:U28" si="24">M15</f>
        <v>12765</v>
      </c>
      <c r="N28" s="15">
        <f t="shared" si="24"/>
        <v>12495</v>
      </c>
      <c r="O28" s="15">
        <f t="shared" si="24"/>
        <v>19416</v>
      </c>
      <c r="P28" s="15">
        <f t="shared" si="24"/>
        <v>18046</v>
      </c>
      <c r="Q28" s="15">
        <f t="shared" si="24"/>
        <v>924</v>
      </c>
      <c r="R28" s="15">
        <f t="shared" si="24"/>
        <v>241</v>
      </c>
      <c r="S28" s="15">
        <f t="shared" si="24"/>
        <v>2754</v>
      </c>
      <c r="T28" s="15">
        <f t="shared" si="24"/>
        <v>0</v>
      </c>
      <c r="U28" s="15">
        <f t="shared" si="24"/>
        <v>66641</v>
      </c>
    </row>
    <row r="31" spans="1:32" ht="14.65" thickBot="1" x14ac:dyDescent="0.5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6" t="e">
        <f t="shared" ref="B33:J39" si="25">B20/$J$28</f>
        <v>#DIV/0!</v>
      </c>
      <c r="C33" s="16" t="e">
        <f t="shared" si="25"/>
        <v>#DIV/0!</v>
      </c>
      <c r="D33" s="16" t="e">
        <f t="shared" si="25"/>
        <v>#DIV/0!</v>
      </c>
      <c r="E33" s="16" t="e">
        <f t="shared" si="25"/>
        <v>#DIV/0!</v>
      </c>
      <c r="F33" s="16" t="e">
        <f t="shared" si="25"/>
        <v>#DIV/0!</v>
      </c>
      <c r="G33" s="16" t="e">
        <f t="shared" si="25"/>
        <v>#DIV/0!</v>
      </c>
      <c r="H33" s="16" t="e">
        <f t="shared" ref="H33" si="26">H20/$J$28</f>
        <v>#DIV/0!</v>
      </c>
      <c r="I33" s="16"/>
      <c r="J33" s="16" t="e">
        <f t="shared" ref="J33:J38" si="27">J20/$J$28</f>
        <v>#DIV/0!</v>
      </c>
      <c r="K33" s="12"/>
      <c r="L33" t="str">
        <f>$A$7</f>
        <v>Bellevue</v>
      </c>
      <c r="M33" s="16">
        <f t="shared" ref="M33:R33" si="28">M20/$U$28</f>
        <v>0.15572995603307274</v>
      </c>
      <c r="N33" s="16">
        <f t="shared" si="28"/>
        <v>0.12243213637250341</v>
      </c>
      <c r="O33" s="16">
        <f t="shared" si="28"/>
        <v>1.2439789318887772E-2</v>
      </c>
      <c r="P33" s="16">
        <f t="shared" si="28"/>
        <v>3.960024609474648E-2</v>
      </c>
      <c r="Q33" s="16">
        <f t="shared" si="28"/>
        <v>3.9015020783001457E-3</v>
      </c>
      <c r="R33" s="16">
        <f t="shared" si="28"/>
        <v>2.641016791464714E-3</v>
      </c>
      <c r="S33" s="16">
        <f t="shared" ref="S33" si="29">S20/$U$28</f>
        <v>2.009273570324575E-2</v>
      </c>
      <c r="T33" s="16"/>
      <c r="U33" s="16">
        <f t="shared" ref="U33:U39" si="30">U20/$U$28</f>
        <v>0.35683738239222101</v>
      </c>
      <c r="W33" t="str">
        <f>$A$7</f>
        <v>Bellevue</v>
      </c>
      <c r="X33" s="16" t="e">
        <f t="shared" ref="X33:AD33" si="31">M33-B33</f>
        <v>#DIV/0!</v>
      </c>
      <c r="Y33" s="16" t="e">
        <f t="shared" si="31"/>
        <v>#DIV/0!</v>
      </c>
      <c r="Z33" s="16" t="e">
        <f t="shared" si="31"/>
        <v>#DIV/0!</v>
      </c>
      <c r="AA33" s="16" t="e">
        <f t="shared" si="31"/>
        <v>#DIV/0!</v>
      </c>
      <c r="AB33" s="16" t="e">
        <f t="shared" si="31"/>
        <v>#DIV/0!</v>
      </c>
      <c r="AC33" s="16" t="e">
        <f t="shared" si="31"/>
        <v>#DIV/0!</v>
      </c>
      <c r="AD33" s="16" t="e">
        <f t="shared" si="31"/>
        <v>#DIV/0!</v>
      </c>
      <c r="AE33" s="16"/>
      <c r="AF33" s="16" t="e">
        <f t="shared" ref="AF33:AF39" si="32">U33-J33</f>
        <v>#DIV/0!</v>
      </c>
    </row>
    <row r="34" spans="1:32" x14ac:dyDescent="0.45">
      <c r="A34" t="str">
        <f>$A$8</f>
        <v>Bellevue Downtown</v>
      </c>
      <c r="B34" s="16" t="e">
        <f t="shared" si="25"/>
        <v>#DIV/0!</v>
      </c>
      <c r="C34" s="16" t="e">
        <f t="shared" si="25"/>
        <v>#DIV/0!</v>
      </c>
      <c r="D34" s="16" t="e">
        <f t="shared" si="25"/>
        <v>#DIV/0!</v>
      </c>
      <c r="E34" s="16" t="e">
        <f t="shared" si="25"/>
        <v>#DIV/0!</v>
      </c>
      <c r="F34" s="16" t="e">
        <f t="shared" si="25"/>
        <v>#DIV/0!</v>
      </c>
      <c r="G34" s="16" t="e">
        <f t="shared" ref="G34:H34" si="33">G21/$J$28</f>
        <v>#DIV/0!</v>
      </c>
      <c r="H34" s="16" t="e">
        <f t="shared" si="33"/>
        <v>#DIV/0!</v>
      </c>
      <c r="I34" s="16"/>
      <c r="J34" s="16" t="e">
        <f t="shared" si="27"/>
        <v>#DIV/0!</v>
      </c>
      <c r="K34" s="12"/>
      <c r="L34" t="str">
        <f>$A$8</f>
        <v>Bellevue Downtown</v>
      </c>
      <c r="M34" s="16">
        <f t="shared" ref="M34:R39" si="34">M21/$U$28</f>
        <v>6.1373628847106133E-3</v>
      </c>
      <c r="N34" s="16">
        <f t="shared" si="34"/>
        <v>3.6989240857730227E-2</v>
      </c>
      <c r="O34" s="16">
        <f t="shared" si="34"/>
        <v>5.8522531174502181E-4</v>
      </c>
      <c r="P34" s="16">
        <f t="shared" si="34"/>
        <v>6.3024264341771585E-4</v>
      </c>
      <c r="Q34" s="16">
        <f t="shared" si="34"/>
        <v>7.5028886121156649E-5</v>
      </c>
      <c r="R34" s="16">
        <f t="shared" si="34"/>
        <v>3.0011554448462658E-5</v>
      </c>
      <c r="S34" s="16">
        <f t="shared" ref="S34" si="35">S21/$U$28</f>
        <v>4.5017331672693988E-5</v>
      </c>
      <c r="T34" s="16"/>
      <c r="U34" s="16">
        <f t="shared" si="30"/>
        <v>4.449212946984589E-2</v>
      </c>
      <c r="W34" t="str">
        <f>$A$8</f>
        <v>Bellevue Downtown</v>
      </c>
      <c r="X34" s="16" t="e">
        <f t="shared" ref="X34:X38" si="36">M34-B34</f>
        <v>#DIV/0!</v>
      </c>
      <c r="Y34" s="16" t="e">
        <f t="shared" ref="Y34:AD38" si="37">N34-C34</f>
        <v>#DIV/0!</v>
      </c>
      <c r="Z34" s="16" t="e">
        <f t="shared" si="37"/>
        <v>#DIV/0!</v>
      </c>
      <c r="AA34" s="16" t="e">
        <f t="shared" si="37"/>
        <v>#DIV/0!</v>
      </c>
      <c r="AB34" s="16" t="e">
        <f t="shared" si="37"/>
        <v>#DIV/0!</v>
      </c>
      <c r="AC34" s="16" t="e">
        <f t="shared" si="37"/>
        <v>#DIV/0!</v>
      </c>
      <c r="AD34" s="16" t="e">
        <f t="shared" si="37"/>
        <v>#DIV/0!</v>
      </c>
      <c r="AE34" s="16"/>
      <c r="AF34" s="16" t="e">
        <f t="shared" si="32"/>
        <v>#DIV/0!</v>
      </c>
    </row>
    <row r="35" spans="1:32" x14ac:dyDescent="0.45">
      <c r="A35" t="str">
        <f>$A$9</f>
        <v>Kirkland</v>
      </c>
      <c r="B35" s="16" t="e">
        <f t="shared" si="25"/>
        <v>#DIV/0!</v>
      </c>
      <c r="C35" s="16" t="e">
        <f t="shared" si="25"/>
        <v>#DIV/0!</v>
      </c>
      <c r="D35" s="16" t="e">
        <f t="shared" si="25"/>
        <v>#DIV/0!</v>
      </c>
      <c r="E35" s="16" t="e">
        <f t="shared" si="25"/>
        <v>#DIV/0!</v>
      </c>
      <c r="F35" s="16" t="e">
        <f t="shared" si="25"/>
        <v>#DIV/0!</v>
      </c>
      <c r="G35" s="16" t="e">
        <f t="shared" ref="G35:H35" si="38">G22/$J$28</f>
        <v>#DIV/0!</v>
      </c>
      <c r="H35" s="16" t="e">
        <f t="shared" si="38"/>
        <v>#DIV/0!</v>
      </c>
      <c r="I35" s="16"/>
      <c r="J35" s="16" t="e">
        <f t="shared" si="27"/>
        <v>#DIV/0!</v>
      </c>
      <c r="K35" s="13"/>
      <c r="L35" t="str">
        <f>$A$9</f>
        <v>Kirkland</v>
      </c>
      <c r="M35" s="16">
        <f t="shared" si="34"/>
        <v>8.5082756861391638E-3</v>
      </c>
      <c r="N35" s="16">
        <f t="shared" si="34"/>
        <v>1.9012319743101094E-2</v>
      </c>
      <c r="O35" s="16">
        <f t="shared" si="34"/>
        <v>0.24021248180549512</v>
      </c>
      <c r="P35" s="16">
        <f t="shared" si="34"/>
        <v>3.9570234540298017E-2</v>
      </c>
      <c r="Q35" s="16">
        <f t="shared" si="34"/>
        <v>9.0935009978841859E-3</v>
      </c>
      <c r="R35" s="16">
        <f t="shared" si="34"/>
        <v>7.8030041566002912E-4</v>
      </c>
      <c r="S35" s="16">
        <f t="shared" ref="S35" si="39">S22/$U$28</f>
        <v>1.5155834996473643E-2</v>
      </c>
      <c r="T35" s="16"/>
      <c r="U35" s="16">
        <f t="shared" si="30"/>
        <v>0.33233294818505127</v>
      </c>
      <c r="W35" t="str">
        <f>$A$9</f>
        <v>Kirkland</v>
      </c>
      <c r="X35" s="16" t="e">
        <f t="shared" si="36"/>
        <v>#DIV/0!</v>
      </c>
      <c r="Y35" s="16" t="e">
        <f t="shared" si="37"/>
        <v>#DIV/0!</v>
      </c>
      <c r="Z35" s="16" t="e">
        <f t="shared" si="37"/>
        <v>#DIV/0!</v>
      </c>
      <c r="AA35" s="16" t="e">
        <f t="shared" si="37"/>
        <v>#DIV/0!</v>
      </c>
      <c r="AB35" s="16" t="e">
        <f t="shared" si="37"/>
        <v>#DIV/0!</v>
      </c>
      <c r="AC35" s="16" t="e">
        <f t="shared" si="37"/>
        <v>#DIV/0!</v>
      </c>
      <c r="AD35" s="16" t="e">
        <f t="shared" si="37"/>
        <v>#DIV/0!</v>
      </c>
      <c r="AE35" s="16"/>
      <c r="AF35" s="16" t="e">
        <f t="shared" si="32"/>
        <v>#DIV/0!</v>
      </c>
    </row>
    <row r="36" spans="1:32" x14ac:dyDescent="0.45">
      <c r="A36" t="str">
        <f>$A$10</f>
        <v>Redmond</v>
      </c>
      <c r="B36" s="16" t="e">
        <f t="shared" si="25"/>
        <v>#DIV/0!</v>
      </c>
      <c r="C36" s="16" t="e">
        <f t="shared" si="25"/>
        <v>#DIV/0!</v>
      </c>
      <c r="D36" s="16" t="e">
        <f t="shared" si="25"/>
        <v>#DIV/0!</v>
      </c>
      <c r="E36" s="16" t="e">
        <f t="shared" si="25"/>
        <v>#DIV/0!</v>
      </c>
      <c r="F36" s="16" t="e">
        <f t="shared" si="25"/>
        <v>#DIV/0!</v>
      </c>
      <c r="G36" s="16" t="e">
        <f t="shared" ref="G36:H36" si="40">G23/$J$28</f>
        <v>#DIV/0!</v>
      </c>
      <c r="H36" s="16" t="e">
        <f t="shared" si="40"/>
        <v>#DIV/0!</v>
      </c>
      <c r="I36" s="16"/>
      <c r="J36" s="16" t="e">
        <f t="shared" si="27"/>
        <v>#DIV/0!</v>
      </c>
      <c r="K36" s="13"/>
      <c r="L36" t="str">
        <f>$A$10</f>
        <v>Redmond</v>
      </c>
      <c r="M36" s="16">
        <f t="shared" si="34"/>
        <v>2.1173151663390406E-2</v>
      </c>
      <c r="N36" s="16">
        <f t="shared" si="34"/>
        <v>9.0634894434357231E-3</v>
      </c>
      <c r="O36" s="16">
        <f t="shared" si="34"/>
        <v>3.8114674149547577E-2</v>
      </c>
      <c r="P36" s="16">
        <f t="shared" si="34"/>
        <v>0.19099353251001636</v>
      </c>
      <c r="Q36" s="16">
        <f t="shared" si="34"/>
        <v>7.9530619288426039E-4</v>
      </c>
      <c r="R36" s="16">
        <f t="shared" si="34"/>
        <v>1.6506354946654463E-4</v>
      </c>
      <c r="S36" s="16">
        <f t="shared" ref="S36" si="41">S23/$U$28</f>
        <v>6.0323224441409945E-3</v>
      </c>
      <c r="T36" s="16"/>
      <c r="U36" s="16">
        <f t="shared" si="30"/>
        <v>0.26633753995288184</v>
      </c>
      <c r="W36" t="str">
        <f>$A$10</f>
        <v>Redmond</v>
      </c>
      <c r="X36" s="16" t="e">
        <f t="shared" si="36"/>
        <v>#DIV/0!</v>
      </c>
      <c r="Y36" s="16" t="e">
        <f t="shared" si="37"/>
        <v>#DIV/0!</v>
      </c>
      <c r="Z36" s="16" t="e">
        <f t="shared" si="37"/>
        <v>#DIV/0!</v>
      </c>
      <c r="AA36" s="16" t="e">
        <f t="shared" si="37"/>
        <v>#DIV/0!</v>
      </c>
      <c r="AB36" s="16" t="e">
        <f t="shared" si="37"/>
        <v>#DIV/0!</v>
      </c>
      <c r="AC36" s="16" t="e">
        <f t="shared" si="37"/>
        <v>#DIV/0!</v>
      </c>
      <c r="AD36" s="16" t="e">
        <f t="shared" si="37"/>
        <v>#DIV/0!</v>
      </c>
      <c r="AE36" s="16"/>
      <c r="AF36" s="16" t="e">
        <f t="shared" si="32"/>
        <v>#DIV/0!</v>
      </c>
    </row>
    <row r="37" spans="1:32" x14ac:dyDescent="0.45">
      <c r="A37" t="str">
        <f>$A$11</f>
        <v>Seattle</v>
      </c>
      <c r="B37" s="16" t="e">
        <f t="shared" si="25"/>
        <v>#DIV/0!</v>
      </c>
      <c r="C37" s="16" t="e">
        <f t="shared" si="25"/>
        <v>#DIV/0!</v>
      </c>
      <c r="D37" s="16" t="e">
        <f t="shared" si="25"/>
        <v>#DIV/0!</v>
      </c>
      <c r="E37" s="16" t="e">
        <f t="shared" si="25"/>
        <v>#DIV/0!</v>
      </c>
      <c r="F37" s="16" t="e">
        <f t="shared" si="25"/>
        <v>#DIV/0!</v>
      </c>
      <c r="G37" s="16" t="e">
        <f t="shared" ref="G37:H37" si="42">G24/$J$28</f>
        <v>#DIV/0!</v>
      </c>
      <c r="H37" s="16" t="e">
        <f t="shared" si="42"/>
        <v>#DIV/0!</v>
      </c>
      <c r="I37" s="16"/>
      <c r="J37" s="16" t="e">
        <f t="shared" si="27"/>
        <v>#DIV/0!</v>
      </c>
      <c r="K37" s="13"/>
      <c r="L37" t="str">
        <f>$A$11</f>
        <v>Seattle</v>
      </c>
      <c r="M37" s="16">
        <f t="shared" si="34"/>
        <v>0</v>
      </c>
      <c r="N37" s="16">
        <f t="shared" si="34"/>
        <v>0</v>
      </c>
      <c r="O37" s="16">
        <f t="shared" si="34"/>
        <v>0</v>
      </c>
      <c r="P37" s="16">
        <f t="shared" si="34"/>
        <v>0</v>
      </c>
      <c r="Q37" s="16">
        <f t="shared" si="34"/>
        <v>0</v>
      </c>
      <c r="R37" s="16">
        <f t="shared" si="34"/>
        <v>0</v>
      </c>
      <c r="S37" s="16">
        <f t="shared" ref="S37" si="43">S24/$U$28</f>
        <v>0</v>
      </c>
      <c r="T37" s="16"/>
      <c r="U37" s="16">
        <f t="shared" si="30"/>
        <v>0</v>
      </c>
      <c r="W37" t="str">
        <f>$A$11</f>
        <v>Seattle</v>
      </c>
      <c r="X37" s="16" t="e">
        <f t="shared" si="36"/>
        <v>#DIV/0!</v>
      </c>
      <c r="Y37" s="16" t="e">
        <f t="shared" si="37"/>
        <v>#DIV/0!</v>
      </c>
      <c r="Z37" s="16" t="e">
        <f t="shared" si="37"/>
        <v>#DIV/0!</v>
      </c>
      <c r="AA37" s="16" t="e">
        <f t="shared" si="37"/>
        <v>#DIV/0!</v>
      </c>
      <c r="AB37" s="16" t="e">
        <f t="shared" si="37"/>
        <v>#DIV/0!</v>
      </c>
      <c r="AC37" s="16" t="e">
        <f t="shared" si="37"/>
        <v>#DIV/0!</v>
      </c>
      <c r="AD37" s="16" t="e">
        <f t="shared" si="37"/>
        <v>#DIV/0!</v>
      </c>
      <c r="AE37" s="16"/>
      <c r="AF37" s="16" t="e">
        <f t="shared" si="32"/>
        <v>#DIV/0!</v>
      </c>
    </row>
    <row r="38" spans="1:32" x14ac:dyDescent="0.45">
      <c r="A38" t="str">
        <f>$A$12</f>
        <v>Seattle Downtown</v>
      </c>
      <c r="B38" s="16" t="e">
        <f t="shared" si="25"/>
        <v>#DIV/0!</v>
      </c>
      <c r="C38" s="16" t="e">
        <f t="shared" si="25"/>
        <v>#DIV/0!</v>
      </c>
      <c r="D38" s="16" t="e">
        <f t="shared" si="25"/>
        <v>#DIV/0!</v>
      </c>
      <c r="E38" s="16" t="e">
        <f t="shared" si="25"/>
        <v>#DIV/0!</v>
      </c>
      <c r="F38" s="16" t="e">
        <f t="shared" si="25"/>
        <v>#DIV/0!</v>
      </c>
      <c r="G38" s="16" t="e">
        <f t="shared" ref="G38:H39" si="44">G25/$J$28</f>
        <v>#DIV/0!</v>
      </c>
      <c r="H38" s="16" t="e">
        <f t="shared" si="44"/>
        <v>#DIV/0!</v>
      </c>
      <c r="I38" s="16"/>
      <c r="J38" s="16" t="e">
        <f t="shared" si="27"/>
        <v>#DIV/0!</v>
      </c>
      <c r="K38" s="13"/>
      <c r="L38" t="str">
        <f>$A$12</f>
        <v>Seattle Downtown</v>
      </c>
      <c r="M38" s="16">
        <f t="shared" si="34"/>
        <v>0</v>
      </c>
      <c r="N38" s="16">
        <f t="shared" si="34"/>
        <v>0</v>
      </c>
      <c r="O38" s="16">
        <f t="shared" si="34"/>
        <v>0</v>
      </c>
      <c r="P38" s="16">
        <f t="shared" si="34"/>
        <v>0</v>
      </c>
      <c r="Q38" s="16">
        <f t="shared" si="34"/>
        <v>0</v>
      </c>
      <c r="R38" s="16">
        <f t="shared" si="34"/>
        <v>0</v>
      </c>
      <c r="S38" s="16">
        <f t="shared" ref="S38:S39" si="45">S25/$U$28</f>
        <v>0</v>
      </c>
      <c r="T38" s="16"/>
      <c r="U38" s="16">
        <f t="shared" si="30"/>
        <v>0</v>
      </c>
      <c r="W38" t="str">
        <f>$A$12</f>
        <v>Seattle Downtown</v>
      </c>
      <c r="X38" s="16" t="e">
        <f t="shared" si="36"/>
        <v>#DIV/0!</v>
      </c>
      <c r="Y38" s="16" t="e">
        <f t="shared" si="37"/>
        <v>#DIV/0!</v>
      </c>
      <c r="Z38" s="16" t="e">
        <f t="shared" si="37"/>
        <v>#DIV/0!</v>
      </c>
      <c r="AA38" s="16" t="e">
        <f t="shared" si="37"/>
        <v>#DIV/0!</v>
      </c>
      <c r="AB38" s="16" t="e">
        <f t="shared" si="37"/>
        <v>#DIV/0!</v>
      </c>
      <c r="AC38" s="16" t="e">
        <f t="shared" si="37"/>
        <v>#DIV/0!</v>
      </c>
      <c r="AD38" s="16" t="e">
        <f t="shared" si="37"/>
        <v>#DIV/0!</v>
      </c>
      <c r="AE38" s="16"/>
      <c r="AF38" s="16" t="e">
        <f t="shared" si="32"/>
        <v>#DIV/0!</v>
      </c>
    </row>
    <row r="39" spans="1:32" x14ac:dyDescent="0.45">
      <c r="A39" t="str">
        <f>$A$13</f>
        <v>Rest</v>
      </c>
      <c r="B39" s="16" t="e">
        <f t="shared" si="25"/>
        <v>#DIV/0!</v>
      </c>
      <c r="C39" s="16" t="e">
        <f t="shared" si="25"/>
        <v>#DIV/0!</v>
      </c>
      <c r="D39" s="16" t="e">
        <f t="shared" si="25"/>
        <v>#DIV/0!</v>
      </c>
      <c r="E39" s="16" t="e">
        <f t="shared" si="25"/>
        <v>#DIV/0!</v>
      </c>
      <c r="F39" s="16" t="e">
        <f t="shared" si="25"/>
        <v>#DIV/0!</v>
      </c>
      <c r="G39" s="16" t="e">
        <f t="shared" si="44"/>
        <v>#DIV/0!</v>
      </c>
      <c r="H39" s="16" t="e">
        <f t="shared" si="44"/>
        <v>#DIV/0!</v>
      </c>
      <c r="I39" s="16"/>
      <c r="J39" s="16" t="e">
        <f t="shared" si="25"/>
        <v>#DIV/0!</v>
      </c>
      <c r="K39" s="13"/>
      <c r="L39" t="str">
        <f>$A$13</f>
        <v>Rest</v>
      </c>
      <c r="M39" s="16">
        <f t="shared" si="34"/>
        <v>0</v>
      </c>
      <c r="N39" s="16">
        <f t="shared" si="34"/>
        <v>0</v>
      </c>
      <c r="O39" s="16">
        <f t="shared" si="34"/>
        <v>0</v>
      </c>
      <c r="P39" s="16">
        <f t="shared" si="34"/>
        <v>0</v>
      </c>
      <c r="Q39" s="16">
        <f t="shared" si="34"/>
        <v>0</v>
      </c>
      <c r="R39" s="16">
        <f t="shared" si="34"/>
        <v>0</v>
      </c>
      <c r="S39" s="16">
        <f t="shared" si="45"/>
        <v>0</v>
      </c>
      <c r="T39" s="16"/>
      <c r="U39" s="16">
        <f t="shared" si="30"/>
        <v>0</v>
      </c>
      <c r="W39" t="str">
        <f>$A$13</f>
        <v>Rest</v>
      </c>
      <c r="X39" s="16" t="e">
        <f t="shared" ref="X39" si="46">M39-B39</f>
        <v>#DIV/0!</v>
      </c>
      <c r="Y39" s="16" t="e">
        <f t="shared" ref="Y39" si="47">N39-C39</f>
        <v>#DIV/0!</v>
      </c>
      <c r="Z39" s="16" t="e">
        <f t="shared" ref="Z39" si="48">O39-D39</f>
        <v>#DIV/0!</v>
      </c>
      <c r="AA39" s="16" t="e">
        <f t="shared" ref="AA39" si="49">P39-E39</f>
        <v>#DIV/0!</v>
      </c>
      <c r="AB39" s="16" t="e">
        <f t="shared" ref="AB39" si="50">Q39-F39</f>
        <v>#DIV/0!</v>
      </c>
      <c r="AC39" s="16" t="e">
        <f t="shared" ref="AC39" si="51">R39-G39</f>
        <v>#DIV/0!</v>
      </c>
      <c r="AD39" s="16" t="e">
        <f t="shared" ref="AD39" si="52">S39-H39</f>
        <v>#DIV/0!</v>
      </c>
      <c r="AE39" s="16"/>
      <c r="AF39" s="16" t="e">
        <f t="shared" si="32"/>
        <v>#DIV/0!</v>
      </c>
    </row>
    <row r="40" spans="1:32" x14ac:dyDescent="0.4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4.65" thickBot="1" x14ac:dyDescent="0.5">
      <c r="A41" s="1" t="s">
        <v>4</v>
      </c>
      <c r="B41" s="18" t="e">
        <f t="shared" ref="B41:H41" si="53">B28/$J$28</f>
        <v>#DIV/0!</v>
      </c>
      <c r="C41" s="18" t="e">
        <f t="shared" si="53"/>
        <v>#DIV/0!</v>
      </c>
      <c r="D41" s="18" t="e">
        <f t="shared" si="53"/>
        <v>#DIV/0!</v>
      </c>
      <c r="E41" s="18" t="e">
        <f t="shared" si="53"/>
        <v>#DIV/0!</v>
      </c>
      <c r="F41" s="18" t="e">
        <f t="shared" si="53"/>
        <v>#DIV/0!</v>
      </c>
      <c r="G41" s="18" t="e">
        <f t="shared" si="53"/>
        <v>#DIV/0!</v>
      </c>
      <c r="H41" s="18" t="e">
        <f t="shared" si="53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0.19154874626731291</v>
      </c>
      <c r="N41" s="18">
        <f>N28/$U$28</f>
        <v>0.18749718641677046</v>
      </c>
      <c r="O41" s="18">
        <f>O28/$U$28</f>
        <v>0.29135217058567547</v>
      </c>
      <c r="P41" s="18">
        <f>P28/$U$28</f>
        <v>0.27079425578847854</v>
      </c>
      <c r="Q41" s="18">
        <f t="shared" ref="Q41:S41" si="54">Q28/$U$28</f>
        <v>1.3865338155189748E-2</v>
      </c>
      <c r="R41" s="18">
        <f t="shared" si="54"/>
        <v>3.6163923110397503E-3</v>
      </c>
      <c r="S41" s="18">
        <f t="shared" si="54"/>
        <v>4.1325910475533079E-2</v>
      </c>
      <c r="T41" s="18">
        <f>T28/$U$28</f>
        <v>0</v>
      </c>
      <c r="U41" s="18">
        <f>U28/$U$28</f>
        <v>1</v>
      </c>
      <c r="W41" s="15" t="s">
        <v>4</v>
      </c>
      <c r="X41" s="18" t="e">
        <f t="shared" ref="X41:AF41" si="55">M41-B41</f>
        <v>#DIV/0!</v>
      </c>
      <c r="Y41" s="18" t="e">
        <f t="shared" si="55"/>
        <v>#DIV/0!</v>
      </c>
      <c r="Z41" s="18" t="e">
        <f t="shared" si="55"/>
        <v>#DIV/0!</v>
      </c>
      <c r="AA41" s="18" t="e">
        <f t="shared" si="55"/>
        <v>#DIV/0!</v>
      </c>
      <c r="AB41" s="18" t="e">
        <f t="shared" si="55"/>
        <v>#DIV/0!</v>
      </c>
      <c r="AC41" s="18" t="e">
        <f t="shared" si="55"/>
        <v>#DIV/0!</v>
      </c>
      <c r="AD41" s="18" t="e">
        <f t="shared" si="55"/>
        <v>#DIV/0!</v>
      </c>
      <c r="AE41" s="18" t="e">
        <f t="shared" si="55"/>
        <v>#DIV/0!</v>
      </c>
      <c r="AF41" s="18" t="e">
        <f t="shared" si="55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10" t="s">
        <v>19</v>
      </c>
    </row>
    <row r="2" spans="1:3" x14ac:dyDescent="0.45">
      <c r="A2">
        <v>1</v>
      </c>
      <c r="B2" t="s">
        <v>247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5" workbookViewId="0">
      <selection activeCell="B39" sqref="B3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97" t="s">
        <v>43</v>
      </c>
    </row>
    <row r="2" spans="1:4" x14ac:dyDescent="0.45">
      <c r="A2" t="s">
        <v>255</v>
      </c>
      <c r="B2" t="s">
        <v>262</v>
      </c>
      <c r="C2" t="s">
        <v>92</v>
      </c>
      <c r="D2" t="s">
        <v>278</v>
      </c>
    </row>
    <row r="3" spans="1:4" x14ac:dyDescent="0.45">
      <c r="A3">
        <v>1</v>
      </c>
      <c r="B3" t="s">
        <v>46</v>
      </c>
      <c r="C3" t="s">
        <v>279</v>
      </c>
      <c r="D3" t="s">
        <v>47</v>
      </c>
    </row>
    <row r="4" spans="1:4" x14ac:dyDescent="0.45">
      <c r="A4">
        <v>2</v>
      </c>
      <c r="B4" t="s">
        <v>49</v>
      </c>
      <c r="C4" t="s">
        <v>279</v>
      </c>
      <c r="D4" t="s">
        <v>50</v>
      </c>
    </row>
    <row r="5" spans="1:4" x14ac:dyDescent="0.45">
      <c r="A5">
        <v>3</v>
      </c>
      <c r="B5" t="s">
        <v>52</v>
      </c>
      <c r="C5" t="s">
        <v>279</v>
      </c>
      <c r="D5" t="s">
        <v>53</v>
      </c>
    </row>
    <row r="6" spans="1:4" x14ac:dyDescent="0.45">
      <c r="A6">
        <v>4</v>
      </c>
      <c r="B6" t="s">
        <v>55</v>
      </c>
      <c r="C6" t="s">
        <v>279</v>
      </c>
      <c r="D6" t="s">
        <v>56</v>
      </c>
    </row>
    <row r="7" spans="1:4" x14ac:dyDescent="0.45">
      <c r="A7">
        <v>5</v>
      </c>
      <c r="B7" t="s">
        <v>58</v>
      </c>
      <c r="C7" t="s">
        <v>279</v>
      </c>
      <c r="D7" t="s">
        <v>59</v>
      </c>
    </row>
    <row r="8" spans="1:4" x14ac:dyDescent="0.45">
      <c r="A8">
        <v>6</v>
      </c>
      <c r="B8" t="s">
        <v>60</v>
      </c>
      <c r="C8" t="s">
        <v>279</v>
      </c>
      <c r="D8" t="s">
        <v>61</v>
      </c>
    </row>
    <row r="9" spans="1:4" x14ac:dyDescent="0.45">
      <c r="A9">
        <v>7</v>
      </c>
      <c r="B9" t="s">
        <v>62</v>
      </c>
      <c r="C9" t="s">
        <v>279</v>
      </c>
      <c r="D9" t="s">
        <v>63</v>
      </c>
    </row>
    <row r="10" spans="1:4" x14ac:dyDescent="0.45">
      <c r="A10">
        <v>8</v>
      </c>
      <c r="B10" t="s">
        <v>65</v>
      </c>
      <c r="C10" t="s">
        <v>279</v>
      </c>
      <c r="D10" t="s">
        <v>66</v>
      </c>
    </row>
    <row r="11" spans="1:4" x14ac:dyDescent="0.45">
      <c r="A11">
        <v>9</v>
      </c>
      <c r="B11" t="s">
        <v>67</v>
      </c>
      <c r="C11" t="s">
        <v>279</v>
      </c>
      <c r="D11" t="s">
        <v>68</v>
      </c>
    </row>
    <row r="12" spans="1:4" x14ac:dyDescent="0.45">
      <c r="A12">
        <v>10</v>
      </c>
      <c r="B12" t="s">
        <v>69</v>
      </c>
      <c r="C12" t="s">
        <v>279</v>
      </c>
      <c r="D12" t="s">
        <v>70</v>
      </c>
    </row>
    <row r="13" spans="1:4" x14ac:dyDescent="0.45">
      <c r="A13">
        <v>11</v>
      </c>
      <c r="B13" t="s">
        <v>71</v>
      </c>
      <c r="C13" t="s">
        <v>279</v>
      </c>
      <c r="D13" t="s">
        <v>72</v>
      </c>
    </row>
    <row r="14" spans="1:4" x14ac:dyDescent="0.45">
      <c r="A14">
        <v>12</v>
      </c>
      <c r="B14" t="s">
        <v>73</v>
      </c>
      <c r="C14" t="s">
        <v>279</v>
      </c>
      <c r="D14" t="s">
        <v>74</v>
      </c>
    </row>
    <row r="15" spans="1:4" x14ac:dyDescent="0.45">
      <c r="A15">
        <v>13</v>
      </c>
      <c r="B15" t="s">
        <v>75</v>
      </c>
      <c r="C15" t="s">
        <v>279</v>
      </c>
      <c r="D15" t="s">
        <v>76</v>
      </c>
    </row>
    <row r="16" spans="1:4" x14ac:dyDescent="0.45">
      <c r="A16">
        <v>14</v>
      </c>
      <c r="B16" t="s">
        <v>77</v>
      </c>
      <c r="C16" t="s">
        <v>279</v>
      </c>
      <c r="D16" t="s">
        <v>78</v>
      </c>
    </row>
    <row r="17" spans="1:4" x14ac:dyDescent="0.45">
      <c r="A17">
        <v>15</v>
      </c>
      <c r="B17" t="s">
        <v>79</v>
      </c>
      <c r="C17" t="s">
        <v>279</v>
      </c>
      <c r="D17" t="s">
        <v>80</v>
      </c>
    </row>
    <row r="18" spans="1:4" x14ac:dyDescent="0.45">
      <c r="A18">
        <v>16</v>
      </c>
      <c r="B18" t="s">
        <v>81</v>
      </c>
      <c r="C18" t="s">
        <v>279</v>
      </c>
      <c r="D18" t="s">
        <v>82</v>
      </c>
    </row>
    <row r="19" spans="1:4" x14ac:dyDescent="0.45">
      <c r="A19">
        <v>17</v>
      </c>
      <c r="B19" t="s">
        <v>84</v>
      </c>
      <c r="C19" t="s">
        <v>279</v>
      </c>
      <c r="D19" t="s">
        <v>85</v>
      </c>
    </row>
    <row r="20" spans="1:4" x14ac:dyDescent="0.45">
      <c r="A20">
        <v>18</v>
      </c>
      <c r="B20" t="s">
        <v>87</v>
      </c>
      <c r="C20" t="s">
        <v>279</v>
      </c>
      <c r="D20" t="s">
        <v>88</v>
      </c>
    </row>
    <row r="21" spans="1:4" x14ac:dyDescent="0.45">
      <c r="A21">
        <v>19</v>
      </c>
      <c r="B21" t="s">
        <v>90</v>
      </c>
      <c r="C21" t="s">
        <v>279</v>
      </c>
      <c r="D21" t="s">
        <v>91</v>
      </c>
    </row>
    <row r="22" spans="1:4" x14ac:dyDescent="0.45">
      <c r="A22">
        <v>20</v>
      </c>
      <c r="B22" t="s">
        <v>93</v>
      </c>
      <c r="C22" t="s">
        <v>89</v>
      </c>
      <c r="D22" t="s">
        <v>94</v>
      </c>
    </row>
    <row r="23" spans="1:4" x14ac:dyDescent="0.45">
      <c r="A23">
        <v>21</v>
      </c>
      <c r="B23" t="s">
        <v>95</v>
      </c>
      <c r="C23" t="s">
        <v>89</v>
      </c>
      <c r="D23" t="s">
        <v>96</v>
      </c>
    </row>
    <row r="24" spans="1:4" x14ac:dyDescent="0.45">
      <c r="A24">
        <v>22</v>
      </c>
      <c r="B24" t="s">
        <v>97</v>
      </c>
      <c r="C24" t="s">
        <v>89</v>
      </c>
      <c r="D24" t="s">
        <v>98</v>
      </c>
    </row>
    <row r="25" spans="1:4" x14ac:dyDescent="0.45">
      <c r="A25">
        <v>23</v>
      </c>
      <c r="B25" t="s">
        <v>99</v>
      </c>
      <c r="C25" t="s">
        <v>89</v>
      </c>
      <c r="D25" t="s">
        <v>100</v>
      </c>
    </row>
    <row r="26" spans="1:4" x14ac:dyDescent="0.45">
      <c r="A26">
        <v>24</v>
      </c>
      <c r="B26" t="s">
        <v>101</v>
      </c>
      <c r="C26" t="s">
        <v>89</v>
      </c>
      <c r="D26" t="s">
        <v>102</v>
      </c>
    </row>
    <row r="27" spans="1:4" x14ac:dyDescent="0.45">
      <c r="A27">
        <v>25</v>
      </c>
      <c r="B27" t="s">
        <v>104</v>
      </c>
      <c r="C27" t="s">
        <v>89</v>
      </c>
      <c r="D27" t="s">
        <v>105</v>
      </c>
    </row>
    <row r="28" spans="1:4" x14ac:dyDescent="0.45">
      <c r="A28">
        <v>26</v>
      </c>
      <c r="B28" t="s">
        <v>106</v>
      </c>
      <c r="C28" t="s">
        <v>103</v>
      </c>
      <c r="D28" t="s">
        <v>94</v>
      </c>
    </row>
    <row r="29" spans="1:4" x14ac:dyDescent="0.45">
      <c r="A29">
        <v>27</v>
      </c>
      <c r="B29" t="s">
        <v>107</v>
      </c>
      <c r="C29" t="s">
        <v>103</v>
      </c>
      <c r="D29" t="s">
        <v>96</v>
      </c>
    </row>
    <row r="30" spans="1:4" x14ac:dyDescent="0.45">
      <c r="A30">
        <v>28</v>
      </c>
      <c r="B30" t="s">
        <v>109</v>
      </c>
      <c r="C30" t="s">
        <v>103</v>
      </c>
      <c r="D30" t="s">
        <v>98</v>
      </c>
    </row>
    <row r="31" spans="1:4" x14ac:dyDescent="0.45">
      <c r="A31">
        <v>29</v>
      </c>
      <c r="B31" t="s">
        <v>110</v>
      </c>
      <c r="C31" t="s">
        <v>103</v>
      </c>
      <c r="D31" t="s">
        <v>100</v>
      </c>
    </row>
    <row r="32" spans="1:4" x14ac:dyDescent="0.45">
      <c r="A32">
        <v>30</v>
      </c>
      <c r="B32" t="s">
        <v>111</v>
      </c>
      <c r="C32" t="s">
        <v>103</v>
      </c>
      <c r="D32" t="s">
        <v>112</v>
      </c>
    </row>
    <row r="33" spans="1:4" x14ac:dyDescent="0.45">
      <c r="A33">
        <v>31</v>
      </c>
      <c r="B33" t="s">
        <v>113</v>
      </c>
      <c r="C33" t="s">
        <v>103</v>
      </c>
      <c r="D33" t="s">
        <v>114</v>
      </c>
    </row>
    <row r="34" spans="1:4" x14ac:dyDescent="0.45">
      <c r="A34">
        <v>32</v>
      </c>
      <c r="B34" t="s">
        <v>115</v>
      </c>
      <c r="C34" t="s">
        <v>103</v>
      </c>
      <c r="D34" t="s">
        <v>116</v>
      </c>
    </row>
    <row r="35" spans="1:4" x14ac:dyDescent="0.45">
      <c r="A35">
        <v>33</v>
      </c>
      <c r="B35" t="s">
        <v>117</v>
      </c>
      <c r="C35" t="s">
        <v>103</v>
      </c>
      <c r="D35" t="s">
        <v>118</v>
      </c>
    </row>
    <row r="36" spans="1:4" x14ac:dyDescent="0.45">
      <c r="A36">
        <v>34</v>
      </c>
      <c r="B36" t="s">
        <v>119</v>
      </c>
      <c r="C36" t="s">
        <v>103</v>
      </c>
      <c r="D36" t="s">
        <v>120</v>
      </c>
    </row>
    <row r="37" spans="1:4" x14ac:dyDescent="0.45">
      <c r="A37">
        <v>35</v>
      </c>
      <c r="B37" t="s">
        <v>122</v>
      </c>
      <c r="C37" t="s">
        <v>103</v>
      </c>
      <c r="D37" t="s">
        <v>123</v>
      </c>
    </row>
    <row r="38" spans="1:4" x14ac:dyDescent="0.45">
      <c r="A38">
        <v>36</v>
      </c>
      <c r="B38" t="s">
        <v>124</v>
      </c>
      <c r="C38" t="s">
        <v>121</v>
      </c>
      <c r="D38" t="s">
        <v>94</v>
      </c>
    </row>
    <row r="39" spans="1:4" x14ac:dyDescent="0.45">
      <c r="A39">
        <v>37</v>
      </c>
      <c r="B39" t="s">
        <v>125</v>
      </c>
      <c r="C39" t="s">
        <v>121</v>
      </c>
      <c r="D39" t="s">
        <v>96</v>
      </c>
    </row>
    <row r="40" spans="1:4" x14ac:dyDescent="0.45">
      <c r="A40">
        <v>38</v>
      </c>
      <c r="B40" t="s">
        <v>127</v>
      </c>
      <c r="C40" t="s">
        <v>121</v>
      </c>
      <c r="D40" t="s">
        <v>98</v>
      </c>
    </row>
    <row r="41" spans="1:4" x14ac:dyDescent="0.45">
      <c r="A41">
        <v>39</v>
      </c>
      <c r="B41" t="s">
        <v>128</v>
      </c>
      <c r="C41" t="s">
        <v>121</v>
      </c>
      <c r="D41" t="s">
        <v>100</v>
      </c>
    </row>
    <row r="42" spans="1:4" x14ac:dyDescent="0.45">
      <c r="A42">
        <v>40</v>
      </c>
      <c r="B42" t="s">
        <v>129</v>
      </c>
      <c r="C42" t="s">
        <v>121</v>
      </c>
      <c r="D42" t="s">
        <v>112</v>
      </c>
    </row>
    <row r="43" spans="1:4" x14ac:dyDescent="0.45">
      <c r="A43">
        <v>41</v>
      </c>
      <c r="B43" t="s">
        <v>130</v>
      </c>
      <c r="C43" t="s">
        <v>121</v>
      </c>
      <c r="D43" t="s">
        <v>114</v>
      </c>
    </row>
    <row r="44" spans="1:4" x14ac:dyDescent="0.45">
      <c r="A44">
        <v>42</v>
      </c>
      <c r="B44" t="s">
        <v>132</v>
      </c>
      <c r="C44" t="s">
        <v>121</v>
      </c>
      <c r="D44" t="s">
        <v>133</v>
      </c>
    </row>
    <row r="45" spans="1:4" x14ac:dyDescent="0.45">
      <c r="A45">
        <v>43</v>
      </c>
      <c r="B45" t="s">
        <v>134</v>
      </c>
      <c r="C45" t="s">
        <v>131</v>
      </c>
      <c r="D45" t="s">
        <v>94</v>
      </c>
    </row>
    <row r="46" spans="1:4" x14ac:dyDescent="0.45">
      <c r="A46">
        <v>44</v>
      </c>
      <c r="B46" t="s">
        <v>135</v>
      </c>
      <c r="C46" t="s">
        <v>131</v>
      </c>
      <c r="D46" t="s">
        <v>136</v>
      </c>
    </row>
    <row r="47" spans="1:4" x14ac:dyDescent="0.45">
      <c r="A47">
        <v>45</v>
      </c>
      <c r="B47" t="s">
        <v>137</v>
      </c>
      <c r="C47" t="s">
        <v>131</v>
      </c>
      <c r="D47" t="s">
        <v>138</v>
      </c>
    </row>
    <row r="48" spans="1:4" x14ac:dyDescent="0.45">
      <c r="A48">
        <v>46</v>
      </c>
      <c r="B48" t="s">
        <v>139</v>
      </c>
      <c r="C48" t="s">
        <v>131</v>
      </c>
      <c r="D48" t="s">
        <v>140</v>
      </c>
    </row>
    <row r="49" spans="1:4" x14ac:dyDescent="0.45">
      <c r="A49">
        <v>47</v>
      </c>
      <c r="B49" t="s">
        <v>141</v>
      </c>
      <c r="C49" t="s">
        <v>131</v>
      </c>
      <c r="D49" t="s">
        <v>142</v>
      </c>
    </row>
    <row r="50" spans="1:4" x14ac:dyDescent="0.45">
      <c r="A50">
        <v>48</v>
      </c>
      <c r="B50" t="s">
        <v>144</v>
      </c>
      <c r="C50" t="s">
        <v>131</v>
      </c>
      <c r="D50" t="s">
        <v>145</v>
      </c>
    </row>
    <row r="51" spans="1:4" x14ac:dyDescent="0.45">
      <c r="A51">
        <v>49</v>
      </c>
      <c r="B51" t="s">
        <v>146</v>
      </c>
      <c r="C51" t="s">
        <v>143</v>
      </c>
      <c r="D51" t="s">
        <v>94</v>
      </c>
    </row>
    <row r="52" spans="1:4" x14ac:dyDescent="0.45">
      <c r="A52">
        <v>50</v>
      </c>
      <c r="B52" t="s">
        <v>147</v>
      </c>
      <c r="C52" t="s">
        <v>143</v>
      </c>
      <c r="D52" t="s">
        <v>96</v>
      </c>
    </row>
    <row r="53" spans="1:4" x14ac:dyDescent="0.45">
      <c r="A53">
        <v>51</v>
      </c>
      <c r="B53" t="s">
        <v>148</v>
      </c>
      <c r="C53" t="s">
        <v>143</v>
      </c>
      <c r="D53" t="s">
        <v>98</v>
      </c>
    </row>
    <row r="54" spans="1:4" x14ac:dyDescent="0.45">
      <c r="A54">
        <v>52</v>
      </c>
      <c r="B54" t="s">
        <v>149</v>
      </c>
      <c r="C54" t="s">
        <v>143</v>
      </c>
      <c r="D54" t="s">
        <v>100</v>
      </c>
    </row>
    <row r="55" spans="1:4" x14ac:dyDescent="0.45">
      <c r="A55">
        <v>53</v>
      </c>
      <c r="B55" t="s">
        <v>150</v>
      </c>
      <c r="C55" t="s">
        <v>143</v>
      </c>
      <c r="D55" t="s">
        <v>112</v>
      </c>
    </row>
    <row r="56" spans="1:4" x14ac:dyDescent="0.45">
      <c r="A56">
        <v>54</v>
      </c>
      <c r="B56" t="s">
        <v>151</v>
      </c>
      <c r="C56" t="s">
        <v>143</v>
      </c>
      <c r="D56" t="s">
        <v>152</v>
      </c>
    </row>
    <row r="57" spans="1:4" x14ac:dyDescent="0.45">
      <c r="A57">
        <v>55</v>
      </c>
      <c r="B57" t="s">
        <v>153</v>
      </c>
      <c r="C57" t="s">
        <v>143</v>
      </c>
      <c r="D57" t="s">
        <v>116</v>
      </c>
    </row>
    <row r="58" spans="1:4" x14ac:dyDescent="0.45">
      <c r="A58">
        <v>56</v>
      </c>
      <c r="B58" t="s">
        <v>154</v>
      </c>
      <c r="C58" t="s">
        <v>143</v>
      </c>
      <c r="D58" t="s">
        <v>120</v>
      </c>
    </row>
    <row r="59" spans="1:4" x14ac:dyDescent="0.45">
      <c r="A59">
        <v>57</v>
      </c>
      <c r="B59" t="s">
        <v>155</v>
      </c>
      <c r="C59" t="s">
        <v>143</v>
      </c>
      <c r="D59" t="s">
        <v>123</v>
      </c>
    </row>
    <row r="60" spans="1:4" x14ac:dyDescent="0.45">
      <c r="A60">
        <v>118</v>
      </c>
      <c r="B60" t="s">
        <v>280</v>
      </c>
    </row>
    <row r="61" spans="1:4" x14ac:dyDescent="0.45">
      <c r="A61">
        <v>70</v>
      </c>
      <c r="B61" t="s">
        <v>156</v>
      </c>
      <c r="C61" t="s">
        <v>89</v>
      </c>
    </row>
    <row r="62" spans="1:4" x14ac:dyDescent="0.45">
      <c r="A62">
        <v>71</v>
      </c>
      <c r="B62" t="s">
        <v>157</v>
      </c>
      <c r="C62" t="s">
        <v>89</v>
      </c>
      <c r="D62" t="s">
        <v>158</v>
      </c>
    </row>
    <row r="63" spans="1:4" x14ac:dyDescent="0.45">
      <c r="A63">
        <v>72</v>
      </c>
      <c r="B63" t="s">
        <v>159</v>
      </c>
      <c r="C63" t="s">
        <v>89</v>
      </c>
      <c r="D63" t="s">
        <v>160</v>
      </c>
    </row>
    <row r="64" spans="1:4" x14ac:dyDescent="0.45">
      <c r="A64">
        <v>73</v>
      </c>
      <c r="B64" t="s">
        <v>161</v>
      </c>
      <c r="C64" t="s">
        <v>89</v>
      </c>
      <c r="D64" t="s">
        <v>162</v>
      </c>
    </row>
    <row r="65" spans="1:4" x14ac:dyDescent="0.45">
      <c r="A65">
        <v>74</v>
      </c>
      <c r="B65" t="s">
        <v>163</v>
      </c>
      <c r="C65" t="s">
        <v>89</v>
      </c>
      <c r="D65" t="s">
        <v>164</v>
      </c>
    </row>
    <row r="66" spans="1:4" x14ac:dyDescent="0.45">
      <c r="A66">
        <v>75</v>
      </c>
      <c r="B66" t="s">
        <v>165</v>
      </c>
      <c r="C66" t="s">
        <v>89</v>
      </c>
      <c r="D66" t="s">
        <v>166</v>
      </c>
    </row>
    <row r="67" spans="1:4" x14ac:dyDescent="0.45">
      <c r="A67">
        <v>76</v>
      </c>
      <c r="B67" t="s">
        <v>167</v>
      </c>
      <c r="C67" t="s">
        <v>89</v>
      </c>
      <c r="D67" t="s">
        <v>168</v>
      </c>
    </row>
    <row r="68" spans="1:4" x14ac:dyDescent="0.45">
      <c r="A68">
        <v>77</v>
      </c>
      <c r="B68" t="s">
        <v>169</v>
      </c>
      <c r="C68" t="s">
        <v>89</v>
      </c>
      <c r="D68" t="s">
        <v>170</v>
      </c>
    </row>
    <row r="69" spans="1:4" x14ac:dyDescent="0.45">
      <c r="A69">
        <v>78</v>
      </c>
      <c r="B69" t="s">
        <v>171</v>
      </c>
      <c r="C69" t="s">
        <v>89</v>
      </c>
      <c r="D69" t="s">
        <v>172</v>
      </c>
    </row>
    <row r="70" spans="1:4" x14ac:dyDescent="0.45">
      <c r="A70">
        <v>79</v>
      </c>
      <c r="B70" t="s">
        <v>173</v>
      </c>
      <c r="C70" t="s">
        <v>89</v>
      </c>
      <c r="D70" t="s">
        <v>174</v>
      </c>
    </row>
    <row r="71" spans="1:4" x14ac:dyDescent="0.45">
      <c r="A71">
        <v>80</v>
      </c>
      <c r="B71" t="s">
        <v>175</v>
      </c>
      <c r="C71" t="s">
        <v>89</v>
      </c>
      <c r="D71" t="s">
        <v>176</v>
      </c>
    </row>
    <row r="72" spans="1:4" x14ac:dyDescent="0.45">
      <c r="A72">
        <v>81</v>
      </c>
      <c r="B72" t="s">
        <v>177</v>
      </c>
      <c r="C72" t="s">
        <v>89</v>
      </c>
      <c r="D72" t="s">
        <v>178</v>
      </c>
    </row>
    <row r="73" spans="1:4" x14ac:dyDescent="0.45">
      <c r="A73">
        <v>82</v>
      </c>
      <c r="B73" t="s">
        <v>179</v>
      </c>
      <c r="C73" t="s">
        <v>89</v>
      </c>
      <c r="D73" t="s">
        <v>178</v>
      </c>
    </row>
    <row r="74" spans="1:4" x14ac:dyDescent="0.45">
      <c r="A74">
        <v>83</v>
      </c>
      <c r="B74" t="s">
        <v>180</v>
      </c>
      <c r="C74" t="s">
        <v>89</v>
      </c>
      <c r="D74" t="s">
        <v>181</v>
      </c>
    </row>
    <row r="75" spans="1:4" x14ac:dyDescent="0.45">
      <c r="A75">
        <v>84</v>
      </c>
      <c r="B75" t="s">
        <v>182</v>
      </c>
      <c r="C75" t="s">
        <v>89</v>
      </c>
      <c r="D75" t="s">
        <v>183</v>
      </c>
    </row>
    <row r="76" spans="1:4" x14ac:dyDescent="0.45">
      <c r="A76">
        <v>85</v>
      </c>
      <c r="B76" t="s">
        <v>184</v>
      </c>
      <c r="C76" t="s">
        <v>89</v>
      </c>
      <c r="D76" t="s">
        <v>185</v>
      </c>
    </row>
    <row r="77" spans="1:4" x14ac:dyDescent="0.45">
      <c r="A77">
        <v>86</v>
      </c>
      <c r="B77" t="s">
        <v>186</v>
      </c>
      <c r="C77" t="s">
        <v>89</v>
      </c>
      <c r="D77" t="s">
        <v>187</v>
      </c>
    </row>
    <row r="78" spans="1:4" x14ac:dyDescent="0.45">
      <c r="A78">
        <v>87</v>
      </c>
      <c r="B78" t="s">
        <v>188</v>
      </c>
      <c r="C78" t="s">
        <v>89</v>
      </c>
      <c r="D78" t="s">
        <v>189</v>
      </c>
    </row>
    <row r="79" spans="1:4" x14ac:dyDescent="0.45">
      <c r="A79">
        <v>88</v>
      </c>
      <c r="B79" t="s">
        <v>190</v>
      </c>
      <c r="C79" t="s">
        <v>89</v>
      </c>
      <c r="D79" t="s">
        <v>191</v>
      </c>
    </row>
    <row r="80" spans="1:4" x14ac:dyDescent="0.45">
      <c r="A80">
        <v>89</v>
      </c>
      <c r="B80" t="s">
        <v>192</v>
      </c>
      <c r="C80" t="s">
        <v>103</v>
      </c>
      <c r="D80" t="s">
        <v>193</v>
      </c>
    </row>
    <row r="81" spans="1:4" x14ac:dyDescent="0.45">
      <c r="A81">
        <v>90</v>
      </c>
      <c r="B81" t="s">
        <v>194</v>
      </c>
      <c r="C81" t="s">
        <v>103</v>
      </c>
      <c r="D81" t="s">
        <v>195</v>
      </c>
    </row>
    <row r="82" spans="1:4" x14ac:dyDescent="0.45">
      <c r="A82">
        <v>91</v>
      </c>
      <c r="B82" t="s">
        <v>196</v>
      </c>
      <c r="C82" t="s">
        <v>103</v>
      </c>
      <c r="D82" t="s">
        <v>197</v>
      </c>
    </row>
    <row r="83" spans="1:4" x14ac:dyDescent="0.45">
      <c r="A83">
        <v>92</v>
      </c>
      <c r="B83" t="s">
        <v>198</v>
      </c>
      <c r="C83" t="s">
        <v>103</v>
      </c>
      <c r="D83" t="s">
        <v>199</v>
      </c>
    </row>
    <row r="84" spans="1:4" x14ac:dyDescent="0.45">
      <c r="A84">
        <v>93</v>
      </c>
      <c r="B84" t="s">
        <v>200</v>
      </c>
      <c r="C84" t="s">
        <v>103</v>
      </c>
      <c r="D84" t="s">
        <v>201</v>
      </c>
    </row>
    <row r="85" spans="1:4" x14ac:dyDescent="0.45">
      <c r="A85">
        <v>94</v>
      </c>
      <c r="B85" t="s">
        <v>202</v>
      </c>
      <c r="C85" t="s">
        <v>103</v>
      </c>
      <c r="D85" t="s">
        <v>203</v>
      </c>
    </row>
    <row r="86" spans="1:4" x14ac:dyDescent="0.45">
      <c r="A86">
        <v>95</v>
      </c>
      <c r="B86" t="s">
        <v>204</v>
      </c>
      <c r="C86" t="s">
        <v>103</v>
      </c>
      <c r="D86" t="s">
        <v>205</v>
      </c>
    </row>
    <row r="87" spans="1:4" x14ac:dyDescent="0.45">
      <c r="A87">
        <v>96</v>
      </c>
      <c r="B87" t="s">
        <v>206</v>
      </c>
      <c r="C87" t="s">
        <v>103</v>
      </c>
      <c r="D87" t="s">
        <v>207</v>
      </c>
    </row>
    <row r="88" spans="1:4" x14ac:dyDescent="0.45">
      <c r="A88">
        <v>97</v>
      </c>
      <c r="B88" t="s">
        <v>208</v>
      </c>
      <c r="C88" t="s">
        <v>103</v>
      </c>
      <c r="D88" t="s">
        <v>209</v>
      </c>
    </row>
    <row r="89" spans="1:4" x14ac:dyDescent="0.45">
      <c r="A89">
        <v>98</v>
      </c>
      <c r="B89" t="s">
        <v>210</v>
      </c>
      <c r="C89" t="s">
        <v>121</v>
      </c>
      <c r="D89" t="s">
        <v>195</v>
      </c>
    </row>
    <row r="90" spans="1:4" x14ac:dyDescent="0.45">
      <c r="A90">
        <v>99</v>
      </c>
      <c r="B90" t="s">
        <v>211</v>
      </c>
      <c r="C90" t="s">
        <v>121</v>
      </c>
      <c r="D90" t="s">
        <v>197</v>
      </c>
    </row>
    <row r="91" spans="1:4" x14ac:dyDescent="0.45">
      <c r="A91">
        <v>100</v>
      </c>
      <c r="B91" t="s">
        <v>212</v>
      </c>
      <c r="C91" t="s">
        <v>121</v>
      </c>
      <c r="D91" t="s">
        <v>199</v>
      </c>
    </row>
    <row r="92" spans="1:4" x14ac:dyDescent="0.45">
      <c r="A92">
        <v>101</v>
      </c>
      <c r="B92" t="s">
        <v>213</v>
      </c>
      <c r="C92" t="s">
        <v>121</v>
      </c>
      <c r="D92" t="s">
        <v>201</v>
      </c>
    </row>
    <row r="93" spans="1:4" x14ac:dyDescent="0.45">
      <c r="A93">
        <v>102</v>
      </c>
      <c r="B93" t="s">
        <v>214</v>
      </c>
      <c r="C93" t="s">
        <v>131</v>
      </c>
      <c r="D93" t="s">
        <v>195</v>
      </c>
    </row>
    <row r="94" spans="1:4" x14ac:dyDescent="0.45">
      <c r="A94">
        <v>103</v>
      </c>
      <c r="B94" t="s">
        <v>215</v>
      </c>
      <c r="C94" t="s">
        <v>131</v>
      </c>
      <c r="D94" t="s">
        <v>197</v>
      </c>
    </row>
    <row r="95" spans="1:4" x14ac:dyDescent="0.45">
      <c r="A95">
        <v>104</v>
      </c>
      <c r="B95" t="s">
        <v>216</v>
      </c>
      <c r="C95" t="s">
        <v>131</v>
      </c>
      <c r="D95" t="s">
        <v>199</v>
      </c>
    </row>
    <row r="96" spans="1:4" x14ac:dyDescent="0.45">
      <c r="A96">
        <v>105</v>
      </c>
      <c r="B96" t="s">
        <v>217</v>
      </c>
      <c r="C96" t="s">
        <v>131</v>
      </c>
      <c r="D96" t="s">
        <v>201</v>
      </c>
    </row>
    <row r="97" spans="1:4" x14ac:dyDescent="0.45">
      <c r="A97">
        <v>106</v>
      </c>
      <c r="B97" t="s">
        <v>218</v>
      </c>
      <c r="C97" t="s">
        <v>143</v>
      </c>
      <c r="D97" t="s">
        <v>195</v>
      </c>
    </row>
    <row r="98" spans="1:4" x14ac:dyDescent="0.45">
      <c r="A98">
        <v>107</v>
      </c>
      <c r="B98" t="s">
        <v>219</v>
      </c>
      <c r="C98" t="s">
        <v>143</v>
      </c>
      <c r="D98" t="s">
        <v>220</v>
      </c>
    </row>
    <row r="99" spans="1:4" x14ac:dyDescent="0.45">
      <c r="A99">
        <v>108</v>
      </c>
      <c r="B99" t="s">
        <v>221</v>
      </c>
      <c r="C99" t="s">
        <v>143</v>
      </c>
      <c r="D99" t="s">
        <v>197</v>
      </c>
    </row>
    <row r="100" spans="1:4" x14ac:dyDescent="0.45">
      <c r="A100">
        <v>109</v>
      </c>
      <c r="B100" t="s">
        <v>222</v>
      </c>
      <c r="C100" t="s">
        <v>143</v>
      </c>
      <c r="D100" t="s">
        <v>199</v>
      </c>
    </row>
    <row r="101" spans="1:4" x14ac:dyDescent="0.45">
      <c r="A101">
        <v>110</v>
      </c>
      <c r="B101" t="s">
        <v>223</v>
      </c>
      <c r="C101" t="s">
        <v>143</v>
      </c>
      <c r="D101" t="s">
        <v>201</v>
      </c>
    </row>
    <row r="102" spans="1:4" x14ac:dyDescent="0.45">
      <c r="A102">
        <v>111</v>
      </c>
      <c r="B102" t="s">
        <v>224</v>
      </c>
      <c r="C102" t="s">
        <v>143</v>
      </c>
      <c r="D102" t="s">
        <v>207</v>
      </c>
    </row>
    <row r="103" spans="1:4" x14ac:dyDescent="0.45">
      <c r="A103">
        <v>112</v>
      </c>
      <c r="B103" t="s">
        <v>225</v>
      </c>
      <c r="C103" t="s">
        <v>143</v>
      </c>
      <c r="D103" t="s">
        <v>226</v>
      </c>
    </row>
    <row r="104" spans="1:4" x14ac:dyDescent="0.45">
      <c r="A104">
        <v>113</v>
      </c>
      <c r="B104" t="s">
        <v>227</v>
      </c>
      <c r="C104" t="s">
        <v>143</v>
      </c>
      <c r="D104" t="s">
        <v>209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sqref="A1:O1048576"/>
    </sheetView>
  </sheetViews>
  <sheetFormatPr defaultRowHeight="14.25" x14ac:dyDescent="0.45"/>
  <sheetData>
    <row r="1" spans="1:11" x14ac:dyDescent="0.4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4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4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4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4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45">
      <c r="A8" t="s">
        <v>233</v>
      </c>
      <c r="B8" t="s">
        <v>234</v>
      </c>
      <c r="C8" t="s">
        <v>235</v>
      </c>
      <c r="D8" t="s">
        <v>282</v>
      </c>
    </row>
    <row r="9" spans="1:11" x14ac:dyDescent="0.4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45">
      <c r="A10" t="s">
        <v>241</v>
      </c>
    </row>
    <row r="11" spans="1:11" x14ac:dyDescent="0.4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4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4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4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4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4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4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4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4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4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4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4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4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4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4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4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4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4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4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4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4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4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4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4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4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4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4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4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4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4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4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4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4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4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4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4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4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4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4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4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4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4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4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4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topLeftCell="F1" workbookViewId="0">
      <selection activeCell="T18" sqref="T18"/>
    </sheetView>
  </sheetViews>
  <sheetFormatPr defaultColWidth="9.1328125" defaultRowHeight="14.25" x14ac:dyDescent="0.45"/>
  <cols>
    <col min="1" max="2" style="296" width="9.1328125" collapsed="true"/>
    <col min="3" max="3" bestFit="true" customWidth="true" style="296" width="12.73046875" collapsed="true"/>
    <col min="4" max="4" customWidth="true" style="295" width="18.86328125" collapsed="true"/>
    <col min="5" max="5" customWidth="true" style="296" width="6.73046875" collapsed="true"/>
    <col min="6" max="6" customWidth="true" style="296" width="12.73046875" collapsed="true"/>
    <col min="7" max="8" customWidth="true" style="295" width="18.86328125" collapsed="true"/>
    <col min="9" max="9" customWidth="true" style="295" width="6.59765625" collapsed="true"/>
    <col min="10" max="10" customWidth="true" style="295" width="10.1328125" collapsed="true"/>
    <col min="11" max="11" customWidth="true" style="295" width="9.86328125" collapsed="true"/>
    <col min="12" max="14" style="296" width="9.1328125" collapsed="true"/>
    <col min="15" max="15" customWidth="true" style="296" width="13.0" collapsed="true"/>
    <col min="16" max="16" customWidth="true" style="298" width="19.59765625" collapsed="true"/>
    <col min="17" max="17" customWidth="true" style="334" width="19.59765625" collapsed="true"/>
    <col min="18" max="18" style="296" width="9.1328125" collapsed="true"/>
    <col min="19" max="19" customWidth="true" style="296" width="9.1328125" collapsed="true"/>
    <col min="20" max="16384" style="296" width="9.1328125" collapsed="true"/>
  </cols>
  <sheetData>
    <row r="1" spans="3:24" x14ac:dyDescent="0.4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r="2" spans="3:24" ht="14.65" thickBot="1" x14ac:dyDescent="0.5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4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45">
      <c r="C4" s="302" t="s">
        <v>48</v>
      </c>
      <c r="D4" s="303">
        <f>TLFD!B11</f>
        <v>6813.2459325225</v>
      </c>
      <c r="F4" s="302" t="s">
        <v>48</v>
      </c>
      <c r="G4" s="303">
        <f>TLFD!F11</f>
        <v>14253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45">
      <c r="C5" s="305" t="s">
        <v>51</v>
      </c>
      <c r="D5" s="306">
        <f>TLFD!B12+TLFD!B13+(TLFD!B14/2)</f>
        <v>27076.925800696299</v>
      </c>
      <c r="F5" s="305" t="s">
        <v>51</v>
      </c>
      <c r="G5" s="306">
        <f>TLFD!F12+TLFD!F13+(TLFD!F14/2)</f>
        <v>25012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t="shared" ref="Q5:Q68" si="0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45">
      <c r="C6" s="305" t="s">
        <v>54</v>
      </c>
      <c r="D6" s="306">
        <f>(TLFD!B14/2)+SUM(TLFD!B15:B20)</f>
        <v>22253.901112610998</v>
      </c>
      <c r="F6" s="305" t="s">
        <v>54</v>
      </c>
      <c r="G6" s="306">
        <f>(TLFD!F14/2)+SUM(TLFD!F15:F20)</f>
        <v>24104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t="shared" si="0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45">
      <c r="C7" s="308" t="s">
        <v>57</v>
      </c>
      <c r="D7" s="309">
        <f>SUM(TLFD!B21:B101)</f>
        <v>4061.3152652682006</v>
      </c>
      <c r="F7" s="308" t="s">
        <v>57</v>
      </c>
      <c r="G7" s="309">
        <f>SUM(TLFD!F21:F101)</f>
        <v>3272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t="shared" si="0"/>
        <v>-0.34490013167299999</v>
      </c>
      <c r="T7" s="321">
        <v>5</v>
      </c>
      <c r="U7" s="321" t="s">
        <v>270</v>
      </c>
      <c r="V7" s="321"/>
      <c r="W7" s="321"/>
      <c r="X7" s="321"/>
    </row>
    <row r="8" spans="3:24" ht="14.65" thickBot="1" x14ac:dyDescent="0.5">
      <c r="C8" s="311" t="s">
        <v>4</v>
      </c>
      <c r="D8" s="312">
        <f>SUM(D4:D7)</f>
        <v>60205.388111098</v>
      </c>
      <c r="E8" s="313"/>
      <c r="F8" s="311" t="s">
        <v>4</v>
      </c>
      <c r="G8" s="312">
        <f>SUM(G4:G7)</f>
        <v>66641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t="shared" si="0"/>
        <v>-8.2865473150899996E-2</v>
      </c>
      <c r="T8" s="321"/>
      <c r="U8" s="321"/>
      <c r="V8" s="321"/>
      <c r="W8" s="321"/>
      <c r="X8" s="321"/>
    </row>
    <row r="9" spans="3:24" x14ac:dyDescent="0.4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t="shared" si="0"/>
        <v>-3.9895313632499998</v>
      </c>
      <c r="T9" s="321"/>
      <c r="U9" s="365" t="s">
        <v>271</v>
      </c>
      <c r="V9" s="321"/>
      <c r="W9" s="321"/>
      <c r="X9" s="321"/>
    </row>
    <row r="10" spans="3:24" ht="14.65" thickBot="1" x14ac:dyDescent="0.5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t="shared" si="0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4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t="shared" si="0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45">
      <c r="C12" s="302" t="s">
        <v>48</v>
      </c>
      <c r="D12" s="316">
        <f>D4/D$8</f>
        <v>0.1131667139152048</v>
      </c>
      <c r="F12" s="302" t="s">
        <v>48</v>
      </c>
      <c r="G12" s="316">
        <f>G4/G$8</f>
        <v>0.21387734277696913</v>
      </c>
      <c r="H12" s="316"/>
      <c r="I12" s="356">
        <f>D12/G12</f>
        <v>0.52911969283822102</v>
      </c>
      <c r="J12" s="357">
        <f>LN(I12)</f>
        <v>-0.63654061026322228</v>
      </c>
      <c r="K12" s="357">
        <f>K8*J12</f>
        <v>-0.63654061026322228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t="shared" si="0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45">
      <c r="C13" s="305" t="s">
        <v>51</v>
      </c>
      <c r="D13" s="317">
        <f t="shared" ref="D13:D16" si="1">D5/D$8</f>
        <v>0.44974256707274768</v>
      </c>
      <c r="F13" s="305" t="s">
        <v>51</v>
      </c>
      <c r="G13" s="317">
        <f t="shared" ref="G13:G16" si="2">G5/G$8</f>
        <v>0.37532449993247402</v>
      </c>
      <c r="H13" s="317"/>
      <c r="I13" s="356">
        <f t="shared" ref="I13:I15" si="3">D13/G13</f>
        <v>1.1982766037220125</v>
      </c>
      <c r="J13" s="357">
        <f t="shared" ref="J13:J15" si="4">LN(I13)</f>
        <v>0.18088436095761362</v>
      </c>
      <c r="K13" s="357">
        <f>K8*(J13-J12)</f>
        <v>0.81742497122083591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t="shared" si="0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45">
      <c r="C14" s="305" t="s">
        <v>54</v>
      </c>
      <c r="D14" s="317">
        <f t="shared" si="1"/>
        <v>0.36963304798476682</v>
      </c>
      <c r="F14" s="305" t="s">
        <v>54</v>
      </c>
      <c r="G14" s="317">
        <f t="shared" si="2"/>
        <v>0.36169925421287197</v>
      </c>
      <c r="H14" s="317"/>
      <c r="I14" s="356">
        <f t="shared" si="3"/>
        <v>1.0219347805655843</v>
      </c>
      <c r="J14" s="357">
        <f t="shared" si="4"/>
        <v>2.1697674251660002E-2</v>
      </c>
      <c r="K14" s="357">
        <f>K8*(J14-J13-J12)</f>
        <v>0.47735392355726869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t="shared" si="0"/>
        <v>-0.80534348065299999</v>
      </c>
      <c r="T14" s="321">
        <v>5</v>
      </c>
      <c r="U14" s="294" t="s">
        <v>275</v>
      </c>
      <c r="V14" s="321"/>
      <c r="W14" s="321"/>
      <c r="X14" s="321"/>
    </row>
    <row r="15" spans="3:24" ht="14.65" thickBot="1" x14ac:dyDescent="0.5">
      <c r="C15" s="308" t="s">
        <v>57</v>
      </c>
      <c r="D15" s="317">
        <f t="shared" si="1"/>
        <v>6.7457671027280619E-2</v>
      </c>
      <c r="F15" s="308" t="s">
        <v>57</v>
      </c>
      <c r="G15" s="317">
        <f t="shared" si="2"/>
        <v>4.9098903077684906E-2</v>
      </c>
      <c r="H15" s="317"/>
      <c r="I15" s="358">
        <f t="shared" si="3"/>
        <v>1.3739140143426063</v>
      </c>
      <c r="J15" s="359">
        <f t="shared" si="4"/>
        <v>0.31766361130523746</v>
      </c>
      <c r="K15" s="359">
        <f>K8*(J15-J14-J13-J12)</f>
        <v>0.7516221863591861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t="shared" si="0"/>
        <v>-0.51977799879300002</v>
      </c>
      <c r="T15" s="321">
        <v>6</v>
      </c>
      <c r="U15" s="321" t="s">
        <v>276</v>
      </c>
      <c r="V15" s="321"/>
      <c r="W15" s="321"/>
      <c r="X15" s="321"/>
    </row>
    <row r="16" spans="3:24" ht="14.65" thickBot="1" x14ac:dyDescent="0.5">
      <c r="C16" s="311" t="s">
        <v>4</v>
      </c>
      <c r="D16" s="319">
        <f t="shared" si="1"/>
        <v>1</v>
      </c>
      <c r="E16" s="313"/>
      <c r="F16" s="311" t="s">
        <v>4</v>
      </c>
      <c r="G16" s="319">
        <f t="shared" si="2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t="shared" si="0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4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t="shared" si="0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4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t="shared" si="0"/>
        <v>-0.493022087256</v>
      </c>
    </row>
    <row r="19" spans="2:24" x14ac:dyDescent="0.4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t="shared" si="0"/>
        <v>0</v>
      </c>
    </row>
    <row r="20" spans="2:24" x14ac:dyDescent="0.4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t="shared" si="0"/>
        <v>0</v>
      </c>
    </row>
    <row r="21" spans="2:24" ht="14.65" thickBot="1" x14ac:dyDescent="0.5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t="shared" si="0"/>
        <v>0</v>
      </c>
    </row>
    <row r="22" spans="2:24" x14ac:dyDescent="0.4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t="shared" si="0"/>
        <v>0.63771148688699997</v>
      </c>
    </row>
    <row r="23" spans="2:24" x14ac:dyDescent="0.4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t="shared" si="0"/>
        <v>-12.0946718381</v>
      </c>
    </row>
    <row r="24" spans="2:24" x14ac:dyDescent="0.45">
      <c r="B24" s="346">
        <v>38</v>
      </c>
      <c r="C24" s="305" t="s">
        <v>51</v>
      </c>
      <c r="D24" s="376">
        <f t="shared" ref="D24:D26" si="5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t="shared" si="0"/>
        <v>-4.03623745316</v>
      </c>
    </row>
    <row r="25" spans="2:24" x14ac:dyDescent="0.45">
      <c r="B25" s="346">
        <v>39</v>
      </c>
      <c r="C25" s="305" t="s">
        <v>54</v>
      </c>
      <c r="D25" s="376">
        <f t="shared" si="5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t="shared" si="0"/>
        <v>-2.16371815818</v>
      </c>
    </row>
    <row r="26" spans="2:24" ht="14.65" thickBot="1" x14ac:dyDescent="0.5">
      <c r="B26" s="347">
        <v>40</v>
      </c>
      <c r="C26" s="325" t="s">
        <v>57</v>
      </c>
      <c r="D26" s="377">
        <f t="shared" si="5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t="shared" si="0"/>
        <v>0.10429329553199999</v>
      </c>
    </row>
    <row r="27" spans="2:24" x14ac:dyDescent="0.4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t="shared" si="0"/>
        <v>0</v>
      </c>
    </row>
    <row r="28" spans="2:24" x14ac:dyDescent="0.4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t="shared" si="0"/>
        <v>0.417326479157</v>
      </c>
    </row>
    <row r="29" spans="2:24" x14ac:dyDescent="0.4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t="shared" si="0"/>
        <v>-14.8384910501</v>
      </c>
    </row>
    <row r="30" spans="2:24" x14ac:dyDescent="0.4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t="shared" si="0"/>
        <v>-5.1880432348000003</v>
      </c>
    </row>
    <row r="31" spans="2:24" ht="14.65" thickBot="1" x14ac:dyDescent="0.5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t="shared" si="0"/>
        <v>-2.6156308707</v>
      </c>
    </row>
    <row r="32" spans="2:24" x14ac:dyDescent="0.4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t="shared" si="0"/>
        <v>-0.91046169190000004</v>
      </c>
    </row>
    <row r="33" spans="2:18" x14ac:dyDescent="0.45">
      <c r="B33" s="346">
        <f>B23</f>
        <v>37</v>
      </c>
      <c r="C33" s="302" t="s">
        <v>48</v>
      </c>
      <c r="D33" s="378">
        <f>K12</f>
        <v>-0.63654061026322228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t="shared" si="0"/>
        <v>5.7553461640599997E-2</v>
      </c>
    </row>
    <row r="34" spans="2:18" x14ac:dyDescent="0.45">
      <c r="B34" s="346">
        <f t="shared" ref="B34:B36" si="6">B24</f>
        <v>38</v>
      </c>
      <c r="C34" s="305" t="s">
        <v>51</v>
      </c>
      <c r="D34" s="379">
        <f t="shared" ref="D34:D36" si="7">K13</f>
        <v>0.81742497122083591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t="shared" si="0"/>
        <v>0.237798002151</v>
      </c>
    </row>
    <row r="35" spans="2:18" x14ac:dyDescent="0.45">
      <c r="B35" s="346">
        <f t="shared" si="6"/>
        <v>39</v>
      </c>
      <c r="C35" s="305" t="s">
        <v>54</v>
      </c>
      <c r="D35" s="379">
        <f t="shared" si="7"/>
        <v>0.47735392355726869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t="shared" si="0"/>
        <v>0</v>
      </c>
    </row>
    <row r="36" spans="2:18" ht="14.65" thickBot="1" x14ac:dyDescent="0.5">
      <c r="B36" s="348">
        <f t="shared" si="6"/>
        <v>40</v>
      </c>
      <c r="C36" s="325" t="s">
        <v>57</v>
      </c>
      <c r="D36" s="326">
        <f t="shared" si="7"/>
        <v>0.7516221863591861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t="shared" si="0"/>
        <v>0</v>
      </c>
    </row>
    <row r="37" spans="2:18" ht="14.65" thickTop="1" x14ac:dyDescent="0.4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t="shared" si="0"/>
        <v>0</v>
      </c>
    </row>
    <row r="38" spans="2:18" x14ac:dyDescent="0.4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t="shared" si="0"/>
        <v>0.61259135262599995</v>
      </c>
    </row>
    <row r="39" spans="2:18" x14ac:dyDescent="0.4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t="shared" si="0"/>
        <v>-21.446768998963222</v>
      </c>
      <c r="R39" s="296" t="str">
        <f>VLOOKUP(N39,Coeff_Descr!$A$2:$E$104,4,FALSE)</f>
        <v>distanceFromOrigin4</v>
      </c>
    </row>
    <row r="40" spans="2:18" x14ac:dyDescent="0.4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t="shared" si="0"/>
        <v>-6.3662123760091642</v>
      </c>
      <c r="R40" s="296" t="str">
        <f>VLOOKUP(N40,Coeff_Descr!$A$2:$E$104,4,FALSE)</f>
        <v>distanceFromOrigin8</v>
      </c>
    </row>
    <row r="41" spans="2:18" ht="14.65" thickBot="1" x14ac:dyDescent="0.5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t="shared" si="0"/>
        <v>-3.1827436154927313</v>
      </c>
      <c r="R41" s="296" t="str">
        <f>VLOOKUP(N41,Coeff_Descr!$A$2:$E$104,4,FALSE)</f>
        <v>distanceFromOrigin9</v>
      </c>
    </row>
    <row r="42" spans="2:18" x14ac:dyDescent="0.4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t="shared" si="0"/>
        <v>-0.60892354100081381</v>
      </c>
      <c r="R42" s="296" t="str">
        <f>VLOOKUP(N42,Coeff_Descr!$A$2:$E$104,4,FALSE)</f>
        <v>distanceFromOrigin3</v>
      </c>
    </row>
    <row r="43" spans="2:18" x14ac:dyDescent="0.45">
      <c r="B43" s="346">
        <f>B33</f>
        <v>37</v>
      </c>
      <c r="C43" s="302" t="s">
        <v>48</v>
      </c>
      <c r="D43" s="380">
        <f>D23+D33</f>
        <v>-21.446768998963222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t="shared" si="0"/>
        <v>-0.22141031751900001</v>
      </c>
    </row>
    <row r="44" spans="2:18" x14ac:dyDescent="0.45">
      <c r="B44" s="346">
        <f t="shared" ref="B44:B46" si="8">B34</f>
        <v>38</v>
      </c>
      <c r="C44" s="305" t="s">
        <v>51</v>
      </c>
      <c r="D44" s="380">
        <f t="shared" ref="D44:D46" si="9">D24+D34</f>
        <v>-6.3662123760091642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t="shared" si="0"/>
        <v>0.64228876129599999</v>
      </c>
    </row>
    <row r="45" spans="2:18" x14ac:dyDescent="0.45">
      <c r="B45" s="346">
        <f t="shared" si="8"/>
        <v>39</v>
      </c>
      <c r="C45" s="305" t="s">
        <v>54</v>
      </c>
      <c r="D45" s="380">
        <f t="shared" si="9"/>
        <v>-3.1827436154927313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t="shared" si="0"/>
        <v>0.74588429254199995</v>
      </c>
    </row>
    <row r="46" spans="2:18" ht="14.65" thickBot="1" x14ac:dyDescent="0.5">
      <c r="B46" s="348">
        <f t="shared" si="8"/>
        <v>40</v>
      </c>
      <c r="C46" s="325" t="s">
        <v>57</v>
      </c>
      <c r="D46" s="381">
        <f t="shared" si="9"/>
        <v>-0.60892354100081381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t="shared" si="0"/>
        <v>-32.156094092099998</v>
      </c>
    </row>
    <row r="47" spans="2:18" ht="14.65" thickTop="1" x14ac:dyDescent="0.4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t="shared" si="0"/>
        <v>-7.5551873767200002</v>
      </c>
    </row>
    <row r="48" spans="2:18" x14ac:dyDescent="0.4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t="shared" si="0"/>
        <v>-3.4784098231399998</v>
      </c>
    </row>
    <row r="49" spans="13:17" x14ac:dyDescent="0.4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t="shared" si="0"/>
        <v>-0.79171784712299997</v>
      </c>
    </row>
    <row r="50" spans="13:17" x14ac:dyDescent="0.4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t="shared" si="0"/>
        <v>0.65760260093900003</v>
      </c>
    </row>
    <row r="51" spans="13:17" x14ac:dyDescent="0.4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t="shared" si="0"/>
        <v>0.201576719663</v>
      </c>
    </row>
    <row r="52" spans="13:17" x14ac:dyDescent="0.4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t="shared" si="0"/>
        <v>-28.552058518999999</v>
      </c>
    </row>
    <row r="53" spans="13:17" x14ac:dyDescent="0.4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t="shared" si="0"/>
        <v>-7.25833529236</v>
      </c>
    </row>
    <row r="54" spans="13:17" x14ac:dyDescent="0.4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t="shared" si="0"/>
        <v>-2.64524710889</v>
      </c>
    </row>
    <row r="55" spans="13:17" x14ac:dyDescent="0.4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t="shared" si="0"/>
        <v>-0.76461618005800003</v>
      </c>
    </row>
    <row r="56" spans="13:17" x14ac:dyDescent="0.4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t="shared" si="0"/>
        <v>0.20818008309700001</v>
      </c>
    </row>
    <row r="57" spans="13:17" x14ac:dyDescent="0.4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t="shared" si="0"/>
        <v>0.42522231451499998</v>
      </c>
    </row>
    <row r="58" spans="13:17" x14ac:dyDescent="0.4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t="shared" si="0"/>
        <v>-0.743588483327</v>
      </c>
    </row>
    <row r="59" spans="13:17" x14ac:dyDescent="0.4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t="shared" si="0"/>
        <v>6.2100000000000002E-2</v>
      </c>
    </row>
    <row r="60" spans="13:17" x14ac:dyDescent="0.4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t="shared" si="0"/>
        <v>-3</v>
      </c>
    </row>
    <row r="61" spans="13:17" x14ac:dyDescent="0.4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t="shared" si="0"/>
        <v>0.29394695214400002</v>
      </c>
    </row>
    <row r="62" spans="13:17" x14ac:dyDescent="0.4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t="shared" si="0"/>
        <v>0</v>
      </c>
    </row>
    <row r="63" spans="13:17" x14ac:dyDescent="0.4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t="shared" si="0"/>
        <v>-6.2798471793299999</v>
      </c>
    </row>
    <row r="64" spans="13:17" x14ac:dyDescent="0.4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t="shared" si="0"/>
        <v>3.2962256518299999</v>
      </c>
    </row>
    <row r="65" spans="13:17" x14ac:dyDescent="0.4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t="shared" si="0"/>
        <v>-5.4150639062700003</v>
      </c>
    </row>
    <row r="66" spans="13:17" x14ac:dyDescent="0.4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t="shared" si="0"/>
        <v>-5.94820877094</v>
      </c>
    </row>
    <row r="67" spans="13:17" x14ac:dyDescent="0.4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t="shared" si="0"/>
        <v>-4.8479831726300002</v>
      </c>
    </row>
    <row r="68" spans="13:17" x14ac:dyDescent="0.4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t="shared" si="0"/>
        <v>-5.4883496585599998</v>
      </c>
    </row>
    <row r="69" spans="13:17" x14ac:dyDescent="0.4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t="shared" ref="Q69:Q104" si="10">_xlfn.IFNA(VLOOKUP(N69,$B$43:$D$46,3,FALSE),P69)</f>
        <v>-6.9308352438999998</v>
      </c>
    </row>
    <row r="70" spans="13:17" x14ac:dyDescent="0.4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t="shared" si="10"/>
        <v>-22.404820174200001</v>
      </c>
    </row>
    <row r="71" spans="13:17" x14ac:dyDescent="0.4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t="shared" si="10"/>
        <v>-2.8929233973800002</v>
      </c>
    </row>
    <row r="72" spans="13:17" x14ac:dyDescent="0.4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t="shared" si="10"/>
        <v>-2.5610724948299999</v>
      </c>
    </row>
    <row r="73" spans="13:17" x14ac:dyDescent="0.4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t="shared" si="10"/>
        <v>-6.7871010869299999</v>
      </c>
    </row>
    <row r="74" spans="13:17" x14ac:dyDescent="0.4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t="shared" si="10"/>
        <v>-7.1983706387300002</v>
      </c>
    </row>
    <row r="75" spans="13:17" x14ac:dyDescent="0.4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t="shared" si="10"/>
        <v>-6.5584328775399996</v>
      </c>
    </row>
    <row r="76" spans="13:17" x14ac:dyDescent="0.4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t="shared" si="10"/>
        <v>-7.3832576457999997</v>
      </c>
    </row>
    <row r="77" spans="13:17" x14ac:dyDescent="0.4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t="shared" si="10"/>
        <v>-8.5452246906399996</v>
      </c>
    </row>
    <row r="78" spans="13:17" x14ac:dyDescent="0.4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t="shared" si="10"/>
        <v>-24.633851965200002</v>
      </c>
    </row>
    <row r="79" spans="13:17" x14ac:dyDescent="0.4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t="shared" si="10"/>
        <v>0</v>
      </c>
    </row>
    <row r="80" spans="13:17" x14ac:dyDescent="0.4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t="shared" si="10"/>
        <v>-0.55009338373399996</v>
      </c>
    </row>
    <row r="81" spans="13:17" x14ac:dyDescent="0.4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t="shared" si="10"/>
        <v>-9.9117567037699992</v>
      </c>
    </row>
    <row r="82" spans="13:17" x14ac:dyDescent="0.4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t="shared" si="10"/>
        <v>-9.3194311560499994</v>
      </c>
    </row>
    <row r="83" spans="13:17" x14ac:dyDescent="0.4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t="shared" si="10"/>
        <v>-0.20086270196799999</v>
      </c>
    </row>
    <row r="84" spans="13:17" x14ac:dyDescent="0.4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t="shared" si="10"/>
        <v>-2.1843835309699999</v>
      </c>
    </row>
    <row r="85" spans="13:17" x14ac:dyDescent="0.4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t="shared" si="10"/>
        <v>0</v>
      </c>
    </row>
    <row r="86" spans="13:17" x14ac:dyDescent="0.4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t="shared" si="10"/>
        <v>-9.9476357147400005</v>
      </c>
    </row>
    <row r="87" spans="13:17" x14ac:dyDescent="0.4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t="shared" si="10"/>
        <v>-12.800107987600001</v>
      </c>
    </row>
    <row r="88" spans="13:17" x14ac:dyDescent="0.4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t="shared" si="10"/>
        <v>-30</v>
      </c>
    </row>
    <row r="89" spans="13:17" x14ac:dyDescent="0.4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t="shared" si="10"/>
        <v>-21.699928591700001</v>
      </c>
    </row>
    <row r="90" spans="13:17" x14ac:dyDescent="0.4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t="shared" si="10"/>
        <v>-17.700475093400001</v>
      </c>
    </row>
    <row r="91" spans="13:17" x14ac:dyDescent="0.4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t="shared" si="10"/>
        <v>-0.7</v>
      </c>
    </row>
    <row r="92" spans="13:17" x14ac:dyDescent="0.4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t="shared" si="10"/>
        <v>-17.8758745875</v>
      </c>
    </row>
    <row r="93" spans="13:17" x14ac:dyDescent="0.4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t="shared" si="10"/>
        <v>0</v>
      </c>
    </row>
    <row r="94" spans="13:17" x14ac:dyDescent="0.4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t="shared" si="10"/>
        <v>5</v>
      </c>
    </row>
    <row r="95" spans="13:17" x14ac:dyDescent="0.4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t="shared" si="10"/>
        <v>-30</v>
      </c>
    </row>
    <row r="96" spans="13:17" x14ac:dyDescent="0.4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t="shared" si="10"/>
        <v>-24.158093970700001</v>
      </c>
    </row>
    <row r="97" spans="13:17" x14ac:dyDescent="0.4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t="shared" si="10"/>
        <v>-9.5803170794600003</v>
      </c>
    </row>
    <row r="98" spans="13:17" x14ac:dyDescent="0.4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t="shared" si="10"/>
        <v>0</v>
      </c>
    </row>
    <row r="99" spans="13:17" x14ac:dyDescent="0.4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t="shared" si="10"/>
        <v>-15.671349338700001</v>
      </c>
    </row>
    <row r="100" spans="13:17" x14ac:dyDescent="0.4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t="shared" si="10"/>
        <v>-18.208541213899998</v>
      </c>
    </row>
    <row r="101" spans="13:17" x14ac:dyDescent="0.4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t="shared" si="10"/>
        <v>-11.2471450075</v>
      </c>
    </row>
    <row r="102" spans="13:17" x14ac:dyDescent="0.4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t="shared" si="10"/>
        <v>-10.0807778908</v>
      </c>
    </row>
    <row r="103" spans="13:17" x14ac:dyDescent="0.4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t="shared" si="10"/>
        <v>-5.6623999999999999</v>
      </c>
    </row>
    <row r="104" spans="13:17" x14ac:dyDescent="0.4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2022-01-21T23:37:37Z</dcterms:modified>
</cp:coreProperties>
</file>