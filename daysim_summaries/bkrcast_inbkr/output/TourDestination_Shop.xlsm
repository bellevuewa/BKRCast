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I12" s="1"/>
  <c i="6" r="J12" s="1"/>
  <c i="6" r="K12" s="1"/>
  <c i="6" r="D33" s="1"/>
  <c i="6" r="D43" s="1"/>
  <c i="6" r="Q39" s="1"/>
  <c i="6" r="D13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I13"/>
  <c i="6" r="J13" s="1"/>
  <c i="6" r="K14" s="1"/>
  <c i="6" r="D35" s="1"/>
  <c i="6" r="D45" s="1"/>
  <c i="6" r="Q41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5"/>
  <c i="6" r="D36" s="1"/>
  <c i="6" r="D46" s="1"/>
  <c i="6" r="Q42" s="1"/>
  <c i="6" r="K13"/>
  <c i="6" r="D34" s="1"/>
  <c i="6" r="D44" s="1"/>
  <c i="6" r="Q40" s="1"/>
  <c i="6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2"/>
  <c i="1" r="J23"/>
  <c i="1" r="J25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H28"/>
  <c i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<sst xmlns="http://schemas.openxmlformats.org/spreadsheetml/2006/main" count="716" uniqueCount="285">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</sst>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0.1131667139152048</c:v>
                </c:pt>
                <c:pt idx="1">
                  <c:v>0.26666984315078768</c:v>
                </c:pt>
                <c:pt idx="2">
                  <c:v>0.11415359182338904</c:v>
                </c:pt>
                <c:pt idx="3">
                  <c:v>0.13783826419714201</c:v>
                </c:pt>
                <c:pt idx="4">
                  <c:v>0.10246305290610136</c:v>
                </c:pt>
                <c:pt idx="5">
                  <c:v>7.0810628705619855E-2</c:v>
                </c:pt>
                <c:pt idx="6">
                  <c:v>5.0939335974360657E-2</c:v>
                </c:pt>
                <c:pt idx="7">
                  <c:v>3.9244096930079735E-2</c:v>
                </c:pt>
                <c:pt idx="8">
                  <c:v>3.2459484594830883E-2</c:v>
                </c:pt>
                <c:pt idx="9">
                  <c:v>4.7973167752033705E-3</c:v>
                </c:pt>
                <c:pt idx="10">
                  <c:v>2.1037333096828384E-2</c:v>
                </c:pt>
                <c:pt idx="11">
                  <c:v>1.8487859151178229E-2</c:v>
                </c:pt>
                <c:pt idx="12">
                  <c:v>6.6600847456722298E-3</c:v>
                </c:pt>
                <c:pt idx="13">
                  <c:v>4.5966203560937882E-3</c:v>
                </c:pt>
                <c:pt idx="14">
                  <c:v>6.2756122281080896E-3</c:v>
                </c:pt>
                <c:pt idx="15">
                  <c:v>4.1476769411269535E-4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1.5379217667451951E-3</c:v>
                </c:pt>
                <c:pt idx="20">
                  <c:v>7.3317824460072186E-4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7.7142937439412789E-3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0.15509008934067581</c:v>
                </c:pt>
                <c:pt idx="1">
                  <c:v>0.15326001963165689</c:v>
                </c:pt>
                <c:pt idx="2">
                  <c:v>0.12509358311012028</c:v>
                </c:pt>
                <c:pt idx="3">
                  <c:v>0.10336566456485934</c:v>
                </c:pt>
                <c:pt idx="4">
                  <c:v>9.4980617898081751E-2</c:v>
                </c:pt>
                <c:pt idx="5">
                  <c:v>7.8376894538073769E-2</c:v>
                </c:pt>
                <c:pt idx="6">
                  <c:v>5.4685810304956159E-2</c:v>
                </c:pt>
                <c:pt idx="7">
                  <c:v>4.521935881012195E-2</c:v>
                </c:pt>
                <c:pt idx="8">
                  <c:v>3.448849551632921E-2</c:v>
                </c:pt>
                <c:pt idx="9">
                  <c:v>2.1511637579649624E-2</c:v>
                </c:pt>
                <c:pt idx="10">
                  <c:v>1.9548471891792971E-2</c:v>
                </c:pt>
                <c:pt idx="11">
                  <c:v>1.645399038381553E-2</c:v>
                </c:pt>
                <c:pt idx="12">
                  <c:v>1.4241269735638112E-2</c:v>
                </c:pt>
                <c:pt idx="13">
                  <c:v>1.4590646680087178E-2</c:v>
                </c:pt>
                <c:pt idx="14">
                  <c:v>1.1063603240887085E-2</c:v>
                </c:pt>
                <c:pt idx="15">
                  <c:v>1.0431397341407822E-2</c:v>
                </c:pt>
                <c:pt idx="16">
                  <c:v>8.0689437170379484E-3</c:v>
                </c:pt>
                <c:pt idx="17">
                  <c:v>7.1039978704643385E-3</c:v>
                </c:pt>
                <c:pt idx="18">
                  <c:v>5.5733941138303355E-3</c:v>
                </c:pt>
                <c:pt idx="19">
                  <c:v>4.7249072487397471E-3</c:v>
                </c:pt>
                <c:pt idx="20">
                  <c:v>4.1592493386793548E-3</c:v>
                </c:pt>
                <c:pt idx="21">
                  <c:v>3.7599614021661372E-3</c:v>
                </c:pt>
                <c:pt idx="22">
                  <c:v>2.5787345899812002E-3</c:v>
                </c:pt>
                <c:pt idx="23">
                  <c:v>2.4456386111434609E-3</c:v>
                </c:pt>
                <c:pt idx="24">
                  <c:v>1.5306037566340028E-3</c:v>
                </c:pt>
                <c:pt idx="25">
                  <c:v>1.7468847222453291E-3</c:v>
                </c:pt>
                <c:pt idx="26">
                  <c:v>1.4141447751509807E-3</c:v>
                </c:pt>
                <c:pt idx="27">
                  <c:v>1.2810487963132414E-3</c:v>
                </c:pt>
                <c:pt idx="28">
                  <c:v>7.4866488096228393E-4</c:v>
                </c:pt>
                <c:pt idx="29">
                  <c:v>6.8211689154341426E-4</c:v>
                </c:pt>
                <c:pt idx="30">
                  <c:v>3.9928793651321812E-4</c:v>
                </c:pt>
                <c:pt idx="31">
                  <c:v>2.8282895503019614E-4</c:v>
                </c:pt>
                <c:pt idx="32">
                  <c:v>1.1645898148302195E-4</c:v>
                </c:pt>
                <c:pt idx="33">
                  <c:v>1.4973297619245678E-4</c:v>
                </c:pt>
                <c:pt idx="34">
                  <c:v>1.1645898148302195E-4</c:v>
                </c:pt>
                <c:pt idx="35">
                  <c:v>1.8300697090189161E-4</c:v>
                </c:pt>
                <c:pt idx="36">
                  <c:v>1.3309597883773936E-4</c:v>
                </c:pt>
                <c:pt idx="37">
                  <c:v>4.9910992064152265E-5</c:v>
                </c:pt>
                <c:pt idx="38">
                  <c:v>1.3309597883773936E-4</c:v>
                </c:pt>
                <c:pt idx="39">
                  <c:v>0</c:v>
                </c:pt>
                <c:pt idx="40">
                  <c:v>4.9910992064152265E-5</c:v>
                </c:pt>
                <c:pt idx="41">
                  <c:v>8.3184986773587099E-5</c:v>
                </c:pt>
                <c:pt idx="42">
                  <c:v>1.663699735471742E-5</c:v>
                </c:pt>
                <c:pt idx="43">
                  <c:v>3.3273994709434841E-5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1.663699735471742E-5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1.663699735471742E-5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238984"/>
        <c:axId val="337237416"/>
      </c:lineChart>
      <c:catAx>
        <c:axId val="337238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37237416"/>
        <c:crosses val="autoZero"/>
        <c:auto val="1"/>
        <c:lblAlgn val="ctr"/>
        <c:lblOffset val="100"/>
        <c:tickLblSkip val="10"/>
        <c:noMultiLvlLbl val="0"/>
      </c:catAx>
      <c:valAx>
        <c:axId val="3372374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3723898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2.0163154411934253E-2</c:v>
                </c:pt>
                <c:pt idx="2">
                  <c:v>6.1870221671743754E-2</c:v>
                </c:pt>
                <c:pt idx="3">
                  <c:v>2.8895015915848282E-2</c:v>
                </c:pt>
                <c:pt idx="4">
                  <c:v>0.12756443267130585</c:v>
                </c:pt>
                <c:pt idx="5">
                  <c:v>9.7401308613989962E-2</c:v>
                </c:pt>
                <c:pt idx="6">
                  <c:v>5.6204246218690919E-2</c:v>
                </c:pt>
                <c:pt idx="7">
                  <c:v>0.11731615983901819</c:v>
                </c:pt>
                <c:pt idx="8">
                  <c:v>5.8627742567950461E-2</c:v>
                </c:pt>
                <c:pt idx="9">
                  <c:v>4.0702212793397578E-2</c:v>
                </c:pt>
                <c:pt idx="10">
                  <c:v>0.1222419157753234</c:v>
                </c:pt>
                <c:pt idx="11">
                  <c:v>5.415720407064302E-2</c:v>
                </c:pt>
                <c:pt idx="12">
                  <c:v>3.1658083637528422E-2</c:v>
                </c:pt>
                <c:pt idx="13">
                  <c:v>1.2143770412223755E-2</c:v>
                </c:pt>
                <c:pt idx="14">
                  <c:v>4.0746105516124044E-2</c:v>
                </c:pt>
                <c:pt idx="15">
                  <c:v>2.5803356577891307E-2</c:v>
                </c:pt>
                <c:pt idx="16">
                  <c:v>0</c:v>
                </c:pt>
                <c:pt idx="17">
                  <c:v>6.1708586777553835E-3</c:v>
                </c:pt>
                <c:pt idx="18">
                  <c:v>0</c:v>
                </c:pt>
                <c:pt idx="19">
                  <c:v>8.7706880104085373E-3</c:v>
                </c:pt>
                <c:pt idx="20">
                  <c:v>9.8383688394463424E-3</c:v>
                </c:pt>
                <c:pt idx="21">
                  <c:v>9.6414757352755731E-3</c:v>
                </c:pt>
                <c:pt idx="22">
                  <c:v>0</c:v>
                </c:pt>
                <c:pt idx="23">
                  <c:v>6.2380476753337308E-3</c:v>
                </c:pt>
                <c:pt idx="24">
                  <c:v>2.2021912793808576E-2</c:v>
                </c:pt>
                <c:pt idx="25">
                  <c:v>0</c:v>
                </c:pt>
                <c:pt idx="26">
                  <c:v>2.5147943896850451E-2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7.0087904727088096E-3</c:v>
                </c:pt>
                <c:pt idx="32">
                  <c:v>0</c:v>
                </c:pt>
                <c:pt idx="33">
                  <c:v>4.1476769411269524E-4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1.5379217667451949E-3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7.7142937439412772E-3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9.6161844710266689E-3</c:v>
                </c:pt>
                <c:pt idx="1">
                  <c:v>2.3824180211955346E-2</c:v>
                </c:pt>
                <c:pt idx="2">
                  <c:v>3.596918828089906E-2</c:v>
                </c:pt>
                <c:pt idx="3">
                  <c:v>5.1424958823431545E-2</c:v>
                </c:pt>
                <c:pt idx="4">
                  <c:v>6.9559285940073531E-2</c:v>
                </c:pt>
                <c:pt idx="5">
                  <c:v>7.7861147620077523E-2</c:v>
                </c:pt>
                <c:pt idx="6">
                  <c:v>7.6247358876669932E-2</c:v>
                </c:pt>
                <c:pt idx="7">
                  <c:v>7.3086329379273632E-2</c:v>
                </c:pt>
                <c:pt idx="8">
                  <c:v>6.7213469313058383E-2</c:v>
                </c:pt>
                <c:pt idx="9">
                  <c:v>5.4269885371088226E-2</c:v>
                </c:pt>
                <c:pt idx="10">
                  <c:v>4.9611526111767348E-2</c:v>
                </c:pt>
                <c:pt idx="11">
                  <c:v>4.9328697156737149E-2</c:v>
                </c:pt>
                <c:pt idx="12">
                  <c:v>4.1958507328597336E-2</c:v>
                </c:pt>
                <c:pt idx="13">
                  <c:v>3.8082086944948176E-2</c:v>
                </c:pt>
                <c:pt idx="14">
                  <c:v>2.9963232235846075E-2</c:v>
                </c:pt>
                <c:pt idx="15">
                  <c:v>2.5338146971234633E-2</c:v>
                </c:pt>
                <c:pt idx="16">
                  <c:v>2.354135125692515E-2</c:v>
                </c:pt>
                <c:pt idx="17">
                  <c:v>1.9415375912955231E-2</c:v>
                </c:pt>
                <c:pt idx="18">
                  <c:v>1.6703545344136289E-2</c:v>
                </c:pt>
                <c:pt idx="19">
                  <c:v>1.4840201640407939E-2</c:v>
                </c:pt>
                <c:pt idx="20">
                  <c:v>1.2910309947260718E-2</c:v>
                </c:pt>
                <c:pt idx="21">
                  <c:v>1.2028549087460694E-2</c:v>
                </c:pt>
                <c:pt idx="22">
                  <c:v>1.1878816111268238E-2</c:v>
                </c:pt>
                <c:pt idx="23">
                  <c:v>1.0747500291147453E-2</c:v>
                </c:pt>
                <c:pt idx="24">
                  <c:v>9.3000815212870378E-3</c:v>
                </c:pt>
                <c:pt idx="25">
                  <c:v>9.6328214683813872E-3</c:v>
                </c:pt>
                <c:pt idx="26">
                  <c:v>7.9857587302643619E-3</c:v>
                </c:pt>
                <c:pt idx="27">
                  <c:v>6.2721480027284676E-3</c:v>
                </c:pt>
                <c:pt idx="28">
                  <c:v>7.0374498810454687E-3</c:v>
                </c:pt>
                <c:pt idx="29">
                  <c:v>6.6547989418869686E-3</c:v>
                </c:pt>
                <c:pt idx="30">
                  <c:v>5.5401201191209015E-3</c:v>
                </c:pt>
                <c:pt idx="31">
                  <c:v>5.174106177317118E-3</c:v>
                </c:pt>
                <c:pt idx="32">
                  <c:v>5.3072021561548569E-3</c:v>
                </c:pt>
                <c:pt idx="33">
                  <c:v>4.5918112699020082E-3</c:v>
                </c:pt>
                <c:pt idx="34">
                  <c:v>3.9263313757133111E-3</c:v>
                </c:pt>
                <c:pt idx="35">
                  <c:v>4.2923453175170946E-3</c:v>
                </c:pt>
                <c:pt idx="36">
                  <c:v>3.8098723942302892E-3</c:v>
                </c:pt>
                <c:pt idx="37">
                  <c:v>2.8615635450113964E-3</c:v>
                </c:pt>
                <c:pt idx="38">
                  <c:v>2.811652552947244E-3</c:v>
                </c:pt>
                <c:pt idx="39">
                  <c:v>2.6120085846906352E-3</c:v>
                </c:pt>
                <c:pt idx="40">
                  <c:v>2.3624536243698735E-3</c:v>
                </c:pt>
                <c:pt idx="41">
                  <c:v>2.0796246693396774E-3</c:v>
                </c:pt>
                <c:pt idx="42">
                  <c:v>1.5971517460528725E-3</c:v>
                </c:pt>
                <c:pt idx="43">
                  <c:v>1.4640557672151329E-3</c:v>
                </c:pt>
                <c:pt idx="44">
                  <c:v>1.2644117989585239E-3</c:v>
                </c:pt>
                <c:pt idx="45">
                  <c:v>1.4474187698604157E-3</c:v>
                </c:pt>
                <c:pt idx="46">
                  <c:v>1.1146788227660671E-3</c:v>
                </c:pt>
                <c:pt idx="47">
                  <c:v>6.4884289683397943E-4</c:v>
                </c:pt>
                <c:pt idx="48">
                  <c:v>8.9839785715474074E-4</c:v>
                </c:pt>
                <c:pt idx="49">
                  <c:v>4.9910992064152262E-4</c:v>
                </c:pt>
                <c:pt idx="50">
                  <c:v>3.826509391585007E-4</c:v>
                </c:pt>
                <c:pt idx="51">
                  <c:v>5.4902091270567493E-4</c:v>
                </c:pt>
                <c:pt idx="52">
                  <c:v>4.3256193122265295E-4</c:v>
                </c:pt>
                <c:pt idx="53">
                  <c:v>3.4937694444906581E-4</c:v>
                </c:pt>
                <c:pt idx="54">
                  <c:v>3.826509391585007E-4</c:v>
                </c:pt>
                <c:pt idx="55">
                  <c:v>2.1628096561132648E-4</c:v>
                </c:pt>
                <c:pt idx="56">
                  <c:v>1.9964396825660906E-4</c:v>
                </c:pt>
                <c:pt idx="57">
                  <c:v>1.8300697090189161E-4</c:v>
                </c:pt>
                <c:pt idx="58">
                  <c:v>1.663699735471742E-4</c:v>
                </c:pt>
                <c:pt idx="59">
                  <c:v>1.3309597883773936E-4</c:v>
                </c:pt>
                <c:pt idx="60">
                  <c:v>3.3273994709434841E-5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233104"/>
        <c:axId val="337238592"/>
      </c:lineChart>
      <c:catAx>
        <c:axId val="337233104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238592"/>
        <c:crosses val="autoZero"/>
        <c:auto val="1"/>
        <c:lblAlgn val="ctr"/>
        <c:lblOffset val="100"/>
        <c:tickLblSkip val="10"/>
        <c:noMultiLvlLbl val="0"/>
      </c:catAx>
      <c:valAx>
        <c:axId val="337238592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23310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L31" sqref="L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6813.2459325225</v>
      </c>
      <c r="C11" s="11">
        <f>B11/B$102</f>
        <v>0.1131667139152048</v>
      </c>
      <c r="E11" s="19">
        <v>0</v>
      </c>
      <c r="F11" s="343" t="n">
        <v>9729.0</v>
      </c>
      <c r="G11" s="11">
        <f>F11/F$102</f>
        <v>0.15509008934067581</v>
      </c>
      <c r="K11" s="8" t="n">
        <v>3.493832024713724</v>
      </c>
      <c r="L11" s="8" t="n">
        <v>4.986883255798789</v>
      </c>
    </row>
    <row r="12" spans="1:12" x14ac:dyDescent="0.25">
      <c r="A12">
        <v>1</v>
      </c>
      <c r="B12" s="341" t="n">
        <v>16054.9614044188</v>
      </c>
      <c r="C12" s="11">
        <f>B12/B$102</f>
        <v>0.26666984315078768</v>
      </c>
      <c r="E12" s="20">
        <v>1</v>
      </c>
      <c r="F12" s="343" t="n">
        <v>9364.0</v>
      </c>
      <c r="G12" s="11">
        <f>F12/F$102</f>
        <v>0.15326001963165689</v>
      </c>
      <c r="K12" s="8"/>
      <c r="L12" s="289"/>
    </row>
    <row r="13" spans="1:12" x14ac:dyDescent="0.25">
      <c r="A13">
        <v>2</v>
      </c>
      <c r="B13" s="341" t="n">
        <v>6872.661300003</v>
      </c>
      <c r="C13" s="11">
        <f ref="C13:C76" si="0" t="shared">B13/B$102</f>
        <v>0.11415359182338904</v>
      </c>
      <c r="E13" s="21">
        <v>2</v>
      </c>
      <c r="F13" s="343" t="n">
        <v>7665.0</v>
      </c>
      <c r="G13" s="11">
        <f ref="G13:G76" si="1" t="shared">F13/F$102</f>
        <v>0.12509358311012028</v>
      </c>
    </row>
    <row r="14" spans="1:12" x14ac:dyDescent="0.25">
      <c r="A14">
        <v>3</v>
      </c>
      <c r="B14" s="341" t="n">
        <v>8298.606192549</v>
      </c>
      <c r="C14" s="11">
        <f si="0" t="shared"/>
        <v>0.13783826419714201</v>
      </c>
      <c r="E14" s="22">
        <v>3</v>
      </c>
      <c r="F14" s="343" t="n">
        <v>6122.0</v>
      </c>
      <c r="G14" s="11">
        <f si="1" t="shared"/>
        <v>0.10336566456485934</v>
      </c>
    </row>
    <row r="15" spans="1:12" x14ac:dyDescent="0.25">
      <c r="A15">
        <v>4</v>
      </c>
      <c r="B15" s="341" t="n">
        <v>6168.8278672598</v>
      </c>
      <c r="C15" s="11">
        <f si="0" t="shared"/>
        <v>0.10246305290610136</v>
      </c>
      <c r="E15" s="23">
        <v>4</v>
      </c>
      <c r="F15" s="343" t="n">
        <v>5682.0</v>
      </c>
      <c r="G15" s="11">
        <f si="1" t="shared"/>
        <v>9.4980617898081751E-2</v>
      </c>
    </row>
    <row r="16" spans="1:12" x14ac:dyDescent="0.25">
      <c r="A16">
        <v>5</v>
      </c>
      <c r="B16" s="341" t="n">
        <v>4263.1813836127</v>
      </c>
      <c r="C16" s="11">
        <f si="0" t="shared"/>
        <v>7.0810628705619855E-2</v>
      </c>
      <c r="E16" s="24">
        <v>5</v>
      </c>
      <c r="F16" s="343" t="n">
        <v>4652.0</v>
      </c>
      <c r="G16" s="11">
        <f si="1" t="shared"/>
        <v>7.8376894538073769E-2</v>
      </c>
    </row>
    <row r="17" spans="1:7" x14ac:dyDescent="0.25">
      <c r="A17">
        <v>6</v>
      </c>
      <c r="B17" s="341" t="n">
        <v>3066.822492458</v>
      </c>
      <c r="C17" s="11">
        <f si="0" t="shared"/>
        <v>5.0939335974360657E-2</v>
      </c>
      <c r="E17" s="25">
        <v>6</v>
      </c>
      <c r="F17" s="343" t="n">
        <v>3273.0</v>
      </c>
      <c r="G17" s="11">
        <f si="1" t="shared"/>
        <v>5.4685810304956159E-2</v>
      </c>
    </row>
    <row r="18" spans="1:7" x14ac:dyDescent="0.25">
      <c r="A18">
        <v>7</v>
      </c>
      <c r="B18" s="341" t="n">
        <v>2362.706086745</v>
      </c>
      <c r="C18" s="11">
        <f si="0" t="shared"/>
        <v>3.9244096930079735E-2</v>
      </c>
      <c r="E18" s="26">
        <v>7</v>
      </c>
      <c r="F18" s="343" t="n">
        <v>2669.0</v>
      </c>
      <c r="G18" s="11">
        <f si="1" t="shared"/>
        <v>4.521935881012195E-2</v>
      </c>
    </row>
    <row r="19" spans="1:7" x14ac:dyDescent="0.25">
      <c r="A19">
        <v>8</v>
      </c>
      <c r="B19" s="341" t="n">
        <v>1954.235867918</v>
      </c>
      <c r="C19" s="11">
        <f si="0" t="shared"/>
        <v>3.2459484594830883E-2</v>
      </c>
      <c r="E19" s="27">
        <v>8</v>
      </c>
      <c r="F19" s="343" t="n">
        <v>2092.0</v>
      </c>
      <c r="G19" s="11">
        <f si="1" t="shared"/>
        <v>3.448849551632921E-2</v>
      </c>
    </row>
    <row r="20" spans="1:7" x14ac:dyDescent="0.25">
      <c r="A20">
        <v>9</v>
      </c>
      <c r="B20" s="341" t="n">
        <v>288.824318343</v>
      </c>
      <c r="C20" s="11">
        <f si="0" t="shared"/>
        <v>4.7973167752033705E-3</v>
      </c>
      <c r="E20" s="28">
        <v>9</v>
      </c>
      <c r="F20" s="343" t="n">
        <v>1323.0</v>
      </c>
      <c r="G20" s="11">
        <f si="1" t="shared"/>
        <v>2.1511637579649624E-2</v>
      </c>
    </row>
    <row r="21" spans="1:7" x14ac:dyDescent="0.25">
      <c r="A21">
        <v>10</v>
      </c>
      <c r="B21" s="341" t="n">
        <v>1266.5608039170002</v>
      </c>
      <c r="C21" s="11">
        <f si="0" t="shared"/>
        <v>2.1037333096828384E-2</v>
      </c>
      <c r="E21" s="29">
        <v>10</v>
      </c>
      <c r="F21" s="343" t="n">
        <v>1072.0</v>
      </c>
      <c r="G21" s="11">
        <f si="1" t="shared"/>
        <v>1.9548471891792971E-2</v>
      </c>
    </row>
    <row r="22" spans="1:7" x14ac:dyDescent="0.25">
      <c r="A22">
        <v>11</v>
      </c>
      <c r="B22" s="341" t="n">
        <v>1113.06873554</v>
      </c>
      <c r="C22" s="11">
        <f si="0" t="shared"/>
        <v>1.8487859151178229E-2</v>
      </c>
      <c r="E22" s="30">
        <v>11</v>
      </c>
      <c r="F22" s="343" t="n">
        <v>918.0</v>
      </c>
      <c r="G22" s="11">
        <f si="1" t="shared"/>
        <v>1.645399038381553E-2</v>
      </c>
    </row>
    <row r="23" spans="1:7" x14ac:dyDescent="0.25">
      <c r="A23">
        <v>12</v>
      </c>
      <c r="B23" s="341" t="n">
        <v>400.972986966</v>
      </c>
      <c r="C23" s="11">
        <f si="0" t="shared"/>
        <v>6.6600847456722298E-3</v>
      </c>
      <c r="E23" s="31">
        <v>12</v>
      </c>
      <c r="F23" s="343" t="n">
        <v>843.0</v>
      </c>
      <c r="G23" s="11">
        <f si="1" t="shared"/>
        <v>1.4241269735638112E-2</v>
      </c>
    </row>
    <row r="24" spans="1:7" x14ac:dyDescent="0.25">
      <c r="A24">
        <v>13</v>
      </c>
      <c r="B24" s="341" t="n">
        <v>276.741312538</v>
      </c>
      <c r="C24" s="11">
        <f si="0" t="shared"/>
        <v>4.5966203560937882E-3</v>
      </c>
      <c r="E24" s="32">
        <v>13</v>
      </c>
      <c r="F24" s="343" t="n">
        <v>784.0</v>
      </c>
      <c r="G24" s="11">
        <f si="1" t="shared"/>
        <v>1.4590646680087178E-2</v>
      </c>
    </row>
    <row r="25" spans="1:7" x14ac:dyDescent="0.25">
      <c r="A25">
        <v>14</v>
      </c>
      <c r="B25" s="341" t="n">
        <v>377.825669828</v>
      </c>
      <c r="C25" s="11">
        <f si="0" t="shared"/>
        <v>6.2756122281080896E-3</v>
      </c>
      <c r="E25" s="33">
        <v>14</v>
      </c>
      <c r="F25" s="343" t="n">
        <v>592.0</v>
      </c>
      <c r="G25" s="11">
        <f si="1" t="shared"/>
        <v>1.1063603240887085E-2</v>
      </c>
    </row>
    <row r="26" spans="1:7" x14ac:dyDescent="0.25">
      <c r="A26">
        <v>15</v>
      </c>
      <c r="B26" s="341" t="n">
        <v>24.97125</v>
      </c>
      <c r="C26" s="11">
        <f si="0" t="shared"/>
        <v>4.1476769411269535E-4</v>
      </c>
      <c r="E26" s="34">
        <v>15</v>
      </c>
      <c r="F26" s="343" t="n">
        <v>622.0</v>
      </c>
      <c r="G26" s="11">
        <f si="1" t="shared"/>
        <v>1.0431397341407822E-2</v>
      </c>
    </row>
    <row r="27" spans="1:7" x14ac:dyDescent="0.25">
      <c r="A27">
        <v>16</v>
      </c>
      <c r="B27" s="341" t="n">
        <v>0.0</v>
      </c>
      <c r="C27" s="11">
        <f si="0" t="shared"/>
        <v>0</v>
      </c>
      <c r="E27" s="35">
        <v>16</v>
      </c>
      <c r="F27" s="343" t="n">
        <v>460.0</v>
      </c>
      <c r="G27" s="11">
        <f si="1" t="shared"/>
        <v>8.0689437170379484E-3</v>
      </c>
    </row>
    <row r="28" spans="1:7" x14ac:dyDescent="0.25">
      <c r="A28">
        <v>17</v>
      </c>
      <c r="B28" s="341" t="n">
        <v>0.0</v>
      </c>
      <c r="C28" s="11">
        <f si="0" t="shared"/>
        <v>0</v>
      </c>
      <c r="E28" s="36">
        <v>17</v>
      </c>
      <c r="F28" s="343" t="n">
        <v>441.0</v>
      </c>
      <c r="G28" s="11">
        <f si="1" t="shared"/>
        <v>7.1039978704643385E-3</v>
      </c>
    </row>
    <row r="29" spans="1:7" x14ac:dyDescent="0.25">
      <c r="A29">
        <v>18</v>
      </c>
      <c r="B29" s="341" t="n">
        <v>0.0</v>
      </c>
      <c r="C29" s="11">
        <f si="0" t="shared"/>
        <v>0</v>
      </c>
      <c r="E29" s="37">
        <v>18</v>
      </c>
      <c r="F29" s="343" t="n">
        <v>329.0</v>
      </c>
      <c r="G29" s="11">
        <f si="1" t="shared"/>
        <v>5.5733941138303355E-3</v>
      </c>
    </row>
    <row r="30" spans="1:7" x14ac:dyDescent="0.25">
      <c r="A30">
        <v>19</v>
      </c>
      <c r="B30" s="341" t="n">
        <v>92.59117685140001</v>
      </c>
      <c r="C30" s="11">
        <f si="0" t="shared"/>
        <v>1.5379217667451951E-3</v>
      </c>
      <c r="E30" s="38">
        <v>19</v>
      </c>
      <c r="F30" s="343" t="n">
        <v>297.0</v>
      </c>
      <c r="G30" s="11">
        <f si="1" t="shared"/>
        <v>4.7249072487397471E-3</v>
      </c>
    </row>
    <row r="31" spans="1:7" x14ac:dyDescent="0.25">
      <c r="A31">
        <v>20</v>
      </c>
      <c r="B31" s="341" t="n">
        <v>44.1412807708</v>
      </c>
      <c r="C31" s="11">
        <f si="0" t="shared"/>
        <v>7.3317824460072186E-4</v>
      </c>
      <c r="E31" s="39">
        <v>20</v>
      </c>
      <c r="F31" s="343" t="n">
        <v>204.0</v>
      </c>
      <c r="G31" s="11">
        <f si="1" t="shared"/>
        <v>4.1592493386793548E-3</v>
      </c>
    </row>
    <row r="32" spans="1:7" x14ac:dyDescent="0.25">
      <c r="A32">
        <v>21</v>
      </c>
      <c r="B32" s="341" t="n">
        <v>0.0</v>
      </c>
      <c r="C32" s="11">
        <f si="0" t="shared"/>
        <v>0</v>
      </c>
      <c r="E32" s="40">
        <v>21</v>
      </c>
      <c r="F32" s="343" t="n">
        <v>212.0</v>
      </c>
      <c r="G32" s="11">
        <f si="1" t="shared"/>
        <v>3.7599614021661372E-3</v>
      </c>
    </row>
    <row r="33" spans="1:7" x14ac:dyDescent="0.25">
      <c r="A33">
        <v>22</v>
      </c>
      <c r="B33" s="341" t="n">
        <v>0.0</v>
      </c>
      <c r="C33" s="11">
        <f si="0" t="shared"/>
        <v>0</v>
      </c>
      <c r="E33" s="41">
        <v>22</v>
      </c>
      <c r="F33" s="343" t="n">
        <v>154.0</v>
      </c>
      <c r="G33" s="11">
        <f si="1" t="shared"/>
        <v>2.5787345899812002E-3</v>
      </c>
    </row>
    <row r="34" spans="1:7" x14ac:dyDescent="0.25">
      <c r="A34">
        <v>23</v>
      </c>
      <c r="B34" s="341" t="n">
        <v>0.0</v>
      </c>
      <c r="C34" s="11">
        <f si="0" t="shared"/>
        <v>0</v>
      </c>
      <c r="E34" s="42">
        <v>23</v>
      </c>
      <c r="F34" s="343" t="n">
        <v>149.0</v>
      </c>
      <c r="G34" s="11">
        <f si="1" t="shared"/>
        <v>2.4456386111434609E-3</v>
      </c>
    </row>
    <row r="35" spans="1:7" x14ac:dyDescent="0.25">
      <c r="A35">
        <v>24</v>
      </c>
      <c r="B35" s="341" t="n">
        <v>0.0</v>
      </c>
      <c r="C35" s="11">
        <f si="0" t="shared"/>
        <v>0</v>
      </c>
      <c r="E35" s="43">
        <v>24</v>
      </c>
      <c r="F35" s="343" t="n">
        <v>94.0</v>
      </c>
      <c r="G35" s="11">
        <f si="1" t="shared"/>
        <v>1.5306037566340028E-3</v>
      </c>
    </row>
    <row r="36" spans="1:7" x14ac:dyDescent="0.25">
      <c r="A36">
        <v>25</v>
      </c>
      <c r="B36" s="341" t="n">
        <v>0.0</v>
      </c>
      <c r="C36" s="11">
        <f si="0" t="shared"/>
        <v>0</v>
      </c>
      <c r="E36" s="44">
        <v>25</v>
      </c>
      <c r="F36" s="343" t="n">
        <v>73.0</v>
      </c>
      <c r="G36" s="11">
        <f si="1" t="shared"/>
        <v>1.7468847222453291E-3</v>
      </c>
    </row>
    <row r="37" spans="1:7" x14ac:dyDescent="0.25">
      <c r="A37">
        <v>26</v>
      </c>
      <c r="B37" s="341" t="n">
        <v>0.0</v>
      </c>
      <c r="C37" s="11">
        <f si="0" t="shared"/>
        <v>0</v>
      </c>
      <c r="E37" s="45">
        <v>26</v>
      </c>
      <c r="F37" s="343" t="n">
        <v>84.0</v>
      </c>
      <c r="G37" s="11">
        <f si="1" t="shared"/>
        <v>1.4141447751509807E-3</v>
      </c>
    </row>
    <row r="38" spans="1:7" x14ac:dyDescent="0.25">
      <c r="A38">
        <v>27</v>
      </c>
      <c r="B38" s="341" t="n">
        <v>0.0</v>
      </c>
      <c r="C38" s="11">
        <f si="0" t="shared"/>
        <v>0</v>
      </c>
      <c r="E38" s="46">
        <v>27</v>
      </c>
      <c r="F38" s="343" t="n">
        <v>74.0</v>
      </c>
      <c r="G38" s="11">
        <f si="1" t="shared"/>
        <v>1.2810487963132414E-3</v>
      </c>
    </row>
    <row r="39" spans="1:7" x14ac:dyDescent="0.25">
      <c r="A39">
        <v>28</v>
      </c>
      <c r="B39" s="341" t="n">
        <v>0.0</v>
      </c>
      <c r="C39" s="11">
        <f si="0" t="shared"/>
        <v>0</v>
      </c>
      <c r="E39" s="47">
        <v>28</v>
      </c>
      <c r="F39" s="343" t="n">
        <v>37.0</v>
      </c>
      <c r="G39" s="11">
        <f si="1" t="shared"/>
        <v>7.4866488096228393E-4</v>
      </c>
    </row>
    <row r="40" spans="1:7" x14ac:dyDescent="0.25">
      <c r="A40">
        <v>29</v>
      </c>
      <c r="B40" s="341" t="n">
        <v>0.0</v>
      </c>
      <c r="C40" s="11">
        <f si="0" t="shared"/>
        <v>0</v>
      </c>
      <c r="E40" s="48">
        <v>29</v>
      </c>
      <c r="F40" s="343" t="n">
        <v>32.0</v>
      </c>
      <c r="G40" s="11">
        <f si="1" t="shared"/>
        <v>6.8211689154341426E-4</v>
      </c>
    </row>
    <row r="41" spans="1:7" x14ac:dyDescent="0.25">
      <c r="A41">
        <v>30</v>
      </c>
      <c r="B41" s="341" t="n">
        <v>0.0</v>
      </c>
      <c r="C41" s="11">
        <f si="0" t="shared"/>
        <v>0</v>
      </c>
      <c r="E41" s="49">
        <v>30</v>
      </c>
      <c r="F41" s="343" t="n">
        <v>18.0</v>
      </c>
      <c r="G41" s="11">
        <f si="1" t="shared"/>
        <v>3.9928793651321812E-4</v>
      </c>
    </row>
    <row r="42" spans="1:7" x14ac:dyDescent="0.25">
      <c r="A42">
        <v>31</v>
      </c>
      <c r="B42" s="341" t="n">
        <v>0.0</v>
      </c>
      <c r="C42" s="11">
        <f si="0" t="shared"/>
        <v>0</v>
      </c>
      <c r="E42" s="50">
        <v>31</v>
      </c>
      <c r="F42" s="343" t="n">
        <v>20.0</v>
      </c>
      <c r="G42" s="11">
        <f si="1" t="shared"/>
        <v>2.8282895503019614E-4</v>
      </c>
    </row>
    <row r="43" spans="1:7" x14ac:dyDescent="0.25">
      <c r="A43">
        <v>32</v>
      </c>
      <c r="B43" s="341" t="n">
        <v>464.442048857</v>
      </c>
      <c r="C43" s="11">
        <f si="0" t="shared"/>
        <v>7.7142937439412789E-3</v>
      </c>
      <c r="E43" s="51">
        <v>32</v>
      </c>
      <c r="F43" s="343" t="n">
        <v>10.0</v>
      </c>
      <c r="G43" s="11">
        <f si="1" t="shared"/>
        <v>1.1645898148302195E-4</v>
      </c>
    </row>
    <row r="44" spans="1:7" x14ac:dyDescent="0.25">
      <c r="A44">
        <v>33</v>
      </c>
      <c r="B44" s="341" t="n">
        <v>0.0</v>
      </c>
      <c r="C44" s="11">
        <f si="0" t="shared"/>
        <v>0</v>
      </c>
      <c r="E44" s="52">
        <v>33</v>
      </c>
      <c r="F44" s="343" t="n">
        <v>6.0</v>
      </c>
      <c r="G44" s="11">
        <f si="1" t="shared"/>
        <v>1.4973297619245678E-4</v>
      </c>
    </row>
    <row r="45" spans="1:7" x14ac:dyDescent="0.25">
      <c r="A45">
        <v>34</v>
      </c>
      <c r="B45" s="341" t="n">
        <v>0.0</v>
      </c>
      <c r="C45" s="11">
        <f si="0" t="shared"/>
        <v>0</v>
      </c>
      <c r="E45" s="53">
        <v>34</v>
      </c>
      <c r="F45" s="343" t="n">
        <v>10.0</v>
      </c>
      <c r="G45" s="11">
        <f si="1" t="shared"/>
        <v>1.1645898148302195E-4</v>
      </c>
    </row>
    <row r="46" spans="1:7" x14ac:dyDescent="0.25">
      <c r="A46">
        <v>35</v>
      </c>
      <c r="B46" s="341" t="n">
        <v>0.0</v>
      </c>
      <c r="C46" s="11">
        <f si="0" t="shared"/>
        <v>0</v>
      </c>
      <c r="E46" s="54">
        <v>35</v>
      </c>
      <c r="F46" s="343" t="n">
        <v>5.0</v>
      </c>
      <c r="G46" s="11">
        <f si="1" t="shared"/>
        <v>1.8300697090189161E-4</v>
      </c>
    </row>
    <row r="47" spans="1:7" x14ac:dyDescent="0.25">
      <c r="A47">
        <v>36</v>
      </c>
      <c r="B47" s="341" t="n">
        <v>0.0</v>
      </c>
      <c r="C47" s="11">
        <f si="0" t="shared"/>
        <v>0</v>
      </c>
      <c r="E47" s="55">
        <v>36</v>
      </c>
      <c r="F47" s="343" t="n">
        <v>7.0</v>
      </c>
      <c r="G47" s="11">
        <f si="1" t="shared"/>
        <v>1.3309597883773936E-4</v>
      </c>
    </row>
    <row r="48" spans="1:7" x14ac:dyDescent="0.25">
      <c r="A48">
        <v>37</v>
      </c>
      <c r="B48" s="341" t="n">
        <v>0.0</v>
      </c>
      <c r="C48" s="11">
        <f si="0" t="shared"/>
        <v>0</v>
      </c>
      <c r="E48" s="56">
        <v>37</v>
      </c>
      <c r="F48" s="343" t="n">
        <v>0.0</v>
      </c>
      <c r="G48" s="11">
        <f si="1" t="shared"/>
        <v>4.9910992064152265E-5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6.0</v>
      </c>
      <c r="G49" s="11">
        <f si="1" t="shared"/>
        <v>1.3309597883773936E-4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4.0</v>
      </c>
      <c r="G50" s="11">
        <f si="1" t="shared"/>
        <v>0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0.0</v>
      </c>
      <c r="G51" s="11">
        <f si="1" t="shared"/>
        <v>4.9910992064152265E-5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1.0</v>
      </c>
      <c r="G52" s="11">
        <f si="1" t="shared"/>
        <v>8.3184986773587099E-5</v>
      </c>
    </row>
    <row r="53" spans="1:7" x14ac:dyDescent="0.25">
      <c r="A53">
        <v>42</v>
      </c>
      <c r="B53" s="341" t="n">
        <v>0.0</v>
      </c>
      <c r="C53" s="11">
        <f si="0" t="shared"/>
        <v>0</v>
      </c>
      <c r="E53" s="61">
        <v>42</v>
      </c>
      <c r="F53" s="343" t="n">
        <v>6.0</v>
      </c>
      <c r="G53" s="11">
        <f si="1" t="shared"/>
        <v>1.663699735471742E-5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2.0</v>
      </c>
      <c r="G54" s="11">
        <f si="1" t="shared"/>
        <v>3.3273994709434841E-5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3.0</v>
      </c>
      <c r="G55" s="11">
        <f si="1" t="shared"/>
        <v>0</v>
      </c>
    </row>
    <row r="56" spans="1:7" x14ac:dyDescent="0.25">
      <c r="A56">
        <v>45</v>
      </c>
      <c r="B56" s="341" t="n">
        <v>0.0</v>
      </c>
      <c r="C56" s="11">
        <f si="0" t="shared"/>
        <v>0</v>
      </c>
      <c r="E56" s="64">
        <v>45</v>
      </c>
      <c r="F56" s="343" t="n">
        <v>0.0</v>
      </c>
      <c r="G56" s="11">
        <f si="1" t="shared"/>
        <v>0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1.0</v>
      </c>
      <c r="G57" s="11">
        <f si="1" t="shared"/>
        <v>0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0.0</v>
      </c>
      <c r="G58" s="11">
        <f si="1" t="shared"/>
        <v>0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0.0</v>
      </c>
      <c r="G59" s="11">
        <f si="1" t="shared"/>
        <v>0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0.0</v>
      </c>
      <c r="G60" s="11">
        <f si="1" t="shared"/>
        <v>1.663699735471742E-5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0.0</v>
      </c>
      <c r="G61" s="11">
        <f si="1" t="shared"/>
        <v>0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0.0</v>
      </c>
      <c r="G62" s="11">
        <f si="1" t="shared"/>
        <v>0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0.0</v>
      </c>
      <c r="G63" s="11">
        <f si="1" t="shared"/>
        <v>0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0.0</v>
      </c>
      <c r="G64" s="11">
        <f si="1" t="shared"/>
        <v>1.663699735471742E-5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0.0</v>
      </c>
      <c r="G65" s="11">
        <f si="1" t="shared"/>
        <v>0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0.0</v>
      </c>
      <c r="G66" s="11">
        <f si="1" t="shared"/>
        <v>0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0.0</v>
      </c>
      <c r="G67" s="11">
        <f si="1" t="shared"/>
        <v>0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0.0</v>
      </c>
      <c r="G68" s="11">
        <f si="1" t="shared"/>
        <v>0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0.0</v>
      </c>
      <c r="G69" s="11">
        <f si="1" t="shared"/>
        <v>0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0.0</v>
      </c>
      <c r="G70" s="11">
        <f si="1" t="shared"/>
        <v>0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0.0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0.0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0.0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0.0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0.0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0.0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0.0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0.0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0.0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0.0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0.0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0.0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0.0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0.0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0.0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0.0</v>
      </c>
      <c r="G101" s="11">
        <f si="3" t="shared"/>
        <v>0</v>
      </c>
    </row>
    <row r="102" spans="1:7" x14ac:dyDescent="0.25">
      <c r="B102" s="341">
        <f>SUM(B11:B101)</f>
        <v>60205.388111098</v>
      </c>
      <c r="C102" s="11">
        <f si="2" t="shared"/>
        <v>1</v>
      </c>
      <c r="F102" s="341">
        <f>SUM(F11:F101)</f>
        <v>60107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G19" sqref="G1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613.0</v>
      </c>
      <c r="G11" s="11">
        <f>F11/F$102</f>
        <v>9.6161844710266689E-3</v>
      </c>
      <c r="K11" s="8" t="n">
        <v>9.17593557833008</v>
      </c>
      <c r="L11" s="8" t="n">
        <v>11.67624194338216</v>
      </c>
    </row>
    <row r="12" spans="1:12" x14ac:dyDescent="0.25">
      <c r="A12">
        <v>1</v>
      </c>
      <c r="B12" s="8" t="n">
        <v>1213.9305369145</v>
      </c>
      <c r="C12" s="11">
        <f>B12/B$102</f>
        <v>2.0163154411934253E-2</v>
      </c>
      <c r="E12" s="110">
        <v>1</v>
      </c>
      <c r="F12" s="200" t="n">
        <v>1438.0</v>
      </c>
      <c r="G12" s="11">
        <f>F12/F$102</f>
        <v>2.3824180211955346E-2</v>
      </c>
      <c r="K12" s="8"/>
      <c r="L12" s="290"/>
    </row>
    <row r="13" spans="1:12" x14ac:dyDescent="0.25">
      <c r="A13">
        <v>2</v>
      </c>
      <c r="B13" s="8" t="n">
        <v>3724.920708267</v>
      </c>
      <c r="C13" s="11">
        <f ref="C13:C76" si="0" t="shared">B13/B$102</f>
        <v>6.1870221671743754E-2</v>
      </c>
      <c r="E13" s="111">
        <v>2</v>
      </c>
      <c r="F13" s="201" t="n">
        <v>2034.0</v>
      </c>
      <c r="G13" s="11">
        <f ref="G13:G76" si="1" t="shared">F13/F$102</f>
        <v>3.596918828089906E-2</v>
      </c>
    </row>
    <row r="14" spans="1:12" x14ac:dyDescent="0.25">
      <c r="A14">
        <v>3</v>
      </c>
      <c r="B14" s="8" t="n">
        <v>1739.63564769</v>
      </c>
      <c r="C14" s="11">
        <f si="0" t="shared"/>
        <v>2.8895015915848282E-2</v>
      </c>
      <c r="E14" s="112">
        <v>3</v>
      </c>
      <c r="F14" s="202" t="n">
        <v>3063.0</v>
      </c>
      <c r="G14" s="11">
        <f si="1" t="shared"/>
        <v>5.1424958823431545E-2</v>
      </c>
    </row>
    <row r="15" spans="1:12" x14ac:dyDescent="0.25">
      <c r="A15">
        <v>4</v>
      </c>
      <c r="B15" s="8" t="n">
        <v>7680.066178148</v>
      </c>
      <c r="C15" s="11">
        <f si="0" t="shared"/>
        <v>0.12756443267130585</v>
      </c>
      <c r="E15" s="113">
        <v>4</v>
      </c>
      <c r="F15" s="203" t="n">
        <v>4361.0</v>
      </c>
      <c r="G15" s="11">
        <f si="1" t="shared"/>
        <v>6.9559285940073531E-2</v>
      </c>
    </row>
    <row r="16" spans="1:12" x14ac:dyDescent="0.25">
      <c r="A16">
        <v>5</v>
      </c>
      <c r="B16" s="8" t="n">
        <v>5864.0835876341</v>
      </c>
      <c r="C16" s="11">
        <f si="0" t="shared"/>
        <v>9.7401308613989962E-2</v>
      </c>
      <c r="E16" s="114">
        <v>5</v>
      </c>
      <c r="F16" s="204" t="n">
        <v>4739.0</v>
      </c>
      <c r="G16" s="11">
        <f si="1" t="shared"/>
        <v>7.7861147620077523E-2</v>
      </c>
    </row>
    <row r="17" spans="1:7" x14ac:dyDescent="0.25">
      <c r="A17">
        <v>6</v>
      </c>
      <c r="B17" s="8" t="n">
        <v>3383.798457088</v>
      </c>
      <c r="C17" s="11">
        <f si="0" t="shared"/>
        <v>5.6204246218690919E-2</v>
      </c>
      <c r="E17" s="115">
        <v>6</v>
      </c>
      <c r="F17" s="205" t="n">
        <v>4607.0</v>
      </c>
      <c r="G17" s="11">
        <f si="1" t="shared"/>
        <v>7.6247358876669932E-2</v>
      </c>
    </row>
    <row r="18" spans="1:7" x14ac:dyDescent="0.25">
      <c r="A18">
        <v>7</v>
      </c>
      <c r="B18" s="8" t="n">
        <v>7063.0649348117</v>
      </c>
      <c r="C18" s="11">
        <f si="0" t="shared"/>
        <v>0.11731615983901819</v>
      </c>
      <c r="E18" s="116">
        <v>7</v>
      </c>
      <c r="F18" s="206" t="n">
        <v>4611.0</v>
      </c>
      <c r="G18" s="11">
        <f si="1" t="shared"/>
        <v>7.3086329379273632E-2</v>
      </c>
    </row>
    <row r="19" spans="1:7" x14ac:dyDescent="0.25">
      <c r="A19">
        <v>8</v>
      </c>
      <c r="B19" s="8" t="n">
        <v>3529.705995381</v>
      </c>
      <c r="C19" s="11">
        <f si="0" t="shared"/>
        <v>5.8627742567950461E-2</v>
      </c>
      <c r="E19" s="117">
        <v>8</v>
      </c>
      <c r="F19" s="207" t="n">
        <v>4109.0</v>
      </c>
      <c r="G19" s="11">
        <f si="1" t="shared"/>
        <v>6.7213469313058383E-2</v>
      </c>
    </row>
    <row r="20" spans="1:7" x14ac:dyDescent="0.25">
      <c r="A20">
        <v>9</v>
      </c>
      <c r="B20" s="8" t="n">
        <v>2450.492518207</v>
      </c>
      <c r="C20" s="11">
        <f si="0" t="shared"/>
        <v>4.0702212793397578E-2</v>
      </c>
      <c r="E20" s="118">
        <v>9</v>
      </c>
      <c r="F20" s="208" t="n">
        <v>3236.0</v>
      </c>
      <c r="G20" s="11">
        <f si="1" t="shared"/>
        <v>5.4269885371088226E-2</v>
      </c>
    </row>
    <row r="21" spans="1:7" x14ac:dyDescent="0.25">
      <c r="A21">
        <v>10</v>
      </c>
      <c r="B21" s="8" t="n">
        <v>7359.6219826975</v>
      </c>
      <c r="C21" s="11">
        <f si="0" t="shared"/>
        <v>0.1222419157753234</v>
      </c>
      <c r="E21" s="119">
        <v>10</v>
      </c>
      <c r="F21" s="209" t="n">
        <v>2975.0</v>
      </c>
      <c r="G21" s="11">
        <f si="1" t="shared"/>
        <v>4.9611526111767348E-2</v>
      </c>
    </row>
    <row r="22" spans="1:7" x14ac:dyDescent="0.25">
      <c r="A22">
        <v>11</v>
      </c>
      <c r="B22" s="8" t="n">
        <v>3260.555490085</v>
      </c>
      <c r="C22" s="11">
        <f si="0" t="shared"/>
        <v>5.415720407064302E-2</v>
      </c>
      <c r="E22" s="120">
        <v>11</v>
      </c>
      <c r="F22" s="210" t="n">
        <v>2865.0</v>
      </c>
      <c r="G22" s="11">
        <f si="1" t="shared"/>
        <v>4.9328697156737149E-2</v>
      </c>
    </row>
    <row r="23" spans="1:7" x14ac:dyDescent="0.25">
      <c r="A23">
        <v>12</v>
      </c>
      <c r="B23" s="8" t="n">
        <v>1905.987212251</v>
      </c>
      <c r="C23" s="11">
        <f si="0" t="shared"/>
        <v>3.1658083637528422E-2</v>
      </c>
      <c r="E23" s="121">
        <v>12</v>
      </c>
      <c r="F23" s="211" t="n">
        <v>2681.0</v>
      </c>
      <c r="G23" s="11">
        <f si="1" t="shared"/>
        <v>4.1958507328597336E-2</v>
      </c>
    </row>
    <row r="24" spans="1:7" x14ac:dyDescent="0.25">
      <c r="A24">
        <v>13</v>
      </c>
      <c r="B24" s="8" t="n">
        <v>731.1204108</v>
      </c>
      <c r="C24" s="11">
        <f si="0" t="shared"/>
        <v>1.2143770412223755E-2</v>
      </c>
      <c r="E24" s="122">
        <v>13</v>
      </c>
      <c r="F24" s="212" t="n">
        <v>2268.0</v>
      </c>
      <c r="G24" s="11">
        <f si="1" t="shared"/>
        <v>3.8082086944948176E-2</v>
      </c>
    </row>
    <row r="25" spans="1:7" x14ac:dyDescent="0.25">
      <c r="A25">
        <v>14</v>
      </c>
      <c r="B25" s="8" t="n">
        <v>2453.135096614</v>
      </c>
      <c r="C25" s="11">
        <f si="0" t="shared"/>
        <v>4.0746105516124044E-2</v>
      </c>
      <c r="E25" s="123">
        <v>14</v>
      </c>
      <c r="F25" s="213" t="n">
        <v>1945.0</v>
      </c>
      <c r="G25" s="11">
        <f si="1" t="shared"/>
        <v>2.9963232235846075E-2</v>
      </c>
    </row>
    <row r="26" spans="1:7" x14ac:dyDescent="0.25">
      <c r="A26">
        <v>15</v>
      </c>
      <c r="B26" s="8" t="n">
        <v>1553.501097341</v>
      </c>
      <c r="C26" s="11">
        <f si="0" t="shared"/>
        <v>2.5803356577891307E-2</v>
      </c>
      <c r="E26" s="124">
        <v>15</v>
      </c>
      <c r="F26" s="214" t="n">
        <v>1519.0</v>
      </c>
      <c r="G26" s="11">
        <f si="1" t="shared"/>
        <v>2.5338146971234633E-2</v>
      </c>
    </row>
    <row r="27" spans="1:7" x14ac:dyDescent="0.25">
      <c r="A27">
        <v>16</v>
      </c>
      <c r="B27" s="8" t="n">
        <v>0.0</v>
      </c>
      <c r="C27" s="11">
        <f si="0" t="shared"/>
        <v>0</v>
      </c>
      <c r="E27" s="125">
        <v>16</v>
      </c>
      <c r="F27" s="215" t="n">
        <v>1432.0</v>
      </c>
      <c r="G27" s="11">
        <f si="1" t="shared"/>
        <v>2.354135125692515E-2</v>
      </c>
    </row>
    <row r="28" spans="1:7" x14ac:dyDescent="0.25">
      <c r="A28">
        <v>17</v>
      </c>
      <c r="B28" s="8" t="n">
        <v>371.518941673</v>
      </c>
      <c r="C28" s="11">
        <f si="0" t="shared"/>
        <v>6.1708586777553835E-3</v>
      </c>
      <c r="E28" s="126">
        <v>17</v>
      </c>
      <c r="F28" s="216" t="n">
        <v>1255.0</v>
      </c>
      <c r="G28" s="11">
        <f si="1" t="shared"/>
        <v>1.9415375912955231E-2</v>
      </c>
    </row>
    <row r="29" spans="1:7" x14ac:dyDescent="0.25">
      <c r="A29">
        <v>18</v>
      </c>
      <c r="B29" s="8" t="n">
        <v>0.0</v>
      </c>
      <c r="C29" s="11">
        <f si="0" t="shared"/>
        <v>0</v>
      </c>
      <c r="E29" s="127">
        <v>18</v>
      </c>
      <c r="F29" s="217" t="n">
        <v>982.0</v>
      </c>
      <c r="G29" s="11">
        <f si="1" t="shared"/>
        <v>1.6703545344136289E-2</v>
      </c>
    </row>
    <row r="30" spans="1:7" x14ac:dyDescent="0.25">
      <c r="A30">
        <v>19</v>
      </c>
      <c r="B30" s="8" t="n">
        <v>528.042675668</v>
      </c>
      <c r="C30" s="11">
        <f si="0" t="shared"/>
        <v>8.7706880104085373E-3</v>
      </c>
      <c r="E30" s="128">
        <v>19</v>
      </c>
      <c r="F30" s="218" t="n">
        <v>869.0</v>
      </c>
      <c r="G30" s="11">
        <f si="1" t="shared"/>
        <v>1.4840201640407939E-2</v>
      </c>
    </row>
    <row r="31" spans="1:7" x14ac:dyDescent="0.25">
      <c r="A31">
        <v>20</v>
      </c>
      <c r="B31" s="8" t="n">
        <v>592.322814359</v>
      </c>
      <c r="C31" s="11">
        <f si="0" t="shared"/>
        <v>9.8383688394463424E-3</v>
      </c>
      <c r="E31" s="129">
        <v>20</v>
      </c>
      <c r="F31" s="219" t="n">
        <v>769.0</v>
      </c>
      <c r="G31" s="11">
        <f si="1" t="shared"/>
        <v>1.2910309947260718E-2</v>
      </c>
    </row>
    <row r="32" spans="1:7" x14ac:dyDescent="0.25">
      <c r="A32">
        <v>21</v>
      </c>
      <c r="B32" s="8" t="n">
        <v>580.468788606</v>
      </c>
      <c r="C32" s="11">
        <f si="0" t="shared"/>
        <v>9.6414757352755731E-3</v>
      </c>
      <c r="E32" s="130">
        <v>21</v>
      </c>
      <c r="F32" s="220" t="n">
        <v>651.0</v>
      </c>
      <c r="G32" s="11">
        <f si="1" t="shared"/>
        <v>1.2028549087460694E-2</v>
      </c>
    </row>
    <row r="33" spans="1:7" x14ac:dyDescent="0.25">
      <c r="A33">
        <v>22</v>
      </c>
      <c r="B33" s="8" t="n">
        <v>0.0</v>
      </c>
      <c r="C33" s="11">
        <f si="0" t="shared"/>
        <v>0</v>
      </c>
      <c r="E33" s="131">
        <v>22</v>
      </c>
      <c r="F33" s="221" t="n">
        <v>687.0</v>
      </c>
      <c r="G33" s="11">
        <f si="1" t="shared"/>
        <v>1.1878816111268238E-2</v>
      </c>
    </row>
    <row r="34" spans="1:7" x14ac:dyDescent="0.25">
      <c r="A34">
        <v>23</v>
      </c>
      <c r="B34" s="8" t="n">
        <v>375.564081349</v>
      </c>
      <c r="C34" s="11">
        <f si="0" t="shared"/>
        <v>6.2380476753337308E-3</v>
      </c>
      <c r="E34" s="132">
        <v>23</v>
      </c>
      <c r="F34" s="222" t="n">
        <v>608.0</v>
      </c>
      <c r="G34" s="11">
        <f si="1" t="shared"/>
        <v>1.0747500291147453E-2</v>
      </c>
    </row>
    <row r="35" spans="1:7" x14ac:dyDescent="0.25">
      <c r="A35">
        <v>24</v>
      </c>
      <c r="B35" s="8" t="n">
        <v>1325.8378067</v>
      </c>
      <c r="C35" s="11">
        <f si="0" t="shared"/>
        <v>2.2021912793808576E-2</v>
      </c>
      <c r="E35" s="133">
        <v>24</v>
      </c>
      <c r="F35" s="223" t="n">
        <v>520.0</v>
      </c>
      <c r="G35" s="11">
        <f si="1" t="shared"/>
        <v>9.3000815212870378E-3</v>
      </c>
    </row>
    <row r="36" spans="1:7" x14ac:dyDescent="0.25">
      <c r="A36">
        <v>25</v>
      </c>
      <c r="B36" s="8" t="n">
        <v>0.0</v>
      </c>
      <c r="C36" s="11">
        <f si="0" t="shared"/>
        <v>0</v>
      </c>
      <c r="E36" s="134">
        <v>25</v>
      </c>
      <c r="F36" s="224" t="n">
        <v>528.0</v>
      </c>
      <c r="G36" s="11">
        <f si="1" t="shared"/>
        <v>9.6328214683813872E-3</v>
      </c>
    </row>
    <row r="37" spans="1:7" x14ac:dyDescent="0.25">
      <c r="A37">
        <v>26</v>
      </c>
      <c r="B37" s="8" t="n">
        <v>1514.041722506</v>
      </c>
      <c r="C37" s="11">
        <f si="0" t="shared"/>
        <v>2.5147943896850451E-2</v>
      </c>
      <c r="E37" s="135">
        <v>26</v>
      </c>
      <c r="F37" s="225" t="n">
        <v>468.0</v>
      </c>
      <c r="G37" s="11">
        <f si="1" t="shared"/>
        <v>7.9857587302643619E-3</v>
      </c>
    </row>
    <row r="38" spans="1:7" x14ac:dyDescent="0.25">
      <c r="A38">
        <v>27</v>
      </c>
      <c r="B38" s="8" t="n">
        <v>0.0</v>
      </c>
      <c r="C38" s="11">
        <f si="0" t="shared"/>
        <v>0</v>
      </c>
      <c r="E38" s="136">
        <v>27</v>
      </c>
      <c r="F38" s="226" t="n">
        <v>417.0</v>
      </c>
      <c r="G38" s="11">
        <f si="1" t="shared"/>
        <v>6.2721480027284676E-3</v>
      </c>
    </row>
    <row r="39" spans="1:7" x14ac:dyDescent="0.25">
      <c r="A39">
        <v>28</v>
      </c>
      <c r="B39" s="8" t="n">
        <v>0.0</v>
      </c>
      <c r="C39" s="11">
        <f si="0" t="shared"/>
        <v>0</v>
      </c>
      <c r="E39" s="137">
        <v>28</v>
      </c>
      <c r="F39" s="227" t="n">
        <v>417.0</v>
      </c>
      <c r="G39" s="11">
        <f si="1" t="shared"/>
        <v>7.0374498810454687E-3</v>
      </c>
    </row>
    <row r="40" spans="1:7" x14ac:dyDescent="0.25">
      <c r="A40">
        <v>29</v>
      </c>
      <c r="B40" s="8" t="n">
        <v>0.0</v>
      </c>
      <c r="C40" s="11">
        <f si="0" t="shared"/>
        <v>0</v>
      </c>
      <c r="E40" s="138">
        <v>29</v>
      </c>
      <c r="F40" s="228" t="n">
        <v>376.0</v>
      </c>
      <c r="G40" s="11">
        <f si="1" t="shared"/>
        <v>6.6547989418869686E-3</v>
      </c>
    </row>
    <row r="41" spans="1:7" x14ac:dyDescent="0.25">
      <c r="A41">
        <v>30</v>
      </c>
      <c r="B41" s="8" t="n">
        <v>0.0</v>
      </c>
      <c r="C41" s="11">
        <f si="0" t="shared"/>
        <v>0</v>
      </c>
      <c r="E41" s="139">
        <v>30</v>
      </c>
      <c r="F41" s="229" t="n">
        <v>345.0</v>
      </c>
      <c r="G41" s="11">
        <f si="1" t="shared"/>
        <v>5.5401201191209015E-3</v>
      </c>
    </row>
    <row r="42" spans="1:7" x14ac:dyDescent="0.25">
      <c r="A42">
        <v>31</v>
      </c>
      <c r="B42" s="8" t="n">
        <v>421.9669505988</v>
      </c>
      <c r="C42" s="11">
        <f si="0" t="shared"/>
        <v>7.0087904727088096E-3</v>
      </c>
      <c r="E42" s="140">
        <v>31</v>
      </c>
      <c r="F42" s="230" t="n">
        <v>313.0</v>
      </c>
      <c r="G42" s="11">
        <f si="1" t="shared"/>
        <v>5.174106177317118E-3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141">
        <v>32</v>
      </c>
      <c r="F43" s="231" t="n">
        <v>286.0</v>
      </c>
      <c r="G43" s="11">
        <f si="1" t="shared"/>
        <v>5.3072021561548569E-3</v>
      </c>
    </row>
    <row r="44" spans="1:7" x14ac:dyDescent="0.25">
      <c r="A44">
        <v>33</v>
      </c>
      <c r="B44" s="8" t="n">
        <v>24.97125</v>
      </c>
      <c r="C44" s="11">
        <f si="0" t="shared"/>
        <v>4.1476769411269524E-4</v>
      </c>
      <c r="E44" s="142">
        <v>33</v>
      </c>
      <c r="F44" s="232" t="n">
        <v>238.0</v>
      </c>
      <c r="G44" s="11">
        <f si="1" t="shared"/>
        <v>4.5918112699020082E-3</v>
      </c>
    </row>
    <row r="45" spans="1:7" x14ac:dyDescent="0.25">
      <c r="A45">
        <v>34</v>
      </c>
      <c r="B45" s="8" t="n">
        <v>0.0</v>
      </c>
      <c r="C45" s="11">
        <f si="0" t="shared"/>
        <v>0</v>
      </c>
      <c r="E45" s="143">
        <v>34</v>
      </c>
      <c r="F45" s="233" t="n">
        <v>246.0</v>
      </c>
      <c r="G45" s="11">
        <f si="1" t="shared"/>
        <v>3.9263313757133111E-3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144">
        <v>35</v>
      </c>
      <c r="F46" s="234" t="n">
        <v>195.0</v>
      </c>
      <c r="G46" s="11">
        <f si="1" t="shared"/>
        <v>4.2923453175170946E-3</v>
      </c>
    </row>
    <row r="47" spans="1:7" x14ac:dyDescent="0.25">
      <c r="A47">
        <v>36</v>
      </c>
      <c r="B47" s="8" t="n">
        <v>0.0</v>
      </c>
      <c r="C47" s="11">
        <f si="0" t="shared"/>
        <v>0</v>
      </c>
      <c r="E47" s="145">
        <v>36</v>
      </c>
      <c r="F47" s="235" t="n">
        <v>195.0</v>
      </c>
      <c r="G47" s="11">
        <f si="1" t="shared"/>
        <v>3.8098723942302892E-3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146">
        <v>37</v>
      </c>
      <c r="F48" s="236" t="n">
        <v>178.0</v>
      </c>
      <c r="G48" s="11">
        <f si="1" t="shared"/>
        <v>2.8615635450113964E-3</v>
      </c>
    </row>
    <row r="49" spans="1:7" x14ac:dyDescent="0.25">
      <c r="A49">
        <v>38</v>
      </c>
      <c r="B49" s="8" t="n">
        <v>92.59117685140001</v>
      </c>
      <c r="C49" s="11">
        <f si="0" t="shared"/>
        <v>1.5379217667451949E-3</v>
      </c>
      <c r="E49" s="147">
        <v>38</v>
      </c>
      <c r="F49" s="237" t="n">
        <v>187.0</v>
      </c>
      <c r="G49" s="11">
        <f si="1" t="shared"/>
        <v>2.811652552947244E-3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148">
        <v>39</v>
      </c>
      <c r="F50" s="238" t="n">
        <v>137.0</v>
      </c>
      <c r="G50" s="11">
        <f si="1" t="shared"/>
        <v>2.6120085846906352E-3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149">
        <v>40</v>
      </c>
      <c r="F51" s="239" t="n">
        <v>122.0</v>
      </c>
      <c r="G51" s="11">
        <f si="1" t="shared"/>
        <v>2.3624536243698735E-3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150">
        <v>41</v>
      </c>
      <c r="F52" s="240" t="n">
        <v>98.0</v>
      </c>
      <c r="G52" s="11">
        <f si="1" t="shared"/>
        <v>2.0796246693396774E-3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151">
        <v>42</v>
      </c>
      <c r="F53" s="241" t="n">
        <v>100.0</v>
      </c>
      <c r="G53" s="11">
        <f si="1" t="shared"/>
        <v>1.5971517460528725E-3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68.0</v>
      </c>
      <c r="G54" s="11">
        <f si="1" t="shared"/>
        <v>1.4640557672151329E-3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153">
        <v>44</v>
      </c>
      <c r="F55" s="243" t="n">
        <v>61.0</v>
      </c>
      <c r="G55" s="11">
        <f si="1" t="shared"/>
        <v>1.2644117989585239E-3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154">
        <v>45</v>
      </c>
      <c r="F56" s="244" t="n">
        <v>52.0</v>
      </c>
      <c r="G56" s="11">
        <f si="1" t="shared"/>
        <v>1.4474187698604157E-3</v>
      </c>
    </row>
    <row r="57" spans="1:7" x14ac:dyDescent="0.25">
      <c r="A57">
        <v>46</v>
      </c>
      <c r="B57" s="8" t="n">
        <v>464.442048857</v>
      </c>
      <c r="C57" s="11">
        <f si="0" t="shared"/>
        <v>7.7142937439412772E-3</v>
      </c>
      <c r="E57" s="155">
        <v>46</v>
      </c>
      <c r="F57" s="245" t="n">
        <v>51.0</v>
      </c>
      <c r="G57" s="11">
        <f si="1" t="shared"/>
        <v>1.1146788227660671E-3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156">
        <v>47</v>
      </c>
      <c r="F58" s="246" t="n">
        <v>37.0</v>
      </c>
      <c r="G58" s="11">
        <f si="1" t="shared"/>
        <v>6.4884289683397943E-4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157">
        <v>48</v>
      </c>
      <c r="F59" s="247" t="n">
        <v>27.0</v>
      </c>
      <c r="G59" s="11">
        <f si="1" t="shared"/>
        <v>8.9839785715474074E-4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27.0</v>
      </c>
      <c r="G60" s="11">
        <f si="1" t="shared"/>
        <v>4.9910992064152262E-4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25.0</v>
      </c>
      <c r="G61" s="11">
        <f si="1" t="shared"/>
        <v>3.826509391585007E-4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18.0</v>
      </c>
      <c r="G62" s="11">
        <f si="1" t="shared"/>
        <v>5.4902091270567493E-4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17.0</v>
      </c>
      <c r="G63" s="11">
        <f si="1" t="shared"/>
        <v>4.3256193122265295E-4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14.0</v>
      </c>
      <c r="G64" s="11">
        <f si="1" t="shared"/>
        <v>3.4937694444906581E-4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163">
        <v>54</v>
      </c>
      <c r="F65" s="253" t="n">
        <v>16.0</v>
      </c>
      <c r="G65" s="11">
        <f si="1" t="shared"/>
        <v>3.826509391585007E-4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10.0</v>
      </c>
      <c r="G66" s="11">
        <f si="1" t="shared"/>
        <v>2.1628096561132648E-4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7.0</v>
      </c>
      <c r="G67" s="11">
        <f si="1" t="shared"/>
        <v>1.9964396825660906E-4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6.0</v>
      </c>
      <c r="G68" s="11">
        <f si="1" t="shared"/>
        <v>1.8300697090189161E-4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3.0</v>
      </c>
      <c r="G69" s="11">
        <f si="1" t="shared"/>
        <v>1.663699735471742E-4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3.0</v>
      </c>
      <c r="G70" s="11">
        <f si="1" t="shared"/>
        <v>1.3309597883773936E-4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3.0</v>
      </c>
      <c r="G71" s="11">
        <f si="1" t="shared"/>
        <v>3.3273994709434841E-5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5.0</v>
      </c>
      <c r="G72" s="11">
        <f si="1" t="shared"/>
        <v>6.6547989418869682E-5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2.0</v>
      </c>
      <c r="G73" s="11">
        <f si="1" t="shared"/>
        <v>9.9821984128304529E-5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1.0</v>
      </c>
      <c r="G74" s="11">
        <f si="1" t="shared"/>
        <v>4.9910992064152265E-5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1.0</v>
      </c>
      <c r="G75" s="11">
        <f si="1" t="shared"/>
        <v>4.9910992064152265E-5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1.0</v>
      </c>
      <c r="G76" s="11">
        <f si="1" t="shared"/>
        <v>1.663699735471742E-5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1.0</v>
      </c>
      <c r="G78" s="11">
        <f si="3" t="shared"/>
        <v>1.663699735471742E-5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0.0</v>
      </c>
      <c r="G79" s="11">
        <f si="3" t="shared"/>
        <v>1.663699735471742E-5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2.0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0.0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0.0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0.0</v>
      </c>
      <c r="G85" s="11">
        <f si="3" t="shared"/>
        <v>3.3273994709434841E-5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0.0</v>
      </c>
      <c r="G88" s="11">
        <f si="3" t="shared"/>
        <v>1.663699735471742E-5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0.0</v>
      </c>
      <c r="G101" s="11">
        <f si="3" t="shared"/>
        <v>0</v>
      </c>
    </row>
    <row r="102" spans="1:7" x14ac:dyDescent="0.25">
      <c r="B102" s="8">
        <f>SUM(B11:B101)</f>
        <v>60205.388111098015</v>
      </c>
      <c r="C102" s="11">
        <f si="2" t="shared"/>
        <v>1</v>
      </c>
      <c r="F102" s="8">
        <f>SUM(F11:F101)</f>
        <v>60107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3" workbookViewId="0" zoomScaleNormal="100">
      <selection activeCell="AD37" sqref="AD37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10186.0086381006</v>
      </c>
      <c r="C7" s="12" t="n">
        <v>2849.560516044</v>
      </c>
      <c r="D7" s="12" t="n">
        <v>1770.988754765</v>
      </c>
      <c r="E7" s="12" t="n">
        <v>593.11938678</v>
      </c>
      <c r="F7" s="12" t="n">
        <v>369.3324893894</v>
      </c>
      <c r="G7" s="12" t="n">
        <v>194.275643408</v>
      </c>
      <c r="H7" s="12" t="n">
        <v>2005.698525535</v>
      </c>
      <c r="I7" s="12"/>
      <c r="J7" s="12">
        <f>SUM(B7:I7)</f>
        <v>17968.983954021998</v>
      </c>
      <c r="K7" s="12"/>
      <c r="L7" t="str">
        <f>$A$7</f>
        <v>Bellevue</v>
      </c>
      <c r="M7" s="343" t="n">
        <v>10457.0</v>
      </c>
      <c r="N7" s="343" t="n">
        <v>5406.0</v>
      </c>
      <c r="O7" s="343" t="n">
        <v>1010.0</v>
      </c>
      <c r="P7" s="343" t="n">
        <v>2106.0</v>
      </c>
      <c r="Q7" s="343" t="n">
        <v>840.0</v>
      </c>
      <c r="R7" s="343" t="n">
        <v>393.0</v>
      </c>
      <c r="S7" s="343" t="n">
        <v>2470.0</v>
      </c>
      <c r="T7" s="291"/>
      <c r="U7" s="12">
        <f>SUM(M7:T7)</f>
        <v>22590</v>
      </c>
    </row>
    <row r="8" spans="1:21" x14ac:dyDescent="0.25">
      <c r="A8" t="s">
        <v>250</v>
      </c>
      <c r="B8" s="12" t="n">
        <v>421.449578017</v>
      </c>
      <c r="C8" s="12" t="n">
        <v>388.869709796</v>
      </c>
      <c r="D8" s="12" t="n">
        <v>0.0</v>
      </c>
      <c r="E8" s="12" t="n">
        <v>796.751705152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1607.0709929650002</v>
      </c>
      <c r="K8" s="12"/>
      <c r="L8" t="str">
        <f>$A$8</f>
        <v>Bellevue Downtown</v>
      </c>
      <c r="M8" s="343" t="n">
        <v>322.0</v>
      </c>
      <c r="N8" s="343" t="n">
        <v>1465.0</v>
      </c>
      <c r="O8" s="343" t="n">
        <v>29.0</v>
      </c>
      <c r="P8" s="343" t="n">
        <v>20.0</v>
      </c>
      <c r="Q8" s="343" t="n">
        <v>16.0</v>
      </c>
      <c r="R8" s="343" t="n">
        <v>3.0</v>
      </c>
      <c r="S8" s="343" t="n">
        <v>19.0</v>
      </c>
      <c r="T8" s="291"/>
      <c r="U8" s="12">
        <f ref="U8:U14" si="1" t="shared">SUM(M8:T8)</f>
        <v>1893</v>
      </c>
    </row>
    <row r="9" spans="1:21" x14ac:dyDescent="0.25">
      <c r="A9" t="s">
        <v>251</v>
      </c>
      <c r="B9" s="12" t="n">
        <v>298.46687061299997</v>
      </c>
      <c r="C9" s="12" t="n">
        <v>1100.619865651</v>
      </c>
      <c r="D9" s="12" t="n">
        <v>12876.117613169</v>
      </c>
      <c r="E9" s="12" t="n">
        <v>2825.6530529167</v>
      </c>
      <c r="F9" s="12" t="n">
        <v>1120.8068290428</v>
      </c>
      <c r="G9" s="12" t="n">
        <v>0.0</v>
      </c>
      <c r="H9" s="12" t="n">
        <v>2711.074635077</v>
      </c>
      <c r="I9" s="12"/>
      <c r="J9" s="12">
        <f si="0" t="shared"/>
        <v>20932.738866469503</v>
      </c>
      <c r="K9" s="13"/>
      <c r="L9" t="str">
        <f>$A$9</f>
        <v>Kirkland</v>
      </c>
      <c r="M9" s="343" t="n">
        <v>916.0</v>
      </c>
      <c r="N9" s="343" t="n">
        <v>1047.0</v>
      </c>
      <c r="O9" s="343" t="n">
        <v>12103.0</v>
      </c>
      <c r="P9" s="343" t="n">
        <v>2313.0</v>
      </c>
      <c r="Q9" s="343" t="n">
        <v>1245.0</v>
      </c>
      <c r="R9" s="343" t="n">
        <v>190.0</v>
      </c>
      <c r="S9" s="343" t="n">
        <v>1937.0</v>
      </c>
      <c r="T9" s="291"/>
      <c r="U9" s="12">
        <f si="1" t="shared"/>
        <v>19820</v>
      </c>
    </row>
    <row r="10" spans="1:21" x14ac:dyDescent="0.25">
      <c r="A10" t="s">
        <v>252</v>
      </c>
      <c r="B10" s="12" t="n">
        <v>485.995438886</v>
      </c>
      <c r="C10" s="12" t="n">
        <v>0.0</v>
      </c>
      <c r="D10" s="12" t="n">
        <v>1478.4824081478</v>
      </c>
      <c r="E10" s="12" t="n">
        <v>17618.8189468877</v>
      </c>
      <c r="F10" s="12" t="n">
        <v>0.0</v>
      </c>
      <c r="G10" s="12" t="n">
        <v>0.0</v>
      </c>
      <c r="H10" s="12" t="n">
        <v>113.29750372</v>
      </c>
      <c r="I10" s="12"/>
      <c r="J10" s="12">
        <f si="0" t="shared"/>
        <v>19696.594297641499</v>
      </c>
      <c r="K10" s="13"/>
      <c r="L10" t="str">
        <f>$A$10</f>
        <v>Redmond</v>
      </c>
      <c r="M10" s="343" t="n">
        <v>1786.0</v>
      </c>
      <c r="N10" s="343" t="n">
        <v>677.0</v>
      </c>
      <c r="O10" s="343" t="n">
        <v>2486.0</v>
      </c>
      <c r="P10" s="343" t="n">
        <v>9228.0</v>
      </c>
      <c r="Q10" s="343" t="n">
        <v>392.0</v>
      </c>
      <c r="R10" s="343" t="n">
        <v>93.0</v>
      </c>
      <c r="S10" s="343" t="n">
        <v>1151.0</v>
      </c>
      <c r="T10" s="291"/>
      <c r="U10" s="12">
        <f si="1" t="shared"/>
        <v>15794</v>
      </c>
    </row>
    <row r="11" spans="1:21" x14ac:dyDescent="0.25">
      <c r="A11" t="s">
        <v>248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343" t="n">
        <v>0.0</v>
      </c>
      <c r="N11" s="343" t="n">
        <v>0.0</v>
      </c>
      <c r="O11" s="343" t="n">
        <v>0.0</v>
      </c>
      <c r="P11" s="343" t="n">
        <v>0.0</v>
      </c>
      <c r="Q11" s="343" t="n">
        <v>0.0</v>
      </c>
      <c r="R11" s="343" t="n">
        <v>0.0</v>
      </c>
      <c r="S11" s="343" t="n">
        <v>0.0</v>
      </c>
      <c r="T11" s="291"/>
      <c r="U11" s="12">
        <f si="1" t="shared"/>
        <v>0</v>
      </c>
    </row>
    <row r="12" spans="1:21" x14ac:dyDescent="0.25">
      <c r="A12" t="s">
        <v>253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43" t="n">
        <v>0.0</v>
      </c>
      <c r="N12" s="343" t="n">
        <v>0.0</v>
      </c>
      <c r="O12" s="343" t="n">
        <v>0.0</v>
      </c>
      <c r="P12" s="343" t="n">
        <v>0.0</v>
      </c>
      <c r="Q12" s="343" t="n">
        <v>0.0</v>
      </c>
      <c r="R12" s="343" t="n">
        <v>0.0</v>
      </c>
      <c r="S12" s="343" t="n">
        <v>0.0</v>
      </c>
      <c r="T12" s="291"/>
      <c r="U12" s="12">
        <f si="1" t="shared"/>
        <v>0</v>
      </c>
    </row>
    <row r="13" spans="1:21" x14ac:dyDescent="0.25">
      <c r="A13" t="s">
        <v>254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$A$13</f>
        <v>Rest</v>
      </c>
      <c r="M13" s="343" t="n">
        <v>0.0</v>
      </c>
      <c r="N13" s="343" t="n">
        <v>0.0</v>
      </c>
      <c r="O13" s="343" t="n">
        <v>0.0</v>
      </c>
      <c r="P13" s="343" t="n">
        <v>0.0</v>
      </c>
      <c r="Q13" s="343" t="n">
        <v>0.0</v>
      </c>
      <c r="R13" s="343" t="n">
        <v>0.0</v>
      </c>
      <c r="S13" s="343" t="n">
        <v>0.0</v>
      </c>
      <c r="T13" s="291"/>
      <c r="U13" s="12">
        <f si="1" t="shared"/>
        <v>0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11391.920525616601</v>
      </c>
      <c r="C15" s="15">
        <f si="2" t="shared"/>
        <v>4339.0500914909999</v>
      </c>
      <c r="D15" s="15">
        <f si="2" t="shared"/>
        <v>16125.5887760818</v>
      </c>
      <c r="E15" s="15">
        <f si="2" t="shared"/>
        <v>21834.343091736398</v>
      </c>
      <c r="F15" s="15">
        <f si="2" t="shared"/>
        <v>1490.1393184322001</v>
      </c>
      <c r="G15" s="15">
        <f si="2" t="shared"/>
        <v>194.27564340800001</v>
      </c>
      <c r="H15" s="15">
        <f si="2" t="shared"/>
        <v>4830.070664332</v>
      </c>
      <c r="I15" s="15">
        <f si="2" t="shared"/>
        <v>0</v>
      </c>
      <c r="J15" s="15">
        <f si="2" t="shared"/>
        <v>60205.388111098</v>
      </c>
      <c r="K15" s="12"/>
      <c r="L15" s="15" t="s">
        <v>4</v>
      </c>
      <c r="M15" s="15">
        <f ref="M15:U15" si="3" t="shared">SUM(M7:M14)</f>
        <v>15157</v>
      </c>
      <c r="N15" s="15">
        <f si="3" t="shared"/>
        <v>8338</v>
      </c>
      <c r="O15" s="15">
        <f si="3" t="shared"/>
        <v>14534</v>
      </c>
      <c r="P15" s="15">
        <f si="3" t="shared"/>
        <v>12771</v>
      </c>
      <c r="Q15" s="15">
        <f si="3" t="shared"/>
        <v>2784</v>
      </c>
      <c r="R15" s="15">
        <f si="3" t="shared"/>
        <v>780</v>
      </c>
      <c r="S15" s="15">
        <f si="3" t="shared"/>
        <v>5733</v>
      </c>
      <c r="T15" s="15">
        <f si="3" t="shared"/>
        <v>0</v>
      </c>
      <c r="U15" s="15">
        <f si="3" t="shared"/>
        <v>60097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12805.506183514002</v>
      </c>
      <c r="C20" s="12">
        <f si="4" t="shared"/>
        <v>3582.3712805434207</v>
      </c>
      <c r="D20" s="12">
        <f si="4" t="shared"/>
        <v>2226.4272744918708</v>
      </c>
      <c r="E20" s="12">
        <f si="4" t="shared"/>
        <v>745.6496695441258</v>
      </c>
      <c r="F20" s="12">
        <f si="4" t="shared"/>
        <v>464.3123371168175</v>
      </c>
      <c r="G20" s="12">
        <f si="4" t="shared"/>
        <v>244.23678021062514</v>
      </c>
      <c r="H20" s="12">
        <f ref="H20" si="5" t="shared">($U7/$J7)*H7</f>
        <v>2521.4964745791426</v>
      </c>
      <c r="I20" s="12"/>
      <c r="J20" s="12">
        <f>SUM(B20:I20)</f>
        <v>22590.000000000007</v>
      </c>
      <c r="K20" s="12"/>
      <c r="L20" t="str">
        <f>$A$7</f>
        <v>Bellevue</v>
      </c>
      <c r="M20" s="12">
        <f ref="M20:M26" si="6" t="shared">M7</f>
        <v>11304</v>
      </c>
      <c r="N20" s="12">
        <f ref="N20:U20" si="7" t="shared">N7</f>
        <v>5059</v>
      </c>
      <c r="O20" s="12">
        <f si="7" t="shared"/>
        <v>784</v>
      </c>
      <c r="P20" s="12">
        <f si="7" t="shared"/>
        <v>1825</v>
      </c>
      <c r="Q20" s="12">
        <f si="7" t="shared"/>
        <v>889</v>
      </c>
      <c r="R20" s="12">
        <f si="7" t="shared"/>
        <v>415</v>
      </c>
      <c r="S20" s="12">
        <f ref="S20" si="8" t="shared">S7</f>
        <v>2314</v>
      </c>
      <c r="T20" s="12"/>
      <c r="U20" s="12">
        <f si="7" t="shared"/>
        <v>22590</v>
      </c>
    </row>
    <row r="21" spans="1:32" x14ac:dyDescent="0.25">
      <c r="A21" t="str">
        <f>$A$8</f>
        <v>Bellevue Downtown</v>
      </c>
      <c r="B21" s="12">
        <f ref="B21:G26" si="9" t="shared">($U8/$J8)*B8</f>
        <v>496.4336078982144</v>
      </c>
      <c r="C21" s="12">
        <f si="9" t="shared"/>
        <v>458.05715109429514</v>
      </c>
      <c r="D21" s="12">
        <f si="9" t="shared"/>
        <v>0</v>
      </c>
      <c r="E21" s="12">
        <f si="9" t="shared"/>
        <v>938.50924100749023</v>
      </c>
      <c r="F21" s="12">
        <f si="9" t="shared"/>
        <v>0</v>
      </c>
      <c r="G21" s="12">
        <f si="9" t="shared"/>
        <v>0</v>
      </c>
      <c r="H21" s="12">
        <f ref="H21" si="10" t="shared">($U8/$J8)*H8</f>
        <v>0</v>
      </c>
      <c r="I21" s="12"/>
      <c r="J21" s="12">
        <f ref="J21:J27" si="11" t="shared">SUM(B21:I21)</f>
        <v>1892.9999999999998</v>
      </c>
      <c r="K21" s="12"/>
      <c r="L21" t="str">
        <f>$A$8</f>
        <v>Bellevue Downtown</v>
      </c>
      <c r="M21" s="12">
        <f si="6" t="shared"/>
        <v>430</v>
      </c>
      <c r="N21" s="12">
        <f ref="N21:R26" si="12" t="shared">N8</f>
        <v>1383</v>
      </c>
      <c r="O21" s="12">
        <f si="12" t="shared"/>
        <v>17</v>
      </c>
      <c r="P21" s="12">
        <f si="12" t="shared"/>
        <v>19</v>
      </c>
      <c r="Q21" s="12">
        <f si="12" t="shared"/>
        <v>7</v>
      </c>
      <c r="R21" s="12">
        <f si="12" t="shared"/>
        <v>10</v>
      </c>
      <c r="S21" s="12">
        <f ref="S21" si="13" t="shared">S8</f>
        <v>27</v>
      </c>
      <c r="T21" s="12"/>
      <c r="U21" s="12">
        <f ref="U21:U26" si="14" t="shared">U8</f>
        <v>1893</v>
      </c>
    </row>
    <row r="22" spans="1:32" x14ac:dyDescent="0.25">
      <c r="A22" t="str">
        <f>$A$9</f>
        <v>Kirkland</v>
      </c>
      <c r="B22" s="12">
        <f si="9" t="shared"/>
        <v>282.6010209789323</v>
      </c>
      <c r="C22" s="12">
        <f si="9" t="shared"/>
        <v>1042.1133075970961</v>
      </c>
      <c r="D22" s="12">
        <f si="9" t="shared"/>
        <v>12191.651208232561</v>
      </c>
      <c r="E22" s="12">
        <f si="9" t="shared"/>
        <v>2675.4474828192729</v>
      </c>
      <c r="F22" s="12">
        <f si="9" t="shared"/>
        <v>1061.2271759244927</v>
      </c>
      <c r="G22" s="12">
        <f si="9" t="shared"/>
        <v>0</v>
      </c>
      <c r="H22" s="12">
        <f ref="H22" si="15" t="shared">($U9/$J9)*H9</f>
        <v>2566.9598044476434</v>
      </c>
      <c r="I22" s="12"/>
      <c r="J22" s="12">
        <f si="11" t="shared"/>
        <v>19820</v>
      </c>
      <c r="K22" s="13"/>
      <c r="L22" t="str">
        <f>$A$9</f>
        <v>Kirkland</v>
      </c>
      <c r="M22" s="12">
        <f si="6" t="shared"/>
        <v>1323</v>
      </c>
      <c r="N22" s="12">
        <f si="12" t="shared"/>
        <v>1131</v>
      </c>
      <c r="O22" s="12">
        <f si="12" t="shared"/>
        <v>11324</v>
      </c>
      <c r="P22" s="12">
        <f si="12" t="shared"/>
        <v>2183</v>
      </c>
      <c r="Q22" s="12">
        <f si="12" t="shared"/>
        <v>1460</v>
      </c>
      <c r="R22" s="12">
        <f si="12" t="shared"/>
        <v>228</v>
      </c>
      <c r="S22" s="12">
        <f ref="S22" si="16" t="shared">S9</f>
        <v>2171</v>
      </c>
      <c r="T22" s="12"/>
      <c r="U22" s="12">
        <f si="14" t="shared"/>
        <v>19820</v>
      </c>
    </row>
    <row r="23" spans="1:32" x14ac:dyDescent="0.25">
      <c r="A23" t="str">
        <f>$A$10</f>
        <v>Redmond</v>
      </c>
      <c r="B23" s="12">
        <f si="9" t="shared"/>
        <v>389.7024960647434</v>
      </c>
      <c r="C23" s="12">
        <f si="9" t="shared"/>
        <v>0</v>
      </c>
      <c r="D23" s="12">
        <f si="9" t="shared"/>
        <v>1185.5425766210992</v>
      </c>
      <c r="E23" s="12">
        <f si="9" t="shared"/>
        <v>14127.905679636455</v>
      </c>
      <c r="F23" s="12">
        <f si="9" t="shared"/>
        <v>0</v>
      </c>
      <c r="G23" s="12">
        <f si="9" t="shared"/>
        <v>0</v>
      </c>
      <c r="H23" s="12">
        <f ref="H23" si="17" t="shared">($U10/$J10)*H10</f>
        <v>90.849247677703758</v>
      </c>
      <c r="I23" s="12"/>
      <c r="J23" s="12">
        <f>SUM(B23:I23)</f>
        <v>15794.000000000002</v>
      </c>
      <c r="K23" s="13"/>
      <c r="L23" t="str">
        <f>$A$10</f>
        <v>Redmond</v>
      </c>
      <c r="M23" s="12">
        <f si="6" t="shared"/>
        <v>2100</v>
      </c>
      <c r="N23" s="12">
        <f si="12" t="shared"/>
        <v>765</v>
      </c>
      <c r="O23" s="12">
        <f si="12" t="shared"/>
        <v>2409</v>
      </c>
      <c r="P23" s="12">
        <f si="12" t="shared"/>
        <v>8744</v>
      </c>
      <c r="Q23" s="12">
        <f si="12" t="shared"/>
        <v>428</v>
      </c>
      <c r="R23" s="12">
        <f si="12" t="shared"/>
        <v>127</v>
      </c>
      <c r="S23" s="12">
        <f ref="S23" si="18" t="shared">S10</f>
        <v>1221</v>
      </c>
      <c r="T23" s="12"/>
      <c r="U23" s="12">
        <f si="14" t="shared"/>
        <v>15794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0</v>
      </c>
      <c r="R24" s="12">
        <f si="12" t="shared"/>
        <v>0</v>
      </c>
      <c r="S24" s="12">
        <f ref="S24" si="20" t="shared">S11</f>
        <v>0</v>
      </c>
      <c r="T24" s="12"/>
      <c r="U24" s="12">
        <f si="14" t="shared"/>
        <v>0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0</v>
      </c>
      <c r="R25" s="12">
        <f si="12" t="shared"/>
        <v>0</v>
      </c>
      <c r="S25" s="12">
        <f ref="S25:S26" si="22" t="shared">S12</f>
        <v>0</v>
      </c>
      <c r="T25" s="12"/>
      <c r="U25" s="12">
        <f si="14" t="shared"/>
        <v>0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0</v>
      </c>
      <c r="N26" s="12">
        <f si="12" t="shared"/>
        <v>0</v>
      </c>
      <c r="O26" s="12">
        <f si="12" t="shared"/>
        <v>0</v>
      </c>
      <c r="P26" s="12">
        <f si="12" t="shared"/>
        <v>0</v>
      </c>
      <c r="Q26" s="12">
        <f si="12" t="shared"/>
        <v>0</v>
      </c>
      <c r="R26" s="12">
        <f si="12" t="shared"/>
        <v>0</v>
      </c>
      <c r="S26" s="12">
        <f si="22" t="shared"/>
        <v>0</v>
      </c>
      <c r="T26" s="12"/>
      <c r="U26" s="12">
        <f si="14" t="shared"/>
        <v>0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15157</v>
      </c>
      <c r="N28" s="15">
        <f si="24" t="shared"/>
        <v>8338</v>
      </c>
      <c r="O28" s="15">
        <f si="24" t="shared"/>
        <v>14534</v>
      </c>
      <c r="P28" s="15">
        <f si="24" t="shared"/>
        <v>12771</v>
      </c>
      <c r="Q28" s="15">
        <f si="24" t="shared"/>
        <v>2784</v>
      </c>
      <c r="R28" s="15">
        <f si="24" t="shared"/>
        <v>780</v>
      </c>
      <c r="S28" s="15">
        <f si="24" t="shared"/>
        <v>5733</v>
      </c>
      <c r="T28" s="15">
        <f si="24" t="shared"/>
        <v>0</v>
      </c>
      <c r="U28" s="15">
        <f si="24" t="shared"/>
        <v>60097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6"/>
      <c r="J33" s="16" t="e">
        <f ref="J33:J38" si="27" t="shared">J20/$J$28</f>
        <v>#DIV/0!</v>
      </c>
      <c r="K33" s="12"/>
      <c r="L33" t="str">
        <f>$A$7</f>
        <v>Bellevue</v>
      </c>
      <c r="M33" s="16">
        <f ref="M33:R33" si="28" t="shared">M20/$U$28</f>
        <v>0.18809591160956454</v>
      </c>
      <c r="N33" s="16">
        <f si="28" t="shared"/>
        <v>8.4180574737507702E-2</v>
      </c>
      <c r="O33" s="16">
        <f si="28" t="shared"/>
        <v>1.3045576318285439E-2</v>
      </c>
      <c r="P33" s="16">
        <f si="28" t="shared"/>
        <v>3.0367572424580262E-2</v>
      </c>
      <c r="Q33" s="16">
        <f si="28" t="shared"/>
        <v>1.4792751718055809E-2</v>
      </c>
      <c r="R33" s="16">
        <f si="28" t="shared"/>
        <v>6.9055027705209908E-3</v>
      </c>
      <c r="S33" s="16">
        <f ref="S33" si="29" t="shared">S20/$U$28</f>
        <v>3.8504417857796562E-2</v>
      </c>
      <c r="T33" s="16"/>
      <c r="U33" s="16">
        <f ref="U33:U39" si="30" t="shared">U20/$U$28</f>
        <v>0.3758923074363113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si="25" t="shared"/>
        <v>#DIV/0!</v>
      </c>
      <c r="C34" s="16" t="e">
        <f si="25" t="shared"/>
        <v>#DIV/0!</v>
      </c>
      <c r="D34" s="16" t="e">
        <f si="25" t="shared"/>
        <v>#DIV/0!</v>
      </c>
      <c r="E34" s="16" t="e">
        <f si="25" t="shared"/>
        <v>#DIV/0!</v>
      </c>
      <c r="F34" s="16" t="e">
        <f si="25" t="shared"/>
        <v>#DIV/0!</v>
      </c>
      <c r="G34" s="16" t="e">
        <f ref="G34:H34" si="33" t="shared">G21/$J$28</f>
        <v>#DIV/0!</v>
      </c>
      <c r="H34" s="16" t="e">
        <f si="33" t="shared"/>
        <v>#DIV/0!</v>
      </c>
      <c r="I34" s="16"/>
      <c r="J34" s="16" t="e">
        <f si="27" t="shared"/>
        <v>#DIV/0!</v>
      </c>
      <c r="K34" s="12"/>
      <c r="L34" t="str">
        <f>$A$8</f>
        <v>Bellevue Downtown</v>
      </c>
      <c r="M34" s="16">
        <f ref="M34:R39" si="34" t="shared">M21/$U$28</f>
        <v>7.1550992562024723E-3</v>
      </c>
      <c r="N34" s="16">
        <f si="34" t="shared"/>
        <v>2.3012795979832603E-2</v>
      </c>
      <c r="O34" s="16">
        <f si="34" t="shared"/>
        <v>2.8287601710567917E-4</v>
      </c>
      <c r="P34" s="16">
        <f si="34" t="shared"/>
        <v>3.1615554852987672E-4</v>
      </c>
      <c r="Q34" s="16">
        <f si="34" t="shared"/>
        <v>1.1647835998469142E-4</v>
      </c>
      <c r="R34" s="16">
        <f si="34" t="shared"/>
        <v>1.6639765712098774E-4</v>
      </c>
      <c r="S34" s="16">
        <f ref="S34" si="35" t="shared">S21/$U$28</f>
        <v>4.4927367422666688E-4</v>
      </c>
      <c r="T34" s="16"/>
      <c r="U34" s="16">
        <f si="30" t="shared"/>
        <v>3.149907649300298E-2</v>
      </c>
      <c r="W34" t="str">
        <f>$A$8</f>
        <v>Bellevue Downtown</v>
      </c>
      <c r="X34" s="16" t="e">
        <f ref="X34:X38" si="36" t="shared">M34-B34</f>
        <v>#DIV/0!</v>
      </c>
      <c r="Y34" s="16" t="e">
        <f ref="Y34:AD38" si="37" t="shared">N34-C34</f>
        <v>#DIV/0!</v>
      </c>
      <c r="Z34" s="16" t="e">
        <f si="37" t="shared"/>
        <v>#DIV/0!</v>
      </c>
      <c r="AA34" s="16" t="e">
        <f si="37" t="shared"/>
        <v>#DIV/0!</v>
      </c>
      <c r="AB34" s="16" t="e">
        <f si="37" t="shared"/>
        <v>#DIV/0!</v>
      </c>
      <c r="AC34" s="16" t="e">
        <f si="37" t="shared"/>
        <v>#DIV/0!</v>
      </c>
      <c r="AD34" s="16" t="e">
        <f si="37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25" t="shared"/>
        <v>#DIV/0!</v>
      </c>
      <c r="C35" s="16" t="e">
        <f si="25" t="shared"/>
        <v>#DIV/0!</v>
      </c>
      <c r="D35" s="16" t="e">
        <f si="25" t="shared"/>
        <v>#DIV/0!</v>
      </c>
      <c r="E35" s="16" t="e">
        <f si="25" t="shared"/>
        <v>#DIV/0!</v>
      </c>
      <c r="F35" s="16" t="e">
        <f si="25" t="shared"/>
        <v>#DIV/0!</v>
      </c>
      <c r="G35" s="16" t="e">
        <f ref="G35:H35" si="38" t="shared">G22/$J$28</f>
        <v>#DIV/0!</v>
      </c>
      <c r="H35" s="16" t="e">
        <f si="38" t="shared"/>
        <v>#DIV/0!</v>
      </c>
      <c r="I35" s="16"/>
      <c r="J35" s="16" t="e">
        <f si="27" t="shared"/>
        <v>#DIV/0!</v>
      </c>
      <c r="K35" s="13"/>
      <c r="L35" t="str">
        <f>$A$9</f>
        <v>Kirkland</v>
      </c>
      <c r="M35" s="16">
        <f si="34" t="shared"/>
        <v>2.2014410037106677E-2</v>
      </c>
      <c r="N35" s="16">
        <f si="34" t="shared"/>
        <v>1.8819575020383714E-2</v>
      </c>
      <c r="O35" s="16">
        <f si="34" t="shared"/>
        <v>0.1884287069238065</v>
      </c>
      <c r="P35" s="16">
        <f si="34" t="shared"/>
        <v>3.6324608549511625E-2</v>
      </c>
      <c r="Q35" s="16">
        <f si="34" t="shared"/>
        <v>2.4294057939664208E-2</v>
      </c>
      <c r="R35" s="16">
        <f si="34" t="shared"/>
        <v>3.7938665823585203E-3</v>
      </c>
      <c r="S35" s="16">
        <f ref="S35" si="39" t="shared">S22/$U$28</f>
        <v>3.6124931360966436E-2</v>
      </c>
      <c r="T35" s="16"/>
      <c r="U35" s="16">
        <f si="30" t="shared"/>
        <v>0.32980015641379767</v>
      </c>
      <c r="W35" t="str">
        <f>$A$9</f>
        <v>Kirkland</v>
      </c>
      <c r="X35" s="16" t="e">
        <f si="36" t="shared"/>
        <v>#DIV/0!</v>
      </c>
      <c r="Y35" s="16" t="e">
        <f si="37" t="shared"/>
        <v>#DIV/0!</v>
      </c>
      <c r="Z35" s="16" t="e">
        <f si="37" t="shared"/>
        <v>#DIV/0!</v>
      </c>
      <c r="AA35" s="16" t="e">
        <f si="37" t="shared"/>
        <v>#DIV/0!</v>
      </c>
      <c r="AB35" s="16" t="e">
        <f si="37" t="shared"/>
        <v>#DIV/0!</v>
      </c>
      <c r="AC35" s="16" t="e">
        <f si="37" t="shared"/>
        <v>#DIV/0!</v>
      </c>
      <c r="AD35" s="16" t="e">
        <f si="37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25" t="shared"/>
        <v>#DIV/0!</v>
      </c>
      <c r="C36" s="16" t="e">
        <f si="25" t="shared"/>
        <v>#DIV/0!</v>
      </c>
      <c r="D36" s="16" t="e">
        <f si="25" t="shared"/>
        <v>#DIV/0!</v>
      </c>
      <c r="E36" s="16" t="e">
        <f si="25" t="shared"/>
        <v>#DIV/0!</v>
      </c>
      <c r="F36" s="16" t="e">
        <f si="25" t="shared"/>
        <v>#DIV/0!</v>
      </c>
      <c r="G36" s="16" t="e">
        <f ref="G36:H36" si="40" t="shared">G23/$J$28</f>
        <v>#DIV/0!</v>
      </c>
      <c r="H36" s="16" t="e">
        <f si="40" t="shared"/>
        <v>#DIV/0!</v>
      </c>
      <c r="I36" s="16"/>
      <c r="J36" s="16" t="e">
        <f si="27" t="shared"/>
        <v>#DIV/0!</v>
      </c>
      <c r="K36" s="13"/>
      <c r="L36" t="str">
        <f>$A$10</f>
        <v>Redmond</v>
      </c>
      <c r="M36" s="16">
        <f si="34" t="shared"/>
        <v>3.4943507995407422E-2</v>
      </c>
      <c r="N36" s="16">
        <f si="34" t="shared"/>
        <v>1.2729420769755561E-2</v>
      </c>
      <c r="O36" s="16">
        <f si="34" t="shared"/>
        <v>4.0085195600445947E-2</v>
      </c>
      <c r="P36" s="16">
        <f si="34" t="shared"/>
        <v>0.14549811138659169</v>
      </c>
      <c r="Q36" s="16">
        <f si="34" t="shared"/>
        <v>7.1218197247782753E-3</v>
      </c>
      <c r="R36" s="16">
        <f si="34" t="shared"/>
        <v>2.1132502454365445E-3</v>
      </c>
      <c r="S36" s="16">
        <f ref="S36" si="41" t="shared">S23/$U$28</f>
        <v>2.0317153934472601E-2</v>
      </c>
      <c r="T36" s="16"/>
      <c r="U36" s="16">
        <f si="30" t="shared"/>
        <v>0.26280845965688804</v>
      </c>
      <c r="W36" t="str">
        <f>$A$10</f>
        <v>Redmond</v>
      </c>
      <c r="X36" s="16" t="e">
        <f si="36" t="shared"/>
        <v>#DIV/0!</v>
      </c>
      <c r="Y36" s="16" t="e">
        <f si="37" t="shared"/>
        <v>#DIV/0!</v>
      </c>
      <c r="Z36" s="16" t="e">
        <f si="37" t="shared"/>
        <v>#DIV/0!</v>
      </c>
      <c r="AA36" s="16" t="e">
        <f si="37" t="shared"/>
        <v>#DIV/0!</v>
      </c>
      <c r="AB36" s="16" t="e">
        <f si="37" t="shared"/>
        <v>#DIV/0!</v>
      </c>
      <c r="AC36" s="16" t="e">
        <f si="37" t="shared"/>
        <v>#DIV/0!</v>
      </c>
      <c r="AD36" s="16" t="e">
        <f si="37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25" t="shared"/>
        <v>#DIV/0!</v>
      </c>
      <c r="C37" s="16" t="e">
        <f si="25" t="shared"/>
        <v>#DIV/0!</v>
      </c>
      <c r="D37" s="16" t="e">
        <f si="25" t="shared"/>
        <v>#DIV/0!</v>
      </c>
      <c r="E37" s="16" t="e">
        <f si="25" t="shared"/>
        <v>#DIV/0!</v>
      </c>
      <c r="F37" s="16" t="e">
        <f si="25" t="shared"/>
        <v>#DIV/0!</v>
      </c>
      <c r="G37" s="16" t="e">
        <f ref="G37:H37" si="42" t="shared">G24/$J$28</f>
        <v>#DIV/0!</v>
      </c>
      <c r="H37" s="16" t="e">
        <f si="42" t="shared"/>
        <v>#DIV/0!</v>
      </c>
      <c r="I37" s="16"/>
      <c r="J37" s="16" t="e">
        <f si="27" t="shared"/>
        <v>#DIV/0!</v>
      </c>
      <c r="K37" s="13"/>
      <c r="L37" t="str">
        <f>$A$11</f>
        <v>Seattle</v>
      </c>
      <c r="M37" s="16">
        <f si="34" t="shared"/>
        <v>0</v>
      </c>
      <c r="N37" s="16">
        <f si="34" t="shared"/>
        <v>0</v>
      </c>
      <c r="O37" s="16">
        <f si="34" t="shared"/>
        <v>0</v>
      </c>
      <c r="P37" s="16">
        <f si="34" t="shared"/>
        <v>0</v>
      </c>
      <c r="Q37" s="16">
        <f si="34" t="shared"/>
        <v>0</v>
      </c>
      <c r="R37" s="16">
        <f si="34" t="shared"/>
        <v>0</v>
      </c>
      <c r="S37" s="16">
        <f ref="S37" si="43" t="shared">S24/$U$28</f>
        <v>0</v>
      </c>
      <c r="T37" s="16"/>
      <c r="U37" s="16">
        <f si="30" t="shared"/>
        <v>0</v>
      </c>
      <c r="W37" t="str">
        <f>$A$11</f>
        <v>Seattle</v>
      </c>
      <c r="X37" s="16" t="e">
        <f si="36" t="shared"/>
        <v>#DIV/0!</v>
      </c>
      <c r="Y37" s="16" t="e">
        <f si="37" t="shared"/>
        <v>#DIV/0!</v>
      </c>
      <c r="Z37" s="16" t="e">
        <f si="37" t="shared"/>
        <v>#DIV/0!</v>
      </c>
      <c r="AA37" s="16" t="e">
        <f si="37" t="shared"/>
        <v>#DIV/0!</v>
      </c>
      <c r="AB37" s="16" t="e">
        <f si="37" t="shared"/>
        <v>#DIV/0!</v>
      </c>
      <c r="AC37" s="16" t="e">
        <f si="37" t="shared"/>
        <v>#DIV/0!</v>
      </c>
      <c r="AD37" s="16" t="e">
        <f si="37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25" t="shared"/>
        <v>#DIV/0!</v>
      </c>
      <c r="C38" s="16" t="e">
        <f si="25" t="shared"/>
        <v>#DIV/0!</v>
      </c>
      <c r="D38" s="16" t="e">
        <f si="25" t="shared"/>
        <v>#DIV/0!</v>
      </c>
      <c r="E38" s="16" t="e">
        <f si="25" t="shared"/>
        <v>#DIV/0!</v>
      </c>
      <c r="F38" s="16" t="e">
        <f si="25" t="shared"/>
        <v>#DIV/0!</v>
      </c>
      <c r="G38" s="16" t="e">
        <f ref="G38:H39" si="44" t="shared">G25/$J$28</f>
        <v>#DIV/0!</v>
      </c>
      <c r="H38" s="16" t="e">
        <f si="44" t="shared"/>
        <v>#DIV/0!</v>
      </c>
      <c r="I38" s="16"/>
      <c r="J38" s="16" t="e">
        <f si="27" t="shared"/>
        <v>#DIV/0!</v>
      </c>
      <c r="K38" s="13"/>
      <c r="L38" t="str">
        <f>$A$12</f>
        <v>Seattle Downtown</v>
      </c>
      <c r="M38" s="16">
        <f si="34" t="shared"/>
        <v>0</v>
      </c>
      <c r="N38" s="16">
        <f si="34" t="shared"/>
        <v>0</v>
      </c>
      <c r="O38" s="16">
        <f si="34" t="shared"/>
        <v>0</v>
      </c>
      <c r="P38" s="16">
        <f si="34" t="shared"/>
        <v>0</v>
      </c>
      <c r="Q38" s="16">
        <f si="34" t="shared"/>
        <v>0</v>
      </c>
      <c r="R38" s="16">
        <f si="34" t="shared"/>
        <v>0</v>
      </c>
      <c r="S38" s="16">
        <f ref="S38:S39" si="45" t="shared">S25/$U$28</f>
        <v>0</v>
      </c>
      <c r="T38" s="16"/>
      <c r="U38" s="16">
        <f si="30" t="shared"/>
        <v>0</v>
      </c>
      <c r="W38" t="str">
        <f>$A$12</f>
        <v>Seattle Downtown</v>
      </c>
      <c r="X38" s="16" t="e">
        <f si="36" t="shared"/>
        <v>#DIV/0!</v>
      </c>
      <c r="Y38" s="16" t="e">
        <f si="37" t="shared"/>
        <v>#DIV/0!</v>
      </c>
      <c r="Z38" s="16" t="e">
        <f si="37" t="shared"/>
        <v>#DIV/0!</v>
      </c>
      <c r="AA38" s="16" t="e">
        <f si="37" t="shared"/>
        <v>#DIV/0!</v>
      </c>
      <c r="AB38" s="16" t="e">
        <f si="37" t="shared"/>
        <v>#DIV/0!</v>
      </c>
      <c r="AC38" s="16" t="e">
        <f si="37" t="shared"/>
        <v>#DIV/0!</v>
      </c>
      <c r="AD38" s="16" t="e">
        <f si="37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25" t="shared"/>
        <v>#DIV/0!</v>
      </c>
      <c r="C39" s="16" t="e">
        <f si="25" t="shared"/>
        <v>#DIV/0!</v>
      </c>
      <c r="D39" s="16" t="e">
        <f si="25" t="shared"/>
        <v>#DIV/0!</v>
      </c>
      <c r="E39" s="16" t="e">
        <f si="25" t="shared"/>
        <v>#DIV/0!</v>
      </c>
      <c r="F39" s="16" t="e">
        <f si="25" t="shared"/>
        <v>#DIV/0!</v>
      </c>
      <c r="G39" s="16" t="e">
        <f si="44" t="shared"/>
        <v>#DIV/0!</v>
      </c>
      <c r="H39" s="16" t="e">
        <f si="44" t="shared"/>
        <v>#DIV/0!</v>
      </c>
      <c r="I39" s="16"/>
      <c r="J39" s="16" t="e">
        <f si="25" t="shared"/>
        <v>#DIV/0!</v>
      </c>
      <c r="K39" s="13"/>
      <c r="L39" t="str">
        <f>$A$13</f>
        <v>Rest</v>
      </c>
      <c r="M39" s="16">
        <f si="34" t="shared"/>
        <v>0</v>
      </c>
      <c r="N39" s="16">
        <f si="34" t="shared"/>
        <v>0</v>
      </c>
      <c r="O39" s="16">
        <f si="34" t="shared"/>
        <v>0</v>
      </c>
      <c r="P39" s="16">
        <f si="34" t="shared"/>
        <v>0</v>
      </c>
      <c r="Q39" s="16">
        <f si="34" t="shared"/>
        <v>0</v>
      </c>
      <c r="R39" s="16">
        <f si="34" t="shared"/>
        <v>0</v>
      </c>
      <c r="S39" s="16">
        <f si="45" t="shared"/>
        <v>0</v>
      </c>
      <c r="T39" s="16"/>
      <c r="U39" s="16">
        <f si="30" t="shared"/>
        <v>0</v>
      </c>
      <c r="W39" t="str">
        <f>$A$13</f>
        <v>Rest</v>
      </c>
      <c r="X39" s="16" t="e">
        <f ref="X39" si="46" t="shared">M39-B39</f>
        <v>#DIV/0!</v>
      </c>
      <c r="Y39" s="16" t="e">
        <f ref="Y39" si="47" t="shared">N39-C39</f>
        <v>#DIV/0!</v>
      </c>
      <c r="Z39" s="16" t="e">
        <f ref="Z39" si="48" t="shared">O39-D39</f>
        <v>#DIV/0!</v>
      </c>
      <c r="AA39" s="16" t="e">
        <f ref="AA39" si="49" t="shared">P39-E39</f>
        <v>#DIV/0!</v>
      </c>
      <c r="AB39" s="16" t="e">
        <f ref="AB39" si="50" t="shared">Q39-F39</f>
        <v>#DIV/0!</v>
      </c>
      <c r="AC39" s="16" t="e">
        <f ref="AC39" si="51" t="shared">R39-G39</f>
        <v>#DIV/0!</v>
      </c>
      <c r="AD39" s="16" t="e">
        <f ref="AD39" si="52" t="shared">S39-H39</f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0.25220892889828112</v>
      </c>
      <c r="N41" s="18">
        <f>N28/$U$28</f>
        <v>0.13874236650747956</v>
      </c>
      <c r="O41" s="18">
        <f>O28/$U$28</f>
        <v>0.24184235485964359</v>
      </c>
      <c r="P41" s="18">
        <f>P28/$U$28</f>
        <v>0.21250644790921344</v>
      </c>
      <c r="Q41" s="18">
        <f ref="Q41:S41" si="54" t="shared">Q28/$U$28</f>
        <v>4.6325107742482989E-2</v>
      </c>
      <c r="R41" s="18">
        <f si="54" t="shared"/>
        <v>1.2979017255437044E-2</v>
      </c>
      <c r="S41" s="18">
        <f si="54" t="shared"/>
        <v>9.5395776827462267E-2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18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abSelected="1" topLeftCell="F1" workbookViewId="0">
      <selection activeCell="T18" sqref="T18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ht="15.75" r="2" spans="3:24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6813.2459325225</v>
      </c>
      <c r="F4" s="302" t="s">
        <v>48</v>
      </c>
      <c r="G4" s="303">
        <f>TLFD!F11</f>
        <v>9322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27076.925800696299</v>
      </c>
      <c r="F5" s="305" t="s">
        <v>51</v>
      </c>
      <c r="G5" s="306">
        <f>TLFD!F12+TLFD!F13+(TLFD!F14/2)</f>
        <v>19837.5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22253.901112610998</v>
      </c>
      <c r="F6" s="305" t="s">
        <v>54</v>
      </c>
      <c r="G6" s="306">
        <f>(TLFD!F14/2)+SUM(TLFD!F15:F20)</f>
        <v>22897.5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4061.3152652682006</v>
      </c>
      <c r="F7" s="308" t="s">
        <v>57</v>
      </c>
      <c r="G7" s="309">
        <f>SUM(TLFD!F21:F101)</f>
        <v>8050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270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60205.388111098</v>
      </c>
      <c r="E8" s="313"/>
      <c r="F8" s="311" t="s">
        <v>4</v>
      </c>
      <c r="G8" s="312">
        <f>SUM(G4:G7)</f>
        <v>60107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271</v>
      </c>
      <c r="V9" s="321"/>
      <c r="W9" s="321"/>
      <c r="X9" s="321"/>
    </row>
    <row ht="15.75" r="10" spans="3:24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0.1131667139152048</v>
      </c>
      <c r="F12" s="302" t="s">
        <v>48</v>
      </c>
      <c r="G12" s="316">
        <f>G4/G$8</f>
        <v>0.15509008934067581</v>
      </c>
      <c r="H12" s="316"/>
      <c r="I12" s="356">
        <f>D12/G12</f>
        <v>0.72968372380403501</v>
      </c>
      <c r="J12" s="357">
        <f>LN(I12)</f>
        <v>-0.31514409378475833</v>
      </c>
      <c r="K12" s="357">
        <f>K8*J12</f>
        <v>-0.31514409378475833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ref="D13:D16" si="1" t="shared">D5/D$8</f>
        <v>0.44974256707274768</v>
      </c>
      <c r="F13" s="305" t="s">
        <v>51</v>
      </c>
      <c r="G13" s="317">
        <f ref="G13:G16" si="2" t="shared">G5/G$8</f>
        <v>0.33003643502420682</v>
      </c>
      <c r="H13" s="317"/>
      <c r="I13" s="356">
        <f ref="I13:I15" si="3" t="shared">D13/G13</f>
        <v>1.362705808647342</v>
      </c>
      <c r="J13" s="357">
        <f ref="J13:J15" si="4" t="shared">LN(I13)</f>
        <v>0.30947228836625718</v>
      </c>
      <c r="K13" s="357">
        <f>K8*(J13-J12)</f>
        <v>0.62461638215101556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si="1" t="shared"/>
        <v>0.36963304798476682</v>
      </c>
      <c r="F14" s="305" t="s">
        <v>54</v>
      </c>
      <c r="G14" s="317">
        <f si="2" t="shared"/>
        <v>0.38094564692964211</v>
      </c>
      <c r="H14" s="317"/>
      <c r="I14" s="356">
        <f si="3" t="shared"/>
        <v>0.97030390283744428</v>
      </c>
      <c r="J14" s="357">
        <f si="4" t="shared"/>
        <v>-3.0145954659225944E-2</v>
      </c>
      <c r="K14" s="357">
        <f>K8*(J14-J13-J12)</f>
        <v>-2.4474149240724774E-2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275</v>
      </c>
      <c r="V14" s="321"/>
      <c r="W14" s="321"/>
      <c r="X14" s="321"/>
    </row>
    <row ht="15.75" r="15" spans="3:24" thickBot="1" x14ac:dyDescent="0.3">
      <c r="C15" s="308" t="s">
        <v>57</v>
      </c>
      <c r="D15" s="317">
        <f si="1" t="shared"/>
        <v>6.7457671027280619E-2</v>
      </c>
      <c r="F15" s="308" t="s">
        <v>57</v>
      </c>
      <c r="G15" s="317">
        <f si="2" t="shared"/>
        <v>0.13392782870547523</v>
      </c>
      <c r="H15" s="317"/>
      <c r="I15" s="358">
        <f si="3" t="shared"/>
        <v>0.50368673694866539</v>
      </c>
      <c r="J15" s="359">
        <f si="4" t="shared"/>
        <v>-0.68580075782861449</v>
      </c>
      <c r="K15" s="359">
        <f>K8*(J15-J14-J13-J12)</f>
        <v>-0.6499829977508873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276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51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54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57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-0.31514409378475833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51</v>
      </c>
      <c r="D34" s="379">
        <f ref="D34:D36" si="7" t="shared">K13</f>
        <v>0.62461638215101556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54</v>
      </c>
      <c r="D35" s="379">
        <f si="7" t="shared"/>
        <v>-2.4474149240724774E-2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57</v>
      </c>
      <c r="D36" s="326">
        <f si="7" t="shared"/>
        <v>-0.6499829977508873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-21.12537248248476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-6.559020965078985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-3.6845716882907249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-2.0105287251108872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-21.12537248248476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51</v>
      </c>
      <c r="D44" s="380">
        <f ref="D44:D46" si="9" t="shared">D24+D34</f>
        <v>-6.559020965078985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54</v>
      </c>
      <c r="D45" s="380">
        <f si="9" t="shared"/>
        <v>-3.6845716882907249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57</v>
      </c>
      <c r="D46" s="381">
        <f si="9" t="shared"/>
        <v>-2.0105287251108872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2017-10-26T15:42:45Z</dcterms:modified>
</cp:coreProperties>
</file>