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3">SchoolAtHome!$B$7:$D$13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SchoolAtHome!$B$18:$D$24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County_Flow!$M$7:$S$13</definedName>
    <definedName name="out12">SchoolAtHome!$I$18:$K$24</definedName>
    <definedName name="out14">SchoolAtHome!$I$7:$K$13</definedName>
  </definedNames>
  <calcPr calcId="171027"/>
</workbook>
</file>

<file path=xl/calcChain.xml><?xml version="1.0" encoding="utf-8"?>
<calcChain xmlns="http://schemas.openxmlformats.org/spreadsheetml/2006/main"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P33" s="1"/>
  <c i="12" r="J33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" l="1" r="H23"/>
  <c i="1" r="H24"/>
  <c i="1" r="H25"/>
  <c i="12" r="Q33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B26" s="1"/>
  <c i="1" r="U9"/>
  <c i="1" r="H22" s="1"/>
  <c i="1" r="U8"/>
  <c i="1" r="H21" s="1"/>
  <c i="1" r="U7"/>
  <c i="1" r="J7"/>
  <c i="1" l="1" r="C26"/>
  <c i="1" r="H20"/>
  <c i="1" r="G26"/>
  <c i="1" r="D26"/>
  <c i="1" r="F26"/>
  <c i="1" r="H26"/>
  <c i="1" r="E26"/>
  <c i="1" r="I26"/>
  <c i="1" r="J26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" l="1" r="Q39"/>
  <c i="1" r="R39"/>
  <c i="1" r="S36"/>
  <c i="1" r="S38"/>
  <c i="1" r="M39"/>
  <c i="1" r="S34"/>
  <c i="1" r="S35"/>
  <c i="1" r="S39"/>
  <c i="1" r="N39"/>
  <c i="1" r="O39"/>
  <c i="1" r="S33"/>
  <c i="1" r="S37"/>
  <c i="1" r="P39"/>
  <c i="1" r="F39"/>
  <c i="1" r="C39"/>
  <c i="15" r="G17"/>
  <c i="1" r="H28"/>
  <c i="1" r="T40"/>
  <c i="1" r="N40"/>
  <c i="1" r="Q40"/>
  <c i="1" r="U40"/>
  <c i="1" r="T39"/>
  <c i="1" r="P40"/>
  <c i="1" r="M40"/>
  <c i="1" r="R40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E39" s="1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Y39"/>
  <c i="1" r="B39"/>
  <c i="1" r="X39" s="1"/>
  <c i="1" r="H37"/>
  <c i="1" r="AD37" s="1"/>
  <c i="1" r="H36"/>
  <c i="1" r="AD36" s="1"/>
  <c i="1" r="H34"/>
  <c i="1" r="H38"/>
  <c i="1" r="AD38" s="1"/>
  <c i="1" r="H35"/>
  <c i="1" r="AD35" s="1"/>
  <c i="1" r="AB39"/>
  <c i="1" r="G39"/>
  <c i="1" r="AC39" s="1"/>
  <c i="1" r="H39"/>
  <c i="1" r="AD39" s="1"/>
  <c i="1" r="H33"/>
  <c i="1" r="AD33" s="1"/>
  <c i="1" r="AA39"/>
  <c i="1" r="AD34"/>
  <c i="1" r="D39"/>
  <c i="1" r="Z39" s="1"/>
  <c i="1" r="I39"/>
  <c i="1" r="AE39" s="1"/>
  <c i="1" r="F35"/>
  <c i="1" r="AB35" s="1"/>
  <c i="1" r="H40"/>
  <c i="1" r="AD40" s="1"/>
  <c i="1" r="J39"/>
  <c i="1" r="AF39" s="1"/>
  <c i="1" r="H41"/>
  <c i="1" r="AD41" s="1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<sst xmlns="http://schemas.openxmlformats.org/spreadsheetml/2006/main" count="673" uniqueCount="260">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</sst>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43"/>
  </cellStyleXfs>
  <cellXfs count="8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14834.553100000001</c:v>
                </c:pt>
                <c:pt idx="1">
                  <c:v>18552.0612</c:v>
                </c:pt>
                <c:pt idx="2">
                  <c:v>7025.4825999999994</c:v>
                </c:pt>
                <c:pt idx="3">
                  <c:v>7254.1774999999998</c:v>
                </c:pt>
                <c:pt idx="4">
                  <c:v>3511.0261</c:v>
                </c:pt>
                <c:pt idx="5">
                  <c:v>6394.0339999999997</c:v>
                </c:pt>
                <c:pt idx="6">
                  <c:v>1422.3348000000001</c:v>
                </c:pt>
                <c:pt idx="7">
                  <c:v>2031.2883999999999</c:v>
                </c:pt>
                <c:pt idx="8">
                  <c:v>1182.6101000000001</c:v>
                </c:pt>
                <c:pt idx="9">
                  <c:v>892.60860000000002</c:v>
                </c:pt>
                <c:pt idx="10">
                  <c:v>975.43669999999997</c:v>
                </c:pt>
                <c:pt idx="11">
                  <c:v>712.69229999999993</c:v>
                </c:pt>
                <c:pt idx="12">
                  <c:v>16.52</c:v>
                </c:pt>
                <c:pt idx="13">
                  <c:v>4.1100000000000003</c:v>
                </c:pt>
                <c:pt idx="14">
                  <c:v>416.34710000000001</c:v>
                </c:pt>
                <c:pt idx="15">
                  <c:v>901.9212</c:v>
                </c:pt>
                <c:pt idx="16">
                  <c:v>263.86059999999998</c:v>
                </c:pt>
                <c:pt idx="17">
                  <c:v>8.1179999999999986</c:v>
                </c:pt>
                <c:pt idx="18">
                  <c:v>277.2167</c:v>
                </c:pt>
                <c:pt idx="19">
                  <c:v>157.15029999999999</c:v>
                </c:pt>
                <c:pt idx="20">
                  <c:v>278.70570000000004</c:v>
                </c:pt>
                <c:pt idx="21">
                  <c:v>14.021000000000001</c:v>
                </c:pt>
                <c:pt idx="22">
                  <c:v>12.24</c:v>
                </c:pt>
                <c:pt idx="23">
                  <c:v>118.8946</c:v>
                </c:pt>
                <c:pt idx="24">
                  <c:v>423.09899999999999</c:v>
                </c:pt>
                <c:pt idx="25">
                  <c:v>55.068000000000005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12258</c:v>
                </c:pt>
                <c:pt idx="1">
                  <c:v>15032</c:v>
                </c:pt>
                <c:pt idx="2">
                  <c:v>12726</c:v>
                </c:pt>
                <c:pt idx="3">
                  <c:v>10287</c:v>
                </c:pt>
                <c:pt idx="4">
                  <c:v>8708</c:v>
                </c:pt>
                <c:pt idx="5">
                  <c:v>5639</c:v>
                </c:pt>
                <c:pt idx="6">
                  <c:v>3827</c:v>
                </c:pt>
                <c:pt idx="7">
                  <c:v>3077</c:v>
                </c:pt>
                <c:pt idx="8">
                  <c:v>2645</c:v>
                </c:pt>
                <c:pt idx="9">
                  <c:v>1759</c:v>
                </c:pt>
                <c:pt idx="10">
                  <c:v>1678</c:v>
                </c:pt>
                <c:pt idx="11">
                  <c:v>1078</c:v>
                </c:pt>
                <c:pt idx="12">
                  <c:v>1059</c:v>
                </c:pt>
                <c:pt idx="13">
                  <c:v>815</c:v>
                </c:pt>
                <c:pt idx="14">
                  <c:v>620</c:v>
                </c:pt>
                <c:pt idx="15">
                  <c:v>569</c:v>
                </c:pt>
                <c:pt idx="16">
                  <c:v>430</c:v>
                </c:pt>
                <c:pt idx="17">
                  <c:v>346</c:v>
                </c:pt>
                <c:pt idx="18">
                  <c:v>246</c:v>
                </c:pt>
                <c:pt idx="19">
                  <c:v>156</c:v>
                </c:pt>
                <c:pt idx="20">
                  <c:v>195</c:v>
                </c:pt>
                <c:pt idx="21">
                  <c:v>85</c:v>
                </c:pt>
                <c:pt idx="22">
                  <c:v>92</c:v>
                </c:pt>
                <c:pt idx="23">
                  <c:v>40</c:v>
                </c:pt>
                <c:pt idx="24">
                  <c:v>21</c:v>
                </c:pt>
                <c:pt idx="25">
                  <c:v>39</c:v>
                </c:pt>
                <c:pt idx="26">
                  <c:v>19</c:v>
                </c:pt>
                <c:pt idx="27">
                  <c:v>28</c:v>
                </c:pt>
                <c:pt idx="28">
                  <c:v>5</c:v>
                </c:pt>
                <c:pt idx="29">
                  <c:v>8</c:v>
                </c:pt>
                <c:pt idx="30">
                  <c:v>1</c:v>
                </c:pt>
                <c:pt idx="31">
                  <c:v>3</c:v>
                </c:pt>
                <c:pt idx="32">
                  <c:v>4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880344"/>
        <c:axId val="332879560"/>
      </c:lineChart>
      <c:catAx>
        <c:axId val="332880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2879560"/>
        <c:crosses val="autoZero"/>
        <c:auto val="1"/>
        <c:lblAlgn val="ctr"/>
        <c:lblOffset val="100"/>
        <c:noMultiLvlLbl val="0"/>
      </c:catAx>
      <c:valAx>
        <c:axId val="332879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2880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8113.0439000000006</c:v>
                </c:pt>
                <c:pt idx="4">
                  <c:v>8158.9631999999992</c:v>
                </c:pt>
                <c:pt idx="5">
                  <c:v>3067.7630999999997</c:v>
                </c:pt>
                <c:pt idx="6">
                  <c:v>2652.7209999999995</c:v>
                </c:pt>
                <c:pt idx="7">
                  <c:v>7879.9254999999994</c:v>
                </c:pt>
                <c:pt idx="8">
                  <c:v>2016.2357999999999</c:v>
                </c:pt>
                <c:pt idx="9">
                  <c:v>2670.8879999999999</c:v>
                </c:pt>
                <c:pt idx="10">
                  <c:v>2937.7461999999996</c:v>
                </c:pt>
                <c:pt idx="11">
                  <c:v>3879.7048999999997</c:v>
                </c:pt>
                <c:pt idx="12">
                  <c:v>3978.1617999999999</c:v>
                </c:pt>
                <c:pt idx="13">
                  <c:v>614.89459999999997</c:v>
                </c:pt>
                <c:pt idx="14">
                  <c:v>1032.1676</c:v>
                </c:pt>
                <c:pt idx="15">
                  <c:v>230.28989999999999</c:v>
                </c:pt>
                <c:pt idx="16">
                  <c:v>0</c:v>
                </c:pt>
                <c:pt idx="17">
                  <c:v>448.16160000000002</c:v>
                </c:pt>
                <c:pt idx="18">
                  <c:v>863.57900000000006</c:v>
                </c:pt>
                <c:pt idx="19">
                  <c:v>1051.6351</c:v>
                </c:pt>
                <c:pt idx="20">
                  <c:v>130.96619999999999</c:v>
                </c:pt>
                <c:pt idx="21">
                  <c:v>555.94860000000006</c:v>
                </c:pt>
                <c:pt idx="22">
                  <c:v>844.47050000000002</c:v>
                </c:pt>
                <c:pt idx="23">
                  <c:v>244.27179999999998</c:v>
                </c:pt>
                <c:pt idx="24">
                  <c:v>0</c:v>
                </c:pt>
                <c:pt idx="25">
                  <c:v>0</c:v>
                </c:pt>
                <c:pt idx="26">
                  <c:v>541.97919999999999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170.7131</c:v>
                </c:pt>
                <c:pt idx="31">
                  <c:v>0</c:v>
                </c:pt>
                <c:pt idx="32">
                  <c:v>118.39579999999999</c:v>
                </c:pt>
                <c:pt idx="33">
                  <c:v>314.726</c:v>
                </c:pt>
                <c:pt idx="34">
                  <c:v>616.37980000000005</c:v>
                </c:pt>
                <c:pt idx="35">
                  <c:v>181.72189999999998</c:v>
                </c:pt>
                <c:pt idx="36">
                  <c:v>17.616</c:v>
                </c:pt>
                <c:pt idx="37">
                  <c:v>30.786999999999999</c:v>
                </c:pt>
                <c:pt idx="38">
                  <c:v>18.872999999999998</c:v>
                </c:pt>
                <c:pt idx="39">
                  <c:v>260.4196</c:v>
                </c:pt>
                <c:pt idx="40">
                  <c:v>16.699000000000002</c:v>
                </c:pt>
                <c:pt idx="41">
                  <c:v>16.850999999999999</c:v>
                </c:pt>
                <c:pt idx="42">
                  <c:v>4.1100000000000003</c:v>
                </c:pt>
                <c:pt idx="43">
                  <c:v>140.3503</c:v>
                </c:pt>
                <c:pt idx="44">
                  <c:v>266.90070000000003</c:v>
                </c:pt>
                <c:pt idx="45">
                  <c:v>7.7850000000000001</c:v>
                </c:pt>
                <c:pt idx="46">
                  <c:v>3.6749999999999998</c:v>
                </c:pt>
                <c:pt idx="47">
                  <c:v>260.52670000000001</c:v>
                </c:pt>
                <c:pt idx="48">
                  <c:v>42.828000000000003</c:v>
                </c:pt>
                <c:pt idx="49">
                  <c:v>131.13460000000001</c:v>
                </c:pt>
                <c:pt idx="50">
                  <c:v>423.09899999999999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1217</c:v>
                </c:pt>
                <c:pt idx="1">
                  <c:v>4264</c:v>
                </c:pt>
                <c:pt idx="2">
                  <c:v>5077</c:v>
                </c:pt>
                <c:pt idx="3">
                  <c:v>5276</c:v>
                </c:pt>
                <c:pt idx="4">
                  <c:v>6068</c:v>
                </c:pt>
                <c:pt idx="5">
                  <c:v>6067</c:v>
                </c:pt>
                <c:pt idx="6">
                  <c:v>6055</c:v>
                </c:pt>
                <c:pt idx="7">
                  <c:v>5935</c:v>
                </c:pt>
                <c:pt idx="8">
                  <c:v>5392</c:v>
                </c:pt>
                <c:pt idx="9">
                  <c:v>4998</c:v>
                </c:pt>
                <c:pt idx="10">
                  <c:v>4355</c:v>
                </c:pt>
                <c:pt idx="11">
                  <c:v>3721</c:v>
                </c:pt>
                <c:pt idx="12">
                  <c:v>3652</c:v>
                </c:pt>
                <c:pt idx="13">
                  <c:v>2355</c:v>
                </c:pt>
                <c:pt idx="14">
                  <c:v>2064</c:v>
                </c:pt>
                <c:pt idx="15">
                  <c:v>2127</c:v>
                </c:pt>
                <c:pt idx="16">
                  <c:v>1663</c:v>
                </c:pt>
                <c:pt idx="17">
                  <c:v>1376</c:v>
                </c:pt>
                <c:pt idx="18">
                  <c:v>1254</c:v>
                </c:pt>
                <c:pt idx="19">
                  <c:v>1055</c:v>
                </c:pt>
                <c:pt idx="20">
                  <c:v>979</c:v>
                </c:pt>
                <c:pt idx="21">
                  <c:v>946</c:v>
                </c:pt>
                <c:pt idx="22">
                  <c:v>904</c:v>
                </c:pt>
                <c:pt idx="23">
                  <c:v>607</c:v>
                </c:pt>
                <c:pt idx="24">
                  <c:v>537</c:v>
                </c:pt>
                <c:pt idx="25">
                  <c:v>596</c:v>
                </c:pt>
                <c:pt idx="26">
                  <c:v>623</c:v>
                </c:pt>
                <c:pt idx="27">
                  <c:v>367</c:v>
                </c:pt>
                <c:pt idx="28">
                  <c:v>418</c:v>
                </c:pt>
                <c:pt idx="29">
                  <c:v>357</c:v>
                </c:pt>
                <c:pt idx="30">
                  <c:v>322</c:v>
                </c:pt>
                <c:pt idx="31">
                  <c:v>254</c:v>
                </c:pt>
                <c:pt idx="32">
                  <c:v>397</c:v>
                </c:pt>
                <c:pt idx="33">
                  <c:v>240</c:v>
                </c:pt>
                <c:pt idx="34">
                  <c:v>263</c:v>
                </c:pt>
                <c:pt idx="35">
                  <c:v>214</c:v>
                </c:pt>
                <c:pt idx="36">
                  <c:v>222</c:v>
                </c:pt>
                <c:pt idx="37">
                  <c:v>268</c:v>
                </c:pt>
                <c:pt idx="38">
                  <c:v>167</c:v>
                </c:pt>
                <c:pt idx="39">
                  <c:v>116</c:v>
                </c:pt>
                <c:pt idx="40">
                  <c:v>138</c:v>
                </c:pt>
                <c:pt idx="41">
                  <c:v>97</c:v>
                </c:pt>
                <c:pt idx="42">
                  <c:v>79</c:v>
                </c:pt>
                <c:pt idx="43">
                  <c:v>88</c:v>
                </c:pt>
                <c:pt idx="44">
                  <c:v>30</c:v>
                </c:pt>
                <c:pt idx="45">
                  <c:v>41</c:v>
                </c:pt>
                <c:pt idx="46">
                  <c:v>35</c:v>
                </c:pt>
                <c:pt idx="47">
                  <c:v>37</c:v>
                </c:pt>
                <c:pt idx="48">
                  <c:v>22</c:v>
                </c:pt>
                <c:pt idx="49">
                  <c:v>40</c:v>
                </c:pt>
                <c:pt idx="50">
                  <c:v>13</c:v>
                </c:pt>
                <c:pt idx="51">
                  <c:v>14</c:v>
                </c:pt>
                <c:pt idx="52">
                  <c:v>33</c:v>
                </c:pt>
                <c:pt idx="53">
                  <c:v>4</c:v>
                </c:pt>
                <c:pt idx="54">
                  <c:v>23</c:v>
                </c:pt>
                <c:pt idx="55">
                  <c:v>9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882304"/>
        <c:axId val="332879952"/>
      </c:lineChart>
      <c:catAx>
        <c:axId val="33288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2879952"/>
        <c:crosses val="autoZero"/>
        <c:auto val="1"/>
        <c:lblAlgn val="ctr"/>
        <c:lblOffset val="100"/>
        <c:noMultiLvlLbl val="0"/>
      </c:catAx>
      <c:valAx>
        <c:axId val="332879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2882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1"/>
  <sheetViews>
    <sheetView workbookViewId="0">
      <selection activeCell="L21" sqref="L2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ht="15.75" r="9" spans="1:19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ht="15.75" r="11" spans="1:19" thickBot="1" x14ac:dyDescent="0.3">
      <c r="A11">
        <v>0</v>
      </c>
      <c r="B11" s="83" t="n">
        <v>14660.232100000001</v>
      </c>
      <c r="C11" s="83" t="n">
        <v>0.0</v>
      </c>
      <c r="D11" s="83" t="n">
        <v>174.321</v>
      </c>
      <c r="E11" s="83">
        <f ref="E11:E42" si="0" t="shared">SUM(B11:D11)</f>
        <v>14834.553100000001</v>
      </c>
      <c r="G11">
        <v>0</v>
      </c>
      <c r="H11" s="83" t="n">
        <v>10989.0</v>
      </c>
      <c r="I11" s="83" t="n">
        <v>1185.0</v>
      </c>
      <c r="J11" s="85" t="n">
        <v>575.0</v>
      </c>
      <c r="K11" s="83">
        <f ref="K11:K42" si="1" t="shared">SUM(H11:J11)</f>
        <v>12258</v>
      </c>
      <c r="M11" t="s">
        <v>41</v>
      </c>
      <c r="N11" s="9" t="n">
        <v>2.3285338791320034</v>
      </c>
      <c r="O11" s="9" t="n">
        <v>3.3309027545068215</v>
      </c>
      <c r="Q11" s="1" t="s">
        <v>3</v>
      </c>
      <c r="R11" s="10"/>
      <c r="S11" s="10"/>
    </row>
    <row r="12" spans="1:19" x14ac:dyDescent="0.25">
      <c r="A12">
        <v>1</v>
      </c>
      <c r="B12" s="83" t="n">
        <v>15367.6228</v>
      </c>
      <c r="C12" s="83" t="n">
        <v>2889.7989</v>
      </c>
      <c r="D12" s="83" t="n">
        <v>294.6395</v>
      </c>
      <c r="E12" s="83">
        <f si="0" t="shared"/>
        <v>18552.0612</v>
      </c>
      <c r="G12">
        <v>1</v>
      </c>
      <c r="H12" s="83" t="n">
        <v>11343.0</v>
      </c>
      <c r="I12" s="83" t="n">
        <v>1892.0</v>
      </c>
      <c r="J12" s="85" t="n">
        <v>2179.0</v>
      </c>
      <c r="K12" s="83">
        <f si="1" t="shared"/>
        <v>15032</v>
      </c>
      <c r="M12" t="s">
        <v>42</v>
      </c>
      <c r="N12" s="9" t="n">
        <v>3.714006804866318</v>
      </c>
      <c r="O12" s="9" t="n">
        <v>4.863847037040395</v>
      </c>
      <c r="R12" s="9"/>
      <c r="S12" s="9"/>
    </row>
    <row r="13" spans="1:19" x14ac:dyDescent="0.25">
      <c r="A13">
        <v>2</v>
      </c>
      <c r="B13" s="83" t="n">
        <v>6244.3326</v>
      </c>
      <c r="C13" s="83" t="n">
        <v>420.54069999999996</v>
      </c>
      <c r="D13" s="83" t="n">
        <v>360.60929999999996</v>
      </c>
      <c r="E13" s="83">
        <f si="0" t="shared"/>
        <v>7025.4825999999994</v>
      </c>
      <c r="G13">
        <v>2</v>
      </c>
      <c r="H13" s="83" t="n">
        <v>8583.0</v>
      </c>
      <c r="I13" s="83" t="n">
        <v>1901.0</v>
      </c>
      <c r="J13" s="85" t="n">
        <v>1991.0</v>
      </c>
      <c r="K13" s="83">
        <f si="1" t="shared"/>
        <v>12726</v>
      </c>
      <c r="M13" s="6" t="s">
        <v>43</v>
      </c>
      <c r="N13" s="18" t="n">
        <v>12.006070377300153</v>
      </c>
      <c r="O13" s="18" t="n">
        <v>6.491622318865152</v>
      </c>
      <c r="Q13" s="7"/>
      <c r="R13" s="33"/>
      <c r="S13" s="33"/>
    </row>
    <row ht="15.75" r="14" spans="1:19" thickBot="1" x14ac:dyDescent="0.3">
      <c r="A14">
        <v>3</v>
      </c>
      <c r="B14" s="83" t="n">
        <v>5314.468</v>
      </c>
      <c r="C14" s="83" t="n">
        <v>1939.7095</v>
      </c>
      <c r="D14" s="83" t="n">
        <v>0.0</v>
      </c>
      <c r="E14" s="83">
        <f si="0" t="shared"/>
        <v>7254.1774999999998</v>
      </c>
      <c r="G14">
        <v>3</v>
      </c>
      <c r="H14" s="83" t="n">
        <v>6439.0</v>
      </c>
      <c r="I14" s="83" t="n">
        <v>1709.0</v>
      </c>
      <c r="J14" s="85" t="n">
        <v>2353.0</v>
      </c>
      <c r="K14" s="83">
        <f si="1" t="shared"/>
        <v>10287</v>
      </c>
      <c r="M14" s="1" t="s">
        <v>3</v>
      </c>
      <c r="N14" s="10" t="n">
        <v>3.1086996665693154</v>
      </c>
      <c r="O14" s="10" t="n">
        <v>4.237432605224499</v>
      </c>
    </row>
    <row r="15" spans="1:19" x14ac:dyDescent="0.25">
      <c r="A15">
        <v>4</v>
      </c>
      <c r="B15" s="83" t="n">
        <v>2955.2424</v>
      </c>
      <c r="C15" s="83" t="n">
        <v>555.7837</v>
      </c>
      <c r="D15" s="83" t="n">
        <v>0.0</v>
      </c>
      <c r="E15" s="83">
        <f si="0" t="shared"/>
        <v>3511.0261</v>
      </c>
      <c r="G15">
        <v>4</v>
      </c>
      <c r="H15" s="83" t="n">
        <v>4384.0</v>
      </c>
      <c r="I15" s="83" t="n">
        <v>1446.0</v>
      </c>
      <c r="J15" s="85" t="n">
        <v>2561.0</v>
      </c>
      <c r="K15" s="83">
        <f si="1" t="shared"/>
        <v>8708</v>
      </c>
    </row>
    <row r="16" spans="1:19" x14ac:dyDescent="0.25">
      <c r="A16">
        <v>5</v>
      </c>
      <c r="B16" s="83" t="n">
        <v>5914.3087</v>
      </c>
      <c r="C16" s="83" t="n">
        <v>479.7253</v>
      </c>
      <c r="D16" s="83" t="n">
        <v>0.0</v>
      </c>
      <c r="E16" s="83">
        <f si="0" t="shared"/>
        <v>6394.0339999999997</v>
      </c>
      <c r="G16">
        <v>5</v>
      </c>
      <c r="H16" s="83" t="n">
        <v>2876.0</v>
      </c>
      <c r="I16" s="83" t="n">
        <v>1202.0</v>
      </c>
      <c r="J16" s="85" t="n">
        <v>1457.0</v>
      </c>
      <c r="K16" s="83">
        <f si="1" t="shared"/>
        <v>5639</v>
      </c>
    </row>
    <row r="17" spans="1:11" x14ac:dyDescent="0.25">
      <c r="A17">
        <v>6</v>
      </c>
      <c r="B17" s="83" t="n">
        <v>626.6615</v>
      </c>
      <c r="C17" s="83" t="n">
        <v>542.4142</v>
      </c>
      <c r="D17" s="83" t="n">
        <v>253.2591</v>
      </c>
      <c r="E17" s="83">
        <f si="0" t="shared"/>
        <v>1422.3348000000001</v>
      </c>
      <c r="G17">
        <v>6</v>
      </c>
      <c r="H17" s="83" t="n">
        <v>2133.0</v>
      </c>
      <c r="I17" s="83" t="n">
        <v>882.0</v>
      </c>
      <c r="J17" s="85" t="n">
        <v>767.0</v>
      </c>
      <c r="K17" s="83">
        <f si="1" t="shared"/>
        <v>3827</v>
      </c>
    </row>
    <row r="18" spans="1:11" x14ac:dyDescent="0.25">
      <c r="A18">
        <v>7</v>
      </c>
      <c r="B18" s="83" t="n">
        <v>1171.1244</v>
      </c>
      <c r="C18" s="83" t="n">
        <v>294.342</v>
      </c>
      <c r="D18" s="83" t="n">
        <v>565.822</v>
      </c>
      <c r="E18" s="83">
        <f si="0" t="shared"/>
        <v>2031.2883999999999</v>
      </c>
      <c r="G18">
        <v>7</v>
      </c>
      <c r="H18" s="83" t="n">
        <v>1721.0</v>
      </c>
      <c r="I18" s="83" t="n">
        <v>756.0</v>
      </c>
      <c r="J18" s="85" t="n">
        <v>684.0</v>
      </c>
      <c r="K18" s="83">
        <f si="1" t="shared"/>
        <v>3077</v>
      </c>
    </row>
    <row r="19" spans="1:11" x14ac:dyDescent="0.25">
      <c r="A19">
        <v>8</v>
      </c>
      <c r="B19" s="83" t="n">
        <v>555.9486</v>
      </c>
      <c r="C19" s="83" t="n">
        <v>626.6615</v>
      </c>
      <c r="D19" s="83" t="n">
        <v>0.0</v>
      </c>
      <c r="E19" s="83">
        <f si="0" t="shared"/>
        <v>1182.6101000000001</v>
      </c>
      <c r="G19">
        <v>8</v>
      </c>
      <c r="H19" s="83" t="n">
        <v>1308.0</v>
      </c>
      <c r="I19" s="83" t="n">
        <v>524.0</v>
      </c>
      <c r="J19" s="85" t="n">
        <v>599.0</v>
      </c>
      <c r="K19" s="83">
        <f si="1" t="shared"/>
        <v>2645</v>
      </c>
    </row>
    <row r="20" spans="1:11" x14ac:dyDescent="0.25">
      <c r="A20">
        <v>9</v>
      </c>
      <c r="B20" s="83" t="n">
        <v>722.7306</v>
      </c>
      <c r="C20" s="83" t="n">
        <v>0.0</v>
      </c>
      <c r="D20" s="83" t="n">
        <v>169.878</v>
      </c>
      <c r="E20" s="83">
        <f si="0" t="shared"/>
        <v>892.60860000000002</v>
      </c>
      <c r="G20">
        <v>9</v>
      </c>
      <c r="H20" s="83" t="n">
        <v>863.0</v>
      </c>
      <c r="I20" s="83" t="n">
        <v>359.0</v>
      </c>
      <c r="J20" s="85" t="n">
        <v>634.0</v>
      </c>
      <c r="K20" s="83">
        <f si="1" t="shared"/>
        <v>1759</v>
      </c>
    </row>
    <row r="21" spans="1:11" x14ac:dyDescent="0.25">
      <c r="A21">
        <v>10</v>
      </c>
      <c r="B21" s="83" t="n">
        <v>975.4367</v>
      </c>
      <c r="C21" s="83" t="n">
        <v>0.0</v>
      </c>
      <c r="D21" s="83" t="n">
        <v>0.0</v>
      </c>
      <c r="E21" s="83">
        <f si="0" t="shared"/>
        <v>975.43669999999997</v>
      </c>
      <c r="G21">
        <v>10</v>
      </c>
      <c r="H21" s="83" t="n">
        <v>651.0</v>
      </c>
      <c r="I21" s="83" t="n">
        <v>299.0</v>
      </c>
      <c r="J21" s="85" t="n">
        <v>623.0</v>
      </c>
      <c r="K21" s="83">
        <f si="1" t="shared"/>
        <v>1678</v>
      </c>
    </row>
    <row r="22" spans="1:11" x14ac:dyDescent="0.25">
      <c r="A22">
        <v>11</v>
      </c>
      <c r="B22" s="83" t="n">
        <v>541.9792</v>
      </c>
      <c r="C22" s="83" t="n">
        <v>0.0</v>
      </c>
      <c r="D22" s="83" t="n">
        <v>170.7131</v>
      </c>
      <c r="E22" s="83">
        <f si="0" t="shared"/>
        <v>712.69229999999993</v>
      </c>
      <c r="G22">
        <v>11</v>
      </c>
      <c r="H22" s="83" t="n">
        <v>429.0</v>
      </c>
      <c r="I22" s="83" t="n">
        <v>209.0</v>
      </c>
      <c r="J22" s="85" t="n">
        <v>376.0</v>
      </c>
      <c r="K22" s="83">
        <f si="1" t="shared"/>
        <v>1078</v>
      </c>
    </row>
    <row r="23" spans="1:11" x14ac:dyDescent="0.25">
      <c r="A23">
        <v>12</v>
      </c>
      <c r="B23" s="83" t="n">
        <v>0.0</v>
      </c>
      <c r="C23" s="83" t="n">
        <v>0.0</v>
      </c>
      <c r="D23" s="83" t="n">
        <v>16.52</v>
      </c>
      <c r="E23" s="83">
        <f si="0" t="shared"/>
        <v>16.52</v>
      </c>
      <c r="G23">
        <v>12</v>
      </c>
      <c r="H23" s="83" t="n">
        <v>307.0</v>
      </c>
      <c r="I23" s="83" t="n">
        <v>171.0</v>
      </c>
      <c r="J23" s="85" t="n">
        <v>442.0</v>
      </c>
      <c r="K23" s="83">
        <f si="1" t="shared"/>
        <v>1059</v>
      </c>
    </row>
    <row r="24" spans="1:11" x14ac:dyDescent="0.25">
      <c r="A24">
        <v>13</v>
      </c>
      <c r="B24" s="83" t="n">
        <v>0.0</v>
      </c>
      <c r="C24" s="83" t="n">
        <v>0.0</v>
      </c>
      <c r="D24" s="83" t="n">
        <v>4.11</v>
      </c>
      <c r="E24" s="83">
        <f si="0" t="shared"/>
        <v>4.1100000000000003</v>
      </c>
      <c r="G24">
        <v>13</v>
      </c>
      <c r="H24" s="83" t="n">
        <v>237.0</v>
      </c>
      <c r="I24" s="83" t="n">
        <v>138.0</v>
      </c>
      <c r="J24" s="85" t="n">
        <v>379.0</v>
      </c>
      <c r="K24" s="83">
        <f si="1" t="shared"/>
        <v>815</v>
      </c>
    </row>
    <row r="25" spans="1:11" x14ac:dyDescent="0.25">
      <c r="A25">
        <v>14</v>
      </c>
      <c r="B25" s="83" t="n">
        <v>277.9743</v>
      </c>
      <c r="C25" s="83" t="n">
        <v>0.0</v>
      </c>
      <c r="D25" s="83" t="n">
        <v>138.37279999999998</v>
      </c>
      <c r="E25" s="83">
        <f si="0" t="shared"/>
        <v>416.34710000000001</v>
      </c>
      <c r="G25">
        <v>14</v>
      </c>
      <c r="H25" s="83" t="n">
        <v>170.0</v>
      </c>
      <c r="I25" s="83" t="n">
        <v>107.0</v>
      </c>
      <c r="J25" s="85" t="n">
        <v>305.0</v>
      </c>
      <c r="K25" s="83">
        <f si="1" t="shared"/>
        <v>620</v>
      </c>
    </row>
    <row r="26" spans="1:11" x14ac:dyDescent="0.25">
      <c r="A26">
        <v>15</v>
      </c>
      <c r="B26" s="83" t="n">
        <v>0.0</v>
      </c>
      <c r="C26" s="83" t="n">
        <v>0.0</v>
      </c>
      <c r="D26" s="83" t="n">
        <v>901.9212</v>
      </c>
      <c r="E26" s="83">
        <f si="0" t="shared"/>
        <v>901.9212</v>
      </c>
      <c r="G26">
        <v>15</v>
      </c>
      <c r="H26" s="83" t="n">
        <v>126.0</v>
      </c>
      <c r="I26" s="83" t="n">
        <v>64.0</v>
      </c>
      <c r="J26" s="85" t="n">
        <v>348.0</v>
      </c>
      <c r="K26" s="83">
        <f si="1" t="shared"/>
        <v>569</v>
      </c>
    </row>
    <row r="27" spans="1:11" x14ac:dyDescent="0.25">
      <c r="A27">
        <v>16</v>
      </c>
      <c r="B27" s="83" t="n">
        <v>82.1623</v>
      </c>
      <c r="C27" s="83" t="n">
        <v>0.0</v>
      </c>
      <c r="D27" s="83" t="n">
        <v>181.6983</v>
      </c>
      <c r="E27" s="83">
        <f si="0" t="shared"/>
        <v>263.86059999999998</v>
      </c>
      <c r="G27">
        <v>16</v>
      </c>
      <c r="H27" s="83" t="n">
        <v>75.0</v>
      </c>
      <c r="I27" s="83" t="n">
        <v>47.0</v>
      </c>
      <c r="J27" s="85" t="n">
        <v>374.0</v>
      </c>
      <c r="K27" s="83">
        <f si="1" t="shared"/>
        <v>430</v>
      </c>
    </row>
    <row r="28" spans="1:11" x14ac:dyDescent="0.25">
      <c r="A28">
        <v>17</v>
      </c>
      <c r="B28" s="83" t="n">
        <v>0.0</v>
      </c>
      <c r="C28" s="83" t="n">
        <v>0.0</v>
      </c>
      <c r="D28" s="83" t="n">
        <v>8.117999999999999</v>
      </c>
      <c r="E28" s="83">
        <f si="0" t="shared"/>
        <v>8.1179999999999986</v>
      </c>
      <c r="G28">
        <v>17</v>
      </c>
      <c r="H28" s="83" t="n">
        <v>51.0</v>
      </c>
      <c r="I28" s="83" t="n">
        <v>53.0</v>
      </c>
      <c r="J28" s="85" t="n">
        <v>224.0</v>
      </c>
      <c r="K28" s="83">
        <f si="1" t="shared"/>
        <v>346</v>
      </c>
    </row>
    <row r="29" spans="1:11" x14ac:dyDescent="0.25">
      <c r="A29">
        <v>18</v>
      </c>
      <c r="B29" s="83" t="n">
        <v>0.0</v>
      </c>
      <c r="C29" s="83" t="n">
        <v>0.0</v>
      </c>
      <c r="D29" s="83" t="n">
        <v>277.2167</v>
      </c>
      <c r="E29" s="83">
        <f si="0" t="shared"/>
        <v>277.2167</v>
      </c>
      <c r="G29">
        <v>18</v>
      </c>
      <c r="H29" s="83" t="n">
        <v>32.0</v>
      </c>
      <c r="I29" s="83" t="n">
        <v>41.0</v>
      </c>
      <c r="J29" s="85" t="n">
        <v>169.0</v>
      </c>
      <c r="K29" s="83">
        <f si="1" t="shared"/>
        <v>246</v>
      </c>
    </row>
    <row r="30" spans="1:11" x14ac:dyDescent="0.25">
      <c r="A30">
        <v>19</v>
      </c>
      <c r="B30" s="83" t="n">
        <v>0.0</v>
      </c>
      <c r="C30" s="83" t="n">
        <v>0.0</v>
      </c>
      <c r="D30" s="83" t="n">
        <v>157.1503</v>
      </c>
      <c r="E30" s="83">
        <f si="0" t="shared"/>
        <v>157.15029999999999</v>
      </c>
      <c r="G30">
        <v>19</v>
      </c>
      <c r="H30" s="83" t="n">
        <v>21.0</v>
      </c>
      <c r="I30" s="83" t="n">
        <v>26.0</v>
      </c>
      <c r="J30" s="85" t="n">
        <v>143.0</v>
      </c>
      <c r="K30" s="83">
        <f si="1" t="shared"/>
        <v>156</v>
      </c>
    </row>
    <row r="31" spans="1:11" x14ac:dyDescent="0.25">
      <c r="A31">
        <v>20</v>
      </c>
      <c r="B31" s="83" t="n">
        <v>0.0</v>
      </c>
      <c r="C31" s="83" t="n">
        <v>262.7907</v>
      </c>
      <c r="D31" s="83" t="n">
        <v>15.915</v>
      </c>
      <c r="E31" s="83">
        <f si="0" t="shared"/>
        <v>278.70570000000004</v>
      </c>
      <c r="G31">
        <v>20</v>
      </c>
      <c r="H31" s="83" t="n">
        <v>23.0</v>
      </c>
      <c r="I31" s="83" t="n">
        <v>19.0</v>
      </c>
      <c r="J31" s="85" t="n">
        <v>171.0</v>
      </c>
      <c r="K31" s="83">
        <f si="1" t="shared"/>
        <v>195</v>
      </c>
    </row>
    <row r="32" spans="1:11" x14ac:dyDescent="0.25">
      <c r="A32">
        <v>21</v>
      </c>
      <c r="B32" s="83" t="n">
        <v>0.0</v>
      </c>
      <c r="C32" s="83" t="n">
        <v>0.0</v>
      </c>
      <c r="D32" s="83" t="n">
        <v>14.021</v>
      </c>
      <c r="E32" s="83">
        <f si="0" t="shared"/>
        <v>14.021000000000001</v>
      </c>
      <c r="G32">
        <v>21</v>
      </c>
      <c r="H32" s="83" t="n">
        <v>14.0</v>
      </c>
      <c r="I32" s="83" t="n">
        <v>17.0</v>
      </c>
      <c r="J32" s="85" t="n">
        <v>69.0</v>
      </c>
      <c r="K32" s="83">
        <f si="1" t="shared"/>
        <v>85</v>
      </c>
    </row>
    <row r="33" spans="1:11" x14ac:dyDescent="0.25">
      <c r="A33">
        <v>22</v>
      </c>
      <c r="B33" s="83" t="n">
        <v>0.0</v>
      </c>
      <c r="C33" s="83" t="n">
        <v>0.0</v>
      </c>
      <c r="D33" s="83" t="n">
        <v>12.24</v>
      </c>
      <c r="E33" s="83">
        <f si="0" t="shared"/>
        <v>12.24</v>
      </c>
      <c r="G33">
        <v>22</v>
      </c>
      <c r="H33" s="83" t="n">
        <v>8.0</v>
      </c>
      <c r="I33" s="83" t="n">
        <v>9.0</v>
      </c>
      <c r="J33" s="85" t="n">
        <v>76.0</v>
      </c>
      <c r="K33" s="83">
        <f si="1" t="shared"/>
        <v>92</v>
      </c>
    </row>
    <row r="34" spans="1:11" x14ac:dyDescent="0.25">
      <c r="A34">
        <v>23</v>
      </c>
      <c r="B34" s="83" t="n">
        <v>0.0</v>
      </c>
      <c r="C34" s="83" t="n">
        <v>0.0</v>
      </c>
      <c r="D34" s="83" t="n">
        <v>118.8946</v>
      </c>
      <c r="E34" s="83">
        <f si="0" t="shared"/>
        <v>118.8946</v>
      </c>
      <c r="G34">
        <v>23</v>
      </c>
      <c r="H34" s="83" t="n">
        <v>3.0</v>
      </c>
      <c r="I34" s="83" t="n">
        <v>13.0</v>
      </c>
      <c r="J34" s="85" t="n">
        <v>20.0</v>
      </c>
      <c r="K34" s="83">
        <f si="1" t="shared"/>
        <v>40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423.099</v>
      </c>
      <c r="E35" s="83">
        <f si="0" t="shared"/>
        <v>423.09899999999999</v>
      </c>
      <c r="G35">
        <v>24</v>
      </c>
      <c r="H35" s="83" t="n">
        <v>7.0</v>
      </c>
      <c r="I35" s="83" t="n">
        <v>7.0</v>
      </c>
      <c r="J35" s="85" t="n">
        <v>16.0</v>
      </c>
      <c r="K35" s="83">
        <f si="1" t="shared"/>
        <v>21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55.068000000000005</v>
      </c>
      <c r="E36" s="83">
        <f si="0" t="shared"/>
        <v>55.068000000000005</v>
      </c>
      <c r="G36">
        <v>25</v>
      </c>
      <c r="H36" s="83" t="n">
        <v>3.0</v>
      </c>
      <c r="I36" s="83" t="n">
        <v>5.0</v>
      </c>
      <c r="J36" s="85" t="n">
        <v>20.0</v>
      </c>
      <c r="K36" s="83">
        <f si="1" t="shared"/>
        <v>39</v>
      </c>
    </row>
    <row r="37" spans="1:11" x14ac:dyDescent="0.25">
      <c r="A37">
        <v>26</v>
      </c>
      <c r="B37" s="83" t="n">
        <v>0.0</v>
      </c>
      <c r="C37" s="83" t="n">
        <v>0.0</v>
      </c>
      <c r="D37" s="83" t="n">
        <v>0.0</v>
      </c>
      <c r="E37" s="83">
        <f si="0" t="shared"/>
        <v>0</v>
      </c>
      <c r="G37">
        <v>26</v>
      </c>
      <c r="H37" s="83" t="n">
        <v>2.0</v>
      </c>
      <c r="I37" s="83" t="n">
        <v>6.0</v>
      </c>
      <c r="J37" s="85" t="n">
        <v>19.0</v>
      </c>
      <c r="K37" s="83">
        <f si="1" t="shared"/>
        <v>19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0.0</v>
      </c>
      <c r="E38" s="83">
        <f si="0" t="shared"/>
        <v>0</v>
      </c>
      <c r="G38">
        <v>27</v>
      </c>
      <c r="H38" s="83" t="n">
        <v>1.0</v>
      </c>
      <c r="I38" s="83" t="n">
        <v>3.0</v>
      </c>
      <c r="J38" s="85" t="n">
        <v>10.0</v>
      </c>
      <c r="K38" s="83">
        <f si="1" t="shared"/>
        <v>28</v>
      </c>
    </row>
    <row r="39" spans="1:11" x14ac:dyDescent="0.25">
      <c r="A39">
        <v>28</v>
      </c>
      <c r="B39" s="83" t="n">
        <v>0.0</v>
      </c>
      <c r="C39" s="83" t="n">
        <v>0.0</v>
      </c>
      <c r="D39" s="83" t="n">
        <v>0.0</v>
      </c>
      <c r="E39" s="83">
        <f si="0" t="shared"/>
        <v>0</v>
      </c>
      <c r="G39">
        <v>28</v>
      </c>
      <c r="H39" s="83" t="n">
        <v>1.0</v>
      </c>
      <c r="I39" s="83" t="n">
        <v>3.0</v>
      </c>
      <c r="J39" s="85" t="n">
        <v>4.0</v>
      </c>
      <c r="K39" s="83">
        <f si="1" t="shared"/>
        <v>5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0.0</v>
      </c>
      <c r="E40" s="83">
        <f si="0" t="shared"/>
        <v>0</v>
      </c>
      <c r="G40">
        <v>29</v>
      </c>
      <c r="H40" s="83" t="n">
        <v>2.0</v>
      </c>
      <c r="I40" s="83" t="n">
        <v>4.0</v>
      </c>
      <c r="J40" s="85" t="n">
        <v>2.0</v>
      </c>
      <c r="K40" s="83">
        <f si="1" t="shared"/>
        <v>8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0.0</v>
      </c>
      <c r="E41" s="83">
        <f si="0" t="shared"/>
        <v>0</v>
      </c>
      <c r="G41">
        <v>30</v>
      </c>
      <c r="H41" s="83" t="n">
        <v>1.0</v>
      </c>
      <c r="I41" s="83" t="n">
        <v>0.0</v>
      </c>
      <c r="J41" s="85" t="n">
        <v>0.0</v>
      </c>
      <c r="K41" s="83">
        <f si="1" t="shared"/>
        <v>1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si="0" t="shared"/>
        <v>0</v>
      </c>
      <c r="G42">
        <v>31</v>
      </c>
      <c r="H42" s="83" t="n">
        <v>0.0</v>
      </c>
      <c r="I42" s="83" t="n">
        <v>1.0</v>
      </c>
      <c r="J42" s="85" t="n">
        <v>1.0</v>
      </c>
      <c r="K42" s="83">
        <f si="1" t="shared"/>
        <v>3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0.0</v>
      </c>
      <c r="E43" s="83">
        <f ref="E43:E74" si="2" t="shared">SUM(B43:D43)</f>
        <v>0</v>
      </c>
      <c r="G43">
        <v>32</v>
      </c>
      <c r="H43" s="83" t="n">
        <v>0.0</v>
      </c>
      <c r="I43" s="83" t="n">
        <v>2.0</v>
      </c>
      <c r="J43" s="85" t="n">
        <v>1.0</v>
      </c>
      <c r="K43" s="83">
        <f ref="K43:K74" si="3" t="shared">SUM(H43:J43)</f>
        <v>4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0.0</v>
      </c>
      <c r="E44" s="83">
        <f si="2" t="shared"/>
        <v>0</v>
      </c>
      <c r="G44">
        <v>33</v>
      </c>
      <c r="H44" s="83" t="n">
        <v>0.0</v>
      </c>
      <c r="I44" s="83" t="n">
        <v>0.0</v>
      </c>
      <c r="J44" s="85" t="n">
        <v>2.0</v>
      </c>
      <c r="K44" s="83">
        <f si="3" t="shared"/>
        <v>0</v>
      </c>
    </row>
    <row r="45" spans="1:11" x14ac:dyDescent="0.25">
      <c r="A45">
        <v>34</v>
      </c>
      <c r="B45" s="83" t="n">
        <v>0.0</v>
      </c>
      <c r="C45" s="83" t="n">
        <v>0.0</v>
      </c>
      <c r="D45" s="83" t="n">
        <v>0.0</v>
      </c>
      <c r="E45" s="83">
        <f si="2" t="shared"/>
        <v>0</v>
      </c>
      <c r="G45">
        <v>34</v>
      </c>
      <c r="H45" s="83" t="n">
        <v>0.0</v>
      </c>
      <c r="I45" s="83" t="n">
        <v>1.0</v>
      </c>
      <c r="J45" s="85" t="n">
        <v>0.0</v>
      </c>
      <c r="K45" s="83">
        <f si="3" t="shared"/>
        <v>0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0.0</v>
      </c>
      <c r="E46" s="83">
        <f si="2" t="shared"/>
        <v>0</v>
      </c>
      <c r="G46">
        <v>35</v>
      </c>
      <c r="H46" s="83" t="n">
        <v>0.0</v>
      </c>
      <c r="I46" s="83" t="n">
        <v>1.0</v>
      </c>
      <c r="J46" s="85" t="n">
        <v>0.0</v>
      </c>
      <c r="K46" s="83">
        <f si="3" t="shared"/>
        <v>1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0.0</v>
      </c>
      <c r="E47" s="83">
        <f si="2" t="shared"/>
        <v>0</v>
      </c>
      <c r="G47">
        <v>36</v>
      </c>
      <c r="H47" s="83" t="n">
        <v>0.0</v>
      </c>
      <c r="I47" s="83" t="n">
        <v>0.0</v>
      </c>
      <c r="J47" s="85" t="n">
        <v>0.0</v>
      </c>
      <c r="K47" s="83">
        <f si="3" t="shared"/>
        <v>1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0.0</v>
      </c>
      <c r="E48" s="83">
        <f si="2" t="shared"/>
        <v>0</v>
      </c>
      <c r="G48">
        <v>37</v>
      </c>
      <c r="H48" s="83" t="n">
        <v>0.0</v>
      </c>
      <c r="I48" s="83" t="n">
        <v>0.0</v>
      </c>
      <c r="J48" s="85" t="n">
        <v>0.0</v>
      </c>
      <c r="K48" s="83">
        <f si="3" t="shared"/>
        <v>1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0.0</v>
      </c>
      <c r="E49" s="83">
        <f si="2" t="shared"/>
        <v>0</v>
      </c>
      <c r="G49">
        <v>38</v>
      </c>
      <c r="H49" s="83" t="n">
        <v>0.0</v>
      </c>
      <c r="I49" s="83" t="n">
        <v>0.0</v>
      </c>
      <c r="J49" s="85" t="n">
        <v>0.0</v>
      </c>
      <c r="K49" s="83">
        <f si="3" t="shared"/>
        <v>0</v>
      </c>
    </row>
    <row r="50" spans="1:11" x14ac:dyDescent="0.25">
      <c r="A50">
        <v>39</v>
      </c>
      <c r="B50" s="83" t="n">
        <v>0.0</v>
      </c>
      <c r="C50" s="83" t="n">
        <v>0.0</v>
      </c>
      <c r="D50" s="83" t="n">
        <v>0.0</v>
      </c>
      <c r="E50" s="83">
        <f si="2" t="shared"/>
        <v>0</v>
      </c>
      <c r="G50">
        <v>39</v>
      </c>
      <c r="H50" s="83" t="n">
        <v>0.0</v>
      </c>
      <c r="I50" s="83" t="n">
        <v>0.0</v>
      </c>
      <c r="J50" s="85" t="n">
        <v>0.0</v>
      </c>
      <c r="K50" s="83">
        <f si="3" t="shared"/>
        <v>0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0.0</v>
      </c>
      <c r="E51" s="83">
        <f si="2" t="shared"/>
        <v>0</v>
      </c>
      <c r="G51">
        <v>40</v>
      </c>
      <c r="H51" s="83" t="n">
        <v>0.0</v>
      </c>
      <c r="I51" s="83" t="n">
        <v>0.0</v>
      </c>
      <c r="J51" s="85" t="n">
        <v>0.0</v>
      </c>
      <c r="K51" s="83">
        <f si="3" t="shared"/>
        <v>1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0.0</v>
      </c>
      <c r="E52" s="83">
        <f si="2" t="shared"/>
        <v>0</v>
      </c>
      <c r="G52">
        <v>41</v>
      </c>
      <c r="H52" s="83" t="n">
        <v>0.0</v>
      </c>
      <c r="I52" s="83" t="n">
        <v>0.0</v>
      </c>
      <c r="J52" s="85" t="n">
        <v>0.0</v>
      </c>
      <c r="K52" s="83">
        <f si="3" t="shared"/>
        <v>0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0.0</v>
      </c>
      <c r="E53" s="83">
        <f si="2" t="shared"/>
        <v>0</v>
      </c>
      <c r="G53">
        <v>42</v>
      </c>
      <c r="H53" s="83" t="n">
        <v>0.0</v>
      </c>
      <c r="I53" s="83" t="n">
        <v>0.0</v>
      </c>
      <c r="J53" s="85" t="n">
        <v>0.0</v>
      </c>
      <c r="K53" s="83">
        <f si="3" t="shared"/>
        <v>0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0.0</v>
      </c>
      <c r="E54" s="83">
        <f si="2" t="shared"/>
        <v>0</v>
      </c>
      <c r="G54">
        <v>43</v>
      </c>
      <c r="H54" s="83" t="n">
        <v>0.0</v>
      </c>
      <c r="I54" s="83" t="n">
        <v>0.0</v>
      </c>
      <c r="J54" s="85" t="n">
        <v>0.0</v>
      </c>
      <c r="K54" s="83">
        <f si="3" t="shared"/>
        <v>0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0.0</v>
      </c>
      <c r="E55" s="83">
        <f si="2" t="shared"/>
        <v>0</v>
      </c>
      <c r="G55">
        <v>44</v>
      </c>
      <c r="H55" s="83" t="n">
        <v>0.0</v>
      </c>
      <c r="I55" s="83" t="n">
        <v>0.0</v>
      </c>
      <c r="J55" s="85" t="n">
        <v>0.0</v>
      </c>
      <c r="K55" s="83">
        <f si="3" t="shared"/>
        <v>0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0.0</v>
      </c>
      <c r="E56" s="83">
        <f si="2" t="shared"/>
        <v>0</v>
      </c>
      <c r="G56">
        <v>45</v>
      </c>
      <c r="H56" s="83" t="n">
        <v>0.0</v>
      </c>
      <c r="I56" s="83" t="n">
        <v>0.0</v>
      </c>
      <c r="J56" s="85" t="n">
        <v>0.0</v>
      </c>
      <c r="K56" s="83">
        <f si="3" t="shared"/>
        <v>0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0.0</v>
      </c>
      <c r="E57" s="83">
        <f si="2" t="shared"/>
        <v>0</v>
      </c>
      <c r="G57">
        <v>46</v>
      </c>
      <c r="H57" s="83" t="n">
        <v>0.0</v>
      </c>
      <c r="I57" s="83" t="n">
        <v>0.0</v>
      </c>
      <c r="J57" s="85" t="n">
        <v>0.0</v>
      </c>
      <c r="K57" s="83">
        <f si="3" t="shared"/>
        <v>0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0.0</v>
      </c>
      <c r="E58" s="83">
        <f si="2" t="shared"/>
        <v>0</v>
      </c>
      <c r="G58">
        <v>47</v>
      </c>
      <c r="H58" s="83" t="n">
        <v>0.0</v>
      </c>
      <c r="I58" s="83" t="n">
        <v>0.0</v>
      </c>
      <c r="J58" s="85" t="n">
        <v>0.0</v>
      </c>
      <c r="K58" s="83">
        <f si="3" t="shared"/>
        <v>0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0.0</v>
      </c>
      <c r="E59" s="83">
        <f si="2" t="shared"/>
        <v>0</v>
      </c>
      <c r="G59">
        <v>48</v>
      </c>
      <c r="H59" s="83" t="n">
        <v>0.0</v>
      </c>
      <c r="I59" s="83" t="n">
        <v>0.0</v>
      </c>
      <c r="J59" s="85" t="n">
        <v>0.0</v>
      </c>
      <c r="K59" s="83">
        <f si="3" t="shared"/>
        <v>0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0.0</v>
      </c>
      <c r="E60" s="83">
        <f si="2" t="shared"/>
        <v>0</v>
      </c>
      <c r="G60">
        <v>49</v>
      </c>
      <c r="H60" s="83" t="n">
        <v>0.0</v>
      </c>
      <c r="I60" s="83" t="n">
        <v>0.0</v>
      </c>
      <c r="J60" s="85" t="n">
        <v>0.0</v>
      </c>
      <c r="K60" s="83">
        <f si="3" t="shared"/>
        <v>0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0.0</v>
      </c>
      <c r="E61" s="83">
        <f si="2" t="shared"/>
        <v>0</v>
      </c>
      <c r="G61">
        <v>50</v>
      </c>
      <c r="H61" s="83" t="n">
        <v>0.0</v>
      </c>
      <c r="I61" s="83" t="n">
        <v>0.0</v>
      </c>
      <c r="J61" s="85" t="n">
        <v>0.0</v>
      </c>
      <c r="K61" s="83">
        <f si="3" t="shared"/>
        <v>0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si="2" t="shared"/>
        <v>0</v>
      </c>
      <c r="G62">
        <v>51</v>
      </c>
      <c r="H62" s="83" t="n">
        <v>0.0</v>
      </c>
      <c r="I62" s="83" t="n">
        <v>0.0</v>
      </c>
      <c r="J62" s="85" t="n">
        <v>0.0</v>
      </c>
      <c r="K62" s="83">
        <f si="3" t="shared"/>
        <v>0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si="2" t="shared"/>
        <v>0</v>
      </c>
      <c r="G63">
        <v>52</v>
      </c>
      <c r="H63" s="83" t="n">
        <v>0.0</v>
      </c>
      <c r="I63" s="83" t="n">
        <v>0.0</v>
      </c>
      <c r="J63" s="85" t="n">
        <v>0.0</v>
      </c>
      <c r="K63" s="83">
        <f si="3" t="shared"/>
        <v>0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0.0</v>
      </c>
      <c r="E64" s="83">
        <f si="2" t="shared"/>
        <v>0</v>
      </c>
      <c r="G64">
        <v>53</v>
      </c>
      <c r="H64" s="83" t="n">
        <v>0.0</v>
      </c>
      <c r="I64" s="83" t="n">
        <v>0.0</v>
      </c>
      <c r="J64" s="85" t="n">
        <v>0.0</v>
      </c>
      <c r="K64" s="83">
        <f si="3" t="shared"/>
        <v>0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0.0</v>
      </c>
      <c r="I65" s="83" t="n">
        <v>0.0</v>
      </c>
      <c r="J65" s="85" t="n">
        <v>0.0</v>
      </c>
      <c r="K65" s="83">
        <f si="3" t="shared"/>
        <v>0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0.0</v>
      </c>
      <c r="E66" s="83">
        <f si="2" t="shared"/>
        <v>0</v>
      </c>
      <c r="G66">
        <v>55</v>
      </c>
      <c r="H66" s="83" t="n">
        <v>0.0</v>
      </c>
      <c r="I66" s="83" t="n">
        <v>0.0</v>
      </c>
      <c r="J66" s="85" t="n">
        <v>0.0</v>
      </c>
      <c r="K66" s="83">
        <f si="3" t="shared"/>
        <v>0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0.0</v>
      </c>
      <c r="I67" s="83" t="n">
        <v>0.0</v>
      </c>
      <c r="J67" s="85" t="n">
        <v>0.0</v>
      </c>
      <c r="K67" s="83">
        <f si="3" t="shared"/>
        <v>0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si="2" t="shared"/>
        <v>0</v>
      </c>
      <c r="G68">
        <v>57</v>
      </c>
      <c r="H68" s="83" t="n">
        <v>0.0</v>
      </c>
      <c r="I68" s="83" t="n">
        <v>0.0</v>
      </c>
      <c r="J68" s="85" t="n">
        <v>0.0</v>
      </c>
      <c r="K68" s="83">
        <f si="3" t="shared"/>
        <v>0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si="2" t="shared"/>
        <v>0</v>
      </c>
      <c r="G69">
        <v>58</v>
      </c>
      <c r="H69" s="83" t="n">
        <v>0.0</v>
      </c>
      <c r="I69" s="83" t="n">
        <v>0.0</v>
      </c>
      <c r="J69" s="85" t="n">
        <v>0.0</v>
      </c>
      <c r="K69" s="83">
        <f si="3" t="shared"/>
        <v>0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0.0</v>
      </c>
      <c r="I70" s="83" t="n">
        <v>0.0</v>
      </c>
      <c r="J70" s="85" t="n">
        <v>0.0</v>
      </c>
      <c r="K70" s="83">
        <f si="3" t="shared"/>
        <v>0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0.0</v>
      </c>
      <c r="I71" s="83" t="n">
        <v>0.0</v>
      </c>
      <c r="J71" s="85" t="n">
        <v>0.0</v>
      </c>
      <c r="K71" s="83">
        <f si="3" t="shared"/>
        <v>0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0.0</v>
      </c>
      <c r="I72" s="83" t="n">
        <v>0.0</v>
      </c>
      <c r="J72" s="85" t="n">
        <v>0.0</v>
      </c>
      <c r="K72" s="83">
        <f si="3" t="shared"/>
        <v>0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si="2" t="shared"/>
        <v>0</v>
      </c>
      <c r="G73">
        <v>62</v>
      </c>
      <c r="H73" s="83" t="n">
        <v>0.0</v>
      </c>
      <c r="I73" s="83" t="n">
        <v>0.0</v>
      </c>
      <c r="J73" s="85" t="n">
        <v>0.0</v>
      </c>
      <c r="K73" s="83">
        <f si="3" t="shared"/>
        <v>0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si="2" t="shared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si="3" t="shared"/>
        <v>0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ref="E75:E101" si="4" t="shared">SUM(B75:D75)</f>
        <v>0</v>
      </c>
      <c r="G75">
        <v>64</v>
      </c>
      <c r="H75" s="83" t="n">
        <v>0.0</v>
      </c>
      <c r="I75" s="83" t="n">
        <v>0.0</v>
      </c>
      <c r="J75" s="85" t="n">
        <v>0.0</v>
      </c>
      <c r="K75" s="83">
        <f ref="K75:K101" si="5" t="shared">SUM(H75:J75)</f>
        <v>0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si="5" t="shared"/>
        <v>0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si="4" t="shared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si="5" t="shared"/>
        <v>0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si="4" t="shared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si="5" t="shared"/>
        <v>0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0.0</v>
      </c>
      <c r="J79" s="85" t="n">
        <v>0.0</v>
      </c>
      <c r="K79" s="83">
        <f si="5" t="shared"/>
        <v>0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si="4" t="shared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si="5" t="shared"/>
        <v>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0.0</v>
      </c>
      <c r="I81" s="83" t="n">
        <v>0.0</v>
      </c>
      <c r="J81" s="85" t="n">
        <v>0.0</v>
      </c>
      <c r="K81" s="83">
        <f si="5" t="shared"/>
        <v>0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si="5" t="shared"/>
        <v>0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si="4" t="shared"/>
        <v>0</v>
      </c>
      <c r="G83">
        <v>72</v>
      </c>
      <c r="H83" s="83" t="n">
        <v>0.0</v>
      </c>
      <c r="I83" s="83" t="n">
        <v>0.0</v>
      </c>
      <c r="J83" s="83" t="n">
        <v>0.0</v>
      </c>
      <c r="K83" s="83">
        <f si="5" t="shared"/>
        <v>0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si="5" t="shared"/>
        <v>0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0.0</v>
      </c>
      <c r="J85" s="83" t="n">
        <v>0.0</v>
      </c>
      <c r="K85" s="83">
        <f si="5" t="shared"/>
        <v>0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0.0</v>
      </c>
      <c r="J86" s="83" t="n">
        <v>0.0</v>
      </c>
      <c r="K86" s="83">
        <f si="5" t="shared"/>
        <v>0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si="4" t="shared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si="5" t="shared"/>
        <v>0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si="4" t="shared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si="5" t="shared"/>
        <v>0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si="4" t="shared"/>
        <v>0</v>
      </c>
      <c r="G89">
        <v>78</v>
      </c>
      <c r="H89" s="83" t="n">
        <v>0.0</v>
      </c>
      <c r="I89" s="83" t="n">
        <v>0.0</v>
      </c>
      <c r="J89" s="85" t="n">
        <v>0.0</v>
      </c>
      <c r="K89" s="83">
        <f si="5" t="shared"/>
        <v>0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si="5" t="shared"/>
        <v>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si="5" t="shared"/>
        <v>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0.0</v>
      </c>
      <c r="I92" s="83" t="n">
        <v>0.0</v>
      </c>
      <c r="J92" s="85" t="n">
        <v>0.0</v>
      </c>
      <c r="K92" s="83">
        <f si="5" t="shared"/>
        <v>0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si="5" t="shared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si="5" t="shared"/>
        <v>0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si="4" t="shared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si="5" t="shared"/>
        <v>0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si="5" t="shared"/>
        <v>0</v>
      </c>
    </row>
    <row r="97" spans="1:12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si="4" t="shared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si="5" t="shared"/>
        <v>0</v>
      </c>
    </row>
    <row r="98" spans="1:12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si="4" t="shared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si="5" t="shared"/>
        <v>0</v>
      </c>
    </row>
    <row r="99" spans="1:12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si="5" t="shared"/>
        <v>0</v>
      </c>
    </row>
    <row r="100" spans="1:12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si="4" t="shared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si="5" t="shared"/>
        <v>0</v>
      </c>
    </row>
    <row ht="15.75" r="101" spans="1:12" thickBot="1" x14ac:dyDescent="0.3">
      <c r="A101" s="1">
        <v>90</v>
      </c>
      <c r="B101" s="84" t="n">
        <v>4846.176</v>
      </c>
      <c r="C101" s="84" t="n">
        <v>0.0</v>
      </c>
      <c r="D101" s="84" t="n">
        <v>3032.2763</v>
      </c>
      <c r="E101" s="84">
        <f si="4" t="shared"/>
        <v>7878.4523000000008</v>
      </c>
      <c r="G101" s="1">
        <v>90</v>
      </c>
      <c r="H101" s="84" t="n">
        <v>2382.0</v>
      </c>
      <c r="I101" s="84" t="n">
        <v>0.0</v>
      </c>
      <c r="J101" s="84" t="n">
        <v>0.0</v>
      </c>
      <c r="K101" s="84">
        <f si="5" t="shared"/>
        <v>2382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O101"/>
  <sheetViews>
    <sheetView workbookViewId="0">
      <selection activeCell="P12" sqref="P12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 t="n">
        <v>0.0</v>
      </c>
      <c r="C11" s="83" t="n">
        <v>0.0</v>
      </c>
      <c r="D11" s="83" t="n">
        <v>0.0</v>
      </c>
      <c r="E11" s="83">
        <f ref="E11:E42" si="0" t="shared">SUM(B11:D11)</f>
        <v>0</v>
      </c>
      <c r="G11">
        <v>0</v>
      </c>
      <c r="H11" s="83" t="n">
        <v>1064.0</v>
      </c>
      <c r="I11" s="83" t="n">
        <v>100.0</v>
      </c>
      <c r="J11" s="85" t="n">
        <v>27.0</v>
      </c>
      <c r="K11" s="83">
        <f ref="K11:K42" si="1" t="shared">SUM(H11:J11)</f>
        <v>1217</v>
      </c>
      <c r="M11" t="s">
        <v>41</v>
      </c>
      <c r="N11" s="9" t="n">
        <v>6.587096254701673</v>
      </c>
      <c r="O11" s="9" t="n">
        <v>8.319626599195713</v>
      </c>
    </row>
    <row r="12" spans="1:15" x14ac:dyDescent="0.25">
      <c r="A12">
        <v>1</v>
      </c>
      <c r="B12" s="83" t="n">
        <v>6745.1783000000005</v>
      </c>
      <c r="C12" s="83" t="n">
        <v>0.0</v>
      </c>
      <c r="D12" s="83" t="n">
        <v>0.0</v>
      </c>
      <c r="E12" s="83">
        <f si="0" t="shared"/>
        <v>6745.1783000000005</v>
      </c>
      <c r="G12">
        <v>1</v>
      </c>
      <c r="H12" s="83" t="n">
        <v>3619.0</v>
      </c>
      <c r="I12" s="83" t="n">
        <v>310.0</v>
      </c>
      <c r="J12" s="85" t="n">
        <v>143.0</v>
      </c>
      <c r="K12" s="83">
        <f si="1" t="shared"/>
        <v>4264</v>
      </c>
      <c r="M12" t="s">
        <v>42</v>
      </c>
      <c r="N12" s="9" t="n">
        <v>9.707869469236279</v>
      </c>
      <c r="O12" s="9" t="n">
        <v>11.433044534046493</v>
      </c>
    </row>
    <row r="13" spans="1:15" x14ac:dyDescent="0.25">
      <c r="A13">
        <v>2</v>
      </c>
      <c r="B13" s="83" t="n">
        <v>6033.2903</v>
      </c>
      <c r="C13" s="83" t="n">
        <v>0.0</v>
      </c>
      <c r="D13" s="83" t="n">
        <v>0.0</v>
      </c>
      <c r="E13" s="83">
        <f si="0" t="shared"/>
        <v>6033.2902999999997</v>
      </c>
      <c r="G13">
        <v>2</v>
      </c>
      <c r="H13" s="83" t="n">
        <v>4260.0</v>
      </c>
      <c r="I13" s="83" t="n">
        <v>429.0</v>
      </c>
      <c r="J13" s="85" t="n">
        <v>155.0</v>
      </c>
      <c r="K13" s="83">
        <f si="1" t="shared"/>
        <v>5077</v>
      </c>
      <c r="M13" s="6" t="s">
        <v>43</v>
      </c>
      <c r="N13" s="18" t="n">
        <v>28.279763252248376</v>
      </c>
      <c r="O13" s="18" t="n">
        <v>15.021588852340708</v>
      </c>
    </row>
    <row ht="15.75" r="14" spans="1:15" thickBot="1" x14ac:dyDescent="0.3">
      <c r="A14">
        <v>3</v>
      </c>
      <c r="B14" s="83" t="n">
        <v>7285.3036</v>
      </c>
      <c r="C14" s="83" t="n">
        <v>827.7403</v>
      </c>
      <c r="D14" s="83" t="n">
        <v>0.0</v>
      </c>
      <c r="E14" s="83">
        <f si="0" t="shared"/>
        <v>8113.0439000000006</v>
      </c>
      <c r="G14">
        <v>3</v>
      </c>
      <c r="H14" s="83" t="n">
        <v>4579.0</v>
      </c>
      <c r="I14" s="83" t="n">
        <v>613.0</v>
      </c>
      <c r="J14" s="85" t="n">
        <v>280.0</v>
      </c>
      <c r="K14" s="83">
        <f si="1" t="shared"/>
        <v>5276</v>
      </c>
      <c r="M14" s="1" t="s">
        <v>3</v>
      </c>
      <c r="N14" s="19" t="n">
        <v>8.337669803822562</v>
      </c>
      <c r="O14" s="19" t="n">
        <v>10.220323920891158</v>
      </c>
    </row>
    <row r="15" spans="1:15" x14ac:dyDescent="0.25">
      <c r="A15">
        <v>4</v>
      </c>
      <c r="B15" s="83" t="n">
        <v>7430.6026999999995</v>
      </c>
      <c r="C15" s="83" t="n">
        <v>728.3605</v>
      </c>
      <c r="D15" s="83" t="n">
        <v>0.0</v>
      </c>
      <c r="E15" s="83">
        <f si="0" t="shared"/>
        <v>8158.9631999999992</v>
      </c>
      <c r="G15">
        <v>4</v>
      </c>
      <c r="H15" s="83" t="n">
        <v>4766.0</v>
      </c>
      <c r="I15" s="83" t="n">
        <v>781.0</v>
      </c>
      <c r="J15" s="85" t="n">
        <v>765.0</v>
      </c>
      <c r="K15" s="83">
        <f si="1" t="shared"/>
        <v>6068</v>
      </c>
    </row>
    <row r="16" spans="1:15" x14ac:dyDescent="0.25">
      <c r="A16">
        <v>5</v>
      </c>
      <c r="B16" s="83" t="n">
        <v>2646.2516</v>
      </c>
      <c r="C16" s="83" t="n">
        <v>329.5046</v>
      </c>
      <c r="D16" s="83" t="n">
        <v>92.0069</v>
      </c>
      <c r="E16" s="83">
        <f si="0" t="shared"/>
        <v>3067.7630999999997</v>
      </c>
      <c r="G16">
        <v>5</v>
      </c>
      <c r="H16" s="83" t="n">
        <v>4466.0</v>
      </c>
      <c r="I16" s="83" t="n">
        <v>831.0</v>
      </c>
      <c r="J16" s="85" t="n">
        <v>911.0</v>
      </c>
      <c r="K16" s="83">
        <f si="1" t="shared"/>
        <v>6067</v>
      </c>
    </row>
    <row r="17" spans="1:11" x14ac:dyDescent="0.25">
      <c r="A17">
        <v>6</v>
      </c>
      <c r="B17" s="83" t="n">
        <v>1398.6386</v>
      </c>
      <c r="C17" s="83" t="n">
        <v>1080.5294</v>
      </c>
      <c r="D17" s="83" t="n">
        <v>173.553</v>
      </c>
      <c r="E17" s="83">
        <f si="0" t="shared"/>
        <v>2652.7209999999995</v>
      </c>
      <c r="G17">
        <v>6</v>
      </c>
      <c r="H17" s="83" t="n">
        <v>4247.0</v>
      </c>
      <c r="I17" s="83" t="n">
        <v>891.0</v>
      </c>
      <c r="J17" s="85" t="n">
        <v>992.0</v>
      </c>
      <c r="K17" s="83">
        <f si="1" t="shared"/>
        <v>6055</v>
      </c>
    </row>
    <row r="18" spans="1:11" x14ac:dyDescent="0.25">
      <c r="A18">
        <v>7</v>
      </c>
      <c r="B18" s="83" t="n">
        <v>6984.4048999999995</v>
      </c>
      <c r="C18" s="83" t="n">
        <v>708.9596</v>
      </c>
      <c r="D18" s="83" t="n">
        <v>186.56099999999998</v>
      </c>
      <c r="E18" s="83">
        <f si="0" t="shared"/>
        <v>7879.9254999999994</v>
      </c>
      <c r="G18">
        <v>7</v>
      </c>
      <c r="H18" s="83" t="n">
        <v>4198.0</v>
      </c>
      <c r="I18" s="83" t="n">
        <v>1009.0</v>
      </c>
      <c r="J18" s="85" t="n">
        <v>937.0</v>
      </c>
      <c r="K18" s="83">
        <f si="1" t="shared"/>
        <v>5935</v>
      </c>
    </row>
    <row r="19" spans="1:11" x14ac:dyDescent="0.25">
      <c r="A19">
        <v>8</v>
      </c>
      <c r="B19" s="83" t="n">
        <v>1638.7869</v>
      </c>
      <c r="C19" s="83" t="n">
        <v>0.0</v>
      </c>
      <c r="D19" s="83" t="n">
        <v>377.4489</v>
      </c>
      <c r="E19" s="83">
        <f si="0" t="shared"/>
        <v>2016.2357999999999</v>
      </c>
      <c r="G19">
        <v>8</v>
      </c>
      <c r="H19" s="83" t="n">
        <v>3434.0</v>
      </c>
      <c r="I19" s="83" t="n">
        <v>916.0</v>
      </c>
      <c r="J19" s="85" t="n">
        <v>1099.0</v>
      </c>
      <c r="K19" s="83">
        <f si="1" t="shared"/>
        <v>5392</v>
      </c>
    </row>
    <row r="20" spans="1:11" x14ac:dyDescent="0.25">
      <c r="A20">
        <v>9</v>
      </c>
      <c r="B20" s="83" t="n">
        <v>1535.9484</v>
      </c>
      <c r="C20" s="83" t="n">
        <v>1134.9396</v>
      </c>
      <c r="D20" s="83" t="n">
        <v>0.0</v>
      </c>
      <c r="E20" s="83">
        <f si="0" t="shared"/>
        <v>2670.8879999999999</v>
      </c>
      <c r="G20">
        <v>9</v>
      </c>
      <c r="H20" s="83" t="n">
        <v>3016.0</v>
      </c>
      <c r="I20" s="83" t="n">
        <v>907.0</v>
      </c>
      <c r="J20" s="85" t="n">
        <v>1310.0</v>
      </c>
      <c r="K20" s="83">
        <f si="1" t="shared"/>
        <v>4998</v>
      </c>
    </row>
    <row r="21" spans="1:11" x14ac:dyDescent="0.25">
      <c r="A21">
        <v>10</v>
      </c>
      <c r="B21" s="83" t="n">
        <v>2395.767</v>
      </c>
      <c r="C21" s="83" t="n">
        <v>541.9792</v>
      </c>
      <c r="D21" s="83" t="n">
        <v>0.0</v>
      </c>
      <c r="E21" s="83">
        <f si="0" t="shared"/>
        <v>2937.7461999999996</v>
      </c>
      <c r="G21">
        <v>10</v>
      </c>
      <c r="H21" s="83" t="n">
        <v>2262.0</v>
      </c>
      <c r="I21" s="83" t="n">
        <v>803.0</v>
      </c>
      <c r="J21" s="85" t="n">
        <v>1262.0</v>
      </c>
      <c r="K21" s="83">
        <f si="1" t="shared"/>
        <v>4355</v>
      </c>
    </row>
    <row r="22" spans="1:11" x14ac:dyDescent="0.25">
      <c r="A22">
        <v>11</v>
      </c>
      <c r="B22" s="83" t="n">
        <v>2857.5654</v>
      </c>
      <c r="C22" s="83" t="n">
        <v>1022.1395</v>
      </c>
      <c r="D22" s="83" t="n">
        <v>0.0</v>
      </c>
      <c r="E22" s="83">
        <f si="0" t="shared"/>
        <v>3879.7048999999997</v>
      </c>
      <c r="G22">
        <v>11</v>
      </c>
      <c r="H22" s="83" t="n">
        <v>1795.0</v>
      </c>
      <c r="I22" s="83" t="n">
        <v>693.0</v>
      </c>
      <c r="J22" s="85" t="n">
        <v>1257.0</v>
      </c>
      <c r="K22" s="83">
        <f si="1" t="shared"/>
        <v>3721</v>
      </c>
    </row>
    <row r="23" spans="1:11" x14ac:dyDescent="0.25">
      <c r="A23">
        <v>12</v>
      </c>
      <c r="B23" s="83" t="n">
        <v>3271.0831</v>
      </c>
      <c r="C23" s="83" t="n">
        <v>453.8196</v>
      </c>
      <c r="D23" s="83" t="n">
        <v>253.2591</v>
      </c>
      <c r="E23" s="83">
        <f si="0" t="shared"/>
        <v>3978.1617999999999</v>
      </c>
      <c r="G23">
        <v>12</v>
      </c>
      <c r="H23" s="83" t="n">
        <v>1706.0</v>
      </c>
      <c r="I23" s="83" t="n">
        <v>646.0</v>
      </c>
      <c r="J23" s="85" t="n">
        <v>1337.0</v>
      </c>
      <c r="K23" s="83">
        <f si="1" t="shared"/>
        <v>3652</v>
      </c>
    </row>
    <row r="24" spans="1:11" x14ac:dyDescent="0.25">
      <c r="A24">
        <v>13</v>
      </c>
      <c r="B24" s="83" t="n">
        <v>614.8946</v>
      </c>
      <c r="C24" s="83" t="n">
        <v>0.0</v>
      </c>
      <c r="D24" s="83" t="n">
        <v>0.0</v>
      </c>
      <c r="E24" s="83">
        <f si="0" t="shared"/>
        <v>614.89459999999997</v>
      </c>
      <c r="G24">
        <v>13</v>
      </c>
      <c r="H24" s="83" t="n">
        <v>1270.0</v>
      </c>
      <c r="I24" s="83" t="n">
        <v>523.0</v>
      </c>
      <c r="J24" s="85" t="n">
        <v>638.0</v>
      </c>
      <c r="K24" s="83">
        <f si="1" t="shared"/>
        <v>2355</v>
      </c>
    </row>
    <row r="25" spans="1:11" x14ac:dyDescent="0.25">
      <c r="A25">
        <v>14</v>
      </c>
      <c r="B25" s="83" t="n">
        <v>737.8256</v>
      </c>
      <c r="C25" s="83" t="n">
        <v>294.342</v>
      </c>
      <c r="D25" s="83" t="n">
        <v>0.0</v>
      </c>
      <c r="E25" s="83">
        <f si="0" t="shared"/>
        <v>1032.1676</v>
      </c>
      <c r="G25">
        <v>14</v>
      </c>
      <c r="H25" s="83" t="n">
        <v>1109.0</v>
      </c>
      <c r="I25" s="83" t="n">
        <v>467.0</v>
      </c>
      <c r="J25" s="85" t="n">
        <v>505.0</v>
      </c>
      <c r="K25" s="83">
        <f si="1" t="shared"/>
        <v>2064</v>
      </c>
    </row>
    <row r="26" spans="1:11" x14ac:dyDescent="0.25">
      <c r="A26">
        <v>15</v>
      </c>
      <c r="B26" s="83" t="n">
        <v>230.2899</v>
      </c>
      <c r="C26" s="83" t="n">
        <v>0.0</v>
      </c>
      <c r="D26" s="83" t="n">
        <v>0.0</v>
      </c>
      <c r="E26" s="83">
        <f si="0" t="shared"/>
        <v>230.28989999999999</v>
      </c>
      <c r="G26">
        <v>15</v>
      </c>
      <c r="H26" s="83" t="n">
        <v>1091.0</v>
      </c>
      <c r="I26" s="83" t="n">
        <v>431.0</v>
      </c>
      <c r="J26" s="85" t="n">
        <v>500.0</v>
      </c>
      <c r="K26" s="83">
        <f si="1" t="shared"/>
        <v>2127</v>
      </c>
    </row>
    <row r="27" spans="1:11" x14ac:dyDescent="0.25">
      <c r="A27">
        <v>16</v>
      </c>
      <c r="B27" s="83" t="n">
        <v>0.0</v>
      </c>
      <c r="C27" s="83" t="n">
        <v>0.0</v>
      </c>
      <c r="D27" s="83" t="n">
        <v>0.0</v>
      </c>
      <c r="E27" s="83">
        <f si="0" t="shared"/>
        <v>0</v>
      </c>
      <c r="G27">
        <v>16</v>
      </c>
      <c r="H27" s="83" t="n">
        <v>997.0</v>
      </c>
      <c r="I27" s="83" t="n">
        <v>364.0</v>
      </c>
      <c r="J27" s="85" t="n">
        <v>292.0</v>
      </c>
      <c r="K27" s="83">
        <f si="1" t="shared"/>
        <v>1663</v>
      </c>
    </row>
    <row r="28" spans="1:11" x14ac:dyDescent="0.25">
      <c r="A28">
        <v>17</v>
      </c>
      <c r="B28" s="83" t="n">
        <v>448.1616</v>
      </c>
      <c r="C28" s="83" t="n">
        <v>0.0</v>
      </c>
      <c r="D28" s="83" t="n">
        <v>0.0</v>
      </c>
      <c r="E28" s="83">
        <f si="0" t="shared"/>
        <v>448.16160000000002</v>
      </c>
      <c r="G28">
        <v>17</v>
      </c>
      <c r="H28" s="83" t="n">
        <v>662.0</v>
      </c>
      <c r="I28" s="83" t="n">
        <v>281.0</v>
      </c>
      <c r="J28" s="85" t="n">
        <v>380.0</v>
      </c>
      <c r="K28" s="83">
        <f si="1" t="shared"/>
        <v>1376</v>
      </c>
    </row>
    <row r="29" spans="1:11" x14ac:dyDescent="0.25">
      <c r="A29">
        <v>18</v>
      </c>
      <c r="B29" s="83" t="n">
        <v>236.9175</v>
      </c>
      <c r="C29" s="83" t="n">
        <v>626.6615</v>
      </c>
      <c r="D29" s="83" t="n">
        <v>0.0</v>
      </c>
      <c r="E29" s="83">
        <f si="0" t="shared"/>
        <v>863.57900000000006</v>
      </c>
      <c r="G29">
        <v>18</v>
      </c>
      <c r="H29" s="83" t="n">
        <v>678.0</v>
      </c>
      <c r="I29" s="83" t="n">
        <v>306.0</v>
      </c>
      <c r="J29" s="85" t="n">
        <v>373.0</v>
      </c>
      <c r="K29" s="83">
        <f si="1" t="shared"/>
        <v>1254</v>
      </c>
    </row>
    <row r="30" spans="1:11" x14ac:dyDescent="0.25">
      <c r="A30">
        <v>19</v>
      </c>
      <c r="B30" s="83" t="n">
        <v>485.8131</v>
      </c>
      <c r="C30" s="83" t="n">
        <v>0.0</v>
      </c>
      <c r="D30" s="83" t="n">
        <v>565.822</v>
      </c>
      <c r="E30" s="83">
        <f si="0" t="shared"/>
        <v>1051.6351</v>
      </c>
      <c r="G30">
        <v>19</v>
      </c>
      <c r="H30" s="83" t="n">
        <v>477.0</v>
      </c>
      <c r="I30" s="83" t="n">
        <v>211.0</v>
      </c>
      <c r="J30" s="85" t="n">
        <v>335.0</v>
      </c>
      <c r="K30" s="83">
        <f si="1" t="shared"/>
        <v>1055</v>
      </c>
    </row>
    <row r="31" spans="1:11" x14ac:dyDescent="0.25">
      <c r="A31">
        <v>20</v>
      </c>
      <c r="B31" s="83" t="n">
        <v>130.9662</v>
      </c>
      <c r="C31" s="83" t="n">
        <v>0.0</v>
      </c>
      <c r="D31" s="83" t="n">
        <v>0.0</v>
      </c>
      <c r="E31" s="83">
        <f si="0" t="shared"/>
        <v>130.96619999999999</v>
      </c>
      <c r="G31">
        <v>20</v>
      </c>
      <c r="H31" s="83" t="n">
        <v>547.0</v>
      </c>
      <c r="I31" s="83" t="n">
        <v>196.0</v>
      </c>
      <c r="J31" s="85" t="n">
        <v>239.0</v>
      </c>
      <c r="K31" s="83">
        <f si="1" t="shared"/>
        <v>979</v>
      </c>
    </row>
    <row r="32" spans="1:11" x14ac:dyDescent="0.25">
      <c r="A32">
        <v>21</v>
      </c>
      <c r="B32" s="83" t="n">
        <v>555.9486</v>
      </c>
      <c r="C32" s="83" t="n">
        <v>0.0</v>
      </c>
      <c r="D32" s="83" t="n">
        <v>0.0</v>
      </c>
      <c r="E32" s="83">
        <f si="0" t="shared"/>
        <v>555.94860000000006</v>
      </c>
      <c r="G32">
        <v>21</v>
      </c>
      <c r="H32" s="83" t="n">
        <v>459.0</v>
      </c>
      <c r="I32" s="83" t="n">
        <v>233.0</v>
      </c>
      <c r="J32" s="85" t="n">
        <v>154.0</v>
      </c>
      <c r="K32" s="83">
        <f si="1" t="shared"/>
        <v>946</v>
      </c>
    </row>
    <row r="33" spans="1:11" x14ac:dyDescent="0.25">
      <c r="A33">
        <v>22</v>
      </c>
      <c r="B33" s="83" t="n">
        <v>844.4705</v>
      </c>
      <c r="C33" s="83" t="n">
        <v>0.0</v>
      </c>
      <c r="D33" s="83" t="n">
        <v>0.0</v>
      </c>
      <c r="E33" s="83">
        <f si="0" t="shared"/>
        <v>844.47050000000002</v>
      </c>
      <c r="G33">
        <v>22</v>
      </c>
      <c r="H33" s="83" t="n">
        <v>470.0</v>
      </c>
      <c r="I33" s="83" t="n">
        <v>198.0</v>
      </c>
      <c r="J33" s="85" t="n">
        <v>206.0</v>
      </c>
      <c r="K33" s="83">
        <f si="1" t="shared"/>
        <v>904</v>
      </c>
    </row>
    <row r="34" spans="1:11" x14ac:dyDescent="0.25">
      <c r="A34">
        <v>23</v>
      </c>
      <c r="B34" s="83" t="n">
        <v>0.0</v>
      </c>
      <c r="C34" s="83" t="n">
        <v>0.0</v>
      </c>
      <c r="D34" s="83" t="n">
        <v>244.27179999999998</v>
      </c>
      <c r="E34" s="83">
        <f si="0" t="shared"/>
        <v>244.27179999999998</v>
      </c>
      <c r="G34">
        <v>23</v>
      </c>
      <c r="H34" s="83" t="n">
        <v>273.0</v>
      </c>
      <c r="I34" s="83" t="n">
        <v>109.0</v>
      </c>
      <c r="J34" s="85" t="n">
        <v>148.0</v>
      </c>
      <c r="K34" s="83">
        <f si="1" t="shared"/>
        <v>607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0.0</v>
      </c>
      <c r="E35" s="83">
        <f si="0" t="shared"/>
        <v>0</v>
      </c>
      <c r="G35">
        <v>24</v>
      </c>
      <c r="H35" s="83" t="n">
        <v>219.0</v>
      </c>
      <c r="I35" s="83" t="n">
        <v>99.0</v>
      </c>
      <c r="J35" s="85" t="n">
        <v>198.0</v>
      </c>
      <c r="K35" s="83">
        <f si="1" t="shared"/>
        <v>537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0.0</v>
      </c>
      <c r="E36" s="83">
        <f si="0" t="shared"/>
        <v>0</v>
      </c>
      <c r="G36">
        <v>25</v>
      </c>
      <c r="H36" s="83" t="n">
        <v>190.0</v>
      </c>
      <c r="I36" s="83" t="n">
        <v>110.0</v>
      </c>
      <c r="J36" s="85" t="n">
        <v>223.0</v>
      </c>
      <c r="K36" s="83">
        <f si="1" t="shared"/>
        <v>596</v>
      </c>
    </row>
    <row r="37" spans="1:11" x14ac:dyDescent="0.25">
      <c r="A37">
        <v>26</v>
      </c>
      <c r="B37" s="83" t="n">
        <v>541.9792</v>
      </c>
      <c r="C37" s="83" t="n">
        <v>0.0</v>
      </c>
      <c r="D37" s="83" t="n">
        <v>0.0</v>
      </c>
      <c r="E37" s="83">
        <f si="0" t="shared"/>
        <v>541.97919999999999</v>
      </c>
      <c r="G37">
        <v>26</v>
      </c>
      <c r="H37" s="83" t="n">
        <v>158.0</v>
      </c>
      <c r="I37" s="83" t="n">
        <v>74.0</v>
      </c>
      <c r="J37" s="85" t="n">
        <v>289.0</v>
      </c>
      <c r="K37" s="83">
        <f si="1" t="shared"/>
        <v>623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0.0</v>
      </c>
      <c r="E38" s="83">
        <f si="0" t="shared"/>
        <v>0</v>
      </c>
      <c r="G38">
        <v>27</v>
      </c>
      <c r="H38" s="83" t="n">
        <v>146.0</v>
      </c>
      <c r="I38" s="83" t="n">
        <v>72.0</v>
      </c>
      <c r="J38" s="85" t="n">
        <v>166.0</v>
      </c>
      <c r="K38" s="83">
        <f si="1" t="shared"/>
        <v>367</v>
      </c>
    </row>
    <row r="39" spans="1:11" x14ac:dyDescent="0.25">
      <c r="A39">
        <v>28</v>
      </c>
      <c r="B39" s="83" t="n">
        <v>0.0</v>
      </c>
      <c r="C39" s="83" t="n">
        <v>0.0</v>
      </c>
      <c r="D39" s="83" t="n">
        <v>0.0</v>
      </c>
      <c r="E39" s="83">
        <f si="0" t="shared"/>
        <v>0</v>
      </c>
      <c r="G39">
        <v>28</v>
      </c>
      <c r="H39" s="83" t="n">
        <v>127.0</v>
      </c>
      <c r="I39" s="83" t="n">
        <v>79.0</v>
      </c>
      <c r="J39" s="85" t="n">
        <v>190.0</v>
      </c>
      <c r="K39" s="83">
        <f si="1" t="shared"/>
        <v>418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0.0</v>
      </c>
      <c r="E40" s="83">
        <f si="0" t="shared"/>
        <v>0</v>
      </c>
      <c r="G40">
        <v>29</v>
      </c>
      <c r="H40" s="83" t="n">
        <v>91.0</v>
      </c>
      <c r="I40" s="83" t="n">
        <v>53.0</v>
      </c>
      <c r="J40" s="85" t="n">
        <v>141.0</v>
      </c>
      <c r="K40" s="83">
        <f si="1" t="shared"/>
        <v>357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170.7131</v>
      </c>
      <c r="E41" s="83">
        <f si="0" t="shared"/>
        <v>170.7131</v>
      </c>
      <c r="G41">
        <v>30</v>
      </c>
      <c r="H41" s="83" t="n">
        <v>75.0</v>
      </c>
      <c r="I41" s="83" t="n">
        <v>48.0</v>
      </c>
      <c r="J41" s="85" t="n">
        <v>209.0</v>
      </c>
      <c r="K41" s="83">
        <f si="1" t="shared"/>
        <v>322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si="0" t="shared"/>
        <v>0</v>
      </c>
      <c r="G42">
        <v>31</v>
      </c>
      <c r="H42" s="83" t="n">
        <v>55.0</v>
      </c>
      <c r="I42" s="83" t="n">
        <v>39.0</v>
      </c>
      <c r="J42" s="85" t="n">
        <v>326.0</v>
      </c>
      <c r="K42" s="83">
        <f si="1" t="shared"/>
        <v>254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118.3958</v>
      </c>
      <c r="E43" s="83">
        <f ref="E43:E74" si="2" t="shared">SUM(B43:D43)</f>
        <v>118.39579999999999</v>
      </c>
      <c r="G43">
        <v>32</v>
      </c>
      <c r="H43" s="83" t="n">
        <v>50.0</v>
      </c>
      <c r="I43" s="83" t="n">
        <v>36.0</v>
      </c>
      <c r="J43" s="85" t="n">
        <v>219.0</v>
      </c>
      <c r="K43" s="83">
        <f ref="K43:K74" si="3" t="shared">SUM(H43:J43)</f>
        <v>397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314.726</v>
      </c>
      <c r="E44" s="83">
        <f si="2" t="shared"/>
        <v>314.726</v>
      </c>
      <c r="G44">
        <v>33</v>
      </c>
      <c r="H44" s="83" t="n">
        <v>47.0</v>
      </c>
      <c r="I44" s="83" t="n">
        <v>34.0</v>
      </c>
      <c r="J44" s="85" t="n">
        <v>144.0</v>
      </c>
      <c r="K44" s="83">
        <f si="3" t="shared"/>
        <v>240</v>
      </c>
    </row>
    <row r="45" spans="1:11" x14ac:dyDescent="0.25">
      <c r="A45">
        <v>34</v>
      </c>
      <c r="B45" s="83" t="n">
        <v>277.9743</v>
      </c>
      <c r="C45" s="83" t="n">
        <v>0.0</v>
      </c>
      <c r="D45" s="83" t="n">
        <v>338.4055</v>
      </c>
      <c r="E45" s="83">
        <f si="2" t="shared"/>
        <v>616.37980000000005</v>
      </c>
      <c r="G45">
        <v>34</v>
      </c>
      <c r="H45" s="83" t="n">
        <v>25.0</v>
      </c>
      <c r="I45" s="83" t="n">
        <v>26.0</v>
      </c>
      <c r="J45" s="85" t="n">
        <v>167.0</v>
      </c>
      <c r="K45" s="83">
        <f si="3" t="shared"/>
        <v>263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181.72189999999998</v>
      </c>
      <c r="E46" s="83">
        <f si="2" t="shared"/>
        <v>181.72189999999998</v>
      </c>
      <c r="G46">
        <v>35</v>
      </c>
      <c r="H46" s="83" t="n">
        <v>30.0</v>
      </c>
      <c r="I46" s="83" t="n">
        <v>24.0</v>
      </c>
      <c r="J46" s="85" t="n">
        <v>156.0</v>
      </c>
      <c r="K46" s="83">
        <f si="3" t="shared"/>
        <v>214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17.616</v>
      </c>
      <c r="E47" s="83">
        <f si="2" t="shared"/>
        <v>17.616</v>
      </c>
      <c r="G47">
        <v>36</v>
      </c>
      <c r="H47" s="83" t="n">
        <v>27.0</v>
      </c>
      <c r="I47" s="83" t="n">
        <v>17.0</v>
      </c>
      <c r="J47" s="85" t="n">
        <v>131.0</v>
      </c>
      <c r="K47" s="83">
        <f si="3" t="shared"/>
        <v>222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30.787</v>
      </c>
      <c r="E48" s="83">
        <f si="2" t="shared"/>
        <v>30.786999999999999</v>
      </c>
      <c r="G48">
        <v>37</v>
      </c>
      <c r="H48" s="83" t="n">
        <v>32.0</v>
      </c>
      <c r="I48" s="83" t="n">
        <v>28.0</v>
      </c>
      <c r="J48" s="85" t="n">
        <v>176.0</v>
      </c>
      <c r="K48" s="83">
        <f si="3" t="shared"/>
        <v>268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18.872999999999998</v>
      </c>
      <c r="E49" s="83">
        <f si="2" t="shared"/>
        <v>18.872999999999998</v>
      </c>
      <c r="G49">
        <v>38</v>
      </c>
      <c r="H49" s="83" t="n">
        <v>16.0</v>
      </c>
      <c r="I49" s="83" t="n">
        <v>10.0</v>
      </c>
      <c r="J49" s="85" t="n">
        <v>90.0</v>
      </c>
      <c r="K49" s="83">
        <f si="3" t="shared"/>
        <v>167</v>
      </c>
    </row>
    <row r="50" spans="1:11" x14ac:dyDescent="0.25">
      <c r="A50">
        <v>39</v>
      </c>
      <c r="B50" s="83" t="n">
        <v>82.1623</v>
      </c>
      <c r="C50" s="83" t="n">
        <v>0.0</v>
      </c>
      <c r="D50" s="83" t="n">
        <v>178.2573</v>
      </c>
      <c r="E50" s="83">
        <f si="2" t="shared"/>
        <v>260.4196</v>
      </c>
      <c r="G50">
        <v>39</v>
      </c>
      <c r="H50" s="83" t="n">
        <v>15.0</v>
      </c>
      <c r="I50" s="83" t="n">
        <v>13.0</v>
      </c>
      <c r="J50" s="85" t="n">
        <v>115.0</v>
      </c>
      <c r="K50" s="83">
        <f si="3" t="shared"/>
        <v>116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16.699</v>
      </c>
      <c r="E51" s="83">
        <f si="2" t="shared"/>
        <v>16.699000000000002</v>
      </c>
      <c r="G51">
        <v>40</v>
      </c>
      <c r="H51" s="83" t="n">
        <v>6.0</v>
      </c>
      <c r="I51" s="83" t="n">
        <v>10.0</v>
      </c>
      <c r="J51" s="85" t="n">
        <v>89.0</v>
      </c>
      <c r="K51" s="83">
        <f si="3" t="shared"/>
        <v>138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16.851</v>
      </c>
      <c r="E52" s="83">
        <f si="2" t="shared"/>
        <v>16.850999999999999</v>
      </c>
      <c r="G52">
        <v>41</v>
      </c>
      <c r="H52" s="83" t="n">
        <v>7.0</v>
      </c>
      <c r="I52" s="83" t="n">
        <v>9.0</v>
      </c>
      <c r="J52" s="85" t="n">
        <v>59.0</v>
      </c>
      <c r="K52" s="83">
        <f si="3" t="shared"/>
        <v>97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4.11</v>
      </c>
      <c r="E53" s="83">
        <f si="2" t="shared"/>
        <v>4.1100000000000003</v>
      </c>
      <c r="G53">
        <v>42</v>
      </c>
      <c r="H53" s="83" t="n">
        <v>16.0</v>
      </c>
      <c r="I53" s="83" t="n">
        <v>10.0</v>
      </c>
      <c r="J53" s="85" t="n">
        <v>53.0</v>
      </c>
      <c r="K53" s="83">
        <f si="3" t="shared"/>
        <v>79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140.3503</v>
      </c>
      <c r="E54" s="83">
        <f si="2" t="shared"/>
        <v>140.3503</v>
      </c>
      <c r="G54">
        <v>43</v>
      </c>
      <c r="H54" s="83" t="n">
        <v>3.0</v>
      </c>
      <c r="I54" s="83" t="n">
        <v>9.0</v>
      </c>
      <c r="J54" s="85" t="n">
        <v>13.0</v>
      </c>
      <c r="K54" s="83">
        <f si="3" t="shared"/>
        <v>88</v>
      </c>
    </row>
    <row r="55" spans="1:11" x14ac:dyDescent="0.25">
      <c r="A55">
        <v>44</v>
      </c>
      <c r="B55" s="83" t="n">
        <v>0.0</v>
      </c>
      <c r="C55" s="83" t="n">
        <v>262.7907</v>
      </c>
      <c r="D55" s="83" t="n">
        <v>4.11</v>
      </c>
      <c r="E55" s="83">
        <f si="2" t="shared"/>
        <v>266.90070000000003</v>
      </c>
      <c r="G55">
        <v>44</v>
      </c>
      <c r="H55" s="83" t="n">
        <v>5.0</v>
      </c>
      <c r="I55" s="83" t="n">
        <v>3.0</v>
      </c>
      <c r="J55" s="85" t="n">
        <v>27.0</v>
      </c>
      <c r="K55" s="83">
        <f si="3" t="shared"/>
        <v>30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7.785</v>
      </c>
      <c r="E56" s="83">
        <f si="2" t="shared"/>
        <v>7.7850000000000001</v>
      </c>
      <c r="G56">
        <v>45</v>
      </c>
      <c r="H56" s="83" t="n">
        <v>3.0</v>
      </c>
      <c r="I56" s="83" t="n">
        <v>10.0</v>
      </c>
      <c r="J56" s="85" t="n">
        <v>28.0</v>
      </c>
      <c r="K56" s="83">
        <f si="3" t="shared"/>
        <v>41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3.675</v>
      </c>
      <c r="E57" s="83">
        <f si="2" t="shared"/>
        <v>3.6749999999999998</v>
      </c>
      <c r="G57">
        <v>46</v>
      </c>
      <c r="H57" s="83" t="n">
        <v>2.0</v>
      </c>
      <c r="I57" s="83" t="n">
        <v>3.0</v>
      </c>
      <c r="J57" s="85" t="n">
        <v>33.0</v>
      </c>
      <c r="K57" s="83">
        <f si="3" t="shared"/>
        <v>35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260.5267</v>
      </c>
      <c r="E58" s="83">
        <f si="2" t="shared"/>
        <v>260.52670000000001</v>
      </c>
      <c r="G58">
        <v>47</v>
      </c>
      <c r="H58" s="83" t="n">
        <v>2.0</v>
      </c>
      <c r="I58" s="83" t="n">
        <v>8.0</v>
      </c>
      <c r="J58" s="85" t="n">
        <v>12.0</v>
      </c>
      <c r="K58" s="83">
        <f si="3" t="shared"/>
        <v>37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42.828</v>
      </c>
      <c r="E59" s="83">
        <f si="2" t="shared"/>
        <v>42.828000000000003</v>
      </c>
      <c r="G59">
        <v>48</v>
      </c>
      <c r="H59" s="83" t="n">
        <v>1.0</v>
      </c>
      <c r="I59" s="83" t="n">
        <v>11.0</v>
      </c>
      <c r="J59" s="85" t="n">
        <v>30.0</v>
      </c>
      <c r="K59" s="83">
        <f si="3" t="shared"/>
        <v>22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131.1346</v>
      </c>
      <c r="E60" s="83">
        <f si="2" t="shared"/>
        <v>131.13460000000001</v>
      </c>
      <c r="G60">
        <v>49</v>
      </c>
      <c r="H60" s="83" t="n">
        <v>0.0</v>
      </c>
      <c r="I60" s="83" t="n">
        <v>2.0</v>
      </c>
      <c r="J60" s="85" t="n">
        <v>7.0</v>
      </c>
      <c r="K60" s="83">
        <f si="3" t="shared"/>
        <v>40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423.099</v>
      </c>
      <c r="E61" s="83">
        <f si="2" t="shared"/>
        <v>423.09899999999999</v>
      </c>
      <c r="G61">
        <v>50</v>
      </c>
      <c r="H61" s="83" t="n">
        <v>0.0</v>
      </c>
      <c r="I61" s="83" t="n">
        <v>3.0</v>
      </c>
      <c r="J61" s="85" t="n">
        <v>3.0</v>
      </c>
      <c r="K61" s="83">
        <f si="3" t="shared"/>
        <v>13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si="2" t="shared"/>
        <v>0</v>
      </c>
      <c r="G62">
        <v>51</v>
      </c>
      <c r="H62" s="83" t="n">
        <v>1.0</v>
      </c>
      <c r="I62" s="83" t="n">
        <v>1.0</v>
      </c>
      <c r="J62" s="85" t="n">
        <v>32.0</v>
      </c>
      <c r="K62" s="83">
        <f si="3" t="shared"/>
        <v>14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si="2" t="shared"/>
        <v>0</v>
      </c>
      <c r="G63">
        <v>52</v>
      </c>
      <c r="H63" s="83" t="n">
        <v>1.0</v>
      </c>
      <c r="I63" s="83" t="n">
        <v>3.0</v>
      </c>
      <c r="J63" s="85" t="n">
        <v>2.0</v>
      </c>
      <c r="K63" s="83">
        <f si="3" t="shared"/>
        <v>33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0.0</v>
      </c>
      <c r="E64" s="83">
        <f si="2" t="shared"/>
        <v>0</v>
      </c>
      <c r="G64">
        <v>53</v>
      </c>
      <c r="H64" s="83" t="n">
        <v>0.0</v>
      </c>
      <c r="I64" s="83" t="n">
        <v>6.0</v>
      </c>
      <c r="J64" s="85" t="n">
        <v>9.0</v>
      </c>
      <c r="K64" s="83">
        <f si="3" t="shared"/>
        <v>4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1.0</v>
      </c>
      <c r="I65" s="83" t="n">
        <v>1.0</v>
      </c>
      <c r="J65" s="85" t="n">
        <v>2.0</v>
      </c>
      <c r="K65" s="83">
        <f si="3" t="shared"/>
        <v>23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0.0</v>
      </c>
      <c r="E66" s="83">
        <f si="2" t="shared"/>
        <v>0</v>
      </c>
      <c r="G66">
        <v>55</v>
      </c>
      <c r="H66" s="83" t="n">
        <v>0.0</v>
      </c>
      <c r="I66" s="83" t="n">
        <v>1.0</v>
      </c>
      <c r="J66" s="85" t="n">
        <v>0.0</v>
      </c>
      <c r="K66" s="83">
        <f si="3" t="shared"/>
        <v>9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1.0</v>
      </c>
      <c r="I67" s="83" t="n">
        <v>0.0</v>
      </c>
      <c r="J67" s="85" t="n">
        <v>1.0</v>
      </c>
      <c r="K67" s="83">
        <f si="3" t="shared"/>
        <v>4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si="2" t="shared"/>
        <v>0</v>
      </c>
      <c r="G68">
        <v>57</v>
      </c>
      <c r="H68" s="83" t="n">
        <v>0.0</v>
      </c>
      <c r="I68" s="83" t="n">
        <v>1.0</v>
      </c>
      <c r="J68" s="85" t="n">
        <v>1.0</v>
      </c>
      <c r="K68" s="83">
        <f si="3" t="shared"/>
        <v>2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si="2" t="shared"/>
        <v>0</v>
      </c>
      <c r="G69">
        <v>58</v>
      </c>
      <c r="H69" s="83" t="n">
        <v>0.0</v>
      </c>
      <c r="I69" s="83" t="n">
        <v>0.0</v>
      </c>
      <c r="J69" s="85" t="n">
        <v>1.0</v>
      </c>
      <c r="K69" s="83">
        <f si="3" t="shared"/>
        <v>2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0.0</v>
      </c>
      <c r="I70" s="83" t="n">
        <v>0.0</v>
      </c>
      <c r="J70" s="85" t="n">
        <v>0.0</v>
      </c>
      <c r="K70" s="83">
        <f si="3" t="shared"/>
        <v>0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0.0</v>
      </c>
      <c r="I71" s="83" t="n">
        <v>0.0</v>
      </c>
      <c r="J71" s="85" t="n">
        <v>0.0</v>
      </c>
      <c r="K71" s="83">
        <f si="3" t="shared"/>
        <v>0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0.0</v>
      </c>
      <c r="I72" s="83" t="n">
        <v>0.0</v>
      </c>
      <c r="J72" s="85" t="n">
        <v>2.0</v>
      </c>
      <c r="K72" s="83">
        <f si="3" t="shared"/>
        <v>1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si="2" t="shared"/>
        <v>0</v>
      </c>
      <c r="G73">
        <v>62</v>
      </c>
      <c r="H73" s="83" t="n">
        <v>0.0</v>
      </c>
      <c r="I73" s="83" t="n">
        <v>0.0</v>
      </c>
      <c r="J73" s="85" t="n">
        <v>1.0</v>
      </c>
      <c r="K73" s="83">
        <f si="3" t="shared"/>
        <v>3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si="2" t="shared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si="3" t="shared"/>
        <v>0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ref="E75:E101" si="4" t="shared">SUM(B75:D75)</f>
        <v>0</v>
      </c>
      <c r="G75">
        <v>64</v>
      </c>
      <c r="H75" s="83" t="n">
        <v>0.0</v>
      </c>
      <c r="I75" s="83" t="n">
        <v>0.0</v>
      </c>
      <c r="J75" s="85" t="n">
        <v>0.0</v>
      </c>
      <c r="K75" s="83">
        <f ref="K75:K101" si="5" t="shared">SUM(H75:J75)</f>
        <v>1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si="5" t="shared"/>
        <v>0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si="4" t="shared"/>
        <v>0</v>
      </c>
      <c r="G77">
        <v>66</v>
      </c>
      <c r="H77" s="83" t="n">
        <v>0.0</v>
      </c>
      <c r="I77" s="83" t="n">
        <v>0.0</v>
      </c>
      <c r="J77" s="85" t="n">
        <v>0.0</v>
      </c>
      <c r="K77" s="83">
        <f si="5" t="shared"/>
        <v>1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si="4" t="shared"/>
        <v>0</v>
      </c>
      <c r="G78">
        <v>67</v>
      </c>
      <c r="H78" s="83" t="n">
        <v>0.0</v>
      </c>
      <c r="I78" s="83" t="n">
        <v>0.0</v>
      </c>
      <c r="J78" s="85" t="n">
        <v>0.0</v>
      </c>
      <c r="K78" s="83">
        <f si="5" t="shared"/>
        <v>0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0.0</v>
      </c>
      <c r="J79" s="85" t="n">
        <v>0.0</v>
      </c>
      <c r="K79" s="83">
        <f si="5" t="shared"/>
        <v>0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si="4" t="shared"/>
        <v>0</v>
      </c>
      <c r="G80">
        <v>69</v>
      </c>
      <c r="H80" s="83" t="n">
        <v>0.0</v>
      </c>
      <c r="I80" s="83" t="n">
        <v>0.0</v>
      </c>
      <c r="J80" s="85" t="n">
        <v>0.0</v>
      </c>
      <c r="K80" s="83">
        <f si="5" t="shared"/>
        <v>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0.0</v>
      </c>
      <c r="I81" s="83" t="n">
        <v>1.0</v>
      </c>
      <c r="J81" s="85" t="n">
        <v>0.0</v>
      </c>
      <c r="K81" s="83">
        <f si="5" t="shared"/>
        <v>2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si="5" t="shared"/>
        <v>0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si="4" t="shared"/>
        <v>0</v>
      </c>
      <c r="G83">
        <v>72</v>
      </c>
      <c r="H83" s="83" t="n">
        <v>0.0</v>
      </c>
      <c r="I83" s="83" t="n">
        <v>0.0</v>
      </c>
      <c r="J83" s="85" t="n">
        <v>0.0</v>
      </c>
      <c r="K83" s="83">
        <f si="5" t="shared"/>
        <v>0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0.0</v>
      </c>
      <c r="I84" s="83" t="n">
        <v>0.0</v>
      </c>
      <c r="J84" s="85" t="n">
        <v>0.0</v>
      </c>
      <c r="K84" s="83">
        <f si="5" t="shared"/>
        <v>0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0.0</v>
      </c>
      <c r="J85" s="85" t="n">
        <v>0.0</v>
      </c>
      <c r="K85" s="83">
        <f si="5" t="shared"/>
        <v>0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0.0</v>
      </c>
      <c r="J86" s="85" t="n">
        <v>0.0</v>
      </c>
      <c r="K86" s="83">
        <f si="5" t="shared"/>
        <v>0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si="4" t="shared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si="5" t="shared"/>
        <v>0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si="4" t="shared"/>
        <v>0</v>
      </c>
      <c r="G88">
        <v>77</v>
      </c>
      <c r="H88" s="83" t="n">
        <v>0.0</v>
      </c>
      <c r="I88" s="83" t="n">
        <v>0.0</v>
      </c>
      <c r="J88" s="85" t="n">
        <v>0.0</v>
      </c>
      <c r="K88" s="83">
        <f si="5" t="shared"/>
        <v>1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si="4" t="shared"/>
        <v>0</v>
      </c>
      <c r="G89">
        <v>78</v>
      </c>
      <c r="H89" s="83" t="n">
        <v>1.0</v>
      </c>
      <c r="I89" s="83" t="n">
        <v>0.0</v>
      </c>
      <c r="J89" s="85" t="n">
        <v>0.0</v>
      </c>
      <c r="K89" s="83">
        <f si="5" t="shared"/>
        <v>0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0.0</v>
      </c>
      <c r="J90" s="85" t="n">
        <v>0.0</v>
      </c>
      <c r="K90" s="83">
        <f si="5" t="shared"/>
        <v>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0.0</v>
      </c>
      <c r="I91" s="83" t="n">
        <v>0.0</v>
      </c>
      <c r="J91" s="85" t="n">
        <v>0.0</v>
      </c>
      <c r="K91" s="83">
        <f si="5" t="shared"/>
        <v>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1.0</v>
      </c>
      <c r="I92" s="83" t="n">
        <v>0.0</v>
      </c>
      <c r="J92" s="85" t="n">
        <v>0.0</v>
      </c>
      <c r="K92" s="83">
        <f si="5" t="shared"/>
        <v>4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5" t="n">
        <v>1.0</v>
      </c>
      <c r="K93" s="83">
        <f si="5" t="shared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5" t="n">
        <v>0.0</v>
      </c>
      <c r="K94" s="83">
        <f si="5" t="shared"/>
        <v>0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si="4" t="shared"/>
        <v>0</v>
      </c>
      <c r="G95">
        <v>84</v>
      </c>
      <c r="H95" s="83" t="n">
        <v>1.0</v>
      </c>
      <c r="I95" s="83" t="n">
        <v>0.0</v>
      </c>
      <c r="J95" s="85" t="n">
        <v>0.0</v>
      </c>
      <c r="K95" s="83">
        <f si="5" t="shared"/>
        <v>3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0.0</v>
      </c>
      <c r="I96" s="83" t="n">
        <v>0.0</v>
      </c>
      <c r="J96" s="85" t="n">
        <v>0.0</v>
      </c>
      <c r="K96" s="83">
        <f si="5" t="shared"/>
        <v>0</v>
      </c>
    </row>
    <row r="97" spans="1:11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si="4" t="shared"/>
        <v>0</v>
      </c>
      <c r="G97">
        <v>86</v>
      </c>
      <c r="H97" s="83" t="n">
        <v>0.0</v>
      </c>
      <c r="I97" s="83" t="n">
        <v>0.0</v>
      </c>
      <c r="J97" s="85" t="n">
        <v>0.0</v>
      </c>
      <c r="K97" s="83">
        <f si="5" t="shared"/>
        <v>0</v>
      </c>
    </row>
    <row r="98" spans="1:11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si="4" t="shared"/>
        <v>0</v>
      </c>
      <c r="G98">
        <v>87</v>
      </c>
      <c r="H98" s="83" t="n">
        <v>0.0</v>
      </c>
      <c r="I98" s="83" t="n">
        <v>0.0</v>
      </c>
      <c r="J98" s="85" t="n">
        <v>1.0</v>
      </c>
      <c r="K98" s="83">
        <f si="5" t="shared"/>
        <v>0</v>
      </c>
    </row>
    <row r="99" spans="1:11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5" t="n">
        <v>0.0</v>
      </c>
      <c r="K99" s="83">
        <f si="5" t="shared"/>
        <v>0</v>
      </c>
    </row>
    <row r="100" spans="1:11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si="4" t="shared"/>
        <v>0</v>
      </c>
      <c r="G100">
        <v>89</v>
      </c>
      <c r="H100" s="83" t="n">
        <v>3.0</v>
      </c>
      <c r="I100" s="83" t="n">
        <v>0.0</v>
      </c>
      <c r="J100" s="85" t="n">
        <v>2.0</v>
      </c>
      <c r="K100" s="83">
        <f si="5" t="shared"/>
        <v>4</v>
      </c>
    </row>
    <row ht="15.75" r="101" spans="1:11" thickBot="1" x14ac:dyDescent="0.3">
      <c r="A101" s="1">
        <v>90</v>
      </c>
      <c r="B101" s="84" t="n">
        <v>4846.176</v>
      </c>
      <c r="C101" s="84" t="n">
        <v>0.0</v>
      </c>
      <c r="D101" s="84" t="n">
        <v>3032.2763</v>
      </c>
      <c r="E101" s="84">
        <f si="4" t="shared"/>
        <v>7878.4523000000008</v>
      </c>
      <c r="G101" s="1">
        <v>90</v>
      </c>
      <c r="H101" s="84" t="n">
        <v>2382.0</v>
      </c>
      <c r="I101" s="84" t="n">
        <v>0.0</v>
      </c>
      <c r="J101" s="84" t="n">
        <v>0.0</v>
      </c>
      <c r="K101" s="84">
        <f si="5" t="shared"/>
        <v>2382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27494.374899999999</v>
      </c>
      <c r="C11" s="13">
        <f>SUM(TDFD!C11:C15)</f>
        <v>1556.1008000000002</v>
      </c>
      <c r="D11" s="13">
        <f>SUM(TDFD!D11:D15)</f>
        <v>0</v>
      </c>
      <c r="E11" s="13">
        <f>SUM(TDFD!E11:E15)</f>
        <v>29050.475699999999</v>
      </c>
      <c r="H11" t="s">
        <v>15</v>
      </c>
      <c r="I11" s="13">
        <f>SUM(TDFD!H11:H15)</f>
        <v>18038</v>
      </c>
      <c r="J11" s="13">
        <f>SUM(TDFD!I11:I15)</f>
        <v>2479</v>
      </c>
      <c r="K11" s="13">
        <f>SUM(TDFD!J11:J15)</f>
        <v>1385</v>
      </c>
      <c r="L11" s="13">
        <f>SUM(TDFD!K11:K15)</f>
        <v>21902</v>
      </c>
    </row>
    <row r="12" spans="1:12" x14ac:dyDescent="0.25">
      <c r="A12" t="s">
        <v>16</v>
      </c>
      <c r="B12" s="13">
        <f>SUM(TDFD!B16:B20)</f>
        <v>14204.030399999998</v>
      </c>
      <c r="C12" s="13">
        <f>SUM(TDFD!C16:C20)</f>
        <v>3253.9331999999995</v>
      </c>
      <c r="D12" s="13">
        <f>SUM(TDFD!D16:D20)</f>
        <v>829.56979999999999</v>
      </c>
      <c r="E12" s="13">
        <f>SUM(TDFD!E16:E20)</f>
        <v>18287.5334</v>
      </c>
      <c r="H12" t="s">
        <v>16</v>
      </c>
      <c r="I12" s="13">
        <f>SUM(TDFD!H16:H20)</f>
        <v>18849</v>
      </c>
      <c r="J12" s="13">
        <f>SUM(TDFD!I16:I20)</f>
        <v>4336</v>
      </c>
      <c r="K12" s="13">
        <f>SUM(TDFD!J16:J20)</f>
        <v>5262</v>
      </c>
      <c r="L12" s="13">
        <f>SUM(TDFD!K16:K20)</f>
        <v>28447</v>
      </c>
    </row>
    <row r="13" spans="1:12" x14ac:dyDescent="0.25">
      <c r="A13" t="s">
        <v>17</v>
      </c>
      <c r="B13" s="13">
        <f>SUM(TDFD!B21:B25)</f>
        <v>9877.1356999999989</v>
      </c>
      <c r="C13" s="13">
        <f>SUM(TDFD!C21:C25)</f>
        <v>2312.2802999999999</v>
      </c>
      <c r="D13" s="13">
        <f>SUM(TDFD!D21:D25)</f>
        <v>253.25909999999999</v>
      </c>
      <c r="E13" s="13">
        <f>SUM(TDFD!E21:E25)</f>
        <v>12442.6751</v>
      </c>
      <c r="H13" t="s">
        <v>17</v>
      </c>
      <c r="I13" s="13">
        <f>SUM(TDFD!H21:H25)</f>
        <v>8150</v>
      </c>
      <c r="J13" s="13">
        <f>SUM(TDFD!I21:I25)</f>
        <v>2997</v>
      </c>
      <c r="K13" s="13">
        <f>SUM(TDFD!J21:J25)</f>
        <v>5000</v>
      </c>
      <c r="L13" s="13">
        <f>SUM(TDFD!K21:K25)</f>
        <v>16147</v>
      </c>
    </row>
    <row r="14" spans="1:12" x14ac:dyDescent="0.25">
      <c r="A14" t="s">
        <v>18</v>
      </c>
      <c r="B14" s="13">
        <f>SUM(TDFD!B26:B30)</f>
        <v>1401.1821</v>
      </c>
      <c r="C14" s="13">
        <f>SUM(TDFD!C26:C30)</f>
        <v>626.66150000000005</v>
      </c>
      <c r="D14" s="13">
        <f>SUM(TDFD!D26:D30)</f>
        <v>565.822</v>
      </c>
      <c r="E14" s="13">
        <f>SUM(TDFD!E26:E30)</f>
        <v>2593.6656000000003</v>
      </c>
      <c r="H14" t="s">
        <v>18</v>
      </c>
      <c r="I14" s="13">
        <f>SUM(TDFD!H26:H30)</f>
        <v>4136</v>
      </c>
      <c r="J14" s="13">
        <f>SUM(TDFD!I26:I30)</f>
        <v>1461</v>
      </c>
      <c r="K14" s="13">
        <f>SUM(TDFD!J26:J30)</f>
        <v>1878</v>
      </c>
      <c r="L14" s="13">
        <f>SUM(TDFD!K26:K30)</f>
        <v>7475</v>
      </c>
    </row>
    <row r="15" spans="1:12" x14ac:dyDescent="0.25">
      <c r="A15" t="s">
        <v>19</v>
      </c>
      <c r="B15" s="13">
        <f>SUM(TDFD!B31:B35)</f>
        <v>1531.3852999999999</v>
      </c>
      <c r="C15" s="13">
        <f>SUM(TDFD!C31:C35)</f>
        <v>0</v>
      </c>
      <c r="D15" s="13">
        <f>SUM(TDFD!D31:D35)</f>
        <v>244.27179999999998</v>
      </c>
      <c r="E15" s="13">
        <f>SUM(TDFD!E31:E35)</f>
        <v>1775.6570999999999</v>
      </c>
      <c r="H15" t="s">
        <v>19</v>
      </c>
      <c r="I15" s="13">
        <f>SUM(TDFD!H31:H35)</f>
        <v>2144</v>
      </c>
      <c r="J15" s="13">
        <f>SUM(TDFD!I31:I35)</f>
        <v>870</v>
      </c>
      <c r="K15" s="13">
        <f>SUM(TDFD!J31:J35)</f>
        <v>959</v>
      </c>
      <c r="L15" s="13">
        <f>SUM(TDFD!K31:K35)</f>
        <v>3973</v>
      </c>
    </row>
    <row r="16" spans="1:12" x14ac:dyDescent="0.25">
      <c r="A16" t="s">
        <v>20</v>
      </c>
      <c r="B16" s="13">
        <f>SUM(TDFD!B36:B40)</f>
        <v>541.97919999999999</v>
      </c>
      <c r="C16" s="13">
        <f>SUM(TDFD!C36:C40)</f>
        <v>0</v>
      </c>
      <c r="D16" s="13">
        <f>SUM(TDFD!D36:D40)</f>
        <v>0</v>
      </c>
      <c r="E16" s="13">
        <f>SUM(TDFD!E36:E40)</f>
        <v>541.97919999999999</v>
      </c>
      <c r="H16" t="s">
        <v>20</v>
      </c>
      <c r="I16" s="13">
        <f>SUM(TDFD!H36:H40)</f>
        <v>864</v>
      </c>
      <c r="J16" s="13">
        <f>SUM(TDFD!I36:I40)</f>
        <v>449</v>
      </c>
      <c r="K16" s="13">
        <f>SUM(TDFD!J36:J40)</f>
        <v>1048</v>
      </c>
      <c r="L16" s="13">
        <f>SUM(TDFD!K36:K40)</f>
        <v>2361</v>
      </c>
    </row>
    <row r="17" spans="1:12" x14ac:dyDescent="0.25">
      <c r="A17" t="s">
        <v>21</v>
      </c>
      <c r="B17" s="13">
        <f>SUM(TDFD!B41:B45)</f>
        <v>277.97430000000003</v>
      </c>
      <c r="C17" s="13">
        <f>SUM(TDFD!C41:C45)</f>
        <v>0</v>
      </c>
      <c r="D17" s="13">
        <f>SUM(TDFD!D41:D45)</f>
        <v>942.24040000000014</v>
      </c>
      <c r="E17" s="13">
        <f>SUM(TDFD!E41:E45)</f>
        <v>1220.2147</v>
      </c>
      <c r="H17" t="s">
        <v>21</v>
      </c>
      <c r="I17" s="13">
        <f>SUM(TDFD!H41:H45)</f>
        <v>361</v>
      </c>
      <c r="J17" s="13">
        <f>SUM(TDFD!I41:I45)</f>
        <v>241</v>
      </c>
      <c r="K17" s="13">
        <f>SUM(TDFD!J41:J45)</f>
        <v>874</v>
      </c>
      <c r="L17" s="13">
        <f>SUM(TDFD!K41:K45)</f>
        <v>1476</v>
      </c>
    </row>
    <row r="18" spans="1:12" x14ac:dyDescent="0.25">
      <c r="A18" t="s">
        <v>22</v>
      </c>
      <c r="B18" s="13">
        <f>SUM(TDFD!B46:B50)</f>
        <v>82.162300000000002</v>
      </c>
      <c r="C18" s="13">
        <f>SUM(TDFD!C46:C50)</f>
        <v>0</v>
      </c>
      <c r="D18" s="13">
        <f>SUM(TDFD!D46:D50)</f>
        <v>427.25519999999995</v>
      </c>
      <c r="E18" s="13">
        <f>SUM(TDFD!E46:E50)</f>
        <v>509.41750000000002</v>
      </c>
      <c r="H18" t="s">
        <v>22</v>
      </c>
      <c r="I18" s="13">
        <f>SUM(TDFD!H46:H50)</f>
        <v>165</v>
      </c>
      <c r="J18" s="13">
        <f>SUM(TDFD!I46:I50)</f>
        <v>132</v>
      </c>
      <c r="K18" s="13">
        <f>SUM(TDFD!J46:J50)</f>
        <v>690</v>
      </c>
      <c r="L18" s="13">
        <f>SUM(TDFD!K46:K50)</f>
        <v>987</v>
      </c>
    </row>
    <row r="19" spans="1:12" x14ac:dyDescent="0.25">
      <c r="A19" t="s">
        <v>23</v>
      </c>
      <c r="B19" s="13">
        <f>SUM(TDFD!B51:B55)</f>
        <v>0</v>
      </c>
      <c r="C19" s="13">
        <f>SUM(TDFD!C51:C55)</f>
        <v>262.79070000000002</v>
      </c>
      <c r="D19" s="13">
        <f>SUM(TDFD!D51:D55)</f>
        <v>182.12030000000001</v>
      </c>
      <c r="E19" s="13">
        <f>SUM(TDFD!E51:E55)</f>
        <v>444.91100000000006</v>
      </c>
      <c r="H19" t="s">
        <v>23</v>
      </c>
      <c r="I19" s="13">
        <f>SUM(TDFD!H51:H55)</f>
        <v>62</v>
      </c>
      <c r="J19" s="13">
        <f>SUM(TDFD!I51:I55)</f>
        <v>73</v>
      </c>
      <c r="K19" s="13">
        <f>SUM(TDFD!J51:J55)</f>
        <v>297</v>
      </c>
      <c r="L19" s="13">
        <f>SUM(TDFD!K51:K55)</f>
        <v>432</v>
      </c>
    </row>
    <row r="20" spans="1:12" x14ac:dyDescent="0.25">
      <c r="A20" t="s">
        <v>24</v>
      </c>
      <c r="B20" s="13">
        <f>SUM(TDFD!B56:B70)</f>
        <v>0</v>
      </c>
      <c r="C20" s="13">
        <f>SUM(TDFD!C56:C70)</f>
        <v>0</v>
      </c>
      <c r="D20" s="13">
        <f>SUM(TDFD!D56:D70)</f>
        <v>869.04829999999993</v>
      </c>
      <c r="E20" s="13">
        <f>SUM(TDFD!E56:E70)</f>
        <v>869.04829999999993</v>
      </c>
      <c r="H20" t="s">
        <v>24</v>
      </c>
      <c r="I20" s="13">
        <f>SUM(TDFD!H56:H70)</f>
        <v>25</v>
      </c>
      <c r="J20" s="13">
        <f>SUM(TDFD!I56:I70)</f>
        <v>58</v>
      </c>
      <c r="K20" s="13">
        <f>SUM(TDFD!J56:J70)</f>
        <v>196</v>
      </c>
      <c r="L20" s="13">
        <f>SUM(TDFD!K56:K70)</f>
        <v>279</v>
      </c>
    </row>
    <row r="21" spans="1:12" x14ac:dyDescent="0.25">
      <c r="A21" t="s">
        <v>25</v>
      </c>
      <c r="B21" s="13">
        <f>SUM(TDFD!B71:B100)</f>
        <v>0</v>
      </c>
      <c r="C21" s="13">
        <f>SUM(TDFD!C71:C100)</f>
        <v>0</v>
      </c>
      <c r="D21" s="13">
        <f>SUM(TDFD!D71:D100)</f>
        <v>0</v>
      </c>
      <c r="E21" s="13">
        <f>SUM(TDFD!E71:E100)</f>
        <v>0</v>
      </c>
      <c r="H21" t="s">
        <v>25</v>
      </c>
      <c r="I21" s="13">
        <f>SUM(TDFD!H71:H100)</f>
        <v>9</v>
      </c>
      <c r="J21" s="13">
        <f>SUM(TDFD!I71:I100)</f>
        <v>6</v>
      </c>
      <c r="K21" s="13">
        <f>SUM(TDFD!J71:J100)</f>
        <v>5</v>
      </c>
      <c r="L21" s="13">
        <f>SUM(TDFD!K71:K100)</f>
        <v>20</v>
      </c>
    </row>
    <row ht="15.75" r="22" spans="1:12" thickBot="1" x14ac:dyDescent="0.3">
      <c r="A22" s="1" t="s">
        <v>26</v>
      </c>
      <c r="B22" s="14">
        <f>TDFD!B101</f>
        <v>4846.1760000000004</v>
      </c>
      <c r="C22" s="14">
        <f>TDFD!C101</f>
        <v>0</v>
      </c>
      <c r="D22" s="14">
        <f>TDFD!D101</f>
        <v>3032.2763</v>
      </c>
      <c r="E22" s="14">
        <f>TDFD!E101</f>
        <v>7878.4523000000008</v>
      </c>
      <c r="H22" s="1" t="s">
        <v>26</v>
      </c>
      <c r="I22" s="14">
        <f>TDFD!H101</f>
        <v>2382</v>
      </c>
      <c r="J22" s="14">
        <f>TDFD!I101</f>
        <v>0</v>
      </c>
      <c r="K22" s="14">
        <f>TDFD!J101</f>
        <v>0</v>
      </c>
      <c r="L22" s="14">
        <f>TDFD!K101</f>
        <v>2382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52"/>
  <sheetViews>
    <sheetView tabSelected="1" workbookViewId="0">
      <selection activeCell="L19" sqref="L19"/>
    </sheetView>
  </sheetViews>
  <sheetFormatPr defaultRowHeight="15" x14ac:dyDescent="0.25"/>
  <cols>
    <col min="1" max="1" customWidth="true" width="18.5703125" collapsed="true"/>
    <col min="4" max="4" bestFit="true" customWidth="true" width="12.28515625" collapsed="true"/>
    <col min="12" max="12" customWidth="true" width="20.0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27</v>
      </c>
    </row>
    <row r="2" spans="1:22" x14ac:dyDescent="0.25">
      <c r="A2" t="s">
        <v>247</v>
      </c>
    </row>
    <row ht="15.75" r="5" spans="1:22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 t="n">
        <v>22523.6255</v>
      </c>
      <c r="C7" s="20" t="n">
        <v>0.0</v>
      </c>
      <c r="D7" s="20" t="n">
        <v>176.3579</v>
      </c>
      <c r="E7" s="20" t="n">
        <v>0.0</v>
      </c>
      <c r="F7" s="20" t="n">
        <v>998.1193</v>
      </c>
      <c r="G7" s="20" t="n">
        <v>277.9743</v>
      </c>
      <c r="H7" s="20" t="n">
        <v>598.7766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 t="n">
        <v>25231.0</v>
      </c>
      <c r="N7" s="20" t="n">
        <v>1127.0</v>
      </c>
      <c r="O7" s="20" t="n">
        <v>1435.0</v>
      </c>
      <c r="P7" s="20" t="n">
        <v>1904.0</v>
      </c>
      <c r="Q7" s="20" t="n">
        <v>1325.0</v>
      </c>
      <c r="R7" s="20" t="n">
        <v>164.0</v>
      </c>
      <c r="S7" s="20" t="n">
        <v>1801.0</v>
      </c>
      <c r="T7" s="20">
        <v>2344.5</v>
      </c>
      <c r="U7" s="20">
        <f>SUM(M7:T7)</f>
        <v>35331.5</v>
      </c>
    </row>
    <row r="8" spans="1:22" x14ac:dyDescent="0.25">
      <c r="A8" t="s">
        <v>255</v>
      </c>
      <c r="B8" s="21" t="n">
        <v>82.1623</v>
      </c>
      <c r="C8" s="21" t="n">
        <v>4.443</v>
      </c>
      <c r="D8" s="21" t="n">
        <v>0.0</v>
      </c>
      <c r="E8" s="21" t="n">
        <v>0.0</v>
      </c>
      <c r="F8" s="21" t="n">
        <v>110.0983</v>
      </c>
      <c r="G8" s="21" t="n">
        <v>12.077</v>
      </c>
      <c r="H8" s="21" t="n">
        <v>0.0</v>
      </c>
      <c r="I8" s="21">
        <v>4018.4690000000001</v>
      </c>
      <c r="J8" s="21">
        <f ref="J8:J12" si="0" t="shared">SUM(B8:I8)</f>
        <v>4227.2496000000001</v>
      </c>
      <c r="K8" s="20"/>
      <c r="L8" s="7" t="str">
        <f>$A$8</f>
        <v>Bellevue Downtown</v>
      </c>
      <c r="M8" s="21" t="n">
        <v>556.0</v>
      </c>
      <c r="N8" s="21" t="n">
        <v>233.0</v>
      </c>
      <c r="O8" s="21" t="n">
        <v>69.0</v>
      </c>
      <c r="P8" s="21" t="n">
        <v>18.0</v>
      </c>
      <c r="Q8" s="21" t="n">
        <v>81.0</v>
      </c>
      <c r="R8" s="21" t="n">
        <v>24.0</v>
      </c>
      <c r="S8" s="21" t="n">
        <v>16.0</v>
      </c>
      <c r="T8" s="21">
        <v>1069.8725374786757</v>
      </c>
      <c r="U8" s="21">
        <f>SUM(M8:T8)</f>
        <v>2066.8725374786754</v>
      </c>
    </row>
    <row r="9" spans="1:22" x14ac:dyDescent="0.25">
      <c r="A9" t="s">
        <v>256</v>
      </c>
      <c r="B9" s="21" t="n">
        <v>2429.896</v>
      </c>
      <c r="C9" s="21" t="n">
        <v>169.878</v>
      </c>
      <c r="D9" s="21" t="n">
        <v>14636.3289</v>
      </c>
      <c r="E9" s="21" t="n">
        <v>130.9662</v>
      </c>
      <c r="F9" s="21" t="n">
        <v>32.688</v>
      </c>
      <c r="G9" s="21" t="n">
        <v>4.161</v>
      </c>
      <c r="H9" s="21" t="n">
        <v>10.346</v>
      </c>
      <c r="I9" s="21">
        <v>28396.036</v>
      </c>
      <c r="J9" s="21">
        <f si="0" t="shared"/>
        <v>45810.3001</v>
      </c>
      <c r="K9" s="20"/>
      <c r="L9" s="7" t="str">
        <f>$A$9</f>
        <v>Kirkland</v>
      </c>
      <c r="M9" s="21" t="n">
        <v>1577.0</v>
      </c>
      <c r="N9" s="21" t="n">
        <v>135.0</v>
      </c>
      <c r="O9" s="21" t="n">
        <v>19148.0</v>
      </c>
      <c r="P9" s="21" t="n">
        <v>2278.0</v>
      </c>
      <c r="Q9" s="21" t="n">
        <v>2117.0</v>
      </c>
      <c r="R9" s="21" t="n">
        <v>80.0</v>
      </c>
      <c r="S9" s="21" t="n">
        <v>1567.0</v>
      </c>
      <c r="T9" s="21">
        <v>5418.9547298933257</v>
      </c>
      <c r="U9" s="21">
        <f>SUM(M9:T9)</f>
        <v>32320.954729893325</v>
      </c>
      <c r="V9" s="7"/>
    </row>
    <row r="10" spans="1:22" x14ac:dyDescent="0.25">
      <c r="A10" t="s">
        <v>257</v>
      </c>
      <c r="B10" s="21" t="n">
        <v>1720.9702</v>
      </c>
      <c r="C10" s="21" t="n">
        <v>230.2899</v>
      </c>
      <c r="D10" s="21" t="n">
        <v>3736.0108</v>
      </c>
      <c r="E10" s="21" t="n">
        <v>18799.0604</v>
      </c>
      <c r="F10" s="21" t="n">
        <v>802.5203</v>
      </c>
      <c r="G10" s="21" t="n">
        <v>3.675</v>
      </c>
      <c r="H10" s="21" t="n">
        <v>245.1527</v>
      </c>
      <c r="I10" s="21">
        <v>20922.748800000001</v>
      </c>
      <c r="J10" s="21">
        <f si="0" t="shared"/>
        <v>46460.428099999997</v>
      </c>
      <c r="K10" s="20"/>
      <c r="L10" s="7" t="str">
        <f>$A$10</f>
        <v>Redmond</v>
      </c>
      <c r="M10" s="21" t="n">
        <v>3302.0</v>
      </c>
      <c r="N10" s="21" t="n">
        <v>99.0</v>
      </c>
      <c r="O10" s="21" t="n">
        <v>4387.0</v>
      </c>
      <c r="P10" s="21" t="n">
        <v>12495.0</v>
      </c>
      <c r="Q10" s="21" t="n">
        <v>781.0</v>
      </c>
      <c r="R10" s="21" t="n">
        <v>65.0</v>
      </c>
      <c r="S10" s="21" t="n">
        <v>1484.0</v>
      </c>
      <c r="T10" s="21">
        <v>5838.2308904845268</v>
      </c>
      <c r="U10" s="21">
        <f ref="U10:U13" si="1" t="shared">SUM(M10:T10)</f>
        <v>28451.230890484527</v>
      </c>
      <c r="V10" s="7"/>
    </row>
    <row r="11" spans="1:22" x14ac:dyDescent="0.25">
      <c r="A11" t="s">
        <v>253</v>
      </c>
      <c r="B11" s="21" t="n">
        <v>0.0</v>
      </c>
      <c r="C11" s="21" t="n">
        <v>0.0</v>
      </c>
      <c r="D11" s="21" t="n">
        <v>0.0</v>
      </c>
      <c r="E11" s="21" t="n">
        <v>0.0</v>
      </c>
      <c r="F11" s="21" t="n">
        <v>0.0</v>
      </c>
      <c r="G11" s="21" t="n">
        <v>0.0</v>
      </c>
      <c r="H11" s="21" t="n">
        <v>0.0</v>
      </c>
      <c r="I11" s="21">
        <v>16278.067500000001</v>
      </c>
      <c r="J11" s="21">
        <f si="0" t="shared"/>
        <v>16278.067500000001</v>
      </c>
      <c r="K11" s="20"/>
      <c r="L11" s="7" t="str">
        <f>$A$11</f>
        <v>Seattle</v>
      </c>
      <c r="M11" s="21" t="n">
        <v>0.0</v>
      </c>
      <c r="N11" s="21" t="n">
        <v>0.0</v>
      </c>
      <c r="O11" s="21" t="n">
        <v>0.0</v>
      </c>
      <c r="P11" s="21" t="n">
        <v>0.0</v>
      </c>
      <c r="Q11" s="21" t="n">
        <v>0.0</v>
      </c>
      <c r="R11" s="21" t="n">
        <v>0.0</v>
      </c>
      <c r="S11" s="21" t="n">
        <v>0.0</v>
      </c>
      <c r="T11" s="21">
        <v>2309.1428943957899</v>
      </c>
      <c r="U11" s="21">
        <f si="1" t="shared"/>
        <v>2309.1428943957899</v>
      </c>
      <c r="V11" s="7"/>
    </row>
    <row r="12" spans="1:22" x14ac:dyDescent="0.2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0.0</v>
      </c>
      <c r="G12" s="21" t="n">
        <v>0.0</v>
      </c>
      <c r="H12" s="21" t="n">
        <v>0.0</v>
      </c>
      <c r="I12" s="21">
        <v>31584.733799999998</v>
      </c>
      <c r="J12" s="21">
        <f si="0" t="shared"/>
        <v>31584.733799999998</v>
      </c>
      <c r="K12" s="20"/>
      <c r="L12" s="7" t="str">
        <f>$A$12</f>
        <v>Seattle Downtown</v>
      </c>
      <c r="M12" s="21" t="n">
        <v>0.0</v>
      </c>
      <c r="N12" s="21" t="n">
        <v>0.0</v>
      </c>
      <c r="O12" s="21" t="n">
        <v>0.0</v>
      </c>
      <c r="P12" s="21" t="n">
        <v>0.0</v>
      </c>
      <c r="Q12" s="21" t="n">
        <v>0.0</v>
      </c>
      <c r="R12" s="21" t="n">
        <v>0.0</v>
      </c>
      <c r="S12" s="21" t="n">
        <v>0.0</v>
      </c>
      <c r="T12" s="21">
        <v>4066.7245950088954</v>
      </c>
      <c r="U12" s="21">
        <f si="1" t="shared"/>
        <v>4066.7245950088954</v>
      </c>
      <c r="V12" s="7"/>
    </row>
    <row r="13" spans="1:22" x14ac:dyDescent="0.25">
      <c r="A13" s="7" t="s">
        <v>259</v>
      </c>
      <c r="B13" s="21" t="n">
        <v>0.0</v>
      </c>
      <c r="C13" s="21" t="n">
        <v>0.0</v>
      </c>
      <c r="D13" s="21" t="n">
        <v>0.0</v>
      </c>
      <c r="E13" s="21" t="n">
        <v>0.0</v>
      </c>
      <c r="F13" s="21" t="n">
        <v>0.0</v>
      </c>
      <c r="G13" s="21" t="n">
        <v>0.0</v>
      </c>
      <c r="H13" s="21" t="n">
        <v>0.0</v>
      </c>
      <c r="I13" s="21"/>
      <c r="J13" s="21">
        <f>SUM(B13:I13)</f>
        <v>0</v>
      </c>
      <c r="K13" s="20"/>
      <c r="L13" t="str">
        <f>$A$13</f>
        <v>Rest</v>
      </c>
      <c r="M13" s="21" t="n">
        <v>0.0</v>
      </c>
      <c r="N13" s="21" t="n">
        <v>0.0</v>
      </c>
      <c r="O13" s="21" t="n">
        <v>0.0</v>
      </c>
      <c r="P13" s="21" t="n">
        <v>0.0</v>
      </c>
      <c r="Q13" s="21" t="n">
        <v>0.0</v>
      </c>
      <c r="R13" s="21" t="n">
        <v>0.0</v>
      </c>
      <c r="S13" s="21" t="n">
        <v>0.0</v>
      </c>
      <c r="T13" s="21"/>
      <c r="U13" s="21">
        <f si="1" t="shared"/>
        <v>0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ht="15.75" r="15" spans="1:22" thickBot="1" x14ac:dyDescent="0.3">
      <c r="A15" s="12" t="s">
        <v>3</v>
      </c>
      <c r="B15" s="53">
        <f ref="B15:G15" si="2" t="shared">SUM(B7:B13)</f>
        <v>26756.653999999999</v>
      </c>
      <c r="C15" s="53">
        <f si="2" t="shared"/>
        <v>404.61090000000002</v>
      </c>
      <c r="D15" s="53">
        <f si="2" t="shared"/>
        <v>18548.6976</v>
      </c>
      <c r="E15" s="53">
        <f si="2" t="shared"/>
        <v>18930.026599999997</v>
      </c>
      <c r="F15" s="53">
        <f si="2" t="shared"/>
        <v>1943.4259000000002</v>
      </c>
      <c r="G15" s="53">
        <f si="2" t="shared"/>
        <v>297.88730000000004</v>
      </c>
      <c r="H15" s="53"/>
      <c r="I15" s="53">
        <f>SUM(I7:I13)</f>
        <v>109078.5074</v>
      </c>
      <c r="J15" s="53">
        <f>SUM(J7:J13)</f>
        <v>176814.08499999999</v>
      </c>
      <c r="K15" s="20"/>
      <c r="L15" s="53" t="s">
        <v>3</v>
      </c>
      <c r="M15" s="53">
        <f ref="M15:S15" si="3" t="shared">SUM(M7:M13)</f>
        <v>31873</v>
      </c>
      <c r="N15" s="53">
        <f si="3" t="shared"/>
        <v>1146</v>
      </c>
      <c r="O15" s="53">
        <f si="3" t="shared"/>
        <v>24972</v>
      </c>
      <c r="P15" s="53">
        <f si="3" t="shared"/>
        <v>14973</v>
      </c>
      <c r="Q15" s="53">
        <f si="3" t="shared"/>
        <v>4479</v>
      </c>
      <c r="R15" s="53">
        <f si="3" t="shared"/>
        <v>366</v>
      </c>
      <c r="S15" s="53">
        <f si="3" t="shared"/>
        <v>5690</v>
      </c>
      <c r="T15" s="53">
        <f>SUM(T7:T13)</f>
        <v>21047.425647261214</v>
      </c>
      <c r="U15" s="53">
        <f>SUM(U7:U13)</f>
        <v>104546.4256472612</v>
      </c>
    </row>
    <row ht="15.75" r="18" spans="1:32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ref="B20:G26" si="4" t="shared">($U7/$J7)*B7</f>
        <v>24521.18366015987</v>
      </c>
      <c r="C20" s="20">
        <f si="4" t="shared"/>
        <v>0</v>
      </c>
      <c r="D20" s="20">
        <f si="4" t="shared"/>
        <v>191.99859524480678</v>
      </c>
      <c r="E20" s="20">
        <f si="4" t="shared"/>
        <v>0</v>
      </c>
      <c r="F20" s="20">
        <f si="4" t="shared"/>
        <v>1086.6397450113086</v>
      </c>
      <c r="G20" s="20">
        <f si="4" t="shared"/>
        <v>302.62707320827985</v>
      </c>
      <c r="H20" s="20">
        <f ref="H20" si="5" t="shared">($U7/$J7)*H7</f>
        <v>651.88044349281529</v>
      </c>
      <c r="I20" s="20">
        <f ref="I20:J26" si="6" t="shared">($U7/$J7)*I7</f>
        <v>8577.170482882917</v>
      </c>
      <c r="J20" s="20">
        <f si="6" t="shared"/>
        <v>35331.5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si="4" t="shared"/>
        <v>40.172456692901257</v>
      </c>
      <c r="C21" s="20">
        <f si="4" t="shared"/>
        <v>2.1723615951179589</v>
      </c>
      <c r="D21" s="20">
        <f si="4" t="shared"/>
        <v>0</v>
      </c>
      <c r="E21" s="20">
        <f si="4" t="shared"/>
        <v>0</v>
      </c>
      <c r="F21" s="20">
        <f si="4" t="shared"/>
        <v>53.831491921624036</v>
      </c>
      <c r="G21" s="20">
        <f si="4" t="shared"/>
        <v>5.9049315742155279</v>
      </c>
      <c r="H21" s="20">
        <f ref="H21" si="7" t="shared">($U8/$J8)*H8</f>
        <v>0</v>
      </c>
      <c r="I21" s="20">
        <f si="6" t="shared"/>
        <v>1964.7912956948164</v>
      </c>
      <c r="J21" s="20">
        <f si="6" t="shared"/>
        <v>2066.8725374786754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si="4" t="shared"/>
        <v>1714.3864686088114</v>
      </c>
      <c r="C22" s="20">
        <f si="4" t="shared"/>
        <v>119.85555946193895</v>
      </c>
      <c r="D22" s="20">
        <f si="4" t="shared"/>
        <v>10326.501305515992</v>
      </c>
      <c r="E22" s="20">
        <f si="4" t="shared"/>
        <v>92.401765806073698</v>
      </c>
      <c r="F22" s="20">
        <f si="4" t="shared"/>
        <v>23.062659836422966</v>
      </c>
      <c r="G22" s="20">
        <f si="4" t="shared"/>
        <v>2.9357479068574386</v>
      </c>
      <c r="H22" s="20">
        <f ref="H22" si="8" t="shared">($U9/$J9)*H9</f>
        <v>7.2995068119074897</v>
      </c>
      <c r="I22" s="20">
        <f si="6" t="shared"/>
        <v>20034.511715945322</v>
      </c>
      <c r="J22" s="20">
        <f si="6" t="shared"/>
        <v>32320.954729893325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si="4" t="shared"/>
        <v>1053.8800979288294</v>
      </c>
      <c r="C23" s="20">
        <f si="4" t="shared"/>
        <v>141.02390754007263</v>
      </c>
      <c r="D23" s="20">
        <f si="4" t="shared"/>
        <v>2287.8417230973346</v>
      </c>
      <c r="E23" s="20">
        <f si="4" t="shared"/>
        <v>11512.08522688073</v>
      </c>
      <c r="F23" s="20">
        <f si="4" t="shared"/>
        <v>491.44382183600482</v>
      </c>
      <c r="G23" s="20">
        <f si="4" t="shared"/>
        <v>2.2504801999990747</v>
      </c>
      <c r="H23" s="20">
        <f ref="H23" si="9" t="shared">($U10/$J10)*H10</f>
        <v>150.12552308199</v>
      </c>
      <c r="I23" s="20">
        <f si="6" t="shared"/>
        <v>12812.580109919567</v>
      </c>
      <c r="J23" s="20">
        <f si="6" t="shared"/>
        <v>28451.230890484527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si="4" t="shared"/>
        <v>0</v>
      </c>
      <c r="C24" s="20">
        <f si="4" t="shared"/>
        <v>0</v>
      </c>
      <c r="D24" s="20">
        <f si="4" t="shared"/>
        <v>0</v>
      </c>
      <c r="E24" s="20">
        <f si="4" t="shared"/>
        <v>0</v>
      </c>
      <c r="F24" s="20">
        <f si="4" t="shared"/>
        <v>0</v>
      </c>
      <c r="G24" s="20">
        <f si="4" t="shared"/>
        <v>0</v>
      </c>
      <c r="H24" s="20">
        <f ref="H24" si="10" t="shared">($U11/$J11)*H11</f>
        <v>0</v>
      </c>
      <c r="I24" s="20">
        <f si="6" t="shared"/>
        <v>2309.1428943957899</v>
      </c>
      <c r="J24" s="20">
        <f si="6" t="shared"/>
        <v>2309.1428943957899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si="4" t="shared"/>
        <v>0</v>
      </c>
      <c r="C25" s="20">
        <f si="4" t="shared"/>
        <v>0</v>
      </c>
      <c r="D25" s="20">
        <f si="4" t="shared"/>
        <v>0</v>
      </c>
      <c r="E25" s="20">
        <f si="4" t="shared"/>
        <v>0</v>
      </c>
      <c r="F25" s="20">
        <f si="4" t="shared"/>
        <v>0</v>
      </c>
      <c r="G25" s="20">
        <f si="4" t="shared"/>
        <v>0</v>
      </c>
      <c r="H25" s="20">
        <f ref="H25:H26" si="11" t="shared">($U12/$J12)*H12</f>
        <v>0</v>
      </c>
      <c r="I25" s="20">
        <f si="6" t="shared"/>
        <v>4066.724595008895</v>
      </c>
      <c r="J25" s="20">
        <f si="6" t="shared"/>
        <v>4066.724595008895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 t="e">
        <f si="4" t="shared"/>
        <v>#DIV/0!</v>
      </c>
      <c r="C26" s="20" t="e">
        <f si="4" t="shared"/>
        <v>#DIV/0!</v>
      </c>
      <c r="D26" s="20" t="e">
        <f si="4" t="shared"/>
        <v>#DIV/0!</v>
      </c>
      <c r="E26" s="20" t="e">
        <f si="4" t="shared"/>
        <v>#DIV/0!</v>
      </c>
      <c r="F26" s="20" t="e">
        <f si="4" t="shared"/>
        <v>#DIV/0!</v>
      </c>
      <c r="G26" s="20" t="e">
        <f si="4" t="shared"/>
        <v>#DIV/0!</v>
      </c>
      <c r="H26" s="20" t="e">
        <f si="11" t="shared"/>
        <v>#DIV/0!</v>
      </c>
      <c r="I26" s="20" t="e">
        <f si="6" t="shared"/>
        <v>#DIV/0!</v>
      </c>
      <c r="J26" s="20" t="e">
        <f si="6" t="shared"/>
        <v>#DIV/0!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ref="C27:J27" si="12" t="shared">($U14/$J14)*C14</f>
        <v>#DIV/0!</v>
      </c>
      <c r="D27" s="22" t="e">
        <f si="12" t="shared"/>
        <v>#DIV/0!</v>
      </c>
      <c r="E27" s="22" t="e">
        <f si="12" t="shared"/>
        <v>#DIV/0!</v>
      </c>
      <c r="F27" s="22" t="e">
        <f si="12" t="shared"/>
        <v>#DIV/0!</v>
      </c>
      <c r="G27" s="22" t="e">
        <f si="12" t="shared"/>
        <v>#DIV/0!</v>
      </c>
      <c r="H27" s="22" t="e">
        <f si="12" t="shared"/>
        <v>#DIV/0!</v>
      </c>
      <c r="I27" s="22" t="e">
        <f si="12" t="shared"/>
        <v>#DIV/0!</v>
      </c>
      <c r="J27" s="22" t="e">
        <f si="12" t="shared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ht="15.75" r="28" spans="1:32" thickBot="1" x14ac:dyDescent="0.3">
      <c r="A28" s="1" t="s">
        <v>3</v>
      </c>
      <c r="B28" s="24">
        <f ref="B28:H28" si="13" t="shared">($U15/$J15)*B15</f>
        <v>15820.643123428172</v>
      </c>
      <c r="C28" s="24">
        <f si="13" t="shared"/>
        <v>239.23786033743548</v>
      </c>
      <c r="D28" s="24">
        <f si="13" t="shared"/>
        <v>10967.452250718219</v>
      </c>
      <c r="E28" s="24">
        <f si="13" t="shared"/>
        <v>11192.924016418583</v>
      </c>
      <c r="F28" s="24">
        <f si="13" t="shared"/>
        <v>1149.106596091096</v>
      </c>
      <c r="G28" s="24">
        <f si="13" t="shared"/>
        <v>176.13445479025836</v>
      </c>
      <c r="H28" s="24">
        <f si="13" t="shared"/>
        <v>0</v>
      </c>
      <c r="I28" s="24">
        <f>($U15/$J15)*I15</f>
        <v>64495.8124439483</v>
      </c>
      <c r="J28" s="24">
        <f>($U15/$J15)*J15</f>
        <v>104546.42564726122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ht="15.75" r="31" spans="1:32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ref="B33:J39" si="14" t="shared">B20/$J$28</f>
        <v>0.23454827372955001</v>
      </c>
      <c r="C33" s="26">
        <f si="14" t="shared"/>
        <v>0</v>
      </c>
      <c r="D33" s="26">
        <f si="14" t="shared"/>
        <v>1.8364912435419691E-3</v>
      </c>
      <c r="E33" s="26">
        <f si="14" t="shared"/>
        <v>0</v>
      </c>
      <c r="F33" s="26">
        <f si="14" t="shared"/>
        <v>1.0393848840682724E-2</v>
      </c>
      <c r="G33" s="26">
        <f si="14" t="shared"/>
        <v>2.8946668557502013E-3</v>
      </c>
      <c r="H33" s="26">
        <f ref="H33" si="15" t="shared">H20/$J$28</f>
        <v>6.2353202365067412E-3</v>
      </c>
      <c r="I33" s="26">
        <f ref="I33:J39" si="16" t="shared">I20/$J$28</f>
        <v>8.2041738201765219E-2</v>
      </c>
      <c r="J33" s="26">
        <f si="16" t="shared"/>
        <v>0.33795033910779687</v>
      </c>
      <c r="L33" t="str">
        <f>$A$7</f>
        <v>Bellevue</v>
      </c>
      <c r="M33" s="26">
        <f ref="M33:U39" si="17" t="shared">M7/$U$15</f>
        <v>0.24763161284298019</v>
      </c>
      <c r="N33" s="26">
        <f si="17" t="shared"/>
        <v>7.7668843767043881E-3</v>
      </c>
      <c r="O33" s="26">
        <f si="17" t="shared"/>
        <v>1.3926827158228558E-2</v>
      </c>
      <c r="P33" s="26">
        <f si="17" t="shared"/>
        <v>1.1573805536714667E-2</v>
      </c>
      <c r="Q33" s="26">
        <f si="17" t="shared"/>
        <v>1.3725959458831032E-2</v>
      </c>
      <c r="R33" s="26">
        <f si="17" t="shared"/>
        <v>1.8078092945777455E-3</v>
      </c>
      <c r="S33" s="26">
        <f ref="S33" si="18" t="shared">S7/$U$15</f>
        <v>1.9091996571307831E-2</v>
      </c>
      <c r="T33" s="26">
        <f ref="T33:U38" si="19" t="shared">T7/$U$15</f>
        <v>2.2425443868452511E-2</v>
      </c>
      <c r="U33" s="26">
        <f si="19" t="shared"/>
        <v>0.33795033910779693</v>
      </c>
      <c r="W33" t="str">
        <f>$A$7</f>
        <v>Bellevue</v>
      </c>
      <c r="X33" s="26">
        <f ref="X33:Z35" si="20" t="shared">M33-B33</f>
        <v>1.3083339113430181E-2</v>
      </c>
      <c r="Y33" s="26">
        <f si="20" t="shared"/>
        <v>7.7668843767043881E-3</v>
      </c>
      <c r="Z33" s="26">
        <f si="20" t="shared"/>
        <v>1.2090335914686589E-2</v>
      </c>
      <c r="AA33" s="26">
        <f ref="AA33:AA35" si="21" t="shared">P33-E33</f>
        <v>1.1573805536714667E-2</v>
      </c>
      <c r="AB33" s="26">
        <f ref="AB33:AB35" si="22" t="shared">Q33-F33</f>
        <v>3.3321106181483078E-3</v>
      </c>
      <c r="AC33" s="26">
        <f ref="AC33:AD40" si="23" t="shared">R33-G33</f>
        <v>-1.0868575611724558E-3</v>
      </c>
      <c r="AD33" s="26">
        <f si="23" t="shared"/>
        <v>1.2856676334801091E-2</v>
      </c>
      <c r="AE33" s="26">
        <f ref="AE33:AF35" si="24" t="shared">T33-I33</f>
        <v>-5.9616294333312711E-2</v>
      </c>
      <c r="AF33" s="26">
        <f si="24" t="shared"/>
        <v>0</v>
      </c>
    </row>
    <row r="34" spans="1:32" x14ac:dyDescent="0.25">
      <c r="A34" t="str">
        <f>$A$8</f>
        <v>Bellevue Downtown</v>
      </c>
      <c r="B34" s="26">
        <f si="14" t="shared"/>
        <v>3.84254712145232E-4</v>
      </c>
      <c r="C34" s="26">
        <f si="14" t="shared"/>
        <v>2.0778917898613664E-5</v>
      </c>
      <c r="D34" s="26">
        <f si="14" t="shared"/>
        <v>0</v>
      </c>
      <c r="E34" s="26">
        <f si="14" t="shared"/>
        <v>0</v>
      </c>
      <c r="F34" s="26">
        <f si="14" t="shared"/>
        <v>5.1490513987777111E-4</v>
      </c>
      <c r="G34" s="26">
        <f si="14" t="shared"/>
        <v>5.6481429543452006E-5</v>
      </c>
      <c r="H34" s="26">
        <f ref="H34" si="25" t="shared">H21/$J$28</f>
        <v>0</v>
      </c>
      <c r="I34" s="26">
        <f si="16" t="shared"/>
        <v>1.8793481302976402E-2</v>
      </c>
      <c r="J34" s="26">
        <f si="16" t="shared"/>
        <v>1.9769901502441473E-2</v>
      </c>
      <c r="L34" t="str">
        <f>$A$8</f>
        <v>Bellevue Downtown</v>
      </c>
      <c r="M34" s="26">
        <f si="17" t="shared"/>
        <v>5.6434258402162426E-3</v>
      </c>
      <c r="N34" s="26">
        <f si="17" t="shared"/>
        <v>1.6165067237229576E-3</v>
      </c>
      <c r="O34" s="26">
        <f si="17" t="shared"/>
        <v>8.7042669738928487E-4</v>
      </c>
      <c r="P34" s="26">
        <f si="17" t="shared"/>
        <v>2.4869334211122425E-4</v>
      </c>
      <c r="Q34" s="26">
        <f si="17" t="shared"/>
        <v>7.8434054050463033E-4</v>
      </c>
      <c r="R34" s="26">
        <f si="17" t="shared"/>
        <v>1.8173744231204849E-4</v>
      </c>
      <c r="S34" s="26">
        <f ref="S34" si="26" t="shared">S8/$U$15</f>
        <v>1.9130257085478788E-4</v>
      </c>
      <c r="T34" s="26">
        <f si="19" t="shared"/>
        <v>1.0233468345330303E-2</v>
      </c>
      <c r="U34" s="26">
        <f si="19" t="shared"/>
        <v>1.9769901502441477E-2</v>
      </c>
      <c r="W34" t="str">
        <f>$A$8</f>
        <v>Bellevue Downtown</v>
      </c>
      <c r="X34" s="26">
        <f si="20" t="shared"/>
        <v>5.2591711280710104E-3</v>
      </c>
      <c r="Y34" s="26">
        <f si="20" t="shared"/>
        <v>1.595727805824344E-3</v>
      </c>
      <c r="Z34" s="26">
        <f si="20" t="shared"/>
        <v>8.7042669738928487E-4</v>
      </c>
      <c r="AA34" s="26">
        <f si="21" t="shared"/>
        <v>2.4869334211122425E-4</v>
      </c>
      <c r="AB34" s="26">
        <f si="22" t="shared"/>
        <v>2.6943540062685921E-4</v>
      </c>
      <c r="AC34" s="26">
        <f si="23" t="shared"/>
        <v>1.2525601276859648E-4</v>
      </c>
      <c r="AD34" s="26">
        <f si="23" t="shared"/>
        <v>1.9130257085478788E-4</v>
      </c>
      <c r="AE34" s="26">
        <f si="24" t="shared"/>
        <v>-8.5600129576460984E-3</v>
      </c>
      <c r="AF34" s="26">
        <f si="24" t="shared"/>
        <v>0</v>
      </c>
    </row>
    <row r="35" spans="1:32" x14ac:dyDescent="0.25">
      <c r="A35" t="str">
        <f>$A$9</f>
        <v>Kirkland</v>
      </c>
      <c r="B35" s="26">
        <f si="14" t="shared"/>
        <v>1.6398326944176336E-2</v>
      </c>
      <c r="C35" s="26">
        <f si="14" t="shared"/>
        <v>1.1464338328153907E-3</v>
      </c>
      <c r="D35" s="26">
        <f si="14" t="shared"/>
        <v>9.8774312384026619E-2</v>
      </c>
      <c r="E35" s="26">
        <f si="14" t="shared"/>
        <v>8.8383476751119642E-4</v>
      </c>
      <c r="F35" s="26">
        <f si="14" t="shared"/>
        <v>2.2059730587285873E-4</v>
      </c>
      <c r="G35" s="26">
        <f si="14" t="shared"/>
        <v>2.8080806098169516E-5</v>
      </c>
      <c r="H35" s="26">
        <f ref="H35" si="27" t="shared">H22/$J$28</f>
        <v>6.9820720954496954E-5</v>
      </c>
      <c r="I35" s="26">
        <f si="16" t="shared"/>
        <v>0.19163267985403537</v>
      </c>
      <c r="J35" s="26">
        <f si="16" t="shared"/>
        <v>0.30915408661549043</v>
      </c>
      <c r="L35" t="str">
        <f>$A$9</f>
        <v>Kirkland</v>
      </c>
      <c r="M35" s="26">
        <f si="17" t="shared"/>
        <v>1.5868548252404656E-2</v>
      </c>
      <c r="N35" s="26">
        <f si="17" t="shared"/>
        <v>9.94773368444897E-4</v>
      </c>
      <c r="O35" s="26">
        <f si="17" t="shared"/>
        <v>0.18223482899627094</v>
      </c>
      <c r="P35" s="26">
        <f si="17" t="shared"/>
        <v>1.8910259128995782E-2</v>
      </c>
      <c r="Q35" s="26">
        <f si="17" t="shared"/>
        <v>2.071806842357353E-2</v>
      </c>
      <c r="R35" s="26">
        <f si="17" t="shared"/>
        <v>8.7042669738928487E-4</v>
      </c>
      <c r="S35" s="26">
        <f ref="S35" si="28" t="shared">S9/$U$15</f>
        <v>1.7724183189696097E-2</v>
      </c>
      <c r="T35" s="26">
        <f si="19" t="shared"/>
        <v>5.1832998558715294E-2</v>
      </c>
      <c r="U35" s="26">
        <f si="19" t="shared"/>
        <v>0.30915408661549049</v>
      </c>
      <c r="W35" t="str">
        <f>$A$9</f>
        <v>Kirkland</v>
      </c>
      <c r="X35" s="26">
        <f si="20" t="shared"/>
        <v>-5.2977869177167972E-4</v>
      </c>
      <c r="Y35" s="26">
        <f si="20" t="shared"/>
        <v>-1.5166046437049374E-4</v>
      </c>
      <c r="Z35" s="26">
        <f si="20" t="shared"/>
        <v>8.3460516612244323E-2</v>
      </c>
      <c r="AA35" s="26">
        <f si="21" t="shared"/>
        <v>1.8026424361484585E-2</v>
      </c>
      <c r="AB35" s="26">
        <f si="22" t="shared"/>
        <v>2.0497471117700672E-2</v>
      </c>
      <c r="AC35" s="26">
        <f si="23" t="shared"/>
        <v>8.4234589129111533E-4</v>
      </c>
      <c r="AD35" s="26">
        <f si="23" t="shared"/>
        <v>1.7654362468741601E-2</v>
      </c>
      <c r="AE35" s="26">
        <f si="24" t="shared"/>
        <v>-0.13979968129532008</v>
      </c>
      <c r="AF35" s="26">
        <f si="24" t="shared"/>
        <v>0</v>
      </c>
    </row>
    <row r="36" spans="1:32" x14ac:dyDescent="0.25">
      <c r="A36" t="str">
        <f>$A$10</f>
        <v>Redmond</v>
      </c>
      <c r="B36" s="26">
        <f si="14" t="shared"/>
        <v>1.0080498605324032E-2</v>
      </c>
      <c r="C36" s="26">
        <f si="14" t="shared"/>
        <v>1.3489118032201897E-3</v>
      </c>
      <c r="D36" s="26">
        <f si="14" t="shared"/>
        <v>2.1883500166868391E-2</v>
      </c>
      <c r="E36" s="26">
        <f si="14" t="shared"/>
        <v>0.11011457499008537</v>
      </c>
      <c r="F36" s="26">
        <f si="14" t="shared"/>
        <v>4.7007233273965027E-3</v>
      </c>
      <c r="G36" s="26">
        <f si="14" t="shared"/>
        <v>2.1526132395881009E-5</v>
      </c>
      <c r="H36" s="26">
        <f ref="H36" si="29" t="shared">H23/$J$28</f>
        <v>1.435969925825224E-3</v>
      </c>
      <c r="I36" s="26">
        <f si="16" t="shared"/>
        <v>0.12255397571552668</v>
      </c>
      <c r="J36" s="26">
        <f si="16" t="shared"/>
        <v>0.27213968066664229</v>
      </c>
      <c r="L36" t="str">
        <f>$A$10</f>
        <v>Redmond</v>
      </c>
      <c r="M36" s="26">
        <f si="17" t="shared"/>
        <v>3.5725755107131635E-2</v>
      </c>
      <c r="N36" s="26">
        <f si="17" t="shared"/>
        <v>5.8347284110710305E-4</v>
      </c>
      <c r="O36" s="26">
        <f si="17" t="shared"/>
        <v>4.182830711739937E-2</v>
      </c>
      <c r="P36" s="26">
        <f si="17" t="shared"/>
        <v>0.11248591166261528</v>
      </c>
      <c r="Q36" s="26">
        <f si="17" t="shared"/>
        <v>7.6138423200205578E-3</v>
      </c>
      <c r="R36" s="26">
        <f si="17" t="shared"/>
        <v>6.4086361236353941E-4</v>
      </c>
      <c r="S36" s="26">
        <f ref="S36" si="30" t="shared">S10/$U$15</f>
        <v>1.7418099076328436E-2</v>
      </c>
      <c r="T36" s="26">
        <f si="19" t="shared"/>
        <v>5.5843428929676378E-2</v>
      </c>
      <c r="U36" s="26">
        <f si="19" t="shared"/>
        <v>0.27213968066664229</v>
      </c>
      <c r="W36" t="str">
        <f>$A$10</f>
        <v>Redmond</v>
      </c>
      <c r="X36" s="26">
        <f ref="X36:X38" si="31" t="shared">M36-B36</f>
        <v>2.5645256501807601E-2</v>
      </c>
      <c r="Y36" s="26">
        <f ref="Y36:Y38" si="32" t="shared">N36-C36</f>
        <v>-7.654389621130867E-4</v>
      </c>
      <c r="Z36" s="26">
        <f ref="Z36:Z38" si="33" t="shared">O36-D36</f>
        <v>1.9944806950530979E-2</v>
      </c>
      <c r="AA36" s="26">
        <f ref="AA36:AA38" si="34" t="shared">P36-E36</f>
        <v>2.3713366725299084E-3</v>
      </c>
      <c r="AB36" s="26">
        <f ref="AB36:AB38" si="35" t="shared">Q36-F36</f>
        <v>2.9131189926240551E-3</v>
      </c>
      <c r="AC36" s="26">
        <f ref="AC36:AD38" si="36" t="shared">R36-G36</f>
        <v>6.1933747996765836E-4</v>
      </c>
      <c r="AD36" s="26">
        <f si="36" t="shared"/>
        <v>1.5982129150503212E-2</v>
      </c>
      <c r="AE36" s="26">
        <f ref="AE36:AE39" si="37" t="shared">T36-I36</f>
        <v>-6.6710546785850297E-2</v>
      </c>
      <c r="AF36" s="26">
        <f ref="AF36:AF39" si="38" t="shared">U36-J36</f>
        <v>0</v>
      </c>
    </row>
    <row r="37" spans="1:32" x14ac:dyDescent="0.25">
      <c r="A37" t="str">
        <f>$A$11</f>
        <v>Seattle</v>
      </c>
      <c r="B37" s="26">
        <f si="14" t="shared"/>
        <v>0</v>
      </c>
      <c r="C37" s="26">
        <f si="14" t="shared"/>
        <v>0</v>
      </c>
      <c r="D37" s="26">
        <f si="14" t="shared"/>
        <v>0</v>
      </c>
      <c r="E37" s="26">
        <f si="14" t="shared"/>
        <v>0</v>
      </c>
      <c r="F37" s="26">
        <f si="14" t="shared"/>
        <v>0</v>
      </c>
      <c r="G37" s="26">
        <f si="14" t="shared"/>
        <v>0</v>
      </c>
      <c r="H37" s="26">
        <f ref="H37" si="39" t="shared">H24/$J$28</f>
        <v>0</v>
      </c>
      <c r="I37" s="26">
        <f si="16" t="shared"/>
        <v>2.2087248608449028E-2</v>
      </c>
      <c r="J37" s="26">
        <f si="16" t="shared"/>
        <v>2.2087248608449028E-2</v>
      </c>
      <c r="L37" t="str">
        <f>$A$11</f>
        <v>Seattle</v>
      </c>
      <c r="M37" s="26">
        <f si="17" t="shared"/>
        <v>0</v>
      </c>
      <c r="N37" s="26">
        <f si="17" t="shared"/>
        <v>0</v>
      </c>
      <c r="O37" s="26">
        <f si="17" t="shared"/>
        <v>0</v>
      </c>
      <c r="P37" s="26">
        <f si="17" t="shared"/>
        <v>0</v>
      </c>
      <c r="Q37" s="26">
        <f si="17" t="shared"/>
        <v>0</v>
      </c>
      <c r="R37" s="26">
        <f si="17" t="shared"/>
        <v>0</v>
      </c>
      <c r="S37" s="26">
        <f ref="S37" si="40" t="shared">S11/$U$15</f>
        <v>0</v>
      </c>
      <c r="T37" s="26">
        <f si="19" t="shared"/>
        <v>2.2087248608449028E-2</v>
      </c>
      <c r="U37" s="26">
        <f si="19" t="shared"/>
        <v>2.2087248608449028E-2</v>
      </c>
      <c r="W37" t="str">
        <f>$A$11</f>
        <v>Seattle</v>
      </c>
      <c r="X37" s="26">
        <f si="31" t="shared"/>
        <v>0</v>
      </c>
      <c r="Y37" s="26">
        <f si="32" t="shared"/>
        <v>0</v>
      </c>
      <c r="Z37" s="26">
        <f si="33" t="shared"/>
        <v>0</v>
      </c>
      <c r="AA37" s="26">
        <f si="34" t="shared"/>
        <v>0</v>
      </c>
      <c r="AB37" s="26">
        <f si="35" t="shared"/>
        <v>0</v>
      </c>
      <c r="AC37" s="26">
        <f si="36" t="shared"/>
        <v>0</v>
      </c>
      <c r="AD37" s="26">
        <f si="36" t="shared"/>
        <v>0</v>
      </c>
      <c r="AE37" s="26">
        <f si="37" t="shared"/>
        <v>0</v>
      </c>
      <c r="AF37" s="26">
        <f si="38" t="shared"/>
        <v>0</v>
      </c>
    </row>
    <row r="38" spans="1:32" x14ac:dyDescent="0.25">
      <c r="A38" t="str">
        <f>$A$12</f>
        <v>Seattle Downtown</v>
      </c>
      <c r="B38" s="26">
        <f si="14" t="shared"/>
        <v>0</v>
      </c>
      <c r="C38" s="26">
        <f si="14" t="shared"/>
        <v>0</v>
      </c>
      <c r="D38" s="26">
        <f si="14" t="shared"/>
        <v>0</v>
      </c>
      <c r="E38" s="26">
        <f si="14" t="shared"/>
        <v>0</v>
      </c>
      <c r="F38" s="26">
        <f si="14" t="shared"/>
        <v>0</v>
      </c>
      <c r="G38" s="26">
        <f si="14" t="shared"/>
        <v>0</v>
      </c>
      <c r="H38" s="26">
        <f ref="H38:H39" si="41" t="shared">H25/$J$28</f>
        <v>0</v>
      </c>
      <c r="I38" s="26">
        <f si="16" t="shared"/>
        <v>3.8898743499179878E-2</v>
      </c>
      <c r="J38" s="26">
        <f si="16" t="shared"/>
        <v>3.8898743499179878E-2</v>
      </c>
      <c r="L38" t="str">
        <f>$A$12</f>
        <v>Seattle Downtown</v>
      </c>
      <c r="M38" s="26">
        <f si="17" t="shared"/>
        <v>0</v>
      </c>
      <c r="N38" s="26">
        <f si="17" t="shared"/>
        <v>0</v>
      </c>
      <c r="O38" s="26">
        <f si="17" t="shared"/>
        <v>0</v>
      </c>
      <c r="P38" s="26">
        <f si="17" t="shared"/>
        <v>0</v>
      </c>
      <c r="Q38" s="26">
        <f si="17" t="shared"/>
        <v>0</v>
      </c>
      <c r="R38" s="26">
        <f si="17" t="shared"/>
        <v>0</v>
      </c>
      <c r="S38" s="26">
        <f ref="S38" si="42" t="shared">S12/$U$15</f>
        <v>0</v>
      </c>
      <c r="T38" s="26">
        <f si="19" t="shared"/>
        <v>3.8898743499179891E-2</v>
      </c>
      <c r="U38" s="26">
        <f si="19" t="shared"/>
        <v>3.8898743499179891E-2</v>
      </c>
      <c r="W38" t="str">
        <f>$A$12</f>
        <v>Seattle Downtown</v>
      </c>
      <c r="X38" s="26">
        <f si="31" t="shared"/>
        <v>0</v>
      </c>
      <c r="Y38" s="26">
        <f si="32" t="shared"/>
        <v>0</v>
      </c>
      <c r="Z38" s="26">
        <f si="33" t="shared"/>
        <v>0</v>
      </c>
      <c r="AA38" s="26">
        <f si="34" t="shared"/>
        <v>0</v>
      </c>
      <c r="AB38" s="26">
        <f si="35" t="shared"/>
        <v>0</v>
      </c>
      <c r="AC38" s="26">
        <f si="36" t="shared"/>
        <v>0</v>
      </c>
      <c r="AD38" s="26">
        <f si="36" t="shared"/>
        <v>0</v>
      </c>
      <c r="AE38" s="26">
        <f si="37" t="shared"/>
        <v>0</v>
      </c>
      <c r="AF38" s="26">
        <f si="38" t="shared"/>
        <v>0</v>
      </c>
    </row>
    <row r="39" spans="1:32" x14ac:dyDescent="0.25">
      <c r="A39" t="str">
        <f>$A$13</f>
        <v>Rest</v>
      </c>
      <c r="B39" s="26" t="e">
        <f si="14" t="shared"/>
        <v>#DIV/0!</v>
      </c>
      <c r="C39" s="26" t="e">
        <f si="14" t="shared"/>
        <v>#DIV/0!</v>
      </c>
      <c r="D39" s="26" t="e">
        <f si="14" t="shared"/>
        <v>#DIV/0!</v>
      </c>
      <c r="E39" s="26" t="e">
        <f si="14" t="shared"/>
        <v>#DIV/0!</v>
      </c>
      <c r="F39" s="26" t="e">
        <f si="14" t="shared"/>
        <v>#DIV/0!</v>
      </c>
      <c r="G39" s="26" t="e">
        <f si="14" t="shared"/>
        <v>#DIV/0!</v>
      </c>
      <c r="H39" s="26" t="e">
        <f si="41" t="shared"/>
        <v>#DIV/0!</v>
      </c>
      <c r="I39" s="26" t="e">
        <f si="16" t="shared"/>
        <v>#DIV/0!</v>
      </c>
      <c r="J39" s="26" t="e">
        <f si="14" t="shared"/>
        <v>#DIV/0!</v>
      </c>
      <c r="L39" t="str">
        <f>$A$13</f>
        <v>Rest</v>
      </c>
      <c r="M39" s="26">
        <f si="17" t="shared"/>
        <v>0</v>
      </c>
      <c r="N39" s="26">
        <f si="17" t="shared"/>
        <v>0</v>
      </c>
      <c r="O39" s="26">
        <f si="17" t="shared"/>
        <v>0</v>
      </c>
      <c r="P39" s="26">
        <f si="17" t="shared"/>
        <v>0</v>
      </c>
      <c r="Q39" s="26">
        <f si="17" t="shared"/>
        <v>0</v>
      </c>
      <c r="R39" s="26">
        <f si="17" t="shared"/>
        <v>0</v>
      </c>
      <c r="S39" s="26">
        <f ref="S39" si="43" t="shared">S13/$U$15</f>
        <v>0</v>
      </c>
      <c r="T39" s="26">
        <f si="17" t="shared"/>
        <v>0</v>
      </c>
      <c r="U39" s="26">
        <f si="17" t="shared"/>
        <v>0</v>
      </c>
      <c r="W39" t="str">
        <f>$A$13</f>
        <v>Rest</v>
      </c>
      <c r="X39" s="26" t="e">
        <f ref="X39" si="44" t="shared">M39-B39</f>
        <v>#DIV/0!</v>
      </c>
      <c r="Y39" s="26" t="e">
        <f ref="Y39" si="45" t="shared">N39-C39</f>
        <v>#DIV/0!</v>
      </c>
      <c r="Z39" s="26" t="e">
        <f ref="Z39" si="46" t="shared">O39-D39</f>
        <v>#DIV/0!</v>
      </c>
      <c r="AA39" s="26" t="e">
        <f ref="AA39" si="47" t="shared">P39-E39</f>
        <v>#DIV/0!</v>
      </c>
      <c r="AB39" s="26" t="e">
        <f ref="AB39" si="48" t="shared">Q39-F39</f>
        <v>#DIV/0!</v>
      </c>
      <c r="AC39" s="26" t="e">
        <f ref="AC39" si="49" t="shared">R39-G39</f>
        <v>#DIV/0!</v>
      </c>
      <c r="AD39" s="26" t="e">
        <f ref="AD39" si="50" t="shared">S39-H39</f>
        <v>#DIV/0!</v>
      </c>
      <c r="AE39" s="26" t="e">
        <f si="37" t="shared"/>
        <v>#DIV/0!</v>
      </c>
      <c r="AF39" s="26" t="e">
        <f si="38" t="shared"/>
        <v>#DIV/0!</v>
      </c>
    </row>
    <row r="40" spans="1:32" x14ac:dyDescent="0.25">
      <c r="A40" s="8" t="s">
        <v>12</v>
      </c>
      <c r="B40" s="27" t="e">
        <f ref="B40:H40" si="51" t="shared">B27/$J$28</f>
        <v>#DIV/0!</v>
      </c>
      <c r="C40" s="27" t="e">
        <f si="51" t="shared"/>
        <v>#DIV/0!</v>
      </c>
      <c r="D40" s="27" t="e">
        <f si="51" t="shared"/>
        <v>#DIV/0!</v>
      </c>
      <c r="E40" s="27" t="e">
        <f si="51" t="shared"/>
        <v>#DIV/0!</v>
      </c>
      <c r="F40" s="27" t="e">
        <f si="51" t="shared"/>
        <v>#DIV/0!</v>
      </c>
      <c r="G40" s="27" t="e">
        <f si="51" t="shared"/>
        <v>#DIV/0!</v>
      </c>
      <c r="H40" s="27" t="e">
        <f si="51" t="shared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ref="N40:U40" si="52" t="shared">N14/$U$15</f>
        <v>0</v>
      </c>
      <c r="O40" s="27">
        <f si="52" t="shared"/>
        <v>0</v>
      </c>
      <c r="P40" s="27">
        <f si="52" t="shared"/>
        <v>0</v>
      </c>
      <c r="Q40" s="27">
        <f si="52" t="shared"/>
        <v>0</v>
      </c>
      <c r="R40" s="27">
        <f si="52" t="shared"/>
        <v>0</v>
      </c>
      <c r="S40" s="27">
        <f si="52" t="shared"/>
        <v>0</v>
      </c>
      <c r="T40" s="27">
        <f si="52" t="shared"/>
        <v>0</v>
      </c>
      <c r="U40" s="27">
        <f si="52" t="shared"/>
        <v>0</v>
      </c>
      <c r="W40" s="23" t="s">
        <v>12</v>
      </c>
      <c r="X40" s="27" t="e">
        <f ref="X40:Z41" si="53" t="shared">M40-B40</f>
        <v>#DIV/0!</v>
      </c>
      <c r="Y40" s="27" t="e">
        <f si="53" t="shared"/>
        <v>#DIV/0!</v>
      </c>
      <c r="Z40" s="27" t="e">
        <f si="53" t="shared"/>
        <v>#DIV/0!</v>
      </c>
      <c r="AA40" s="27" t="e">
        <f ref="AA40:AA41" si="54" t="shared">P40-E40</f>
        <v>#DIV/0!</v>
      </c>
      <c r="AB40" s="27" t="e">
        <f ref="AB40:AB41" si="55" t="shared">Q40-F40</f>
        <v>#DIV/0!</v>
      </c>
      <c r="AC40" s="27" t="e">
        <f ref="AC40:AD41" si="56" t="shared">R40-G40</f>
        <v>#DIV/0!</v>
      </c>
      <c r="AD40" s="26" t="e">
        <f si="23" t="shared"/>
        <v>#DIV/0!</v>
      </c>
      <c r="AE40" s="27" t="e">
        <f>T40-I40</f>
        <v>#DIV/0!</v>
      </c>
      <c r="AF40" s="27" t="e">
        <f>U40-J40</f>
        <v>#DIV/0!</v>
      </c>
    </row>
    <row ht="15.75" r="41" spans="1:32" thickBot="1" x14ac:dyDescent="0.3">
      <c r="A41" s="1" t="s">
        <v>3</v>
      </c>
      <c r="B41" s="28">
        <f>B28/$J$28</f>
        <v>0.1513264851043965</v>
      </c>
      <c r="C41" s="28">
        <f>C28/$J$28</f>
        <v>2.2883408864175048E-3</v>
      </c>
      <c r="D41" s="28">
        <f>D28/$J$28</f>
        <v>0.10490509056447624</v>
      </c>
      <c r="E41" s="28">
        <f ref="E41:H41" si="57" t="shared">E28/$J$28</f>
        <v>0.10706175698615863</v>
      </c>
      <c r="F41" s="28">
        <f si="57" t="shared"/>
        <v>1.099135230092105E-2</v>
      </c>
      <c r="G41" s="28">
        <f si="57" t="shared"/>
        <v>1.6847487008741415E-3</v>
      </c>
      <c r="H41" s="28">
        <f si="57" t="shared"/>
        <v>0</v>
      </c>
      <c r="I41" s="28">
        <f>I28/$J$28</f>
        <v>0.61691073649477646</v>
      </c>
      <c r="J41" s="28">
        <f>J28/$J$28</f>
        <v>1</v>
      </c>
      <c r="L41" s="24" t="s">
        <v>3</v>
      </c>
      <c r="M41" s="28">
        <f>M15/$U$15</f>
        <v>0.30486934204273269</v>
      </c>
      <c r="N41" s="28">
        <f>N15/$U$15</f>
        <v>1.0961637309979346E-2</v>
      </c>
      <c r="O41" s="28">
        <f>O15/$U$15</f>
        <v>0.23886038996928816</v>
      </c>
      <c r="P41" s="28">
        <f ref="P41:S41" si="58" t="shared">P15/$U$15</f>
        <v>0.14321866967043695</v>
      </c>
      <c r="Q41" s="28">
        <f si="58" t="shared"/>
        <v>4.2842210742929744E-2</v>
      </c>
      <c r="R41" s="28">
        <f si="58" t="shared"/>
        <v>3.5008370466426183E-3</v>
      </c>
      <c r="S41" s="28">
        <f si="58" t="shared"/>
        <v>5.4425581408187151E-2</v>
      </c>
      <c r="T41" s="28">
        <f>T15/$U$15</f>
        <v>0.20132133180980341</v>
      </c>
      <c r="U41" s="28">
        <f>U15/$U$15</f>
        <v>1</v>
      </c>
      <c r="W41" s="24" t="s">
        <v>3</v>
      </c>
      <c r="X41" s="28">
        <f si="53" t="shared"/>
        <v>0.15354285693833619</v>
      </c>
      <c r="Y41" s="28">
        <f si="53" t="shared"/>
        <v>8.6732964235618406E-3</v>
      </c>
      <c r="Z41" s="28">
        <f si="53" t="shared"/>
        <v>0.13395529940481193</v>
      </c>
      <c r="AA41" s="28">
        <f si="54" t="shared"/>
        <v>3.6156912684278314E-2</v>
      </c>
      <c r="AB41" s="28">
        <f si="55" t="shared"/>
        <v>3.1850858442008696E-2</v>
      </c>
      <c r="AC41" s="28">
        <f si="56" t="shared"/>
        <v>1.8160883457684768E-3</v>
      </c>
      <c r="AD41" s="28">
        <f si="56" t="shared"/>
        <v>5.4425581408187151E-2</v>
      </c>
      <c r="AE41" s="28">
        <f>T41-I41</f>
        <v>-0.41558940468497307</v>
      </c>
      <c r="AF41" s="28">
        <f>U41-J41</f>
        <v>0</v>
      </c>
    </row>
    <row ht="15.75" r="44" spans="1:32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ht="15.75" r="52" spans="1:32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T36"/>
  <sheetViews>
    <sheetView topLeftCell="A10" workbookViewId="0">
      <selection activeCell="G14" sqref="G14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ht="15.75" r="5" spans="1:19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>
        <v>0</v>
      </c>
      <c r="C7" s="83">
        <v>0</v>
      </c>
      <c r="D7" s="83">
        <v>0</v>
      </c>
      <c r="E7" s="83">
        <f>SUM(B7:D7)</f>
        <v>0</v>
      </c>
      <c r="H7" s="15" t="str">
        <f>$A$7</f>
        <v>Bellevue</v>
      </c>
      <c r="I7" s="83" t="n">
        <v>45.0</v>
      </c>
      <c r="J7" s="83" t="n">
        <v>14.0</v>
      </c>
      <c r="K7" s="83" t="n">
        <v>18.0</v>
      </c>
      <c r="L7" s="83">
        <f>SUM(I7:K7)</f>
        <v>101</v>
      </c>
      <c r="O7" s="15" t="str">
        <f>$A$7</f>
        <v>Bellevue</v>
      </c>
      <c r="P7" s="20">
        <f>I7-B7</f>
        <v>60</v>
      </c>
      <c r="Q7" s="20">
        <f ref="Q7:S14" si="0" t="shared">J7-C7</f>
        <v>24</v>
      </c>
      <c r="R7" s="20">
        <f si="0" t="shared"/>
        <v>17</v>
      </c>
      <c r="S7" s="20">
        <f si="0" t="shared"/>
        <v>101</v>
      </c>
    </row>
    <row r="8" spans="1:19" x14ac:dyDescent="0.25">
      <c r="A8" s="7" t="s">
        <v>255</v>
      </c>
      <c r="B8" s="83">
        <v>0</v>
      </c>
      <c r="C8" s="83">
        <v>0</v>
      </c>
      <c r="D8" s="83">
        <v>0</v>
      </c>
      <c r="E8" s="83">
        <f>SUM(B8:D8)</f>
        <v>0</v>
      </c>
      <c r="H8" t="str">
        <f>$A$8</f>
        <v>Bellevue Downtown</v>
      </c>
      <c r="I8" s="83" t="n">
        <v>0.0</v>
      </c>
      <c r="J8" s="83" t="n">
        <v>0.0</v>
      </c>
      <c r="K8" s="83" t="n">
        <v>1.0</v>
      </c>
      <c r="L8" s="83">
        <f>SUM(I8:K8)</f>
        <v>1</v>
      </c>
      <c r="O8" t="str">
        <f>$A$8</f>
        <v>Bellevue Downtown</v>
      </c>
      <c r="P8" s="20">
        <f ref="P8:P14" si="1" t="shared">I8-B8</f>
        <v>1</v>
      </c>
      <c r="Q8" s="20">
        <f si="0" t="shared"/>
        <v>0</v>
      </c>
      <c r="R8" s="20">
        <f si="0" t="shared"/>
        <v>0</v>
      </c>
      <c r="S8" s="20">
        <f si="0" t="shared"/>
        <v>1</v>
      </c>
    </row>
    <row r="9" spans="1:19" x14ac:dyDescent="0.25">
      <c r="A9" s="7" t="s">
        <v>256</v>
      </c>
      <c r="B9" s="83">
        <v>0</v>
      </c>
      <c r="C9" s="83">
        <v>0</v>
      </c>
      <c r="D9" s="83">
        <v>0</v>
      </c>
      <c r="E9" s="83">
        <f ref="E9:E11" si="2" t="shared">SUM(B9:D9)</f>
        <v>0</v>
      </c>
      <c r="H9" t="str">
        <f>$A$9</f>
        <v>Kirkland</v>
      </c>
      <c r="I9" s="83" t="n">
        <v>52.0</v>
      </c>
      <c r="J9" s="83" t="n">
        <v>16.0</v>
      </c>
      <c r="K9" s="83" t="n">
        <v>9.0</v>
      </c>
      <c r="L9" s="83">
        <f ref="L9:L11" si="3" t="shared">SUM(I9:K9)</f>
        <v>98</v>
      </c>
      <c r="O9" t="str">
        <f>$A$9</f>
        <v>Kirkland</v>
      </c>
      <c r="P9" s="20">
        <f ref="P9:P11" si="4" t="shared">I9-B9</f>
        <v>68</v>
      </c>
      <c r="Q9" s="20">
        <f ref="Q9:Q11" si="5" t="shared">J9-C9</f>
        <v>21</v>
      </c>
      <c r="R9" s="20">
        <f ref="R9:R11" si="6" t="shared">K9-D9</f>
        <v>9</v>
      </c>
      <c r="S9" s="20">
        <f ref="S9:S11" si="7" t="shared">L9-E9</f>
        <v>98</v>
      </c>
    </row>
    <row r="10" spans="1:19" x14ac:dyDescent="0.25">
      <c r="A10" s="7" t="s">
        <v>257</v>
      </c>
      <c r="B10" s="83">
        <v>0</v>
      </c>
      <c r="C10" s="83">
        <v>0</v>
      </c>
      <c r="D10" s="83">
        <v>0</v>
      </c>
      <c r="E10" s="83">
        <f si="2" t="shared"/>
        <v>0</v>
      </c>
      <c r="H10" t="str">
        <f>$A$10</f>
        <v>Redmond</v>
      </c>
      <c r="I10" s="83" t="n">
        <v>50.0</v>
      </c>
      <c r="J10" s="83" t="n">
        <v>24.0</v>
      </c>
      <c r="K10" s="83" t="n">
        <v>42.0</v>
      </c>
      <c r="L10" s="83">
        <f si="3" t="shared"/>
        <v>141</v>
      </c>
      <c r="O10" s="7" t="str">
        <f>$A$10</f>
        <v>Redmond</v>
      </c>
      <c r="P10" s="21">
        <f si="4" t="shared"/>
        <v>66</v>
      </c>
      <c r="Q10" s="21">
        <f si="5" t="shared"/>
        <v>33</v>
      </c>
      <c r="R10" s="21">
        <f si="6" t="shared"/>
        <v>42</v>
      </c>
      <c r="S10" s="21">
        <f si="7" t="shared"/>
        <v>141</v>
      </c>
    </row>
    <row r="11" spans="1:19" x14ac:dyDescent="0.25">
      <c r="A11" s="7" t="s">
        <v>253</v>
      </c>
      <c r="B11" s="83">
        <v>0</v>
      </c>
      <c r="C11" s="83">
        <v>0</v>
      </c>
      <c r="D11" s="83">
        <v>3515.915</v>
      </c>
      <c r="E11" s="83">
        <f si="2" t="shared"/>
        <v>3515.915</v>
      </c>
      <c r="H11" t="str">
        <f>$A$11</f>
        <v>Seattle</v>
      </c>
      <c r="I11" s="83" t="n">
        <v>0.0</v>
      </c>
      <c r="J11" s="83" t="n">
        <v>0.0</v>
      </c>
      <c r="K11" s="83" t="n">
        <v>0.0</v>
      </c>
      <c r="L11" s="83">
        <f si="3" t="shared"/>
        <v>0</v>
      </c>
      <c r="O11" s="7" t="str">
        <f>$A$11</f>
        <v>Seattle</v>
      </c>
      <c r="P11" s="21">
        <f si="4" t="shared"/>
        <v>0</v>
      </c>
      <c r="Q11" s="21">
        <f si="5" t="shared"/>
        <v>0</v>
      </c>
      <c r="R11" s="21">
        <f si="6" t="shared"/>
        <v>-3515.915</v>
      </c>
      <c r="S11" s="21">
        <f si="7" t="shared"/>
        <v>-3515.915</v>
      </c>
    </row>
    <row r="12" spans="1:19" x14ac:dyDescent="0.25">
      <c r="A12" s="7" t="s">
        <v>258</v>
      </c>
      <c r="B12" s="87">
        <v>0</v>
      </c>
      <c r="C12" s="87">
        <v>0</v>
      </c>
      <c r="D12" s="87">
        <v>0</v>
      </c>
      <c r="E12" s="87">
        <f>SUM(B12:D12)</f>
        <v>0</v>
      </c>
      <c r="H12" s="7" t="str">
        <f>$A$12</f>
        <v>Seattle Downtown</v>
      </c>
      <c r="I12" s="87" t="n">
        <v>0.0</v>
      </c>
      <c r="J12" s="87" t="n">
        <v>0.0</v>
      </c>
      <c r="K12" s="87" t="n">
        <v>0.0</v>
      </c>
      <c r="L12" s="87">
        <f>SUM(I12:K12)</f>
        <v>0</v>
      </c>
      <c r="O12" s="7" t="str">
        <f>$A$12</f>
        <v>Seattle Downtown</v>
      </c>
      <c r="P12" s="21">
        <f si="1" t="shared"/>
        <v>0</v>
      </c>
      <c r="Q12" s="21">
        <f si="0" t="shared"/>
        <v>0</v>
      </c>
      <c r="R12" s="21">
        <f si="0" t="shared"/>
        <v>0</v>
      </c>
      <c r="S12" s="21">
        <f si="0" t="shared"/>
        <v>0</v>
      </c>
    </row>
    <row r="13" spans="1:19" x14ac:dyDescent="0.25">
      <c r="A13" s="7" t="s">
        <v>259</v>
      </c>
      <c r="B13" s="86">
        <v>2443.4439000000002</v>
      </c>
      <c r="C13" s="86">
        <v>0</v>
      </c>
      <c r="D13" s="86">
        <v>0</v>
      </c>
      <c r="E13" s="83">
        <f>SUM(B13:D13)</f>
        <v>2443.4439000000002</v>
      </c>
      <c r="H13" s="7" t="str">
        <f>$A$13</f>
        <v>Rest</v>
      </c>
      <c r="I13" s="87" t="n">
        <v>0.0</v>
      </c>
      <c r="J13" s="87" t="n">
        <v>0.0</v>
      </c>
      <c r="K13" s="87" t="n">
        <v>0.0</v>
      </c>
      <c r="L13" s="87">
        <f>SUM(I13:K13)</f>
        <v>0</v>
      </c>
      <c r="O13" s="7" t="str">
        <f>$A$13</f>
        <v>Rest</v>
      </c>
      <c r="P13" s="21">
        <f si="1" t="shared"/>
        <v>-2443.4439000000002</v>
      </c>
      <c r="Q13" s="21">
        <f si="0" t="shared"/>
        <v>0</v>
      </c>
      <c r="R13" s="21">
        <f si="0" t="shared"/>
        <v>0</v>
      </c>
      <c r="S13" s="21">
        <f si="0" t="shared"/>
        <v>-2443.4439000000002</v>
      </c>
    </row>
    <row ht="15.75" r="14" spans="1:19" thickBot="1" x14ac:dyDescent="0.3">
      <c r="A14" s="12" t="s">
        <v>3</v>
      </c>
      <c r="B14" s="84">
        <f>SUM(B7:B13)</f>
        <v>2443.4439000000002</v>
      </c>
      <c r="C14" s="84">
        <f ref="C14" si="8" t="shared">SUM(C7:C13)</f>
        <v>0</v>
      </c>
      <c r="D14" s="84">
        <f ref="D14" si="9" t="shared">SUM(D7:D13)</f>
        <v>3515.915</v>
      </c>
      <c r="E14" s="82">
        <f ref="E14" si="10" t="shared">SUM(E7:E13)</f>
        <v>5959.3589000000002</v>
      </c>
      <c r="H14" s="12" t="s">
        <v>3</v>
      </c>
      <c r="I14" s="82">
        <f>SUM(I7:I13)</f>
        <v>195</v>
      </c>
      <c r="J14" s="82">
        <f ref="J14:L14" si="11" t="shared">SUM(J7:J13)</f>
        <v>78</v>
      </c>
      <c r="K14" s="82">
        <f si="11" t="shared"/>
        <v>68</v>
      </c>
      <c r="L14" s="82">
        <f si="11" t="shared"/>
        <v>341</v>
      </c>
      <c r="O14" s="12" t="s">
        <v>3</v>
      </c>
      <c r="P14" s="12">
        <f si="1" t="shared"/>
        <v>-2248.4439000000002</v>
      </c>
      <c r="Q14" s="12">
        <f si="0" t="shared"/>
        <v>78</v>
      </c>
      <c r="R14" s="12">
        <f si="0" t="shared"/>
        <v>-3447.915</v>
      </c>
      <c r="S14" s="12">
        <f si="0" t="shared"/>
        <v>-5618.3589000000002</v>
      </c>
    </row>
    <row r="15" spans="1:19" x14ac:dyDescent="0.25">
      <c r="O15" s="20"/>
      <c r="P15" s="20"/>
      <c r="Q15" s="20"/>
      <c r="R15" s="20"/>
      <c r="S15" s="20"/>
    </row>
    <row ht="15.75" r="16" spans="1:19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 t="n">
        <v>21927.494</v>
      </c>
      <c r="C18" s="83" t="n">
        <v>1905.2952</v>
      </c>
      <c r="D18" s="83" t="n">
        <v>2247.1352</v>
      </c>
      <c r="E18" s="83">
        <f>SUM(B18:D18)</f>
        <v>26079.9244</v>
      </c>
      <c r="H18" s="15" t="str">
        <f>$A$7</f>
        <v>Bellevue</v>
      </c>
      <c r="I18" s="83" t="n">
        <v>21629.0</v>
      </c>
      <c r="J18" s="83" t="n">
        <v>5131.0</v>
      </c>
      <c r="K18" s="83" t="n">
        <v>7150.0</v>
      </c>
      <c r="L18" s="83">
        <f>SUM(I18:K18)</f>
        <v>33910</v>
      </c>
      <c r="O18" s="15" t="str">
        <f>$A$7</f>
        <v>Bellevue</v>
      </c>
      <c r="P18" s="20">
        <f>I18-B18</f>
        <v>-298.49399999999878</v>
      </c>
      <c r="Q18" s="20">
        <f ref="Q18:Q25" si="12" t="shared">J18-C18</f>
        <v>3225.7048</v>
      </c>
      <c r="R18" s="20">
        <f ref="R18:R25" si="13" t="shared">K18-D18</f>
        <v>4902.8647999999994</v>
      </c>
      <c r="S18" s="20">
        <f ref="S18:S25" si="14" t="shared">L18-E18</f>
        <v>7830.0756000000001</v>
      </c>
    </row>
    <row r="19" spans="1:20" x14ac:dyDescent="0.25">
      <c r="A19" t="str">
        <f>$A$8</f>
        <v>Bellevue Downtown</v>
      </c>
      <c r="B19" s="83" t="n">
        <v>164.3246</v>
      </c>
      <c r="C19" s="83" t="n">
        <v>0.0</v>
      </c>
      <c r="D19" s="83" t="n">
        <v>128.3902</v>
      </c>
      <c r="E19" s="83">
        <f>SUM(B19:D19)</f>
        <v>292.71479999999997</v>
      </c>
      <c r="H19" t="str">
        <f>$A$8</f>
        <v>Bellevue Downtown</v>
      </c>
      <c r="I19" s="83" t="n">
        <v>511.0</v>
      </c>
      <c r="J19" s="83" t="n">
        <v>145.0</v>
      </c>
      <c r="K19" s="83" t="n">
        <v>374.0</v>
      </c>
      <c r="L19" s="83">
        <f>SUM(I19:K19)</f>
        <v>1030</v>
      </c>
      <c r="O19" t="str">
        <f>$A$8</f>
        <v>Bellevue Downtown</v>
      </c>
      <c r="P19" s="20">
        <f ref="P19:P25" si="15" t="shared">I19-B19</f>
        <v>346.67539999999997</v>
      </c>
      <c r="Q19" s="20">
        <f si="12" t="shared"/>
        <v>145</v>
      </c>
      <c r="R19" s="20">
        <f si="13" t="shared"/>
        <v>245.60980000000001</v>
      </c>
      <c r="S19" s="20">
        <f si="14" t="shared"/>
        <v>737.28520000000003</v>
      </c>
    </row>
    <row r="20" spans="1:20" x14ac:dyDescent="0.25">
      <c r="A20" t="str">
        <f>$A$9</f>
        <v>Kirkland</v>
      </c>
      <c r="B20" s="83" t="n">
        <v>15498.8351</v>
      </c>
      <c r="C20" s="83" t="n">
        <v>2170.0193</v>
      </c>
      <c r="D20" s="83" t="n">
        <v>1471.8118</v>
      </c>
      <c r="E20" s="83">
        <f ref="E20:E22" si="16" t="shared">SUM(B20:D20)</f>
        <v>19140.6662</v>
      </c>
      <c r="H20" t="str">
        <f>$A$9</f>
        <v>Kirkland</v>
      </c>
      <c r="I20" s="83" t="n">
        <v>17430.0</v>
      </c>
      <c r="J20" s="83" t="n">
        <v>4248.0</v>
      </c>
      <c r="K20" s="83" t="n">
        <v>5979.0</v>
      </c>
      <c r="L20" s="83">
        <f ref="L20:L22" si="17" t="shared">SUM(I20:K20)</f>
        <v>27657</v>
      </c>
      <c r="O20" t="str">
        <f>$A$9</f>
        <v>Kirkland</v>
      </c>
      <c r="P20" s="20">
        <f ref="P20:P22" si="18" t="shared">I20-B20</f>
        <v>1931.1648999999998</v>
      </c>
      <c r="Q20" s="20">
        <f ref="Q20:Q22" si="19" t="shared">J20-C20</f>
        <v>2077.9807000000001</v>
      </c>
      <c r="R20" s="20">
        <f ref="R20:R22" si="20" t="shared">K20-D20</f>
        <v>4507.1882000000005</v>
      </c>
      <c r="S20" s="20">
        <f ref="S20:S22" si="21" t="shared">L20-E20</f>
        <v>8516.3338000000003</v>
      </c>
    </row>
    <row r="21" spans="1:20" x14ac:dyDescent="0.25">
      <c r="A21" t="str">
        <f>$A$10</f>
        <v>Redmond</v>
      </c>
      <c r="B21" s="83" t="n">
        <v>22665.7465</v>
      </c>
      <c r="C21" s="83" t="n">
        <v>3936.452</v>
      </c>
      <c r="D21" s="83" t="n">
        <v>3498.526</v>
      </c>
      <c r="E21" s="83">
        <f si="16" t="shared"/>
        <v>30100.724500000004</v>
      </c>
      <c r="H21" t="str">
        <f>$A$10</f>
        <v>Redmond</v>
      </c>
      <c r="I21" s="83" t="n">
        <v>15615.0</v>
      </c>
      <c r="J21" s="83" t="n">
        <v>3578.0</v>
      </c>
      <c r="K21" s="83" t="n">
        <v>4091.0</v>
      </c>
      <c r="L21" s="83">
        <f si="17" t="shared"/>
        <v>23284</v>
      </c>
      <c r="O21" s="7" t="str">
        <f>$A$10</f>
        <v>Redmond</v>
      </c>
      <c r="P21" s="21">
        <f si="18" t="shared"/>
        <v>-7050.7465000000011</v>
      </c>
      <c r="Q21" s="21">
        <f si="19" t="shared"/>
        <v>-358.45200000000023</v>
      </c>
      <c r="R21" s="21">
        <f si="20" t="shared"/>
        <v>592.47400000000016</v>
      </c>
      <c r="S21" s="21">
        <f si="21" t="shared"/>
        <v>-6816.7245000000039</v>
      </c>
      <c r="T21" s="7"/>
    </row>
    <row r="22" spans="1:20" x14ac:dyDescent="0.25">
      <c r="A22" t="str">
        <f>$A$11</f>
        <v>Seattle</v>
      </c>
      <c r="B22" s="83" t="n">
        <v>0.0</v>
      </c>
      <c r="C22" s="83" t="n">
        <v>0.0</v>
      </c>
      <c r="D22" s="83" t="n">
        <v>0.0</v>
      </c>
      <c r="E22" s="83">
        <f si="16" t="shared"/>
        <v>0</v>
      </c>
      <c r="H22" t="str">
        <f>$A$11</f>
        <v>Seattle</v>
      </c>
      <c r="I22" s="83" t="n">
        <v>0.0</v>
      </c>
      <c r="J22" s="83" t="n">
        <v>0.0</v>
      </c>
      <c r="K22" s="83" t="n">
        <v>0.0</v>
      </c>
      <c r="L22" s="83">
        <f si="17" t="shared"/>
        <v>0</v>
      </c>
      <c r="O22" s="7" t="str">
        <f>$A$11</f>
        <v>Seattle</v>
      </c>
      <c r="P22" s="21">
        <f si="18" t="shared"/>
        <v>0</v>
      </c>
      <c r="Q22" s="21">
        <f si="19" t="shared"/>
        <v>0</v>
      </c>
      <c r="R22" s="21">
        <f si="20" t="shared"/>
        <v>0</v>
      </c>
      <c r="S22" s="21">
        <f si="21" t="shared"/>
        <v>0</v>
      </c>
      <c r="T22" s="7"/>
    </row>
    <row r="23" spans="1:20" x14ac:dyDescent="0.25">
      <c r="A23" s="7" t="str">
        <f>$A$12</f>
        <v>Seattle Downtown</v>
      </c>
      <c r="B23" s="87" t="n">
        <v>0.0</v>
      </c>
      <c r="C23" s="87" t="n">
        <v>0.0</v>
      </c>
      <c r="D23" s="87" t="n">
        <v>0.0</v>
      </c>
      <c r="E23" s="87">
        <f>SUM(B23:D23)</f>
        <v>0</v>
      </c>
      <c r="H23" s="7" t="str">
        <f>$A$12</f>
        <v>Seattle Downtown</v>
      </c>
      <c r="I23" s="87" t="n">
        <v>0.0</v>
      </c>
      <c r="J23" s="87" t="n">
        <v>0.0</v>
      </c>
      <c r="K23" s="87" t="n">
        <v>0.0</v>
      </c>
      <c r="L23" s="87">
        <f>SUM(I23:K23)</f>
        <v>0</v>
      </c>
      <c r="O23" s="7" t="str">
        <f>$A$12</f>
        <v>Seattle Downtown</v>
      </c>
      <c r="P23" s="21">
        <f si="15" t="shared"/>
        <v>0</v>
      </c>
      <c r="Q23" s="21">
        <f si="12" t="shared"/>
        <v>0</v>
      </c>
      <c r="R23" s="21">
        <f si="13" t="shared"/>
        <v>0</v>
      </c>
      <c r="S23" s="21">
        <f si="14" t="shared"/>
        <v>0</v>
      </c>
      <c r="T23" s="7"/>
    </row>
    <row r="24" spans="1:20" x14ac:dyDescent="0.25">
      <c r="A24" s="7" t="str">
        <f>$A$13</f>
        <v>Rest</v>
      </c>
      <c r="B24" s="86" t="n">
        <v>0.0</v>
      </c>
      <c r="C24" s="86" t="n">
        <v>0.0</v>
      </c>
      <c r="D24" s="86" t="n">
        <v>0.0</v>
      </c>
      <c r="E24" s="86">
        <f>SUM(B24:D24)</f>
        <v>0</v>
      </c>
      <c r="H24" s="7" t="str">
        <f>$A$13</f>
        <v>Rest</v>
      </c>
      <c r="I24" s="87" t="n">
        <v>0.0</v>
      </c>
      <c r="J24" s="87" t="n">
        <v>0.0</v>
      </c>
      <c r="K24" s="87" t="n">
        <v>0.0</v>
      </c>
      <c r="L24" s="87">
        <f>SUM(I24:K24)</f>
        <v>0</v>
      </c>
      <c r="O24" s="7" t="str">
        <f>$A$13</f>
        <v>Rest</v>
      </c>
      <c r="P24" s="21">
        <f si="15" t="shared"/>
        <v>0</v>
      </c>
      <c r="Q24" s="21">
        <f si="12" t="shared"/>
        <v>0</v>
      </c>
      <c r="R24" s="21">
        <f si="13" t="shared"/>
        <v>0</v>
      </c>
      <c r="S24" s="21">
        <f si="14" t="shared"/>
        <v>0</v>
      </c>
      <c r="T24" s="7"/>
    </row>
    <row ht="15.75" r="25" spans="1:20" thickBot="1" x14ac:dyDescent="0.3">
      <c r="A25" s="12" t="s">
        <v>3</v>
      </c>
      <c r="B25" s="84">
        <f>SUM(B18:B24)</f>
        <v>60256.400199999996</v>
      </c>
      <c r="C25" s="84">
        <f ref="C25" si="22" t="shared">SUM(C18:C24)</f>
        <v>8011.7664999999997</v>
      </c>
      <c r="D25" s="84">
        <f ref="D25" si="23" t="shared">SUM(D18:D24)</f>
        <v>7345.8631999999998</v>
      </c>
      <c r="E25" s="84">
        <f ref="E25" si="24" t="shared">SUM(E18:E24)</f>
        <v>75614.029899999994</v>
      </c>
      <c r="H25" s="12" t="s">
        <v>3</v>
      </c>
      <c r="I25" s="82">
        <f>SUM(I18:I24)</f>
        <v>55185</v>
      </c>
      <c r="J25" s="82">
        <f ref="J25" si="25" t="shared">SUM(J18:J24)</f>
        <v>13102</v>
      </c>
      <c r="K25" s="82">
        <f ref="K25" si="26" t="shared">SUM(K18:K24)</f>
        <v>17594</v>
      </c>
      <c r="L25" s="82">
        <f ref="L25" si="27" t="shared">SUM(L18:L24)</f>
        <v>85881</v>
      </c>
      <c r="O25" s="12" t="s">
        <v>3</v>
      </c>
      <c r="P25" s="12">
        <f si="15" t="shared"/>
        <v>-5071.4001999999964</v>
      </c>
      <c r="Q25" s="12">
        <f si="12" t="shared"/>
        <v>5090.2335000000003</v>
      </c>
      <c r="R25" s="12">
        <f si="13" t="shared"/>
        <v>10248.1368</v>
      </c>
      <c r="S25" s="12">
        <f si="14" t="shared"/>
        <v>10266.970100000006</v>
      </c>
      <c r="T25" s="7"/>
    </row>
    <row ht="15.75" r="27" spans="1:20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ref="B29:E29" si="28" t="shared">IF(B18&lt;&gt;0,B7/B18,0)</f>
        <v>0</v>
      </c>
      <c r="C29" s="16">
        <f si="28" t="shared"/>
        <v>0</v>
      </c>
      <c r="D29" s="16">
        <f si="28" t="shared"/>
        <v>0</v>
      </c>
      <c r="E29" s="16">
        <f si="28" t="shared"/>
        <v>0</v>
      </c>
      <c r="H29" s="15" t="str">
        <f>$A$7</f>
        <v>Bellevue</v>
      </c>
      <c r="I29" s="16">
        <f ref="I29:L30" si="29" t="shared">IF(I18&lt;&gt;0,I7/I18,0)</f>
        <v>2.7740533542928475E-3</v>
      </c>
      <c r="J29" s="16">
        <f si="29" t="shared"/>
        <v>4.677450789319821E-3</v>
      </c>
      <c r="K29" s="16">
        <f si="29" t="shared"/>
        <v>2.3776223776223776E-3</v>
      </c>
      <c r="L29" s="16">
        <f si="29" t="shared"/>
        <v>2.9784724270126807E-3</v>
      </c>
      <c r="O29" s="15" t="str">
        <f>$A$7</f>
        <v>Bellevue</v>
      </c>
      <c r="P29" s="26">
        <f ref="P29:S36" si="30" t="shared">I29-B29</f>
        <v>2.7740533542928475E-3</v>
      </c>
      <c r="Q29" s="26">
        <f si="30" t="shared"/>
        <v>4.677450789319821E-3</v>
      </c>
      <c r="R29" s="26">
        <f si="30" t="shared"/>
        <v>2.3776223776223776E-3</v>
      </c>
      <c r="S29" s="26">
        <f si="30" t="shared"/>
        <v>2.9784724270126807E-3</v>
      </c>
    </row>
    <row r="30" spans="1:20" x14ac:dyDescent="0.25">
      <c r="A30" t="str">
        <f>$A$8</f>
        <v>Bellevue Downtown</v>
      </c>
      <c r="B30" s="16">
        <f ref="B30:E30" si="31" t="shared">IF(B19&lt;&gt;0,B8/B19,0)</f>
        <v>0</v>
      </c>
      <c r="C30" s="16">
        <f si="31" t="shared"/>
        <v>0</v>
      </c>
      <c r="D30" s="16">
        <f si="31" t="shared"/>
        <v>0</v>
      </c>
      <c r="E30" s="16">
        <f si="31" t="shared"/>
        <v>0</v>
      </c>
      <c r="H30" t="str">
        <f>$A$8</f>
        <v>Bellevue Downtown</v>
      </c>
      <c r="I30" s="16">
        <f si="29" t="shared"/>
        <v>1.9569471624266144E-3</v>
      </c>
      <c r="J30" s="16">
        <f si="29" t="shared"/>
        <v>0</v>
      </c>
      <c r="K30" s="16">
        <f si="29" t="shared"/>
        <v>0</v>
      </c>
      <c r="L30" s="16">
        <f si="29" t="shared"/>
        <v>9.7087378640776695E-4</v>
      </c>
      <c r="O30" t="str">
        <f>$A$8</f>
        <v>Bellevue Downtown</v>
      </c>
      <c r="P30" s="26">
        <f si="30" t="shared"/>
        <v>1.9569471624266144E-3</v>
      </c>
      <c r="Q30" s="26">
        <f si="30" t="shared"/>
        <v>0</v>
      </c>
      <c r="R30" s="26">
        <f si="30" t="shared"/>
        <v>0</v>
      </c>
      <c r="S30" s="26">
        <f si="30" t="shared"/>
        <v>9.7087378640776695E-4</v>
      </c>
    </row>
    <row r="31" spans="1:20" x14ac:dyDescent="0.25">
      <c r="A31" t="str">
        <f>$A$9</f>
        <v>Kirkland</v>
      </c>
      <c r="B31" s="16">
        <f ref="B31:E31" si="32" t="shared">IF(B20&lt;&gt;0,B9/B20,0)</f>
        <v>0</v>
      </c>
      <c r="C31" s="16">
        <f si="32" t="shared"/>
        <v>0</v>
      </c>
      <c r="D31" s="16">
        <f si="32" t="shared"/>
        <v>0</v>
      </c>
      <c r="E31" s="16">
        <f si="32" t="shared"/>
        <v>0</v>
      </c>
      <c r="H31" t="str">
        <f>$A$9</f>
        <v>Kirkland</v>
      </c>
      <c r="I31" s="16">
        <f ref="I31:L31" si="33" t="shared">IF(I20&lt;&gt;0,I9/I20,0)</f>
        <v>3.9013195639701665E-3</v>
      </c>
      <c r="J31" s="16">
        <f si="33" t="shared"/>
        <v>4.9435028248587575E-3</v>
      </c>
      <c r="K31" s="16">
        <f si="33" t="shared"/>
        <v>1.5052684395383843E-3</v>
      </c>
      <c r="L31" s="16">
        <f si="33" t="shared"/>
        <v>3.5434067324727919E-3</v>
      </c>
      <c r="O31" t="str">
        <f>$A$9</f>
        <v>Kirkland</v>
      </c>
      <c r="P31" s="26">
        <f ref="P31:P33" si="34" t="shared">I31-B31</f>
        <v>3.9013195639701665E-3</v>
      </c>
      <c r="Q31" s="26">
        <f ref="Q31:Q33" si="35" t="shared">J31-C31</f>
        <v>4.9435028248587575E-3</v>
      </c>
      <c r="R31" s="26">
        <f ref="R31:R33" si="36" t="shared">K31-D31</f>
        <v>1.5052684395383843E-3</v>
      </c>
      <c r="S31" s="26">
        <f ref="S31:S33" si="37" t="shared">L31-E31</f>
        <v>3.5434067324727919E-3</v>
      </c>
    </row>
    <row r="32" spans="1:20" x14ac:dyDescent="0.25">
      <c r="A32" t="str">
        <f>$A$10</f>
        <v>Redmond</v>
      </c>
      <c r="B32" s="16">
        <f ref="B32:E32" si="38" t="shared">IF(B21&lt;&gt;0,B10/B21,0)</f>
        <v>0</v>
      </c>
      <c r="C32" s="16">
        <f si="38" t="shared"/>
        <v>0</v>
      </c>
      <c r="D32" s="16">
        <f si="38" t="shared"/>
        <v>0</v>
      </c>
      <c r="E32" s="16">
        <f si="38" t="shared"/>
        <v>0</v>
      </c>
      <c r="H32" t="str">
        <f>$A$10</f>
        <v>Redmond</v>
      </c>
      <c r="I32" s="16">
        <f ref="I32:L32" si="39" t="shared">IF(I21&lt;&gt;0,I10/I21,0)</f>
        <v>4.2267050912584052E-3</v>
      </c>
      <c r="J32" s="16">
        <f si="39" t="shared"/>
        <v>9.2230296254891004E-3</v>
      </c>
      <c r="K32" s="16">
        <f si="39" t="shared"/>
        <v>1.0266438523588365E-2</v>
      </c>
      <c r="L32" s="16">
        <f si="39" t="shared"/>
        <v>6.0556605394262155E-3</v>
      </c>
      <c r="O32" t="str">
        <f>$A$10</f>
        <v>Redmond</v>
      </c>
      <c r="P32" s="26">
        <f si="34" t="shared"/>
        <v>4.2267050912584052E-3</v>
      </c>
      <c r="Q32" s="26">
        <f si="35" t="shared"/>
        <v>9.2230296254891004E-3</v>
      </c>
      <c r="R32" s="26">
        <f si="36" t="shared"/>
        <v>1.0266438523588365E-2</v>
      </c>
      <c r="S32" s="26">
        <f si="37" t="shared"/>
        <v>6.0556605394262155E-3</v>
      </c>
    </row>
    <row r="33" spans="1:19" x14ac:dyDescent="0.25">
      <c r="A33" s="7" t="str">
        <f>$A$11</f>
        <v>Seattle</v>
      </c>
      <c r="B33" s="50">
        <f ref="B33:E33" si="40" t="shared">IF(B22&lt;&gt;0,B11/B22,0)</f>
        <v>0</v>
      </c>
      <c r="C33" s="50">
        <f si="40" t="shared"/>
        <v>0</v>
      </c>
      <c r="D33" s="50">
        <f si="40" t="shared"/>
        <v>0</v>
      </c>
      <c r="E33" s="50">
        <f si="40" t="shared"/>
        <v>0</v>
      </c>
      <c r="H33" s="7" t="str">
        <f>$A$11</f>
        <v>Seattle</v>
      </c>
      <c r="I33" s="50">
        <f ref="I33:L33" si="41" t="shared">IF(I22&lt;&gt;0,I11/I22,0)</f>
        <v>0</v>
      </c>
      <c r="J33" s="50">
        <f si="41" t="shared"/>
        <v>0</v>
      </c>
      <c r="K33" s="50">
        <f si="41" t="shared"/>
        <v>0</v>
      </c>
      <c r="L33" s="50">
        <f si="41" t="shared"/>
        <v>0</v>
      </c>
      <c r="O33" s="7" t="str">
        <f>$A$11</f>
        <v>Seattle</v>
      </c>
      <c r="P33" s="51">
        <f si="34" t="shared"/>
        <v>0</v>
      </c>
      <c r="Q33" s="51">
        <f si="35" t="shared"/>
        <v>0</v>
      </c>
      <c r="R33" s="51">
        <f si="36" t="shared"/>
        <v>0</v>
      </c>
      <c r="S33" s="51">
        <f si="37" t="shared"/>
        <v>0</v>
      </c>
    </row>
    <row r="34" spans="1:19" x14ac:dyDescent="0.25">
      <c r="A34" s="7" t="str">
        <f>$A$12</f>
        <v>Seattle Downtown</v>
      </c>
      <c r="B34" s="50">
        <f ref="B34:E35" si="42" t="shared">IF(B23&lt;&gt;0,B12/B23,0)</f>
        <v>0</v>
      </c>
      <c r="C34" s="50">
        <f si="42" t="shared"/>
        <v>0</v>
      </c>
      <c r="D34" s="50">
        <f si="42" t="shared"/>
        <v>0</v>
      </c>
      <c r="E34" s="50">
        <f si="42" t="shared"/>
        <v>0</v>
      </c>
      <c r="H34" s="7" t="str">
        <f>$A$12</f>
        <v>Seattle Downtown</v>
      </c>
      <c r="I34" s="50">
        <f ref="I34:L35" si="43" t="shared">IF(I23&lt;&gt;0,I12/I23,0)</f>
        <v>0</v>
      </c>
      <c r="J34" s="50">
        <f si="43" t="shared"/>
        <v>0</v>
      </c>
      <c r="K34" s="50">
        <f si="43" t="shared"/>
        <v>0</v>
      </c>
      <c r="L34" s="50">
        <f si="43" t="shared"/>
        <v>0</v>
      </c>
      <c r="O34" s="7" t="str">
        <f>$A$12</f>
        <v>Seattle Downtown</v>
      </c>
      <c r="P34" s="51">
        <f si="30" t="shared"/>
        <v>0</v>
      </c>
      <c r="Q34" s="51">
        <f si="30" t="shared"/>
        <v>0</v>
      </c>
      <c r="R34" s="51">
        <f si="30" t="shared"/>
        <v>0</v>
      </c>
      <c r="S34" s="51">
        <f si="30" t="shared"/>
        <v>0</v>
      </c>
    </row>
    <row r="35" spans="1:19" x14ac:dyDescent="0.25">
      <c r="A35" s="7" t="str">
        <f>$A$13</f>
        <v>Rest</v>
      </c>
      <c r="B35" s="50">
        <f si="42" t="shared"/>
        <v>0</v>
      </c>
      <c r="C35" s="50">
        <f si="42" t="shared"/>
        <v>0</v>
      </c>
      <c r="D35" s="50">
        <f si="42" t="shared"/>
        <v>0</v>
      </c>
      <c r="E35" s="50">
        <f si="42" t="shared"/>
        <v>0</v>
      </c>
      <c r="H35" s="7" t="str">
        <f>$A$13</f>
        <v>Rest</v>
      </c>
      <c r="I35" s="50">
        <f si="43" t="shared"/>
        <v>0</v>
      </c>
      <c r="J35" s="50">
        <f si="43" t="shared"/>
        <v>0</v>
      </c>
      <c r="K35" s="50">
        <f si="43" t="shared"/>
        <v>0</v>
      </c>
      <c r="L35" s="50">
        <f si="43" t="shared"/>
        <v>0</v>
      </c>
      <c r="O35" s="7" t="str">
        <f>$A$13</f>
        <v>Rest</v>
      </c>
      <c r="P35" s="51">
        <f si="30" t="shared"/>
        <v>0</v>
      </c>
      <c r="Q35" s="51">
        <f si="30" t="shared"/>
        <v>0</v>
      </c>
      <c r="R35" s="51">
        <f si="30" t="shared"/>
        <v>0</v>
      </c>
      <c r="S35" s="51">
        <f si="30" t="shared"/>
        <v>0</v>
      </c>
    </row>
    <row ht="15.75" r="36" spans="1:19" thickBot="1" x14ac:dyDescent="0.3">
      <c r="A36" s="12" t="s">
        <v>3</v>
      </c>
      <c r="B36" s="17">
        <f>IF(B25&lt;&gt;0,B14/B25,0)</f>
        <v>4.0550777874048975E-2</v>
      </c>
      <c r="C36" s="17">
        <f ref="C36:E36" si="44" t="shared">IF(C25&lt;&gt;0,C14/C25,0)</f>
        <v>0</v>
      </c>
      <c r="D36" s="17">
        <f si="44" t="shared"/>
        <v>0.47862516688304241</v>
      </c>
      <c r="E36" s="17">
        <f si="44" t="shared"/>
        <v>7.8812872530154621E-2</v>
      </c>
      <c r="H36" s="12" t="s">
        <v>3</v>
      </c>
      <c r="I36" s="17">
        <f>IF(I25&lt;&gt;0,I14/I25,0)</f>
        <v>3.5335689045936395E-3</v>
      </c>
      <c r="J36" s="17">
        <f ref="J36:L36" si="45" t="shared">IF(J25&lt;&gt;0,J14/J25,0)</f>
        <v>5.9532895741108227E-3</v>
      </c>
      <c r="K36" s="17">
        <f si="45" t="shared"/>
        <v>3.8649539615778108E-3</v>
      </c>
      <c r="L36" s="17">
        <f si="45" t="shared"/>
        <v>3.9706104959187716E-3</v>
      </c>
      <c r="O36" s="12" t="s">
        <v>3</v>
      </c>
      <c r="P36" s="45">
        <f si="30" t="shared"/>
        <v>-3.7017208969455338E-2</v>
      </c>
      <c r="Q36" s="45">
        <f ref="Q36" si="46" t="shared">J36-C36</f>
        <v>5.9532895741108227E-3</v>
      </c>
      <c r="R36" s="45">
        <f ref="R36" si="47" t="shared">K36-D36</f>
        <v>-0.47476021292146459</v>
      </c>
      <c r="S36" s="45">
        <f ref="S36" si="48" t="shared">L36-E36</f>
        <v>-7.4842262034235843E-2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U62"/>
  <sheetViews>
    <sheetView workbookViewId="0">
      <selection activeCell="H13" sqref="H13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ref="U4:U62" si="0" t="shared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si="0" t="shared"/>
        <v>1</v>
      </c>
    </row>
    <row ht="15.75" r="6" spans="1:21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si="0" t="shared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si="0" t="shared"/>
        <v>0.1</v>
      </c>
    </row>
    <row r="8" spans="1:21" x14ac:dyDescent="0.25">
      <c r="A8" s="57" t="s">
        <v>224</v>
      </c>
      <c r="B8" s="83">
        <f>TLFD!B11</f>
        <v>14660.232100000001</v>
      </c>
      <c r="C8" s="83">
        <f>TLFD!H11</f>
        <v>10372</v>
      </c>
      <c r="D8" s="7"/>
      <c r="E8" s="57" t="s">
        <v>224</v>
      </c>
      <c r="F8" s="72">
        <f>B8/B$11</f>
        <v>0.24329750949841841</v>
      </c>
      <c r="G8" s="72">
        <f>C8/C$11</f>
        <v>0.18794962399202683</v>
      </c>
      <c r="H8" s="7">
        <v>1</v>
      </c>
      <c r="I8">
        <v>10</v>
      </c>
      <c r="J8" s="9">
        <f>F8/G8</f>
        <v>1.2944825551166814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si="0" t="shared"/>
        <v>1</v>
      </c>
    </row>
    <row r="9" spans="1:21" x14ac:dyDescent="0.25">
      <c r="A9" s="57" t="s">
        <v>226</v>
      </c>
      <c r="B9" s="83">
        <f>SUM(TLFD!B12:B15)</f>
        <v>29881.665799999999</v>
      </c>
      <c r="C9" s="83">
        <f>SUM(TLFD!H12:H15)</f>
        <v>30724</v>
      </c>
      <c r="E9" s="57" t="s">
        <v>226</v>
      </c>
      <c r="F9" s="72">
        <f ref="F9:F10" si="1" t="shared">B9/B$11</f>
        <v>0.49590857901929564</v>
      </c>
      <c r="G9" s="72">
        <f ref="G9:G10" si="2" t="shared">C9/C$11</f>
        <v>0.55674549243453841</v>
      </c>
      <c r="H9">
        <v>0.1</v>
      </c>
      <c r="I9">
        <v>11</v>
      </c>
      <c r="J9" s="9">
        <f ref="J9:J10" si="3" t="shared">F9/G9</f>
        <v>0.89072760490755853</v>
      </c>
      <c r="K9" s="9">
        <f>(LN(J9)-LN(J8))*H9</f>
        <v>-3.7382766061365834E-2</v>
      </c>
      <c r="L9" s="59">
        <f ref="L9:L10" si="4" t="shared">T13</f>
        <v>-9.7518039976427993</v>
      </c>
      <c r="M9" s="59">
        <f ref="M9:M10" si="5" t="shared">L9+K9</f>
        <v>-9.7891867637041656</v>
      </c>
      <c r="R9">
        <v>7</v>
      </c>
      <c r="S9" t="s">
        <v>78</v>
      </c>
      <c r="T9" s="59">
        <f>SchoolLocationCoefficient!E17</f>
        <v>-21.977719252</v>
      </c>
      <c r="U9" s="60">
        <f si="0" t="shared"/>
        <v>-21.977719252</v>
      </c>
    </row>
    <row r="10" spans="1:21" x14ac:dyDescent="0.25">
      <c r="A10" s="69" t="s">
        <v>227</v>
      </c>
      <c r="B10" s="86">
        <f>SUM(TLFD!B16:B101)</f>
        <v>15714.5023</v>
      </c>
      <c r="C10" s="86">
        <f>SUM(TLFD!H16:H101)</f>
        <v>14089</v>
      </c>
      <c r="E10" s="69" t="s">
        <v>227</v>
      </c>
      <c r="F10" s="75">
        <f si="1" t="shared"/>
        <v>0.26079391148228603</v>
      </c>
      <c r="G10" s="75">
        <f si="2" t="shared"/>
        <v>0.25530488357343484</v>
      </c>
      <c r="H10">
        <v>0.1</v>
      </c>
      <c r="I10" s="6">
        <v>12</v>
      </c>
      <c r="J10" s="18">
        <f si="3" t="shared"/>
        <v>1.0214998938994928</v>
      </c>
      <c r="K10" s="18">
        <f>(LN(J10)-LN(J9)-LN(J8))*H10</f>
        <v>-1.2112239590443163E-2</v>
      </c>
      <c r="L10" s="74">
        <f si="4" t="shared"/>
        <v>-1.0599160072038001</v>
      </c>
      <c r="M10" s="74">
        <f si="5" t="shared"/>
        <v>-1.0720282467942432</v>
      </c>
      <c r="R10">
        <v>8</v>
      </c>
      <c r="S10" t="s">
        <v>79</v>
      </c>
      <c r="T10" s="59">
        <f>SchoolLocationCoefficient!E18</f>
        <v>-1.4857940511400001</v>
      </c>
      <c r="U10" s="60">
        <f si="0" t="shared"/>
        <v>-1.4857940511400001</v>
      </c>
    </row>
    <row ht="15.75" r="11" spans="1:21" thickBot="1" x14ac:dyDescent="0.3">
      <c r="A11" s="71" t="s">
        <v>3</v>
      </c>
      <c r="B11" s="82">
        <f>SUM(B8:B10)</f>
        <v>60256.400199999996</v>
      </c>
      <c r="C11" s="82">
        <f>SUM(C8:C10)</f>
        <v>55185</v>
      </c>
      <c r="D11" s="58"/>
      <c r="E11" s="71" t="s">
        <v>3</v>
      </c>
      <c r="F11" s="73">
        <f>SUM(F8:F10)</f>
        <v>1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si="0" t="shared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ref="U13:U14" si="6" t="shared">M9</f>
        <v>-9.7891867637041656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si="6" t="shared"/>
        <v>-1.0720282467942432</v>
      </c>
    </row>
    <row ht="15.75" r="15" spans="1:21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si="0" t="shared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si="0" t="shared"/>
        <v>-3.04866060786</v>
      </c>
    </row>
    <row r="17" spans="1:21" x14ac:dyDescent="0.25">
      <c r="A17" s="64" t="s">
        <v>225</v>
      </c>
      <c r="B17" s="81">
        <f>SchoolAtHome!E14</f>
        <v>5959.3589000000002</v>
      </c>
      <c r="C17" s="81">
        <f>SchoolAtHome!L14</f>
        <v>341</v>
      </c>
      <c r="E17" s="64" t="s">
        <v>225</v>
      </c>
      <c r="F17" s="77">
        <f>B17/B18</f>
        <v>7.8812872530154621E-2</v>
      </c>
      <c r="G17" s="77">
        <f>C17/C18</f>
        <v>3.9706104959187716E-3</v>
      </c>
      <c r="I17" s="65">
        <v>50</v>
      </c>
      <c r="J17" s="66">
        <f>F17/G17</f>
        <v>19.849056615138441</v>
      </c>
      <c r="K17" s="66">
        <f>LN(J17)</f>
        <v>2.9881564803180973</v>
      </c>
      <c r="L17" s="79">
        <f>T33</f>
        <v>-52.496387392000003</v>
      </c>
      <c r="M17" s="78">
        <f ref="M17" si="7" t="shared">L17+K17</f>
        <v>-49.508230911681906</v>
      </c>
      <c r="R17">
        <v>15</v>
      </c>
      <c r="S17" t="s">
        <v>86</v>
      </c>
      <c r="T17" s="59">
        <f>SchoolLocationCoefficient!E25</f>
        <v>0</v>
      </c>
      <c r="U17" s="60">
        <f si="0" t="shared"/>
        <v>0</v>
      </c>
    </row>
    <row ht="15.75" r="18" spans="1:21" thickBot="1" x14ac:dyDescent="0.3">
      <c r="A18" s="12" t="s">
        <v>3</v>
      </c>
      <c r="B18" s="82">
        <f>SchoolAtHome!E25</f>
        <v>75614.029899999994</v>
      </c>
      <c r="C18" s="82">
        <f>SchoolAtHome!L25</f>
        <v>85881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si="0" t="shared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si="0" t="shared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si="0" t="shared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si="0" t="shared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si="0" t="shared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si="0" t="shared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si="0" t="shared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si="0" t="shared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si="0" t="shared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si="0" t="shared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si="0" t="shared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si="0" t="shared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si="0" t="shared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si="0" t="shared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si="0" t="shared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-49.508230911681906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si="0" t="shared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si="0" t="shared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si="0" t="shared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si="0" t="shared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si="0" t="shared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si="0" t="shared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si="0" t="shared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si="0" t="shared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si="0" t="shared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si="0" t="shared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si="0" t="shared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si="0" t="shared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si="0" t="shared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si="0" t="shared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si="0" t="shared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si="0" t="shared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si="0" t="shared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si="0" t="shared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si="0" t="shared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si="0" t="shared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si="0" t="shared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si="0" t="shared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si="0" t="shared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si="0" t="shared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si="0" t="shared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si="0" t="shared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si="0" t="shared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si="0" t="shared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2017-10-26T15:42:11Z</dcterms:modified>
</cp:coreProperties>
</file>