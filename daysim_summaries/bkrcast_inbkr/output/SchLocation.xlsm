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74837BA0-65D6-932C-5D65-3B800EBDC722}" lastEdited="7" lowestEdited="4" rupBuild="21328"/>
  <workbookPr codeName="ThisWorkbook" defaultThemeVersion="124226"/>
  <mc:AlternateContent>
    <mc:Choice Requires="x15">
      <x15ac:absPath xmlns:x15ac="http://schemas.microsoft.com/office/spreadsheetml/2010/11/ac" url="D:\BKR0V1-1-newcap-newpop-S93-newdensity-shortwalkdist-coeff8-newadjfacs-nohomejobs-BSq_attractiveness\daysim_summaries\bkrcast_inbkr\output\"/>
    </mc:Choice>
  </mc:AlternateContent>
  <xr:revisionPtr documentId="13_ncr:1_{6E37FE6D-0393-4268-8E33-86C7BE569EB2}" revIDLastSave="0" xr10:uidLastSave="{00000000-0000-0000-0000-000000000000}" xr6:coauthVersionLast="41" xr6:coauthVersionMax="41"/>
  <bookViews>
    <workbookView activeTab="3" windowHeight="11265" windowWidth="21600" xWindow="12405" xr2:uid="{00000000-000D-0000-FFFF-FFFF00000000}" yWindow="2640"/>
  </bookViews>
  <sheets>
    <sheet name="TLFD" r:id="rId1" sheetId="3"/>
    <sheet name="TDFD" r:id="rId2" sheetId="4"/>
    <sheet name="TDFD_Agg" r:id="rId3" sheetId="10"/>
    <sheet name="County_Flow" r:id="rId4" sheetId="1"/>
    <sheet name="SchoolAtHome" r:id="rId5" sheetId="12"/>
    <sheet name="Documentation" r:id="rId6" sheetId="7"/>
    <sheet name="CoeffDef" r:id="rId7" sheetId="13"/>
    <sheet name="SchoolLocationCoefficient" r:id="rId8" sheetId="14"/>
    <sheet name="Calibration" r:id="rId9" sheetId="15"/>
  </sheets>
  <definedNames>
    <definedName name="athm">SchoolAtHome!$I$7:$K$12</definedName>
    <definedName name="avgdist">TLFD!$O$11:$O$14</definedName>
    <definedName name="avgtime">TDFD!$O$11:$O$14</definedName>
    <definedName name="flows">County_Flow!$M$7:$O$9</definedName>
    <definedName name="out1">TLFD!$B$11:$D$101</definedName>
    <definedName name="out10">County_Flow!$M$7:$S$13</definedName>
    <definedName name="out11">SchoolAtHome!$B$18:$D$24</definedName>
    <definedName name="out12">SchoolAtHome!$I$18:$K$24</definedName>
    <definedName name="out13">SchoolAtHome!$B$7:$D$13</definedName>
    <definedName name="out14">SchoolAtHome!$I$7:$K$13</definedName>
    <definedName name="out2">TLFD!$H$11:$J$101</definedName>
    <definedName name="out3">TDFD!$B$11:$D$101</definedName>
    <definedName name="out4">TDFD!$H$11:$J$101</definedName>
    <definedName name="out5">TLFD!$N$11:$N$14</definedName>
    <definedName name="out6">TLFD!$O$11:$O$14</definedName>
    <definedName name="out7">TDFD!$N$11:$N$14</definedName>
    <definedName name="out8">TDFD!$O$11:$O$14</definedName>
    <definedName name="out9">County_Flow!$B$7:$H$13</definedName>
    <definedName name="Sch_dist">TLFD!$H$11:$J$101</definedName>
    <definedName name="Sch_time">TDFD!$H$11:$J$101</definedName>
    <definedName name="tot">SchoolAtHome!$I$18:$K$23</definedName>
    <definedName name="out_1">TLFD!$B$11:$D$101</definedName>
    <definedName name="out_3">TDFD!$B$11:$D$101</definedName>
    <definedName name="out_5">TLFD!$N$11:$N$14</definedName>
    <definedName name="out_7">TDFD!$N$11:$N$14</definedName>
    <definedName name="out_9">County_Flow!$B$7:$H$13</definedName>
    <definedName name="out_11">SchoolAtHome!$B$18:$D$24</definedName>
    <definedName name="out_2">TLFD!$H$11:$J$101</definedName>
    <definedName name="out_4">TDFD!$H$11:$J$101</definedName>
    <definedName name="out_6">TLFD!$O$11:$O$14</definedName>
    <definedName name="out_8">TDFD!$O$11:$O$14</definedName>
    <definedName name="out_10">County_Flow!$M$7:$S$13</definedName>
    <definedName name="out_12">SchoolAtHome!$I$18:$K$24</definedName>
    <definedName name="out_14">SchoolAtHome!$I$7:$K$13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i="15" l="1" r="T4"/>
  <c i="15" r="T5"/>
  <c i="15" r="T6"/>
  <c i="15" r="T7"/>
  <c i="15" r="T8"/>
  <c i="15" r="T9"/>
  <c i="15" r="T10"/>
  <c i="15" r="T11"/>
  <c i="15" r="T12"/>
  <c i="15" r="L8" s="1"/>
  <c i="15" r="T13"/>
  <c i="15" r="L9" s="1"/>
  <c i="15" r="T14"/>
  <c i="15" r="L10" s="1"/>
  <c i="15" r="T15"/>
  <c i="15" r="T16"/>
  <c i="15" r="T17"/>
  <c i="15" r="T18"/>
  <c i="15" r="T19"/>
  <c i="15" r="T20"/>
  <c i="15" r="T21"/>
  <c i="15" r="T22"/>
  <c i="15" r="T23"/>
  <c i="15" r="T24"/>
  <c i="15" r="T25"/>
  <c i="15" r="T26"/>
  <c i="15" r="T27"/>
  <c i="15" r="T28"/>
  <c i="15" r="T29"/>
  <c i="15" r="T30"/>
  <c i="15" r="T31"/>
  <c i="15" r="T32"/>
  <c i="15" r="T33"/>
  <c i="15" r="T34"/>
  <c i="15" r="T35"/>
  <c i="15" r="T36"/>
  <c i="15" r="T37"/>
  <c i="15" r="T38"/>
  <c i="15" r="T39"/>
  <c i="15" r="T40"/>
  <c i="15" r="T41"/>
  <c i="15" r="T42"/>
  <c i="15" r="T43"/>
  <c i="15" r="T44"/>
  <c i="15" r="T45"/>
  <c i="15" r="T46"/>
  <c i="15" r="T47"/>
  <c i="15" r="T48"/>
  <c i="15" r="T49"/>
  <c i="15" r="T50"/>
  <c i="15" r="T51"/>
  <c i="15" r="T52"/>
  <c i="15" r="T53"/>
  <c i="15" r="T54"/>
  <c i="15" r="T55"/>
  <c i="15" r="T56"/>
  <c i="15" r="T57"/>
  <c i="15" r="T58"/>
  <c i="15" r="T59"/>
  <c i="15" r="T60"/>
  <c i="15" r="T61"/>
  <c i="15" r="T62"/>
  <c i="15" r="T3"/>
  <c i="15" l="1" r="L17"/>
  <c i="15" l="1" r="U4"/>
  <c i="15" r="U5"/>
  <c i="15" r="U6"/>
  <c i="15" r="U7"/>
  <c i="15" r="U8"/>
  <c i="15" r="U9"/>
  <c i="15" r="U10"/>
  <c i="15" r="U11"/>
  <c i="15" r="U15"/>
  <c i="15" r="U16"/>
  <c i="15" r="U17"/>
  <c i="15" r="U18"/>
  <c i="15" r="U19"/>
  <c i="15" r="U20"/>
  <c i="15" r="U21"/>
  <c i="15" r="U22"/>
  <c i="15" r="U23"/>
  <c i="15" r="U24"/>
  <c i="15" r="U25"/>
  <c i="15" r="U26"/>
  <c i="15" r="U27"/>
  <c i="15" r="U28"/>
  <c i="15" r="U29"/>
  <c i="15" r="U30"/>
  <c i="15" r="U31"/>
  <c i="15" r="U32"/>
  <c i="15" r="U34"/>
  <c i="15" r="U35"/>
  <c i="15" r="U36"/>
  <c i="15" r="U37"/>
  <c i="15" r="U38"/>
  <c i="15" r="U39"/>
  <c i="15" r="U40"/>
  <c i="15" r="U41"/>
  <c i="15" r="U42"/>
  <c i="15" r="U43"/>
  <c i="15" r="U44"/>
  <c i="15" r="U45"/>
  <c i="15" r="U46"/>
  <c i="15" r="U47"/>
  <c i="15" r="U48"/>
  <c i="15" r="U49"/>
  <c i="15" r="U50"/>
  <c i="15" r="U51"/>
  <c i="15" r="U52"/>
  <c i="15" r="U53"/>
  <c i="15" r="U54"/>
  <c i="15" r="U55"/>
  <c i="15" r="U56"/>
  <c i="15" r="U57"/>
  <c i="15" r="U58"/>
  <c i="15" r="U59"/>
  <c i="15" r="U60"/>
  <c i="15" r="U61"/>
  <c i="15" r="U62"/>
  <c i="15" r="U3"/>
  <c i="15" r="C10"/>
  <c i="15" r="B10"/>
  <c i="15" r="C9"/>
  <c i="15" r="B9"/>
  <c i="15" r="C8"/>
  <c i="15" r="B8"/>
  <c i="15" l="1" r="C11"/>
  <c i="15" r="G10" s="1"/>
  <c i="15" r="B11"/>
  <c i="15" r="F9" s="1"/>
  <c i="1" r="C27"/>
  <c i="1" r="D27"/>
  <c i="1" r="E27"/>
  <c i="1" r="F27"/>
  <c i="1" r="G27"/>
  <c i="1" r="H27"/>
  <c i="1" r="I27"/>
  <c i="1" r="J27"/>
  <c i="1" r="B27"/>
  <c i="1" r="S15"/>
  <c i="15" l="1" r="F10"/>
  <c i="15" r="J10" s="1"/>
  <c i="15" r="F8"/>
  <c i="15" r="G8"/>
  <c i="15" r="G9"/>
  <c i="15" r="J9" s="1"/>
  <c i="1" r="L13"/>
  <c i="1" r="A26"/>
  <c i="1" r="A39"/>
  <c i="1" r="W39"/>
  <c i="1" r="L39"/>
  <c i="15" l="1" r="J8"/>
  <c i="15" r="F11"/>
  <c i="15" r="G11"/>
  <c i="12" r="O35"/>
  <c i="12" r="H35"/>
  <c i="12" r="A35"/>
  <c i="12" r="A24"/>
  <c i="12" r="H24"/>
  <c i="12" r="O24"/>
  <c i="12" r="O13"/>
  <c i="12" r="H13"/>
  <c i="1" r="AD32"/>
  <c i="1" r="S32"/>
  <c i="1" r="H32"/>
  <c i="1" r="H19"/>
  <c i="1" r="S6"/>
  <c i="1" r="H6"/>
  <c i="15" l="1" r="K8"/>
  <c i="15" r="M8" s="1"/>
  <c i="15" r="U12" s="1"/>
  <c i="15" r="K10"/>
  <c i="15" r="M10" s="1"/>
  <c i="15" r="U14" s="1"/>
  <c i="15" r="K9"/>
  <c i="15" r="M9" s="1"/>
  <c i="15" r="U13" s="1"/>
  <c i="12" r="D25"/>
  <c i="12" r="C25"/>
  <c i="12" r="B25"/>
  <c i="12" r="K25"/>
  <c i="12" r="J25"/>
  <c i="12" r="I25"/>
  <c i="12" r="J14"/>
  <c i="12" r="K14"/>
  <c i="12" r="I14"/>
  <c i="12" l="1" r="I36"/>
  <c i="12" r="J36"/>
  <c i="12" r="K36"/>
  <c i="12" r="P25"/>
  <c i="12" r="R25"/>
  <c i="12" r="Q25"/>
  <c i="1" r="AC45"/>
  <c i="1" r="AB45"/>
  <c i="1" r="AA45"/>
  <c i="1" r="Z45"/>
  <c i="1" r="Y45"/>
  <c i="1" r="X45"/>
  <c i="1" r="R45"/>
  <c i="1" r="Q45"/>
  <c i="1" r="P45"/>
  <c i="1" r="O45"/>
  <c i="1" r="N45"/>
  <c i="1" r="M45"/>
  <c i="1" r="G45"/>
  <c i="1" r="F45"/>
  <c i="1" r="E45"/>
  <c i="1" r="D45"/>
  <c i="1" r="C45"/>
  <c i="1" r="B45"/>
  <c i="1" r="AC32"/>
  <c i="1" r="AB32"/>
  <c i="1" r="AA32"/>
  <c i="1" r="Z32"/>
  <c i="1" r="Y32"/>
  <c i="1" r="X32"/>
  <c i="1" r="R32"/>
  <c i="1" r="Q32"/>
  <c i="1" r="P32"/>
  <c i="1" r="O32"/>
  <c i="1" r="N32"/>
  <c i="1" r="M32"/>
  <c i="1" r="G32"/>
  <c i="1" r="F32"/>
  <c i="1" r="E32"/>
  <c i="1" r="D32"/>
  <c i="1" r="C32"/>
  <c i="1" r="B32"/>
  <c i="1" r="G19"/>
  <c i="1" r="F19"/>
  <c i="1" r="E19"/>
  <c i="1" r="D19"/>
  <c i="1" r="C19"/>
  <c i="1" r="B19"/>
  <c i="1" r="R6"/>
  <c i="1" r="Q6"/>
  <c i="1" r="P6"/>
  <c i="1" r="O6"/>
  <c i="1" r="N6"/>
  <c i="1" r="M6"/>
  <c i="1" r="G6"/>
  <c i="1" r="F6"/>
  <c i="1" r="E6"/>
  <c i="1" r="D6"/>
  <c i="1" r="C6"/>
  <c i="1" r="B6"/>
  <c i="1" r="W51"/>
  <c i="1" r="W50"/>
  <c i="1" r="W49"/>
  <c i="1" r="W48"/>
  <c i="1" r="W47"/>
  <c i="1" r="W46"/>
  <c i="1" r="L51"/>
  <c i="1" r="L50"/>
  <c i="1" r="L49"/>
  <c i="1" r="L48"/>
  <c i="1" r="L47"/>
  <c i="1" r="L46"/>
  <c i="1" r="A51"/>
  <c i="1" r="A50"/>
  <c i="1" r="A49"/>
  <c i="1" r="A48"/>
  <c i="1" r="A47"/>
  <c i="1" r="A46"/>
  <c i="1" r="W38"/>
  <c i="1" r="W37"/>
  <c i="1" r="W36"/>
  <c i="1" r="W35"/>
  <c i="1" r="W34"/>
  <c i="1" r="W33"/>
  <c i="1" r="L38"/>
  <c i="1" r="L37"/>
  <c i="1" r="L36"/>
  <c i="1" r="L35"/>
  <c i="1" r="L34"/>
  <c i="1" r="L33"/>
  <c i="1" r="A38"/>
  <c i="1" r="A37"/>
  <c i="1" r="A36"/>
  <c i="1" r="A35"/>
  <c i="1" r="A34"/>
  <c i="1" r="A33"/>
  <c i="1" r="A25"/>
  <c i="1" r="A24"/>
  <c i="1" r="A23"/>
  <c i="1" r="A22"/>
  <c i="1" r="A21"/>
  <c i="1" r="A20"/>
  <c i="1" r="L12"/>
  <c i="1" r="L11"/>
  <c i="1" r="L10"/>
  <c i="1" r="L9"/>
  <c i="1" r="L8"/>
  <c i="1" r="L7"/>
  <c i="12" r="O34"/>
  <c i="12" r="O33"/>
  <c i="12" r="O32"/>
  <c i="12" r="O31"/>
  <c i="12" r="O30"/>
  <c i="12" r="O29"/>
  <c i="12" r="H34"/>
  <c i="12" r="H33"/>
  <c i="12" r="H32"/>
  <c i="12" r="H31"/>
  <c i="12" r="H30"/>
  <c i="12" r="H29"/>
  <c i="12" r="A34"/>
  <c i="12" r="A33"/>
  <c i="12" r="A32"/>
  <c i="12" r="A31"/>
  <c i="12" r="A30"/>
  <c i="12" r="A29"/>
  <c i="12" r="O23"/>
  <c i="12" r="O22"/>
  <c i="12" r="O21"/>
  <c i="12" r="O20"/>
  <c i="12" r="O19"/>
  <c i="12" r="O18"/>
  <c i="12" r="H23"/>
  <c i="12" r="H22"/>
  <c i="12" r="H21"/>
  <c i="12" r="H20"/>
  <c i="12" r="H19"/>
  <c i="12" r="H18"/>
  <c i="12" r="A23"/>
  <c i="12" r="A22"/>
  <c i="12" r="A21"/>
  <c i="12" r="A20"/>
  <c i="12" r="A19"/>
  <c i="12" r="A18"/>
  <c i="12" r="O12"/>
  <c i="12" r="O11"/>
  <c i="12" r="O10"/>
  <c i="12" r="O9"/>
  <c i="12" r="O8"/>
  <c i="12" r="O7"/>
  <c i="12" r="H12"/>
  <c i="12" r="H11"/>
  <c i="12" r="H10"/>
  <c i="12" r="H9"/>
  <c i="12" r="H8"/>
  <c i="12" r="H7"/>
  <c i="1" l="1" r="P15"/>
  <c i="1" r="Q15"/>
  <c i="1" r="R15"/>
  <c i="1" r="E15"/>
  <c i="1" r="F15"/>
  <c i="1" r="G15"/>
  <c i="12" l="1" r="L20"/>
  <c i="12" r="L21"/>
  <c i="12" r="L22"/>
  <c i="12" r="L9"/>
  <c i="12" r="L10"/>
  <c i="12" r="L11"/>
  <c i="12" r="E20"/>
  <c i="12" r="E21"/>
  <c i="12" r="E22"/>
  <c i="12" r="E9"/>
  <c i="12" r="E10"/>
  <c i="12" r="E11"/>
  <c i="12" l="1" r="B30"/>
  <c i="12" r="C30"/>
  <c i="12" r="D30"/>
  <c i="12" r="B31"/>
  <c i="12" r="C31"/>
  <c i="12" r="D31"/>
  <c i="12" r="E31"/>
  <c i="12" r="B32"/>
  <c i="12" r="C32"/>
  <c i="12" r="D32"/>
  <c i="12" r="E32"/>
  <c i="12" r="B33"/>
  <c i="12" r="C33"/>
  <c i="12" r="D33"/>
  <c i="12" r="E33"/>
  <c i="12" r="I31"/>
  <c i="12" r="P31" s="1"/>
  <c i="12" r="J31"/>
  <c i="12" r="Q31" s="1"/>
  <c i="12" r="K31"/>
  <c i="12" r="R31" s="1"/>
  <c i="12" r="L31"/>
  <c i="12" r="S31" s="1"/>
  <c i="12" r="I32"/>
  <c i="12" r="J32"/>
  <c i="12" r="Q32" s="1"/>
  <c i="12" r="K32"/>
  <c i="12" r="R32" s="1"/>
  <c i="12" r="L32"/>
  <c i="12" r="I33"/>
  <c i="12" r="P33" s="1"/>
  <c i="12" r="J33"/>
  <c i="12" r="K33"/>
  <c i="12" r="L33"/>
  <c i="12" r="P20"/>
  <c i="12" r="Q20"/>
  <c i="12" r="R20"/>
  <c i="12" r="S20"/>
  <c i="12" r="P21"/>
  <c i="12" r="Q21"/>
  <c i="12" r="R21"/>
  <c i="12" r="S21"/>
  <c i="12" r="P22"/>
  <c i="12" r="Q22"/>
  <c i="12" r="R22"/>
  <c i="12" r="S22"/>
  <c i="12" r="P9"/>
  <c i="12" r="Q9"/>
  <c i="12" r="R9"/>
  <c i="12" r="S9"/>
  <c i="12" r="P10"/>
  <c i="12" r="Q10"/>
  <c i="12" r="R10"/>
  <c i="12" r="S10"/>
  <c i="12" r="P11"/>
  <c i="12" r="Q11"/>
  <c i="12" r="R11"/>
  <c i="12" r="S11"/>
  <c i="1" r="U10"/>
  <c i="1" r="U11"/>
  <c i="1" r="U12"/>
  <c i="1" r="U13"/>
  <c i="1" r="J8"/>
  <c i="1" r="J9"/>
  <c i="1" r="J10"/>
  <c i="1" r="J11"/>
  <c i="1" r="J12"/>
  <c i="1" l="1" r="H23"/>
  <c i="1" r="H24"/>
  <c i="1" r="H25"/>
  <c i="12" r="Q33"/>
  <c i="1" r="C24"/>
  <c i="12" r="S32"/>
  <c i="1" r="J24"/>
  <c i="1" r="I24"/>
  <c i="12" r="R33"/>
  <c i="12" r="P32"/>
  <c i="1" r="B24"/>
  <c i="1" r="B23"/>
  <c i="1" r="G24"/>
  <c i="1" r="F24"/>
  <c i="1" r="E24"/>
  <c i="1" r="D24"/>
  <c i="1" r="F23"/>
  <c i="1" r="J23"/>
  <c i="1" r="I23"/>
  <c i="1" r="G23"/>
  <c i="1" r="C23"/>
  <c i="1" r="J25"/>
  <c i="1" r="I25"/>
  <c i="1" r="G25"/>
  <c i="1" r="D25"/>
  <c i="1" r="C25"/>
  <c i="1" r="B25"/>
  <c i="1" r="F25"/>
  <c i="1" r="E25"/>
  <c i="12" r="S33"/>
  <c i="1" r="E23"/>
  <c i="1" r="D23"/>
  <c i="12" r="E23"/>
  <c i="12" r="E19"/>
  <c i="12" r="E18"/>
  <c i="12" r="R23"/>
  <c i="12" r="Q23"/>
  <c i="12" r="P23"/>
  <c i="12" r="R19"/>
  <c i="12" r="Q19"/>
  <c i="12" r="P19"/>
  <c i="12" r="R18"/>
  <c i="12" r="Q18"/>
  <c i="12" r="P18"/>
  <c i="12" r="L23"/>
  <c i="12" r="L19"/>
  <c i="12" r="L18"/>
  <c i="12" r="L7"/>
  <c i="12" r="L8"/>
  <c i="12" r="L12"/>
  <c i="1" r="T15"/>
  <c i="1" r="O15"/>
  <c i="1" r="N15"/>
  <c i="1" r="M15"/>
  <c i="1" r="I15"/>
  <c i="1" r="D15"/>
  <c i="1" r="C15"/>
  <c i="1" r="B15"/>
  <c i="1" r="J13"/>
  <c i="1" r="B26" s="1"/>
  <c i="1" r="U9"/>
  <c i="1" r="H22" s="1"/>
  <c i="1" r="U8"/>
  <c i="1" r="H21" s="1"/>
  <c i="1" r="U7"/>
  <c i="1" r="J7"/>
  <c i="1" l="1" r="C26"/>
  <c i="1" r="H20"/>
  <c i="1" r="G26"/>
  <c i="1" r="D26"/>
  <c i="1" r="F26"/>
  <c i="1" r="H26"/>
  <c i="1" r="E26"/>
  <c i="1" r="I26"/>
  <c i="1" r="J26"/>
  <c i="1" r="C22"/>
  <c i="1" r="D22"/>
  <c i="1" r="E22"/>
  <c i="1" r="G22"/>
  <c i="1" r="I22"/>
  <c i="1" r="B22"/>
  <c i="1" r="F22"/>
  <c i="1" r="J22"/>
  <c i="1" r="D20"/>
  <c i="1" r="G20"/>
  <c i="1" r="E20"/>
  <c i="1" r="C20"/>
  <c i="1" r="F20"/>
  <c i="1" r="E21"/>
  <c i="1" r="F21"/>
  <c i="1" r="B21"/>
  <c i="1" r="C21"/>
  <c i="1" r="D21"/>
  <c i="1" r="G21"/>
  <c i="1" r="I21"/>
  <c i="1" r="J21"/>
  <c i="12" r="S18"/>
  <c i="12" r="E24"/>
  <c i="12" r="E25" s="1"/>
  <c i="15" r="B18" s="1"/>
  <c i="15" r="F18" s="1"/>
  <c i="12" r="P24"/>
  <c i="12" r="S19"/>
  <c i="12" r="Q24"/>
  <c i="12" r="S23"/>
  <c i="12" r="R24"/>
  <c i="12" r="L13"/>
  <c i="12" r="L14" s="1"/>
  <c i="15" r="C17" s="1"/>
  <c i="12" r="L24"/>
  <c i="12" r="L25" s="1"/>
  <c i="15" r="C18" s="1"/>
  <c i="15" r="G18" s="1"/>
  <c i="1" r="U15"/>
  <c i="1" r="J15"/>
  <c i="1" r="J20"/>
  <c i="1" r="B20"/>
  <c i="1" r="I20"/>
  <c i="1" l="1" r="Q39"/>
  <c i="1" r="R39"/>
  <c i="1" r="S36"/>
  <c i="1" r="S38"/>
  <c i="1" r="M39"/>
  <c i="1" r="S34"/>
  <c i="1" r="S35"/>
  <c i="1" r="S39"/>
  <c i="1" r="N39"/>
  <c i="1" r="O39"/>
  <c i="1" r="S33"/>
  <c i="1" r="S37"/>
  <c i="1" r="P39"/>
  <c i="1" r="F39"/>
  <c i="1" r="C39"/>
  <c i="15" r="G17"/>
  <c i="1" r="H28"/>
  <c i="1" r="T40"/>
  <c i="1" r="N40"/>
  <c i="1" r="Q40"/>
  <c i="1" r="U40"/>
  <c i="1" r="T39"/>
  <c i="1" r="P40"/>
  <c i="1" r="M40"/>
  <c i="1" r="R40"/>
  <c i="1" r="O40"/>
  <c i="1" r="S40"/>
  <c i="1" r="S41"/>
  <c i="1" r="U39"/>
  <c i="12" r="L36"/>
  <c i="12" r="S25"/>
  <c i="1" r="R34"/>
  <c i="1" r="P35"/>
  <c i="1" r="M36"/>
  <c i="1" r="N36"/>
  <c i="1" r="P36"/>
  <c i="1" r="Q41"/>
  <c i="1" r="P37"/>
  <c i="1" r="Q38"/>
  <c i="1" r="I28"/>
  <c i="1" r="T36"/>
  <c i="1" r="R41"/>
  <c i="1" r="P33"/>
  <c i="1" r="R38"/>
  <c i="1" r="T38"/>
  <c i="1" r="Q33"/>
  <c i="1" r="M38"/>
  <c i="1" r="E28"/>
  <c i="1" r="P38"/>
  <c i="1" r="R33"/>
  <c i="1" r="P34"/>
  <c i="1" r="Q34"/>
  <c i="1" r="Q35"/>
  <c i="1" r="R35"/>
  <c i="1" r="O36"/>
  <c i="1" r="Q36"/>
  <c i="1" r="R36"/>
  <c i="1" r="M37"/>
  <c i="1" r="N37"/>
  <c i="1" r="Q37"/>
  <c i="1" r="P41"/>
  <c i="1" r="O37"/>
  <c i="1" r="R37"/>
  <c i="1" r="T37"/>
  <c i="1" r="C28"/>
  <c i="1" r="U37"/>
  <c i="1" r="D28"/>
  <c i="1" r="N38"/>
  <c i="1" r="F28"/>
  <c i="1" r="O38"/>
  <c i="1" r="G28"/>
  <c i="1" r="U38"/>
  <c i="1" r="U36"/>
  <c i="12" r="S24"/>
  <c i="1" r="N33"/>
  <c i="1" r="T34"/>
  <c i="1" r="M34"/>
  <c i="1" r="M33"/>
  <c i="1" r="U35"/>
  <c i="1" r="M35"/>
  <c i="1" r="U34"/>
  <c i="1" r="J28"/>
  <c i="1" r="E39" s="1"/>
  <c i="1" r="T35"/>
  <c i="1" r="N35"/>
  <c i="1" r="N41"/>
  <c i="1" r="O35"/>
  <c i="1" r="T33"/>
  <c i="1" r="U33"/>
  <c i="1" r="N34"/>
  <c i="1" r="M41"/>
  <c i="1" r="O33"/>
  <c i="1" r="U41"/>
  <c i="1" r="O34"/>
  <c i="1" r="O41"/>
  <c i="1" r="T41"/>
  <c i="1" r="B28"/>
  <c i="1" l="1" r="Y39"/>
  <c i="1" r="B39"/>
  <c i="1" r="X39" s="1"/>
  <c i="1" r="H37"/>
  <c i="1" r="AD37" s="1"/>
  <c i="1" r="H36"/>
  <c i="1" r="AD36" s="1"/>
  <c i="1" r="H34"/>
  <c i="1" r="H38"/>
  <c i="1" r="AD38" s="1"/>
  <c i="1" r="H35"/>
  <c i="1" r="AD35" s="1"/>
  <c i="1" r="AB39"/>
  <c i="1" r="G39"/>
  <c i="1" r="AC39" s="1"/>
  <c i="1" r="H39"/>
  <c i="1" r="AD39" s="1"/>
  <c i="1" r="H33"/>
  <c i="1" r="AD33" s="1"/>
  <c i="1" r="AA39"/>
  <c i="1" r="AD34"/>
  <c i="1" r="D39"/>
  <c i="1" r="Z39" s="1"/>
  <c i="1" r="I39"/>
  <c i="1" r="AE39" s="1"/>
  <c i="1" r="F35"/>
  <c i="1" r="AB35" s="1"/>
  <c i="1" r="H40"/>
  <c i="1" r="AD40" s="1"/>
  <c i="1" r="J39"/>
  <c i="1" r="AF39" s="1"/>
  <c i="1" r="H41"/>
  <c i="1" r="AD41" s="1"/>
  <c i="1" r="G35"/>
  <c i="1" r="AC35" s="1"/>
  <c i="1" r="G41"/>
  <c i="1" r="AC41" s="1"/>
  <c i="1" r="F40"/>
  <c i="1" r="AB40" s="1"/>
  <c i="1" r="E35"/>
  <c i="1" r="AA35" s="1"/>
  <c i="1" r="E41"/>
  <c i="1" r="AA41" s="1"/>
  <c i="1" r="E34"/>
  <c i="1" r="AA34" s="1"/>
  <c i="1" r="F41"/>
  <c i="1" r="AB41" s="1"/>
  <c i="1" r="F34"/>
  <c i="1" r="AB34" s="1"/>
  <c i="1" r="G33"/>
  <c i="1" r="AC33" s="1"/>
  <c i="1" r="B37"/>
  <c i="1" r="X37" s="1"/>
  <c i="1" r="B36"/>
  <c i="1" r="X36" s="1"/>
  <c i="1" r="I37"/>
  <c i="1" r="AE37" s="1"/>
  <c i="1" r="C37"/>
  <c i="1" r="Y37" s="1"/>
  <c i="1" r="J37"/>
  <c i="1" r="AF37" s="1"/>
  <c i="1" r="F38"/>
  <c i="1" r="AB38" s="1"/>
  <c i="1" r="F36"/>
  <c i="1" r="AB36" s="1"/>
  <c i="1" r="D37"/>
  <c i="1" r="Z37" s="1"/>
  <c i="1" r="E40"/>
  <c i="1" r="AA40" s="1"/>
  <c i="1" r="E36"/>
  <c i="1" r="AA36" s="1"/>
  <c i="1" r="I36"/>
  <c i="1" r="AE36" s="1"/>
  <c i="1" r="G36"/>
  <c i="1" r="AC36" s="1"/>
  <c i="1" r="J38"/>
  <c i="1" r="AF38" s="1"/>
  <c i="1" r="G40"/>
  <c i="1" r="AC40" s="1"/>
  <c i="1" r="C38"/>
  <c i="1" r="Y38" s="1"/>
  <c i="1" r="J36"/>
  <c i="1" r="AF36" s="1"/>
  <c i="1" r="I38"/>
  <c i="1" r="AE38" s="1"/>
  <c i="1" r="G37"/>
  <c i="1" r="AC37" s="1"/>
  <c i="1" r="F37"/>
  <c i="1" r="AB37" s="1"/>
  <c i="1" r="D36"/>
  <c i="1" r="Z36" s="1"/>
  <c i="1" r="E38"/>
  <c i="1" r="AA38" s="1"/>
  <c i="1" r="D38"/>
  <c i="1" r="Z38" s="1"/>
  <c i="1" r="G38"/>
  <c i="1" r="AC38" s="1"/>
  <c i="1" r="C36"/>
  <c i="1" r="Y36" s="1"/>
  <c i="1" r="E37"/>
  <c i="1" r="AA37" s="1"/>
  <c i="1" r="B38"/>
  <c i="1" r="X38" s="1"/>
  <c i="1" r="G34"/>
  <c i="1" r="AC34" s="1"/>
  <c i="1" r="F33"/>
  <c i="1" r="AB33" s="1"/>
  <c i="1" r="E33"/>
  <c i="1" r="AA33" s="1"/>
  <c i="1" r="D33"/>
  <c i="1" r="Z33" s="1"/>
  <c i="1" r="C33"/>
  <c i="1" r="Y33" s="1"/>
  <c i="1" r="D40"/>
  <c i="1" r="Z40" s="1"/>
  <c i="1" r="D35"/>
  <c i="1" r="Z35" s="1"/>
  <c i="1" r="J40"/>
  <c i="1" r="AF40" s="1"/>
  <c i="1" r="D41"/>
  <c i="1" r="Z41" s="1"/>
  <c i="1" r="B34"/>
  <c i="1" r="X34" s="1"/>
  <c i="1" r="I34"/>
  <c i="1" r="AE34" s="1"/>
  <c i="1" r="I35"/>
  <c i="1" r="AE35" s="1"/>
  <c i="1" r="C34"/>
  <c i="1" r="Y34" s="1"/>
  <c i="1" r="I41"/>
  <c i="1" r="AE41" s="1"/>
  <c i="1" r="B41"/>
  <c i="1" r="X41" s="1"/>
  <c i="1" r="C40"/>
  <c i="1" r="Y40" s="1"/>
  <c i="1" r="I40"/>
  <c i="1" r="AE40" s="1"/>
  <c i="1" r="J33"/>
  <c i="1" r="AF33" s="1"/>
  <c i="1" r="B33"/>
  <c i="1" r="X33" s="1"/>
  <c i="1" r="J34"/>
  <c i="1" r="AF34" s="1"/>
  <c i="1" r="B35"/>
  <c i="1" r="X35" s="1"/>
  <c i="1" r="J35"/>
  <c i="1" r="AF35" s="1"/>
  <c i="1" r="B40"/>
  <c i="1" r="X40" s="1"/>
  <c i="1" r="D34"/>
  <c i="1" r="Z34" s="1"/>
  <c i="1" r="I33"/>
  <c i="1" r="AE33" s="1"/>
  <c i="1" r="C35"/>
  <c i="1" r="Y35" s="1"/>
  <c i="1" r="J41"/>
  <c i="1" r="AF41" s="1"/>
  <c i="1" r="C41"/>
  <c i="1" r="Y41" s="1"/>
  <c i="12" r="R12"/>
  <c i="12" r="Q12"/>
  <c i="12" r="P12"/>
  <c i="12" r="R8"/>
  <c i="12" r="Q8"/>
  <c i="12" r="P8"/>
  <c i="12" r="R7"/>
  <c i="12" r="Q7"/>
  <c i="12" r="P7"/>
  <c i="12" l="1" r="K34"/>
  <c i="12" r="J34"/>
  <c i="12" r="I34"/>
  <c i="12" r="D34"/>
  <c i="12" r="C34"/>
  <c i="12" r="B34"/>
  <c i="12" r="K30"/>
  <c i="12" r="J30"/>
  <c i="12" r="I30"/>
  <c i="12" r="K29"/>
  <c i="12" r="J29"/>
  <c i="12" r="I29"/>
  <c i="12" r="D29"/>
  <c i="12" r="C29"/>
  <c i="12" r="B29"/>
  <c i="12" r="E12"/>
  <c i="12" r="S12" s="1"/>
  <c i="12" r="E8"/>
  <c i="12" r="E7"/>
  <c i="12" r="S7" s="1"/>
  <c i="10" r="J22"/>
  <c i="10" r="J21"/>
  <c i="10" r="J20"/>
  <c i="10" r="J19"/>
  <c i="10" r="J18"/>
  <c i="10" r="J17"/>
  <c i="10" r="J16"/>
  <c i="10" r="J15"/>
  <c i="10" r="J14"/>
  <c i="10" r="J13"/>
  <c i="10" r="J12"/>
  <c i="10" r="I11"/>
  <c i="10" r="J11"/>
  <c i="10" r="K11"/>
  <c i="10" r="B22"/>
  <c i="10" r="C22"/>
  <c i="10" r="D22"/>
  <c i="10" r="B21"/>
  <c i="10" r="C21"/>
  <c i="10" r="D21"/>
  <c i="10" r="B20"/>
  <c i="10" r="C20"/>
  <c i="10" r="D20"/>
  <c i="10" r="B19"/>
  <c i="10" r="C19"/>
  <c i="10" r="D19"/>
  <c i="10" r="B18"/>
  <c i="10" r="C18"/>
  <c i="10" r="D18"/>
  <c i="10" r="B17"/>
  <c i="10" r="C17"/>
  <c i="10" r="D17"/>
  <c i="10" r="B16"/>
  <c i="10" r="C16"/>
  <c i="10" r="D16"/>
  <c i="10" r="B15"/>
  <c i="10" r="C15"/>
  <c i="10" r="D15"/>
  <c i="10" r="B14"/>
  <c i="10" r="C14"/>
  <c i="10" r="D14"/>
  <c i="10" r="B13"/>
  <c i="10" r="C13"/>
  <c i="10" r="D13"/>
  <c i="10" r="B12"/>
  <c i="10" r="C12"/>
  <c i="10" r="D12"/>
  <c i="10" r="B11"/>
  <c i="10" r="C11"/>
  <c i="10" r="D11"/>
  <c i="3" r="E92"/>
  <c i="3" r="E93"/>
  <c i="3" r="E94"/>
  <c i="3" r="E95"/>
  <c i="3" r="E96"/>
  <c i="3" r="E97"/>
  <c i="3" r="E98"/>
  <c i="3" r="E99"/>
  <c i="3" r="E100"/>
  <c i="3" r="E38"/>
  <c i="3" r="E39"/>
  <c i="3" r="E40"/>
  <c i="3" r="E41"/>
  <c i="3" r="E42"/>
  <c i="3" r="E43"/>
  <c i="3" r="E44"/>
  <c i="3" r="E45"/>
  <c i="3" r="E46"/>
  <c i="3" r="E47"/>
  <c i="3" r="E48"/>
  <c i="3" r="E49"/>
  <c i="3" r="E50"/>
  <c i="3" r="E51"/>
  <c i="3" r="E52"/>
  <c i="3" r="E53"/>
  <c i="3" r="E54"/>
  <c i="3" r="E55"/>
  <c i="3" r="E56"/>
  <c i="3" r="E57"/>
  <c i="3" r="E58"/>
  <c i="3" r="E59"/>
  <c i="3" r="E60"/>
  <c i="3" r="E61"/>
  <c i="3" r="E62"/>
  <c i="3" r="E63"/>
  <c i="3" r="E64"/>
  <c i="3" r="E65"/>
  <c i="3" r="E66"/>
  <c i="3" r="E67"/>
  <c i="3" r="E68"/>
  <c i="3" r="E69"/>
  <c i="3" r="E70"/>
  <c i="3" r="E71"/>
  <c i="3" r="E72"/>
  <c i="3" r="E73"/>
  <c i="3" r="E74"/>
  <c i="3" r="E75"/>
  <c i="3" r="E76"/>
  <c i="3" r="E77"/>
  <c i="3" r="E78"/>
  <c i="3" r="E79"/>
  <c i="3" r="E80"/>
  <c i="3" r="E81"/>
  <c i="3" r="E82"/>
  <c i="3" r="E83"/>
  <c i="3" r="E84"/>
  <c i="3" r="E85"/>
  <c i="3" r="E86"/>
  <c i="3" r="E87"/>
  <c i="3" r="E88"/>
  <c i="3" r="E89"/>
  <c i="3" r="E90"/>
  <c i="3" r="E91"/>
  <c i="3" r="E23"/>
  <c i="3" r="E24"/>
  <c i="3" r="E25"/>
  <c i="3" r="E26"/>
  <c i="3" r="E27"/>
  <c i="3" r="E28"/>
  <c i="3" r="E29"/>
  <c i="3" r="E30"/>
  <c i="3" r="E31"/>
  <c i="3" r="E32"/>
  <c i="3" r="E33"/>
  <c i="3" r="E34"/>
  <c i="3" r="E35"/>
  <c i="3" r="E36"/>
  <c i="3" r="E37"/>
  <c i="3" r="E12"/>
  <c i="3" r="E13"/>
  <c i="3" r="E14"/>
  <c i="3" r="E15"/>
  <c i="3" r="E16"/>
  <c i="3" r="E17"/>
  <c i="3" r="E18"/>
  <c i="3" r="E19"/>
  <c i="3" r="E20"/>
  <c i="3" r="E21"/>
  <c i="3" r="E22"/>
  <c i="3" r="E11"/>
  <c i="12" l="1" r="P13"/>
  <c i="12" r="B14"/>
  <c i="12" r="Q13"/>
  <c i="12" r="C14"/>
  <c i="12" r="R13"/>
  <c i="12" r="D14"/>
  <c i="12" r="S8"/>
  <c i="12" r="E30"/>
  <c i="12" r="P29"/>
  <c i="12" r="R30"/>
  <c i="12" r="R34"/>
  <c i="12" r="Q30"/>
  <c i="12" r="Q34"/>
  <c i="12" r="Q29"/>
  <c i="12" r="R29"/>
  <c i="12" r="P30"/>
  <c i="12" r="P34"/>
  <c i="12" r="I35"/>
  <c i="12" r="L30"/>
  <c i="12" r="L34"/>
  <c i="12" r="D35"/>
  <c i="12" r="K35"/>
  <c i="12" r="E34"/>
  <c i="12" r="C35"/>
  <c i="12" r="J35"/>
  <c i="12" r="L29"/>
  <c i="12" r="B35"/>
  <c i="12" r="E13"/>
  <c i="12" r="E29"/>
  <c i="12" r="L35"/>
  <c i="12" l="1" r="D36"/>
  <c i="12" r="R36" s="1"/>
  <c i="12" r="R14"/>
  <c i="12" r="Q14"/>
  <c i="12" r="C36"/>
  <c i="12" r="Q36" s="1"/>
  <c i="12" r="B36"/>
  <c i="12" r="P36" s="1"/>
  <c i="12" r="P14"/>
  <c i="12" r="S13"/>
  <c i="12" r="E14"/>
  <c i="15" r="B17" s="1"/>
  <c i="15" r="F17" s="1"/>
  <c i="15" r="J17" s="1"/>
  <c i="15" r="K17" s="1"/>
  <c i="15" r="M17" s="1"/>
  <c i="15" r="U33" s="1"/>
  <c i="12" r="Q35"/>
  <c i="12" r="R35"/>
  <c i="12" r="P35"/>
  <c i="12" r="S29"/>
  <c i="12" r="S30"/>
  <c i="12" r="S34"/>
  <c i="12" r="E35"/>
  <c i="12" r="S35" s="1"/>
  <c i="4" r="K11"/>
  <c i="4" r="K101"/>
  <c i="4" r="K100"/>
  <c i="4" r="K99"/>
  <c i="4" r="K98"/>
  <c i="4" r="K97"/>
  <c i="4" r="K96"/>
  <c i="4" r="K95"/>
  <c i="4" r="K94"/>
  <c i="4" r="K93"/>
  <c i="4" r="K92"/>
  <c i="4" r="K91"/>
  <c i="4" r="K90"/>
  <c i="4" r="K89"/>
  <c i="4" r="K88"/>
  <c i="4" r="K87"/>
  <c i="4" r="K86"/>
  <c i="4" r="K85"/>
  <c i="4" r="K84"/>
  <c i="4" r="K83"/>
  <c i="4" r="K82"/>
  <c i="4" r="K81"/>
  <c i="4" r="K80"/>
  <c i="4" r="K79"/>
  <c i="4" r="K78"/>
  <c i="4" r="K77"/>
  <c i="4" r="K76"/>
  <c i="4" r="K75"/>
  <c i="4" r="K74"/>
  <c i="4" r="K73"/>
  <c i="4" r="K72"/>
  <c i="4" r="K71"/>
  <c i="4" r="K70"/>
  <c i="4" r="K69"/>
  <c i="4" r="K68"/>
  <c i="4" r="K67"/>
  <c i="4" r="K66"/>
  <c i="4" r="K65"/>
  <c i="4" r="K64"/>
  <c i="4" r="K63"/>
  <c i="4" r="K62"/>
  <c i="4" r="K61"/>
  <c i="4" r="K60"/>
  <c i="4" r="K59"/>
  <c i="4" r="K58"/>
  <c i="4" r="K57"/>
  <c i="4" r="K56"/>
  <c i="4" r="K55"/>
  <c i="4" r="K54"/>
  <c i="4" r="K53"/>
  <c i="4" r="K52"/>
  <c i="4" r="K51"/>
  <c i="4" r="K50"/>
  <c i="4" r="K49"/>
  <c i="4" r="K48"/>
  <c i="4" r="K47"/>
  <c i="4" r="K46"/>
  <c i="4" r="K45"/>
  <c i="4" r="K44"/>
  <c i="4" r="K43"/>
  <c i="4" r="K42"/>
  <c i="4" r="K41"/>
  <c i="4" r="K40"/>
  <c i="4" r="K39"/>
  <c i="4" r="K38"/>
  <c i="4" r="K37"/>
  <c i="4" r="K36"/>
  <c i="4" r="K35"/>
  <c i="4" r="K34"/>
  <c i="4" r="K33"/>
  <c i="4" r="K32"/>
  <c i="4" r="K31"/>
  <c i="4" r="K30"/>
  <c i="4" r="K29"/>
  <c i="4" r="K28"/>
  <c i="4" r="K27"/>
  <c i="4" r="K26"/>
  <c i="4" r="K25"/>
  <c i="4" r="K24"/>
  <c i="4" r="K23"/>
  <c i="4" r="K22"/>
  <c i="4" r="K21"/>
  <c i="4" r="K20"/>
  <c i="4" r="K19"/>
  <c i="4" r="K18"/>
  <c i="4" r="K17"/>
  <c i="4" r="K16"/>
  <c i="4" r="K15"/>
  <c i="4" r="K14"/>
  <c i="4" r="K13"/>
  <c i="4" r="K12"/>
  <c i="3" r="K101"/>
  <c i="3" r="K12"/>
  <c i="3" r="K13"/>
  <c i="3" r="K14"/>
  <c i="3" r="K15"/>
  <c i="3" r="K16"/>
  <c i="3" r="K17"/>
  <c i="3" r="K18"/>
  <c i="3" r="K19"/>
  <c i="3" r="K20"/>
  <c i="3" r="K21"/>
  <c i="3" r="K22"/>
  <c i="3" r="K23"/>
  <c i="3" r="K24"/>
  <c i="3" r="K25"/>
  <c i="3" r="K26"/>
  <c i="3" r="K27"/>
  <c i="3" r="K28"/>
  <c i="3" r="K29"/>
  <c i="3" r="K30"/>
  <c i="3" r="K31"/>
  <c i="3" r="K32"/>
  <c i="3" r="K33"/>
  <c i="3" r="K34"/>
  <c i="3" r="K35"/>
  <c i="3" r="K36"/>
  <c i="3" r="K37"/>
  <c i="3" r="K38"/>
  <c i="3" r="K39"/>
  <c i="3" r="K40"/>
  <c i="3" r="K41"/>
  <c i="3" r="K42"/>
  <c i="3" r="K43"/>
  <c i="3" r="K44"/>
  <c i="3" r="K45"/>
  <c i="3" r="K46"/>
  <c i="3" r="K47"/>
  <c i="3" r="K48"/>
  <c i="3" r="K49"/>
  <c i="3" r="K50"/>
  <c i="3" r="K51"/>
  <c i="3" r="K52"/>
  <c i="3" r="K53"/>
  <c i="3" r="K54"/>
  <c i="3" r="K55"/>
  <c i="3" r="K56"/>
  <c i="3" r="K57"/>
  <c i="3" r="K58"/>
  <c i="3" r="K59"/>
  <c i="3" r="K60"/>
  <c i="3" r="K61"/>
  <c i="3" r="K62"/>
  <c i="3" r="K63"/>
  <c i="3" r="K64"/>
  <c i="3" r="K65"/>
  <c i="3" r="K66"/>
  <c i="3" r="K67"/>
  <c i="3" r="K68"/>
  <c i="3" r="K69"/>
  <c i="3" r="K70"/>
  <c i="3" r="K71"/>
  <c i="3" r="K72"/>
  <c i="3" r="K73"/>
  <c i="3" r="K74"/>
  <c i="3" r="K75"/>
  <c i="3" r="K76"/>
  <c i="3" r="K77"/>
  <c i="3" r="K78"/>
  <c i="3" r="K79"/>
  <c i="3" r="K80"/>
  <c i="3" r="K81"/>
  <c i="3" r="K82"/>
  <c i="3" r="K83"/>
  <c i="3" r="K84"/>
  <c i="3" r="K85"/>
  <c i="3" r="K86"/>
  <c i="3" r="K87"/>
  <c i="3" r="K88"/>
  <c i="3" r="K89"/>
  <c i="3" r="K90"/>
  <c i="3" r="K91"/>
  <c i="3" r="K92"/>
  <c i="3" r="K93"/>
  <c i="3" r="K94"/>
  <c i="3" r="K95"/>
  <c i="3" r="K96"/>
  <c i="3" r="K97"/>
  <c i="3" r="K98"/>
  <c i="3" r="K99"/>
  <c i="3" r="K100"/>
  <c i="3" r="K11"/>
  <c i="12" l="1" r="S14"/>
  <c i="12" r="E36"/>
  <c i="12" r="S36" s="1"/>
  <c i="10" r="L11"/>
  <c i="10" l="1" r="I22"/>
  <c i="10" r="K22"/>
  <c i="10" r="I21"/>
  <c i="10" r="K21"/>
  <c i="10" r="I20"/>
  <c i="10" r="K20"/>
  <c i="10" r="I19"/>
  <c i="10" r="K19"/>
  <c i="10" r="I18"/>
  <c i="10" r="K18"/>
  <c i="10" r="I17"/>
  <c i="10" r="K17"/>
  <c i="10" r="I16"/>
  <c i="10" r="K16"/>
  <c i="10" r="I15"/>
  <c i="10" r="K15"/>
  <c i="10" r="I14"/>
  <c i="10" r="K14"/>
  <c i="10" r="I13"/>
  <c i="10" r="K13"/>
  <c i="10" r="I12"/>
  <c i="10" r="K12"/>
  <c i="10" r="L22"/>
  <c i="10" l="1" r="L15"/>
  <c i="10" r="L21"/>
  <c i="10" r="L19"/>
  <c i="10" r="L20"/>
  <c i="10" r="L17"/>
  <c i="10" r="L16"/>
  <c i="10" r="L13"/>
  <c i="10" r="L12"/>
  <c i="10" r="L18"/>
  <c i="10" r="L14"/>
  <c i="4" r="E12"/>
  <c i="4" r="E13"/>
  <c i="4" r="E14"/>
  <c i="4" r="E15"/>
  <c i="4" r="E16"/>
  <c i="4" r="E17"/>
  <c i="4" r="E18"/>
  <c i="4" r="E19"/>
  <c i="4" r="E20"/>
  <c i="4" r="E21"/>
  <c i="4" r="E22"/>
  <c i="4" r="E23"/>
  <c i="4" r="E24"/>
  <c i="4" r="E25"/>
  <c i="4" r="E26"/>
  <c i="4" r="E27"/>
  <c i="4" r="E28"/>
  <c i="4" r="E29"/>
  <c i="4" r="E30"/>
  <c i="4" r="E31"/>
  <c i="4" r="E32"/>
  <c i="4" r="E33"/>
  <c i="4" r="E34"/>
  <c i="4" r="E35"/>
  <c i="4" r="E36"/>
  <c i="4" r="E37"/>
  <c i="4" r="E38"/>
  <c i="4" r="E39"/>
  <c i="4" r="E40"/>
  <c i="4" r="E41"/>
  <c i="4" r="E42"/>
  <c i="4" r="E43"/>
  <c i="4" r="E44"/>
  <c i="4" r="E45"/>
  <c i="4" r="E46"/>
  <c i="4" r="E47"/>
  <c i="4" r="E48"/>
  <c i="4" r="E49"/>
  <c i="4" r="E50"/>
  <c i="4" r="E51"/>
  <c i="4" r="E52"/>
  <c i="4" r="E53"/>
  <c i="4" r="E54"/>
  <c i="4" r="E55"/>
  <c i="4" r="E56"/>
  <c i="4" r="E57"/>
  <c i="4" r="E58"/>
  <c i="4" r="E59"/>
  <c i="4" r="E60"/>
  <c i="4" r="E61"/>
  <c i="4" r="E62"/>
  <c i="4" r="E63"/>
  <c i="4" r="E64"/>
  <c i="4" r="E65"/>
  <c i="4" r="E66"/>
  <c i="4" r="E67"/>
  <c i="4" r="E68"/>
  <c i="4" r="E69"/>
  <c i="4" r="E70"/>
  <c i="4" r="E71"/>
  <c i="4" r="E72"/>
  <c i="4" r="E73"/>
  <c i="4" r="E74"/>
  <c i="4" r="E75"/>
  <c i="4" r="E76"/>
  <c i="4" r="E77"/>
  <c i="4" r="E78"/>
  <c i="4" r="E79"/>
  <c i="4" r="E80"/>
  <c i="4" r="E81"/>
  <c i="4" r="E82"/>
  <c i="4" r="E83"/>
  <c i="4" r="E84"/>
  <c i="4" r="E85"/>
  <c i="4" r="E86"/>
  <c i="4" r="E87"/>
  <c i="4" r="E88"/>
  <c i="4" r="E89"/>
  <c i="4" r="E90"/>
  <c i="4" r="E91"/>
  <c i="4" r="E92"/>
  <c i="4" r="E93"/>
  <c i="4" r="E94"/>
  <c i="4" r="E95"/>
  <c i="4" r="E96"/>
  <c i="4" r="E97"/>
  <c i="4" r="E98"/>
  <c i="4" r="E99"/>
  <c i="4" r="E100"/>
  <c i="4" r="E101"/>
  <c i="10" r="E22" s="1"/>
  <c i="4" r="E11"/>
  <c i="3" r="E101"/>
  <c i="10" l="1" r="E11"/>
  <c i="10" r="E20"/>
  <c i="10" r="E21"/>
  <c i="10" r="E19"/>
  <c i="10" r="E15"/>
  <c i="10" r="E16"/>
  <c i="10" r="E12"/>
  <c i="10" r="E17"/>
  <c i="10" r="E13"/>
  <c i="10" r="E18"/>
  <c i="10" r="E14"/>
</calcChain>
</file>

<file path=xl/sharedStrings.xml><?xml version="1.0" encoding="utf-8"?>
<sst xmlns="http://schemas.openxmlformats.org/spreadsheetml/2006/main" count="673" uniqueCount="260">
  <si>
    <t>Trip Duration Frequency Distribution</t>
  </si>
  <si>
    <t>Trip Length Frequency Distribution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</si>
  <si>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</si>
  <si>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</si>
  <si>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</si>
  <si>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</si>
  <si>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</si>
  <si>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</si>
  <si>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</si>
  <si>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</si>
  <si>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</si>
  <si>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</si>
  <si>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</si>
  <si>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Time (min)</t>
  </si>
  <si>
    <t>Aggregate Trip Duration Frequency Distribution</t>
  </si>
  <si>
    <t>Less than 5</t>
  </si>
  <si>
    <t>5 to 9</t>
  </si>
  <si>
    <t>10 to 14</t>
  </si>
  <si>
    <t>15 to 19</t>
  </si>
  <si>
    <t>20 to 24</t>
  </si>
  <si>
    <t>25 to 29</t>
  </si>
  <si>
    <t>30 to 34</t>
  </si>
  <si>
    <t>35 to 39</t>
  </si>
  <si>
    <t>40 to 44</t>
  </si>
  <si>
    <t>45 to 59</t>
  </si>
  <si>
    <t>60 to 89</t>
  </si>
  <si>
    <t>90 or more</t>
  </si>
  <si>
    <t>County-level School Flows</t>
  </si>
  <si>
    <t>Table X. Estimated Student Flows by County</t>
  </si>
  <si>
    <t>County-level Work at Home Shares</t>
  </si>
  <si>
    <t>A person is assumed to work from home if the HH coordinates are exactly the same as the usual workplace coordinates</t>
  </si>
  <si>
    <t>Table X. Estimated Counts by County</t>
  </si>
  <si>
    <t>Table X. Estimated School at Home Counts by County</t>
  </si>
  <si>
    <t>Table X. Estimated School at Home Shares by County</t>
  </si>
  <si>
    <t>Table X. Average Trip Length</t>
  </si>
  <si>
    <t>DaySim</t>
  </si>
  <si>
    <t>Table X. Average Trip Duration</t>
  </si>
  <si>
    <t>Table X. Estimated-Observed Student Flows by County</t>
  </si>
  <si>
    <t>ESTIMATED STUDENT FLOWS</t>
  </si>
  <si>
    <t>EST-OBS STUDENT FLOWS</t>
  </si>
  <si>
    <t>AVG TRIP LENGTH</t>
  </si>
  <si>
    <t>Ch515</t>
  </si>
  <si>
    <t>Stu16</t>
  </si>
  <si>
    <t>Unistu</t>
  </si>
  <si>
    <t>NHTS Preparation</t>
  </si>
  <si>
    <t>Steps for generating distributions of commute time and distance</t>
  </si>
  <si>
    <t>AM Auto skims (time and distance) were merged into person file using origin (HH) and destination (school) TAZ ids</t>
  </si>
  <si>
    <t>In NHTS data, persons whose home coordinates matched their usual school coordinates were filtered out since this would mean they study at home</t>
  </si>
  <si>
    <t>In case of DaySim, home and school parcel IDs were matched to filter out school at home cases</t>
  </si>
  <si>
    <t>Distributions of HH TAZ -to- School TAZ distance and time were then derived from the population</t>
  </si>
  <si>
    <t>In NHTS, PPTYP was used to determine the class of student whereas in DaySim, PERSTYPE was used</t>
  </si>
  <si>
    <t>Ch04</t>
  </si>
  <si>
    <t>UniStu</t>
  </si>
  <si>
    <t>5-15 yrs</t>
  </si>
  <si>
    <t>0-4 yrs</t>
  </si>
  <si>
    <t>16+ yrs</t>
  </si>
  <si>
    <t>University and adult students</t>
  </si>
  <si>
    <t>PPTYP = 8</t>
  </si>
  <si>
    <t>PPTYP = 7</t>
  </si>
  <si>
    <t>PPTYP = 6</t>
  </si>
  <si>
    <t>PPTYP &gt;= 1 and PPTYP &lt;= 5</t>
  </si>
  <si>
    <t>Steps for generating county student flows</t>
  </si>
  <si>
    <t>Home and school county codes were merged using a correspondence between TAZs and counties</t>
  </si>
  <si>
    <t>A crosstabulation of home and school counties created the student flow table</t>
  </si>
  <si>
    <t>Steps for generating school at home shares</t>
  </si>
  <si>
    <t>All persons for whom a non-zero usual school location (coordinates/TAZ for NHTS and DaySim respectively) existed were designated as the pool of students</t>
  </si>
  <si>
    <t>Within those, persons with same home and school coordinates/parcels (for NHTS and DaySim respectively) were assumed to be studying at home</t>
  </si>
  <si>
    <t>The shares were calculated as the ratio of the values in steps 2 and 1 and were segmented by county and the four student types</t>
  </si>
  <si>
    <t>Table X. Difference School at Home Counts by County</t>
  </si>
  <si>
    <t>Table X. Difference Counts by County</t>
  </si>
  <si>
    <t>Table X. Difference School at Home Shares by County</t>
  </si>
  <si>
    <t>Beta00001</t>
  </si>
  <si>
    <t>T</t>
  </si>
  <si>
    <t>Beta00002</t>
  </si>
  <si>
    <t>Beta00003</t>
  </si>
  <si>
    <t>Beta00004</t>
  </si>
  <si>
    <t>Beta00005</t>
  </si>
  <si>
    <t>Beta00006</t>
  </si>
  <si>
    <t>Beta00007</t>
  </si>
  <si>
    <t>Beta00008</t>
  </si>
  <si>
    <t>Beta00009</t>
  </si>
  <si>
    <t>Beta00010</t>
  </si>
  <si>
    <t>Beta00011</t>
  </si>
  <si>
    <t>Beta00012</t>
  </si>
  <si>
    <t>Beta00013</t>
  </si>
  <si>
    <t>Beta00014</t>
  </si>
  <si>
    <t>Beta00015</t>
  </si>
  <si>
    <t>Beta00016</t>
  </si>
  <si>
    <t>Beta00017</t>
  </si>
  <si>
    <t>Beta00018</t>
  </si>
  <si>
    <t>Beta00019</t>
  </si>
  <si>
    <t>Beta00020</t>
  </si>
  <si>
    <t>Beta00021</t>
  </si>
  <si>
    <t>Beta00030</t>
  </si>
  <si>
    <t>Beta00031</t>
  </si>
  <si>
    <t>Beta00032</t>
  </si>
  <si>
    <t>Beta00033</t>
  </si>
  <si>
    <t>Beta00034</t>
  </si>
  <si>
    <t>Beta00035</t>
  </si>
  <si>
    <t>Beta00036</t>
  </si>
  <si>
    <t>Beta00037</t>
  </si>
  <si>
    <t>Beta00038</t>
  </si>
  <si>
    <t>Beta00050</t>
  </si>
  <si>
    <t>F</t>
  </si>
  <si>
    <t>Beta00051</t>
  </si>
  <si>
    <t>Beta00052</t>
  </si>
  <si>
    <t>LSM_060</t>
  </si>
  <si>
    <t>Gamma61</t>
  </si>
  <si>
    <t>Gamma62</t>
  </si>
  <si>
    <t>Gamma63</t>
  </si>
  <si>
    <t>Gamma64</t>
  </si>
  <si>
    <t>Gamma65</t>
  </si>
  <si>
    <t>Gamma66</t>
  </si>
  <si>
    <t>Gamma67</t>
  </si>
  <si>
    <t>Gamma68</t>
  </si>
  <si>
    <t>Gamma69</t>
  </si>
  <si>
    <t>Gamma70</t>
  </si>
  <si>
    <t>Gamma71</t>
  </si>
  <si>
    <t>Gamma72</t>
  </si>
  <si>
    <t>Gamma73</t>
  </si>
  <si>
    <t>Gamma74</t>
  </si>
  <si>
    <t>Gamma75</t>
  </si>
  <si>
    <t>Gamma76</t>
  </si>
  <si>
    <t>Gamma77</t>
  </si>
  <si>
    <t>Gamma78</t>
  </si>
  <si>
    <t>Gamma79</t>
  </si>
  <si>
    <t>Gamma80</t>
  </si>
  <si>
    <t>Gamma81</t>
  </si>
  <si>
    <t>Gamma82</t>
  </si>
  <si>
    <t>Gamma83</t>
  </si>
  <si>
    <t>Gamma84</t>
  </si>
  <si>
    <t>Gamma0098</t>
  </si>
  <si>
    <t>Nest</t>
  </si>
  <si>
    <t>Index</t>
  </si>
  <si>
    <t>Descr</t>
  </si>
  <si>
    <t>Coeff</t>
  </si>
  <si>
    <t>IsStudentAge</t>
  </si>
  <si>
    <t>Household.Size</t>
  </si>
  <si>
    <t>IsAdult ? destinationParcel.ShadowPriceForStudentsUniversity : destinationParcel.ShadowPriceForStudentsK12</t>
  </si>
  <si>
    <t>IsChildUnder5* schoolTourLogsum</t>
  </si>
  <si>
    <t>IsChildAge5Through15* schoolTourLogsum</t>
  </si>
  <si>
    <t>IsDrivingAgeStudent* schoolTourLogsum</t>
  </si>
  <si>
    <t>IsUniversityStudent* schoolTourLogsum</t>
  </si>
  <si>
    <t>IsChildUnder5* distance1</t>
  </si>
  <si>
    <t>IsChildUnder5* distance2</t>
  </si>
  <si>
    <t>IsChildUnder5* distance3</t>
  </si>
  <si>
    <t>IsChildAge5Through15* distance1</t>
  </si>
  <si>
    <t>IsChildAge5Through15* distance2</t>
  </si>
  <si>
    <t>IsChildAge5Through15* distance3</t>
  </si>
  <si>
    <t>IsDrivingAgeStudent* distanceLog</t>
  </si>
  <si>
    <t>IsUniversityStudent* distanceLog</t>
  </si>
  <si>
    <t>IsChildUnder5* aggregateLogsum</t>
  </si>
  <si>
    <t>IsChildAge5Through15* aggregateLogsum</t>
  </si>
  <si>
    <t>IsDrivingAgeStudent* aggregateLogsum</t>
  </si>
  <si>
    <t>IsUniversityStudent* aggregateLogsum</t>
  </si>
  <si>
    <t>IsChildUnder5* householdsBuffer2</t>
  </si>
  <si>
    <t>IsChildUnder5* studentsHighSchoolBuffer1</t>
  </si>
  <si>
    <t>IsChildUnder5* employmentTotalBuffer2</t>
  </si>
  <si>
    <t>IsChildAge5Through15* studentsK8Buffer1</t>
  </si>
  <si>
    <t>IsDrivingAgeStudent* studentsHighSchoolBuffer1</t>
  </si>
  <si>
    <t>IsUniversityStudent* educationBuffer1</t>
  </si>
  <si>
    <t>IsAdult* studentsUniversityBuffer1</t>
  </si>
  <si>
    <t>IsAdult* studentsUniversityBuffer2</t>
  </si>
  <si>
    <t>IsAdult* studentsK8Buffer1</t>
  </si>
  <si>
    <t>IsChildUnder5* destinationParcel.EmploymentEducation</t>
  </si>
  <si>
    <t>IsChildUnder5* destinationParcel.EmploymentService</t>
  </si>
  <si>
    <t>IsChildUnder5* destinationParcel.EmploymentOffice</t>
  </si>
  <si>
    <t>IsChildUnder5* destinationParcel.EmploymentTotal</t>
  </si>
  <si>
    <t>IsChildUnder5* 10.0 * destinationParcel.Households</t>
  </si>
  <si>
    <t>IsChildUnder5* destinationParcel.StudentsK8</t>
  </si>
  <si>
    <t>IsChildAge5Through15* destinationParcel.EmploymentEducation</t>
  </si>
  <si>
    <t>IsChildAge5Through15* destinationParcel.EmploymentService</t>
  </si>
  <si>
    <t>IsChildAge5Through15* destinationParcel.StudentsHighSchool</t>
  </si>
  <si>
    <t>IsChildAge5Through15* destinationParcel.EmploymentTotal</t>
  </si>
  <si>
    <t>IsChildAge5Through15* 10.0 * destinationParcel.Households</t>
  </si>
  <si>
    <t>IsChildAge5Through15* destinationParcel.StudentsK8</t>
  </si>
  <si>
    <t>IsDrivingAgeStudent* destinationParcel.EmploymentEducation</t>
  </si>
  <si>
    <t>IsDrivingAgeStudent* destinationParcel.EmploymentService</t>
  </si>
  <si>
    <t>IsDrivingAgeStudent* destinationParcel.EmploymentOffice</t>
  </si>
  <si>
    <t>IsDrivingAgeStudent* destinationParcel.EmploymentTotal</t>
  </si>
  <si>
    <t>IsDrivingAgeStudent* 10.0 * destinationParcel.Households</t>
  </si>
  <si>
    <t>IsDrivingAgeStudent* destinationParcel.StudentsHighSchool</t>
  </si>
  <si>
    <t>IsAdult* destinationParcel.EmploymentEducation</t>
  </si>
  <si>
    <t>IsAdult* destinationParcel.EmploymentService</t>
  </si>
  <si>
    <t>IsAdult* destinationParcel.EmploymentOffice</t>
  </si>
  <si>
    <t>IsAdult* destinationParcel.EmploymentTotal</t>
  </si>
  <si>
    <t>IsAdult* destinationParcel.StudentsUniversity</t>
  </si>
  <si>
    <t>IsAdult* destinationParcel.StudentsHighSchool</t>
  </si>
  <si>
    <t>IsStudentAge* schoolTourLogsum</t>
  </si>
  <si>
    <t>IsStudentAge* distanceLog</t>
  </si>
  <si>
    <t>IsStudentAge* distanceFromWork</t>
  </si>
  <si>
    <t>IsStudentAge* aggregateLogsum</t>
  </si>
  <si>
    <t>Table X. Observed Trip Lengths: Survey</t>
  </si>
  <si>
    <t>Table X. Observed Trip Durations: Survey</t>
  </si>
  <si>
    <t>Table X. Observed Student Flows by County: Survey</t>
  </si>
  <si>
    <t>Table X. Observed Student Flows by County: Survey (Adjusted)</t>
  </si>
  <si>
    <t>ADJ OBS STUDENT FLOWS: Survey</t>
  </si>
  <si>
    <t>Table X. Weighted Counts by County: Survey</t>
  </si>
  <si>
    <t>Table X. Weighted School at Home Shares by County: Survey</t>
  </si>
  <si>
    <t>Table X. Weighted School at Home Counts by County: Survey</t>
  </si>
  <si>
    <t>Survey</t>
  </si>
  <si>
    <t>Instructions:</t>
  </si>
  <si>
    <t>Open "WorkLocationCoefficients_SACOG-v1.5.F12" ini Notepad+</t>
  </si>
  <si>
    <t>Select all(ctrl+A)</t>
  </si>
  <si>
    <t>Paste in cell A8</t>
  </si>
  <si>
    <t>Go to "Data" --&gt;Text to Columns - Select "Delimited" ---&gt; "Space" ---&gt; Finish</t>
  </si>
  <si>
    <t>SchoolLocation</t>
  </si>
  <si>
    <t>(svn</t>
  </si>
  <si>
    <t>v1801;</t>
  </si>
  <si>
    <t>SACOG2000</t>
  </si>
  <si>
    <t>MNL</t>
  </si>
  <si>
    <t>v1902,</t>
  </si>
  <si>
    <t>NL</t>
  </si>
  <si>
    <t>v2001)</t>
  </si>
  <si>
    <t>Created</t>
  </si>
  <si>
    <t>by</t>
  </si>
  <si>
    <t>ALOGIT</t>
  </si>
  <si>
    <t>version</t>
  </si>
  <si>
    <t>on</t>
  </si>
  <si>
    <t>May</t>
  </si>
  <si>
    <t>END</t>
  </si>
  <si>
    <t>012:08:36</t>
  </si>
  <si>
    <t>Count</t>
  </si>
  <si>
    <t>Model</t>
  </si>
  <si>
    <t>CH515(0-1)</t>
  </si>
  <si>
    <t>SAH</t>
  </si>
  <si>
    <t>CH515(1-5)</t>
  </si>
  <si>
    <t>CH515(5+)</t>
  </si>
  <si>
    <t>Ratio</t>
  </si>
  <si>
    <t>Adj.</t>
  </si>
  <si>
    <t>Old Coeff.</t>
  </si>
  <si>
    <t>New Coeff.</t>
  </si>
  <si>
    <t>Coeff. Index</t>
  </si>
  <si>
    <t>Old</t>
  </si>
  <si>
    <t>New</t>
  </si>
  <si>
    <t>SchoolLocationCoefficients_SACOG-v1.8.F12</t>
  </si>
  <si>
    <t>(Do the paste in UltraEdit, in column mode from 20-38)</t>
  </si>
  <si>
    <t>Paste in the "SchoolLocationCoefficients_SACOG-v1.8.F12"</t>
  </si>
  <si>
    <t>School At Home</t>
  </si>
  <si>
    <t>Copy cells U3:U62</t>
  </si>
  <si>
    <t>Share</t>
  </si>
  <si>
    <t>Calibration:</t>
  </si>
  <si>
    <t>Do School at home calibration first</t>
  </si>
  <si>
    <t>Then do distance segmented coefficients</t>
  </si>
  <si>
    <t>Attenuation factors</t>
  </si>
  <si>
    <t>This column added after figuring that lower bin affecting the adjustments a lot</t>
  </si>
  <si>
    <t>Also, third bin seems to be more sensitive</t>
  </si>
  <si>
    <t>Observed Sources: Survey</t>
  </si>
  <si>
    <t>Observed distance (in miles) based on joining AM peak SOV skim values to HH survey</t>
  </si>
  <si>
    <t>Observed duration (in minutes) based on joining  AM peak SOV skim values to HH survey</t>
  </si>
  <si>
    <t xml:space="preserve">Observed Sources: Survey </t>
  </si>
  <si>
    <t>Observed duration (in minutes) based on joining AM peak SOV skim values to HH survey</t>
  </si>
  <si>
    <t>BKRCast (LODES)</t>
  </si>
  <si>
    <t>Seattle</t>
  </si>
  <si>
    <t>Bellevue</t>
  </si>
  <si>
    <t>Bellevue Downtown</t>
  </si>
  <si>
    <t>Kirkland</t>
  </si>
  <si>
    <t>Redmond</t>
  </si>
  <si>
    <t>Seattle Downtown</t>
  </si>
  <si>
    <t>Rest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</si>
</sst>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"/>
    <numFmt numFmtId="168" formatCode="_(* #,##0_);_(* \(#,##0\);_(* &quot;-&quot;??_);_(@_)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9">
    <xf borderId="0" fillId="0" fontId="0" numFmtId="0"/>
    <xf borderId="0" fillId="0" fontId="2" numFmtId="0">
      <alignment wrapText="1"/>
    </xf>
    <xf borderId="0" fillId="5" fontId="4" numFmtId="0">
      <alignment wrapText="1"/>
    </xf>
    <xf borderId="0" fillId="0" fontId="4" numFmtId="165">
      <alignment wrapText="1"/>
    </xf>
    <xf borderId="0" fillId="0" fontId="4" numFmtId="0">
      <alignment wrapText="1"/>
    </xf>
    <xf borderId="0" fillId="0" fontId="4" numFmtId="0">
      <alignment wrapText="1"/>
    </xf>
    <xf borderId="0" fillId="0" fontId="4" numFmtId="0">
      <alignment wrapText="1"/>
    </xf>
    <xf borderId="0" fillId="0" fontId="4" numFmtId="165">
      <alignment wrapText="1"/>
    </xf>
    <xf applyAlignment="0" applyBorder="0" applyFill="0" applyFont="0" applyProtection="0" borderId="0" fillId="0" fontId="4" numFmtId="43"/>
  </cellStyleXfs>
  <cellXfs count="88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3" fillId="0" fontId="0" numFmtId="0" xfId="0"/>
    <xf applyBorder="1" borderId="0" fillId="0" fontId="0" numFmtId="0" xfId="0"/>
    <xf applyBorder="1" applyFill="1" borderId="3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Border="1" borderId="4" fillId="0" fontId="0" numFmtId="0" xfId="0"/>
    <xf applyNumberFormat="1" borderId="0" fillId="0" fontId="0" numFmtId="1" xfId="0"/>
    <xf applyBorder="1" applyNumberFormat="1" borderId="1" fillId="0" fontId="0" numFmtId="1" xfId="0"/>
    <xf applyBorder="1" applyFill="1" borderId="0" fillId="0" fontId="0" numFmtId="0" xfId="0"/>
    <xf applyNumberFormat="1" borderId="0" fillId="0" fontId="0" numFmtId="10" xfId="0"/>
    <xf applyBorder="1" applyNumberFormat="1" borderId="4" fillId="0" fontId="0" numFmtId="10" xfId="0"/>
    <xf applyBorder="1" applyNumberFormat="1" borderId="3" fillId="0" fontId="0" numFmtId="2" xfId="0"/>
    <xf applyBorder="1" applyNumberFormat="1" borderId="4" fillId="0" fontId="0" numFmtId="2" xfId="0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Fill="1" applyNumberFormat="1" borderId="3" fillId="0" fontId="0" numFmtId="3" xfId="0"/>
    <xf applyBorder="1" applyNumberFormat="1" borderId="1" fillId="0" fontId="0" numFmtId="3" xfId="0"/>
    <xf applyBorder="1" applyFill="1" applyNumberFormat="1" borderId="0" fillId="0" fontId="0" numFmtId="3" xfId="0"/>
    <xf applyNumberFormat="1" borderId="0" fillId="0" fontId="0" numFmtId="164" xfId="0"/>
    <xf applyBorder="1" applyNumberFormat="1" borderId="3" fillId="0" fontId="0" numFmtId="164" xfId="0"/>
    <xf applyBorder="1" applyNumberFormat="1" borderId="1" fillId="0" fontId="0" numFmtId="164" xfId="0"/>
    <xf applyBorder="1" applyFill="1" applyFont="1" borderId="2" fillId="2" fontId="3" numFmtId="0" xfId="0"/>
    <xf applyAlignment="1" applyBorder="1" applyFill="1" applyFont="1" borderId="2" fillId="2" fontId="3" numFmtId="0" xfId="0">
      <alignment horizontal="center"/>
    </xf>
    <xf applyFill="1" borderId="0" fillId="3" fontId="0" numFmtId="0" xfId="0"/>
    <xf applyFill="1" applyNumberFormat="1" borderId="0" fillId="3" fontId="0" numFmtId="164" xfId="0"/>
    <xf applyBorder="1" applyNumberFormat="1" borderId="0" fillId="0" fontId="0" numFmtId="2" xfId="0"/>
    <xf applyAlignment="1" applyBorder="1" applyFill="1" applyFont="1" borderId="2" fillId="2" fontId="3" numFmtId="0" xfId="0">
      <alignment horizontal="center" vertical="top"/>
    </xf>
    <xf applyFill="1" borderId="0" fillId="4" fontId="0" numFmtId="0" xfId="0"/>
    <xf applyFill="1" applyNumberFormat="1" borderId="0" fillId="4" fontId="0" numFmtId="164" xfId="0"/>
    <xf applyBorder="1" applyFill="1" borderId="1" fillId="4" fontId="0" numFmtId="0" xfId="0"/>
    <xf applyBorder="1" applyFill="1" applyNumberFormat="1" borderId="1" fillId="4" fontId="0" numFmtId="164" xfId="0"/>
    <xf applyBorder="1" applyFill="1" applyFont="1" borderId="1" fillId="4" fontId="1" numFmtId="0" xfId="0"/>
    <xf applyBorder="1" applyFill="1" applyNumberFormat="1" borderId="1" fillId="4" fontId="0" numFmtId="3" xfId="0"/>
    <xf applyFont="1" borderId="0" fillId="0" fontId="0" numFmtId="0" xfId="0"/>
    <xf applyBorder="1" applyFont="1" applyNumberFormat="1" borderId="1" fillId="0" fontId="1" numFmtId="3" xfId="0"/>
    <xf applyBorder="1" applyNumberFormat="1" borderId="2" fillId="0" fontId="0" numFmtId="3" xfId="0"/>
    <xf applyAlignment="1" applyBorder="1" applyNumberFormat="1" borderId="2" fillId="0" fontId="0" numFmtId="3" xfId="0">
      <alignment horizontal="center"/>
    </xf>
    <xf applyBorder="1" applyNumberFormat="1" borderId="4" fillId="0" fontId="0" numFmtId="164" xfId="0"/>
    <xf applyBorder="1" applyFont="1" borderId="0" fillId="0" fontId="1" numFmtId="0" xfId="0"/>
    <xf applyAlignment="1" applyBorder="1" borderId="0" fillId="0" fontId="0" numFmtId="0" xfId="0">
      <alignment horizontal="center"/>
    </xf>
    <xf applyBorder="1" applyFill="1" borderId="3" fillId="4" fontId="0" numFmtId="0" xfId="0"/>
    <xf applyBorder="1" applyFill="1" applyNumberFormat="1" borderId="3" fillId="4" fontId="0" numFmtId="164" xfId="0"/>
    <xf applyBorder="1" applyNumberFormat="1" borderId="0" fillId="0" fontId="0" numFmtId="10" xfId="0"/>
    <xf applyBorder="1" applyNumberFormat="1" borderId="0" fillId="0" fontId="0" numFmtId="164" xfId="0"/>
    <xf applyFont="1" borderId="0" fillId="0" fontId="5" numFmtId="0" xfId="0"/>
    <xf applyBorder="1" applyNumberFormat="1" borderId="4" fillId="0" fontId="0" numFmtId="3" xfId="0"/>
    <xf applyNumberFormat="1" borderId="0" fillId="0" fontId="0" numFmtId="11" xfId="0"/>
    <xf applyFont="1" borderId="0" fillId="0" fontId="6" numFmtId="0" xfId="0"/>
    <xf applyNumberFormat="1" borderId="0" fillId="0" fontId="0" numFmtId="21" xfId="0"/>
    <xf applyFont="1" applyNumberFormat="1" borderId="0" fillId="0" fontId="0" numFmtId="3" xfId="0"/>
    <xf applyAlignment="1" applyBorder="1" applyFill="1" borderId="0" fillId="0" fontId="0" numFmtId="0" xfId="0">
      <alignment horizontal="center" vertical="top"/>
    </xf>
    <xf applyNumberFormat="1" borderId="0" fillId="0" fontId="0" numFmtId="166" xfId="0"/>
    <xf applyFill="1" applyNumberFormat="1" borderId="0" fillId="6" fontId="0" numFmtId="166" xfId="0"/>
    <xf applyFill="1" borderId="0" fillId="7" fontId="0" numFmtId="0" xfId="0"/>
    <xf applyFill="1" applyNumberFormat="1" borderId="0" fillId="7" fontId="0" numFmtId="166" xfId="0"/>
    <xf applyFont="1" applyNumberFormat="1" borderId="0" fillId="0" fontId="6" numFmtId="3" xfId="0"/>
    <xf applyBorder="1" applyFont="1" applyNumberFormat="1" borderId="5" fillId="0" fontId="0" numFmtId="3" xfId="0"/>
    <xf applyBorder="1" borderId="5" fillId="0" fontId="0" numFmtId="0" xfId="0"/>
    <xf applyBorder="1" applyNumberFormat="1" borderId="5" fillId="0" fontId="0" numFmtId="2" xfId="0"/>
    <xf applyBorder="1" applyFont="1" applyNumberFormat="1" borderId="0" fillId="0" fontId="0" numFmtId="3" xfId="0"/>
    <xf applyBorder="1" applyNumberFormat="1" borderId="0" fillId="0" fontId="0" numFmtId="1" xfId="0"/>
    <xf applyBorder="1" applyFont="1" applyNumberFormat="1" borderId="3" fillId="0" fontId="0" numFmtId="3" xfId="0"/>
    <xf applyAlignment="1" applyBorder="1" borderId="0" fillId="0" fontId="0" numFmtId="0" xfId="0">
      <alignment horizontal="center" vertical="top"/>
    </xf>
    <xf applyBorder="1" applyFont="1" applyNumberFormat="1" borderId="4" fillId="0" fontId="0" numFmtId="3" xfId="0"/>
    <xf applyNumberFormat="1" borderId="0" fillId="0" fontId="0" numFmtId="9" xfId="0"/>
    <xf applyBorder="1" applyNumberFormat="1" borderId="1" fillId="0" fontId="0" numFmtId="9" xfId="0"/>
    <xf applyBorder="1" applyNumberFormat="1" borderId="3" fillId="0" fontId="0" numFmtId="166" xfId="0"/>
    <xf applyBorder="1" applyNumberFormat="1" borderId="3" fillId="0" fontId="0" numFmtId="9" xfId="0"/>
    <xf applyBorder="1" applyFont="1" borderId="0" fillId="0" fontId="6" numFmtId="0" xfId="0"/>
    <xf applyBorder="1" applyNumberFormat="1" borderId="5" fillId="0" fontId="0" numFmtId="164" xfId="0"/>
    <xf applyBorder="1" applyNumberFormat="1" borderId="3" fillId="0" fontId="0" numFmtId="167" xfId="0"/>
    <xf applyBorder="1" applyNumberFormat="1" borderId="5" fillId="0" fontId="0" numFmtId="167" xfId="0"/>
    <xf applyBorder="1" applyFont="1" borderId="0" fillId="0" fontId="7" numFmtId="0" xfId="0"/>
    <xf applyBorder="1" applyFont="1" applyNumberFormat="1" borderId="5" fillId="0" fontId="0" numFmtId="168" xfId="8"/>
    <xf applyBorder="1" applyFont="1" applyNumberFormat="1" borderId="4" fillId="0" fontId="0" numFmtId="168" xfId="8"/>
    <xf applyFont="1" applyNumberFormat="1" borderId="0" fillId="0" fontId="0" numFmtId="168" xfId="8"/>
    <xf applyBorder="1" applyFont="1" applyNumberFormat="1" borderId="1" fillId="0" fontId="0" numFmtId="168" xfId="8"/>
    <xf applyAlignment="1" applyFont="1" applyNumberFormat="1" borderId="0" fillId="0" fontId="2" numFmtId="168" xfId="8"/>
    <xf applyBorder="1" applyFont="1" applyNumberFormat="1" borderId="3" fillId="0" fontId="0" numFmtId="168" xfId="8"/>
    <xf applyBorder="1" applyFont="1" applyNumberFormat="1" borderId="0" fillId="0" fontId="0" numFmtId="168" xfId="8"/>
  </cellXfs>
  <cellStyles count="9">
    <cellStyle builtinId="3" name="Comma" xfId="8"/>
    <cellStyle builtinId="0" name="Normal" xfId="0"/>
    <cellStyle name="XLConnect.Boolean" xfId="6" xr:uid="{00000000-0005-0000-0000-000002000000}"/>
    <cellStyle name="XLConnect.Date" xfId="3" xr:uid="{00000000-0005-0000-0000-000003000000}"/>
    <cellStyle name="XLConnect.DateTime" xfId="7" xr:uid="{00000000-0005-0000-0000-000004000000}"/>
    <cellStyle name="XLConnect.General" xfId="1" xr:uid="{00000000-0005-0000-0000-000005000000}"/>
    <cellStyle name="XLConnect.Header" xfId="2" xr:uid="{00000000-0005-0000-0000-000006000000}"/>
    <cellStyle name="XLConnect.Numeric" xfId="5" xr:uid="{00000000-0005-0000-0000-000007000000}"/>
    <cellStyle name="XLConnect.String" xfId="4" xr:uid="{00000000-0005-0000-0000-000008000000}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theme/theme1.xml" Type="http://schemas.openxmlformats.org/officeDocument/2006/relationships/theme"/><Relationship Id="rId11" Target="styles.xml" Type="http://schemas.openxmlformats.org/officeDocument/2006/relationships/styles"/><Relationship Id="rId12" Target="sharedStrings.xml" Type="http://schemas.openxmlformats.org/officeDocument/2006/relationships/sharedStrings"/><Relationship Id="rId13" Target="calcChain.xml" Type="http://schemas.openxmlformats.org/officeDocument/2006/relationships/calcChain"/><Relationship Id="rId14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worksheets/sheet8.xml" Type="http://schemas.openxmlformats.org/officeDocument/2006/relationships/worksheet"/><Relationship Id="rId9" Target="worksheets/sheet9.xml" Type="http://schemas.openxmlformats.org/officeDocument/2006/relationships/worksheet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Location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262337806365801"/>
          <c:y val="5.1400554097404488E-2"/>
          <c:w val="0.8482377730952644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TLFD!$E$10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TLFD!$E$11:$E$71</c:f>
              <c:numCache>
                <c:formatCode>_(* #,##0_);_(* \(#,##0\);_(* "-"??_);_(@_)</c:formatCode>
                <c:ptCount val="61"/>
                <c:pt idx="0">
                  <c:v>14834.553100000001</c:v>
                </c:pt>
                <c:pt idx="1">
                  <c:v>18552.0612</c:v>
                </c:pt>
                <c:pt idx="2">
                  <c:v>7025.4825999999994</c:v>
                </c:pt>
                <c:pt idx="3">
                  <c:v>7254.1774999999998</c:v>
                </c:pt>
                <c:pt idx="4">
                  <c:v>3511.0261</c:v>
                </c:pt>
                <c:pt idx="5">
                  <c:v>6394.0339999999997</c:v>
                </c:pt>
                <c:pt idx="6">
                  <c:v>1422.3348000000001</c:v>
                </c:pt>
                <c:pt idx="7">
                  <c:v>2031.2883999999999</c:v>
                </c:pt>
                <c:pt idx="8">
                  <c:v>1182.6101000000001</c:v>
                </c:pt>
                <c:pt idx="9">
                  <c:v>892.60860000000002</c:v>
                </c:pt>
                <c:pt idx="10">
                  <c:v>975.43669999999997</c:v>
                </c:pt>
                <c:pt idx="11">
                  <c:v>712.69229999999993</c:v>
                </c:pt>
                <c:pt idx="12">
                  <c:v>16.52</c:v>
                </c:pt>
                <c:pt idx="13">
                  <c:v>4.1100000000000003</c:v>
                </c:pt>
                <c:pt idx="14">
                  <c:v>416.34710000000001</c:v>
                </c:pt>
                <c:pt idx="15">
                  <c:v>901.9212</c:v>
                </c:pt>
                <c:pt idx="16">
                  <c:v>263.86059999999998</c:v>
                </c:pt>
                <c:pt idx="17">
                  <c:v>8.1179999999999986</c:v>
                </c:pt>
                <c:pt idx="18">
                  <c:v>277.2167</c:v>
                </c:pt>
                <c:pt idx="19">
                  <c:v>157.15029999999999</c:v>
                </c:pt>
                <c:pt idx="20">
                  <c:v>278.70570000000004</c:v>
                </c:pt>
                <c:pt idx="21">
                  <c:v>14.021000000000001</c:v>
                </c:pt>
                <c:pt idx="22">
                  <c:v>12.24</c:v>
                </c:pt>
                <c:pt idx="23">
                  <c:v>118.8946</c:v>
                </c:pt>
                <c:pt idx="24">
                  <c:v>423.09899999999999</c:v>
                </c:pt>
                <c:pt idx="25">
                  <c:v>55.068000000000005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DE-4F40-9812-74309F060F03}"/>
            </c:ext>
          </c:extLst>
        </c:ser>
        <c:ser>
          <c:idx val="1"/>
          <c:order val="1"/>
          <c:tx>
            <c:strRef>
              <c:f>TLFD!$K$10</c:f>
              <c:strCache>
                <c:ptCount val="1"/>
                <c:pt idx="0">
                  <c:v>BKRCast (LODES)</c:v>
                </c:pt>
              </c:strCache>
            </c:strRef>
          </c:tx>
          <c:marker>
            <c:symbol val="none"/>
          </c:marker>
          <c:val>
            <c:numRef>
              <c:f>TLFD!$K$11:$K$71</c:f>
              <c:numCache>
                <c:formatCode>_(* #,##0_);_(* \(#,##0\);_(* "-"??_);_(@_)</c:formatCode>
                <c:ptCount val="61"/>
                <c:pt idx="0">
                  <c:v>39391</c:v>
                </c:pt>
                <c:pt idx="1">
                  <c:v>35494</c:v>
                </c:pt>
                <c:pt idx="2">
                  <c:v>22701</c:v>
                </c:pt>
                <c:pt idx="3">
                  <c:v>17863</c:v>
                </c:pt>
                <c:pt idx="4">
                  <c:v>34283</c:v>
                </c:pt>
                <c:pt idx="5">
                  <c:v>18169</c:v>
                </c:pt>
                <c:pt idx="6">
                  <c:v>20739</c:v>
                </c:pt>
                <c:pt idx="7">
                  <c:v>9970</c:v>
                </c:pt>
                <c:pt idx="8">
                  <c:v>12477</c:v>
                </c:pt>
                <c:pt idx="9">
                  <c:v>7453</c:v>
                </c:pt>
                <c:pt idx="10">
                  <c:v>4695</c:v>
                </c:pt>
                <c:pt idx="11">
                  <c:v>5009</c:v>
                </c:pt>
                <c:pt idx="12">
                  <c:v>4634</c:v>
                </c:pt>
                <c:pt idx="13">
                  <c:v>4903</c:v>
                </c:pt>
                <c:pt idx="14">
                  <c:v>3487</c:v>
                </c:pt>
                <c:pt idx="15">
                  <c:v>2957</c:v>
                </c:pt>
                <c:pt idx="16">
                  <c:v>2348</c:v>
                </c:pt>
                <c:pt idx="17">
                  <c:v>2065</c:v>
                </c:pt>
                <c:pt idx="18">
                  <c:v>1605</c:v>
                </c:pt>
                <c:pt idx="19">
                  <c:v>961</c:v>
                </c:pt>
                <c:pt idx="20">
                  <c:v>2281</c:v>
                </c:pt>
                <c:pt idx="21">
                  <c:v>1525</c:v>
                </c:pt>
                <c:pt idx="22">
                  <c:v>1481</c:v>
                </c:pt>
                <c:pt idx="23">
                  <c:v>895</c:v>
                </c:pt>
                <c:pt idx="24">
                  <c:v>594</c:v>
                </c:pt>
                <c:pt idx="25">
                  <c:v>699</c:v>
                </c:pt>
                <c:pt idx="26">
                  <c:v>446</c:v>
                </c:pt>
                <c:pt idx="27">
                  <c:v>763</c:v>
                </c:pt>
                <c:pt idx="28">
                  <c:v>173</c:v>
                </c:pt>
                <c:pt idx="29">
                  <c:v>494</c:v>
                </c:pt>
                <c:pt idx="30">
                  <c:v>366</c:v>
                </c:pt>
                <c:pt idx="31">
                  <c:v>265</c:v>
                </c:pt>
                <c:pt idx="32">
                  <c:v>267</c:v>
                </c:pt>
                <c:pt idx="33">
                  <c:v>198</c:v>
                </c:pt>
                <c:pt idx="34">
                  <c:v>116</c:v>
                </c:pt>
                <c:pt idx="35">
                  <c:v>94</c:v>
                </c:pt>
                <c:pt idx="36">
                  <c:v>270</c:v>
                </c:pt>
                <c:pt idx="37">
                  <c:v>248</c:v>
                </c:pt>
                <c:pt idx="38">
                  <c:v>147</c:v>
                </c:pt>
                <c:pt idx="39">
                  <c:v>173</c:v>
                </c:pt>
                <c:pt idx="40">
                  <c:v>28</c:v>
                </c:pt>
                <c:pt idx="41">
                  <c:v>44</c:v>
                </c:pt>
                <c:pt idx="42">
                  <c:v>30</c:v>
                </c:pt>
                <c:pt idx="43">
                  <c:v>34</c:v>
                </c:pt>
                <c:pt idx="44">
                  <c:v>30</c:v>
                </c:pt>
                <c:pt idx="45">
                  <c:v>17</c:v>
                </c:pt>
                <c:pt idx="46">
                  <c:v>37</c:v>
                </c:pt>
                <c:pt idx="47">
                  <c:v>28</c:v>
                </c:pt>
                <c:pt idx="48">
                  <c:v>12</c:v>
                </c:pt>
                <c:pt idx="49">
                  <c:v>52</c:v>
                </c:pt>
                <c:pt idx="50">
                  <c:v>7</c:v>
                </c:pt>
                <c:pt idx="51">
                  <c:v>13</c:v>
                </c:pt>
                <c:pt idx="52">
                  <c:v>0</c:v>
                </c:pt>
                <c:pt idx="53">
                  <c:v>5</c:v>
                </c:pt>
                <c:pt idx="54">
                  <c:v>1</c:v>
                </c:pt>
                <c:pt idx="55">
                  <c:v>0</c:v>
                </c:pt>
                <c:pt idx="56">
                  <c:v>1</c:v>
                </c:pt>
                <c:pt idx="57">
                  <c:v>1</c:v>
                </c:pt>
                <c:pt idx="58">
                  <c:v>2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DE-4F40-9812-74309F060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2880344"/>
        <c:axId val="332879560"/>
      </c:lineChart>
      <c:catAx>
        <c:axId val="332880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Length</a:t>
                </a:r>
                <a:r>
                  <a:rPr baseline="0" lang="en-US"/>
                  <a:t> (miles)</a:t>
                </a:r>
                <a:endParaRPr lang="en-US"/>
              </a:p>
            </c:rich>
          </c:tx>
          <c:overlay val="0"/>
        </c:title>
        <c:majorTickMark val="out"/>
        <c:minorTickMark val="none"/>
        <c:tickLblPos val="nextTo"/>
        <c:crossAx val="332879560"/>
        <c:crosses val="autoZero"/>
        <c:auto val="1"/>
        <c:lblAlgn val="ctr"/>
        <c:lblOffset val="100"/>
        <c:noMultiLvlLbl val="0"/>
      </c:catAx>
      <c:valAx>
        <c:axId val="33287956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</a:t>
                </a:r>
                <a:r>
                  <a:rPr baseline="0" lang="en-US"/>
                  <a:t> of Persons</a:t>
                </a:r>
                <a:endParaRPr lang="en-US"/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3328803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89" footer="0.30000000000000032" header="0.30000000000000032" l="0.70000000000000062" r="0.70000000000000062" t="0.75000000000000289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Location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262337806365805"/>
          <c:y val="5.1400554097404488E-2"/>
          <c:w val="0.8482377730952644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TDFD!$E$10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TDFD!$E$11:$E$71</c:f>
              <c:numCache>
                <c:formatCode>_(* #,##0_);_(* \(#,##0\);_(* "-"??_);_(@_)</c:formatCode>
                <c:ptCount val="61"/>
                <c:pt idx="0">
                  <c:v>0</c:v>
                </c:pt>
                <c:pt idx="1">
                  <c:v>6745.1783000000005</c:v>
                </c:pt>
                <c:pt idx="2">
                  <c:v>6033.2902999999997</c:v>
                </c:pt>
                <c:pt idx="3">
                  <c:v>8113.0439000000006</c:v>
                </c:pt>
                <c:pt idx="4">
                  <c:v>8158.9631999999992</c:v>
                </c:pt>
                <c:pt idx="5">
                  <c:v>3067.7630999999997</c:v>
                </c:pt>
                <c:pt idx="6">
                  <c:v>2652.7209999999995</c:v>
                </c:pt>
                <c:pt idx="7">
                  <c:v>7879.9254999999994</c:v>
                </c:pt>
                <c:pt idx="8">
                  <c:v>2016.2357999999999</c:v>
                </c:pt>
                <c:pt idx="9">
                  <c:v>2670.8879999999999</c:v>
                </c:pt>
                <c:pt idx="10">
                  <c:v>2937.7461999999996</c:v>
                </c:pt>
                <c:pt idx="11">
                  <c:v>3879.7048999999997</c:v>
                </c:pt>
                <c:pt idx="12">
                  <c:v>3978.1617999999999</c:v>
                </c:pt>
                <c:pt idx="13">
                  <c:v>614.89459999999997</c:v>
                </c:pt>
                <c:pt idx="14">
                  <c:v>1032.1676</c:v>
                </c:pt>
                <c:pt idx="15">
                  <c:v>230.28989999999999</c:v>
                </c:pt>
                <c:pt idx="16">
                  <c:v>0</c:v>
                </c:pt>
                <c:pt idx="17">
                  <c:v>448.16160000000002</c:v>
                </c:pt>
                <c:pt idx="18">
                  <c:v>863.57900000000006</c:v>
                </c:pt>
                <c:pt idx="19">
                  <c:v>1051.6351</c:v>
                </c:pt>
                <c:pt idx="20">
                  <c:v>130.96619999999999</c:v>
                </c:pt>
                <c:pt idx="21">
                  <c:v>555.94860000000006</c:v>
                </c:pt>
                <c:pt idx="22">
                  <c:v>844.47050000000002</c:v>
                </c:pt>
                <c:pt idx="23">
                  <c:v>244.27179999999998</c:v>
                </c:pt>
                <c:pt idx="24">
                  <c:v>0</c:v>
                </c:pt>
                <c:pt idx="25">
                  <c:v>0</c:v>
                </c:pt>
                <c:pt idx="26">
                  <c:v>541.97919999999999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170.7131</c:v>
                </c:pt>
                <c:pt idx="31">
                  <c:v>0</c:v>
                </c:pt>
                <c:pt idx="32">
                  <c:v>118.39579999999999</c:v>
                </c:pt>
                <c:pt idx="33">
                  <c:v>314.726</c:v>
                </c:pt>
                <c:pt idx="34">
                  <c:v>616.37980000000005</c:v>
                </c:pt>
                <c:pt idx="35">
                  <c:v>181.72189999999998</c:v>
                </c:pt>
                <c:pt idx="36">
                  <c:v>17.616</c:v>
                </c:pt>
                <c:pt idx="37">
                  <c:v>30.786999999999999</c:v>
                </c:pt>
                <c:pt idx="38">
                  <c:v>18.872999999999998</c:v>
                </c:pt>
                <c:pt idx="39">
                  <c:v>260.4196</c:v>
                </c:pt>
                <c:pt idx="40">
                  <c:v>16.699000000000002</c:v>
                </c:pt>
                <c:pt idx="41">
                  <c:v>16.850999999999999</c:v>
                </c:pt>
                <c:pt idx="42">
                  <c:v>4.1100000000000003</c:v>
                </c:pt>
                <c:pt idx="43">
                  <c:v>140.3503</c:v>
                </c:pt>
                <c:pt idx="44">
                  <c:v>266.90070000000003</c:v>
                </c:pt>
                <c:pt idx="45">
                  <c:v>7.7850000000000001</c:v>
                </c:pt>
                <c:pt idx="46">
                  <c:v>3.6749999999999998</c:v>
                </c:pt>
                <c:pt idx="47">
                  <c:v>260.52670000000001</c:v>
                </c:pt>
                <c:pt idx="48">
                  <c:v>42.828000000000003</c:v>
                </c:pt>
                <c:pt idx="49">
                  <c:v>131.13460000000001</c:v>
                </c:pt>
                <c:pt idx="50">
                  <c:v>423.09899999999999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0B-4827-B648-084AD791BE23}"/>
            </c:ext>
          </c:extLst>
        </c:ser>
        <c:ser>
          <c:idx val="1"/>
          <c:order val="1"/>
          <c:tx>
            <c:strRef>
              <c:f>TDFD!$K$10</c:f>
              <c:strCache>
                <c:ptCount val="1"/>
                <c:pt idx="0">
                  <c:v>BKRCast (LODES)</c:v>
                </c:pt>
              </c:strCache>
            </c:strRef>
          </c:tx>
          <c:marker>
            <c:symbol val="none"/>
          </c:marker>
          <c:val>
            <c:numRef>
              <c:f>TDFD!$K$11:$K$71</c:f>
              <c:numCache>
                <c:formatCode>_(* #,##0_);_(* \(#,##0\);_(* "-"??_);_(@_)</c:formatCode>
                <c:ptCount val="61"/>
                <c:pt idx="0">
                  <c:v>6907</c:v>
                </c:pt>
                <c:pt idx="1">
                  <c:v>7952</c:v>
                </c:pt>
                <c:pt idx="2">
                  <c:v>10636</c:v>
                </c:pt>
                <c:pt idx="3">
                  <c:v>11855</c:v>
                </c:pt>
                <c:pt idx="4">
                  <c:v>12671</c:v>
                </c:pt>
                <c:pt idx="5">
                  <c:v>11852</c:v>
                </c:pt>
                <c:pt idx="6">
                  <c:v>11382</c:v>
                </c:pt>
                <c:pt idx="7">
                  <c:v>10701</c:v>
                </c:pt>
                <c:pt idx="8">
                  <c:v>8848</c:v>
                </c:pt>
                <c:pt idx="9">
                  <c:v>8542</c:v>
                </c:pt>
                <c:pt idx="10">
                  <c:v>7338</c:v>
                </c:pt>
                <c:pt idx="11">
                  <c:v>5941</c:v>
                </c:pt>
                <c:pt idx="12">
                  <c:v>5837</c:v>
                </c:pt>
                <c:pt idx="13">
                  <c:v>4001</c:v>
                </c:pt>
                <c:pt idx="14">
                  <c:v>3409</c:v>
                </c:pt>
                <c:pt idx="15">
                  <c:v>4573</c:v>
                </c:pt>
                <c:pt idx="16">
                  <c:v>3654</c:v>
                </c:pt>
                <c:pt idx="17">
                  <c:v>4074</c:v>
                </c:pt>
                <c:pt idx="18">
                  <c:v>16524</c:v>
                </c:pt>
                <c:pt idx="19">
                  <c:v>8252</c:v>
                </c:pt>
                <c:pt idx="20">
                  <c:v>8867</c:v>
                </c:pt>
                <c:pt idx="21">
                  <c:v>7366</c:v>
                </c:pt>
                <c:pt idx="22">
                  <c:v>8616</c:v>
                </c:pt>
                <c:pt idx="23">
                  <c:v>7103</c:v>
                </c:pt>
                <c:pt idx="24">
                  <c:v>8770</c:v>
                </c:pt>
                <c:pt idx="25">
                  <c:v>5704</c:v>
                </c:pt>
                <c:pt idx="26">
                  <c:v>5825</c:v>
                </c:pt>
                <c:pt idx="27">
                  <c:v>3478</c:v>
                </c:pt>
                <c:pt idx="28">
                  <c:v>4467</c:v>
                </c:pt>
                <c:pt idx="29">
                  <c:v>3091</c:v>
                </c:pt>
                <c:pt idx="30">
                  <c:v>2960</c:v>
                </c:pt>
                <c:pt idx="31">
                  <c:v>2507</c:v>
                </c:pt>
                <c:pt idx="32">
                  <c:v>3140</c:v>
                </c:pt>
                <c:pt idx="33">
                  <c:v>2089</c:v>
                </c:pt>
                <c:pt idx="34">
                  <c:v>2503</c:v>
                </c:pt>
                <c:pt idx="35">
                  <c:v>1938</c:v>
                </c:pt>
                <c:pt idx="36">
                  <c:v>2222</c:v>
                </c:pt>
                <c:pt idx="37">
                  <c:v>1631</c:v>
                </c:pt>
                <c:pt idx="38">
                  <c:v>920</c:v>
                </c:pt>
                <c:pt idx="39">
                  <c:v>1784</c:v>
                </c:pt>
                <c:pt idx="40">
                  <c:v>625</c:v>
                </c:pt>
                <c:pt idx="41">
                  <c:v>928</c:v>
                </c:pt>
                <c:pt idx="42">
                  <c:v>914</c:v>
                </c:pt>
                <c:pt idx="43">
                  <c:v>869</c:v>
                </c:pt>
                <c:pt idx="44">
                  <c:v>563</c:v>
                </c:pt>
                <c:pt idx="45">
                  <c:v>935</c:v>
                </c:pt>
                <c:pt idx="46">
                  <c:v>1352</c:v>
                </c:pt>
                <c:pt idx="47">
                  <c:v>432</c:v>
                </c:pt>
                <c:pt idx="48">
                  <c:v>830</c:v>
                </c:pt>
                <c:pt idx="49">
                  <c:v>421</c:v>
                </c:pt>
                <c:pt idx="50">
                  <c:v>473</c:v>
                </c:pt>
                <c:pt idx="51">
                  <c:v>267</c:v>
                </c:pt>
                <c:pt idx="52">
                  <c:v>673</c:v>
                </c:pt>
                <c:pt idx="53">
                  <c:v>483</c:v>
                </c:pt>
                <c:pt idx="54">
                  <c:v>500</c:v>
                </c:pt>
                <c:pt idx="55">
                  <c:v>367</c:v>
                </c:pt>
                <c:pt idx="56">
                  <c:v>218</c:v>
                </c:pt>
                <c:pt idx="57">
                  <c:v>305</c:v>
                </c:pt>
                <c:pt idx="58">
                  <c:v>95</c:v>
                </c:pt>
                <c:pt idx="59">
                  <c:v>98</c:v>
                </c:pt>
                <c:pt idx="60">
                  <c:v>163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C0B-4827-B648-084AD791BE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2882304"/>
        <c:axId val="332879952"/>
      </c:lineChart>
      <c:catAx>
        <c:axId val="3328823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Duration</a:t>
                </a:r>
                <a:r>
                  <a:rPr baseline="0" lang="en-US"/>
                  <a:t> (mins)</a:t>
                </a:r>
                <a:endParaRPr lang="en-US"/>
              </a:p>
            </c:rich>
          </c:tx>
          <c:overlay val="0"/>
        </c:title>
        <c:majorTickMark val="out"/>
        <c:minorTickMark val="none"/>
        <c:tickLblPos val="nextTo"/>
        <c:crossAx val="332879952"/>
        <c:crosses val="autoZero"/>
        <c:auto val="1"/>
        <c:lblAlgn val="ctr"/>
        <c:lblOffset val="100"/>
        <c:noMultiLvlLbl val="0"/>
      </c:catAx>
      <c:valAx>
        <c:axId val="33287995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Persons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3328823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311" footer="0.30000000000000032" header="0.30000000000000032" l="0.70000000000000062" r="0.70000000000000062" t="0.75000000000000311"/>
    <c:pageSetup/>
  </c:printSettings>
</c:chartSpace>
</file>

<file path=xl/drawings/_rels/drawing1.xml.rels><?xml version="1.0" encoding="UTF-8" standalone="no"?><Relationships xmlns="http://schemas.openxmlformats.org/package/2006/relationships"><Relationship Id="rId1" Target="../charts/chart1.xml" Type="http://schemas.openxmlformats.org/officeDocument/2006/relationships/chart"/></Relationships>
</file>

<file path=xl/drawings/_rels/drawing2.xml.rels><?xml version="1.0" encoding="UTF-8" standalone="no"?><Relationships xmlns="http://schemas.openxmlformats.org/package/2006/relationships"><Relationship Id="rId1" Target="../charts/chart2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12</xdr:col>
      <xdr:colOff>19049</xdr:colOff>
      <xdr:row>15</xdr:row>
      <xdr:rowOff>152400</xdr:rowOff>
    </xdr:from>
    <xdr:to>
      <xdr:col>21</xdr:col>
      <xdr:colOff>104774</xdr:colOff>
      <xdr:row>32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11</xdr:col>
      <xdr:colOff>590550</xdr:colOff>
      <xdr:row>16</xdr:row>
      <xdr:rowOff>28574</xdr:rowOff>
    </xdr:from>
    <xdr:to>
      <xdr:col>22</xdr:col>
      <xdr:colOff>19050</xdr:colOff>
      <xdr:row>32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2.xml.rels><?xml version="1.0" encoding="UTF-8" standalone="no"?><Relationships xmlns="http://schemas.openxmlformats.org/package/2006/relationships"><Relationship Id="rId1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9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101"/>
  <sheetViews>
    <sheetView workbookViewId="0">
      <selection activeCell="L21" sqref="L21"/>
    </sheetView>
  </sheetViews>
  <sheetFormatPr defaultRowHeight="15" x14ac:dyDescent="0.25"/>
  <cols>
    <col min="1" max="1" customWidth="true" width="13.5703125" collapsed="true"/>
    <col min="2" max="2" bestFit="true" customWidth="true" width="10.5703125" collapsed="true"/>
    <col min="3" max="4" bestFit="true" customWidth="true" width="9.5703125" collapsed="true"/>
    <col min="5" max="5" bestFit="true" customWidth="true" width="10.5703125" collapsed="true"/>
    <col min="7" max="7" customWidth="true" width="13.140625" collapsed="true"/>
    <col min="8" max="8" bestFit="true" customWidth="true" width="10.5703125" collapsed="true"/>
    <col min="9" max="10" bestFit="true" customWidth="true" width="9.5703125" collapsed="true"/>
    <col min="11" max="11" bestFit="true" customWidth="true" width="15.85546875" collapsed="true"/>
    <col min="15" max="15" bestFit="true" customWidth="true" width="15.7109375" collapsed="true"/>
  </cols>
  <sheetData>
    <row r="1" spans="1:19" x14ac:dyDescent="0.25">
      <c r="A1" t="s">
        <v>1</v>
      </c>
    </row>
    <row r="2" spans="1:19" x14ac:dyDescent="0.25">
      <c r="A2" t="s">
        <v>247</v>
      </c>
    </row>
    <row r="3" spans="1:19" x14ac:dyDescent="0.25">
      <c r="A3" t="s">
        <v>248</v>
      </c>
    </row>
    <row r="4" spans="1:19" x14ac:dyDescent="0.25">
      <c r="A4" t="s">
        <v>4</v>
      </c>
    </row>
    <row r="5" spans="1:19" x14ac:dyDescent="0.25">
      <c r="A5" t="s">
        <v>5</v>
      </c>
    </row>
    <row r="7" spans="1:19" x14ac:dyDescent="0.25">
      <c r="A7" t="s">
        <v>8</v>
      </c>
    </row>
    <row ht="15.75" r="9" spans="1:19" thickBot="1" x14ac:dyDescent="0.3">
      <c r="A9" s="4" t="s">
        <v>192</v>
      </c>
      <c r="B9" s="1"/>
      <c r="C9" s="1"/>
      <c r="D9" s="1"/>
      <c r="E9" s="1"/>
      <c r="G9" s="4" t="s">
        <v>9</v>
      </c>
      <c r="H9" s="1"/>
      <c r="I9" s="1"/>
      <c r="J9" s="1"/>
      <c r="K9" s="1"/>
      <c r="L9" s="7"/>
      <c r="M9" s="11" t="s">
        <v>34</v>
      </c>
      <c r="Q9" s="11" t="s">
        <v>40</v>
      </c>
    </row>
    <row r="10" spans="1:19" x14ac:dyDescent="0.25">
      <c r="A10" s="2" t="s">
        <v>2</v>
      </c>
      <c r="B10" s="5" t="s">
        <v>41</v>
      </c>
      <c r="C10" s="5" t="s">
        <v>42</v>
      </c>
      <c r="D10" s="5" t="s">
        <v>52</v>
      </c>
      <c r="E10" s="5" t="s">
        <v>200</v>
      </c>
      <c r="G10" s="2" t="s">
        <v>2</v>
      </c>
      <c r="H10" s="5" t="s">
        <v>41</v>
      </c>
      <c r="I10" s="5" t="s">
        <v>42</v>
      </c>
      <c r="J10" s="5" t="s">
        <v>43</v>
      </c>
      <c r="K10" s="5" t="s">
        <v>252</v>
      </c>
      <c r="L10" s="5"/>
      <c r="M10" s="2"/>
      <c r="N10" s="5" t="s">
        <v>200</v>
      </c>
      <c r="O10" s="5" t="s">
        <v>252</v>
      </c>
      <c r="Q10" s="29"/>
      <c r="R10" s="34" t="s">
        <v>200</v>
      </c>
      <c r="S10" s="34" t="s">
        <v>35</v>
      </c>
    </row>
    <row ht="15.75" r="11" spans="1:19" thickBot="1" x14ac:dyDescent="0.3">
      <c r="A11">
        <v>0</v>
      </c>
      <c r="B11" s="83" t="n">
        <v>14660.232100000001</v>
      </c>
      <c r="C11" s="83" t="n">
        <v>0.0</v>
      </c>
      <c r="D11" s="83" t="n">
        <v>174.321</v>
      </c>
      <c r="E11" s="83">
        <f ref="E11:E42" si="0" t="shared">SUM(B11:D11)</f>
        <v>14834.553100000001</v>
      </c>
      <c r="G11">
        <v>0</v>
      </c>
      <c r="H11" s="83" t="n">
        <v>33000.0</v>
      </c>
      <c r="I11" s="83" t="n">
        <v>3382.0</v>
      </c>
      <c r="J11" s="85" t="n">
        <v>2216.0</v>
      </c>
      <c r="K11" s="83">
        <f ref="K11:K42" si="1" t="shared">SUM(H11:J11)</f>
        <v>39391</v>
      </c>
      <c r="M11" t="s">
        <v>41</v>
      </c>
      <c r="N11" s="9" t="n">
        <v>2.3285338791320034</v>
      </c>
      <c r="O11" s="9" t="n">
        <v>3.6167091775789757</v>
      </c>
      <c r="Q11" s="1" t="s">
        <v>3</v>
      </c>
      <c r="R11" s="10"/>
      <c r="S11" s="10"/>
    </row>
    <row r="12" spans="1:19" x14ac:dyDescent="0.25">
      <c r="A12">
        <v>1</v>
      </c>
      <c r="B12" s="83" t="n">
        <v>15367.6228</v>
      </c>
      <c r="C12" s="83" t="n">
        <v>2889.7989</v>
      </c>
      <c r="D12" s="83" t="n">
        <v>294.6395</v>
      </c>
      <c r="E12" s="83">
        <f si="0" t="shared"/>
        <v>18552.0612</v>
      </c>
      <c r="G12">
        <v>1</v>
      </c>
      <c r="H12" s="83" t="n">
        <v>28742.0</v>
      </c>
      <c r="I12" s="83" t="n">
        <v>3195.0</v>
      </c>
      <c r="J12" s="85" t="n">
        <v>2993.0</v>
      </c>
      <c r="K12" s="83">
        <f si="1" t="shared"/>
        <v>35494</v>
      </c>
      <c r="M12" t="s">
        <v>42</v>
      </c>
      <c r="N12" s="9" t="n">
        <v>3.714006804866318</v>
      </c>
      <c r="O12" s="9" t="n">
        <v>6.122173432956349</v>
      </c>
      <c r="R12" s="9"/>
      <c r="S12" s="9"/>
    </row>
    <row r="13" spans="1:19" x14ac:dyDescent="0.25">
      <c r="A13">
        <v>2</v>
      </c>
      <c r="B13" s="83" t="n">
        <v>6244.3326</v>
      </c>
      <c r="C13" s="83" t="n">
        <v>420.54069999999996</v>
      </c>
      <c r="D13" s="83" t="n">
        <v>360.60929999999996</v>
      </c>
      <c r="E13" s="83">
        <f si="0" t="shared"/>
        <v>7025.4825999999994</v>
      </c>
      <c r="G13">
        <v>2</v>
      </c>
      <c r="H13" s="83" t="n">
        <v>17784.0</v>
      </c>
      <c r="I13" s="83" t="n">
        <v>2352.0</v>
      </c>
      <c r="J13" s="85" t="n">
        <v>2420.0</v>
      </c>
      <c r="K13" s="83">
        <f si="1" t="shared"/>
        <v>22701</v>
      </c>
      <c r="M13" s="6" t="s">
        <v>43</v>
      </c>
      <c r="N13" s="18" t="n">
        <v>12.006070377300153</v>
      </c>
      <c r="O13" s="18" t="n">
        <v>10.990007188383812</v>
      </c>
      <c r="Q13" s="7"/>
      <c r="R13" s="33"/>
      <c r="S13" s="33"/>
    </row>
    <row ht="15.75" r="14" spans="1:19" thickBot="1" x14ac:dyDescent="0.3">
      <c r="A14">
        <v>3</v>
      </c>
      <c r="B14" s="83" t="n">
        <v>5314.468</v>
      </c>
      <c r="C14" s="83" t="n">
        <v>1939.7095</v>
      </c>
      <c r="D14" s="83" t="n">
        <v>0.0</v>
      </c>
      <c r="E14" s="83">
        <f si="0" t="shared"/>
        <v>7254.1774999999998</v>
      </c>
      <c r="G14">
        <v>3</v>
      </c>
      <c r="H14" s="83" t="n">
        <v>13171.0</v>
      </c>
      <c r="I14" s="83" t="n">
        <v>2185.0</v>
      </c>
      <c r="J14" s="85" t="n">
        <v>2547.0</v>
      </c>
      <c r="K14" s="83">
        <f si="1" t="shared"/>
        <v>17863</v>
      </c>
      <c r="M14" s="1" t="s">
        <v>3</v>
      </c>
      <c r="N14" s="10" t="n">
        <v>3.1086996665693154</v>
      </c>
      <c r="O14" s="10" t="n">
        <v>5.915825532566862</v>
      </c>
    </row>
    <row r="15" spans="1:19" x14ac:dyDescent="0.25">
      <c r="A15">
        <v>4</v>
      </c>
      <c r="B15" s="83" t="n">
        <v>2955.2424</v>
      </c>
      <c r="C15" s="83" t="n">
        <v>555.7837</v>
      </c>
      <c r="D15" s="83" t="n">
        <v>0.0</v>
      </c>
      <c r="E15" s="83">
        <f si="0" t="shared"/>
        <v>3511.0261</v>
      </c>
      <c r="G15">
        <v>4</v>
      </c>
      <c r="H15" s="83" t="n">
        <v>22863.0</v>
      </c>
      <c r="I15" s="83" t="n">
        <v>4491.0</v>
      </c>
      <c r="J15" s="85" t="n">
        <v>6468.0</v>
      </c>
      <c r="K15" s="83">
        <f si="1" t="shared"/>
        <v>34283</v>
      </c>
    </row>
    <row r="16" spans="1:19" x14ac:dyDescent="0.25">
      <c r="A16">
        <v>5</v>
      </c>
      <c r="B16" s="83" t="n">
        <v>5914.3087</v>
      </c>
      <c r="C16" s="83" t="n">
        <v>479.7253</v>
      </c>
      <c r="D16" s="83" t="n">
        <v>0.0</v>
      </c>
      <c r="E16" s="83">
        <f si="0" t="shared"/>
        <v>6394.0339999999997</v>
      </c>
      <c r="G16">
        <v>5</v>
      </c>
      <c r="H16" s="83" t="n">
        <v>9929.0</v>
      </c>
      <c r="I16" s="83" t="n">
        <v>2354.0</v>
      </c>
      <c r="J16" s="85" t="n">
        <v>4746.0</v>
      </c>
      <c r="K16" s="83">
        <f si="1" t="shared"/>
        <v>18169</v>
      </c>
    </row>
    <row r="17" spans="1:11" x14ac:dyDescent="0.25">
      <c r="A17">
        <v>6</v>
      </c>
      <c r="B17" s="83" t="n">
        <v>626.6615</v>
      </c>
      <c r="C17" s="83" t="n">
        <v>542.4142</v>
      </c>
      <c r="D17" s="83" t="n">
        <v>253.2591</v>
      </c>
      <c r="E17" s="83">
        <f si="0" t="shared"/>
        <v>1422.3348000000001</v>
      </c>
      <c r="G17">
        <v>6</v>
      </c>
      <c r="H17" s="83" t="n">
        <v>12357.0</v>
      </c>
      <c r="I17" s="83" t="n">
        <v>2924.0</v>
      </c>
      <c r="J17" s="85" t="n">
        <v>5263.0</v>
      </c>
      <c r="K17" s="83">
        <f si="1" t="shared"/>
        <v>20739</v>
      </c>
    </row>
    <row r="18" spans="1:11" x14ac:dyDescent="0.25">
      <c r="A18">
        <v>7</v>
      </c>
      <c r="B18" s="83" t="n">
        <v>1171.1244</v>
      </c>
      <c r="C18" s="83" t="n">
        <v>294.342</v>
      </c>
      <c r="D18" s="83" t="n">
        <v>565.822</v>
      </c>
      <c r="E18" s="83">
        <f si="0" t="shared"/>
        <v>2031.2883999999999</v>
      </c>
      <c r="G18">
        <v>7</v>
      </c>
      <c r="H18" s="83" t="n">
        <v>4749.0</v>
      </c>
      <c r="I18" s="83" t="n">
        <v>1406.0</v>
      </c>
      <c r="J18" s="85" t="n">
        <v>3509.0</v>
      </c>
      <c r="K18" s="83">
        <f si="1" t="shared"/>
        <v>9970</v>
      </c>
    </row>
    <row r="19" spans="1:11" x14ac:dyDescent="0.25">
      <c r="A19">
        <v>8</v>
      </c>
      <c r="B19" s="83" t="n">
        <v>555.9486</v>
      </c>
      <c r="C19" s="83" t="n">
        <v>626.6615</v>
      </c>
      <c r="D19" s="83" t="n">
        <v>0.0</v>
      </c>
      <c r="E19" s="83">
        <f si="0" t="shared"/>
        <v>1182.6101000000001</v>
      </c>
      <c r="G19">
        <v>8</v>
      </c>
      <c r="H19" s="83" t="n">
        <v>4726.0</v>
      </c>
      <c r="I19" s="83" t="n">
        <v>1486.0</v>
      </c>
      <c r="J19" s="85" t="n">
        <v>5624.0</v>
      </c>
      <c r="K19" s="83">
        <f si="1" t="shared"/>
        <v>12477</v>
      </c>
    </row>
    <row r="20" spans="1:11" x14ac:dyDescent="0.25">
      <c r="A20">
        <v>9</v>
      </c>
      <c r="B20" s="83" t="n">
        <v>722.7306</v>
      </c>
      <c r="C20" s="83" t="n">
        <v>0.0</v>
      </c>
      <c r="D20" s="83" t="n">
        <v>169.878</v>
      </c>
      <c r="E20" s="83">
        <f si="0" t="shared"/>
        <v>892.60860000000002</v>
      </c>
      <c r="G20">
        <v>9</v>
      </c>
      <c r="H20" s="83" t="n">
        <v>2954.0</v>
      </c>
      <c r="I20" s="83" t="n">
        <v>1115.0</v>
      </c>
      <c r="J20" s="85" t="n">
        <v>3092.0</v>
      </c>
      <c r="K20" s="83">
        <f si="1" t="shared"/>
        <v>7453</v>
      </c>
    </row>
    <row r="21" spans="1:11" x14ac:dyDescent="0.25">
      <c r="A21">
        <v>10</v>
      </c>
      <c r="B21" s="83" t="n">
        <v>975.4367</v>
      </c>
      <c r="C21" s="83" t="n">
        <v>0.0</v>
      </c>
      <c r="D21" s="83" t="n">
        <v>0.0</v>
      </c>
      <c r="E21" s="83">
        <f si="0" t="shared"/>
        <v>975.43669999999997</v>
      </c>
      <c r="G21">
        <v>10</v>
      </c>
      <c r="H21" s="83" t="n">
        <v>1922.0</v>
      </c>
      <c r="I21" s="83" t="n">
        <v>864.0</v>
      </c>
      <c r="J21" s="85" t="n">
        <v>2091.0</v>
      </c>
      <c r="K21" s="83">
        <f si="1" t="shared"/>
        <v>4695</v>
      </c>
    </row>
    <row r="22" spans="1:11" x14ac:dyDescent="0.25">
      <c r="A22">
        <v>11</v>
      </c>
      <c r="B22" s="83" t="n">
        <v>541.9792</v>
      </c>
      <c r="C22" s="83" t="n">
        <v>0.0</v>
      </c>
      <c r="D22" s="83" t="n">
        <v>170.7131</v>
      </c>
      <c r="E22" s="83">
        <f si="0" t="shared"/>
        <v>712.69229999999993</v>
      </c>
      <c r="G22">
        <v>11</v>
      </c>
      <c r="H22" s="83" t="n">
        <v>1444.0</v>
      </c>
      <c r="I22" s="83" t="n">
        <v>796.0</v>
      </c>
      <c r="J22" s="85" t="n">
        <v>2742.0</v>
      </c>
      <c r="K22" s="83">
        <f si="1" t="shared"/>
        <v>5009</v>
      </c>
    </row>
    <row r="23" spans="1:11" x14ac:dyDescent="0.25">
      <c r="A23">
        <v>12</v>
      </c>
      <c r="B23" s="83" t="n">
        <v>0.0</v>
      </c>
      <c r="C23" s="83" t="n">
        <v>0.0</v>
      </c>
      <c r="D23" s="83" t="n">
        <v>16.52</v>
      </c>
      <c r="E23" s="83">
        <f si="0" t="shared"/>
        <v>16.52</v>
      </c>
      <c r="G23">
        <v>12</v>
      </c>
      <c r="H23" s="83" t="n">
        <v>970.0</v>
      </c>
      <c r="I23" s="83" t="n">
        <v>599.0</v>
      </c>
      <c r="J23" s="85" t="n">
        <v>2805.0</v>
      </c>
      <c r="K23" s="83">
        <f si="1" t="shared"/>
        <v>4634</v>
      </c>
    </row>
    <row r="24" spans="1:11" x14ac:dyDescent="0.25">
      <c r="A24">
        <v>13</v>
      </c>
      <c r="B24" s="83" t="n">
        <v>0.0</v>
      </c>
      <c r="C24" s="83" t="n">
        <v>0.0</v>
      </c>
      <c r="D24" s="83" t="n">
        <v>4.11</v>
      </c>
      <c r="E24" s="83">
        <f si="0" t="shared"/>
        <v>4.1100000000000003</v>
      </c>
      <c r="G24">
        <v>13</v>
      </c>
      <c r="H24" s="83" t="n">
        <v>678.0</v>
      </c>
      <c r="I24" s="83" t="n">
        <v>523.0</v>
      </c>
      <c r="J24" s="85" t="n">
        <v>3486.0</v>
      </c>
      <c r="K24" s="83">
        <f si="1" t="shared"/>
        <v>4903</v>
      </c>
    </row>
    <row r="25" spans="1:11" x14ac:dyDescent="0.25">
      <c r="A25">
        <v>14</v>
      </c>
      <c r="B25" s="83" t="n">
        <v>277.9743</v>
      </c>
      <c r="C25" s="83" t="n">
        <v>0.0</v>
      </c>
      <c r="D25" s="83" t="n">
        <v>138.37279999999998</v>
      </c>
      <c r="E25" s="83">
        <f si="0" t="shared"/>
        <v>416.34710000000001</v>
      </c>
      <c r="G25">
        <v>14</v>
      </c>
      <c r="H25" s="83" t="n">
        <v>431.0</v>
      </c>
      <c r="I25" s="83" t="n">
        <v>399.0</v>
      </c>
      <c r="J25" s="85" t="n">
        <v>2653.0</v>
      </c>
      <c r="K25" s="83">
        <f si="1" t="shared"/>
        <v>3487</v>
      </c>
    </row>
    <row r="26" spans="1:11" x14ac:dyDescent="0.25">
      <c r="A26">
        <v>15</v>
      </c>
      <c r="B26" s="83" t="n">
        <v>0.0</v>
      </c>
      <c r="C26" s="83" t="n">
        <v>0.0</v>
      </c>
      <c r="D26" s="83" t="n">
        <v>901.9212</v>
      </c>
      <c r="E26" s="83">
        <f si="0" t="shared"/>
        <v>901.9212</v>
      </c>
      <c r="G26">
        <v>15</v>
      </c>
      <c r="H26" s="83" t="n">
        <v>321.0</v>
      </c>
      <c r="I26" s="83" t="n">
        <v>391.0</v>
      </c>
      <c r="J26" s="85" t="n">
        <v>1948.0</v>
      </c>
      <c r="K26" s="83">
        <f si="1" t="shared"/>
        <v>2957</v>
      </c>
    </row>
    <row r="27" spans="1:11" x14ac:dyDescent="0.25">
      <c r="A27">
        <v>16</v>
      </c>
      <c r="B27" s="83" t="n">
        <v>82.1623</v>
      </c>
      <c r="C27" s="83" t="n">
        <v>0.0</v>
      </c>
      <c r="D27" s="83" t="n">
        <v>181.6983</v>
      </c>
      <c r="E27" s="83">
        <f si="0" t="shared"/>
        <v>263.86059999999998</v>
      </c>
      <c r="G27">
        <v>16</v>
      </c>
      <c r="H27" s="83" t="n">
        <v>203.0</v>
      </c>
      <c r="I27" s="83" t="n">
        <v>311.0</v>
      </c>
      <c r="J27" s="85" t="n">
        <v>1653.0</v>
      </c>
      <c r="K27" s="83">
        <f si="1" t="shared"/>
        <v>2348</v>
      </c>
    </row>
    <row r="28" spans="1:11" x14ac:dyDescent="0.25">
      <c r="A28">
        <v>17</v>
      </c>
      <c r="B28" s="83" t="n">
        <v>0.0</v>
      </c>
      <c r="C28" s="83" t="n">
        <v>0.0</v>
      </c>
      <c r="D28" s="83" t="n">
        <v>8.117999999999999</v>
      </c>
      <c r="E28" s="83">
        <f si="0" t="shared"/>
        <v>8.1179999999999986</v>
      </c>
      <c r="G28">
        <v>17</v>
      </c>
      <c r="H28" s="83" t="n">
        <v>174.0</v>
      </c>
      <c r="I28" s="83" t="n">
        <v>237.0</v>
      </c>
      <c r="J28" s="85" t="n">
        <v>1579.0</v>
      </c>
      <c r="K28" s="83">
        <f si="1" t="shared"/>
        <v>2065</v>
      </c>
    </row>
    <row r="29" spans="1:11" x14ac:dyDescent="0.25">
      <c r="A29">
        <v>18</v>
      </c>
      <c r="B29" s="83" t="n">
        <v>0.0</v>
      </c>
      <c r="C29" s="83" t="n">
        <v>0.0</v>
      </c>
      <c r="D29" s="83" t="n">
        <v>277.2167</v>
      </c>
      <c r="E29" s="83">
        <f si="0" t="shared"/>
        <v>277.2167</v>
      </c>
      <c r="G29">
        <v>18</v>
      </c>
      <c r="H29" s="83" t="n">
        <v>115.0</v>
      </c>
      <c r="I29" s="83" t="n">
        <v>203.0</v>
      </c>
      <c r="J29" s="85" t="n">
        <v>1246.0</v>
      </c>
      <c r="K29" s="83">
        <f si="1" t="shared"/>
        <v>1605</v>
      </c>
    </row>
    <row r="30" spans="1:11" x14ac:dyDescent="0.25">
      <c r="A30">
        <v>19</v>
      </c>
      <c r="B30" s="83" t="n">
        <v>0.0</v>
      </c>
      <c r="C30" s="83" t="n">
        <v>0.0</v>
      </c>
      <c r="D30" s="83" t="n">
        <v>157.1503</v>
      </c>
      <c r="E30" s="83">
        <f si="0" t="shared"/>
        <v>157.15029999999999</v>
      </c>
      <c r="G30">
        <v>19</v>
      </c>
      <c r="H30" s="83" t="n">
        <v>53.0</v>
      </c>
      <c r="I30" s="83" t="n">
        <v>150.0</v>
      </c>
      <c r="J30" s="85" t="n">
        <v>677.0</v>
      </c>
      <c r="K30" s="83">
        <f si="1" t="shared"/>
        <v>961</v>
      </c>
    </row>
    <row r="31" spans="1:11" x14ac:dyDescent="0.25">
      <c r="A31">
        <v>20</v>
      </c>
      <c r="B31" s="83" t="n">
        <v>0.0</v>
      </c>
      <c r="C31" s="83" t="n">
        <v>262.7907</v>
      </c>
      <c r="D31" s="83" t="n">
        <v>15.915</v>
      </c>
      <c r="E31" s="83">
        <f si="0" t="shared"/>
        <v>278.70570000000004</v>
      </c>
      <c r="G31">
        <v>20</v>
      </c>
      <c r="H31" s="83" t="n">
        <v>46.0</v>
      </c>
      <c r="I31" s="83" t="n">
        <v>134.0</v>
      </c>
      <c r="J31" s="85" t="n">
        <v>2158.0</v>
      </c>
      <c r="K31" s="83">
        <f si="1" t="shared"/>
        <v>2281</v>
      </c>
    </row>
    <row r="32" spans="1:11" x14ac:dyDescent="0.25">
      <c r="A32">
        <v>21</v>
      </c>
      <c r="B32" s="83" t="n">
        <v>0.0</v>
      </c>
      <c r="C32" s="83" t="n">
        <v>0.0</v>
      </c>
      <c r="D32" s="83" t="n">
        <v>14.021</v>
      </c>
      <c r="E32" s="83">
        <f si="0" t="shared"/>
        <v>14.021000000000001</v>
      </c>
      <c r="G32">
        <v>21</v>
      </c>
      <c r="H32" s="83" t="n">
        <v>18.0</v>
      </c>
      <c r="I32" s="83" t="n">
        <v>102.0</v>
      </c>
      <c r="J32" s="85" t="n">
        <v>1150.0</v>
      </c>
      <c r="K32" s="83">
        <f si="1" t="shared"/>
        <v>1525</v>
      </c>
    </row>
    <row r="33" spans="1:11" x14ac:dyDescent="0.25">
      <c r="A33">
        <v>22</v>
      </c>
      <c r="B33" s="83" t="n">
        <v>0.0</v>
      </c>
      <c r="C33" s="83" t="n">
        <v>0.0</v>
      </c>
      <c r="D33" s="83" t="n">
        <v>12.24</v>
      </c>
      <c r="E33" s="83">
        <f si="0" t="shared"/>
        <v>12.24</v>
      </c>
      <c r="G33">
        <v>22</v>
      </c>
      <c r="H33" s="83" t="n">
        <v>14.0</v>
      </c>
      <c r="I33" s="83" t="n">
        <v>105.0</v>
      </c>
      <c r="J33" s="85" t="n">
        <v>1186.0</v>
      </c>
      <c r="K33" s="83">
        <f si="1" t="shared"/>
        <v>1481</v>
      </c>
    </row>
    <row r="34" spans="1:11" x14ac:dyDescent="0.25">
      <c r="A34">
        <v>23</v>
      </c>
      <c r="B34" s="83" t="n">
        <v>0.0</v>
      </c>
      <c r="C34" s="83" t="n">
        <v>0.0</v>
      </c>
      <c r="D34" s="83" t="n">
        <v>118.8946</v>
      </c>
      <c r="E34" s="83">
        <f si="0" t="shared"/>
        <v>118.8946</v>
      </c>
      <c r="G34">
        <v>23</v>
      </c>
      <c r="H34" s="83" t="n">
        <v>7.0</v>
      </c>
      <c r="I34" s="83" t="n">
        <v>82.0</v>
      </c>
      <c r="J34" s="85" t="n">
        <v>742.0</v>
      </c>
      <c r="K34" s="83">
        <f si="1" t="shared"/>
        <v>895</v>
      </c>
    </row>
    <row r="35" spans="1:11" x14ac:dyDescent="0.25">
      <c r="A35">
        <v>24</v>
      </c>
      <c r="B35" s="83" t="n">
        <v>0.0</v>
      </c>
      <c r="C35" s="83" t="n">
        <v>0.0</v>
      </c>
      <c r="D35" s="83" t="n">
        <v>423.099</v>
      </c>
      <c r="E35" s="83">
        <f si="0" t="shared"/>
        <v>423.09899999999999</v>
      </c>
      <c r="G35">
        <v>24</v>
      </c>
      <c r="H35" s="83" t="n">
        <v>4.0</v>
      </c>
      <c r="I35" s="83" t="n">
        <v>52.0</v>
      </c>
      <c r="J35" s="85" t="n">
        <v>543.0</v>
      </c>
      <c r="K35" s="83">
        <f si="1" t="shared"/>
        <v>594</v>
      </c>
    </row>
    <row r="36" spans="1:11" x14ac:dyDescent="0.25">
      <c r="A36">
        <v>25</v>
      </c>
      <c r="B36" s="83" t="n">
        <v>0.0</v>
      </c>
      <c r="C36" s="83" t="n">
        <v>0.0</v>
      </c>
      <c r="D36" s="83" t="n">
        <v>55.068000000000005</v>
      </c>
      <c r="E36" s="83">
        <f si="0" t="shared"/>
        <v>55.068000000000005</v>
      </c>
      <c r="G36">
        <v>25</v>
      </c>
      <c r="H36" s="83" t="n">
        <v>3.0</v>
      </c>
      <c r="I36" s="83" t="n">
        <v>61.0</v>
      </c>
      <c r="J36" s="85" t="n">
        <v>519.0</v>
      </c>
      <c r="K36" s="83">
        <f si="1" t="shared"/>
        <v>699</v>
      </c>
    </row>
    <row r="37" spans="1:11" x14ac:dyDescent="0.25">
      <c r="A37">
        <v>26</v>
      </c>
      <c r="B37" s="83" t="n">
        <v>0.0</v>
      </c>
      <c r="C37" s="83" t="n">
        <v>0.0</v>
      </c>
      <c r="D37" s="83" t="n">
        <v>0.0</v>
      </c>
      <c r="E37" s="83">
        <f si="0" t="shared"/>
        <v>0</v>
      </c>
      <c r="G37">
        <v>26</v>
      </c>
      <c r="H37" s="83" t="n">
        <v>1.0</v>
      </c>
      <c r="I37" s="83" t="n">
        <v>44.0</v>
      </c>
      <c r="J37" s="85" t="n">
        <v>356.0</v>
      </c>
      <c r="K37" s="83">
        <f si="1" t="shared"/>
        <v>446</v>
      </c>
    </row>
    <row r="38" spans="1:11" x14ac:dyDescent="0.25">
      <c r="A38">
        <v>27</v>
      </c>
      <c r="B38" s="83" t="n">
        <v>0.0</v>
      </c>
      <c r="C38" s="83" t="n">
        <v>0.0</v>
      </c>
      <c r="D38" s="83" t="n">
        <v>0.0</v>
      </c>
      <c r="E38" s="83">
        <f si="0" t="shared"/>
        <v>0</v>
      </c>
      <c r="G38">
        <v>27</v>
      </c>
      <c r="H38" s="83" t="n">
        <v>4.0</v>
      </c>
      <c r="I38" s="83" t="n">
        <v>33.0</v>
      </c>
      <c r="J38" s="85" t="n">
        <v>766.0</v>
      </c>
      <c r="K38" s="83">
        <f si="1" t="shared"/>
        <v>763</v>
      </c>
    </row>
    <row r="39" spans="1:11" x14ac:dyDescent="0.25">
      <c r="A39">
        <v>28</v>
      </c>
      <c r="B39" s="83" t="n">
        <v>0.0</v>
      </c>
      <c r="C39" s="83" t="n">
        <v>0.0</v>
      </c>
      <c r="D39" s="83" t="n">
        <v>0.0</v>
      </c>
      <c r="E39" s="83">
        <f si="0" t="shared"/>
        <v>0</v>
      </c>
      <c r="G39">
        <v>28</v>
      </c>
      <c r="H39" s="83" t="n">
        <v>1.0</v>
      </c>
      <c r="I39" s="83" t="n">
        <v>21.0</v>
      </c>
      <c r="J39" s="85" t="n">
        <v>165.0</v>
      </c>
      <c r="K39" s="83">
        <f si="1" t="shared"/>
        <v>173</v>
      </c>
    </row>
    <row r="40" spans="1:11" x14ac:dyDescent="0.25">
      <c r="A40">
        <v>29</v>
      </c>
      <c r="B40" s="83" t="n">
        <v>0.0</v>
      </c>
      <c r="C40" s="83" t="n">
        <v>0.0</v>
      </c>
      <c r="D40" s="83" t="n">
        <v>0.0</v>
      </c>
      <c r="E40" s="83">
        <f si="0" t="shared"/>
        <v>0</v>
      </c>
      <c r="G40">
        <v>29</v>
      </c>
      <c r="H40" s="83" t="n">
        <v>0.0</v>
      </c>
      <c r="I40" s="83" t="n">
        <v>14.0</v>
      </c>
      <c r="J40" s="85" t="n">
        <v>435.0</v>
      </c>
      <c r="K40" s="83">
        <f si="1" t="shared"/>
        <v>494</v>
      </c>
    </row>
    <row r="41" spans="1:11" x14ac:dyDescent="0.25">
      <c r="A41">
        <v>30</v>
      </c>
      <c r="B41" s="83" t="n">
        <v>0.0</v>
      </c>
      <c r="C41" s="83" t="n">
        <v>0.0</v>
      </c>
      <c r="D41" s="83" t="n">
        <v>0.0</v>
      </c>
      <c r="E41" s="83">
        <f si="0" t="shared"/>
        <v>0</v>
      </c>
      <c r="G41">
        <v>30</v>
      </c>
      <c r="H41" s="83" t="n">
        <v>0.0</v>
      </c>
      <c r="I41" s="83" t="n">
        <v>19.0</v>
      </c>
      <c r="J41" s="85" t="n">
        <v>282.0</v>
      </c>
      <c r="K41" s="83">
        <f si="1" t="shared"/>
        <v>366</v>
      </c>
    </row>
    <row r="42" spans="1:11" x14ac:dyDescent="0.25">
      <c r="A42">
        <v>31</v>
      </c>
      <c r="B42" s="83" t="n">
        <v>0.0</v>
      </c>
      <c r="C42" s="83" t="n">
        <v>0.0</v>
      </c>
      <c r="D42" s="83" t="n">
        <v>0.0</v>
      </c>
      <c r="E42" s="83">
        <f si="0" t="shared"/>
        <v>0</v>
      </c>
      <c r="G42">
        <v>31</v>
      </c>
      <c r="H42" s="83" t="n">
        <v>0.0</v>
      </c>
      <c r="I42" s="83" t="n">
        <v>12.0</v>
      </c>
      <c r="J42" s="85" t="n">
        <v>184.0</v>
      </c>
      <c r="K42" s="83">
        <f si="1" t="shared"/>
        <v>265</v>
      </c>
    </row>
    <row r="43" spans="1:11" x14ac:dyDescent="0.25">
      <c r="A43">
        <v>32</v>
      </c>
      <c r="B43" s="83" t="n">
        <v>0.0</v>
      </c>
      <c r="C43" s="83" t="n">
        <v>0.0</v>
      </c>
      <c r="D43" s="83" t="n">
        <v>0.0</v>
      </c>
      <c r="E43" s="83">
        <f ref="E43:E74" si="2" t="shared">SUM(B43:D43)</f>
        <v>0</v>
      </c>
      <c r="G43">
        <v>32</v>
      </c>
      <c r="H43" s="83" t="n">
        <v>0.0</v>
      </c>
      <c r="I43" s="83" t="n">
        <v>9.0</v>
      </c>
      <c r="J43" s="85" t="n">
        <v>260.0</v>
      </c>
      <c r="K43" s="83">
        <f ref="K43:K74" si="3" t="shared">SUM(H43:J43)</f>
        <v>267</v>
      </c>
    </row>
    <row r="44" spans="1:11" x14ac:dyDescent="0.25">
      <c r="A44">
        <v>33</v>
      </c>
      <c r="B44" s="83" t="n">
        <v>0.0</v>
      </c>
      <c r="C44" s="83" t="n">
        <v>0.0</v>
      </c>
      <c r="D44" s="83" t="n">
        <v>0.0</v>
      </c>
      <c r="E44" s="83">
        <f si="2" t="shared"/>
        <v>0</v>
      </c>
      <c r="G44">
        <v>33</v>
      </c>
      <c r="H44" s="83" t="n">
        <v>0.0</v>
      </c>
      <c r="I44" s="83" t="n">
        <v>12.0</v>
      </c>
      <c r="J44" s="85" t="n">
        <v>146.0</v>
      </c>
      <c r="K44" s="83">
        <f si="3" t="shared"/>
        <v>198</v>
      </c>
    </row>
    <row r="45" spans="1:11" x14ac:dyDescent="0.25">
      <c r="A45">
        <v>34</v>
      </c>
      <c r="B45" s="83" t="n">
        <v>0.0</v>
      </c>
      <c r="C45" s="83" t="n">
        <v>0.0</v>
      </c>
      <c r="D45" s="83" t="n">
        <v>0.0</v>
      </c>
      <c r="E45" s="83">
        <f si="2" t="shared"/>
        <v>0</v>
      </c>
      <c r="G45">
        <v>34</v>
      </c>
      <c r="H45" s="83" t="n">
        <v>0.0</v>
      </c>
      <c r="I45" s="83" t="n">
        <v>7.0</v>
      </c>
      <c r="J45" s="85" t="n">
        <v>93.0</v>
      </c>
      <c r="K45" s="83">
        <f si="3" t="shared"/>
        <v>116</v>
      </c>
    </row>
    <row r="46" spans="1:11" x14ac:dyDescent="0.25">
      <c r="A46">
        <v>35</v>
      </c>
      <c r="B46" s="83" t="n">
        <v>0.0</v>
      </c>
      <c r="C46" s="83" t="n">
        <v>0.0</v>
      </c>
      <c r="D46" s="83" t="n">
        <v>0.0</v>
      </c>
      <c r="E46" s="83">
        <f si="2" t="shared"/>
        <v>0</v>
      </c>
      <c r="G46">
        <v>35</v>
      </c>
      <c r="H46" s="83" t="n">
        <v>0.0</v>
      </c>
      <c r="I46" s="83" t="n">
        <v>5.0</v>
      </c>
      <c r="J46" s="85" t="n">
        <v>27.0</v>
      </c>
      <c r="K46" s="83">
        <f si="3" t="shared"/>
        <v>94</v>
      </c>
    </row>
    <row r="47" spans="1:11" x14ac:dyDescent="0.25">
      <c r="A47">
        <v>36</v>
      </c>
      <c r="B47" s="83" t="n">
        <v>0.0</v>
      </c>
      <c r="C47" s="83" t="n">
        <v>0.0</v>
      </c>
      <c r="D47" s="83" t="n">
        <v>0.0</v>
      </c>
      <c r="E47" s="83">
        <f si="2" t="shared"/>
        <v>0</v>
      </c>
      <c r="G47">
        <v>36</v>
      </c>
      <c r="H47" s="83" t="n">
        <v>0.0</v>
      </c>
      <c r="I47" s="83" t="n">
        <v>7.0</v>
      </c>
      <c r="J47" s="85" t="n">
        <v>321.0</v>
      </c>
      <c r="K47" s="83">
        <f si="3" t="shared"/>
        <v>270</v>
      </c>
    </row>
    <row r="48" spans="1:11" x14ac:dyDescent="0.25">
      <c r="A48">
        <v>37</v>
      </c>
      <c r="B48" s="83" t="n">
        <v>0.0</v>
      </c>
      <c r="C48" s="83" t="n">
        <v>0.0</v>
      </c>
      <c r="D48" s="83" t="n">
        <v>0.0</v>
      </c>
      <c r="E48" s="83">
        <f si="2" t="shared"/>
        <v>0</v>
      </c>
      <c r="G48">
        <v>37</v>
      </c>
      <c r="H48" s="83" t="n">
        <v>0.0</v>
      </c>
      <c r="I48" s="83" t="n">
        <v>8.0</v>
      </c>
      <c r="J48" s="85" t="n">
        <v>115.0</v>
      </c>
      <c r="K48" s="83">
        <f si="3" t="shared"/>
        <v>248</v>
      </c>
    </row>
    <row r="49" spans="1:11" x14ac:dyDescent="0.25">
      <c r="A49">
        <v>38</v>
      </c>
      <c r="B49" s="83" t="n">
        <v>0.0</v>
      </c>
      <c r="C49" s="83" t="n">
        <v>0.0</v>
      </c>
      <c r="D49" s="83" t="n">
        <v>0.0</v>
      </c>
      <c r="E49" s="83">
        <f si="2" t="shared"/>
        <v>0</v>
      </c>
      <c r="G49">
        <v>38</v>
      </c>
      <c r="H49" s="83" t="n">
        <v>0.0</v>
      </c>
      <c r="I49" s="83" t="n">
        <v>4.0</v>
      </c>
      <c r="J49" s="85" t="n">
        <v>123.0</v>
      </c>
      <c r="K49" s="83">
        <f si="3" t="shared"/>
        <v>147</v>
      </c>
    </row>
    <row r="50" spans="1:11" x14ac:dyDescent="0.25">
      <c r="A50">
        <v>39</v>
      </c>
      <c r="B50" s="83" t="n">
        <v>0.0</v>
      </c>
      <c r="C50" s="83" t="n">
        <v>0.0</v>
      </c>
      <c r="D50" s="83" t="n">
        <v>0.0</v>
      </c>
      <c r="E50" s="83">
        <f si="2" t="shared"/>
        <v>0</v>
      </c>
      <c r="G50">
        <v>39</v>
      </c>
      <c r="H50" s="83" t="n">
        <v>0.0</v>
      </c>
      <c r="I50" s="83" t="n">
        <v>2.0</v>
      </c>
      <c r="J50" s="85" t="n">
        <v>164.0</v>
      </c>
      <c r="K50" s="83">
        <f si="3" t="shared"/>
        <v>173</v>
      </c>
    </row>
    <row r="51" spans="1:11" x14ac:dyDescent="0.25">
      <c r="A51">
        <v>40</v>
      </c>
      <c r="B51" s="83" t="n">
        <v>0.0</v>
      </c>
      <c r="C51" s="83" t="n">
        <v>0.0</v>
      </c>
      <c r="D51" s="83" t="n">
        <v>0.0</v>
      </c>
      <c r="E51" s="83">
        <f si="2" t="shared"/>
        <v>0</v>
      </c>
      <c r="G51">
        <v>40</v>
      </c>
      <c r="H51" s="83" t="n">
        <v>0.0</v>
      </c>
      <c r="I51" s="83" t="n">
        <v>3.0</v>
      </c>
      <c r="J51" s="85" t="n">
        <v>40.0</v>
      </c>
      <c r="K51" s="83">
        <f si="3" t="shared"/>
        <v>28</v>
      </c>
    </row>
    <row r="52" spans="1:11" x14ac:dyDescent="0.25">
      <c r="A52">
        <v>41</v>
      </c>
      <c r="B52" s="83" t="n">
        <v>0.0</v>
      </c>
      <c r="C52" s="83" t="n">
        <v>0.0</v>
      </c>
      <c r="D52" s="83" t="n">
        <v>0.0</v>
      </c>
      <c r="E52" s="83">
        <f si="2" t="shared"/>
        <v>0</v>
      </c>
      <c r="G52">
        <v>41</v>
      </c>
      <c r="H52" s="83" t="n">
        <v>0.0</v>
      </c>
      <c r="I52" s="83" t="n">
        <v>2.0</v>
      </c>
      <c r="J52" s="85" t="n">
        <v>32.0</v>
      </c>
      <c r="K52" s="83">
        <f si="3" t="shared"/>
        <v>44</v>
      </c>
    </row>
    <row r="53" spans="1:11" x14ac:dyDescent="0.25">
      <c r="A53">
        <v>42</v>
      </c>
      <c r="B53" s="83" t="n">
        <v>0.0</v>
      </c>
      <c r="C53" s="83" t="n">
        <v>0.0</v>
      </c>
      <c r="D53" s="83" t="n">
        <v>0.0</v>
      </c>
      <c r="E53" s="83">
        <f si="2" t="shared"/>
        <v>0</v>
      </c>
      <c r="G53">
        <v>42</v>
      </c>
      <c r="H53" s="83" t="n">
        <v>0.0</v>
      </c>
      <c r="I53" s="83" t="n">
        <v>4.0</v>
      </c>
      <c r="J53" s="85" t="n">
        <v>25.0</v>
      </c>
      <c r="K53" s="83">
        <f si="3" t="shared"/>
        <v>30</v>
      </c>
    </row>
    <row r="54" spans="1:11" x14ac:dyDescent="0.25">
      <c r="A54">
        <v>43</v>
      </c>
      <c r="B54" s="83" t="n">
        <v>0.0</v>
      </c>
      <c r="C54" s="83" t="n">
        <v>0.0</v>
      </c>
      <c r="D54" s="83" t="n">
        <v>0.0</v>
      </c>
      <c r="E54" s="83">
        <f si="2" t="shared"/>
        <v>0</v>
      </c>
      <c r="G54">
        <v>43</v>
      </c>
      <c r="H54" s="83" t="n">
        <v>0.0</v>
      </c>
      <c r="I54" s="83" t="n">
        <v>0.0</v>
      </c>
      <c r="J54" s="85" t="n">
        <v>24.0</v>
      </c>
      <c r="K54" s="83">
        <f si="3" t="shared"/>
        <v>34</v>
      </c>
    </row>
    <row r="55" spans="1:11" x14ac:dyDescent="0.25">
      <c r="A55">
        <v>44</v>
      </c>
      <c r="B55" s="83" t="n">
        <v>0.0</v>
      </c>
      <c r="C55" s="83" t="n">
        <v>0.0</v>
      </c>
      <c r="D55" s="83" t="n">
        <v>0.0</v>
      </c>
      <c r="E55" s="83">
        <f si="2" t="shared"/>
        <v>0</v>
      </c>
      <c r="G55">
        <v>44</v>
      </c>
      <c r="H55" s="83" t="n">
        <v>0.0</v>
      </c>
      <c r="I55" s="83" t="n">
        <v>2.0</v>
      </c>
      <c r="J55" s="85" t="n">
        <v>22.0</v>
      </c>
      <c r="K55" s="83">
        <f si="3" t="shared"/>
        <v>30</v>
      </c>
    </row>
    <row r="56" spans="1:11" x14ac:dyDescent="0.25">
      <c r="A56">
        <v>45</v>
      </c>
      <c r="B56" s="83" t="n">
        <v>0.0</v>
      </c>
      <c r="C56" s="83" t="n">
        <v>0.0</v>
      </c>
      <c r="D56" s="83" t="n">
        <v>0.0</v>
      </c>
      <c r="E56" s="83">
        <f si="2" t="shared"/>
        <v>0</v>
      </c>
      <c r="G56">
        <v>45</v>
      </c>
      <c r="H56" s="83" t="n">
        <v>0.0</v>
      </c>
      <c r="I56" s="83" t="n">
        <v>1.0</v>
      </c>
      <c r="J56" s="85" t="n">
        <v>1.0</v>
      </c>
      <c r="K56" s="83">
        <f si="3" t="shared"/>
        <v>17</v>
      </c>
    </row>
    <row r="57" spans="1:11" x14ac:dyDescent="0.25">
      <c r="A57">
        <v>46</v>
      </c>
      <c r="B57" s="83" t="n">
        <v>0.0</v>
      </c>
      <c r="C57" s="83" t="n">
        <v>0.0</v>
      </c>
      <c r="D57" s="83" t="n">
        <v>0.0</v>
      </c>
      <c r="E57" s="83">
        <f si="2" t="shared"/>
        <v>0</v>
      </c>
      <c r="G57">
        <v>46</v>
      </c>
      <c r="H57" s="83" t="n">
        <v>0.0</v>
      </c>
      <c r="I57" s="83" t="n">
        <v>2.0</v>
      </c>
      <c r="J57" s="85" t="n">
        <v>37.0</v>
      </c>
      <c r="K57" s="83">
        <f si="3" t="shared"/>
        <v>37</v>
      </c>
    </row>
    <row r="58" spans="1:11" x14ac:dyDescent="0.25">
      <c r="A58">
        <v>47</v>
      </c>
      <c r="B58" s="83" t="n">
        <v>0.0</v>
      </c>
      <c r="C58" s="83" t="n">
        <v>0.0</v>
      </c>
      <c r="D58" s="83" t="n">
        <v>0.0</v>
      </c>
      <c r="E58" s="83">
        <f si="2" t="shared"/>
        <v>0</v>
      </c>
      <c r="G58">
        <v>47</v>
      </c>
      <c r="H58" s="83" t="n">
        <v>0.0</v>
      </c>
      <c r="I58" s="83" t="n">
        <v>2.0</v>
      </c>
      <c r="J58" s="85" t="n">
        <v>27.0</v>
      </c>
      <c r="K58" s="83">
        <f si="3" t="shared"/>
        <v>28</v>
      </c>
    </row>
    <row r="59" spans="1:11" x14ac:dyDescent="0.25">
      <c r="A59">
        <v>48</v>
      </c>
      <c r="B59" s="83" t="n">
        <v>0.0</v>
      </c>
      <c r="C59" s="83" t="n">
        <v>0.0</v>
      </c>
      <c r="D59" s="83" t="n">
        <v>0.0</v>
      </c>
      <c r="E59" s="83">
        <f si="2" t="shared"/>
        <v>0</v>
      </c>
      <c r="G59">
        <v>48</v>
      </c>
      <c r="H59" s="83" t="n">
        <v>0.0</v>
      </c>
      <c r="I59" s="83" t="n">
        <v>0.0</v>
      </c>
      <c r="J59" s="85" t="n">
        <v>10.0</v>
      </c>
      <c r="K59" s="83">
        <f si="3" t="shared"/>
        <v>12</v>
      </c>
    </row>
    <row r="60" spans="1:11" x14ac:dyDescent="0.25">
      <c r="A60">
        <v>49</v>
      </c>
      <c r="B60" s="83" t="n">
        <v>0.0</v>
      </c>
      <c r="C60" s="83" t="n">
        <v>0.0</v>
      </c>
      <c r="D60" s="83" t="n">
        <v>0.0</v>
      </c>
      <c r="E60" s="83">
        <f si="2" t="shared"/>
        <v>0</v>
      </c>
      <c r="G60">
        <v>49</v>
      </c>
      <c r="H60" s="83" t="n">
        <v>0.0</v>
      </c>
      <c r="I60" s="83" t="n">
        <v>1.0</v>
      </c>
      <c r="J60" s="85" t="n">
        <v>48.0</v>
      </c>
      <c r="K60" s="83">
        <f si="3" t="shared"/>
        <v>52</v>
      </c>
    </row>
    <row r="61" spans="1:11" x14ac:dyDescent="0.25">
      <c r="A61">
        <v>50</v>
      </c>
      <c r="B61" s="83" t="n">
        <v>0.0</v>
      </c>
      <c r="C61" s="83" t="n">
        <v>0.0</v>
      </c>
      <c r="D61" s="83" t="n">
        <v>0.0</v>
      </c>
      <c r="E61" s="83">
        <f si="2" t="shared"/>
        <v>0</v>
      </c>
      <c r="G61">
        <v>50</v>
      </c>
      <c r="H61" s="83" t="n">
        <v>0.0</v>
      </c>
      <c r="I61" s="83" t="n">
        <v>1.0</v>
      </c>
      <c r="J61" s="85" t="n">
        <v>6.0</v>
      </c>
      <c r="K61" s="83">
        <f si="3" t="shared"/>
        <v>7</v>
      </c>
    </row>
    <row r="62" spans="1:11" x14ac:dyDescent="0.25">
      <c r="A62">
        <v>51</v>
      </c>
      <c r="B62" s="83" t="n">
        <v>0.0</v>
      </c>
      <c r="C62" s="83" t="n">
        <v>0.0</v>
      </c>
      <c r="D62" s="83" t="n">
        <v>0.0</v>
      </c>
      <c r="E62" s="83">
        <f si="2" t="shared"/>
        <v>0</v>
      </c>
      <c r="G62">
        <v>51</v>
      </c>
      <c r="H62" s="83" t="n">
        <v>0.0</v>
      </c>
      <c r="I62" s="83" t="n">
        <v>0.0</v>
      </c>
      <c r="J62" s="85" t="n">
        <v>0.0</v>
      </c>
      <c r="K62" s="83">
        <f si="3" t="shared"/>
        <v>13</v>
      </c>
    </row>
    <row r="63" spans="1:11" x14ac:dyDescent="0.25">
      <c r="A63">
        <v>52</v>
      </c>
      <c r="B63" s="83" t="n">
        <v>0.0</v>
      </c>
      <c r="C63" s="83" t="n">
        <v>0.0</v>
      </c>
      <c r="D63" s="83" t="n">
        <v>0.0</v>
      </c>
      <c r="E63" s="83">
        <f si="2" t="shared"/>
        <v>0</v>
      </c>
      <c r="G63">
        <v>52</v>
      </c>
      <c r="H63" s="83" t="n">
        <v>0.0</v>
      </c>
      <c r="I63" s="83" t="n">
        <v>0.0</v>
      </c>
      <c r="J63" s="85" t="n">
        <v>0.0</v>
      </c>
      <c r="K63" s="83">
        <f si="3" t="shared"/>
        <v>0</v>
      </c>
    </row>
    <row r="64" spans="1:11" x14ac:dyDescent="0.25">
      <c r="A64">
        <v>53</v>
      </c>
      <c r="B64" s="83" t="n">
        <v>0.0</v>
      </c>
      <c r="C64" s="83" t="n">
        <v>0.0</v>
      </c>
      <c r="D64" s="83" t="n">
        <v>0.0</v>
      </c>
      <c r="E64" s="83">
        <f si="2" t="shared"/>
        <v>0</v>
      </c>
      <c r="G64">
        <v>53</v>
      </c>
      <c r="H64" s="83" t="n">
        <v>0.0</v>
      </c>
      <c r="I64" s="83" t="n">
        <v>1.0</v>
      </c>
      <c r="J64" s="85" t="n">
        <v>1.0</v>
      </c>
      <c r="K64" s="83">
        <f si="3" t="shared"/>
        <v>5</v>
      </c>
    </row>
    <row r="65" spans="1:11" x14ac:dyDescent="0.25">
      <c r="A65">
        <v>54</v>
      </c>
      <c r="B65" s="83" t="n">
        <v>0.0</v>
      </c>
      <c r="C65" s="83" t="n">
        <v>0.0</v>
      </c>
      <c r="D65" s="83" t="n">
        <v>0.0</v>
      </c>
      <c r="E65" s="83">
        <f si="2" t="shared"/>
        <v>0</v>
      </c>
      <c r="G65">
        <v>54</v>
      </c>
      <c r="H65" s="83" t="n">
        <v>0.0</v>
      </c>
      <c r="I65" s="83" t="n">
        <v>0.0</v>
      </c>
      <c r="J65" s="85" t="n">
        <v>0.0</v>
      </c>
      <c r="K65" s="83">
        <f si="3" t="shared"/>
        <v>1</v>
      </c>
    </row>
    <row r="66" spans="1:11" x14ac:dyDescent="0.25">
      <c r="A66">
        <v>55</v>
      </c>
      <c r="B66" s="83" t="n">
        <v>0.0</v>
      </c>
      <c r="C66" s="83" t="n">
        <v>0.0</v>
      </c>
      <c r="D66" s="83" t="n">
        <v>0.0</v>
      </c>
      <c r="E66" s="83">
        <f si="2" t="shared"/>
        <v>0</v>
      </c>
      <c r="G66">
        <v>55</v>
      </c>
      <c r="H66" s="83" t="n">
        <v>0.0</v>
      </c>
      <c r="I66" s="83" t="n">
        <v>0.0</v>
      </c>
      <c r="J66" s="85" t="n">
        <v>1.0</v>
      </c>
      <c r="K66" s="83">
        <f si="3" t="shared"/>
        <v>0</v>
      </c>
    </row>
    <row r="67" spans="1:11" x14ac:dyDescent="0.25">
      <c r="A67">
        <v>56</v>
      </c>
      <c r="B67" s="83" t="n">
        <v>0.0</v>
      </c>
      <c r="C67" s="83" t="n">
        <v>0.0</v>
      </c>
      <c r="D67" s="83" t="n">
        <v>0.0</v>
      </c>
      <c r="E67" s="83">
        <f si="2" t="shared"/>
        <v>0</v>
      </c>
      <c r="G67">
        <v>56</v>
      </c>
      <c r="H67" s="83" t="n">
        <v>0.0</v>
      </c>
      <c r="I67" s="83" t="n">
        <v>0.0</v>
      </c>
      <c r="J67" s="85" t="n">
        <v>1.0</v>
      </c>
      <c r="K67" s="83">
        <f si="3" t="shared"/>
        <v>1</v>
      </c>
    </row>
    <row r="68" spans="1:11" x14ac:dyDescent="0.25">
      <c r="A68">
        <v>57</v>
      </c>
      <c r="B68" s="83" t="n">
        <v>0.0</v>
      </c>
      <c r="C68" s="83" t="n">
        <v>0.0</v>
      </c>
      <c r="D68" s="83" t="n">
        <v>0.0</v>
      </c>
      <c r="E68" s="83">
        <f si="2" t="shared"/>
        <v>0</v>
      </c>
      <c r="G68">
        <v>57</v>
      </c>
      <c r="H68" s="83" t="n">
        <v>0.0</v>
      </c>
      <c r="I68" s="83" t="n">
        <v>0.0</v>
      </c>
      <c r="J68" s="85" t="n">
        <v>0.0</v>
      </c>
      <c r="K68" s="83">
        <f si="3" t="shared"/>
        <v>1</v>
      </c>
    </row>
    <row r="69" spans="1:11" x14ac:dyDescent="0.25">
      <c r="A69">
        <v>58</v>
      </c>
      <c r="B69" s="83" t="n">
        <v>0.0</v>
      </c>
      <c r="C69" s="83" t="n">
        <v>0.0</v>
      </c>
      <c r="D69" s="83" t="n">
        <v>0.0</v>
      </c>
      <c r="E69" s="83">
        <f si="2" t="shared"/>
        <v>0</v>
      </c>
      <c r="G69">
        <v>58</v>
      </c>
      <c r="H69" s="83" t="n">
        <v>0.0</v>
      </c>
      <c r="I69" s="83" t="n">
        <v>0.0</v>
      </c>
      <c r="J69" s="85" t="n">
        <v>1.0</v>
      </c>
      <c r="K69" s="83">
        <f si="3" t="shared"/>
        <v>2</v>
      </c>
    </row>
    <row r="70" spans="1:11" x14ac:dyDescent="0.25">
      <c r="A70">
        <v>59</v>
      </c>
      <c r="B70" s="83" t="n">
        <v>0.0</v>
      </c>
      <c r="C70" s="83" t="n">
        <v>0.0</v>
      </c>
      <c r="D70" s="83" t="n">
        <v>0.0</v>
      </c>
      <c r="E70" s="83">
        <f si="2" t="shared"/>
        <v>0</v>
      </c>
      <c r="G70">
        <v>59</v>
      </c>
      <c r="H70" s="83" t="n">
        <v>0.0</v>
      </c>
      <c r="I70" s="83" t="n">
        <v>0.0</v>
      </c>
      <c r="J70" s="85" t="n">
        <v>0.0</v>
      </c>
      <c r="K70" s="83">
        <f si="3" t="shared"/>
        <v>0</v>
      </c>
    </row>
    <row r="71" spans="1:11" x14ac:dyDescent="0.25">
      <c r="A71">
        <v>60</v>
      </c>
      <c r="B71" s="83" t="n">
        <v>0.0</v>
      </c>
      <c r="C71" s="83" t="n">
        <v>0.0</v>
      </c>
      <c r="D71" s="83" t="n">
        <v>0.0</v>
      </c>
      <c r="E71" s="83">
        <f si="2" t="shared"/>
        <v>0</v>
      </c>
      <c r="G71">
        <v>60</v>
      </c>
      <c r="H71" s="83" t="n">
        <v>0.0</v>
      </c>
      <c r="I71" s="83" t="n">
        <v>0.0</v>
      </c>
      <c r="J71" s="85" t="n">
        <v>0.0</v>
      </c>
      <c r="K71" s="83">
        <f si="3" t="shared"/>
        <v>0</v>
      </c>
    </row>
    <row r="72" spans="1:11" x14ac:dyDescent="0.25">
      <c r="A72">
        <v>61</v>
      </c>
      <c r="B72" s="83" t="n">
        <v>0.0</v>
      </c>
      <c r="C72" s="83" t="n">
        <v>0.0</v>
      </c>
      <c r="D72" s="83" t="n">
        <v>0.0</v>
      </c>
      <c r="E72" s="83">
        <f si="2" t="shared"/>
        <v>0</v>
      </c>
      <c r="G72">
        <v>61</v>
      </c>
      <c r="H72" s="83" t="n">
        <v>0.0</v>
      </c>
      <c r="I72" s="83" t="n">
        <v>0.0</v>
      </c>
      <c r="J72" s="85" t="n">
        <v>0.0</v>
      </c>
      <c r="K72" s="83">
        <f si="3" t="shared"/>
        <v>0</v>
      </c>
    </row>
    <row r="73" spans="1:11" x14ac:dyDescent="0.25">
      <c r="A73">
        <v>62</v>
      </c>
      <c r="B73" s="83" t="n">
        <v>0.0</v>
      </c>
      <c r="C73" s="83" t="n">
        <v>0.0</v>
      </c>
      <c r="D73" s="83" t="n">
        <v>0.0</v>
      </c>
      <c r="E73" s="83">
        <f si="2" t="shared"/>
        <v>0</v>
      </c>
      <c r="G73">
        <v>62</v>
      </c>
      <c r="H73" s="83" t="n">
        <v>0.0</v>
      </c>
      <c r="I73" s="83" t="n">
        <v>0.0</v>
      </c>
      <c r="J73" s="85" t="n">
        <v>0.0</v>
      </c>
      <c r="K73" s="83">
        <f si="3" t="shared"/>
        <v>0</v>
      </c>
    </row>
    <row r="74" spans="1:11" x14ac:dyDescent="0.25">
      <c r="A74">
        <v>63</v>
      </c>
      <c r="B74" s="83" t="n">
        <v>0.0</v>
      </c>
      <c r="C74" s="83" t="n">
        <v>0.0</v>
      </c>
      <c r="D74" s="83" t="n">
        <v>0.0</v>
      </c>
      <c r="E74" s="83">
        <f si="2" t="shared"/>
        <v>0</v>
      </c>
      <c r="G74">
        <v>63</v>
      </c>
      <c r="H74" s="83" t="n">
        <v>0.0</v>
      </c>
      <c r="I74" s="83" t="n">
        <v>0.0</v>
      </c>
      <c r="J74" s="85" t="n">
        <v>0.0</v>
      </c>
      <c r="K74" s="83">
        <f si="3" t="shared"/>
        <v>0</v>
      </c>
    </row>
    <row r="75" spans="1:11" x14ac:dyDescent="0.25">
      <c r="A75">
        <v>64</v>
      </c>
      <c r="B75" s="83" t="n">
        <v>0.0</v>
      </c>
      <c r="C75" s="83" t="n">
        <v>0.0</v>
      </c>
      <c r="D75" s="83" t="n">
        <v>0.0</v>
      </c>
      <c r="E75" s="83">
        <f ref="E75:E101" si="4" t="shared">SUM(B75:D75)</f>
        <v>0</v>
      </c>
      <c r="G75">
        <v>64</v>
      </c>
      <c r="H75" s="83" t="n">
        <v>0.0</v>
      </c>
      <c r="I75" s="83" t="n">
        <v>0.0</v>
      </c>
      <c r="J75" s="85" t="n">
        <v>0.0</v>
      </c>
      <c r="K75" s="83">
        <f ref="K75:K101" si="5" t="shared">SUM(H75:J75)</f>
        <v>0</v>
      </c>
    </row>
    <row r="76" spans="1:11" x14ac:dyDescent="0.25">
      <c r="A76">
        <v>65</v>
      </c>
      <c r="B76" s="83" t="n">
        <v>0.0</v>
      </c>
      <c r="C76" s="83" t="n">
        <v>0.0</v>
      </c>
      <c r="D76" s="83" t="n">
        <v>0.0</v>
      </c>
      <c r="E76" s="83">
        <f si="4" t="shared"/>
        <v>0</v>
      </c>
      <c r="G76">
        <v>65</v>
      </c>
      <c r="H76" s="83" t="n">
        <v>0.0</v>
      </c>
      <c r="I76" s="83" t="n">
        <v>0.0</v>
      </c>
      <c r="J76" s="85" t="n">
        <v>0.0</v>
      </c>
      <c r="K76" s="83">
        <f si="5" t="shared"/>
        <v>0</v>
      </c>
    </row>
    <row r="77" spans="1:11" x14ac:dyDescent="0.25">
      <c r="A77">
        <v>66</v>
      </c>
      <c r="B77" s="83" t="n">
        <v>0.0</v>
      </c>
      <c r="C77" s="83" t="n">
        <v>0.0</v>
      </c>
      <c r="D77" s="83" t="n">
        <v>0.0</v>
      </c>
      <c r="E77" s="83">
        <f si="4" t="shared"/>
        <v>0</v>
      </c>
      <c r="G77">
        <v>66</v>
      </c>
      <c r="H77" s="83" t="n">
        <v>0.0</v>
      </c>
      <c r="I77" s="83" t="n">
        <v>0.0</v>
      </c>
      <c r="J77" s="83" t="n">
        <v>0.0</v>
      </c>
      <c r="K77" s="83">
        <f si="5" t="shared"/>
        <v>0</v>
      </c>
    </row>
    <row r="78" spans="1:11" x14ac:dyDescent="0.25">
      <c r="A78">
        <v>67</v>
      </c>
      <c r="B78" s="83" t="n">
        <v>0.0</v>
      </c>
      <c r="C78" s="83" t="n">
        <v>0.0</v>
      </c>
      <c r="D78" s="83" t="n">
        <v>0.0</v>
      </c>
      <c r="E78" s="83">
        <f si="4" t="shared"/>
        <v>0</v>
      </c>
      <c r="G78">
        <v>67</v>
      </c>
      <c r="H78" s="83" t="n">
        <v>0.0</v>
      </c>
      <c r="I78" s="83" t="n">
        <v>0.0</v>
      </c>
      <c r="J78" s="83" t="n">
        <v>0.0</v>
      </c>
      <c r="K78" s="83">
        <f si="5" t="shared"/>
        <v>0</v>
      </c>
    </row>
    <row r="79" spans="1:11" x14ac:dyDescent="0.25">
      <c r="A79">
        <v>68</v>
      </c>
      <c r="B79" s="83" t="n">
        <v>0.0</v>
      </c>
      <c r="C79" s="83" t="n">
        <v>0.0</v>
      </c>
      <c r="D79" s="83" t="n">
        <v>0.0</v>
      </c>
      <c r="E79" s="83">
        <f si="4" t="shared"/>
        <v>0</v>
      </c>
      <c r="G79">
        <v>68</v>
      </c>
      <c r="H79" s="83" t="n">
        <v>0.0</v>
      </c>
      <c r="I79" s="83" t="n">
        <v>0.0</v>
      </c>
      <c r="J79" s="85" t="n">
        <v>0.0</v>
      </c>
      <c r="K79" s="83">
        <f si="5" t="shared"/>
        <v>0</v>
      </c>
    </row>
    <row r="80" spans="1:11" x14ac:dyDescent="0.25">
      <c r="A80">
        <v>69</v>
      </c>
      <c r="B80" s="83" t="n">
        <v>0.0</v>
      </c>
      <c r="C80" s="83" t="n">
        <v>0.0</v>
      </c>
      <c r="D80" s="83" t="n">
        <v>0.0</v>
      </c>
      <c r="E80" s="83">
        <f si="4" t="shared"/>
        <v>0</v>
      </c>
      <c r="G80">
        <v>69</v>
      </c>
      <c r="H80" s="83" t="n">
        <v>0.0</v>
      </c>
      <c r="I80" s="83" t="n">
        <v>0.0</v>
      </c>
      <c r="J80" s="83" t="n">
        <v>0.0</v>
      </c>
      <c r="K80" s="83">
        <f si="5" t="shared"/>
        <v>0</v>
      </c>
    </row>
    <row r="81" spans="1:11" x14ac:dyDescent="0.25">
      <c r="A81">
        <v>70</v>
      </c>
      <c r="B81" s="83" t="n">
        <v>0.0</v>
      </c>
      <c r="C81" s="83" t="n">
        <v>0.0</v>
      </c>
      <c r="D81" s="83" t="n">
        <v>0.0</v>
      </c>
      <c r="E81" s="83">
        <f si="4" t="shared"/>
        <v>0</v>
      </c>
      <c r="G81">
        <v>70</v>
      </c>
      <c r="H81" s="83" t="n">
        <v>0.0</v>
      </c>
      <c r="I81" s="83" t="n">
        <v>0.0</v>
      </c>
      <c r="J81" s="85" t="n">
        <v>0.0</v>
      </c>
      <c r="K81" s="83">
        <f si="5" t="shared"/>
        <v>0</v>
      </c>
    </row>
    <row r="82" spans="1:11" x14ac:dyDescent="0.25">
      <c r="A82">
        <v>71</v>
      </c>
      <c r="B82" s="83" t="n">
        <v>0.0</v>
      </c>
      <c r="C82" s="83" t="n">
        <v>0.0</v>
      </c>
      <c r="D82" s="83" t="n">
        <v>0.0</v>
      </c>
      <c r="E82" s="83">
        <f si="4" t="shared"/>
        <v>0</v>
      </c>
      <c r="G82">
        <v>71</v>
      </c>
      <c r="H82" s="83" t="n">
        <v>0.0</v>
      </c>
      <c r="I82" s="83" t="n">
        <v>0.0</v>
      </c>
      <c r="J82" s="85" t="n">
        <v>0.0</v>
      </c>
      <c r="K82" s="83">
        <f si="5" t="shared"/>
        <v>0</v>
      </c>
    </row>
    <row r="83" spans="1:11" x14ac:dyDescent="0.25">
      <c r="A83">
        <v>72</v>
      </c>
      <c r="B83" s="83" t="n">
        <v>0.0</v>
      </c>
      <c r="C83" s="83" t="n">
        <v>0.0</v>
      </c>
      <c r="D83" s="83" t="n">
        <v>0.0</v>
      </c>
      <c r="E83" s="83">
        <f si="4" t="shared"/>
        <v>0</v>
      </c>
      <c r="G83">
        <v>72</v>
      </c>
      <c r="H83" s="83" t="n">
        <v>0.0</v>
      </c>
      <c r="I83" s="83" t="n">
        <v>0.0</v>
      </c>
      <c r="J83" s="83" t="n">
        <v>0.0</v>
      </c>
      <c r="K83" s="83">
        <f si="5" t="shared"/>
        <v>0</v>
      </c>
    </row>
    <row r="84" spans="1:11" x14ac:dyDescent="0.25">
      <c r="A84">
        <v>73</v>
      </c>
      <c r="B84" s="83" t="n">
        <v>0.0</v>
      </c>
      <c r="C84" s="83" t="n">
        <v>0.0</v>
      </c>
      <c r="D84" s="83" t="n">
        <v>0.0</v>
      </c>
      <c r="E84" s="83">
        <f si="4" t="shared"/>
        <v>0</v>
      </c>
      <c r="G84">
        <v>73</v>
      </c>
      <c r="H84" s="83" t="n">
        <v>0.0</v>
      </c>
      <c r="I84" s="83" t="n">
        <v>0.0</v>
      </c>
      <c r="J84" s="83" t="n">
        <v>0.0</v>
      </c>
      <c r="K84" s="83">
        <f si="5" t="shared"/>
        <v>0</v>
      </c>
    </row>
    <row r="85" spans="1:11" x14ac:dyDescent="0.25">
      <c r="A85">
        <v>74</v>
      </c>
      <c r="B85" s="83" t="n">
        <v>0.0</v>
      </c>
      <c r="C85" s="83" t="n">
        <v>0.0</v>
      </c>
      <c r="D85" s="83" t="n">
        <v>0.0</v>
      </c>
      <c r="E85" s="83">
        <f si="4" t="shared"/>
        <v>0</v>
      </c>
      <c r="G85">
        <v>74</v>
      </c>
      <c r="H85" s="83" t="n">
        <v>0.0</v>
      </c>
      <c r="I85" s="83" t="n">
        <v>0.0</v>
      </c>
      <c r="J85" s="83" t="n">
        <v>0.0</v>
      </c>
      <c r="K85" s="83">
        <f si="5" t="shared"/>
        <v>0</v>
      </c>
    </row>
    <row r="86" spans="1:11" x14ac:dyDescent="0.25">
      <c r="A86">
        <v>75</v>
      </c>
      <c r="B86" s="83" t="n">
        <v>0.0</v>
      </c>
      <c r="C86" s="83" t="n">
        <v>0.0</v>
      </c>
      <c r="D86" s="83" t="n">
        <v>0.0</v>
      </c>
      <c r="E86" s="83">
        <f si="4" t="shared"/>
        <v>0</v>
      </c>
      <c r="G86">
        <v>75</v>
      </c>
      <c r="H86" s="83" t="n">
        <v>0.0</v>
      </c>
      <c r="I86" s="83" t="n">
        <v>0.0</v>
      </c>
      <c r="J86" s="83" t="n">
        <v>0.0</v>
      </c>
      <c r="K86" s="83">
        <f si="5" t="shared"/>
        <v>0</v>
      </c>
    </row>
    <row r="87" spans="1:11" x14ac:dyDescent="0.25">
      <c r="A87">
        <v>76</v>
      </c>
      <c r="B87" s="83" t="n">
        <v>0.0</v>
      </c>
      <c r="C87" s="83" t="n">
        <v>0.0</v>
      </c>
      <c r="D87" s="83" t="n">
        <v>0.0</v>
      </c>
      <c r="E87" s="83">
        <f si="4" t="shared"/>
        <v>0</v>
      </c>
      <c r="G87">
        <v>76</v>
      </c>
      <c r="H87" s="83" t="n">
        <v>0.0</v>
      </c>
      <c r="I87" s="83" t="n">
        <v>0.0</v>
      </c>
      <c r="J87" s="85" t="n">
        <v>0.0</v>
      </c>
      <c r="K87" s="83">
        <f si="5" t="shared"/>
        <v>0</v>
      </c>
    </row>
    <row r="88" spans="1:11" x14ac:dyDescent="0.25">
      <c r="A88">
        <v>77</v>
      </c>
      <c r="B88" s="83" t="n">
        <v>0.0</v>
      </c>
      <c r="C88" s="83" t="n">
        <v>0.0</v>
      </c>
      <c r="D88" s="83" t="n">
        <v>0.0</v>
      </c>
      <c r="E88" s="83">
        <f si="4" t="shared"/>
        <v>0</v>
      </c>
      <c r="G88">
        <v>77</v>
      </c>
      <c r="H88" s="83" t="n">
        <v>0.0</v>
      </c>
      <c r="I88" s="83" t="n">
        <v>0.0</v>
      </c>
      <c r="J88" s="83" t="n">
        <v>0.0</v>
      </c>
      <c r="K88" s="83">
        <f si="5" t="shared"/>
        <v>0</v>
      </c>
    </row>
    <row r="89" spans="1:11" x14ac:dyDescent="0.25">
      <c r="A89">
        <v>78</v>
      </c>
      <c r="B89" s="83" t="n">
        <v>0.0</v>
      </c>
      <c r="C89" s="83" t="n">
        <v>0.0</v>
      </c>
      <c r="D89" s="83" t="n">
        <v>0.0</v>
      </c>
      <c r="E89" s="83">
        <f si="4" t="shared"/>
        <v>0</v>
      </c>
      <c r="G89">
        <v>78</v>
      </c>
      <c r="H89" s="83" t="n">
        <v>0.0</v>
      </c>
      <c r="I89" s="83" t="n">
        <v>0.0</v>
      </c>
      <c r="J89" s="85" t="n">
        <v>0.0</v>
      </c>
      <c r="K89" s="83">
        <f si="5" t="shared"/>
        <v>0</v>
      </c>
    </row>
    <row r="90" spans="1:11" x14ac:dyDescent="0.25">
      <c r="A90">
        <v>79</v>
      </c>
      <c r="B90" s="83" t="n">
        <v>0.0</v>
      </c>
      <c r="C90" s="83" t="n">
        <v>0.0</v>
      </c>
      <c r="D90" s="83" t="n">
        <v>0.0</v>
      </c>
      <c r="E90" s="83">
        <f si="4" t="shared"/>
        <v>0</v>
      </c>
      <c r="G90">
        <v>79</v>
      </c>
      <c r="H90" s="83" t="n">
        <v>0.0</v>
      </c>
      <c r="I90" s="83" t="n">
        <v>0.0</v>
      </c>
      <c r="J90" s="83" t="n">
        <v>0.0</v>
      </c>
      <c r="K90" s="83">
        <f si="5" t="shared"/>
        <v>0</v>
      </c>
    </row>
    <row r="91" spans="1:11" x14ac:dyDescent="0.25">
      <c r="A91">
        <v>80</v>
      </c>
      <c r="B91" s="83" t="n">
        <v>0.0</v>
      </c>
      <c r="C91" s="83" t="n">
        <v>0.0</v>
      </c>
      <c r="D91" s="83" t="n">
        <v>0.0</v>
      </c>
      <c r="E91" s="83">
        <f si="4" t="shared"/>
        <v>0</v>
      </c>
      <c r="G91">
        <v>80</v>
      </c>
      <c r="H91" s="83" t="n">
        <v>0.0</v>
      </c>
      <c r="I91" s="83" t="n">
        <v>0.0</v>
      </c>
      <c r="J91" s="83" t="n">
        <v>0.0</v>
      </c>
      <c r="K91" s="83">
        <f si="5" t="shared"/>
        <v>0</v>
      </c>
    </row>
    <row r="92" spans="1:11" x14ac:dyDescent="0.25">
      <c r="A92">
        <v>81</v>
      </c>
      <c r="B92" s="83" t="n">
        <v>0.0</v>
      </c>
      <c r="C92" s="83" t="n">
        <v>0.0</v>
      </c>
      <c r="D92" s="83" t="n">
        <v>0.0</v>
      </c>
      <c r="E92" s="83">
        <f si="4" t="shared"/>
        <v>0</v>
      </c>
      <c r="G92">
        <v>81</v>
      </c>
      <c r="H92" s="83" t="n">
        <v>0.0</v>
      </c>
      <c r="I92" s="83" t="n">
        <v>0.0</v>
      </c>
      <c r="J92" s="85" t="n">
        <v>0.0</v>
      </c>
      <c r="K92" s="83">
        <f si="5" t="shared"/>
        <v>0</v>
      </c>
    </row>
    <row r="93" spans="1:11" x14ac:dyDescent="0.25">
      <c r="A93">
        <v>82</v>
      </c>
      <c r="B93" s="83" t="n">
        <v>0.0</v>
      </c>
      <c r="C93" s="83" t="n">
        <v>0.0</v>
      </c>
      <c r="D93" s="83" t="n">
        <v>0.0</v>
      </c>
      <c r="E93" s="83">
        <f si="4" t="shared"/>
        <v>0</v>
      </c>
      <c r="G93">
        <v>82</v>
      </c>
      <c r="H93" s="83" t="n">
        <v>0.0</v>
      </c>
      <c r="I93" s="83" t="n">
        <v>0.0</v>
      </c>
      <c r="J93" s="83" t="n">
        <v>0.0</v>
      </c>
      <c r="K93" s="83">
        <f si="5" t="shared"/>
        <v>0</v>
      </c>
    </row>
    <row r="94" spans="1:11" x14ac:dyDescent="0.25">
      <c r="A94">
        <v>83</v>
      </c>
      <c r="B94" s="83" t="n">
        <v>0.0</v>
      </c>
      <c r="C94" s="83" t="n">
        <v>0.0</v>
      </c>
      <c r="D94" s="83" t="n">
        <v>0.0</v>
      </c>
      <c r="E94" s="83">
        <f si="4" t="shared"/>
        <v>0</v>
      </c>
      <c r="G94">
        <v>83</v>
      </c>
      <c r="H94" s="83" t="n">
        <v>0.0</v>
      </c>
      <c r="I94" s="83" t="n">
        <v>0.0</v>
      </c>
      <c r="J94" s="83" t="n">
        <v>0.0</v>
      </c>
      <c r="K94" s="83">
        <f si="5" t="shared"/>
        <v>0</v>
      </c>
    </row>
    <row r="95" spans="1:11" x14ac:dyDescent="0.25">
      <c r="A95">
        <v>84</v>
      </c>
      <c r="B95" s="83" t="n">
        <v>0.0</v>
      </c>
      <c r="C95" s="83" t="n">
        <v>0.0</v>
      </c>
      <c r="D95" s="83" t="n">
        <v>0.0</v>
      </c>
      <c r="E95" s="83">
        <f si="4" t="shared"/>
        <v>0</v>
      </c>
      <c r="G95">
        <v>84</v>
      </c>
      <c r="H95" s="83" t="n">
        <v>0.0</v>
      </c>
      <c r="I95" s="83" t="n">
        <v>0.0</v>
      </c>
      <c r="J95" s="83" t="n">
        <v>0.0</v>
      </c>
      <c r="K95" s="83">
        <f si="5" t="shared"/>
        <v>0</v>
      </c>
    </row>
    <row r="96" spans="1:11" x14ac:dyDescent="0.25">
      <c r="A96">
        <v>85</v>
      </c>
      <c r="B96" s="83" t="n">
        <v>0.0</v>
      </c>
      <c r="C96" s="83" t="n">
        <v>0.0</v>
      </c>
      <c r="D96" s="83" t="n">
        <v>0.0</v>
      </c>
      <c r="E96" s="83">
        <f si="4" t="shared"/>
        <v>0</v>
      </c>
      <c r="G96">
        <v>85</v>
      </c>
      <c r="H96" s="83" t="n">
        <v>0.0</v>
      </c>
      <c r="I96" s="83" t="n">
        <v>0.0</v>
      </c>
      <c r="J96" s="83" t="n">
        <v>0.0</v>
      </c>
      <c r="K96" s="83">
        <f si="5" t="shared"/>
        <v>0</v>
      </c>
    </row>
    <row r="97" spans="1:12" x14ac:dyDescent="0.25">
      <c r="A97">
        <v>86</v>
      </c>
      <c r="B97" s="83" t="n">
        <v>0.0</v>
      </c>
      <c r="C97" s="83" t="n">
        <v>0.0</v>
      </c>
      <c r="D97" s="83" t="n">
        <v>0.0</v>
      </c>
      <c r="E97" s="83">
        <f si="4" t="shared"/>
        <v>0</v>
      </c>
      <c r="G97">
        <v>86</v>
      </c>
      <c r="H97" s="83" t="n">
        <v>0.0</v>
      </c>
      <c r="I97" s="83" t="n">
        <v>0.0</v>
      </c>
      <c r="J97" s="83" t="n">
        <v>0.0</v>
      </c>
      <c r="K97" s="83">
        <f si="5" t="shared"/>
        <v>0</v>
      </c>
    </row>
    <row r="98" spans="1:12" x14ac:dyDescent="0.25">
      <c r="A98">
        <v>87</v>
      </c>
      <c r="B98" s="83" t="n">
        <v>0.0</v>
      </c>
      <c r="C98" s="83" t="n">
        <v>0.0</v>
      </c>
      <c r="D98" s="83" t="n">
        <v>0.0</v>
      </c>
      <c r="E98" s="83">
        <f si="4" t="shared"/>
        <v>0</v>
      </c>
      <c r="G98">
        <v>87</v>
      </c>
      <c r="H98" s="83" t="n">
        <v>0.0</v>
      </c>
      <c r="I98" s="83" t="n">
        <v>0.0</v>
      </c>
      <c r="J98" s="83" t="n">
        <v>0.0</v>
      </c>
      <c r="K98" s="83">
        <f si="5" t="shared"/>
        <v>0</v>
      </c>
    </row>
    <row r="99" spans="1:12" x14ac:dyDescent="0.25">
      <c r="A99">
        <v>88</v>
      </c>
      <c r="B99" s="83" t="n">
        <v>0.0</v>
      </c>
      <c r="C99" s="83" t="n">
        <v>0.0</v>
      </c>
      <c r="D99" s="83" t="n">
        <v>0.0</v>
      </c>
      <c r="E99" s="83">
        <f si="4" t="shared"/>
        <v>0</v>
      </c>
      <c r="G99">
        <v>88</v>
      </c>
      <c r="H99" s="83" t="n">
        <v>0.0</v>
      </c>
      <c r="I99" s="83" t="n">
        <v>0.0</v>
      </c>
      <c r="J99" s="83" t="n">
        <v>0.0</v>
      </c>
      <c r="K99" s="83">
        <f si="5" t="shared"/>
        <v>0</v>
      </c>
    </row>
    <row r="100" spans="1:12" x14ac:dyDescent="0.25">
      <c r="A100">
        <v>89</v>
      </c>
      <c r="B100" s="83" t="n">
        <v>0.0</v>
      </c>
      <c r="C100" s="83" t="n">
        <v>0.0</v>
      </c>
      <c r="D100" s="83" t="n">
        <v>0.0</v>
      </c>
      <c r="E100" s="83">
        <f si="4" t="shared"/>
        <v>0</v>
      </c>
      <c r="G100">
        <v>89</v>
      </c>
      <c r="H100" s="83" t="n">
        <v>0.0</v>
      </c>
      <c r="I100" s="83" t="n">
        <v>0.0</v>
      </c>
      <c r="J100" s="83" t="n">
        <v>0.0</v>
      </c>
      <c r="K100" s="83">
        <f si="5" t="shared"/>
        <v>0</v>
      </c>
    </row>
    <row ht="15.75" r="101" spans="1:12" thickBot="1" x14ac:dyDescent="0.3">
      <c r="A101" s="1">
        <v>90</v>
      </c>
      <c r="B101" s="84" t="n">
        <v>4846.176</v>
      </c>
      <c r="C101" s="84" t="n">
        <v>0.0</v>
      </c>
      <c r="D101" s="84" t="n">
        <v>3032.2763</v>
      </c>
      <c r="E101" s="84">
        <f si="4" t="shared"/>
        <v>7878.4523000000008</v>
      </c>
      <c r="G101" s="1">
        <v>90</v>
      </c>
      <c r="H101" s="84" t="n">
        <v>22151.0</v>
      </c>
      <c r="I101" s="84" t="n">
        <v>0.0</v>
      </c>
      <c r="J101" s="84" t="n">
        <v>0.0</v>
      </c>
      <c r="K101" s="84">
        <f si="5" t="shared"/>
        <v>22434</v>
      </c>
      <c r="L101" s="7"/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101"/>
  <sheetViews>
    <sheetView workbookViewId="0">
      <selection activeCell="P12" sqref="P12"/>
    </sheetView>
  </sheetViews>
  <sheetFormatPr defaultRowHeight="15" x14ac:dyDescent="0.25"/>
  <cols>
    <col min="2" max="2" bestFit="true" customWidth="true" width="10.5703125" collapsed="true"/>
    <col min="3" max="4" bestFit="true" customWidth="true" width="9.5703125" collapsed="true"/>
    <col min="5" max="5" bestFit="true" customWidth="true" width="10.5703125" collapsed="true"/>
    <col min="8" max="8" bestFit="true" customWidth="true" width="10.5703125" collapsed="true"/>
    <col min="9" max="10" bestFit="true" customWidth="true" width="9.5703125" collapsed="true"/>
    <col min="11" max="11" bestFit="true" customWidth="true" width="15.85546875" collapsed="true"/>
    <col min="15" max="15" bestFit="true" customWidth="true" width="15.7109375" collapsed="true"/>
  </cols>
  <sheetData>
    <row r="1" spans="1:15" x14ac:dyDescent="0.25">
      <c r="A1" t="s">
        <v>0</v>
      </c>
    </row>
    <row r="2" spans="1:15" x14ac:dyDescent="0.25">
      <c r="A2" t="s">
        <v>247</v>
      </c>
    </row>
    <row r="3" spans="1:15" x14ac:dyDescent="0.25">
      <c r="A3" t="s">
        <v>249</v>
      </c>
    </row>
    <row r="4" spans="1:15" x14ac:dyDescent="0.25">
      <c r="A4" t="s">
        <v>6</v>
      </c>
    </row>
    <row r="5" spans="1:15" x14ac:dyDescent="0.25">
      <c r="A5" t="s">
        <v>7</v>
      </c>
    </row>
    <row ht="15.75" r="9" spans="1:15" thickBot="1" x14ac:dyDescent="0.3">
      <c r="A9" s="4" t="s">
        <v>193</v>
      </c>
      <c r="B9" s="1"/>
      <c r="C9" s="1"/>
      <c r="D9" s="1"/>
      <c r="E9" s="1"/>
      <c r="G9" s="4" t="s">
        <v>10</v>
      </c>
      <c r="H9" s="1"/>
      <c r="I9" s="1"/>
      <c r="J9" s="1"/>
      <c r="K9" s="1"/>
      <c r="M9" s="11" t="s">
        <v>36</v>
      </c>
    </row>
    <row r="10" spans="1:15" x14ac:dyDescent="0.25">
      <c r="A10" s="2" t="s">
        <v>13</v>
      </c>
      <c r="B10" s="5" t="s">
        <v>41</v>
      </c>
      <c r="C10" s="5" t="s">
        <v>42</v>
      </c>
      <c r="D10" s="5" t="s">
        <v>52</v>
      </c>
      <c r="E10" s="5" t="s">
        <v>200</v>
      </c>
      <c r="G10" s="2" t="s">
        <v>13</v>
      </c>
      <c r="H10" s="5" t="s">
        <v>41</v>
      </c>
      <c r="I10" s="5" t="s">
        <v>42</v>
      </c>
      <c r="J10" s="5" t="s">
        <v>43</v>
      </c>
      <c r="K10" s="5" t="s">
        <v>252</v>
      </c>
      <c r="M10" s="2"/>
      <c r="N10" s="5" t="s">
        <v>200</v>
      </c>
      <c r="O10" s="5" t="s">
        <v>252</v>
      </c>
    </row>
    <row r="11" spans="1:15" x14ac:dyDescent="0.25">
      <c r="A11">
        <v>0</v>
      </c>
      <c r="B11" s="83" t="n">
        <v>0.0</v>
      </c>
      <c r="C11" s="83" t="n">
        <v>0.0</v>
      </c>
      <c r="D11" s="83" t="n">
        <v>0.0</v>
      </c>
      <c r="E11" s="83">
        <f ref="E11:E42" si="0" t="shared">SUM(B11:D11)</f>
        <v>0</v>
      </c>
      <c r="G11">
        <v>0</v>
      </c>
      <c r="H11" s="83" t="n">
        <v>5434.0</v>
      </c>
      <c r="I11" s="83" t="n">
        <v>794.0</v>
      </c>
      <c r="J11" s="85" t="n">
        <v>335.0</v>
      </c>
      <c r="K11" s="83">
        <f ref="K11:K42" si="1" t="shared">SUM(H11:J11)</f>
        <v>6907</v>
      </c>
      <c r="M11" t="s">
        <v>41</v>
      </c>
      <c r="N11" s="9" t="n">
        <v>6.587096254701673</v>
      </c>
      <c r="O11" s="9" t="n">
        <v>11.974611817461213</v>
      </c>
    </row>
    <row r="12" spans="1:15" x14ac:dyDescent="0.25">
      <c r="A12">
        <v>1</v>
      </c>
      <c r="B12" s="83" t="n">
        <v>6745.1783000000005</v>
      </c>
      <c r="C12" s="83" t="n">
        <v>0.0</v>
      </c>
      <c r="D12" s="83" t="n">
        <v>0.0</v>
      </c>
      <c r="E12" s="83">
        <f si="0" t="shared"/>
        <v>6745.1783000000005</v>
      </c>
      <c r="G12">
        <v>1</v>
      </c>
      <c r="H12" s="83" t="n">
        <v>6852.0</v>
      </c>
      <c r="I12" s="83" t="n">
        <v>575.0</v>
      </c>
      <c r="J12" s="85" t="n">
        <v>277.0</v>
      </c>
      <c r="K12" s="83">
        <f si="1" t="shared"/>
        <v>7952</v>
      </c>
      <c r="M12" t="s">
        <v>42</v>
      </c>
      <c r="N12" s="9" t="n">
        <v>9.707869469236279</v>
      </c>
      <c r="O12" s="9" t="n">
        <v>17.247764852878408</v>
      </c>
    </row>
    <row r="13" spans="1:15" x14ac:dyDescent="0.25">
      <c r="A13">
        <v>2</v>
      </c>
      <c r="B13" s="83" t="n">
        <v>6033.2903</v>
      </c>
      <c r="C13" s="83" t="n">
        <v>0.0</v>
      </c>
      <c r="D13" s="83" t="n">
        <v>0.0</v>
      </c>
      <c r="E13" s="83">
        <f si="0" t="shared"/>
        <v>6033.2902999999997</v>
      </c>
      <c r="G13">
        <v>2</v>
      </c>
      <c r="H13" s="83" t="n">
        <v>9231.0</v>
      </c>
      <c r="I13" s="83" t="n">
        <v>828.0</v>
      </c>
      <c r="J13" s="85" t="n">
        <v>466.0</v>
      </c>
      <c r="K13" s="83">
        <f si="1" t="shared"/>
        <v>10636</v>
      </c>
      <c r="M13" s="6" t="s">
        <v>43</v>
      </c>
      <c r="N13" s="18" t="n">
        <v>28.279763252248376</v>
      </c>
      <c r="O13" s="18" t="n">
        <v>26.964904907353866</v>
      </c>
    </row>
    <row ht="15.75" r="14" spans="1:15" thickBot="1" x14ac:dyDescent="0.3">
      <c r="A14">
        <v>3</v>
      </c>
      <c r="B14" s="83" t="n">
        <v>7285.3036</v>
      </c>
      <c r="C14" s="83" t="n">
        <v>827.7403</v>
      </c>
      <c r="D14" s="83" t="n">
        <v>0.0</v>
      </c>
      <c r="E14" s="83">
        <f si="0" t="shared"/>
        <v>8113.0439000000006</v>
      </c>
      <c r="G14">
        <v>3</v>
      </c>
      <c r="H14" s="83" t="n">
        <v>10159.0</v>
      </c>
      <c r="I14" s="83" t="n">
        <v>1083.0</v>
      </c>
      <c r="J14" s="85" t="n">
        <v>684.0</v>
      </c>
      <c r="K14" s="83">
        <f si="1" t="shared"/>
        <v>11855</v>
      </c>
      <c r="M14" s="1" t="s">
        <v>3</v>
      </c>
      <c r="N14" s="19" t="n">
        <v>8.337669803822562</v>
      </c>
      <c r="O14" s="19" t="n">
        <v>16.66989245359007</v>
      </c>
    </row>
    <row r="15" spans="1:15" x14ac:dyDescent="0.25">
      <c r="A15">
        <v>4</v>
      </c>
      <c r="B15" s="83" t="n">
        <v>7430.6026999999995</v>
      </c>
      <c r="C15" s="83" t="n">
        <v>728.3605</v>
      </c>
      <c r="D15" s="83" t="n">
        <v>0.0</v>
      </c>
      <c r="E15" s="83">
        <f si="0" t="shared"/>
        <v>8158.9631999999992</v>
      </c>
      <c r="G15">
        <v>4</v>
      </c>
      <c r="H15" s="83" t="n">
        <v>10286.0</v>
      </c>
      <c r="I15" s="83" t="n">
        <v>1173.0</v>
      </c>
      <c r="J15" s="85" t="n">
        <v>1141.0</v>
      </c>
      <c r="K15" s="83">
        <f si="1" t="shared"/>
        <v>12671</v>
      </c>
    </row>
    <row r="16" spans="1:15" x14ac:dyDescent="0.25">
      <c r="A16">
        <v>5</v>
      </c>
      <c r="B16" s="83" t="n">
        <v>2646.2516</v>
      </c>
      <c r="C16" s="83" t="n">
        <v>329.5046</v>
      </c>
      <c r="D16" s="83" t="n">
        <v>92.0069</v>
      </c>
      <c r="E16" s="83">
        <f si="0" t="shared"/>
        <v>3067.7630999999997</v>
      </c>
      <c r="G16">
        <v>5</v>
      </c>
      <c r="H16" s="83" t="n">
        <v>9368.0</v>
      </c>
      <c r="I16" s="83" t="n">
        <v>1124.0</v>
      </c>
      <c r="J16" s="85" t="n">
        <v>1171.0</v>
      </c>
      <c r="K16" s="83">
        <f si="1" t="shared"/>
        <v>11852</v>
      </c>
    </row>
    <row r="17" spans="1:11" x14ac:dyDescent="0.25">
      <c r="A17">
        <v>6</v>
      </c>
      <c r="B17" s="83" t="n">
        <v>1398.6386</v>
      </c>
      <c r="C17" s="83" t="n">
        <v>1080.5294</v>
      </c>
      <c r="D17" s="83" t="n">
        <v>173.553</v>
      </c>
      <c r="E17" s="83">
        <f si="0" t="shared"/>
        <v>2652.7209999999995</v>
      </c>
      <c r="G17">
        <v>6</v>
      </c>
      <c r="H17" s="83" t="n">
        <v>8651.0</v>
      </c>
      <c r="I17" s="83" t="n">
        <v>1089.0</v>
      </c>
      <c r="J17" s="85" t="n">
        <v>1407.0</v>
      </c>
      <c r="K17" s="83">
        <f si="1" t="shared"/>
        <v>11382</v>
      </c>
    </row>
    <row r="18" spans="1:11" x14ac:dyDescent="0.25">
      <c r="A18">
        <v>7</v>
      </c>
      <c r="B18" s="83" t="n">
        <v>6984.4048999999995</v>
      </c>
      <c r="C18" s="83" t="n">
        <v>708.9596</v>
      </c>
      <c r="D18" s="83" t="n">
        <v>186.56099999999998</v>
      </c>
      <c r="E18" s="83">
        <f si="0" t="shared"/>
        <v>7879.9254999999994</v>
      </c>
      <c r="G18">
        <v>7</v>
      </c>
      <c r="H18" s="83" t="n">
        <v>8172.0</v>
      </c>
      <c r="I18" s="83" t="n">
        <v>1066.0</v>
      </c>
      <c r="J18" s="85" t="n">
        <v>1363.0</v>
      </c>
      <c r="K18" s="83">
        <f si="1" t="shared"/>
        <v>10701</v>
      </c>
    </row>
    <row r="19" spans="1:11" x14ac:dyDescent="0.25">
      <c r="A19">
        <v>8</v>
      </c>
      <c r="B19" s="83" t="n">
        <v>1638.7869</v>
      </c>
      <c r="C19" s="83" t="n">
        <v>0.0</v>
      </c>
      <c r="D19" s="83" t="n">
        <v>377.4489</v>
      </c>
      <c r="E19" s="83">
        <f si="0" t="shared"/>
        <v>2016.2357999999999</v>
      </c>
      <c r="G19">
        <v>8</v>
      </c>
      <c r="H19" s="83" t="n">
        <v>6851.0</v>
      </c>
      <c r="I19" s="83" t="n">
        <v>1013.0</v>
      </c>
      <c r="J19" s="85" t="n">
        <v>1136.0</v>
      </c>
      <c r="K19" s="83">
        <f si="1" t="shared"/>
        <v>8848</v>
      </c>
    </row>
    <row r="20" spans="1:11" x14ac:dyDescent="0.25">
      <c r="A20">
        <v>9</v>
      </c>
      <c r="B20" s="83" t="n">
        <v>1535.9484</v>
      </c>
      <c r="C20" s="83" t="n">
        <v>1134.9396</v>
      </c>
      <c r="D20" s="83" t="n">
        <v>0.0</v>
      </c>
      <c r="E20" s="83">
        <f si="0" t="shared"/>
        <v>2670.8879999999999</v>
      </c>
      <c r="G20">
        <v>9</v>
      </c>
      <c r="H20" s="83" t="n">
        <v>6035.0</v>
      </c>
      <c r="I20" s="83" t="n">
        <v>1013.0</v>
      </c>
      <c r="J20" s="85" t="n">
        <v>1311.0</v>
      </c>
      <c r="K20" s="83">
        <f si="1" t="shared"/>
        <v>8542</v>
      </c>
    </row>
    <row r="21" spans="1:11" x14ac:dyDescent="0.25">
      <c r="A21">
        <v>10</v>
      </c>
      <c r="B21" s="83" t="n">
        <v>2395.767</v>
      </c>
      <c r="C21" s="83" t="n">
        <v>541.9792</v>
      </c>
      <c r="D21" s="83" t="n">
        <v>0.0</v>
      </c>
      <c r="E21" s="83">
        <f si="0" t="shared"/>
        <v>2937.7461999999996</v>
      </c>
      <c r="G21">
        <v>10</v>
      </c>
      <c r="H21" s="83" t="n">
        <v>4874.0</v>
      </c>
      <c r="I21" s="83" t="n">
        <v>839.0</v>
      </c>
      <c r="J21" s="85" t="n">
        <v>1696.0</v>
      </c>
      <c r="K21" s="83">
        <f si="1" t="shared"/>
        <v>7338</v>
      </c>
    </row>
    <row r="22" spans="1:11" x14ac:dyDescent="0.25">
      <c r="A22">
        <v>11</v>
      </c>
      <c r="B22" s="83" t="n">
        <v>2857.5654</v>
      </c>
      <c r="C22" s="83" t="n">
        <v>1022.1395</v>
      </c>
      <c r="D22" s="83" t="n">
        <v>0.0</v>
      </c>
      <c r="E22" s="83">
        <f si="0" t="shared"/>
        <v>3879.7048999999997</v>
      </c>
      <c r="G22">
        <v>11</v>
      </c>
      <c r="H22" s="83" t="n">
        <v>3874.0</v>
      </c>
      <c r="I22" s="83" t="n">
        <v>717.0</v>
      </c>
      <c r="J22" s="85" t="n">
        <v>1411.0</v>
      </c>
      <c r="K22" s="83">
        <f si="1" t="shared"/>
        <v>5941</v>
      </c>
    </row>
    <row r="23" spans="1:11" x14ac:dyDescent="0.25">
      <c r="A23">
        <v>12</v>
      </c>
      <c r="B23" s="83" t="n">
        <v>3271.0831</v>
      </c>
      <c r="C23" s="83" t="n">
        <v>453.8196</v>
      </c>
      <c r="D23" s="83" t="n">
        <v>253.2591</v>
      </c>
      <c r="E23" s="83">
        <f si="0" t="shared"/>
        <v>3978.1617999999999</v>
      </c>
      <c r="G23">
        <v>12</v>
      </c>
      <c r="H23" s="83" t="n">
        <v>3719.0</v>
      </c>
      <c r="I23" s="83" t="n">
        <v>705.0</v>
      </c>
      <c r="J23" s="85" t="n">
        <v>1172.0</v>
      </c>
      <c r="K23" s="83">
        <f si="1" t="shared"/>
        <v>5837</v>
      </c>
    </row>
    <row r="24" spans="1:11" x14ac:dyDescent="0.25">
      <c r="A24">
        <v>13</v>
      </c>
      <c r="B24" s="83" t="n">
        <v>614.8946</v>
      </c>
      <c r="C24" s="83" t="n">
        <v>0.0</v>
      </c>
      <c r="D24" s="83" t="n">
        <v>0.0</v>
      </c>
      <c r="E24" s="83">
        <f si="0" t="shared"/>
        <v>614.89459999999997</v>
      </c>
      <c r="G24">
        <v>13</v>
      </c>
      <c r="H24" s="83" t="n">
        <v>2789.0</v>
      </c>
      <c r="I24" s="83" t="n">
        <v>655.0</v>
      </c>
      <c r="J24" s="85" t="n">
        <v>671.0</v>
      </c>
      <c r="K24" s="83">
        <f si="1" t="shared"/>
        <v>4001</v>
      </c>
    </row>
    <row r="25" spans="1:11" x14ac:dyDescent="0.25">
      <c r="A25">
        <v>14</v>
      </c>
      <c r="B25" s="83" t="n">
        <v>737.8256</v>
      </c>
      <c r="C25" s="83" t="n">
        <v>294.342</v>
      </c>
      <c r="D25" s="83" t="n">
        <v>0.0</v>
      </c>
      <c r="E25" s="83">
        <f si="0" t="shared"/>
        <v>1032.1676</v>
      </c>
      <c r="G25">
        <v>14</v>
      </c>
      <c r="H25" s="83" t="n">
        <v>2395.0</v>
      </c>
      <c r="I25" s="83" t="n">
        <v>439.0</v>
      </c>
      <c r="J25" s="85" t="n">
        <v>540.0</v>
      </c>
      <c r="K25" s="83">
        <f si="1" t="shared"/>
        <v>3409</v>
      </c>
    </row>
    <row r="26" spans="1:11" x14ac:dyDescent="0.25">
      <c r="A26">
        <v>15</v>
      </c>
      <c r="B26" s="83" t="n">
        <v>230.2899</v>
      </c>
      <c r="C26" s="83" t="n">
        <v>0.0</v>
      </c>
      <c r="D26" s="83" t="n">
        <v>0.0</v>
      </c>
      <c r="E26" s="83">
        <f si="0" t="shared"/>
        <v>230.28989999999999</v>
      </c>
      <c r="G26">
        <v>15</v>
      </c>
      <c r="H26" s="83" t="n">
        <v>3404.0</v>
      </c>
      <c r="I26" s="83" t="n">
        <v>552.0</v>
      </c>
      <c r="J26" s="85" t="n">
        <v>316.0</v>
      </c>
      <c r="K26" s="83">
        <f si="1" t="shared"/>
        <v>4573</v>
      </c>
    </row>
    <row r="27" spans="1:11" x14ac:dyDescent="0.25">
      <c r="A27">
        <v>16</v>
      </c>
      <c r="B27" s="83" t="n">
        <v>0.0</v>
      </c>
      <c r="C27" s="83" t="n">
        <v>0.0</v>
      </c>
      <c r="D27" s="83" t="n">
        <v>0.0</v>
      </c>
      <c r="E27" s="83">
        <f si="0" t="shared"/>
        <v>0</v>
      </c>
      <c r="G27">
        <v>16</v>
      </c>
      <c r="H27" s="83" t="n">
        <v>3104.0</v>
      </c>
      <c r="I27" s="83" t="n">
        <v>536.0</v>
      </c>
      <c r="J27" s="85" t="n">
        <v>394.0</v>
      </c>
      <c r="K27" s="83">
        <f si="1" t="shared"/>
        <v>3654</v>
      </c>
    </row>
    <row r="28" spans="1:11" x14ac:dyDescent="0.25">
      <c r="A28">
        <v>17</v>
      </c>
      <c r="B28" s="83" t="n">
        <v>448.1616</v>
      </c>
      <c r="C28" s="83" t="n">
        <v>0.0</v>
      </c>
      <c r="D28" s="83" t="n">
        <v>0.0</v>
      </c>
      <c r="E28" s="83">
        <f si="0" t="shared"/>
        <v>448.16160000000002</v>
      </c>
      <c r="G28">
        <v>17</v>
      </c>
      <c r="H28" s="83" t="n">
        <v>2618.0</v>
      </c>
      <c r="I28" s="83" t="n">
        <v>533.0</v>
      </c>
      <c r="J28" s="85" t="n">
        <v>575.0</v>
      </c>
      <c r="K28" s="83">
        <f si="1" t="shared"/>
        <v>4074</v>
      </c>
    </row>
    <row r="29" spans="1:11" x14ac:dyDescent="0.25">
      <c r="A29">
        <v>18</v>
      </c>
      <c r="B29" s="83" t="n">
        <v>236.9175</v>
      </c>
      <c r="C29" s="83" t="n">
        <v>626.6615</v>
      </c>
      <c r="D29" s="83" t="n">
        <v>0.0</v>
      </c>
      <c r="E29" s="83">
        <f si="0" t="shared"/>
        <v>863.57900000000006</v>
      </c>
      <c r="G29">
        <v>18</v>
      </c>
      <c r="H29" s="83" t="n">
        <v>11186.0</v>
      </c>
      <c r="I29" s="83" t="n">
        <v>2227.0</v>
      </c>
      <c r="J29" s="85" t="n">
        <v>3030.0</v>
      </c>
      <c r="K29" s="83">
        <f si="1" t="shared"/>
        <v>16524</v>
      </c>
    </row>
    <row r="30" spans="1:11" x14ac:dyDescent="0.25">
      <c r="A30">
        <v>19</v>
      </c>
      <c r="B30" s="83" t="n">
        <v>485.8131</v>
      </c>
      <c r="C30" s="83" t="n">
        <v>0.0</v>
      </c>
      <c r="D30" s="83" t="n">
        <v>565.822</v>
      </c>
      <c r="E30" s="83">
        <f si="0" t="shared"/>
        <v>1051.6351</v>
      </c>
      <c r="G30">
        <v>19</v>
      </c>
      <c r="H30" s="83" t="n">
        <v>4969.0</v>
      </c>
      <c r="I30" s="83" t="n">
        <v>1046.0</v>
      </c>
      <c r="J30" s="85" t="n">
        <v>1711.0</v>
      </c>
      <c r="K30" s="83">
        <f si="1" t="shared"/>
        <v>8252</v>
      </c>
    </row>
    <row r="31" spans="1:11" x14ac:dyDescent="0.25">
      <c r="A31">
        <v>20</v>
      </c>
      <c r="B31" s="83" t="n">
        <v>130.9662</v>
      </c>
      <c r="C31" s="83" t="n">
        <v>0.0</v>
      </c>
      <c r="D31" s="83" t="n">
        <v>0.0</v>
      </c>
      <c r="E31" s="83">
        <f si="0" t="shared"/>
        <v>130.96619999999999</v>
      </c>
      <c r="G31">
        <v>20</v>
      </c>
      <c r="H31" s="83" t="n">
        <v>4786.0</v>
      </c>
      <c r="I31" s="83" t="n">
        <v>1107.0</v>
      </c>
      <c r="J31" s="85" t="n">
        <v>2539.0</v>
      </c>
      <c r="K31" s="83">
        <f si="1" t="shared"/>
        <v>8867</v>
      </c>
    </row>
    <row r="32" spans="1:11" x14ac:dyDescent="0.25">
      <c r="A32">
        <v>21</v>
      </c>
      <c r="B32" s="83" t="n">
        <v>555.9486</v>
      </c>
      <c r="C32" s="83" t="n">
        <v>0.0</v>
      </c>
      <c r="D32" s="83" t="n">
        <v>0.0</v>
      </c>
      <c r="E32" s="83">
        <f si="0" t="shared"/>
        <v>555.94860000000006</v>
      </c>
      <c r="G32">
        <v>21</v>
      </c>
      <c r="H32" s="83" t="n">
        <v>4229.0</v>
      </c>
      <c r="I32" s="83" t="n">
        <v>1140.0</v>
      </c>
      <c r="J32" s="85" t="n">
        <v>1877.0</v>
      </c>
      <c r="K32" s="83">
        <f si="1" t="shared"/>
        <v>7366</v>
      </c>
    </row>
    <row r="33" spans="1:11" x14ac:dyDescent="0.25">
      <c r="A33">
        <v>22</v>
      </c>
      <c r="B33" s="83" t="n">
        <v>844.4705</v>
      </c>
      <c r="C33" s="83" t="n">
        <v>0.0</v>
      </c>
      <c r="D33" s="83" t="n">
        <v>0.0</v>
      </c>
      <c r="E33" s="83">
        <f si="0" t="shared"/>
        <v>844.47050000000002</v>
      </c>
      <c r="G33">
        <v>22</v>
      </c>
      <c r="H33" s="83" t="n">
        <v>5556.0</v>
      </c>
      <c r="I33" s="83" t="n">
        <v>1487.0</v>
      </c>
      <c r="J33" s="85" t="n">
        <v>1293.0</v>
      </c>
      <c r="K33" s="83">
        <f si="1" t="shared"/>
        <v>8616</v>
      </c>
    </row>
    <row r="34" spans="1:11" x14ac:dyDescent="0.25">
      <c r="A34">
        <v>23</v>
      </c>
      <c r="B34" s="83" t="n">
        <v>0.0</v>
      </c>
      <c r="C34" s="83" t="n">
        <v>0.0</v>
      </c>
      <c r="D34" s="83" t="n">
        <v>244.27179999999998</v>
      </c>
      <c r="E34" s="83">
        <f si="0" t="shared"/>
        <v>244.27179999999998</v>
      </c>
      <c r="G34">
        <v>23</v>
      </c>
      <c r="H34" s="83" t="n">
        <v>3775.0</v>
      </c>
      <c r="I34" s="83" t="n">
        <v>901.0</v>
      </c>
      <c r="J34" s="85" t="n">
        <v>2379.0</v>
      </c>
      <c r="K34" s="83">
        <f si="1" t="shared"/>
        <v>7103</v>
      </c>
    </row>
    <row r="35" spans="1:11" x14ac:dyDescent="0.25">
      <c r="A35">
        <v>24</v>
      </c>
      <c r="B35" s="83" t="n">
        <v>0.0</v>
      </c>
      <c r="C35" s="83" t="n">
        <v>0.0</v>
      </c>
      <c r="D35" s="83" t="n">
        <v>0.0</v>
      </c>
      <c r="E35" s="83">
        <f si="0" t="shared"/>
        <v>0</v>
      </c>
      <c r="G35">
        <v>24</v>
      </c>
      <c r="H35" s="83" t="n">
        <v>3143.0</v>
      </c>
      <c r="I35" s="83" t="n">
        <v>918.0</v>
      </c>
      <c r="J35" s="85" t="n">
        <v>3717.0</v>
      </c>
      <c r="K35" s="83">
        <f si="1" t="shared"/>
        <v>8770</v>
      </c>
    </row>
    <row r="36" spans="1:11" x14ac:dyDescent="0.25">
      <c r="A36">
        <v>25</v>
      </c>
      <c r="B36" s="83" t="n">
        <v>0.0</v>
      </c>
      <c r="C36" s="83" t="n">
        <v>0.0</v>
      </c>
      <c r="D36" s="83" t="n">
        <v>0.0</v>
      </c>
      <c r="E36" s="83">
        <f si="0" t="shared"/>
        <v>0</v>
      </c>
      <c r="G36">
        <v>25</v>
      </c>
      <c r="H36" s="83" t="n">
        <v>2427.0</v>
      </c>
      <c r="I36" s="83" t="n">
        <v>736.0</v>
      </c>
      <c r="J36" s="85" t="n">
        <v>2438.0</v>
      </c>
      <c r="K36" s="83">
        <f si="1" t="shared"/>
        <v>5704</v>
      </c>
    </row>
    <row r="37" spans="1:11" x14ac:dyDescent="0.25">
      <c r="A37">
        <v>26</v>
      </c>
      <c r="B37" s="83" t="n">
        <v>541.9792</v>
      </c>
      <c r="C37" s="83" t="n">
        <v>0.0</v>
      </c>
      <c r="D37" s="83" t="n">
        <v>0.0</v>
      </c>
      <c r="E37" s="83">
        <f si="0" t="shared"/>
        <v>541.97919999999999</v>
      </c>
      <c r="G37">
        <v>26</v>
      </c>
      <c r="H37" s="83" t="n">
        <v>1586.0</v>
      </c>
      <c r="I37" s="83" t="n">
        <v>580.0</v>
      </c>
      <c r="J37" s="85" t="n">
        <v>2887.0</v>
      </c>
      <c r="K37" s="83">
        <f si="1" t="shared"/>
        <v>5825</v>
      </c>
    </row>
    <row r="38" spans="1:11" x14ac:dyDescent="0.25">
      <c r="A38">
        <v>27</v>
      </c>
      <c r="B38" s="83" t="n">
        <v>0.0</v>
      </c>
      <c r="C38" s="83" t="n">
        <v>0.0</v>
      </c>
      <c r="D38" s="83" t="n">
        <v>0.0</v>
      </c>
      <c r="E38" s="83">
        <f si="0" t="shared"/>
        <v>0</v>
      </c>
      <c r="G38">
        <v>27</v>
      </c>
      <c r="H38" s="83" t="n">
        <v>1377.0</v>
      </c>
      <c r="I38" s="83" t="n">
        <v>593.0</v>
      </c>
      <c r="J38" s="85" t="n">
        <v>2011.0</v>
      </c>
      <c r="K38" s="83">
        <f si="1" t="shared"/>
        <v>3478</v>
      </c>
    </row>
    <row r="39" spans="1:11" x14ac:dyDescent="0.25">
      <c r="A39">
        <v>28</v>
      </c>
      <c r="B39" s="83" t="n">
        <v>0.0</v>
      </c>
      <c r="C39" s="83" t="n">
        <v>0.0</v>
      </c>
      <c r="D39" s="83" t="n">
        <v>0.0</v>
      </c>
      <c r="E39" s="83">
        <f si="0" t="shared"/>
        <v>0</v>
      </c>
      <c r="G39">
        <v>28</v>
      </c>
      <c r="H39" s="83" t="n">
        <v>1229.0</v>
      </c>
      <c r="I39" s="83" t="n">
        <v>556.0</v>
      </c>
      <c r="J39" s="85" t="n">
        <v>2884.0</v>
      </c>
      <c r="K39" s="83">
        <f si="1" t="shared"/>
        <v>4467</v>
      </c>
    </row>
    <row r="40" spans="1:11" x14ac:dyDescent="0.25">
      <c r="A40">
        <v>29</v>
      </c>
      <c r="B40" s="83" t="n">
        <v>0.0</v>
      </c>
      <c r="C40" s="83" t="n">
        <v>0.0</v>
      </c>
      <c r="D40" s="83" t="n">
        <v>0.0</v>
      </c>
      <c r="E40" s="83">
        <f si="0" t="shared"/>
        <v>0</v>
      </c>
      <c r="G40">
        <v>29</v>
      </c>
      <c r="H40" s="83" t="n">
        <v>865.0</v>
      </c>
      <c r="I40" s="83" t="n">
        <v>485.0</v>
      </c>
      <c r="J40" s="85" t="n">
        <v>1364.0</v>
      </c>
      <c r="K40" s="83">
        <f si="1" t="shared"/>
        <v>3091</v>
      </c>
    </row>
    <row r="41" spans="1:11" x14ac:dyDescent="0.25">
      <c r="A41">
        <v>30</v>
      </c>
      <c r="B41" s="83" t="n">
        <v>0.0</v>
      </c>
      <c r="C41" s="83" t="n">
        <v>0.0</v>
      </c>
      <c r="D41" s="83" t="n">
        <v>170.7131</v>
      </c>
      <c r="E41" s="83">
        <f si="0" t="shared"/>
        <v>170.7131</v>
      </c>
      <c r="G41">
        <v>30</v>
      </c>
      <c r="H41" s="83" t="n">
        <v>940.0</v>
      </c>
      <c r="I41" s="83" t="n">
        <v>480.0</v>
      </c>
      <c r="J41" s="85" t="n">
        <v>1506.0</v>
      </c>
      <c r="K41" s="83">
        <f si="1" t="shared"/>
        <v>2960</v>
      </c>
    </row>
    <row r="42" spans="1:11" x14ac:dyDescent="0.25">
      <c r="A42">
        <v>31</v>
      </c>
      <c r="B42" s="83" t="n">
        <v>0.0</v>
      </c>
      <c r="C42" s="83" t="n">
        <v>0.0</v>
      </c>
      <c r="D42" s="83" t="n">
        <v>0.0</v>
      </c>
      <c r="E42" s="83">
        <f si="0" t="shared"/>
        <v>0</v>
      </c>
      <c r="G42">
        <v>31</v>
      </c>
      <c r="H42" s="83" t="n">
        <v>751.0</v>
      </c>
      <c r="I42" s="83" t="n">
        <v>426.0</v>
      </c>
      <c r="J42" s="85" t="n">
        <v>1378.0</v>
      </c>
      <c r="K42" s="83">
        <f si="1" t="shared"/>
        <v>2507</v>
      </c>
    </row>
    <row r="43" spans="1:11" x14ac:dyDescent="0.25">
      <c r="A43">
        <v>32</v>
      </c>
      <c r="B43" s="83" t="n">
        <v>0.0</v>
      </c>
      <c r="C43" s="83" t="n">
        <v>0.0</v>
      </c>
      <c r="D43" s="83" t="n">
        <v>118.3958</v>
      </c>
      <c r="E43" s="83">
        <f ref="E43:E74" si="2" t="shared">SUM(B43:D43)</f>
        <v>118.39579999999999</v>
      </c>
      <c r="G43">
        <v>32</v>
      </c>
      <c r="H43" s="83" t="n">
        <v>451.0</v>
      </c>
      <c r="I43" s="83" t="n">
        <v>330.0</v>
      </c>
      <c r="J43" s="85" t="n">
        <v>2095.0</v>
      </c>
      <c r="K43" s="83">
        <f ref="K43:K74" si="3" t="shared">SUM(H43:J43)</f>
        <v>3140</v>
      </c>
    </row>
    <row r="44" spans="1:11" x14ac:dyDescent="0.25">
      <c r="A44">
        <v>33</v>
      </c>
      <c r="B44" s="83" t="n">
        <v>0.0</v>
      </c>
      <c r="C44" s="83" t="n">
        <v>0.0</v>
      </c>
      <c r="D44" s="83" t="n">
        <v>314.726</v>
      </c>
      <c r="E44" s="83">
        <f si="2" t="shared"/>
        <v>314.726</v>
      </c>
      <c r="G44">
        <v>33</v>
      </c>
      <c r="H44" s="83" t="n">
        <v>343.0</v>
      </c>
      <c r="I44" s="83" t="n">
        <v>314.0</v>
      </c>
      <c r="J44" s="85" t="n">
        <v>1534.0</v>
      </c>
      <c r="K44" s="83">
        <f si="3" t="shared"/>
        <v>2089</v>
      </c>
    </row>
    <row r="45" spans="1:11" x14ac:dyDescent="0.25">
      <c r="A45">
        <v>34</v>
      </c>
      <c r="B45" s="83" t="n">
        <v>277.9743</v>
      </c>
      <c r="C45" s="83" t="n">
        <v>0.0</v>
      </c>
      <c r="D45" s="83" t="n">
        <v>338.4055</v>
      </c>
      <c r="E45" s="83">
        <f si="2" t="shared"/>
        <v>616.37980000000005</v>
      </c>
      <c r="G45">
        <v>34</v>
      </c>
      <c r="H45" s="83" t="n">
        <v>208.0</v>
      </c>
      <c r="I45" s="83" t="n">
        <v>226.0</v>
      </c>
      <c r="J45" s="85" t="n">
        <v>1805.0</v>
      </c>
      <c r="K45" s="83">
        <f si="3" t="shared"/>
        <v>2503</v>
      </c>
    </row>
    <row r="46" spans="1:11" x14ac:dyDescent="0.25">
      <c r="A46">
        <v>35</v>
      </c>
      <c r="B46" s="83" t="n">
        <v>0.0</v>
      </c>
      <c r="C46" s="83" t="n">
        <v>0.0</v>
      </c>
      <c r="D46" s="83" t="n">
        <v>181.72189999999998</v>
      </c>
      <c r="E46" s="83">
        <f si="2" t="shared"/>
        <v>181.72189999999998</v>
      </c>
      <c r="G46">
        <v>35</v>
      </c>
      <c r="H46" s="83" t="n">
        <v>214.0</v>
      </c>
      <c r="I46" s="83" t="n">
        <v>232.0</v>
      </c>
      <c r="J46" s="85" t="n">
        <v>883.0</v>
      </c>
      <c r="K46" s="83">
        <f si="3" t="shared"/>
        <v>1938</v>
      </c>
    </row>
    <row r="47" spans="1:11" x14ac:dyDescent="0.25">
      <c r="A47">
        <v>36</v>
      </c>
      <c r="B47" s="83" t="n">
        <v>0.0</v>
      </c>
      <c r="C47" s="83" t="n">
        <v>0.0</v>
      </c>
      <c r="D47" s="83" t="n">
        <v>17.616</v>
      </c>
      <c r="E47" s="83">
        <f si="2" t="shared"/>
        <v>17.616</v>
      </c>
      <c r="G47">
        <v>36</v>
      </c>
      <c r="H47" s="83" t="n">
        <v>181.0</v>
      </c>
      <c r="I47" s="83" t="n">
        <v>203.0</v>
      </c>
      <c r="J47" s="85" t="n">
        <v>2071.0</v>
      </c>
      <c r="K47" s="83">
        <f si="3" t="shared"/>
        <v>2222</v>
      </c>
    </row>
    <row r="48" spans="1:11" x14ac:dyDescent="0.25">
      <c r="A48">
        <v>37</v>
      </c>
      <c r="B48" s="83" t="n">
        <v>0.0</v>
      </c>
      <c r="C48" s="83" t="n">
        <v>0.0</v>
      </c>
      <c r="D48" s="83" t="n">
        <v>30.787</v>
      </c>
      <c r="E48" s="83">
        <f si="2" t="shared"/>
        <v>30.786999999999999</v>
      </c>
      <c r="G48">
        <v>37</v>
      </c>
      <c r="H48" s="83" t="n">
        <v>128.0</v>
      </c>
      <c r="I48" s="83" t="n">
        <v>187.0</v>
      </c>
      <c r="J48" s="85" t="n">
        <v>1020.0</v>
      </c>
      <c r="K48" s="83">
        <f si="3" t="shared"/>
        <v>1631</v>
      </c>
    </row>
    <row r="49" spans="1:11" x14ac:dyDescent="0.25">
      <c r="A49">
        <v>38</v>
      </c>
      <c r="B49" s="83" t="n">
        <v>0.0</v>
      </c>
      <c r="C49" s="83" t="n">
        <v>0.0</v>
      </c>
      <c r="D49" s="83" t="n">
        <v>18.872999999999998</v>
      </c>
      <c r="E49" s="83">
        <f si="2" t="shared"/>
        <v>18.872999999999998</v>
      </c>
      <c r="G49">
        <v>38</v>
      </c>
      <c r="H49" s="83" t="n">
        <v>178.0</v>
      </c>
      <c r="I49" s="83" t="n">
        <v>172.0</v>
      </c>
      <c r="J49" s="85" t="n">
        <v>766.0</v>
      </c>
      <c r="K49" s="83">
        <f si="3" t="shared"/>
        <v>920</v>
      </c>
    </row>
    <row r="50" spans="1:11" x14ac:dyDescent="0.25">
      <c r="A50">
        <v>39</v>
      </c>
      <c r="B50" s="83" t="n">
        <v>82.1623</v>
      </c>
      <c r="C50" s="83" t="n">
        <v>0.0</v>
      </c>
      <c r="D50" s="83" t="n">
        <v>178.2573</v>
      </c>
      <c r="E50" s="83">
        <f si="2" t="shared"/>
        <v>260.4196</v>
      </c>
      <c r="G50">
        <v>39</v>
      </c>
      <c r="H50" s="83" t="n">
        <v>81.0</v>
      </c>
      <c r="I50" s="83" t="n">
        <v>162.0</v>
      </c>
      <c r="J50" s="85" t="n">
        <v>1204.0</v>
      </c>
      <c r="K50" s="83">
        <f si="3" t="shared"/>
        <v>1784</v>
      </c>
    </row>
    <row r="51" spans="1:11" x14ac:dyDescent="0.25">
      <c r="A51">
        <v>40</v>
      </c>
      <c r="B51" s="83" t="n">
        <v>0.0</v>
      </c>
      <c r="C51" s="83" t="n">
        <v>0.0</v>
      </c>
      <c r="D51" s="83" t="n">
        <v>16.699</v>
      </c>
      <c r="E51" s="83">
        <f si="2" t="shared"/>
        <v>16.699000000000002</v>
      </c>
      <c r="G51">
        <v>40</v>
      </c>
      <c r="H51" s="83" t="n">
        <v>53.0</v>
      </c>
      <c r="I51" s="83" t="n">
        <v>135.0</v>
      </c>
      <c r="J51" s="85" t="n">
        <v>675.0</v>
      </c>
      <c r="K51" s="83">
        <f si="3" t="shared"/>
        <v>625</v>
      </c>
    </row>
    <row r="52" spans="1:11" x14ac:dyDescent="0.25">
      <c r="A52">
        <v>41</v>
      </c>
      <c r="B52" s="83" t="n">
        <v>0.0</v>
      </c>
      <c r="C52" s="83" t="n">
        <v>0.0</v>
      </c>
      <c r="D52" s="83" t="n">
        <v>16.851</v>
      </c>
      <c r="E52" s="83">
        <f si="2" t="shared"/>
        <v>16.850999999999999</v>
      </c>
      <c r="G52">
        <v>41</v>
      </c>
      <c r="H52" s="83" t="n">
        <v>38.0</v>
      </c>
      <c r="I52" s="83" t="n">
        <v>116.0</v>
      </c>
      <c r="J52" s="85" t="n">
        <v>756.0</v>
      </c>
      <c r="K52" s="83">
        <f si="3" t="shared"/>
        <v>928</v>
      </c>
    </row>
    <row r="53" spans="1:11" x14ac:dyDescent="0.25">
      <c r="A53">
        <v>42</v>
      </c>
      <c r="B53" s="83" t="n">
        <v>0.0</v>
      </c>
      <c r="C53" s="83" t="n">
        <v>0.0</v>
      </c>
      <c r="D53" s="83" t="n">
        <v>4.11</v>
      </c>
      <c r="E53" s="83">
        <f si="2" t="shared"/>
        <v>4.1100000000000003</v>
      </c>
      <c r="G53">
        <v>42</v>
      </c>
      <c r="H53" s="83" t="n">
        <v>35.0</v>
      </c>
      <c r="I53" s="83" t="n">
        <v>102.0</v>
      </c>
      <c r="J53" s="85" t="n">
        <v>667.0</v>
      </c>
      <c r="K53" s="83">
        <f si="3" t="shared"/>
        <v>914</v>
      </c>
    </row>
    <row r="54" spans="1:11" x14ac:dyDescent="0.25">
      <c r="A54">
        <v>43</v>
      </c>
      <c r="B54" s="83" t="n">
        <v>0.0</v>
      </c>
      <c r="C54" s="83" t="n">
        <v>0.0</v>
      </c>
      <c r="D54" s="83" t="n">
        <v>140.3503</v>
      </c>
      <c r="E54" s="83">
        <f si="2" t="shared"/>
        <v>140.3503</v>
      </c>
      <c r="G54">
        <v>43</v>
      </c>
      <c r="H54" s="83" t="n">
        <v>15.0</v>
      </c>
      <c r="I54" s="83" t="n">
        <v>58.0</v>
      </c>
      <c r="J54" s="85" t="n">
        <v>642.0</v>
      </c>
      <c r="K54" s="83">
        <f si="3" t="shared"/>
        <v>869</v>
      </c>
    </row>
    <row r="55" spans="1:11" x14ac:dyDescent="0.25">
      <c r="A55">
        <v>44</v>
      </c>
      <c r="B55" s="83" t="n">
        <v>0.0</v>
      </c>
      <c r="C55" s="83" t="n">
        <v>262.7907</v>
      </c>
      <c r="D55" s="83" t="n">
        <v>4.11</v>
      </c>
      <c r="E55" s="83">
        <f si="2" t="shared"/>
        <v>266.90070000000003</v>
      </c>
      <c r="G55">
        <v>44</v>
      </c>
      <c r="H55" s="83" t="n">
        <v>21.0</v>
      </c>
      <c r="I55" s="83" t="n">
        <v>63.0</v>
      </c>
      <c r="J55" s="85" t="n">
        <v>480.0</v>
      </c>
      <c r="K55" s="83">
        <f si="3" t="shared"/>
        <v>563</v>
      </c>
    </row>
    <row r="56" spans="1:11" x14ac:dyDescent="0.25">
      <c r="A56">
        <v>45</v>
      </c>
      <c r="B56" s="83" t="n">
        <v>0.0</v>
      </c>
      <c r="C56" s="83" t="n">
        <v>0.0</v>
      </c>
      <c r="D56" s="83" t="n">
        <v>7.785</v>
      </c>
      <c r="E56" s="83">
        <f si="2" t="shared"/>
        <v>7.7850000000000001</v>
      </c>
      <c r="G56">
        <v>45</v>
      </c>
      <c r="H56" s="83" t="n">
        <v>15.0</v>
      </c>
      <c r="I56" s="83" t="n">
        <v>43.0</v>
      </c>
      <c r="J56" s="85" t="n">
        <v>945.0</v>
      </c>
      <c r="K56" s="83">
        <f si="3" t="shared"/>
        <v>935</v>
      </c>
    </row>
    <row r="57" spans="1:11" x14ac:dyDescent="0.25">
      <c r="A57">
        <v>46</v>
      </c>
      <c r="B57" s="83" t="n">
        <v>0.0</v>
      </c>
      <c r="C57" s="83" t="n">
        <v>0.0</v>
      </c>
      <c r="D57" s="83" t="n">
        <v>3.675</v>
      </c>
      <c r="E57" s="83">
        <f si="2" t="shared"/>
        <v>3.6749999999999998</v>
      </c>
      <c r="G57">
        <v>46</v>
      </c>
      <c r="H57" s="83" t="n">
        <v>10.0</v>
      </c>
      <c r="I57" s="83" t="n">
        <v>44.0</v>
      </c>
      <c r="J57" s="85" t="n">
        <v>1207.0</v>
      </c>
      <c r="K57" s="83">
        <f si="3" t="shared"/>
        <v>1352</v>
      </c>
    </row>
    <row r="58" spans="1:11" x14ac:dyDescent="0.25">
      <c r="A58">
        <v>47</v>
      </c>
      <c r="B58" s="83" t="n">
        <v>0.0</v>
      </c>
      <c r="C58" s="83" t="n">
        <v>0.0</v>
      </c>
      <c r="D58" s="83" t="n">
        <v>260.5267</v>
      </c>
      <c r="E58" s="83">
        <f si="2" t="shared"/>
        <v>260.52670000000001</v>
      </c>
      <c r="G58">
        <v>47</v>
      </c>
      <c r="H58" s="83" t="n">
        <v>11.0</v>
      </c>
      <c r="I58" s="83" t="n">
        <v>41.0</v>
      </c>
      <c r="J58" s="85" t="n">
        <v>349.0</v>
      </c>
      <c r="K58" s="83">
        <f si="3" t="shared"/>
        <v>432</v>
      </c>
    </row>
    <row r="59" spans="1:11" x14ac:dyDescent="0.25">
      <c r="A59">
        <v>48</v>
      </c>
      <c r="B59" s="83" t="n">
        <v>0.0</v>
      </c>
      <c r="C59" s="83" t="n">
        <v>0.0</v>
      </c>
      <c r="D59" s="83" t="n">
        <v>42.828</v>
      </c>
      <c r="E59" s="83">
        <f si="2" t="shared"/>
        <v>42.828000000000003</v>
      </c>
      <c r="G59">
        <v>48</v>
      </c>
      <c r="H59" s="83" t="n">
        <v>4.0</v>
      </c>
      <c r="I59" s="83" t="n">
        <v>23.0</v>
      </c>
      <c r="J59" s="85" t="n">
        <v>431.0</v>
      </c>
      <c r="K59" s="83">
        <f si="3" t="shared"/>
        <v>830</v>
      </c>
    </row>
    <row r="60" spans="1:11" x14ac:dyDescent="0.25">
      <c r="A60">
        <v>49</v>
      </c>
      <c r="B60" s="83" t="n">
        <v>0.0</v>
      </c>
      <c r="C60" s="83" t="n">
        <v>0.0</v>
      </c>
      <c r="D60" s="83" t="n">
        <v>131.1346</v>
      </c>
      <c r="E60" s="83">
        <f si="2" t="shared"/>
        <v>131.13460000000001</v>
      </c>
      <c r="G60">
        <v>49</v>
      </c>
      <c r="H60" s="83" t="n">
        <v>2.0</v>
      </c>
      <c r="I60" s="83" t="n">
        <v>24.0</v>
      </c>
      <c r="J60" s="85" t="n">
        <v>439.0</v>
      </c>
      <c r="K60" s="83">
        <f si="3" t="shared"/>
        <v>421</v>
      </c>
    </row>
    <row r="61" spans="1:11" x14ac:dyDescent="0.25">
      <c r="A61">
        <v>50</v>
      </c>
      <c r="B61" s="83" t="n">
        <v>0.0</v>
      </c>
      <c r="C61" s="83" t="n">
        <v>0.0</v>
      </c>
      <c r="D61" s="83" t="n">
        <v>423.099</v>
      </c>
      <c r="E61" s="83">
        <f si="2" t="shared"/>
        <v>423.09899999999999</v>
      </c>
      <c r="G61">
        <v>50</v>
      </c>
      <c r="H61" s="83" t="n">
        <v>3.0</v>
      </c>
      <c r="I61" s="83" t="n">
        <v>19.0</v>
      </c>
      <c r="J61" s="85" t="n">
        <v>551.0</v>
      </c>
      <c r="K61" s="83">
        <f si="3" t="shared"/>
        <v>473</v>
      </c>
    </row>
    <row r="62" spans="1:11" x14ac:dyDescent="0.25">
      <c r="A62">
        <v>51</v>
      </c>
      <c r="B62" s="83" t="n">
        <v>0.0</v>
      </c>
      <c r="C62" s="83" t="n">
        <v>0.0</v>
      </c>
      <c r="D62" s="83" t="n">
        <v>0.0</v>
      </c>
      <c r="E62" s="83">
        <f si="2" t="shared"/>
        <v>0</v>
      </c>
      <c r="G62">
        <v>51</v>
      </c>
      <c r="H62" s="83" t="n">
        <v>2.0</v>
      </c>
      <c r="I62" s="83" t="n">
        <v>30.0</v>
      </c>
      <c r="J62" s="85" t="n">
        <v>299.0</v>
      </c>
      <c r="K62" s="83">
        <f si="3" t="shared"/>
        <v>267</v>
      </c>
    </row>
    <row r="63" spans="1:11" x14ac:dyDescent="0.25">
      <c r="A63">
        <v>52</v>
      </c>
      <c r="B63" s="83" t="n">
        <v>0.0</v>
      </c>
      <c r="C63" s="83" t="n">
        <v>0.0</v>
      </c>
      <c r="D63" s="83" t="n">
        <v>0.0</v>
      </c>
      <c r="E63" s="83">
        <f si="2" t="shared"/>
        <v>0</v>
      </c>
      <c r="G63">
        <v>52</v>
      </c>
      <c r="H63" s="83" t="n">
        <v>2.0</v>
      </c>
      <c r="I63" s="83" t="n">
        <v>26.0</v>
      </c>
      <c r="J63" s="85" t="n">
        <v>320.0</v>
      </c>
      <c r="K63" s="83">
        <f si="3" t="shared"/>
        <v>673</v>
      </c>
    </row>
    <row r="64" spans="1:11" x14ac:dyDescent="0.25">
      <c r="A64">
        <v>53</v>
      </c>
      <c r="B64" s="83" t="n">
        <v>0.0</v>
      </c>
      <c r="C64" s="83" t="n">
        <v>0.0</v>
      </c>
      <c r="D64" s="83" t="n">
        <v>0.0</v>
      </c>
      <c r="E64" s="83">
        <f si="2" t="shared"/>
        <v>0</v>
      </c>
      <c r="G64">
        <v>53</v>
      </c>
      <c r="H64" s="83" t="n">
        <v>4.0</v>
      </c>
      <c r="I64" s="83" t="n">
        <v>11.0</v>
      </c>
      <c r="J64" s="85" t="n">
        <v>597.0</v>
      </c>
      <c r="K64" s="83">
        <f si="3" t="shared"/>
        <v>483</v>
      </c>
    </row>
    <row r="65" spans="1:11" x14ac:dyDescent="0.25">
      <c r="A65">
        <v>54</v>
      </c>
      <c r="B65" s="83" t="n">
        <v>0.0</v>
      </c>
      <c r="C65" s="83" t="n">
        <v>0.0</v>
      </c>
      <c r="D65" s="83" t="n">
        <v>0.0</v>
      </c>
      <c r="E65" s="83">
        <f si="2" t="shared"/>
        <v>0</v>
      </c>
      <c r="G65">
        <v>54</v>
      </c>
      <c r="H65" s="83" t="n">
        <v>1.0</v>
      </c>
      <c r="I65" s="83" t="n">
        <v>20.0</v>
      </c>
      <c r="J65" s="85" t="n">
        <v>444.0</v>
      </c>
      <c r="K65" s="83">
        <f si="3" t="shared"/>
        <v>500</v>
      </c>
    </row>
    <row r="66" spans="1:11" x14ac:dyDescent="0.25">
      <c r="A66">
        <v>55</v>
      </c>
      <c r="B66" s="83" t="n">
        <v>0.0</v>
      </c>
      <c r="C66" s="83" t="n">
        <v>0.0</v>
      </c>
      <c r="D66" s="83" t="n">
        <v>0.0</v>
      </c>
      <c r="E66" s="83">
        <f si="2" t="shared"/>
        <v>0</v>
      </c>
      <c r="G66">
        <v>55</v>
      </c>
      <c r="H66" s="83" t="n">
        <v>3.0</v>
      </c>
      <c r="I66" s="83" t="n">
        <v>21.0</v>
      </c>
      <c r="J66" s="85" t="n">
        <v>418.0</v>
      </c>
      <c r="K66" s="83">
        <f si="3" t="shared"/>
        <v>367</v>
      </c>
    </row>
    <row r="67" spans="1:11" x14ac:dyDescent="0.25">
      <c r="A67">
        <v>56</v>
      </c>
      <c r="B67" s="83" t="n">
        <v>0.0</v>
      </c>
      <c r="C67" s="83" t="n">
        <v>0.0</v>
      </c>
      <c r="D67" s="83" t="n">
        <v>0.0</v>
      </c>
      <c r="E67" s="83">
        <f si="2" t="shared"/>
        <v>0</v>
      </c>
      <c r="G67">
        <v>56</v>
      </c>
      <c r="H67" s="83" t="n">
        <v>1.0</v>
      </c>
      <c r="I67" s="83" t="n">
        <v>12.0</v>
      </c>
      <c r="J67" s="85" t="n">
        <v>219.0</v>
      </c>
      <c r="K67" s="83">
        <f si="3" t="shared"/>
        <v>218</v>
      </c>
    </row>
    <row r="68" spans="1:11" x14ac:dyDescent="0.25">
      <c r="A68">
        <v>57</v>
      </c>
      <c r="B68" s="83" t="n">
        <v>0.0</v>
      </c>
      <c r="C68" s="83" t="n">
        <v>0.0</v>
      </c>
      <c r="D68" s="83" t="n">
        <v>0.0</v>
      </c>
      <c r="E68" s="83">
        <f si="2" t="shared"/>
        <v>0</v>
      </c>
      <c r="G68">
        <v>57</v>
      </c>
      <c r="H68" s="83" t="n">
        <v>2.0</v>
      </c>
      <c r="I68" s="83" t="n">
        <v>10.0</v>
      </c>
      <c r="J68" s="85" t="n">
        <v>282.0</v>
      </c>
      <c r="K68" s="83">
        <f si="3" t="shared"/>
        <v>305</v>
      </c>
    </row>
    <row r="69" spans="1:11" x14ac:dyDescent="0.25">
      <c r="A69">
        <v>58</v>
      </c>
      <c r="B69" s="83" t="n">
        <v>0.0</v>
      </c>
      <c r="C69" s="83" t="n">
        <v>0.0</v>
      </c>
      <c r="D69" s="83" t="n">
        <v>0.0</v>
      </c>
      <c r="E69" s="83">
        <f si="2" t="shared"/>
        <v>0</v>
      </c>
      <c r="G69">
        <v>58</v>
      </c>
      <c r="H69" s="83" t="n">
        <v>1.0</v>
      </c>
      <c r="I69" s="83" t="n">
        <v>8.0</v>
      </c>
      <c r="J69" s="85" t="n">
        <v>53.0</v>
      </c>
      <c r="K69" s="83">
        <f si="3" t="shared"/>
        <v>95</v>
      </c>
    </row>
    <row r="70" spans="1:11" x14ac:dyDescent="0.25">
      <c r="A70">
        <v>59</v>
      </c>
      <c r="B70" s="83" t="n">
        <v>0.0</v>
      </c>
      <c r="C70" s="83" t="n">
        <v>0.0</v>
      </c>
      <c r="D70" s="83" t="n">
        <v>0.0</v>
      </c>
      <c r="E70" s="83">
        <f si="2" t="shared"/>
        <v>0</v>
      </c>
      <c r="G70">
        <v>59</v>
      </c>
      <c r="H70" s="83" t="n">
        <v>5.0</v>
      </c>
      <c r="I70" s="83" t="n">
        <v>8.0</v>
      </c>
      <c r="J70" s="85" t="n">
        <v>74.0</v>
      </c>
      <c r="K70" s="83">
        <f si="3" t="shared"/>
        <v>98</v>
      </c>
    </row>
    <row r="71" spans="1:11" x14ac:dyDescent="0.25">
      <c r="A71">
        <v>60</v>
      </c>
      <c r="B71" s="83" t="n">
        <v>0.0</v>
      </c>
      <c r="C71" s="83" t="n">
        <v>0.0</v>
      </c>
      <c r="D71" s="83" t="n">
        <v>0.0</v>
      </c>
      <c r="E71" s="83">
        <f si="2" t="shared"/>
        <v>0</v>
      </c>
      <c r="G71">
        <v>60</v>
      </c>
      <c r="H71" s="83" t="n">
        <v>1.0</v>
      </c>
      <c r="I71" s="83" t="n">
        <v>3.0</v>
      </c>
      <c r="J71" s="85" t="n">
        <v>130.0</v>
      </c>
      <c r="K71" s="83">
        <f si="3" t="shared"/>
        <v>163</v>
      </c>
    </row>
    <row r="72" spans="1:11" x14ac:dyDescent="0.25">
      <c r="A72">
        <v>61</v>
      </c>
      <c r="B72" s="83" t="n">
        <v>0.0</v>
      </c>
      <c r="C72" s="83" t="n">
        <v>0.0</v>
      </c>
      <c r="D72" s="83" t="n">
        <v>0.0</v>
      </c>
      <c r="E72" s="83">
        <f si="2" t="shared"/>
        <v>0</v>
      </c>
      <c r="G72">
        <v>61</v>
      </c>
      <c r="H72" s="83" t="n">
        <v>1.0</v>
      </c>
      <c r="I72" s="83" t="n">
        <v>5.0</v>
      </c>
      <c r="J72" s="85" t="n">
        <v>179.0</v>
      </c>
      <c r="K72" s="83">
        <f si="3" t="shared"/>
        <v>148</v>
      </c>
    </row>
    <row r="73" spans="1:11" x14ac:dyDescent="0.25">
      <c r="A73">
        <v>62</v>
      </c>
      <c r="B73" s="83" t="n">
        <v>0.0</v>
      </c>
      <c r="C73" s="83" t="n">
        <v>0.0</v>
      </c>
      <c r="D73" s="83" t="n">
        <v>0.0</v>
      </c>
      <c r="E73" s="83">
        <f si="2" t="shared"/>
        <v>0</v>
      </c>
      <c r="G73">
        <v>62</v>
      </c>
      <c r="H73" s="83" t="n">
        <v>8.0</v>
      </c>
      <c r="I73" s="83" t="n">
        <v>3.0</v>
      </c>
      <c r="J73" s="85" t="n">
        <v>52.0</v>
      </c>
      <c r="K73" s="83">
        <f si="3" t="shared"/>
        <v>178</v>
      </c>
    </row>
    <row r="74" spans="1:11" x14ac:dyDescent="0.25">
      <c r="A74">
        <v>63</v>
      </c>
      <c r="B74" s="83" t="n">
        <v>0.0</v>
      </c>
      <c r="C74" s="83" t="n">
        <v>0.0</v>
      </c>
      <c r="D74" s="83" t="n">
        <v>0.0</v>
      </c>
      <c r="E74" s="83">
        <f si="2" t="shared"/>
        <v>0</v>
      </c>
      <c r="G74">
        <v>63</v>
      </c>
      <c r="H74" s="83" t="n">
        <v>2.0</v>
      </c>
      <c r="I74" s="83" t="n">
        <v>7.0</v>
      </c>
      <c r="J74" s="85" t="n">
        <v>143.0</v>
      </c>
      <c r="K74" s="83">
        <f si="3" t="shared"/>
        <v>201</v>
      </c>
    </row>
    <row r="75" spans="1:11" x14ac:dyDescent="0.25">
      <c r="A75">
        <v>64</v>
      </c>
      <c r="B75" s="83" t="n">
        <v>0.0</v>
      </c>
      <c r="C75" s="83" t="n">
        <v>0.0</v>
      </c>
      <c r="D75" s="83" t="n">
        <v>0.0</v>
      </c>
      <c r="E75" s="83">
        <f ref="E75:E101" si="4" t="shared">SUM(B75:D75)</f>
        <v>0</v>
      </c>
      <c r="G75">
        <v>64</v>
      </c>
      <c r="H75" s="83" t="n">
        <v>0.0</v>
      </c>
      <c r="I75" s="83" t="n">
        <v>11.0</v>
      </c>
      <c r="J75" s="85" t="n">
        <v>59.0</v>
      </c>
      <c r="K75" s="83">
        <f ref="K75:K101" si="5" t="shared">SUM(H75:J75)</f>
        <v>75</v>
      </c>
    </row>
    <row r="76" spans="1:11" x14ac:dyDescent="0.25">
      <c r="A76">
        <v>65</v>
      </c>
      <c r="B76" s="83" t="n">
        <v>0.0</v>
      </c>
      <c r="C76" s="83" t="n">
        <v>0.0</v>
      </c>
      <c r="D76" s="83" t="n">
        <v>0.0</v>
      </c>
      <c r="E76" s="83">
        <f si="4" t="shared"/>
        <v>0</v>
      </c>
      <c r="G76">
        <v>65</v>
      </c>
      <c r="H76" s="83" t="n">
        <v>0.0</v>
      </c>
      <c r="I76" s="83" t="n">
        <v>6.0</v>
      </c>
      <c r="J76" s="85" t="n">
        <v>254.0</v>
      </c>
      <c r="K76" s="83">
        <f si="5" t="shared"/>
        <v>220</v>
      </c>
    </row>
    <row r="77" spans="1:11" x14ac:dyDescent="0.25">
      <c r="A77">
        <v>66</v>
      </c>
      <c r="B77" s="83" t="n">
        <v>0.0</v>
      </c>
      <c r="C77" s="83" t="n">
        <v>0.0</v>
      </c>
      <c r="D77" s="83" t="n">
        <v>0.0</v>
      </c>
      <c r="E77" s="83">
        <f si="4" t="shared"/>
        <v>0</v>
      </c>
      <c r="G77">
        <v>66</v>
      </c>
      <c r="H77" s="83" t="n">
        <v>0.0</v>
      </c>
      <c r="I77" s="83" t="n">
        <v>3.0</v>
      </c>
      <c r="J77" s="85" t="n">
        <v>18.0</v>
      </c>
      <c r="K77" s="83">
        <f si="5" t="shared"/>
        <v>90</v>
      </c>
    </row>
    <row r="78" spans="1:11" x14ac:dyDescent="0.25">
      <c r="A78">
        <v>67</v>
      </c>
      <c r="B78" s="83" t="n">
        <v>0.0</v>
      </c>
      <c r="C78" s="83" t="n">
        <v>0.0</v>
      </c>
      <c r="D78" s="83" t="n">
        <v>0.0</v>
      </c>
      <c r="E78" s="83">
        <f si="4" t="shared"/>
        <v>0</v>
      </c>
      <c r="G78">
        <v>67</v>
      </c>
      <c r="H78" s="83" t="n">
        <v>1.0</v>
      </c>
      <c r="I78" s="83" t="n">
        <v>5.0</v>
      </c>
      <c r="J78" s="85" t="n">
        <v>89.0</v>
      </c>
      <c r="K78" s="83">
        <f si="5" t="shared"/>
        <v>31</v>
      </c>
    </row>
    <row r="79" spans="1:11" x14ac:dyDescent="0.25">
      <c r="A79">
        <v>68</v>
      </c>
      <c r="B79" s="83" t="n">
        <v>0.0</v>
      </c>
      <c r="C79" s="83" t="n">
        <v>0.0</v>
      </c>
      <c r="D79" s="83" t="n">
        <v>0.0</v>
      </c>
      <c r="E79" s="83">
        <f si="4" t="shared"/>
        <v>0</v>
      </c>
      <c r="G79">
        <v>68</v>
      </c>
      <c r="H79" s="83" t="n">
        <v>2.0</v>
      </c>
      <c r="I79" s="83" t="n">
        <v>1.0</v>
      </c>
      <c r="J79" s="85" t="n">
        <v>27.0</v>
      </c>
      <c r="K79" s="83">
        <f si="5" t="shared"/>
        <v>44</v>
      </c>
    </row>
    <row r="80" spans="1:11" x14ac:dyDescent="0.25">
      <c r="A80">
        <v>69</v>
      </c>
      <c r="B80" s="83" t="n">
        <v>0.0</v>
      </c>
      <c r="C80" s="83" t="n">
        <v>0.0</v>
      </c>
      <c r="D80" s="83" t="n">
        <v>0.0</v>
      </c>
      <c r="E80" s="83">
        <f si="4" t="shared"/>
        <v>0</v>
      </c>
      <c r="G80">
        <v>69</v>
      </c>
      <c r="H80" s="83" t="n">
        <v>0.0</v>
      </c>
      <c r="I80" s="83" t="n">
        <v>3.0</v>
      </c>
      <c r="J80" s="85" t="n">
        <v>118.0</v>
      </c>
      <c r="K80" s="83">
        <f si="5" t="shared"/>
        <v>140</v>
      </c>
    </row>
    <row r="81" spans="1:11" x14ac:dyDescent="0.25">
      <c r="A81">
        <v>70</v>
      </c>
      <c r="B81" s="83" t="n">
        <v>0.0</v>
      </c>
      <c r="C81" s="83" t="n">
        <v>0.0</v>
      </c>
      <c r="D81" s="83" t="n">
        <v>0.0</v>
      </c>
      <c r="E81" s="83">
        <f si="4" t="shared"/>
        <v>0</v>
      </c>
      <c r="G81">
        <v>70</v>
      </c>
      <c r="H81" s="83" t="n">
        <v>5.0</v>
      </c>
      <c r="I81" s="83" t="n">
        <v>1.0</v>
      </c>
      <c r="J81" s="85" t="n">
        <v>36.0</v>
      </c>
      <c r="K81" s="83">
        <f si="5" t="shared"/>
        <v>49</v>
      </c>
    </row>
    <row r="82" spans="1:11" x14ac:dyDescent="0.25">
      <c r="A82">
        <v>71</v>
      </c>
      <c r="B82" s="83" t="n">
        <v>0.0</v>
      </c>
      <c r="C82" s="83" t="n">
        <v>0.0</v>
      </c>
      <c r="D82" s="83" t="n">
        <v>0.0</v>
      </c>
      <c r="E82" s="83">
        <f si="4" t="shared"/>
        <v>0</v>
      </c>
      <c r="G82">
        <v>71</v>
      </c>
      <c r="H82" s="83" t="n">
        <v>1.0</v>
      </c>
      <c r="I82" s="83" t="n">
        <v>1.0</v>
      </c>
      <c r="J82" s="85" t="n">
        <v>75.0</v>
      </c>
      <c r="K82" s="83">
        <f si="5" t="shared"/>
        <v>79</v>
      </c>
    </row>
    <row r="83" spans="1:11" x14ac:dyDescent="0.25">
      <c r="A83">
        <v>72</v>
      </c>
      <c r="B83" s="83" t="n">
        <v>0.0</v>
      </c>
      <c r="C83" s="83" t="n">
        <v>0.0</v>
      </c>
      <c r="D83" s="83" t="n">
        <v>0.0</v>
      </c>
      <c r="E83" s="83">
        <f si="4" t="shared"/>
        <v>0</v>
      </c>
      <c r="G83">
        <v>72</v>
      </c>
      <c r="H83" s="83" t="n">
        <v>0.0</v>
      </c>
      <c r="I83" s="83" t="n">
        <v>0.0</v>
      </c>
      <c r="J83" s="85" t="n">
        <v>9.0</v>
      </c>
      <c r="K83" s="83">
        <f si="5" t="shared"/>
        <v>12</v>
      </c>
    </row>
    <row r="84" spans="1:11" x14ac:dyDescent="0.25">
      <c r="A84">
        <v>73</v>
      </c>
      <c r="B84" s="83" t="n">
        <v>0.0</v>
      </c>
      <c r="C84" s="83" t="n">
        <v>0.0</v>
      </c>
      <c r="D84" s="83" t="n">
        <v>0.0</v>
      </c>
      <c r="E84" s="83">
        <f si="4" t="shared"/>
        <v>0</v>
      </c>
      <c r="G84">
        <v>73</v>
      </c>
      <c r="H84" s="83" t="n">
        <v>1.0</v>
      </c>
      <c r="I84" s="83" t="n">
        <v>1.0</v>
      </c>
      <c r="J84" s="85" t="n">
        <v>15.0</v>
      </c>
      <c r="K84" s="83">
        <f si="5" t="shared"/>
        <v>25</v>
      </c>
    </row>
    <row r="85" spans="1:11" x14ac:dyDescent="0.25">
      <c r="A85">
        <v>74</v>
      </c>
      <c r="B85" s="83" t="n">
        <v>0.0</v>
      </c>
      <c r="C85" s="83" t="n">
        <v>0.0</v>
      </c>
      <c r="D85" s="83" t="n">
        <v>0.0</v>
      </c>
      <c r="E85" s="83">
        <f si="4" t="shared"/>
        <v>0</v>
      </c>
      <c r="G85">
        <v>74</v>
      </c>
      <c r="H85" s="83" t="n">
        <v>0.0</v>
      </c>
      <c r="I85" s="83" t="n">
        <v>0.0</v>
      </c>
      <c r="J85" s="85" t="n">
        <v>11.0</v>
      </c>
      <c r="K85" s="83">
        <f si="5" t="shared"/>
        <v>38</v>
      </c>
    </row>
    <row r="86" spans="1:11" x14ac:dyDescent="0.25">
      <c r="A86">
        <v>75</v>
      </c>
      <c r="B86" s="83" t="n">
        <v>0.0</v>
      </c>
      <c r="C86" s="83" t="n">
        <v>0.0</v>
      </c>
      <c r="D86" s="83" t="n">
        <v>0.0</v>
      </c>
      <c r="E86" s="83">
        <f si="4" t="shared"/>
        <v>0</v>
      </c>
      <c r="G86">
        <v>75</v>
      </c>
      <c r="H86" s="83" t="n">
        <v>0.0</v>
      </c>
      <c r="I86" s="83" t="n">
        <v>0.0</v>
      </c>
      <c r="J86" s="85" t="n">
        <v>13.0</v>
      </c>
      <c r="K86" s="83">
        <f si="5" t="shared"/>
        <v>14</v>
      </c>
    </row>
    <row r="87" spans="1:11" x14ac:dyDescent="0.25">
      <c r="A87">
        <v>76</v>
      </c>
      <c r="B87" s="83" t="n">
        <v>0.0</v>
      </c>
      <c r="C87" s="83" t="n">
        <v>0.0</v>
      </c>
      <c r="D87" s="83" t="n">
        <v>0.0</v>
      </c>
      <c r="E87" s="83">
        <f si="4" t="shared"/>
        <v>0</v>
      </c>
      <c r="G87">
        <v>76</v>
      </c>
      <c r="H87" s="83" t="n">
        <v>0.0</v>
      </c>
      <c r="I87" s="83" t="n">
        <v>0.0</v>
      </c>
      <c r="J87" s="85" t="n">
        <v>8.0</v>
      </c>
      <c r="K87" s="83">
        <f si="5" t="shared"/>
        <v>11</v>
      </c>
    </row>
    <row r="88" spans="1:11" x14ac:dyDescent="0.25">
      <c r="A88">
        <v>77</v>
      </c>
      <c r="B88" s="83" t="n">
        <v>0.0</v>
      </c>
      <c r="C88" s="83" t="n">
        <v>0.0</v>
      </c>
      <c r="D88" s="83" t="n">
        <v>0.0</v>
      </c>
      <c r="E88" s="83">
        <f si="4" t="shared"/>
        <v>0</v>
      </c>
      <c r="G88">
        <v>77</v>
      </c>
      <c r="H88" s="83" t="n">
        <v>0.0</v>
      </c>
      <c r="I88" s="83" t="n">
        <v>2.0</v>
      </c>
      <c r="J88" s="85" t="n">
        <v>34.0</v>
      </c>
      <c r="K88" s="83">
        <f si="5" t="shared"/>
        <v>29</v>
      </c>
    </row>
    <row r="89" spans="1:11" x14ac:dyDescent="0.25">
      <c r="A89">
        <v>78</v>
      </c>
      <c r="B89" s="83" t="n">
        <v>0.0</v>
      </c>
      <c r="C89" s="83" t="n">
        <v>0.0</v>
      </c>
      <c r="D89" s="83" t="n">
        <v>0.0</v>
      </c>
      <c r="E89" s="83">
        <f si="4" t="shared"/>
        <v>0</v>
      </c>
      <c r="G89">
        <v>78</v>
      </c>
      <c r="H89" s="83" t="n">
        <v>0.0</v>
      </c>
      <c r="I89" s="83" t="n">
        <v>1.0</v>
      </c>
      <c r="J89" s="85" t="n">
        <v>1.0</v>
      </c>
      <c r="K89" s="83">
        <f si="5" t="shared"/>
        <v>3</v>
      </c>
    </row>
    <row r="90" spans="1:11" x14ac:dyDescent="0.25">
      <c r="A90">
        <v>79</v>
      </c>
      <c r="B90" s="83" t="n">
        <v>0.0</v>
      </c>
      <c r="C90" s="83" t="n">
        <v>0.0</v>
      </c>
      <c r="D90" s="83" t="n">
        <v>0.0</v>
      </c>
      <c r="E90" s="83">
        <f si="4" t="shared"/>
        <v>0</v>
      </c>
      <c r="G90">
        <v>79</v>
      </c>
      <c r="H90" s="83" t="n">
        <v>0.0</v>
      </c>
      <c r="I90" s="83" t="n">
        <v>2.0</v>
      </c>
      <c r="J90" s="85" t="n">
        <v>0.0</v>
      </c>
      <c r="K90" s="83">
        <f si="5" t="shared"/>
        <v>1</v>
      </c>
    </row>
    <row r="91" spans="1:11" x14ac:dyDescent="0.25">
      <c r="A91">
        <v>80</v>
      </c>
      <c r="B91" s="83" t="n">
        <v>0.0</v>
      </c>
      <c r="C91" s="83" t="n">
        <v>0.0</v>
      </c>
      <c r="D91" s="83" t="n">
        <v>0.0</v>
      </c>
      <c r="E91" s="83">
        <f si="4" t="shared"/>
        <v>0</v>
      </c>
      <c r="G91">
        <v>80</v>
      </c>
      <c r="H91" s="83" t="n">
        <v>0.0</v>
      </c>
      <c r="I91" s="83" t="n">
        <v>0.0</v>
      </c>
      <c r="J91" s="85" t="n">
        <v>1.0</v>
      </c>
      <c r="K91" s="83">
        <f si="5" t="shared"/>
        <v>1</v>
      </c>
    </row>
    <row r="92" spans="1:11" x14ac:dyDescent="0.25">
      <c r="A92">
        <v>81</v>
      </c>
      <c r="B92" s="83" t="n">
        <v>0.0</v>
      </c>
      <c r="C92" s="83" t="n">
        <v>0.0</v>
      </c>
      <c r="D92" s="83" t="n">
        <v>0.0</v>
      </c>
      <c r="E92" s="83">
        <f si="4" t="shared"/>
        <v>0</v>
      </c>
      <c r="G92">
        <v>81</v>
      </c>
      <c r="H92" s="83" t="n">
        <v>3.0</v>
      </c>
      <c r="I92" s="83" t="n">
        <v>1.0</v>
      </c>
      <c r="J92" s="85" t="n">
        <v>112.0</v>
      </c>
      <c r="K92" s="83">
        <f si="5" t="shared"/>
        <v>103</v>
      </c>
    </row>
    <row r="93" spans="1:11" x14ac:dyDescent="0.25">
      <c r="A93">
        <v>82</v>
      </c>
      <c r="B93" s="83" t="n">
        <v>0.0</v>
      </c>
      <c r="C93" s="83" t="n">
        <v>0.0</v>
      </c>
      <c r="D93" s="83" t="n">
        <v>0.0</v>
      </c>
      <c r="E93" s="83">
        <f si="4" t="shared"/>
        <v>0</v>
      </c>
      <c r="G93">
        <v>82</v>
      </c>
      <c r="H93" s="83" t="n">
        <v>0.0</v>
      </c>
      <c r="I93" s="83" t="n">
        <v>0.0</v>
      </c>
      <c r="J93" s="85" t="n">
        <v>1.0</v>
      </c>
      <c r="K93" s="83">
        <f si="5" t="shared"/>
        <v>1</v>
      </c>
    </row>
    <row r="94" spans="1:11" x14ac:dyDescent="0.25">
      <c r="A94">
        <v>83</v>
      </c>
      <c r="B94" s="83" t="n">
        <v>0.0</v>
      </c>
      <c r="C94" s="83" t="n">
        <v>0.0</v>
      </c>
      <c r="D94" s="83" t="n">
        <v>0.0</v>
      </c>
      <c r="E94" s="83">
        <f si="4" t="shared"/>
        <v>0</v>
      </c>
      <c r="G94">
        <v>83</v>
      </c>
      <c r="H94" s="83" t="n">
        <v>0.0</v>
      </c>
      <c r="I94" s="83" t="n">
        <v>0.0</v>
      </c>
      <c r="J94" s="85" t="n">
        <v>1.0</v>
      </c>
      <c r="K94" s="83">
        <f si="5" t="shared"/>
        <v>3</v>
      </c>
    </row>
    <row r="95" spans="1:11" x14ac:dyDescent="0.25">
      <c r="A95">
        <v>84</v>
      </c>
      <c r="B95" s="83" t="n">
        <v>0.0</v>
      </c>
      <c r="C95" s="83" t="n">
        <v>0.0</v>
      </c>
      <c r="D95" s="83" t="n">
        <v>0.0</v>
      </c>
      <c r="E95" s="83">
        <f si="4" t="shared"/>
        <v>0</v>
      </c>
      <c r="G95">
        <v>84</v>
      </c>
      <c r="H95" s="83" t="n">
        <v>0.0</v>
      </c>
      <c r="I95" s="83" t="n">
        <v>0.0</v>
      </c>
      <c r="J95" s="85" t="n">
        <v>0.0</v>
      </c>
      <c r="K95" s="83">
        <f si="5" t="shared"/>
        <v>2</v>
      </c>
    </row>
    <row r="96" spans="1:11" x14ac:dyDescent="0.25">
      <c r="A96">
        <v>85</v>
      </c>
      <c r="B96" s="83" t="n">
        <v>0.0</v>
      </c>
      <c r="C96" s="83" t="n">
        <v>0.0</v>
      </c>
      <c r="D96" s="83" t="n">
        <v>0.0</v>
      </c>
      <c r="E96" s="83">
        <f si="4" t="shared"/>
        <v>0</v>
      </c>
      <c r="G96">
        <v>85</v>
      </c>
      <c r="H96" s="83" t="n">
        <v>0.0</v>
      </c>
      <c r="I96" s="83" t="n">
        <v>1.0</v>
      </c>
      <c r="J96" s="85" t="n">
        <v>15.0</v>
      </c>
      <c r="K96" s="83">
        <f si="5" t="shared"/>
        <v>23</v>
      </c>
    </row>
    <row r="97" spans="1:11" x14ac:dyDescent="0.25">
      <c r="A97">
        <v>86</v>
      </c>
      <c r="B97" s="83" t="n">
        <v>0.0</v>
      </c>
      <c r="C97" s="83" t="n">
        <v>0.0</v>
      </c>
      <c r="D97" s="83" t="n">
        <v>0.0</v>
      </c>
      <c r="E97" s="83">
        <f si="4" t="shared"/>
        <v>0</v>
      </c>
      <c r="G97">
        <v>86</v>
      </c>
      <c r="H97" s="83" t="n">
        <v>0.0</v>
      </c>
      <c r="I97" s="83" t="n">
        <v>1.0</v>
      </c>
      <c r="J97" s="85" t="n">
        <v>43.0</v>
      </c>
      <c r="K97" s="83">
        <f si="5" t="shared"/>
        <v>43</v>
      </c>
    </row>
    <row r="98" spans="1:11" x14ac:dyDescent="0.25">
      <c r="A98">
        <v>87</v>
      </c>
      <c r="B98" s="83" t="n">
        <v>0.0</v>
      </c>
      <c r="C98" s="83" t="n">
        <v>0.0</v>
      </c>
      <c r="D98" s="83" t="n">
        <v>0.0</v>
      </c>
      <c r="E98" s="83">
        <f si="4" t="shared"/>
        <v>0</v>
      </c>
      <c r="G98">
        <v>87</v>
      </c>
      <c r="H98" s="83" t="n">
        <v>0.0</v>
      </c>
      <c r="I98" s="83" t="n">
        <v>0.0</v>
      </c>
      <c r="J98" s="85" t="n">
        <v>9.0</v>
      </c>
      <c r="K98" s="83">
        <f si="5" t="shared"/>
        <v>20</v>
      </c>
    </row>
    <row r="99" spans="1:11" x14ac:dyDescent="0.25">
      <c r="A99">
        <v>88</v>
      </c>
      <c r="B99" s="83" t="n">
        <v>0.0</v>
      </c>
      <c r="C99" s="83" t="n">
        <v>0.0</v>
      </c>
      <c r="D99" s="83" t="n">
        <v>0.0</v>
      </c>
      <c r="E99" s="83">
        <f si="4" t="shared"/>
        <v>0</v>
      </c>
      <c r="G99">
        <v>88</v>
      </c>
      <c r="H99" s="83" t="n">
        <v>0.0</v>
      </c>
      <c r="I99" s="83" t="n">
        <v>0.0</v>
      </c>
      <c r="J99" s="85" t="n">
        <v>1.0</v>
      </c>
      <c r="K99" s="83">
        <f si="5" t="shared"/>
        <v>1</v>
      </c>
    </row>
    <row r="100" spans="1:11" x14ac:dyDescent="0.25">
      <c r="A100">
        <v>89</v>
      </c>
      <c r="B100" s="83" t="n">
        <v>0.0</v>
      </c>
      <c r="C100" s="83" t="n">
        <v>0.0</v>
      </c>
      <c r="D100" s="83" t="n">
        <v>0.0</v>
      </c>
      <c r="E100" s="83">
        <f si="4" t="shared"/>
        <v>0</v>
      </c>
      <c r="G100">
        <v>89</v>
      </c>
      <c r="H100" s="83" t="n">
        <v>12.0</v>
      </c>
      <c r="I100" s="83" t="n">
        <v>1.0</v>
      </c>
      <c r="J100" s="85" t="n">
        <v>9.0</v>
      </c>
      <c r="K100" s="83">
        <f si="5" t="shared"/>
        <v>15</v>
      </c>
    </row>
    <row ht="15.75" r="101" spans="1:11" thickBot="1" x14ac:dyDescent="0.3">
      <c r="A101" s="1">
        <v>90</v>
      </c>
      <c r="B101" s="84" t="n">
        <v>4846.176</v>
      </c>
      <c r="C101" s="84" t="n">
        <v>0.0</v>
      </c>
      <c r="D101" s="84" t="n">
        <v>3032.2763</v>
      </c>
      <c r="E101" s="84">
        <f si="4" t="shared"/>
        <v>7878.4523000000008</v>
      </c>
      <c r="G101" s="1">
        <v>90</v>
      </c>
      <c r="H101" s="84" t="n">
        <v>22151.0</v>
      </c>
      <c r="I101" s="84" t="n">
        <v>0.0</v>
      </c>
      <c r="J101" s="84" t="n">
        <v>0.0</v>
      </c>
      <c r="K101" s="84">
        <f si="5" t="shared"/>
        <v>22434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22"/>
  <sheetViews>
    <sheetView workbookViewId="0">
      <selection activeCell="C2" sqref="C2"/>
    </sheetView>
  </sheetViews>
  <sheetFormatPr defaultRowHeight="15" x14ac:dyDescent="0.25"/>
  <cols>
    <col min="1" max="1" customWidth="true" width="12.140625" collapsed="true"/>
    <col min="5" max="5" bestFit="true" customWidth="true" width="9.5703125" collapsed="true"/>
    <col min="8" max="8" customWidth="true" width="10.85546875" collapsed="true"/>
    <col min="12" max="12" bestFit="true" customWidth="true" width="9.5703125" collapsed="true"/>
  </cols>
  <sheetData>
    <row r="1" spans="1:12" x14ac:dyDescent="0.25">
      <c r="A1" t="s">
        <v>14</v>
      </c>
    </row>
    <row r="2" spans="1:12" x14ac:dyDescent="0.25">
      <c r="A2" t="s">
        <v>250</v>
      </c>
    </row>
    <row r="3" spans="1:12" x14ac:dyDescent="0.25">
      <c r="A3" t="s">
        <v>251</v>
      </c>
    </row>
    <row r="4" spans="1:12" x14ac:dyDescent="0.25">
      <c r="A4" t="s">
        <v>6</v>
      </c>
    </row>
    <row r="5" spans="1:12" x14ac:dyDescent="0.25">
      <c r="A5" t="s">
        <v>7</v>
      </c>
    </row>
    <row ht="15.75" r="9" spans="1:12" thickBot="1" x14ac:dyDescent="0.3">
      <c r="A9" s="4" t="s">
        <v>193</v>
      </c>
      <c r="B9" s="1"/>
      <c r="C9" s="1"/>
      <c r="D9" s="1"/>
      <c r="E9" s="1"/>
      <c r="H9" s="4" t="s">
        <v>10</v>
      </c>
      <c r="I9" s="1"/>
      <c r="J9" s="1"/>
      <c r="K9" s="1"/>
      <c r="L9" s="1"/>
    </row>
    <row r="10" spans="1:12" x14ac:dyDescent="0.25">
      <c r="A10" s="2" t="s">
        <v>13</v>
      </c>
      <c r="B10" s="5" t="s">
        <v>41</v>
      </c>
      <c r="C10" s="5" t="s">
        <v>42</v>
      </c>
      <c r="D10" s="5" t="s">
        <v>43</v>
      </c>
      <c r="E10" s="5" t="s">
        <v>3</v>
      </c>
      <c r="H10" s="2" t="s">
        <v>13</v>
      </c>
      <c r="I10" s="5" t="s">
        <v>41</v>
      </c>
      <c r="J10" s="5" t="s">
        <v>42</v>
      </c>
      <c r="K10" s="5" t="s">
        <v>43</v>
      </c>
      <c r="L10" s="5" t="s">
        <v>3</v>
      </c>
    </row>
    <row r="11" spans="1:12" x14ac:dyDescent="0.25">
      <c r="A11" t="s">
        <v>15</v>
      </c>
      <c r="B11" s="13">
        <f>SUM(TDFD!B11:B15)</f>
        <v>27494.374899999999</v>
      </c>
      <c r="C11" s="13">
        <f>SUM(TDFD!C11:C15)</f>
        <v>1556.1008000000002</v>
      </c>
      <c r="D11" s="13">
        <f>SUM(TDFD!D11:D15)</f>
        <v>0</v>
      </c>
      <c r="E11" s="13">
        <f>SUM(TDFD!E11:E15)</f>
        <v>29050.475699999999</v>
      </c>
      <c r="H11" t="s">
        <v>15</v>
      </c>
      <c r="I11" s="13">
        <f>SUM(TDFD!H11:H15)</f>
        <v>42348</v>
      </c>
      <c r="J11" s="13">
        <f>SUM(TDFD!I11:I15)</f>
        <v>4590</v>
      </c>
      <c r="K11" s="13">
        <f>SUM(TDFD!J11:J15)</f>
        <v>3083</v>
      </c>
      <c r="L11" s="13">
        <f>SUM(TDFD!K11:K15)</f>
        <v>50021</v>
      </c>
    </row>
    <row r="12" spans="1:12" x14ac:dyDescent="0.25">
      <c r="A12" t="s">
        <v>16</v>
      </c>
      <c r="B12" s="13">
        <f>SUM(TDFD!B16:B20)</f>
        <v>14204.030399999998</v>
      </c>
      <c r="C12" s="13">
        <f>SUM(TDFD!C16:C20)</f>
        <v>3253.9331999999995</v>
      </c>
      <c r="D12" s="13">
        <f>SUM(TDFD!D16:D20)</f>
        <v>829.56979999999999</v>
      </c>
      <c r="E12" s="13">
        <f>SUM(TDFD!E16:E20)</f>
        <v>18287.5334</v>
      </c>
      <c r="H12" t="s">
        <v>16</v>
      </c>
      <c r="I12" s="13">
        <f>SUM(TDFD!H16:H20)</f>
        <v>39680</v>
      </c>
      <c r="J12" s="13">
        <f>SUM(TDFD!I16:I20)</f>
        <v>5286</v>
      </c>
      <c r="K12" s="13">
        <f>SUM(TDFD!J16:J20)</f>
        <v>6359</v>
      </c>
      <c r="L12" s="13">
        <f>SUM(TDFD!K16:K20)</f>
        <v>51325</v>
      </c>
    </row>
    <row r="13" spans="1:12" x14ac:dyDescent="0.25">
      <c r="A13" t="s">
        <v>17</v>
      </c>
      <c r="B13" s="13">
        <f>SUM(TDFD!B21:B25)</f>
        <v>9877.1356999999989</v>
      </c>
      <c r="C13" s="13">
        <f>SUM(TDFD!C21:C25)</f>
        <v>2312.2802999999999</v>
      </c>
      <c r="D13" s="13">
        <f>SUM(TDFD!D21:D25)</f>
        <v>253.25909999999999</v>
      </c>
      <c r="E13" s="13">
        <f>SUM(TDFD!E21:E25)</f>
        <v>12442.6751</v>
      </c>
      <c r="H13" t="s">
        <v>17</v>
      </c>
      <c r="I13" s="13">
        <f>SUM(TDFD!H21:H25)</f>
        <v>17663</v>
      </c>
      <c r="J13" s="13">
        <f>SUM(TDFD!I21:I25)</f>
        <v>3411</v>
      </c>
      <c r="K13" s="13">
        <f>SUM(TDFD!J21:J25)</f>
        <v>5452</v>
      </c>
      <c r="L13" s="13">
        <f>SUM(TDFD!K21:K25)</f>
        <v>26526</v>
      </c>
    </row>
    <row r="14" spans="1:12" x14ac:dyDescent="0.25">
      <c r="A14" t="s">
        <v>18</v>
      </c>
      <c r="B14" s="13">
        <f>SUM(TDFD!B26:B30)</f>
        <v>1401.1821</v>
      </c>
      <c r="C14" s="13">
        <f>SUM(TDFD!C26:C30)</f>
        <v>626.66150000000005</v>
      </c>
      <c r="D14" s="13">
        <f>SUM(TDFD!D26:D30)</f>
        <v>565.822</v>
      </c>
      <c r="E14" s="13">
        <f>SUM(TDFD!E26:E30)</f>
        <v>2593.6656000000003</v>
      </c>
      <c r="H14" t="s">
        <v>18</v>
      </c>
      <c r="I14" s="13">
        <f>SUM(TDFD!H26:H30)</f>
        <v>26050</v>
      </c>
      <c r="J14" s="13">
        <f>SUM(TDFD!I26:I30)</f>
        <v>4889</v>
      </c>
      <c r="K14" s="13">
        <f>SUM(TDFD!J26:J30)</f>
        <v>6138</v>
      </c>
      <c r="L14" s="13">
        <f>SUM(TDFD!K26:K30)</f>
        <v>37077</v>
      </c>
    </row>
    <row r="15" spans="1:12" x14ac:dyDescent="0.25">
      <c r="A15" t="s">
        <v>19</v>
      </c>
      <c r="B15" s="13">
        <f>SUM(TDFD!B31:B35)</f>
        <v>1531.3852999999999</v>
      </c>
      <c r="C15" s="13">
        <f>SUM(TDFD!C31:C35)</f>
        <v>0</v>
      </c>
      <c r="D15" s="13">
        <f>SUM(TDFD!D31:D35)</f>
        <v>244.27179999999998</v>
      </c>
      <c r="E15" s="13">
        <f>SUM(TDFD!E31:E35)</f>
        <v>1775.6570999999999</v>
      </c>
      <c r="H15" t="s">
        <v>19</v>
      </c>
      <c r="I15" s="13">
        <f>SUM(TDFD!H31:H35)</f>
        <v>22605</v>
      </c>
      <c r="J15" s="13">
        <f>SUM(TDFD!I31:I35)</f>
        <v>5679</v>
      </c>
      <c r="K15" s="13">
        <f>SUM(TDFD!J31:J35)</f>
        <v>12438</v>
      </c>
      <c r="L15" s="13">
        <f>SUM(TDFD!K31:K35)</f>
        <v>40722</v>
      </c>
    </row>
    <row r="16" spans="1:12" x14ac:dyDescent="0.25">
      <c r="A16" t="s">
        <v>20</v>
      </c>
      <c r="B16" s="13">
        <f>SUM(TDFD!B36:B40)</f>
        <v>541.97919999999999</v>
      </c>
      <c r="C16" s="13">
        <f>SUM(TDFD!C36:C40)</f>
        <v>0</v>
      </c>
      <c r="D16" s="13">
        <f>SUM(TDFD!D36:D40)</f>
        <v>0</v>
      </c>
      <c r="E16" s="13">
        <f>SUM(TDFD!E36:E40)</f>
        <v>541.97919999999999</v>
      </c>
      <c r="H16" t="s">
        <v>20</v>
      </c>
      <c r="I16" s="13">
        <f>SUM(TDFD!H36:H40)</f>
        <v>7818</v>
      </c>
      <c r="J16" s="13">
        <f>SUM(TDFD!I36:I40)</f>
        <v>3111</v>
      </c>
      <c r="K16" s="13">
        <f>SUM(TDFD!J36:J40)</f>
        <v>11636</v>
      </c>
      <c r="L16" s="13">
        <f>SUM(TDFD!K36:K40)</f>
        <v>22565</v>
      </c>
    </row>
    <row r="17" spans="1:12" x14ac:dyDescent="0.25">
      <c r="A17" t="s">
        <v>21</v>
      </c>
      <c r="B17" s="13">
        <f>SUM(TDFD!B41:B45)</f>
        <v>277.97430000000003</v>
      </c>
      <c r="C17" s="13">
        <f>SUM(TDFD!C41:C45)</f>
        <v>0</v>
      </c>
      <c r="D17" s="13">
        <f>SUM(TDFD!D41:D45)</f>
        <v>942.24040000000014</v>
      </c>
      <c r="E17" s="13">
        <f>SUM(TDFD!E41:E45)</f>
        <v>1220.2147</v>
      </c>
      <c r="H17" t="s">
        <v>21</v>
      </c>
      <c r="I17" s="13">
        <f>SUM(TDFD!H41:H45)</f>
        <v>2928</v>
      </c>
      <c r="J17" s="13">
        <f>SUM(TDFD!I41:I45)</f>
        <v>1858</v>
      </c>
      <c r="K17" s="13">
        <f>SUM(TDFD!J41:J45)</f>
        <v>8413</v>
      </c>
      <c r="L17" s="13">
        <f>SUM(TDFD!K41:K45)</f>
        <v>13199</v>
      </c>
    </row>
    <row r="18" spans="1:12" x14ac:dyDescent="0.25">
      <c r="A18" t="s">
        <v>22</v>
      </c>
      <c r="B18" s="13">
        <f>SUM(TDFD!B46:B50)</f>
        <v>82.162300000000002</v>
      </c>
      <c r="C18" s="13">
        <f>SUM(TDFD!C46:C50)</f>
        <v>0</v>
      </c>
      <c r="D18" s="13">
        <f>SUM(TDFD!D46:D50)</f>
        <v>427.25519999999995</v>
      </c>
      <c r="E18" s="13">
        <f>SUM(TDFD!E46:E50)</f>
        <v>509.41750000000002</v>
      </c>
      <c r="H18" t="s">
        <v>22</v>
      </c>
      <c r="I18" s="13">
        <f>SUM(TDFD!H46:H50)</f>
        <v>800</v>
      </c>
      <c r="J18" s="13">
        <f>SUM(TDFD!I46:I50)</f>
        <v>1120</v>
      </c>
      <c r="K18" s="13">
        <f>SUM(TDFD!J46:J50)</f>
        <v>6575</v>
      </c>
      <c r="L18" s="13">
        <f>SUM(TDFD!K46:K50)</f>
        <v>8495</v>
      </c>
    </row>
    <row r="19" spans="1:12" x14ac:dyDescent="0.25">
      <c r="A19" t="s">
        <v>23</v>
      </c>
      <c r="B19" s="13">
        <f>SUM(TDFD!B51:B55)</f>
        <v>0</v>
      </c>
      <c r="C19" s="13">
        <f>SUM(TDFD!C51:C55)</f>
        <v>262.79070000000002</v>
      </c>
      <c r="D19" s="13">
        <f>SUM(TDFD!D51:D55)</f>
        <v>182.12030000000001</v>
      </c>
      <c r="E19" s="13">
        <f>SUM(TDFD!E51:E55)</f>
        <v>444.91100000000006</v>
      </c>
      <c r="H19" t="s">
        <v>23</v>
      </c>
      <c r="I19" s="13">
        <f>SUM(TDFD!H51:H55)</f>
        <v>182</v>
      </c>
      <c r="J19" s="13">
        <f>SUM(TDFD!I51:I55)</f>
        <v>474</v>
      </c>
      <c r="K19" s="13">
        <f>SUM(TDFD!J51:J55)</f>
        <v>3243</v>
      </c>
      <c r="L19" s="13">
        <f>SUM(TDFD!K51:K55)</f>
        <v>3899</v>
      </c>
    </row>
    <row r="20" spans="1:12" x14ac:dyDescent="0.25">
      <c r="A20" t="s">
        <v>24</v>
      </c>
      <c r="B20" s="13">
        <f>SUM(TDFD!B56:B70)</f>
        <v>0</v>
      </c>
      <c r="C20" s="13">
        <f>SUM(TDFD!C56:C70)</f>
        <v>0</v>
      </c>
      <c r="D20" s="13">
        <f>SUM(TDFD!D56:D70)</f>
        <v>869.04829999999993</v>
      </c>
      <c r="E20" s="13">
        <f>SUM(TDFD!E56:E70)</f>
        <v>869.04829999999993</v>
      </c>
      <c r="H20" t="s">
        <v>24</v>
      </c>
      <c r="I20" s="13">
        <f>SUM(TDFD!H56:H70)</f>
        <v>78</v>
      </c>
      <c r="J20" s="13">
        <f>SUM(TDFD!I56:I70)</f>
        <v>393</v>
      </c>
      <c r="K20" s="13">
        <f>SUM(TDFD!J56:J70)</f>
        <v>6978</v>
      </c>
      <c r="L20" s="13">
        <f>SUM(TDFD!K56:K70)</f>
        <v>7449</v>
      </c>
    </row>
    <row r="21" spans="1:12" x14ac:dyDescent="0.25">
      <c r="A21" t="s">
        <v>25</v>
      </c>
      <c r="B21" s="13">
        <f>SUM(TDFD!B71:B100)</f>
        <v>0</v>
      </c>
      <c r="C21" s="13">
        <f>SUM(TDFD!C71:C100)</f>
        <v>0</v>
      </c>
      <c r="D21" s="13">
        <f>SUM(TDFD!D71:D100)</f>
        <v>0</v>
      </c>
      <c r="E21" s="13">
        <f>SUM(TDFD!E71:E100)</f>
        <v>0</v>
      </c>
      <c r="H21" t="s">
        <v>25</v>
      </c>
      <c r="I21" s="13">
        <f>SUM(TDFD!H71:H100)</f>
        <v>34</v>
      </c>
      <c r="J21" s="13">
        <f>SUM(TDFD!I71:I100)</f>
        <v>58</v>
      </c>
      <c r="K21" s="13">
        <f>SUM(TDFD!J71:J100)</f>
        <v>1671</v>
      </c>
      <c r="L21" s="13">
        <f>SUM(TDFD!K71:K100)</f>
        <v>1763</v>
      </c>
    </row>
    <row ht="15.75" r="22" spans="1:12" thickBot="1" x14ac:dyDescent="0.3">
      <c r="A22" s="1" t="s">
        <v>26</v>
      </c>
      <c r="B22" s="14">
        <f>TDFD!B101</f>
        <v>4846.1760000000004</v>
      </c>
      <c r="C22" s="14">
        <f>TDFD!C101</f>
        <v>0</v>
      </c>
      <c r="D22" s="14">
        <f>TDFD!D101</f>
        <v>3032.2763</v>
      </c>
      <c r="E22" s="14">
        <f>TDFD!E101</f>
        <v>7878.4523000000008</v>
      </c>
      <c r="H22" s="1" t="s">
        <v>26</v>
      </c>
      <c r="I22" s="14">
        <f>TDFD!H101</f>
        <v>22434</v>
      </c>
      <c r="J22" s="14">
        <f>TDFD!I101</f>
        <v>0</v>
      </c>
      <c r="K22" s="14">
        <f>TDFD!J101</f>
        <v>0</v>
      </c>
      <c r="L22" s="14">
        <f>TDFD!K101</f>
        <v>22434</v>
      </c>
    </row>
  </sheetData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G52"/>
  <sheetViews>
    <sheetView tabSelected="1" workbookViewId="0">
      <selection activeCell="L19" sqref="L19"/>
    </sheetView>
  </sheetViews>
  <sheetFormatPr defaultRowHeight="15" x14ac:dyDescent="0.25"/>
  <cols>
    <col min="1" max="1" customWidth="true" width="18.5703125" collapsed="true"/>
    <col min="4" max="4" bestFit="true" customWidth="true" width="12.28515625" collapsed="true"/>
    <col min="12" max="12" customWidth="true" width="20.0" collapsed="true"/>
    <col min="15" max="15" bestFit="true" customWidth="true" width="12.28515625" collapsed="true"/>
    <col min="20" max="21" bestFit="true" customWidth="true" width="9.5703125" collapsed="true"/>
    <col min="26" max="26" bestFit="true" customWidth="true" width="12.28515625" collapsed="true"/>
  </cols>
  <sheetData>
    <row r="1" spans="1:22" x14ac:dyDescent="0.25">
      <c r="A1" t="s">
        <v>27</v>
      </c>
    </row>
    <row r="2" spans="1:22" x14ac:dyDescent="0.25">
      <c r="A2" t="s">
        <v>247</v>
      </c>
    </row>
    <row ht="15.75" r="5" spans="1:22" thickBot="1" x14ac:dyDescent="0.3">
      <c r="A5" s="4" t="s">
        <v>194</v>
      </c>
      <c r="B5" s="1"/>
      <c r="C5" s="1"/>
      <c r="D5" s="1"/>
      <c r="E5" s="1"/>
      <c r="F5" s="1"/>
      <c r="G5" s="1"/>
      <c r="H5" s="1"/>
      <c r="I5" s="1"/>
      <c r="J5" s="1"/>
      <c r="L5" s="4" t="s">
        <v>28</v>
      </c>
      <c r="M5" s="1"/>
      <c r="N5" s="1"/>
      <c r="O5" s="1"/>
      <c r="P5" s="1"/>
      <c r="Q5" s="1"/>
      <c r="R5" s="1"/>
      <c r="S5" s="1"/>
      <c r="T5" s="1"/>
      <c r="U5" s="1"/>
    </row>
    <row r="6" spans="1:22" x14ac:dyDescent="0.25">
      <c r="A6" s="2" t="s">
        <v>11</v>
      </c>
      <c r="B6" s="3" t="str">
        <f>$A$7</f>
        <v>Bellevue</v>
      </c>
      <c r="C6" s="3" t="str">
        <f>$A$8</f>
        <v>Bellevue Downtown</v>
      </c>
      <c r="D6" s="3" t="str">
        <f>$A$9</f>
        <v>Kirkland</v>
      </c>
      <c r="E6" s="3" t="str">
        <f>$A$10</f>
        <v>Redmond</v>
      </c>
      <c r="F6" s="3" t="str">
        <f>$A$11</f>
        <v>Seattle</v>
      </c>
      <c r="G6" s="3" t="str">
        <f>$A$12</f>
        <v>Seattle Downtown</v>
      </c>
      <c r="H6" s="3" t="str">
        <f>$A$13</f>
        <v>Rest</v>
      </c>
      <c r="I6" s="3" t="s">
        <v>12</v>
      </c>
      <c r="J6" s="3" t="s">
        <v>3</v>
      </c>
      <c r="L6" s="2" t="s">
        <v>11</v>
      </c>
      <c r="M6" s="3" t="str">
        <f>$A$7</f>
        <v>Bellevue</v>
      </c>
      <c r="N6" s="3" t="str">
        <f>$A$8</f>
        <v>Bellevue Downtown</v>
      </c>
      <c r="O6" s="3" t="str">
        <f>$A$9</f>
        <v>Kirkland</v>
      </c>
      <c r="P6" s="3" t="str">
        <f>$A$10</f>
        <v>Redmond</v>
      </c>
      <c r="Q6" s="3" t="str">
        <f>$A$11</f>
        <v>Seattle</v>
      </c>
      <c r="R6" s="3" t="str">
        <f>$A$12</f>
        <v>Seattle Downtown</v>
      </c>
      <c r="S6" s="3" t="str">
        <f>$A$13</f>
        <v>Rest</v>
      </c>
      <c r="T6" s="3" t="s">
        <v>12</v>
      </c>
      <c r="U6" s="3" t="s">
        <v>3</v>
      </c>
    </row>
    <row r="7" spans="1:22" x14ac:dyDescent="0.25">
      <c r="A7" s="52" t="s">
        <v>254</v>
      </c>
      <c r="B7" s="20" t="n">
        <v>22523.6255</v>
      </c>
      <c r="C7" s="20" t="n">
        <v>0.0</v>
      </c>
      <c r="D7" s="20" t="n">
        <v>176.3579</v>
      </c>
      <c r="E7" s="20" t="n">
        <v>0.0</v>
      </c>
      <c r="F7" s="20" t="n">
        <v>998.1193</v>
      </c>
      <c r="G7" s="20" t="n">
        <v>277.9743</v>
      </c>
      <c r="H7" s="20" t="n">
        <v>598.7766</v>
      </c>
      <c r="I7" s="20">
        <v>7878.4522999999999</v>
      </c>
      <c r="J7" s="20">
        <f>SUM(B7:I7)</f>
        <v>32453.305899999999</v>
      </c>
      <c r="K7" s="20"/>
      <c r="L7" t="str">
        <f>$A$7</f>
        <v>Bellevue</v>
      </c>
      <c r="M7" s="20" t="n">
        <v>25240.0</v>
      </c>
      <c r="N7" s="20" t="n">
        <v>797.0</v>
      </c>
      <c r="O7" s="20" t="n">
        <v>1339.0</v>
      </c>
      <c r="P7" s="20" t="n">
        <v>1721.0</v>
      </c>
      <c r="Q7" s="20" t="n">
        <v>2881.0</v>
      </c>
      <c r="R7" s="20" t="n">
        <v>372.0</v>
      </c>
      <c r="S7" s="20" t="n">
        <v>1850.0</v>
      </c>
      <c r="T7" s="20">
        <v>2344.5</v>
      </c>
      <c r="U7" s="20">
        <f>SUM(M7:T7)</f>
        <v>36570.5</v>
      </c>
    </row>
    <row r="8" spans="1:22" x14ac:dyDescent="0.25">
      <c r="A8" t="s">
        <v>255</v>
      </c>
      <c r="B8" s="21" t="n">
        <v>82.1623</v>
      </c>
      <c r="C8" s="21" t="n">
        <v>4.443</v>
      </c>
      <c r="D8" s="21" t="n">
        <v>0.0</v>
      </c>
      <c r="E8" s="21" t="n">
        <v>0.0</v>
      </c>
      <c r="F8" s="21" t="n">
        <v>110.0983</v>
      </c>
      <c r="G8" s="21" t="n">
        <v>12.077</v>
      </c>
      <c r="H8" s="21" t="n">
        <v>0.0</v>
      </c>
      <c r="I8" s="21">
        <v>4018.4690000000001</v>
      </c>
      <c r="J8" s="21">
        <f ref="J8:J12" si="0" t="shared">SUM(B8:I8)</f>
        <v>4227.2496000000001</v>
      </c>
      <c r="K8" s="20"/>
      <c r="L8" s="7" t="str">
        <f>$A$8</f>
        <v>Bellevue Downtown</v>
      </c>
      <c r="M8" s="21" t="n">
        <v>825.0</v>
      </c>
      <c r="N8" s="21" t="n">
        <v>233.0</v>
      </c>
      <c r="O8" s="21" t="n">
        <v>78.0</v>
      </c>
      <c r="P8" s="21" t="n">
        <v>23.0</v>
      </c>
      <c r="Q8" s="21" t="n">
        <v>392.0</v>
      </c>
      <c r="R8" s="21" t="n">
        <v>47.0</v>
      </c>
      <c r="S8" s="21" t="n">
        <v>13.0</v>
      </c>
      <c r="T8" s="21">
        <v>1069.8725374786757</v>
      </c>
      <c r="U8" s="21">
        <f>SUM(M8:T8)</f>
        <v>2636.8725374786754</v>
      </c>
    </row>
    <row r="9" spans="1:22" x14ac:dyDescent="0.25">
      <c r="A9" t="s">
        <v>256</v>
      </c>
      <c r="B9" s="21" t="n">
        <v>2429.896</v>
      </c>
      <c r="C9" s="21" t="n">
        <v>169.878</v>
      </c>
      <c r="D9" s="21" t="n">
        <v>14636.3289</v>
      </c>
      <c r="E9" s="21" t="n">
        <v>130.9662</v>
      </c>
      <c r="F9" s="21" t="n">
        <v>32.688</v>
      </c>
      <c r="G9" s="21" t="n">
        <v>4.161</v>
      </c>
      <c r="H9" s="21" t="n">
        <v>10.346</v>
      </c>
      <c r="I9" s="21">
        <v>28396.036</v>
      </c>
      <c r="J9" s="21">
        <f si="0" t="shared"/>
        <v>45810.3001</v>
      </c>
      <c r="K9" s="20"/>
      <c r="L9" s="7" t="str">
        <f>$A$9</f>
        <v>Kirkland</v>
      </c>
      <c r="M9" s="21" t="n">
        <v>1381.0</v>
      </c>
      <c r="N9" s="21" t="n">
        <v>85.0</v>
      </c>
      <c r="O9" s="21" t="n">
        <v>18362.0</v>
      </c>
      <c r="P9" s="21" t="n">
        <v>2215.0</v>
      </c>
      <c r="Q9" s="21" t="n">
        <v>4007.0</v>
      </c>
      <c r="R9" s="21" t="n">
        <v>193.0</v>
      </c>
      <c r="S9" s="21" t="n">
        <v>1542.0</v>
      </c>
      <c r="T9" s="21">
        <v>5418.9547298933257</v>
      </c>
      <c r="U9" s="21">
        <f>SUM(M9:T9)</f>
        <v>33170.954729893325</v>
      </c>
      <c r="V9" s="7"/>
    </row>
    <row r="10" spans="1:22" x14ac:dyDescent="0.25">
      <c r="A10" t="s">
        <v>257</v>
      </c>
      <c r="B10" s="21" t="n">
        <v>1720.9702</v>
      </c>
      <c r="C10" s="21" t="n">
        <v>230.2899</v>
      </c>
      <c r="D10" s="21" t="n">
        <v>3736.0108</v>
      </c>
      <c r="E10" s="21" t="n">
        <v>18799.0604</v>
      </c>
      <c r="F10" s="21" t="n">
        <v>802.5203</v>
      </c>
      <c r="G10" s="21" t="n">
        <v>3.675</v>
      </c>
      <c r="H10" s="21" t="n">
        <v>245.1527</v>
      </c>
      <c r="I10" s="21">
        <v>20922.748800000001</v>
      </c>
      <c r="J10" s="21">
        <f si="0" t="shared"/>
        <v>46460.428099999997</v>
      </c>
      <c r="K10" s="20"/>
      <c r="L10" s="7" t="str">
        <f>$A$10</f>
        <v>Redmond</v>
      </c>
      <c r="M10" s="21" t="n">
        <v>3327.0</v>
      </c>
      <c r="N10" s="21" t="n">
        <v>60.0</v>
      </c>
      <c r="O10" s="21" t="n">
        <v>4304.0</v>
      </c>
      <c r="P10" s="21" t="n">
        <v>12462.0</v>
      </c>
      <c r="Q10" s="21" t="n">
        <v>2016.0</v>
      </c>
      <c r="R10" s="21" t="n">
        <v>170.0</v>
      </c>
      <c r="S10" s="21" t="n">
        <v>1485.0</v>
      </c>
      <c r="T10" s="21">
        <v>5838.2308904845268</v>
      </c>
      <c r="U10" s="21">
        <f ref="U10:U13" si="1" t="shared">SUM(M10:T10)</f>
        <v>29705.230890484527</v>
      </c>
      <c r="V10" s="7"/>
    </row>
    <row r="11" spans="1:22" x14ac:dyDescent="0.25">
      <c r="A11" t="s">
        <v>253</v>
      </c>
      <c r="B11" s="21" t="n">
        <v>0.0</v>
      </c>
      <c r="C11" s="21" t="n">
        <v>0.0</v>
      </c>
      <c r="D11" s="21" t="n">
        <v>0.0</v>
      </c>
      <c r="E11" s="21" t="n">
        <v>0.0</v>
      </c>
      <c r="F11" s="21" t="n">
        <v>0.0</v>
      </c>
      <c r="G11" s="21" t="n">
        <v>0.0</v>
      </c>
      <c r="H11" s="21" t="n">
        <v>0.0</v>
      </c>
      <c r="I11" s="21">
        <v>16278.067500000001</v>
      </c>
      <c r="J11" s="21">
        <f si="0" t="shared"/>
        <v>16278.067500000001</v>
      </c>
      <c r="K11" s="20"/>
      <c r="L11" s="7" t="str">
        <f>$A$11</f>
        <v>Seattle</v>
      </c>
      <c r="M11" s="21" t="n">
        <v>994.0</v>
      </c>
      <c r="N11" s="21" t="n">
        <v>33.0</v>
      </c>
      <c r="O11" s="21" t="n">
        <v>1141.0</v>
      </c>
      <c r="P11" s="21" t="n">
        <v>99.0</v>
      </c>
      <c r="Q11" s="21" t="n">
        <v>27540.0</v>
      </c>
      <c r="R11" s="21" t="n">
        <v>1229.0</v>
      </c>
      <c r="S11" s="21" t="n">
        <v>1627.0</v>
      </c>
      <c r="T11" s="21">
        <v>2309.1428943957899</v>
      </c>
      <c r="U11" s="21">
        <f si="1" t="shared"/>
        <v>36547.142894395787</v>
      </c>
      <c r="V11" s="7"/>
    </row>
    <row r="12" spans="1:22" x14ac:dyDescent="0.25">
      <c r="A12" t="s">
        <v>258</v>
      </c>
      <c r="B12" s="21" t="n">
        <v>0.0</v>
      </c>
      <c r="C12" s="21" t="n">
        <v>0.0</v>
      </c>
      <c r="D12" s="21" t="n">
        <v>0.0</v>
      </c>
      <c r="E12" s="21" t="n">
        <v>0.0</v>
      </c>
      <c r="F12" s="21" t="n">
        <v>0.0</v>
      </c>
      <c r="G12" s="21" t="n">
        <v>0.0</v>
      </c>
      <c r="H12" s="21" t="n">
        <v>0.0</v>
      </c>
      <c r="I12" s="21">
        <v>31584.733799999998</v>
      </c>
      <c r="J12" s="21">
        <f si="0" t="shared"/>
        <v>31584.733799999998</v>
      </c>
      <c r="K12" s="20"/>
      <c r="L12" s="7" t="str">
        <f>$A$12</f>
        <v>Seattle Downtown</v>
      </c>
      <c r="M12" s="21" t="n">
        <v>80.0</v>
      </c>
      <c r="N12" s="21" t="n">
        <v>1.0</v>
      </c>
      <c r="O12" s="21" t="n">
        <v>5.0</v>
      </c>
      <c r="P12" s="21" t="n">
        <v>1.0</v>
      </c>
      <c r="Q12" s="21" t="n">
        <v>554.0</v>
      </c>
      <c r="R12" s="21" t="n">
        <v>417.0</v>
      </c>
      <c r="S12" s="21" t="n">
        <v>9.0</v>
      </c>
      <c r="T12" s="21">
        <v>4066.7245950088954</v>
      </c>
      <c r="U12" s="21">
        <f si="1" t="shared"/>
        <v>5162.7245950088954</v>
      </c>
      <c r="V12" s="7"/>
    </row>
    <row r="13" spans="1:22" x14ac:dyDescent="0.25">
      <c r="A13" s="7" t="s">
        <v>259</v>
      </c>
      <c r="B13" s="21" t="n">
        <v>0.0</v>
      </c>
      <c r="C13" s="21" t="n">
        <v>0.0</v>
      </c>
      <c r="D13" s="21" t="n">
        <v>0.0</v>
      </c>
      <c r="E13" s="21" t="n">
        <v>0.0</v>
      </c>
      <c r="F13" s="21" t="n">
        <v>0.0</v>
      </c>
      <c r="G13" s="21" t="n">
        <v>0.0</v>
      </c>
      <c r="H13" s="21" t="n">
        <v>0.0</v>
      </c>
      <c r="I13" s="21"/>
      <c r="J13" s="21">
        <f>SUM(B13:I13)</f>
        <v>0</v>
      </c>
      <c r="K13" s="20"/>
      <c r="L13" t="str">
        <f>$A$13</f>
        <v>Rest</v>
      </c>
      <c r="M13" s="21" t="n">
        <v>10301.0</v>
      </c>
      <c r="N13" s="21" t="n">
        <v>219.0</v>
      </c>
      <c r="O13" s="21" t="n">
        <v>8076.0</v>
      </c>
      <c r="P13" s="21" t="n">
        <v>4238.0</v>
      </c>
      <c r="Q13" s="21" t="n">
        <v>12726.0</v>
      </c>
      <c r="R13" s="21" t="n">
        <v>1393.0</v>
      </c>
      <c r="S13" s="21" t="n">
        <v>98465.0</v>
      </c>
      <c r="T13" s="21"/>
      <c r="U13" s="21">
        <f si="1" t="shared"/>
        <v>140295</v>
      </c>
    </row>
    <row r="14" spans="1:22" x14ac:dyDescent="0.25">
      <c r="A14" s="25" t="s">
        <v>12</v>
      </c>
      <c r="B14" s="21"/>
      <c r="C14" s="21"/>
      <c r="D14" s="21"/>
      <c r="E14" s="21"/>
      <c r="F14" s="21"/>
      <c r="G14" s="21"/>
      <c r="H14" s="21"/>
      <c r="I14" s="21"/>
      <c r="J14" s="21"/>
      <c r="K14" s="20"/>
      <c r="L14" s="25" t="s">
        <v>12</v>
      </c>
      <c r="M14" s="21"/>
      <c r="N14" s="21"/>
      <c r="O14" s="21"/>
      <c r="P14" s="21"/>
      <c r="Q14" s="21"/>
      <c r="R14" s="21"/>
      <c r="S14" s="21"/>
      <c r="T14" s="21"/>
      <c r="U14" s="21"/>
    </row>
    <row ht="15.75" r="15" spans="1:22" thickBot="1" x14ac:dyDescent="0.3">
      <c r="A15" s="12" t="s">
        <v>3</v>
      </c>
      <c r="B15" s="53">
        <f ref="B15:G15" si="2" t="shared">SUM(B7:B13)</f>
        <v>26756.653999999999</v>
      </c>
      <c r="C15" s="53">
        <f si="2" t="shared"/>
        <v>404.61090000000002</v>
      </c>
      <c r="D15" s="53">
        <f si="2" t="shared"/>
        <v>18548.6976</v>
      </c>
      <c r="E15" s="53">
        <f si="2" t="shared"/>
        <v>18930.026599999997</v>
      </c>
      <c r="F15" s="53">
        <f si="2" t="shared"/>
        <v>1943.4259000000002</v>
      </c>
      <c r="G15" s="53">
        <f si="2" t="shared"/>
        <v>297.88730000000004</v>
      </c>
      <c r="H15" s="53"/>
      <c r="I15" s="53">
        <f>SUM(I7:I13)</f>
        <v>109078.5074</v>
      </c>
      <c r="J15" s="53">
        <f>SUM(J7:J13)</f>
        <v>176814.08499999999</v>
      </c>
      <c r="K15" s="20"/>
      <c r="L15" s="53" t="s">
        <v>3</v>
      </c>
      <c r="M15" s="53">
        <f ref="M15:S15" si="3" t="shared">SUM(M7:M13)</f>
        <v>43852</v>
      </c>
      <c r="N15" s="53">
        <f si="3" t="shared"/>
        <v>1375</v>
      </c>
      <c r="O15" s="53">
        <f si="3" t="shared"/>
        <v>33358</v>
      </c>
      <c r="P15" s="53">
        <f si="3" t="shared"/>
        <v>21191</v>
      </c>
      <c r="Q15" s="53">
        <f si="3" t="shared"/>
        <v>52203</v>
      </c>
      <c r="R15" s="53">
        <f si="3" t="shared"/>
        <v>3902</v>
      </c>
      <c r="S15" s="53">
        <f si="3" t="shared"/>
        <v>107160</v>
      </c>
      <c r="T15" s="53">
        <f>SUM(T7:T13)</f>
        <v>21047.425647261214</v>
      </c>
      <c r="U15" s="53">
        <f>SUM(U7:U13)</f>
        <v>284088.4256472612</v>
      </c>
    </row>
    <row ht="15.75" r="18" spans="1:32" thickBot="1" x14ac:dyDescent="0.3">
      <c r="A18" s="4" t="s">
        <v>195</v>
      </c>
      <c r="B18" s="1"/>
      <c r="C18" s="1"/>
      <c r="D18" s="1"/>
      <c r="E18" s="1"/>
      <c r="F18" s="1"/>
      <c r="G18" s="1"/>
      <c r="H18" s="1"/>
      <c r="I18" s="1"/>
      <c r="J18" s="1"/>
      <c r="L18" s="46"/>
      <c r="M18" s="7"/>
      <c r="N18" s="7"/>
      <c r="O18" s="7"/>
      <c r="P18" s="7"/>
      <c r="Q18" s="7"/>
      <c r="R18" s="7"/>
      <c r="S18" s="7"/>
      <c r="T18" s="7"/>
      <c r="U18" s="7"/>
    </row>
    <row r="19" spans="1:32" x14ac:dyDescent="0.25">
      <c r="A19" s="2" t="s">
        <v>11</v>
      </c>
      <c r="B19" s="3" t="str">
        <f>$A$7</f>
        <v>Bellevue</v>
      </c>
      <c r="C19" s="3" t="str">
        <f>$A$8</f>
        <v>Bellevue Downtown</v>
      </c>
      <c r="D19" s="3" t="str">
        <f>$A$9</f>
        <v>Kirkland</v>
      </c>
      <c r="E19" s="3" t="str">
        <f>$A$10</f>
        <v>Redmond</v>
      </c>
      <c r="F19" s="3" t="str">
        <f>$A$11</f>
        <v>Seattle</v>
      </c>
      <c r="G19" s="3" t="str">
        <f>$A$12</f>
        <v>Seattle Downtown</v>
      </c>
      <c r="H19" s="3" t="str">
        <f>$A$13</f>
        <v>Rest</v>
      </c>
      <c r="I19" s="3" t="s">
        <v>12</v>
      </c>
      <c r="J19" s="3" t="s">
        <v>3</v>
      </c>
      <c r="L19" s="7"/>
      <c r="M19" s="47"/>
      <c r="N19" s="47"/>
      <c r="O19" s="47"/>
      <c r="P19" s="47"/>
      <c r="Q19" s="47"/>
      <c r="R19" s="47"/>
      <c r="S19" s="47"/>
      <c r="T19" s="47"/>
      <c r="U19" s="47"/>
    </row>
    <row r="20" spans="1:32" x14ac:dyDescent="0.25">
      <c r="A20" t="str">
        <f>$A$7</f>
        <v>Bellevue</v>
      </c>
      <c r="B20" s="20">
        <f ref="B20:G26" si="4" t="shared">($U7/$J7)*B7</f>
        <v>25381.089029446146</v>
      </c>
      <c r="C20" s="20">
        <f si="4" t="shared"/>
        <v>0</v>
      </c>
      <c r="D20" s="20">
        <f si="4" t="shared"/>
        <v>198.7315745835927</v>
      </c>
      <c r="E20" s="20">
        <f si="4" t="shared"/>
        <v>0</v>
      </c>
      <c r="F20" s="20">
        <f si="4" t="shared"/>
        <v>1124.7458725198778</v>
      </c>
      <c r="G20" s="20">
        <f si="4" t="shared"/>
        <v>313.23955622499466</v>
      </c>
      <c r="H20" s="20">
        <f ref="H20" si="5" t="shared">($U7/$J7)*H7</f>
        <v>674.74049385828516</v>
      </c>
      <c r="I20" s="20">
        <f ref="I20:J26" si="6" t="shared">($U7/$J7)*I7</f>
        <v>8877.9534733670989</v>
      </c>
      <c r="J20" s="20">
        <f si="6" t="shared"/>
        <v>36570.5</v>
      </c>
      <c r="K20" s="20"/>
      <c r="L20" s="21"/>
      <c r="M20" s="21"/>
      <c r="N20" s="21"/>
      <c r="O20" s="21"/>
      <c r="P20" s="21"/>
      <c r="Q20" s="21"/>
      <c r="R20" s="21"/>
      <c r="S20" s="21"/>
      <c r="T20" s="21"/>
      <c r="U20" s="21"/>
    </row>
    <row r="21" spans="1:32" x14ac:dyDescent="0.25">
      <c r="A21" t="str">
        <f>$A$8</f>
        <v>Bellevue Downtown</v>
      </c>
      <c r="B21" s="20">
        <f si="4" t="shared"/>
        <v>51.25117582034526</v>
      </c>
      <c r="C21" s="20">
        <f si="4" t="shared"/>
        <v>2.771453259825905</v>
      </c>
      <c r="D21" s="20">
        <f si="4" t="shared"/>
        <v>0</v>
      </c>
      <c r="E21" s="20">
        <f si="4" t="shared"/>
        <v>0</v>
      </c>
      <c r="F21" s="20">
        <f si="4" t="shared"/>
        <v>68.677085851066948</v>
      </c>
      <c r="G21" s="20">
        <f si="4" t="shared"/>
        <v>7.5333875802199994</v>
      </c>
      <c r="H21" s="20">
        <f ref="H21" si="7" t="shared">($U8/$J8)*H8</f>
        <v>0</v>
      </c>
      <c r="I21" s="20">
        <f si="6" t="shared"/>
        <v>2506.6394349672173</v>
      </c>
      <c r="J21" s="20">
        <f si="6" t="shared"/>
        <v>2636.8725374786754</v>
      </c>
      <c r="K21" s="20"/>
      <c r="L21" s="21"/>
      <c r="M21" s="21"/>
      <c r="N21" s="21"/>
      <c r="O21" s="21"/>
      <c r="P21" s="21"/>
      <c r="Q21" s="21"/>
      <c r="R21" s="21"/>
      <c r="S21" s="21"/>
      <c r="T21" s="21"/>
      <c r="U21" s="21"/>
    </row>
    <row r="22" spans="1:32" x14ac:dyDescent="0.25">
      <c r="A22" t="str">
        <f>$A$9</f>
        <v>Kirkland</v>
      </c>
      <c r="B22" s="20">
        <f si="4" t="shared"/>
        <v>1759.4726521852424</v>
      </c>
      <c r="C22" s="20">
        <f si="4" t="shared"/>
        <v>123.00760823011542</v>
      </c>
      <c r="D22" s="20">
        <f si="4" t="shared"/>
        <v>10598.0751554546</v>
      </c>
      <c r="E22" s="20">
        <f si="4" t="shared"/>
        <v>94.831814719898645</v>
      </c>
      <c r="F22" s="20">
        <f si="4" t="shared"/>
        <v>23.669178456457068</v>
      </c>
      <c r="G22" s="20">
        <f si="4" t="shared"/>
        <v>3.0129543427960672</v>
      </c>
      <c r="H22" s="20">
        <f ref="H22" si="8" t="shared">($U9/$J9)*H9</f>
        <v>7.4914745567335048</v>
      </c>
      <c r="I22" s="20">
        <f si="6" t="shared"/>
        <v>20561.393891947482</v>
      </c>
      <c r="J22" s="20">
        <f si="6" t="shared"/>
        <v>33170.954729893325</v>
      </c>
      <c r="K22" s="20"/>
      <c r="L22" s="21"/>
      <c r="M22" s="21"/>
      <c r="N22" s="21"/>
      <c r="O22" s="21"/>
      <c r="P22" s="21"/>
      <c r="Q22" s="21"/>
      <c r="R22" s="21"/>
      <c r="S22" s="21"/>
      <c r="T22" s="21"/>
      <c r="U22" s="21"/>
    </row>
    <row r="23" spans="1:32" x14ac:dyDescent="0.25">
      <c r="A23" t="str">
        <f>$A$10</f>
        <v>Redmond</v>
      </c>
      <c r="B23" s="20">
        <f si="4" t="shared"/>
        <v>1100.3303076891652</v>
      </c>
      <c r="C23" s="20">
        <f si="4" t="shared"/>
        <v>147.23959573774553</v>
      </c>
      <c r="D23" s="20">
        <f si="4" t="shared"/>
        <v>2388.6793118753853</v>
      </c>
      <c r="E23" s="20">
        <f si="4" t="shared"/>
        <v>12019.485238151829</v>
      </c>
      <c r="F23" s="20">
        <f si="4" t="shared"/>
        <v>513.10441553595831</v>
      </c>
      <c r="G23" s="20">
        <f si="4" t="shared"/>
        <v>2.3496710638904044</v>
      </c>
      <c r="H23" s="20">
        <f ref="H23" si="9" t="shared">($U10/$J10)*H10</f>
        <v>156.74236882302182</v>
      </c>
      <c r="I23" s="20">
        <f si="6" t="shared"/>
        <v>13377.299981607533</v>
      </c>
      <c r="J23" s="20">
        <f si="6" t="shared"/>
        <v>29705.230890484527</v>
      </c>
      <c r="K23" s="20"/>
      <c r="L23" s="21"/>
      <c r="M23" s="21"/>
      <c r="N23" s="21"/>
      <c r="O23" s="21"/>
      <c r="P23" s="21"/>
      <c r="Q23" s="21"/>
      <c r="R23" s="21"/>
      <c r="S23" s="21"/>
      <c r="T23" s="21"/>
      <c r="U23" s="21"/>
    </row>
    <row r="24" spans="1:32" x14ac:dyDescent="0.25">
      <c r="A24" t="str">
        <f>$A$11</f>
        <v>Seattle</v>
      </c>
      <c r="B24" s="20">
        <f si="4" t="shared"/>
        <v>0</v>
      </c>
      <c r="C24" s="20">
        <f si="4" t="shared"/>
        <v>0</v>
      </c>
      <c r="D24" s="20">
        <f si="4" t="shared"/>
        <v>0</v>
      </c>
      <c r="E24" s="20">
        <f si="4" t="shared"/>
        <v>0</v>
      </c>
      <c r="F24" s="20">
        <f si="4" t="shared"/>
        <v>0</v>
      </c>
      <c r="G24" s="20">
        <f si="4" t="shared"/>
        <v>0</v>
      </c>
      <c r="H24" s="20">
        <f ref="H24" si="10" t="shared">($U11/$J11)*H11</f>
        <v>0</v>
      </c>
      <c r="I24" s="20">
        <f si="6" t="shared"/>
        <v>36547.142894395787</v>
      </c>
      <c r="J24" s="20">
        <f si="6" t="shared"/>
        <v>36547.142894395787</v>
      </c>
      <c r="K24" s="20"/>
      <c r="L24" s="21"/>
      <c r="M24" s="21"/>
      <c r="N24" s="21"/>
      <c r="O24" s="21"/>
      <c r="P24" s="21"/>
      <c r="Q24" s="21"/>
      <c r="R24" s="21"/>
      <c r="S24" s="21"/>
      <c r="T24" s="21"/>
      <c r="U24" s="21"/>
    </row>
    <row r="25" spans="1:32" x14ac:dyDescent="0.25">
      <c r="A25" t="str">
        <f>$A$12</f>
        <v>Seattle Downtown</v>
      </c>
      <c r="B25" s="20">
        <f si="4" t="shared"/>
        <v>0</v>
      </c>
      <c r="C25" s="20">
        <f si="4" t="shared"/>
        <v>0</v>
      </c>
      <c r="D25" s="20">
        <f si="4" t="shared"/>
        <v>0</v>
      </c>
      <c r="E25" s="20">
        <f si="4" t="shared"/>
        <v>0</v>
      </c>
      <c r="F25" s="20">
        <f si="4" t="shared"/>
        <v>0</v>
      </c>
      <c r="G25" s="20">
        <f si="4" t="shared"/>
        <v>0</v>
      </c>
      <c r="H25" s="20">
        <f ref="H25:H26" si="11" t="shared">($U12/$J12)*H12</f>
        <v>0</v>
      </c>
      <c r="I25" s="20">
        <f si="6" t="shared"/>
        <v>5162.7245950088954</v>
      </c>
      <c r="J25" s="20">
        <f si="6" t="shared"/>
        <v>5162.7245950088954</v>
      </c>
      <c r="K25" s="20"/>
      <c r="L25" s="21"/>
      <c r="M25" s="21"/>
      <c r="N25" s="21"/>
      <c r="O25" s="21"/>
      <c r="P25" s="21"/>
      <c r="Q25" s="21"/>
      <c r="R25" s="21"/>
      <c r="S25" s="21"/>
      <c r="T25" s="21"/>
      <c r="U25" s="21"/>
    </row>
    <row r="26" spans="1:32" x14ac:dyDescent="0.25">
      <c r="A26" t="str">
        <f>$A$13</f>
        <v>Rest</v>
      </c>
      <c r="B26" s="20" t="e">
        <f si="4" t="shared"/>
        <v>#DIV/0!</v>
      </c>
      <c r="C26" s="20" t="e">
        <f si="4" t="shared"/>
        <v>#DIV/0!</v>
      </c>
      <c r="D26" s="20" t="e">
        <f si="4" t="shared"/>
        <v>#DIV/0!</v>
      </c>
      <c r="E26" s="20" t="e">
        <f si="4" t="shared"/>
        <v>#DIV/0!</v>
      </c>
      <c r="F26" s="20" t="e">
        <f si="4" t="shared"/>
        <v>#DIV/0!</v>
      </c>
      <c r="G26" s="20" t="e">
        <f si="4" t="shared"/>
        <v>#DIV/0!</v>
      </c>
      <c r="H26" s="20" t="e">
        <f si="11" t="shared"/>
        <v>#DIV/0!</v>
      </c>
      <c r="I26" s="20" t="e">
        <f si="6" t="shared"/>
        <v>#DIV/0!</v>
      </c>
      <c r="J26" s="20" t="e">
        <f si="6" t="shared"/>
        <v>#DIV/0!</v>
      </c>
      <c r="K26" s="20"/>
      <c r="L26" s="21"/>
      <c r="M26" s="21"/>
      <c r="N26" s="21"/>
      <c r="O26" s="21"/>
      <c r="P26" s="21"/>
      <c r="Q26" s="21"/>
      <c r="R26" s="21"/>
      <c r="S26" s="21"/>
      <c r="T26" s="21"/>
      <c r="U26" s="21"/>
    </row>
    <row r="27" spans="1:32" x14ac:dyDescent="0.25">
      <c r="A27" s="8" t="s">
        <v>12</v>
      </c>
      <c r="B27" s="22" t="e">
        <f>($U14/$J14)*B14</f>
        <v>#DIV/0!</v>
      </c>
      <c r="C27" s="22" t="e">
        <f ref="C27:J27" si="12" t="shared">($U14/$J14)*C14</f>
        <v>#DIV/0!</v>
      </c>
      <c r="D27" s="22" t="e">
        <f si="12" t="shared"/>
        <v>#DIV/0!</v>
      </c>
      <c r="E27" s="22" t="e">
        <f si="12" t="shared"/>
        <v>#DIV/0!</v>
      </c>
      <c r="F27" s="22" t="e">
        <f si="12" t="shared"/>
        <v>#DIV/0!</v>
      </c>
      <c r="G27" s="22" t="e">
        <f si="12" t="shared"/>
        <v>#DIV/0!</v>
      </c>
      <c r="H27" s="22" t="e">
        <f si="12" t="shared"/>
        <v>#DIV/0!</v>
      </c>
      <c r="I27" s="22" t="e">
        <f si="12" t="shared"/>
        <v>#DIV/0!</v>
      </c>
      <c r="J27" s="22" t="e">
        <f si="12" t="shared"/>
        <v>#DIV/0!</v>
      </c>
      <c r="K27" s="20"/>
      <c r="L27" s="25"/>
      <c r="M27" s="21"/>
      <c r="N27" s="21"/>
      <c r="O27" s="21"/>
      <c r="P27" s="21"/>
      <c r="Q27" s="21"/>
      <c r="R27" s="21"/>
      <c r="S27" s="21"/>
      <c r="T27" s="21"/>
      <c r="U27" s="21"/>
    </row>
    <row ht="15.75" r="28" spans="1:32" thickBot="1" x14ac:dyDescent="0.3">
      <c r="A28" s="1" t="s">
        <v>3</v>
      </c>
      <c r="B28" s="24">
        <f ref="B28:H28" si="13" t="shared">($U15/$J15)*B15</f>
        <v>42990.10291204173</v>
      </c>
      <c r="C28" s="24">
        <f si="13" t="shared"/>
        <v>650.09115976660701</v>
      </c>
      <c r="D28" s="24">
        <f si="13" t="shared"/>
        <v>29802.322020845411</v>
      </c>
      <c r="E28" s="24">
        <f si="13" t="shared"/>
        <v>30415.005989227477</v>
      </c>
      <c r="F28" s="24">
        <f si="13" t="shared"/>
        <v>3122.5159709030631</v>
      </c>
      <c r="G28" s="24">
        <f si="13" t="shared"/>
        <v>478.61760604260348</v>
      </c>
      <c r="H28" s="24">
        <f si="13" t="shared"/>
        <v>0</v>
      </c>
      <c r="I28" s="24">
        <f>($U15/$J15)*I15</f>
        <v>175257.19989569345</v>
      </c>
      <c r="J28" s="24">
        <f>($U15/$J15)*J15</f>
        <v>284088.4256472612</v>
      </c>
      <c r="K28" s="20"/>
      <c r="L28" s="21"/>
      <c r="M28" s="21"/>
      <c r="N28" s="21"/>
      <c r="O28" s="21"/>
      <c r="P28" s="21"/>
      <c r="Q28" s="21"/>
      <c r="R28" s="21"/>
      <c r="S28" s="21"/>
      <c r="T28" s="21"/>
      <c r="U28" s="21"/>
    </row>
    <row ht="15.75" r="31" spans="1:32" thickBot="1" x14ac:dyDescent="0.3">
      <c r="A31" s="4" t="s">
        <v>195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28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37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11</v>
      </c>
      <c r="B32" s="3" t="str">
        <f>$A$7</f>
        <v>Bellevue</v>
      </c>
      <c r="C32" s="3" t="str">
        <f>$A$8</f>
        <v>Bellevue Downtown</v>
      </c>
      <c r="D32" s="3" t="str">
        <f>$A$9</f>
        <v>Kirkland</v>
      </c>
      <c r="E32" s="3" t="str">
        <f>$A$10</f>
        <v>Redmond</v>
      </c>
      <c r="F32" s="3" t="str">
        <f>$A$11</f>
        <v>Seattle</v>
      </c>
      <c r="G32" s="3" t="str">
        <f>$A$12</f>
        <v>Seattle Downtown</v>
      </c>
      <c r="H32" s="3" t="str">
        <f>$A$13</f>
        <v>Rest</v>
      </c>
      <c r="I32" s="3" t="s">
        <v>12</v>
      </c>
      <c r="J32" s="3" t="s">
        <v>3</v>
      </c>
      <c r="L32" s="2" t="s">
        <v>11</v>
      </c>
      <c r="M32" s="3" t="str">
        <f>$A$7</f>
        <v>Bellevue</v>
      </c>
      <c r="N32" s="3" t="str">
        <f>$A$8</f>
        <v>Bellevue Downtown</v>
      </c>
      <c r="O32" s="3" t="str">
        <f>$A$9</f>
        <v>Kirkland</v>
      </c>
      <c r="P32" s="3" t="str">
        <f>$A$10</f>
        <v>Redmond</v>
      </c>
      <c r="Q32" s="3" t="str">
        <f>$A$11</f>
        <v>Seattle</v>
      </c>
      <c r="R32" s="3" t="str">
        <f>$A$12</f>
        <v>Seattle Downtown</v>
      </c>
      <c r="S32" s="3" t="str">
        <f>$A$13</f>
        <v>Rest</v>
      </c>
      <c r="T32" s="3" t="s">
        <v>12</v>
      </c>
      <c r="U32" s="3" t="s">
        <v>3</v>
      </c>
      <c r="W32" s="2" t="s">
        <v>11</v>
      </c>
      <c r="X32" s="3" t="str">
        <f>$A$7</f>
        <v>Bellevue</v>
      </c>
      <c r="Y32" s="3" t="str">
        <f>$A$8</f>
        <v>Bellevue Downtown</v>
      </c>
      <c r="Z32" s="3" t="str">
        <f>$A$9</f>
        <v>Kirkland</v>
      </c>
      <c r="AA32" s="3" t="str">
        <f>$A$10</f>
        <v>Redmond</v>
      </c>
      <c r="AB32" s="3" t="str">
        <f>$A$11</f>
        <v>Seattle</v>
      </c>
      <c r="AC32" s="3" t="str">
        <f>$A$12</f>
        <v>Seattle Downtown</v>
      </c>
      <c r="AD32" s="3" t="str">
        <f>$A$13</f>
        <v>Rest</v>
      </c>
      <c r="AE32" s="3" t="s">
        <v>12</v>
      </c>
      <c r="AF32" s="3" t="s">
        <v>3</v>
      </c>
    </row>
    <row r="33" spans="1:32" x14ac:dyDescent="0.25">
      <c r="A33" t="str">
        <f>$A$7</f>
        <v>Bellevue</v>
      </c>
      <c r="B33" s="26">
        <f ref="B33:J39" si="14" t="shared">B20/$J$28</f>
        <v>8.9342214388419369E-2</v>
      </c>
      <c r="C33" s="26">
        <f si="14" t="shared"/>
        <v>0</v>
      </c>
      <c r="D33" s="26">
        <f si="14" t="shared"/>
        <v>6.995412577291975E-4</v>
      </c>
      <c r="E33" s="26">
        <f si="14" t="shared"/>
        <v>0</v>
      </c>
      <c r="F33" s="26">
        <f si="14" t="shared"/>
        <v>3.9591400809704941E-3</v>
      </c>
      <c r="G33" s="26">
        <f si="14" t="shared"/>
        <v>1.1026128766468261E-3</v>
      </c>
      <c r="H33" s="26">
        <f ref="H33" si="15" t="shared">H20/$J$28</f>
        <v>2.375107300908055E-3</v>
      </c>
      <c r="I33" s="26">
        <f ref="I33:J39" si="16" t="shared">I20/$J$28</f>
        <v>3.1250669410905263E-2</v>
      </c>
      <c r="J33" s="26">
        <f si="16" t="shared"/>
        <v>0.12872928531557923</v>
      </c>
      <c r="L33" t="str">
        <f>$A$7</f>
        <v>Bellevue</v>
      </c>
      <c r="M33" s="26">
        <f ref="M33:U39" si="17" t="shared">M7/$U$15</f>
        <v>8.9151819340388419E-2</v>
      </c>
      <c r="N33" s="26">
        <f si="17" t="shared"/>
        <v>2.6681833245159091E-3</v>
      </c>
      <c r="O33" s="26">
        <f si="17" t="shared"/>
        <v>4.4950792947319471E-3</v>
      </c>
      <c r="P33" s="26">
        <f si="17" t="shared"/>
        <v>6.7830992959659053E-3</v>
      </c>
      <c r="Q33" s="26">
        <f si="17" t="shared"/>
        <v>9.8560861591616682E-3</v>
      </c>
      <c r="R33" s="26">
        <f si="17" t="shared"/>
        <v>1.2742511391487586E-3</v>
      </c>
      <c r="S33" s="26">
        <f ref="S33" si="18" t="shared">S7/$U$15</f>
        <v>6.2480546187542721E-3</v>
      </c>
      <c r="T33" s="26">
        <f ref="T33:U38" si="19" t="shared">T7/$U$15</f>
        <v>8.2527121429123336E-3</v>
      </c>
      <c r="U33" s="26">
        <f si="19" t="shared"/>
        <v>0.12872928531557923</v>
      </c>
      <c r="W33" t="str">
        <f>$A$7</f>
        <v>Bellevue</v>
      </c>
      <c r="X33" s="26">
        <f ref="X33:Z35" si="20" t="shared">M33-B33</f>
        <v>-1.903950480309502E-4</v>
      </c>
      <c r="Y33" s="26">
        <f si="20" t="shared"/>
        <v>2.6681833245159091E-3</v>
      </c>
      <c r="Z33" s="26">
        <f si="20" t="shared"/>
        <v>3.7955380370027496E-3</v>
      </c>
      <c r="AA33" s="26">
        <f ref="AA33:AA35" si="21" t="shared">P33-E33</f>
        <v>6.7830992959659053E-3</v>
      </c>
      <c r="AB33" s="26">
        <f ref="AB33:AB35" si="22" t="shared">Q33-F33</f>
        <v>5.8969460781911742E-3</v>
      </c>
      <c r="AC33" s="26">
        <f ref="AC33:AD40" si="23" t="shared">R33-G33</f>
        <v>1.7163826250193252E-4</v>
      </c>
      <c r="AD33" s="26">
        <f si="23" t="shared"/>
        <v>3.8729473178462171E-3</v>
      </c>
      <c r="AE33" s="26">
        <f ref="AE33:AF35" si="24" t="shared">T33-I33</f>
        <v>-2.2997957267992929E-2</v>
      </c>
      <c r="AF33" s="26">
        <f si="24" t="shared"/>
        <v>0</v>
      </c>
    </row>
    <row r="34" spans="1:32" x14ac:dyDescent="0.25">
      <c r="A34" t="str">
        <f>$A$8</f>
        <v>Bellevue Downtown</v>
      </c>
      <c r="B34" s="26">
        <f si="14" t="shared"/>
        <v>1.8040571594416646E-4</v>
      </c>
      <c r="C34" s="26">
        <f si="14" t="shared"/>
        <v>9.7556007553334249E-6</v>
      </c>
      <c r="D34" s="26">
        <f si="14" t="shared"/>
        <v>0</v>
      </c>
      <c r="E34" s="26">
        <f si="14" t="shared"/>
        <v>0</v>
      </c>
      <c r="F34" s="26">
        <f si="14" t="shared"/>
        <v>2.4174545546723521E-4</v>
      </c>
      <c r="G34" s="26">
        <f si="14" t="shared"/>
        <v>2.6517756093216696E-5</v>
      </c>
      <c r="H34" s="26">
        <f ref="H34" si="25" t="shared">H21/$J$28</f>
        <v>0</v>
      </c>
      <c r="I34" s="26">
        <f si="16" t="shared"/>
        <v>8.823447943210435E-3</v>
      </c>
      <c r="J34" s="26">
        <f si="16" t="shared"/>
        <v>9.2818724714703871E-3</v>
      </c>
      <c r="L34" t="str">
        <f>$A$8</f>
        <v>Bellevue Downtown</v>
      </c>
      <c r="M34" s="26">
        <f si="17" t="shared"/>
        <v>2.9920261554597922E-3</v>
      </c>
      <c r="N34" s="26">
        <f si="17" t="shared"/>
        <v>5.9840523109195849E-4</v>
      </c>
      <c r="O34" s="26">
        <f si="17" t="shared"/>
        <v>2.9568258477485009E-4</v>
      </c>
      <c r="P34" s="26">
        <f si="17" t="shared"/>
        <v>5.6320492338066681E-5</v>
      </c>
      <c r="Q34" s="26">
        <f si="17" t="shared"/>
        <v>1.3481717853424712E-3</v>
      </c>
      <c r="R34" s="26">
        <f si="17" t="shared"/>
        <v>2.0416178472549171E-4</v>
      </c>
      <c r="S34" s="26">
        <f ref="S34" si="26" t="shared">S8/$U$15</f>
        <v>2.1120184626775004E-5</v>
      </c>
      <c r="T34" s="26">
        <f si="19" t="shared"/>
        <v>3.7659842531109818E-3</v>
      </c>
      <c r="U34" s="26">
        <f si="19" t="shared"/>
        <v>9.2818724714703871E-3</v>
      </c>
      <c r="W34" t="str">
        <f>$A$8</f>
        <v>Bellevue Downtown</v>
      </c>
      <c r="X34" s="26">
        <f si="20" t="shared"/>
        <v>2.8116204395156256E-3</v>
      </c>
      <c r="Y34" s="26">
        <f si="20" t="shared"/>
        <v>5.8864963033662503E-4</v>
      </c>
      <c r="Z34" s="26">
        <f si="20" t="shared"/>
        <v>2.9568258477485009E-4</v>
      </c>
      <c r="AA34" s="26">
        <f si="21" t="shared"/>
        <v>5.6320492338066681E-5</v>
      </c>
      <c r="AB34" s="26">
        <f si="22" t="shared"/>
        <v>1.106426329875236E-3</v>
      </c>
      <c r="AC34" s="26">
        <f si="23" t="shared"/>
        <v>1.7764402863227501E-4</v>
      </c>
      <c r="AD34" s="26">
        <f si="23" t="shared"/>
        <v>2.1120184626775004E-5</v>
      </c>
      <c r="AE34" s="26">
        <f si="24" t="shared"/>
        <v>-5.0574636900994532E-3</v>
      </c>
      <c r="AF34" s="26">
        <f si="24" t="shared"/>
        <v>0</v>
      </c>
    </row>
    <row r="35" spans="1:32" x14ac:dyDescent="0.25">
      <c r="A35" t="str">
        <f>$A$9</f>
        <v>Kirkland</v>
      </c>
      <c r="B35" s="26">
        <f si="14" t="shared"/>
        <v>6.1933978766523E-3</v>
      </c>
      <c r="C35" s="26">
        <f si="14" t="shared"/>
        <v>4.329905660530077E-4</v>
      </c>
      <c r="D35" s="26">
        <f si="14" t="shared"/>
        <v>3.7305550661939725E-2</v>
      </c>
      <c r="E35" s="26">
        <f si="14" t="shared"/>
        <v>3.3381090589606316E-4</v>
      </c>
      <c r="F35" s="26">
        <f si="14" t="shared"/>
        <v>8.3316236494076451E-5</v>
      </c>
      <c r="G35" s="26">
        <f si="14" t="shared"/>
        <v>1.0605691998649415E-5</v>
      </c>
      <c r="H35" s="26">
        <f ref="H35" si="27" t="shared">H22/$J$28</f>
        <v>2.6370220960833177E-5</v>
      </c>
      <c r="I35" s="26">
        <f si="16" t="shared"/>
        <v>7.2376739196962456E-2</v>
      </c>
      <c r="J35" s="26">
        <f si="16" t="shared"/>
        <v>0.1167627813569571</v>
      </c>
      <c r="L35" t="str">
        <f>$A$9</f>
        <v>Kirkland</v>
      </c>
      <c r="M35" s="26">
        <f si="17" t="shared"/>
        <v>5.4947680337326301E-3</v>
      </c>
      <c r="N35" s="26">
        <f si="17" t="shared"/>
        <v>3.3792295402840006E-4</v>
      </c>
      <c r="O35" s="26">
        <f si="17" t="shared"/>
        <v>6.3867438311367611E-2</v>
      </c>
      <c r="P35" s="26">
        <f si="17" t="shared"/>
        <v>8.0573504351146644E-3</v>
      </c>
      <c r="Q35" s="26">
        <f si="17" t="shared"/>
        <v>1.4069562992203282E-2</v>
      </c>
      <c r="R35" s="26">
        <f si="17" t="shared"/>
        <v>7.6384667733502931E-4</v>
      </c>
      <c r="S35" s="26">
        <f ref="S35" si="28" t="shared">S9/$U$15</f>
        <v>5.0970045565950344E-3</v>
      </c>
      <c r="T35" s="26">
        <f si="19" t="shared"/>
        <v>1.9074887396580451E-2</v>
      </c>
      <c r="U35" s="26">
        <f si="19" t="shared"/>
        <v>0.1167627813569571</v>
      </c>
      <c r="W35" t="str">
        <f>$A$9</f>
        <v>Kirkland</v>
      </c>
      <c r="X35" s="26">
        <f si="20" t="shared"/>
        <v>-6.9862984291966992E-4</v>
      </c>
      <c r="Y35" s="26">
        <f si="20" t="shared"/>
        <v>-9.5067612024607646E-5</v>
      </c>
      <c r="Z35" s="26">
        <f si="20" t="shared"/>
        <v>2.6561887649427886E-2</v>
      </c>
      <c r="AA35" s="26">
        <f si="21" t="shared"/>
        <v>7.723539529218601E-3</v>
      </c>
      <c r="AB35" s="26">
        <f si="22" t="shared"/>
        <v>1.3986246755709206E-2</v>
      </c>
      <c r="AC35" s="26">
        <f si="23" t="shared"/>
        <v>7.5324098533637994E-4</v>
      </c>
      <c r="AD35" s="26">
        <f si="23" t="shared"/>
        <v>5.0706343356342011E-3</v>
      </c>
      <c r="AE35" s="26">
        <f si="24" t="shared"/>
        <v>-5.3301851800382008E-2</v>
      </c>
      <c r="AF35" s="26">
        <f si="24" t="shared"/>
        <v>0</v>
      </c>
    </row>
    <row r="36" spans="1:32" x14ac:dyDescent="0.25">
      <c r="A36" t="str">
        <f>$A$10</f>
        <v>Redmond</v>
      </c>
      <c r="B36" s="26">
        <f si="14" t="shared"/>
        <v>3.8731965414718862E-3</v>
      </c>
      <c r="C36" s="26">
        <f si="14" t="shared"/>
        <v>5.182879077254833E-4</v>
      </c>
      <c r="D36" s="26">
        <f si="14" t="shared"/>
        <v>8.408224680161001E-3</v>
      </c>
      <c r="E36" s="26">
        <f si="14" t="shared"/>
        <v>4.2308957891427225E-2</v>
      </c>
      <c r="F36" s="26">
        <f si="14" t="shared"/>
        <v>1.8061433314888202E-3</v>
      </c>
      <c r="G36" s="26">
        <f si="14" t="shared"/>
        <v>8.2709144469260306E-6</v>
      </c>
      <c r="H36" s="26">
        <f ref="H36" si="29" t="shared">H23/$J$28</f>
        <v>5.5173796139671382E-4</v>
      </c>
      <c r="I36" s="26">
        <f si="16" t="shared"/>
        <v>4.7088507569884162E-2</v>
      </c>
      <c r="J36" s="26">
        <f si="16" t="shared"/>
        <v>0.10456332679800222</v>
      </c>
      <c r="L36" t="str">
        <f>$A$10</f>
        <v>Redmond</v>
      </c>
      <c r="M36" s="26">
        <f si="17" t="shared"/>
        <v>1.200330492955046E-2</v>
      </c>
      <c r="N36" s="26">
        <f si="17" t="shared"/>
        <v>1.4432126161629586E-4</v>
      </c>
      <c r="O36" s="26">
        <f si="17" t="shared"/>
        <v>1.4808769454140407E-2</v>
      </c>
      <c r="P36" s="26">
        <f si="17" t="shared"/>
        <v>4.3947584177547655E-2</v>
      </c>
      <c r="Q36" s="26">
        <f si="17" t="shared"/>
        <v>7.2090230192725351E-3</v>
      </c>
      <c r="R36" s="26">
        <f si="17" t="shared"/>
        <v>6.1248535417647511E-4</v>
      </c>
      <c r="S36" s="26">
        <f ref="S36" si="30" t="shared">S10/$U$15</f>
        <v>5.2870862182360099E-3</v>
      </c>
      <c r="T36" s="26">
        <f si="19" t="shared"/>
        <v>2.0550752383462375E-2</v>
      </c>
      <c r="U36" s="26">
        <f si="19" t="shared"/>
        <v>0.10456332679800222</v>
      </c>
      <c r="W36" t="str">
        <f>$A$10</f>
        <v>Redmond</v>
      </c>
      <c r="X36" s="26">
        <f ref="X36:X38" si="31" t="shared">M36-B36</f>
        <v>8.1301083880785732E-3</v>
      </c>
      <c r="Y36" s="26">
        <f ref="Y36:Y38" si="32" t="shared">N36-C36</f>
        <v>-3.7396664610918741E-4</v>
      </c>
      <c r="Z36" s="26">
        <f ref="Z36:Z38" si="33" t="shared">O36-D36</f>
        <v>6.4005447739794059E-3</v>
      </c>
      <c r="AA36" s="26">
        <f ref="AA36:AA38" si="34" t="shared">P36-E36</f>
        <v>1.6386262861204301E-3</v>
      </c>
      <c r="AB36" s="26">
        <f ref="AB36:AB38" si="35" t="shared">Q36-F36</f>
        <v>5.4028796877837147E-3</v>
      </c>
      <c r="AC36" s="26">
        <f ref="AC36:AD38" si="36" t="shared">R36-G36</f>
        <v>6.0421443972954905E-4</v>
      </c>
      <c r="AD36" s="26">
        <f si="36" t="shared"/>
        <v>4.7353482568392958E-3</v>
      </c>
      <c r="AE36" s="26">
        <f ref="AE36:AE39" si="37" t="shared">T36-I36</f>
        <v>-2.6537755186421787E-2</v>
      </c>
      <c r="AF36" s="26">
        <f ref="AF36:AF39" si="38" t="shared">U36-J36</f>
        <v>0</v>
      </c>
    </row>
    <row r="37" spans="1:32" x14ac:dyDescent="0.25">
      <c r="A37" t="str">
        <f>$A$11</f>
        <v>Seattle</v>
      </c>
      <c r="B37" s="26">
        <f si="14" t="shared"/>
        <v>0</v>
      </c>
      <c r="C37" s="26">
        <f si="14" t="shared"/>
        <v>0</v>
      </c>
      <c r="D37" s="26">
        <f si="14" t="shared"/>
        <v>0</v>
      </c>
      <c r="E37" s="26">
        <f si="14" t="shared"/>
        <v>0</v>
      </c>
      <c r="F37" s="26">
        <f si="14" t="shared"/>
        <v>0</v>
      </c>
      <c r="G37" s="26">
        <f si="14" t="shared"/>
        <v>0</v>
      </c>
      <c r="H37" s="26">
        <f ref="H37" si="39" t="shared">H24/$J$28</f>
        <v>0</v>
      </c>
      <c r="I37" s="26">
        <f si="16" t="shared"/>
        <v>0.12864706758512787</v>
      </c>
      <c r="J37" s="26">
        <f si="16" t="shared"/>
        <v>0.12864706758512787</v>
      </c>
      <c r="L37" t="str">
        <f>$A$11</f>
        <v>Seattle</v>
      </c>
      <c r="M37" s="26">
        <f si="17" t="shared"/>
        <v>3.5798712942383634E-3</v>
      </c>
      <c r="N37" s="26">
        <f si="17" t="shared"/>
        <v>1.7248150778532921E-4</v>
      </c>
      <c r="O37" s="26">
        <f si="17" t="shared"/>
        <v>4.4493188947072673E-3</v>
      </c>
      <c r="P37" s="26">
        <f si="17" t="shared"/>
        <v>4.5056393870453345E-4</v>
      </c>
      <c r="Q37" s="26">
        <f si="17" t="shared"/>
        <v>0.10182745014722455</v>
      </c>
      <c r="R37" s="26">
        <f si="17" t="shared"/>
        <v>4.2838774484641965E-3</v>
      </c>
      <c r="S37" s="26">
        <f ref="S37" si="40" t="shared">S11/$U$15</f>
        <v>5.7552503107961891E-3</v>
      </c>
      <c r="T37" s="26">
        <f si="19" t="shared"/>
        <v>8.1282540432074495E-3</v>
      </c>
      <c r="U37" s="26">
        <f si="19" t="shared"/>
        <v>0.12864706758512787</v>
      </c>
      <c r="W37" t="str">
        <f>$A$11</f>
        <v>Seattle</v>
      </c>
      <c r="X37" s="26">
        <f si="31" t="shared"/>
        <v>3.5798712942383634E-3</v>
      </c>
      <c r="Y37" s="26">
        <f si="32" t="shared"/>
        <v>1.7248150778532921E-4</v>
      </c>
      <c r="Z37" s="26">
        <f si="33" t="shared"/>
        <v>4.4493188947072673E-3</v>
      </c>
      <c r="AA37" s="26">
        <f si="34" t="shared"/>
        <v>4.5056393870453345E-4</v>
      </c>
      <c r="AB37" s="26">
        <f si="35" t="shared"/>
        <v>0.10182745014722455</v>
      </c>
      <c r="AC37" s="26">
        <f si="36" t="shared"/>
        <v>4.2838774484641965E-3</v>
      </c>
      <c r="AD37" s="26">
        <f si="36" t="shared"/>
        <v>5.7552503107961891E-3</v>
      </c>
      <c r="AE37" s="26">
        <f si="37" t="shared"/>
        <v>-0.12051881354192041</v>
      </c>
      <c r="AF37" s="26">
        <f si="38" t="shared"/>
        <v>0</v>
      </c>
    </row>
    <row r="38" spans="1:32" x14ac:dyDescent="0.25">
      <c r="A38" t="str">
        <f>$A$12</f>
        <v>Seattle Downtown</v>
      </c>
      <c r="B38" s="26">
        <f si="14" t="shared"/>
        <v>0</v>
      </c>
      <c r="C38" s="26">
        <f si="14" t="shared"/>
        <v>0</v>
      </c>
      <c r="D38" s="26">
        <f si="14" t="shared"/>
        <v>0</v>
      </c>
      <c r="E38" s="26">
        <f si="14" t="shared"/>
        <v>0</v>
      </c>
      <c r="F38" s="26">
        <f si="14" t="shared"/>
        <v>0</v>
      </c>
      <c r="G38" s="26">
        <f si="14" t="shared"/>
        <v>0</v>
      </c>
      <c r="H38" s="26">
        <f ref="H38:H39" si="41" t="shared">H25/$J$28</f>
        <v>0</v>
      </c>
      <c r="I38" s="26">
        <f si="16" t="shared"/>
        <v>1.8172949437296682E-2</v>
      </c>
      <c r="J38" s="26">
        <f si="16" t="shared"/>
        <v>1.8172949437296682E-2</v>
      </c>
      <c r="L38" t="str">
        <f>$A$12</f>
        <v>Seattle Downtown</v>
      </c>
      <c r="M38" s="26">
        <f si="17" t="shared"/>
        <v>2.6048227706355838E-4</v>
      </c>
      <c r="N38" s="26">
        <f si="17" t="shared"/>
        <v>1.408012308451667E-5</v>
      </c>
      <c r="O38" s="26">
        <f si="17" t="shared"/>
        <v>2.816024616903334E-5</v>
      </c>
      <c r="P38" s="26">
        <f si="17" t="shared"/>
        <v>7.0400615422583351E-6</v>
      </c>
      <c r="Q38" s="26">
        <f si="17" t="shared"/>
        <v>1.9852973549168503E-3</v>
      </c>
      <c r="R38" s="26">
        <f si="17" t="shared"/>
        <v>1.5417734777545752E-3</v>
      </c>
      <c r="S38" s="26">
        <f ref="S38" si="42" t="shared">S12/$U$15</f>
        <v>2.1120184626775004E-5</v>
      </c>
      <c r="T38" s="26">
        <f si="19" t="shared"/>
        <v>1.4314995712139114E-2</v>
      </c>
      <c r="U38" s="26">
        <f si="19" t="shared"/>
        <v>1.8172949437296682E-2</v>
      </c>
      <c r="W38" t="str">
        <f>$A$12</f>
        <v>Seattle Downtown</v>
      </c>
      <c r="X38" s="26">
        <f si="31" t="shared"/>
        <v>2.6048227706355838E-4</v>
      </c>
      <c r="Y38" s="26">
        <f si="32" t="shared"/>
        <v>1.408012308451667E-5</v>
      </c>
      <c r="Z38" s="26">
        <f si="33" t="shared"/>
        <v>2.816024616903334E-5</v>
      </c>
      <c r="AA38" s="26">
        <f si="34" t="shared"/>
        <v>7.0400615422583351E-6</v>
      </c>
      <c r="AB38" s="26">
        <f si="35" t="shared"/>
        <v>1.9852973549168503E-3</v>
      </c>
      <c r="AC38" s="26">
        <f si="36" t="shared"/>
        <v>1.5417734777545752E-3</v>
      </c>
      <c r="AD38" s="26">
        <f si="36" t="shared"/>
        <v>2.1120184626775004E-5</v>
      </c>
      <c r="AE38" s="26">
        <f si="37" t="shared"/>
        <v>-3.8579537251575684E-3</v>
      </c>
      <c r="AF38" s="26">
        <f si="38" t="shared"/>
        <v>0</v>
      </c>
    </row>
    <row r="39" spans="1:32" x14ac:dyDescent="0.25">
      <c r="A39" t="str">
        <f>$A$13</f>
        <v>Rest</v>
      </c>
      <c r="B39" s="26" t="e">
        <f si="14" t="shared"/>
        <v>#DIV/0!</v>
      </c>
      <c r="C39" s="26" t="e">
        <f si="14" t="shared"/>
        <v>#DIV/0!</v>
      </c>
      <c r="D39" s="26" t="e">
        <f si="14" t="shared"/>
        <v>#DIV/0!</v>
      </c>
      <c r="E39" s="26" t="e">
        <f si="14" t="shared"/>
        <v>#DIV/0!</v>
      </c>
      <c r="F39" s="26" t="e">
        <f si="14" t="shared"/>
        <v>#DIV/0!</v>
      </c>
      <c r="G39" s="26" t="e">
        <f si="14" t="shared"/>
        <v>#DIV/0!</v>
      </c>
      <c r="H39" s="26" t="e">
        <f si="41" t="shared"/>
        <v>#DIV/0!</v>
      </c>
      <c r="I39" s="26" t="e">
        <f si="16" t="shared"/>
        <v>#DIV/0!</v>
      </c>
      <c r="J39" s="26" t="e">
        <f si="14" t="shared"/>
        <v>#DIV/0!</v>
      </c>
      <c r="L39" t="str">
        <f>$A$13</f>
        <v>Rest</v>
      </c>
      <c r="M39" s="26">
        <f si="17" t="shared"/>
        <v>4.0878117345123019E-2</v>
      </c>
      <c r="N39" s="26">
        <f si="17" t="shared"/>
        <v>9.0464790818019605E-4</v>
      </c>
      <c r="O39" s="26">
        <f si="17" t="shared"/>
        <v>2.9476737677435649E-2</v>
      </c>
      <c r="P39" s="26">
        <f si="17" t="shared"/>
        <v>1.5291013669785103E-2</v>
      </c>
      <c r="Q39" s="26">
        <f si="17" t="shared"/>
        <v>4.7460574887134566E-2</v>
      </c>
      <c r="R39" s="26">
        <f si="17" t="shared"/>
        <v>5.0547641873414841E-3</v>
      </c>
      <c r="S39" s="26">
        <f ref="S39" si="43" t="shared">S13/$U$15</f>
        <v>0.35477686136056652</v>
      </c>
      <c r="T39" s="26">
        <f si="17" t="shared"/>
        <v>0</v>
      </c>
      <c r="U39" s="26">
        <f si="17" t="shared"/>
        <v>0.49384271703556654</v>
      </c>
      <c r="W39" t="str">
        <f>$A$13</f>
        <v>Rest</v>
      </c>
      <c r="X39" s="26" t="e">
        <f ref="X39" si="44" t="shared">M39-B39</f>
        <v>#DIV/0!</v>
      </c>
      <c r="Y39" s="26" t="e">
        <f ref="Y39" si="45" t="shared">N39-C39</f>
        <v>#DIV/0!</v>
      </c>
      <c r="Z39" s="26" t="e">
        <f ref="Z39" si="46" t="shared">O39-D39</f>
        <v>#DIV/0!</v>
      </c>
      <c r="AA39" s="26" t="e">
        <f ref="AA39" si="47" t="shared">P39-E39</f>
        <v>#DIV/0!</v>
      </c>
      <c r="AB39" s="26" t="e">
        <f ref="AB39" si="48" t="shared">Q39-F39</f>
        <v>#DIV/0!</v>
      </c>
      <c r="AC39" s="26" t="e">
        <f ref="AC39" si="49" t="shared">R39-G39</f>
        <v>#DIV/0!</v>
      </c>
      <c r="AD39" s="26" t="e">
        <f ref="AD39" si="50" t="shared">S39-H39</f>
        <v>#DIV/0!</v>
      </c>
      <c r="AE39" s="26" t="e">
        <f si="37" t="shared"/>
        <v>#DIV/0!</v>
      </c>
      <c r="AF39" s="26" t="e">
        <f si="38" t="shared"/>
        <v>#DIV/0!</v>
      </c>
    </row>
    <row r="40" spans="1:32" x14ac:dyDescent="0.25">
      <c r="A40" s="8" t="s">
        <v>12</v>
      </c>
      <c r="B40" s="27" t="e">
        <f ref="B40:H40" si="51" t="shared">B27/$J$28</f>
        <v>#DIV/0!</v>
      </c>
      <c r="C40" s="27" t="e">
        <f si="51" t="shared"/>
        <v>#DIV/0!</v>
      </c>
      <c r="D40" s="27" t="e">
        <f si="51" t="shared"/>
        <v>#DIV/0!</v>
      </c>
      <c r="E40" s="27" t="e">
        <f si="51" t="shared"/>
        <v>#DIV/0!</v>
      </c>
      <c r="F40" s="27" t="e">
        <f si="51" t="shared"/>
        <v>#DIV/0!</v>
      </c>
      <c r="G40" s="27" t="e">
        <f si="51" t="shared"/>
        <v>#DIV/0!</v>
      </c>
      <c r="H40" s="27" t="e">
        <f si="51" t="shared"/>
        <v>#DIV/0!</v>
      </c>
      <c r="I40" s="27" t="e">
        <f>I27/$J$28</f>
        <v>#DIV/0!</v>
      </c>
      <c r="J40" s="27" t="e">
        <f>J27/$J$28</f>
        <v>#DIV/0!</v>
      </c>
      <c r="L40" s="23" t="s">
        <v>12</v>
      </c>
      <c r="M40" s="27">
        <f>M14/$U$15</f>
        <v>0</v>
      </c>
      <c r="N40" s="27">
        <f ref="N40:U40" si="52" t="shared">N14/$U$15</f>
        <v>0</v>
      </c>
      <c r="O40" s="27">
        <f si="52" t="shared"/>
        <v>0</v>
      </c>
      <c r="P40" s="27">
        <f si="52" t="shared"/>
        <v>0</v>
      </c>
      <c r="Q40" s="27">
        <f si="52" t="shared"/>
        <v>0</v>
      </c>
      <c r="R40" s="27">
        <f si="52" t="shared"/>
        <v>0</v>
      </c>
      <c r="S40" s="27">
        <f si="52" t="shared"/>
        <v>0</v>
      </c>
      <c r="T40" s="27">
        <f si="52" t="shared"/>
        <v>0</v>
      </c>
      <c r="U40" s="27">
        <f si="52" t="shared"/>
        <v>0</v>
      </c>
      <c r="W40" s="23" t="s">
        <v>12</v>
      </c>
      <c r="X40" s="27" t="e">
        <f ref="X40:Z41" si="53" t="shared">M40-B40</f>
        <v>#DIV/0!</v>
      </c>
      <c r="Y40" s="27" t="e">
        <f si="53" t="shared"/>
        <v>#DIV/0!</v>
      </c>
      <c r="Z40" s="27" t="e">
        <f si="53" t="shared"/>
        <v>#DIV/0!</v>
      </c>
      <c r="AA40" s="27" t="e">
        <f ref="AA40:AA41" si="54" t="shared">P40-E40</f>
        <v>#DIV/0!</v>
      </c>
      <c r="AB40" s="27" t="e">
        <f ref="AB40:AB41" si="55" t="shared">Q40-F40</f>
        <v>#DIV/0!</v>
      </c>
      <c r="AC40" s="27" t="e">
        <f ref="AC40:AD41" si="56" t="shared">R40-G40</f>
        <v>#DIV/0!</v>
      </c>
      <c r="AD40" s="26" t="e">
        <f si="23" t="shared"/>
        <v>#DIV/0!</v>
      </c>
      <c r="AE40" s="27" t="e">
        <f>T40-I40</f>
        <v>#DIV/0!</v>
      </c>
      <c r="AF40" s="27" t="e">
        <f>U40-J40</f>
        <v>#DIV/0!</v>
      </c>
    </row>
    <row ht="15.75" r="41" spans="1:32" thickBot="1" x14ac:dyDescent="0.3">
      <c r="A41" s="1" t="s">
        <v>3</v>
      </c>
      <c r="B41" s="28">
        <f>B28/$J$28</f>
        <v>0.15132648510439653</v>
      </c>
      <c r="C41" s="28">
        <f>C28/$J$28</f>
        <v>2.2883408864175043E-3</v>
      </c>
      <c r="D41" s="28">
        <f>D28/$J$28</f>
        <v>0.10490509056447624</v>
      </c>
      <c r="E41" s="28">
        <f ref="E41:H41" si="57" t="shared">E28/$J$28</f>
        <v>0.10706175698615863</v>
      </c>
      <c r="F41" s="28">
        <f si="57" t="shared"/>
        <v>1.099135230092105E-2</v>
      </c>
      <c r="G41" s="28">
        <f si="57" t="shared"/>
        <v>1.6847487008741415E-3</v>
      </c>
      <c r="H41" s="28">
        <f si="57" t="shared"/>
        <v>0</v>
      </c>
      <c r="I41" s="28">
        <f>I28/$J$28</f>
        <v>0.61691073649477646</v>
      </c>
      <c r="J41" s="28">
        <f>J28/$J$28</f>
        <v>1</v>
      </c>
      <c r="L41" s="24" t="s">
        <v>3</v>
      </c>
      <c r="M41" s="28">
        <f>M15/$U$15</f>
        <v>0.15436038937555624</v>
      </c>
      <c r="N41" s="28">
        <f>N15/$U$15</f>
        <v>4.8400423103026049E-3</v>
      </c>
      <c r="O41" s="28">
        <f>O15/$U$15</f>
        <v>0.11742118646332676</v>
      </c>
      <c r="P41" s="28">
        <f ref="P41:S41" si="58" t="shared">P15/$U$15</f>
        <v>7.4592972070998187E-2</v>
      </c>
      <c r="Q41" s="28">
        <f si="58" t="shared"/>
        <v>0.18375616634525593</v>
      </c>
      <c r="R41" s="28">
        <f si="58" t="shared"/>
        <v>1.3735160068946012E-2</v>
      </c>
      <c r="S41" s="28">
        <f si="58" t="shared"/>
        <v>0.37720649743420159</v>
      </c>
      <c r="T41" s="28">
        <f>T15/$U$15</f>
        <v>7.4087585931412708E-2</v>
      </c>
      <c r="U41" s="28">
        <f>U15/$U$15</f>
        <v>1</v>
      </c>
      <c r="W41" s="24" t="s">
        <v>3</v>
      </c>
      <c r="X41" s="28">
        <f si="53" t="shared"/>
        <v>3.0339042711597097E-3</v>
      </c>
      <c r="Y41" s="28">
        <f si="53" t="shared"/>
        <v>2.5517014238851006E-3</v>
      </c>
      <c r="Z41" s="28">
        <f si="53" t="shared"/>
        <v>1.2516095898850527E-2</v>
      </c>
      <c r="AA41" s="28">
        <f si="54" t="shared"/>
        <v>-3.2468784915160448E-2</v>
      </c>
      <c r="AB41" s="28">
        <f si="55" t="shared"/>
        <v>0.17276481404433489</v>
      </c>
      <c r="AC41" s="28">
        <f si="56" t="shared"/>
        <v>1.205041136807187E-2</v>
      </c>
      <c r="AD41" s="28">
        <f si="56" t="shared"/>
        <v>0.37720649743420159</v>
      </c>
      <c r="AE41" s="28">
        <f>T41-I41</f>
        <v>-0.54282315056336372</v>
      </c>
      <c r="AF41" s="28">
        <f>U41-J41</f>
        <v>0</v>
      </c>
    </row>
    <row ht="15.75" r="44" spans="1:32" thickBot="1" x14ac:dyDescent="0.3">
      <c r="A44" s="39" t="s">
        <v>196</v>
      </c>
      <c r="B44" s="37"/>
      <c r="C44" s="37"/>
      <c r="D44" s="37"/>
      <c r="E44" s="37"/>
      <c r="F44" s="37"/>
      <c r="G44" s="37"/>
      <c r="H44" s="37"/>
      <c r="I44" s="37"/>
      <c r="J44" s="7"/>
      <c r="L44" s="39" t="s">
        <v>38</v>
      </c>
      <c r="M44" s="37"/>
      <c r="N44" s="37"/>
      <c r="O44" s="37"/>
      <c r="P44" s="37"/>
      <c r="Q44" s="37"/>
      <c r="R44" s="37"/>
      <c r="S44" s="37"/>
      <c r="T44" s="37"/>
      <c r="U44" s="7"/>
      <c r="W44" s="39" t="s">
        <v>39</v>
      </c>
      <c r="X44" s="37"/>
      <c r="Y44" s="37"/>
      <c r="Z44" s="37"/>
      <c r="AA44" s="37"/>
      <c r="AB44" s="37"/>
      <c r="AC44" s="37"/>
      <c r="AD44" s="37"/>
      <c r="AE44" s="37"/>
      <c r="AF44" s="7"/>
    </row>
    <row r="45" spans="1:32" x14ac:dyDescent="0.25">
      <c r="A45" s="29" t="s">
        <v>11</v>
      </c>
      <c r="B45" s="30" t="str">
        <f>$A$7</f>
        <v>Bellevue</v>
      </c>
      <c r="C45" s="30" t="str">
        <f>$A$8</f>
        <v>Bellevue Downtown</v>
      </c>
      <c r="D45" s="30" t="str">
        <f>$A$9</f>
        <v>Kirkland</v>
      </c>
      <c r="E45" s="30" t="str">
        <f>$A$10</f>
        <v>Redmond</v>
      </c>
      <c r="F45" s="30" t="str">
        <f>$A$11</f>
        <v>Seattle</v>
      </c>
      <c r="G45" s="30" t="str">
        <f>$A$12</f>
        <v>Seattle Downtown</v>
      </c>
      <c r="H45" s="30"/>
      <c r="I45" s="30" t="s">
        <v>3</v>
      </c>
      <c r="J45" s="7"/>
      <c r="L45" s="29" t="s">
        <v>11</v>
      </c>
      <c r="M45" s="30" t="str">
        <f>$A$7</f>
        <v>Bellevue</v>
      </c>
      <c r="N45" s="30" t="str">
        <f>$A$8</f>
        <v>Bellevue Downtown</v>
      </c>
      <c r="O45" s="30" t="str">
        <f>$A$9</f>
        <v>Kirkland</v>
      </c>
      <c r="P45" s="30" t="str">
        <f>$A$10</f>
        <v>Redmond</v>
      </c>
      <c r="Q45" s="30" t="str">
        <f>$A$11</f>
        <v>Seattle</v>
      </c>
      <c r="R45" s="30" t="str">
        <f>$A$12</f>
        <v>Seattle Downtown</v>
      </c>
      <c r="S45" s="30"/>
      <c r="T45" s="30" t="s">
        <v>3</v>
      </c>
      <c r="U45" s="7"/>
      <c r="W45" s="29" t="s">
        <v>11</v>
      </c>
      <c r="X45" s="30" t="str">
        <f>$A$7</f>
        <v>Bellevue</v>
      </c>
      <c r="Y45" s="30" t="str">
        <f>$A$8</f>
        <v>Bellevue Downtown</v>
      </c>
      <c r="Z45" s="30" t="str">
        <f>$A$9</f>
        <v>Kirkland</v>
      </c>
      <c r="AA45" s="30" t="str">
        <f>$A$10</f>
        <v>Redmond</v>
      </c>
      <c r="AB45" s="30" t="str">
        <f>$A$11</f>
        <v>Seattle</v>
      </c>
      <c r="AC45" s="30" t="str">
        <f>$A$12</f>
        <v>Seattle Downtown</v>
      </c>
      <c r="AD45" s="30"/>
      <c r="AE45" s="30" t="s">
        <v>3</v>
      </c>
      <c r="AF45" s="7"/>
    </row>
    <row r="46" spans="1:32" x14ac:dyDescent="0.25">
      <c r="A46" s="35" t="str">
        <f>$A$7</f>
        <v>Bellevue</v>
      </c>
      <c r="B46" s="36"/>
      <c r="C46" s="36"/>
      <c r="D46" s="36"/>
      <c r="E46" s="36"/>
      <c r="F46" s="36"/>
      <c r="G46" s="36"/>
      <c r="H46" s="36"/>
      <c r="I46" s="36"/>
      <c r="J46" s="7"/>
      <c r="L46" s="35" t="str">
        <f>$A$7</f>
        <v>Bellevue</v>
      </c>
      <c r="M46" s="36"/>
      <c r="N46" s="36"/>
      <c r="O46" s="36"/>
      <c r="P46" s="36"/>
      <c r="Q46" s="36"/>
      <c r="R46" s="36"/>
      <c r="S46" s="36"/>
      <c r="T46" s="36"/>
      <c r="U46" s="7"/>
      <c r="W46" s="35" t="str">
        <f>$A$7</f>
        <v>Bellevue</v>
      </c>
      <c r="X46" s="36"/>
      <c r="Y46" s="36"/>
      <c r="Z46" s="36"/>
      <c r="AA46" s="36"/>
      <c r="AB46" s="36"/>
      <c r="AC46" s="36"/>
      <c r="AD46" s="36"/>
      <c r="AE46" s="36"/>
      <c r="AF46" s="7"/>
    </row>
    <row r="47" spans="1:32" x14ac:dyDescent="0.25">
      <c r="A47" s="31" t="str">
        <f>$A$8</f>
        <v>Bellevue Downtown</v>
      </c>
      <c r="B47" s="32"/>
      <c r="C47" s="32"/>
      <c r="D47" s="32"/>
      <c r="E47" s="32"/>
      <c r="F47" s="32"/>
      <c r="G47" s="32"/>
      <c r="H47" s="32"/>
      <c r="I47" s="32"/>
      <c r="J47" s="7"/>
      <c r="L47" s="31" t="str">
        <f>$A$8</f>
        <v>Bellevue Downtown</v>
      </c>
      <c r="M47" s="32"/>
      <c r="N47" s="32"/>
      <c r="O47" s="32"/>
      <c r="P47" s="32"/>
      <c r="Q47" s="32"/>
      <c r="R47" s="32"/>
      <c r="S47" s="32"/>
      <c r="T47" s="32"/>
      <c r="U47" s="7"/>
      <c r="W47" s="31" t="str">
        <f>$A$8</f>
        <v>Bellevue Downtown</v>
      </c>
      <c r="X47" s="32"/>
      <c r="Y47" s="32"/>
      <c r="Z47" s="32"/>
      <c r="AA47" s="32"/>
      <c r="AB47" s="32"/>
      <c r="AC47" s="32"/>
      <c r="AD47" s="32"/>
      <c r="AE47" s="32"/>
      <c r="AF47" s="7"/>
    </row>
    <row r="48" spans="1:32" x14ac:dyDescent="0.25">
      <c r="A48" s="31" t="str">
        <f>$A$9</f>
        <v>Kirkland</v>
      </c>
      <c r="B48" s="32"/>
      <c r="C48" s="32"/>
      <c r="D48" s="32"/>
      <c r="E48" s="32"/>
      <c r="F48" s="32"/>
      <c r="G48" s="32"/>
      <c r="H48" s="32"/>
      <c r="I48" s="32"/>
      <c r="J48" s="7"/>
      <c r="L48" s="31" t="str">
        <f>$A$9</f>
        <v>Kirkland</v>
      </c>
      <c r="M48" s="32"/>
      <c r="N48" s="32"/>
      <c r="O48" s="32"/>
      <c r="P48" s="32"/>
      <c r="Q48" s="32"/>
      <c r="R48" s="32"/>
      <c r="S48" s="32"/>
      <c r="T48" s="32"/>
      <c r="U48" s="7"/>
      <c r="W48" s="31" t="str">
        <f>$A$9</f>
        <v>Kirkland</v>
      </c>
      <c r="X48" s="32"/>
      <c r="Y48" s="32"/>
      <c r="Z48" s="32"/>
      <c r="AA48" s="32"/>
      <c r="AB48" s="32"/>
      <c r="AC48" s="32"/>
      <c r="AD48" s="32"/>
      <c r="AE48" s="32"/>
      <c r="AF48" s="7"/>
    </row>
    <row r="49" spans="1:32" x14ac:dyDescent="0.25">
      <c r="A49" s="31" t="str">
        <f>$A$10</f>
        <v>Redmond</v>
      </c>
      <c r="B49" s="32"/>
      <c r="C49" s="32"/>
      <c r="D49" s="32"/>
      <c r="E49" s="32"/>
      <c r="F49" s="32"/>
      <c r="G49" s="32"/>
      <c r="H49" s="32"/>
      <c r="I49" s="32"/>
      <c r="J49" s="7"/>
      <c r="L49" s="31" t="str">
        <f>$A$10</f>
        <v>Redmond</v>
      </c>
      <c r="M49" s="32"/>
      <c r="N49" s="32"/>
      <c r="O49" s="32"/>
      <c r="P49" s="32"/>
      <c r="Q49" s="32"/>
      <c r="R49" s="32"/>
      <c r="S49" s="32"/>
      <c r="T49" s="32"/>
      <c r="U49" s="7"/>
      <c r="W49" s="31" t="str">
        <f>$A$10</f>
        <v>Redmond</v>
      </c>
      <c r="X49" s="32"/>
      <c r="Y49" s="32"/>
      <c r="Z49" s="32"/>
      <c r="AA49" s="32"/>
      <c r="AB49" s="32"/>
      <c r="AC49" s="32"/>
      <c r="AD49" s="32"/>
      <c r="AE49" s="32"/>
      <c r="AF49" s="7"/>
    </row>
    <row r="50" spans="1:32" x14ac:dyDescent="0.25">
      <c r="A50" s="31" t="str">
        <f>$A$11</f>
        <v>Seattle</v>
      </c>
      <c r="B50" s="32"/>
      <c r="C50" s="32"/>
      <c r="D50" s="32"/>
      <c r="E50" s="32"/>
      <c r="F50" s="32"/>
      <c r="G50" s="32"/>
      <c r="H50" s="32"/>
      <c r="I50" s="32"/>
      <c r="J50" s="7"/>
      <c r="L50" s="31" t="str">
        <f>$A$11</f>
        <v>Seattle</v>
      </c>
      <c r="M50" s="32"/>
      <c r="N50" s="32"/>
      <c r="O50" s="32"/>
      <c r="P50" s="32"/>
      <c r="Q50" s="32"/>
      <c r="R50" s="32"/>
      <c r="S50" s="32"/>
      <c r="T50" s="32"/>
      <c r="U50" s="7"/>
      <c r="W50" s="31" t="str">
        <f>$A$11</f>
        <v>Seattle</v>
      </c>
      <c r="X50" s="32"/>
      <c r="Y50" s="32"/>
      <c r="Z50" s="32"/>
      <c r="AA50" s="32"/>
      <c r="AB50" s="32"/>
      <c r="AC50" s="32"/>
      <c r="AD50" s="32"/>
      <c r="AE50" s="32"/>
      <c r="AF50" s="7"/>
    </row>
    <row r="51" spans="1:32" x14ac:dyDescent="0.25">
      <c r="A51" s="48" t="str">
        <f>$A$12</f>
        <v>Seattle Downtown</v>
      </c>
      <c r="B51" s="49"/>
      <c r="C51" s="49"/>
      <c r="D51" s="49"/>
      <c r="E51" s="49"/>
      <c r="F51" s="49"/>
      <c r="G51" s="49"/>
      <c r="H51" s="49"/>
      <c r="I51" s="49"/>
      <c r="J51" s="7"/>
      <c r="L51" s="48" t="str">
        <f>$A$12</f>
        <v>Seattle Downtown</v>
      </c>
      <c r="M51" s="49"/>
      <c r="N51" s="49"/>
      <c r="O51" s="49"/>
      <c r="P51" s="49"/>
      <c r="Q51" s="49"/>
      <c r="R51" s="49"/>
      <c r="S51" s="49"/>
      <c r="T51" s="49"/>
      <c r="U51" s="7"/>
      <c r="W51" s="48" t="str">
        <f>$A$12</f>
        <v>Seattle Downtown</v>
      </c>
      <c r="X51" s="49"/>
      <c r="Y51" s="49"/>
      <c r="Z51" s="49"/>
      <c r="AA51" s="49"/>
      <c r="AB51" s="49"/>
      <c r="AC51" s="49"/>
      <c r="AD51" s="49"/>
      <c r="AE51" s="49"/>
      <c r="AF51" s="7"/>
    </row>
    <row ht="15.75" r="52" spans="1:32" thickBot="1" x14ac:dyDescent="0.3">
      <c r="A52" s="37" t="s">
        <v>3</v>
      </c>
      <c r="B52" s="38"/>
      <c r="C52" s="38"/>
      <c r="D52" s="38"/>
      <c r="E52" s="38"/>
      <c r="F52" s="38"/>
      <c r="G52" s="38"/>
      <c r="H52" s="38"/>
      <c r="I52" s="38"/>
      <c r="L52" s="40" t="s">
        <v>3</v>
      </c>
      <c r="M52" s="38"/>
      <c r="N52" s="38"/>
      <c r="O52" s="38"/>
      <c r="P52" s="38"/>
      <c r="Q52" s="38"/>
      <c r="R52" s="38"/>
      <c r="S52" s="38"/>
      <c r="T52" s="38"/>
      <c r="W52" s="40" t="s">
        <v>3</v>
      </c>
      <c r="X52" s="38"/>
      <c r="Y52" s="38"/>
      <c r="Z52" s="38"/>
      <c r="AA52" s="38"/>
      <c r="AB52" s="38"/>
      <c r="AC52" s="38"/>
      <c r="AD52" s="38"/>
      <c r="AE52" s="38"/>
    </row>
  </sheetData>
  <pageMargins bottom="0.75" footer="0.3" header="0.3" left="0.7" right="0.7" top="0.75"/>
  <pageSetup orientation="portrait" r:id="rId1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U36"/>
  <sheetViews>
    <sheetView topLeftCell="A10" workbookViewId="0">
      <selection activeCell="G14" sqref="G14"/>
    </sheetView>
  </sheetViews>
  <sheetFormatPr defaultRowHeight="15" x14ac:dyDescent="0.25"/>
  <cols>
    <col min="1" max="1" customWidth="true" width="18.28515625" collapsed="true"/>
    <col min="2" max="2" bestFit="true" customWidth="true" width="11.5703125" collapsed="true"/>
    <col min="3" max="3" bestFit="true" customWidth="true" width="10.5703125" collapsed="true"/>
    <col min="4" max="4" bestFit="true" customWidth="true" width="12.28515625" collapsed="true"/>
    <col min="5" max="5" bestFit="true" customWidth="true" width="11.5703125" collapsed="true"/>
    <col min="8" max="8" customWidth="true" width="19.85546875" collapsed="true"/>
    <col min="9" max="10" bestFit="true" customWidth="true" width="11.5703125" collapsed="true"/>
    <col min="11" max="11" bestFit="true" customWidth="true" width="12.28515625" collapsed="true"/>
    <col min="12" max="12" bestFit="true" customWidth="true" width="11.5703125" collapsed="true"/>
    <col min="13" max="13" bestFit="true" customWidth="true" width="9.5703125" collapsed="true"/>
    <col min="15" max="15" customWidth="true" width="18.42578125" collapsed="true"/>
  </cols>
  <sheetData>
    <row r="1" spans="1:19" x14ac:dyDescent="0.25">
      <c r="A1" t="s">
        <v>29</v>
      </c>
    </row>
    <row r="2" spans="1:19" x14ac:dyDescent="0.25">
      <c r="A2" t="s">
        <v>247</v>
      </c>
    </row>
    <row r="3" spans="1:19" x14ac:dyDescent="0.25">
      <c r="A3" t="s">
        <v>30</v>
      </c>
    </row>
    <row ht="15.75" r="5" spans="1:19" thickBot="1" x14ac:dyDescent="0.3">
      <c r="A5" s="4" t="s">
        <v>199</v>
      </c>
      <c r="B5" s="1"/>
      <c r="C5" s="1"/>
      <c r="D5" s="1"/>
      <c r="H5" s="4" t="s">
        <v>32</v>
      </c>
      <c r="I5" s="1"/>
      <c r="J5" s="1"/>
      <c r="K5" s="1"/>
      <c r="O5" s="4" t="s">
        <v>68</v>
      </c>
      <c r="P5" s="1"/>
      <c r="Q5" s="1"/>
      <c r="R5" s="1"/>
      <c r="S5" s="1"/>
    </row>
    <row r="6" spans="1:19" x14ac:dyDescent="0.25">
      <c r="A6" s="2"/>
      <c r="B6" s="5" t="s">
        <v>41</v>
      </c>
      <c r="C6" s="5" t="s">
        <v>42</v>
      </c>
      <c r="D6" s="5" t="s">
        <v>43</v>
      </c>
      <c r="E6" s="3" t="s">
        <v>3</v>
      </c>
      <c r="H6" s="2"/>
      <c r="I6" s="5" t="s">
        <v>41</v>
      </c>
      <c r="J6" s="5" t="s">
        <v>42</v>
      </c>
      <c r="K6" s="5" t="s">
        <v>43</v>
      </c>
      <c r="L6" s="3" t="s">
        <v>3</v>
      </c>
      <c r="O6" s="2"/>
      <c r="P6" s="5" t="s">
        <v>41</v>
      </c>
      <c r="Q6" s="5" t="s">
        <v>42</v>
      </c>
      <c r="R6" s="5" t="s">
        <v>43</v>
      </c>
      <c r="S6" s="3" t="s">
        <v>3</v>
      </c>
    </row>
    <row r="7" spans="1:19" x14ac:dyDescent="0.25">
      <c r="A7" s="52" t="s">
        <v>254</v>
      </c>
      <c r="B7" s="83">
        <v>0</v>
      </c>
      <c r="C7" s="83">
        <v>0</v>
      </c>
      <c r="D7" s="83">
        <v>0</v>
      </c>
      <c r="E7" s="83">
        <f>SUM(B7:D7)</f>
        <v>0</v>
      </c>
      <c r="H7" s="15" t="str">
        <f>$A$7</f>
        <v>Bellevue</v>
      </c>
      <c r="I7" s="83" t="n">
        <v>48.0</v>
      </c>
      <c r="J7" s="83" t="n">
        <v>10.0</v>
      </c>
      <c r="K7" s="83" t="n">
        <v>34.0</v>
      </c>
      <c r="L7" s="83">
        <f>SUM(I7:K7)</f>
        <v>92</v>
      </c>
      <c r="O7" s="15" t="str">
        <f>$A$7</f>
        <v>Bellevue</v>
      </c>
      <c r="P7" s="20">
        <f>I7-B7</f>
        <v>57</v>
      </c>
      <c r="Q7" s="20">
        <f ref="Q7:S14" si="0" t="shared">J7-C7</f>
        <v>9</v>
      </c>
      <c r="R7" s="20">
        <f si="0" t="shared"/>
        <v>26</v>
      </c>
      <c r="S7" s="20">
        <f si="0" t="shared"/>
        <v>92</v>
      </c>
    </row>
    <row r="8" spans="1:19" x14ac:dyDescent="0.25">
      <c r="A8" s="7" t="s">
        <v>255</v>
      </c>
      <c r="B8" s="83">
        <v>0</v>
      </c>
      <c r="C8" s="83">
        <v>0</v>
      </c>
      <c r="D8" s="83">
        <v>0</v>
      </c>
      <c r="E8" s="83">
        <f>SUM(B8:D8)</f>
        <v>0</v>
      </c>
      <c r="H8" t="str">
        <f>$A$8</f>
        <v>Bellevue Downtown</v>
      </c>
      <c r="I8" s="83" t="n">
        <v>0.0</v>
      </c>
      <c r="J8" s="83" t="n">
        <v>0.0</v>
      </c>
      <c r="K8" s="83" t="n">
        <v>4.0</v>
      </c>
      <c r="L8" s="83">
        <f>SUM(I8:K8)</f>
        <v>3</v>
      </c>
      <c r="O8" t="str">
        <f>$A$8</f>
        <v>Bellevue Downtown</v>
      </c>
      <c r="P8" s="20">
        <f ref="P8:P14" si="1" t="shared">I8-B8</f>
        <v>0</v>
      </c>
      <c r="Q8" s="20">
        <f si="0" t="shared"/>
        <v>0</v>
      </c>
      <c r="R8" s="20">
        <f si="0" t="shared"/>
        <v>3</v>
      </c>
      <c r="S8" s="20">
        <f si="0" t="shared"/>
        <v>3</v>
      </c>
    </row>
    <row r="9" spans="1:19" x14ac:dyDescent="0.25">
      <c r="A9" s="7" t="s">
        <v>256</v>
      </c>
      <c r="B9" s="83">
        <v>0</v>
      </c>
      <c r="C9" s="83">
        <v>0</v>
      </c>
      <c r="D9" s="83">
        <v>0</v>
      </c>
      <c r="E9" s="83">
        <f ref="E9:E11" si="2" t="shared">SUM(B9:D9)</f>
        <v>0</v>
      </c>
      <c r="H9" t="str">
        <f>$A$9</f>
        <v>Kirkland</v>
      </c>
      <c r="I9" s="83" t="n">
        <v>44.0</v>
      </c>
      <c r="J9" s="83" t="n">
        <v>11.0</v>
      </c>
      <c r="K9" s="83" t="n">
        <v>18.0</v>
      </c>
      <c r="L9" s="83">
        <f ref="L9:L11" si="3" t="shared">SUM(I9:K9)</f>
        <v>74</v>
      </c>
      <c r="O9" t="str">
        <f>$A$9</f>
        <v>Kirkland</v>
      </c>
      <c r="P9" s="20">
        <f ref="P9:P11" si="4" t="shared">I9-B9</f>
        <v>41</v>
      </c>
      <c r="Q9" s="20">
        <f ref="Q9:Q11" si="5" t="shared">J9-C9</f>
        <v>5</v>
      </c>
      <c r="R9" s="20">
        <f ref="R9:R11" si="6" t="shared">K9-D9</f>
        <v>28</v>
      </c>
      <c r="S9" s="20">
        <f ref="S9:S11" si="7" t="shared">L9-E9</f>
        <v>74</v>
      </c>
    </row>
    <row r="10" spans="1:19" x14ac:dyDescent="0.25">
      <c r="A10" s="7" t="s">
        <v>257</v>
      </c>
      <c r="B10" s="83">
        <v>0</v>
      </c>
      <c r="C10" s="83">
        <v>0</v>
      </c>
      <c r="D10" s="83">
        <v>0</v>
      </c>
      <c r="E10" s="83">
        <f si="2" t="shared"/>
        <v>0</v>
      </c>
      <c r="H10" t="str">
        <f>$A$10</f>
        <v>Redmond</v>
      </c>
      <c r="I10" s="83" t="n">
        <v>77.0</v>
      </c>
      <c r="J10" s="83" t="n">
        <v>17.0</v>
      </c>
      <c r="K10" s="83" t="n">
        <v>40.0</v>
      </c>
      <c r="L10" s="83">
        <f si="3" t="shared"/>
        <v>151</v>
      </c>
      <c r="O10" s="7" t="str">
        <f>$A$10</f>
        <v>Redmond</v>
      </c>
      <c r="P10" s="21">
        <f si="4" t="shared"/>
        <v>81</v>
      </c>
      <c r="Q10" s="21">
        <f si="5" t="shared"/>
        <v>22</v>
      </c>
      <c r="R10" s="21">
        <f si="6" t="shared"/>
        <v>48</v>
      </c>
      <c r="S10" s="21">
        <f si="7" t="shared"/>
        <v>151</v>
      </c>
    </row>
    <row r="11" spans="1:19" x14ac:dyDescent="0.25">
      <c r="A11" s="7" t="s">
        <v>253</v>
      </c>
      <c r="B11" s="83">
        <v>0</v>
      </c>
      <c r="C11" s="83">
        <v>0</v>
      </c>
      <c r="D11" s="83">
        <v>3515.915</v>
      </c>
      <c r="E11" s="83">
        <f si="2" t="shared"/>
        <v>3515.915</v>
      </c>
      <c r="H11" t="str">
        <f>$A$11</f>
        <v>Seattle</v>
      </c>
      <c r="I11" s="83" t="n">
        <v>135.0</v>
      </c>
      <c r="J11" s="83" t="n">
        <v>19.0</v>
      </c>
      <c r="K11" s="83" t="n">
        <v>13.0</v>
      </c>
      <c r="L11" s="83">
        <f si="3" t="shared"/>
        <v>176</v>
      </c>
      <c r="O11" s="7" t="str">
        <f>$A$11</f>
        <v>Seattle</v>
      </c>
      <c r="P11" s="21">
        <f si="4" t="shared"/>
        <v>143</v>
      </c>
      <c r="Q11" s="21">
        <f si="5" t="shared"/>
        <v>17</v>
      </c>
      <c r="R11" s="21">
        <f si="6" t="shared"/>
        <v>-3499.915</v>
      </c>
      <c r="S11" s="21">
        <f si="7" t="shared"/>
        <v>-3339.915</v>
      </c>
    </row>
    <row r="12" spans="1:19" x14ac:dyDescent="0.25">
      <c r="A12" s="7" t="s">
        <v>258</v>
      </c>
      <c r="B12" s="87">
        <v>0</v>
      </c>
      <c r="C12" s="87">
        <v>0</v>
      </c>
      <c r="D12" s="87">
        <v>0</v>
      </c>
      <c r="E12" s="87">
        <f>SUM(B12:D12)</f>
        <v>0</v>
      </c>
      <c r="H12" s="7" t="str">
        <f>$A$12</f>
        <v>Seattle Downtown</v>
      </c>
      <c r="I12" s="87" t="n">
        <v>0.0</v>
      </c>
      <c r="J12" s="87" t="n">
        <v>0.0</v>
      </c>
      <c r="K12" s="87" t="n">
        <v>0.0</v>
      </c>
      <c r="L12" s="87">
        <f>SUM(I12:K12)</f>
        <v>6</v>
      </c>
      <c r="O12" s="7" t="str">
        <f>$A$12</f>
        <v>Seattle Downtown</v>
      </c>
      <c r="P12" s="21">
        <f si="1" t="shared"/>
        <v>5</v>
      </c>
      <c r="Q12" s="21">
        <f si="0" t="shared"/>
        <v>0</v>
      </c>
      <c r="R12" s="21">
        <f si="0" t="shared"/>
        <v>1</v>
      </c>
      <c r="S12" s="21">
        <f si="0" t="shared"/>
        <v>6</v>
      </c>
    </row>
    <row r="13" spans="1:19" x14ac:dyDescent="0.25">
      <c r="A13" s="7" t="s">
        <v>259</v>
      </c>
      <c r="B13" s="86">
        <v>2443.4439000000002</v>
      </c>
      <c r="C13" s="86">
        <v>0</v>
      </c>
      <c r="D13" s="86">
        <v>0</v>
      </c>
      <c r="E13" s="83">
        <f>SUM(B13:D13)</f>
        <v>2443.4439000000002</v>
      </c>
      <c r="H13" s="7" t="str">
        <f>$A$13</f>
        <v>Rest</v>
      </c>
      <c r="I13" s="87" t="n">
        <v>3660.0</v>
      </c>
      <c r="J13" s="87" t="n">
        <v>701.0</v>
      </c>
      <c r="K13" s="87" t="n">
        <v>347.0</v>
      </c>
      <c r="L13" s="87">
        <f>SUM(I13:K13)</f>
        <v>5076</v>
      </c>
      <c r="O13" s="7" t="str">
        <f>$A$13</f>
        <v>Rest</v>
      </c>
      <c r="P13" s="21">
        <f si="1" t="shared"/>
        <v>1395.5560999999998</v>
      </c>
      <c r="Q13" s="21">
        <f si="0" t="shared"/>
        <v>825</v>
      </c>
      <c r="R13" s="21">
        <f si="0" t="shared"/>
        <v>412</v>
      </c>
      <c r="S13" s="21">
        <f si="0" t="shared"/>
        <v>2632.5560999999998</v>
      </c>
    </row>
    <row ht="15.75" r="14" spans="1:19" thickBot="1" x14ac:dyDescent="0.3">
      <c r="A14" s="12" t="s">
        <v>3</v>
      </c>
      <c r="B14" s="84">
        <f>SUM(B7:B13)</f>
        <v>2443.4439000000002</v>
      </c>
      <c r="C14" s="84">
        <f ref="C14" si="8" t="shared">SUM(C7:C13)</f>
        <v>0</v>
      </c>
      <c r="D14" s="84">
        <f ref="D14" si="9" t="shared">SUM(D7:D13)</f>
        <v>3515.915</v>
      </c>
      <c r="E14" s="82">
        <f ref="E14" si="10" t="shared">SUM(E7:E13)</f>
        <v>5959.3589000000002</v>
      </c>
      <c r="H14" s="12" t="s">
        <v>3</v>
      </c>
      <c r="I14" s="82">
        <f>SUM(I7:I13)</f>
        <v>4166</v>
      </c>
      <c r="J14" s="82">
        <f ref="J14:L14" si="11" t="shared">SUM(J7:J13)</f>
        <v>878</v>
      </c>
      <c r="K14" s="82">
        <f si="11" t="shared"/>
        <v>534</v>
      </c>
      <c r="L14" s="82">
        <f si="11" t="shared"/>
        <v>5578</v>
      </c>
      <c r="O14" s="12" t="s">
        <v>3</v>
      </c>
      <c r="P14" s="12">
        <f si="1" t="shared"/>
        <v>1722.5560999999998</v>
      </c>
      <c r="Q14" s="12">
        <f si="0" t="shared"/>
        <v>878</v>
      </c>
      <c r="R14" s="12">
        <f si="0" t="shared"/>
        <v>-2981.915</v>
      </c>
      <c r="S14" s="12">
        <f si="0" t="shared"/>
        <v>-381.35890000000018</v>
      </c>
    </row>
    <row r="15" spans="1:19" x14ac:dyDescent="0.25">
      <c r="O15" s="20"/>
      <c r="P15" s="20"/>
      <c r="Q15" s="20"/>
      <c r="R15" s="20"/>
      <c r="S15" s="20"/>
    </row>
    <row ht="15.75" r="16" spans="1:19" thickBot="1" x14ac:dyDescent="0.3">
      <c r="A16" s="4" t="s">
        <v>197</v>
      </c>
      <c r="B16" s="1"/>
      <c r="C16" s="1"/>
      <c r="D16" s="1"/>
      <c r="H16" s="4" t="s">
        <v>31</v>
      </c>
      <c r="I16" s="1"/>
      <c r="J16" s="1"/>
      <c r="K16" s="1"/>
      <c r="O16" s="42" t="s">
        <v>69</v>
      </c>
      <c r="P16" s="24"/>
      <c r="Q16" s="24"/>
      <c r="R16" s="24"/>
      <c r="S16" s="24"/>
    </row>
    <row r="17" spans="1:20" x14ac:dyDescent="0.25">
      <c r="A17" s="2"/>
      <c r="B17" s="5" t="s">
        <v>41</v>
      </c>
      <c r="C17" s="5" t="s">
        <v>42</v>
      </c>
      <c r="D17" s="5" t="s">
        <v>43</v>
      </c>
      <c r="E17" s="3" t="s">
        <v>3</v>
      </c>
      <c r="H17" s="2"/>
      <c r="I17" s="5" t="s">
        <v>41</v>
      </c>
      <c r="J17" s="5" t="s">
        <v>42</v>
      </c>
      <c r="K17" s="5" t="s">
        <v>43</v>
      </c>
      <c r="L17" s="3" t="s">
        <v>3</v>
      </c>
      <c r="O17" s="43"/>
      <c r="P17" s="5" t="s">
        <v>41</v>
      </c>
      <c r="Q17" s="5" t="s">
        <v>42</v>
      </c>
      <c r="R17" s="5" t="s">
        <v>43</v>
      </c>
      <c r="S17" s="44" t="s">
        <v>3</v>
      </c>
    </row>
    <row r="18" spans="1:20" x14ac:dyDescent="0.25">
      <c r="A18" s="15" t="str">
        <f>$A$7</f>
        <v>Bellevue</v>
      </c>
      <c r="B18" s="83" t="n">
        <v>21927.494</v>
      </c>
      <c r="C18" s="83" t="n">
        <v>1905.2952</v>
      </c>
      <c r="D18" s="83" t="n">
        <v>2247.1352</v>
      </c>
      <c r="E18" s="83">
        <f>SUM(B18:D18)</f>
        <v>26079.9244</v>
      </c>
      <c r="H18" s="15" t="str">
        <f>$A$7</f>
        <v>Bellevue</v>
      </c>
      <c r="I18" s="83" t="n">
        <v>24706.0</v>
      </c>
      <c r="J18" s="83" t="n">
        <v>4147.0</v>
      </c>
      <c r="K18" s="83" t="n">
        <v>8745.0</v>
      </c>
      <c r="L18" s="83">
        <f>SUM(I18:K18)</f>
        <v>37631</v>
      </c>
      <c r="O18" s="15" t="str">
        <f>$A$7</f>
        <v>Bellevue</v>
      </c>
      <c r="P18" s="20">
        <f>I18-B18</f>
        <v>2786.5060000000012</v>
      </c>
      <c r="Q18" s="20">
        <f ref="Q18:Q25" si="12" t="shared">J18-C18</f>
        <v>2244.7048</v>
      </c>
      <c r="R18" s="20">
        <f ref="R18:R25" si="13" t="shared">K18-D18</f>
        <v>6519.8647999999994</v>
      </c>
      <c r="S18" s="20">
        <f ref="S18:S25" si="14" t="shared">L18-E18</f>
        <v>11551.0756</v>
      </c>
    </row>
    <row r="19" spans="1:20" x14ac:dyDescent="0.25">
      <c r="A19" t="str">
        <f>$A$8</f>
        <v>Bellevue Downtown</v>
      </c>
      <c r="B19" s="83" t="n">
        <v>164.3246</v>
      </c>
      <c r="C19" s="83" t="n">
        <v>0.0</v>
      </c>
      <c r="D19" s="83" t="n">
        <v>128.3902</v>
      </c>
      <c r="E19" s="83">
        <f>SUM(B19:D19)</f>
        <v>292.71479999999997</v>
      </c>
      <c r="H19" t="str">
        <f>$A$8</f>
        <v>Bellevue Downtown</v>
      </c>
      <c r="I19" s="83" t="n">
        <v>725.0</v>
      </c>
      <c r="J19" s="83" t="n">
        <v>136.0</v>
      </c>
      <c r="K19" s="83" t="n">
        <v>860.0</v>
      </c>
      <c r="L19" s="83">
        <f>SUM(I19:K19)</f>
        <v>1668</v>
      </c>
      <c r="O19" t="str">
        <f>$A$8</f>
        <v>Bellevue Downtown</v>
      </c>
      <c r="P19" s="20">
        <f ref="P19:P25" si="15" t="shared">I19-B19</f>
        <v>542.67539999999997</v>
      </c>
      <c r="Q19" s="20">
        <f si="12" t="shared"/>
        <v>134</v>
      </c>
      <c r="R19" s="20">
        <f si="13" t="shared"/>
        <v>698.60979999999995</v>
      </c>
      <c r="S19" s="20">
        <f si="14" t="shared"/>
        <v>1375.2852</v>
      </c>
    </row>
    <row r="20" spans="1:20" x14ac:dyDescent="0.25">
      <c r="A20" t="str">
        <f>$A$9</f>
        <v>Kirkland</v>
      </c>
      <c r="B20" s="83" t="n">
        <v>15498.8351</v>
      </c>
      <c r="C20" s="83" t="n">
        <v>2170.0193</v>
      </c>
      <c r="D20" s="83" t="n">
        <v>1471.8118</v>
      </c>
      <c r="E20" s="83">
        <f ref="E20:E22" si="16" t="shared">SUM(B20:D20)</f>
        <v>19140.6662</v>
      </c>
      <c r="H20" t="str">
        <f>$A$9</f>
        <v>Kirkland</v>
      </c>
      <c r="I20" s="83" t="n">
        <v>19261.0</v>
      </c>
      <c r="J20" s="83" t="n">
        <v>2865.0</v>
      </c>
      <c r="K20" s="83" t="n">
        <v>8090.0</v>
      </c>
      <c r="L20" s="83">
        <f ref="L20:L22" si="17" t="shared">SUM(I20:K20)</f>
        <v>30179</v>
      </c>
      <c r="O20" t="str">
        <f>$A$9</f>
        <v>Kirkland</v>
      </c>
      <c r="P20" s="20">
        <f ref="P20:P22" si="18" t="shared">I20-B20</f>
        <v>3752.1648999999998</v>
      </c>
      <c r="Q20" s="20">
        <f ref="Q20:Q22" si="19" t="shared">J20-C20</f>
        <v>685.98070000000007</v>
      </c>
      <c r="R20" s="20">
        <f ref="R20:R22" si="20" t="shared">K20-D20</f>
        <v>6600.1882000000005</v>
      </c>
      <c r="S20" s="20">
        <f ref="S20:S22" si="21" t="shared">L20-E20</f>
        <v>11038.3338</v>
      </c>
    </row>
    <row r="21" spans="1:20" x14ac:dyDescent="0.25">
      <c r="A21" t="str">
        <f>$A$10</f>
        <v>Redmond</v>
      </c>
      <c r="B21" s="83" t="n">
        <v>22665.7465</v>
      </c>
      <c r="C21" s="83" t="n">
        <v>3936.452</v>
      </c>
      <c r="D21" s="83" t="n">
        <v>3498.526</v>
      </c>
      <c r="E21" s="83">
        <f si="16" t="shared"/>
        <v>30100.724500000004</v>
      </c>
      <c r="H21" t="str">
        <f>$A$10</f>
        <v>Redmond</v>
      </c>
      <c r="I21" s="83" t="n">
        <v>17520.0</v>
      </c>
      <c r="J21" s="83" t="n">
        <v>2954.0</v>
      </c>
      <c r="K21" s="83" t="n">
        <v>5479.0</v>
      </c>
      <c r="L21" s="83">
        <f si="17" t="shared"/>
        <v>25998</v>
      </c>
      <c r="O21" s="7" t="str">
        <f>$A$10</f>
        <v>Redmond</v>
      </c>
      <c r="P21" s="21">
        <f si="18" t="shared"/>
        <v>-5132.7465000000011</v>
      </c>
      <c r="Q21" s="21">
        <f si="19" t="shared"/>
        <v>-971.45200000000023</v>
      </c>
      <c r="R21" s="21">
        <f si="20" t="shared"/>
        <v>2001.4740000000002</v>
      </c>
      <c r="S21" s="21">
        <f si="21" t="shared"/>
        <v>-4102.7245000000039</v>
      </c>
      <c r="T21" s="7"/>
    </row>
    <row r="22" spans="1:20" x14ac:dyDescent="0.25">
      <c r="A22" t="str">
        <f>$A$11</f>
        <v>Seattle</v>
      </c>
      <c r="B22" s="83" t="n">
        <v>0.0</v>
      </c>
      <c r="C22" s="83" t="n">
        <v>0.0</v>
      </c>
      <c r="D22" s="83" t="n">
        <v>0.0</v>
      </c>
      <c r="E22" s="83">
        <f si="16" t="shared"/>
        <v>0</v>
      </c>
      <c r="H22" t="str">
        <f>$A$11</f>
        <v>Seattle</v>
      </c>
      <c r="I22" s="83" t="n">
        <v>19946.0</v>
      </c>
      <c r="J22" s="83" t="n">
        <v>2973.0</v>
      </c>
      <c r="K22" s="83" t="n">
        <v>11987.0</v>
      </c>
      <c r="L22" s="83">
        <f si="17" t="shared"/>
        <v>36649</v>
      </c>
      <c r="O22" s="7" t="str">
        <f>$A$11</f>
        <v>Seattle</v>
      </c>
      <c r="P22" s="21">
        <f si="18" t="shared"/>
        <v>20847</v>
      </c>
      <c r="Q22" s="21">
        <f si="19" t="shared"/>
        <v>3136</v>
      </c>
      <c r="R22" s="21">
        <f si="20" t="shared"/>
        <v>12666</v>
      </c>
      <c r="S22" s="21">
        <f si="21" t="shared"/>
        <v>36649</v>
      </c>
      <c r="T22" s="7"/>
    </row>
    <row r="23" spans="1:20" x14ac:dyDescent="0.25">
      <c r="A23" s="7" t="str">
        <f>$A$12</f>
        <v>Seattle Downtown</v>
      </c>
      <c r="B23" s="87" t="n">
        <v>0.0</v>
      </c>
      <c r="C23" s="87" t="n">
        <v>0.0</v>
      </c>
      <c r="D23" s="87" t="n">
        <v>0.0</v>
      </c>
      <c r="E23" s="87">
        <f>SUM(B23:D23)</f>
        <v>0</v>
      </c>
      <c r="H23" s="7" t="str">
        <f>$A$12</f>
        <v>Seattle Downtown</v>
      </c>
      <c r="I23" s="87" t="n">
        <v>334.0</v>
      </c>
      <c r="J23" s="87" t="n">
        <v>30.0</v>
      </c>
      <c r="K23" s="87" t="n">
        <v>754.0</v>
      </c>
      <c r="L23" s="87">
        <f>SUM(I23:K23)</f>
        <v>1139</v>
      </c>
      <c r="O23" s="7" t="str">
        <f>$A$12</f>
        <v>Seattle Downtown</v>
      </c>
      <c r="P23" s="21">
        <f si="15" t="shared"/>
        <v>335</v>
      </c>
      <c r="Q23" s="21">
        <f si="12" t="shared"/>
        <v>36</v>
      </c>
      <c r="R23" s="21">
        <f si="13" t="shared"/>
        <v>768</v>
      </c>
      <c r="S23" s="21">
        <f si="14" t="shared"/>
        <v>1139</v>
      </c>
      <c r="T23" s="7"/>
    </row>
    <row r="24" spans="1:20" x14ac:dyDescent="0.25">
      <c r="A24" s="7" t="str">
        <f>$A$13</f>
        <v>Rest</v>
      </c>
      <c r="B24" s="86" t="n">
        <v>0.0</v>
      </c>
      <c r="C24" s="86" t="n">
        <v>0.0</v>
      </c>
      <c r="D24" s="86" t="n">
        <v>0.0</v>
      </c>
      <c r="E24" s="86">
        <f>SUM(B24:D24)</f>
        <v>0</v>
      </c>
      <c r="H24" s="7" t="str">
        <f>$A$13</f>
        <v>Rest</v>
      </c>
      <c r="I24" s="87" t="n">
        <v>96343.0</v>
      </c>
      <c r="J24" s="87" t="n">
        <v>17010.0</v>
      </c>
      <c r="K24" s="87" t="n">
        <v>33854.0</v>
      </c>
      <c r="L24" s="87">
        <f>SUM(I24:K24)</f>
        <v>152211</v>
      </c>
      <c r="O24" s="7" t="str">
        <f>$A$13</f>
        <v>Rest</v>
      </c>
      <c r="P24" s="21">
        <f si="15" t="shared"/>
        <v>99233</v>
      </c>
      <c r="Q24" s="21">
        <f si="12" t="shared"/>
        <v>17592</v>
      </c>
      <c r="R24" s="21">
        <f si="13" t="shared"/>
        <v>35386</v>
      </c>
      <c r="S24" s="21">
        <f si="14" t="shared"/>
        <v>152211</v>
      </c>
      <c r="T24" s="7"/>
    </row>
    <row ht="15.75" r="25" spans="1:20" thickBot="1" x14ac:dyDescent="0.3">
      <c r="A25" s="12" t="s">
        <v>3</v>
      </c>
      <c r="B25" s="84">
        <f>SUM(B18:B24)</f>
        <v>60256.400199999996</v>
      </c>
      <c r="C25" s="84">
        <f ref="C25" si="22" t="shared">SUM(C18:C24)</f>
        <v>8011.7664999999997</v>
      </c>
      <c r="D25" s="84">
        <f ref="D25" si="23" t="shared">SUM(D18:D24)</f>
        <v>7345.8631999999998</v>
      </c>
      <c r="E25" s="84">
        <f ref="E25" si="24" t="shared">SUM(E18:E24)</f>
        <v>75614.029899999994</v>
      </c>
      <c r="H25" s="12" t="s">
        <v>3</v>
      </c>
      <c r="I25" s="82">
        <f>SUM(I18:I24)</f>
        <v>182620</v>
      </c>
      <c r="J25" s="82">
        <f ref="J25" si="25" t="shared">SUM(J18:J24)</f>
        <v>30869</v>
      </c>
      <c r="K25" s="82">
        <f ref="K25" si="26" t="shared">SUM(K18:K24)</f>
        <v>71986</v>
      </c>
      <c r="L25" s="82">
        <f ref="L25" si="27" t="shared">SUM(L18:L24)</f>
        <v>285475</v>
      </c>
      <c r="O25" s="12" t="s">
        <v>3</v>
      </c>
      <c r="P25" s="12">
        <f si="15" t="shared"/>
        <v>122363.5998</v>
      </c>
      <c r="Q25" s="12">
        <f si="12" t="shared"/>
        <v>22857.233500000002</v>
      </c>
      <c r="R25" s="12">
        <f si="13" t="shared"/>
        <v>64640.1368</v>
      </c>
      <c r="S25" s="12">
        <f si="14" t="shared"/>
        <v>209860.97010000001</v>
      </c>
      <c r="T25" s="7"/>
    </row>
    <row ht="15.75" r="27" spans="1:20" thickBot="1" x14ac:dyDescent="0.3">
      <c r="A27" s="4" t="s">
        <v>198</v>
      </c>
      <c r="B27" s="1"/>
      <c r="C27" s="1"/>
      <c r="D27" s="1"/>
      <c r="H27" s="4" t="s">
        <v>33</v>
      </c>
      <c r="I27" s="1"/>
      <c r="J27" s="1"/>
      <c r="K27" s="1"/>
      <c r="O27" s="4" t="s">
        <v>70</v>
      </c>
      <c r="P27" s="1"/>
      <c r="Q27" s="1"/>
      <c r="R27" s="1"/>
      <c r="S27" s="1"/>
    </row>
    <row r="28" spans="1:20" x14ac:dyDescent="0.25">
      <c r="A28" s="2"/>
      <c r="B28" s="5" t="s">
        <v>41</v>
      </c>
      <c r="C28" s="5" t="s">
        <v>42</v>
      </c>
      <c r="D28" s="5" t="s">
        <v>43</v>
      </c>
      <c r="E28" s="3" t="s">
        <v>3</v>
      </c>
      <c r="H28" s="2"/>
      <c r="I28" s="5" t="s">
        <v>41</v>
      </c>
      <c r="J28" s="5" t="s">
        <v>42</v>
      </c>
      <c r="K28" s="5" t="s">
        <v>43</v>
      </c>
      <c r="L28" s="3" t="s">
        <v>3</v>
      </c>
      <c r="O28" s="2"/>
      <c r="P28" s="5" t="s">
        <v>41</v>
      </c>
      <c r="Q28" s="5" t="s">
        <v>42</v>
      </c>
      <c r="R28" s="5" t="s">
        <v>43</v>
      </c>
      <c r="S28" s="3" t="s">
        <v>3</v>
      </c>
    </row>
    <row r="29" spans="1:20" x14ac:dyDescent="0.25">
      <c r="A29" s="15" t="str">
        <f>$A$7</f>
        <v>Bellevue</v>
      </c>
      <c r="B29" s="16">
        <f ref="B29:E29" si="28" t="shared">IF(B18&lt;&gt;0,B7/B18,0)</f>
        <v>0</v>
      </c>
      <c r="C29" s="16">
        <f si="28" t="shared"/>
        <v>0</v>
      </c>
      <c r="D29" s="16">
        <f si="28" t="shared"/>
        <v>0</v>
      </c>
      <c r="E29" s="16">
        <f si="28" t="shared"/>
        <v>0</v>
      </c>
      <c r="H29" s="15" t="str">
        <f>$A$7</f>
        <v>Bellevue</v>
      </c>
      <c r="I29" s="16">
        <f ref="I29:L30" si="29" t="shared">IF(I18&lt;&gt;0,I7/I18,0)</f>
        <v>2.3063850449138142E-3</v>
      </c>
      <c r="J29" s="16">
        <f si="29" t="shared"/>
        <v>2.1686746987951808E-3</v>
      </c>
      <c r="K29" s="16">
        <f si="29" t="shared"/>
        <v>2.9656667046880345E-3</v>
      </c>
      <c r="L29" s="16">
        <f si="29" t="shared"/>
        <v>2.444792856953044E-3</v>
      </c>
      <c r="O29" s="15" t="str">
        <f>$A$7</f>
        <v>Bellevue</v>
      </c>
      <c r="P29" s="26">
        <f ref="P29:S36" si="30" t="shared">I29-B29</f>
        <v>2.3063850449138142E-3</v>
      </c>
      <c r="Q29" s="26">
        <f si="30" t="shared"/>
        <v>2.1686746987951808E-3</v>
      </c>
      <c r="R29" s="26">
        <f si="30" t="shared"/>
        <v>2.9656667046880345E-3</v>
      </c>
      <c r="S29" s="26">
        <f si="30" t="shared"/>
        <v>2.444792856953044E-3</v>
      </c>
    </row>
    <row r="30" spans="1:20" x14ac:dyDescent="0.25">
      <c r="A30" t="str">
        <f>$A$8</f>
        <v>Bellevue Downtown</v>
      </c>
      <c r="B30" s="16">
        <f ref="B30:E30" si="31" t="shared">IF(B19&lt;&gt;0,B8/B19,0)</f>
        <v>0</v>
      </c>
      <c r="C30" s="16">
        <f si="31" t="shared"/>
        <v>0</v>
      </c>
      <c r="D30" s="16">
        <f si="31" t="shared"/>
        <v>0</v>
      </c>
      <c r="E30" s="16">
        <f si="31" t="shared"/>
        <v>0</v>
      </c>
      <c r="H30" t="str">
        <f>$A$8</f>
        <v>Bellevue Downtown</v>
      </c>
      <c r="I30" s="16">
        <f si="29" t="shared"/>
        <v>0</v>
      </c>
      <c r="J30" s="16">
        <f si="29" t="shared"/>
        <v>0</v>
      </c>
      <c r="K30" s="16">
        <f si="29" t="shared"/>
        <v>3.6275695284159614E-3</v>
      </c>
      <c r="L30" s="16">
        <f si="29" t="shared"/>
        <v>1.7985611510791368E-3</v>
      </c>
      <c r="O30" t="str">
        <f>$A$8</f>
        <v>Bellevue Downtown</v>
      </c>
      <c r="P30" s="26">
        <f si="30" t="shared"/>
        <v>0</v>
      </c>
      <c r="Q30" s="26">
        <f si="30" t="shared"/>
        <v>0</v>
      </c>
      <c r="R30" s="26">
        <f si="30" t="shared"/>
        <v>3.6275695284159614E-3</v>
      </c>
      <c r="S30" s="26">
        <f si="30" t="shared"/>
        <v>1.7985611510791368E-3</v>
      </c>
    </row>
    <row r="31" spans="1:20" x14ac:dyDescent="0.25">
      <c r="A31" t="str">
        <f>$A$9</f>
        <v>Kirkland</v>
      </c>
      <c r="B31" s="16">
        <f ref="B31:E31" si="32" t="shared">IF(B20&lt;&gt;0,B9/B20,0)</f>
        <v>0</v>
      </c>
      <c r="C31" s="16">
        <f si="32" t="shared"/>
        <v>0</v>
      </c>
      <c r="D31" s="16">
        <f si="32" t="shared"/>
        <v>0</v>
      </c>
      <c r="E31" s="16">
        <f si="32" t="shared"/>
        <v>0</v>
      </c>
      <c r="H31" t="str">
        <f>$A$9</f>
        <v>Kirkland</v>
      </c>
      <c r="I31" s="16">
        <f ref="I31:L31" si="33" t="shared">IF(I20&lt;&gt;0,I9/I20,0)</f>
        <v>2.1297594930133499E-3</v>
      </c>
      <c r="J31" s="16">
        <f si="33" t="shared"/>
        <v>1.7507002801120449E-3</v>
      </c>
      <c r="K31" s="16">
        <f si="33" t="shared"/>
        <v>3.4687809712586719E-3</v>
      </c>
      <c r="L31" s="16">
        <f si="33" t="shared"/>
        <v>2.4520361841015277E-3</v>
      </c>
      <c r="O31" t="str">
        <f>$A$9</f>
        <v>Kirkland</v>
      </c>
      <c r="P31" s="26">
        <f ref="P31:P33" si="34" t="shared">I31-B31</f>
        <v>2.1297594930133499E-3</v>
      </c>
      <c r="Q31" s="26">
        <f ref="Q31:Q33" si="35" t="shared">J31-C31</f>
        <v>1.7507002801120449E-3</v>
      </c>
      <c r="R31" s="26">
        <f ref="R31:R33" si="36" t="shared">K31-D31</f>
        <v>3.4687809712586719E-3</v>
      </c>
      <c r="S31" s="26">
        <f ref="S31:S33" si="37" t="shared">L31-E31</f>
        <v>2.4520361841015277E-3</v>
      </c>
    </row>
    <row r="32" spans="1:20" x14ac:dyDescent="0.25">
      <c r="A32" t="str">
        <f>$A$10</f>
        <v>Redmond</v>
      </c>
      <c r="B32" s="16">
        <f ref="B32:E32" si="38" t="shared">IF(B21&lt;&gt;0,B10/B21,0)</f>
        <v>0</v>
      </c>
      <c r="C32" s="16">
        <f si="38" t="shared"/>
        <v>0</v>
      </c>
      <c r="D32" s="16">
        <f si="38" t="shared"/>
        <v>0</v>
      </c>
      <c r="E32" s="16">
        <f si="38" t="shared"/>
        <v>0</v>
      </c>
      <c r="H32" t="str">
        <f>$A$10</f>
        <v>Redmond</v>
      </c>
      <c r="I32" s="16">
        <f ref="I32:L32" si="39" t="shared">IF(I21&lt;&gt;0,I10/I21,0)</f>
        <v>4.6198596931500595E-3</v>
      </c>
      <c r="J32" s="16">
        <f si="39" t="shared"/>
        <v>7.4198988195615517E-3</v>
      </c>
      <c r="K32" s="16">
        <f si="39" t="shared"/>
        <v>8.7272727272727276E-3</v>
      </c>
      <c r="L32" s="16">
        <f si="39" t="shared"/>
        <v>5.8081390876221252E-3</v>
      </c>
      <c r="O32" t="str">
        <f>$A$10</f>
        <v>Redmond</v>
      </c>
      <c r="P32" s="26">
        <f si="34" t="shared"/>
        <v>4.6198596931500595E-3</v>
      </c>
      <c r="Q32" s="26">
        <f si="35" t="shared"/>
        <v>7.4198988195615517E-3</v>
      </c>
      <c r="R32" s="26">
        <f si="36" t="shared"/>
        <v>8.7272727272727276E-3</v>
      </c>
      <c r="S32" s="26">
        <f si="37" t="shared"/>
        <v>5.8081390876221252E-3</v>
      </c>
    </row>
    <row r="33" spans="1:19" x14ac:dyDescent="0.25">
      <c r="A33" s="7" t="str">
        <f>$A$11</f>
        <v>Seattle</v>
      </c>
      <c r="B33" s="50">
        <f ref="B33:E33" si="40" t="shared">IF(B22&lt;&gt;0,B11/B22,0)</f>
        <v>0</v>
      </c>
      <c r="C33" s="50">
        <f si="40" t="shared"/>
        <v>0</v>
      </c>
      <c r="D33" s="50">
        <f si="40" t="shared"/>
        <v>0</v>
      </c>
      <c r="E33" s="50">
        <f si="40" t="shared"/>
        <v>0</v>
      </c>
      <c r="H33" s="7" t="str">
        <f>$A$11</f>
        <v>Seattle</v>
      </c>
      <c r="I33" s="50">
        <f ref="I33:L33" si="41" t="shared">IF(I22&lt;&gt;0,I11/I22,0)</f>
        <v>6.8595001678898645E-3</v>
      </c>
      <c r="J33" s="50">
        <f si="41" t="shared"/>
        <v>5.4209183673469387E-3</v>
      </c>
      <c r="K33" s="50">
        <f si="41" t="shared"/>
        <v>1.2632243802305385E-3</v>
      </c>
      <c r="L33" s="50">
        <f si="41" t="shared"/>
        <v>4.8023138421239321E-3</v>
      </c>
      <c r="O33" s="7" t="str">
        <f>$A$11</f>
        <v>Seattle</v>
      </c>
      <c r="P33" s="51">
        <f si="34" t="shared"/>
        <v>6.8595001678898645E-3</v>
      </c>
      <c r="Q33" s="51">
        <f si="35" t="shared"/>
        <v>5.4209183673469387E-3</v>
      </c>
      <c r="R33" s="51">
        <f si="36" t="shared"/>
        <v>1.2632243802305385E-3</v>
      </c>
      <c r="S33" s="51">
        <f si="37" t="shared"/>
        <v>4.8023138421239321E-3</v>
      </c>
    </row>
    <row r="34" spans="1:19" x14ac:dyDescent="0.25">
      <c r="A34" s="7" t="str">
        <f>$A$12</f>
        <v>Seattle Downtown</v>
      </c>
      <c r="B34" s="50">
        <f ref="B34:E35" si="42" t="shared">IF(B23&lt;&gt;0,B12/B23,0)</f>
        <v>0</v>
      </c>
      <c r="C34" s="50">
        <f si="42" t="shared"/>
        <v>0</v>
      </c>
      <c r="D34" s="50">
        <f si="42" t="shared"/>
        <v>0</v>
      </c>
      <c r="E34" s="50">
        <f si="42" t="shared"/>
        <v>0</v>
      </c>
      <c r="H34" s="7" t="str">
        <f>$A$12</f>
        <v>Seattle Downtown</v>
      </c>
      <c r="I34" s="50">
        <f ref="I34:L35" si="43" t="shared">IF(I23&lt;&gt;0,I12/I23,0)</f>
        <v>1.4925373134328358E-2</v>
      </c>
      <c r="J34" s="50">
        <f si="43" t="shared"/>
        <v>0</v>
      </c>
      <c r="K34" s="50">
        <f si="43" t="shared"/>
        <v>1.3020833333333333E-3</v>
      </c>
      <c r="L34" s="50">
        <f si="43" t="shared"/>
        <v>5.2677787532923615E-3</v>
      </c>
      <c r="O34" s="7" t="str">
        <f>$A$12</f>
        <v>Seattle Downtown</v>
      </c>
      <c r="P34" s="51">
        <f si="30" t="shared"/>
        <v>1.4925373134328358E-2</v>
      </c>
      <c r="Q34" s="51">
        <f si="30" t="shared"/>
        <v>0</v>
      </c>
      <c r="R34" s="51">
        <f si="30" t="shared"/>
        <v>1.3020833333333333E-3</v>
      </c>
      <c r="S34" s="51">
        <f si="30" t="shared"/>
        <v>5.2677787532923615E-3</v>
      </c>
    </row>
    <row r="35" spans="1:19" x14ac:dyDescent="0.25">
      <c r="A35" s="7" t="str">
        <f>$A$13</f>
        <v>Rest</v>
      </c>
      <c r="B35" s="50">
        <f si="42" t="shared"/>
        <v>0</v>
      </c>
      <c r="C35" s="50">
        <f si="42" t="shared"/>
        <v>0</v>
      </c>
      <c r="D35" s="50">
        <f si="42" t="shared"/>
        <v>0</v>
      </c>
      <c r="E35" s="50">
        <f si="42" t="shared"/>
        <v>0</v>
      </c>
      <c r="H35" s="7" t="str">
        <f>$A$13</f>
        <v>Rest</v>
      </c>
      <c r="I35" s="50">
        <f si="43" t="shared"/>
        <v>3.8686727197605637E-2</v>
      </c>
      <c r="J35" s="50">
        <f si="43" t="shared"/>
        <v>4.6896316507503408E-2</v>
      </c>
      <c r="K35" s="50">
        <f si="43" t="shared"/>
        <v>1.1643022664330526E-2</v>
      </c>
      <c r="L35" s="50">
        <f si="43" t="shared"/>
        <v>3.3348443936377793E-2</v>
      </c>
      <c r="O35" s="7" t="str">
        <f>$A$13</f>
        <v>Rest</v>
      </c>
      <c r="P35" s="51">
        <f si="30" t="shared"/>
        <v>3.8686727197605637E-2</v>
      </c>
      <c r="Q35" s="51">
        <f si="30" t="shared"/>
        <v>4.6896316507503408E-2</v>
      </c>
      <c r="R35" s="51">
        <f si="30" t="shared"/>
        <v>1.1643022664330526E-2</v>
      </c>
      <c r="S35" s="51">
        <f si="30" t="shared"/>
        <v>3.3348443936377793E-2</v>
      </c>
    </row>
    <row ht="15.75" r="36" spans="1:19" thickBot="1" x14ac:dyDescent="0.3">
      <c r="A36" s="12" t="s">
        <v>3</v>
      </c>
      <c r="B36" s="17">
        <f>IF(B25&lt;&gt;0,B14/B25,0)</f>
        <v>4.0550777874048975E-2</v>
      </c>
      <c r="C36" s="17">
        <f ref="C36:E36" si="44" t="shared">IF(C25&lt;&gt;0,C14/C25,0)</f>
        <v>0</v>
      </c>
      <c r="D36" s="17">
        <f si="44" t="shared"/>
        <v>0.47862516688304241</v>
      </c>
      <c r="E36" s="17">
        <f si="44" t="shared"/>
        <v>7.8812872530154621E-2</v>
      </c>
      <c r="H36" s="12" t="s">
        <v>3</v>
      </c>
      <c r="I36" s="17">
        <f>IF(I25&lt;&gt;0,I14/I25,0)</f>
        <v>2.2812397327784471E-2</v>
      </c>
      <c r="J36" s="17">
        <f ref="J36:L36" si="45" t="shared">IF(J25&lt;&gt;0,J14/J25,0)</f>
        <v>2.8442774304318248E-2</v>
      </c>
      <c r="K36" s="17">
        <f si="45" t="shared"/>
        <v>7.4181090767649269E-3</v>
      </c>
      <c r="L36" s="17">
        <f si="45" t="shared"/>
        <v>1.9539364217532183E-2</v>
      </c>
      <c r="O36" s="12" t="s">
        <v>3</v>
      </c>
      <c r="P36" s="45">
        <f si="30" t="shared"/>
        <v>-1.7738380546264504E-2</v>
      </c>
      <c r="Q36" s="45">
        <f ref="Q36" si="46" t="shared">J36-C36</f>
        <v>2.8442774304318248E-2</v>
      </c>
      <c r="R36" s="45">
        <f ref="R36" si="47" t="shared">K36-D36</f>
        <v>-0.47120705780627747</v>
      </c>
      <c r="S36" s="45">
        <f ref="S36" si="48" t="shared">L36-E36</f>
        <v>-5.9273508312622437E-2</v>
      </c>
    </row>
  </sheetData>
  <pageMargins bottom="0.75" footer="0.3" header="0.3" left="0.7" right="0.7" top="0.75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E35"/>
  <sheetViews>
    <sheetView workbookViewId="0">
      <selection activeCell="B16" sqref="B16"/>
    </sheetView>
  </sheetViews>
  <sheetFormatPr defaultRowHeight="15" x14ac:dyDescent="0.25"/>
  <cols>
    <col min="3" max="3" bestFit="true" customWidth="true" width="27.42578125" collapsed="true"/>
  </cols>
  <sheetData>
    <row r="1" spans="1:2" x14ac:dyDescent="0.25">
      <c r="A1" s="11" t="s">
        <v>44</v>
      </c>
    </row>
    <row r="2" spans="1:2" x14ac:dyDescent="0.25">
      <c r="A2" s="41"/>
    </row>
    <row r="3" spans="1:2" x14ac:dyDescent="0.25">
      <c r="A3" s="11"/>
    </row>
    <row r="12" spans="1:2" x14ac:dyDescent="0.25">
      <c r="A12" s="11" t="s">
        <v>45</v>
      </c>
    </row>
    <row r="13" spans="1:2" x14ac:dyDescent="0.25">
      <c r="A13">
        <v>1</v>
      </c>
      <c r="B13" t="s">
        <v>46</v>
      </c>
    </row>
    <row r="15" spans="1:2" x14ac:dyDescent="0.25">
      <c r="A15">
        <v>2</v>
      </c>
      <c r="B15" t="s">
        <v>47</v>
      </c>
    </row>
    <row r="16" spans="1:2" x14ac:dyDescent="0.25">
      <c r="B16" t="s">
        <v>48</v>
      </c>
    </row>
    <row r="18" spans="1:4" x14ac:dyDescent="0.25">
      <c r="A18">
        <v>3</v>
      </c>
      <c r="B18" t="s">
        <v>49</v>
      </c>
    </row>
    <row r="19" spans="1:4" x14ac:dyDescent="0.25">
      <c r="B19" t="s">
        <v>50</v>
      </c>
    </row>
    <row r="20" spans="1:4" x14ac:dyDescent="0.25">
      <c r="B20" t="s">
        <v>51</v>
      </c>
      <c r="C20" t="s">
        <v>54</v>
      </c>
      <c r="D20" t="s">
        <v>57</v>
      </c>
    </row>
    <row r="21" spans="1:4" x14ac:dyDescent="0.25">
      <c r="B21" t="s">
        <v>41</v>
      </c>
      <c r="C21" t="s">
        <v>53</v>
      </c>
      <c r="D21" t="s">
        <v>58</v>
      </c>
    </row>
    <row r="22" spans="1:4" x14ac:dyDescent="0.25">
      <c r="B22" t="s">
        <v>42</v>
      </c>
      <c r="C22" t="s">
        <v>55</v>
      </c>
      <c r="D22" t="s">
        <v>59</v>
      </c>
    </row>
    <row r="23" spans="1:4" x14ac:dyDescent="0.25">
      <c r="B23" t="s">
        <v>52</v>
      </c>
      <c r="C23" t="s">
        <v>56</v>
      </c>
      <c r="D23" t="s">
        <v>60</v>
      </c>
    </row>
    <row r="25" spans="1:4" x14ac:dyDescent="0.25">
      <c r="A25" s="11" t="s">
        <v>61</v>
      </c>
    </row>
    <row r="26" spans="1:4" x14ac:dyDescent="0.25">
      <c r="A26">
        <v>1</v>
      </c>
      <c r="B26" t="s">
        <v>62</v>
      </c>
    </row>
    <row r="28" spans="1:4" x14ac:dyDescent="0.25">
      <c r="A28">
        <v>2</v>
      </c>
      <c r="B28" t="s">
        <v>63</v>
      </c>
    </row>
    <row r="30" spans="1:4" x14ac:dyDescent="0.25">
      <c r="A30" s="11" t="s">
        <v>64</v>
      </c>
    </row>
    <row r="31" spans="1:4" x14ac:dyDescent="0.25">
      <c r="A31">
        <v>1</v>
      </c>
      <c r="B31" t="s">
        <v>65</v>
      </c>
    </row>
    <row r="33" spans="1:2" x14ac:dyDescent="0.25">
      <c r="A33" s="11">
        <v>2</v>
      </c>
      <c r="B33" t="s">
        <v>66</v>
      </c>
    </row>
    <row r="35" spans="1:2" x14ac:dyDescent="0.25">
      <c r="A35">
        <v>3</v>
      </c>
      <c r="B35" t="s">
        <v>67</v>
      </c>
    </row>
  </sheetData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G61"/>
  <sheetViews>
    <sheetView workbookViewId="0">
      <selection activeCell="A32" sqref="A32:E32"/>
    </sheetView>
  </sheetViews>
  <sheetFormatPr defaultRowHeight="15" x14ac:dyDescent="0.25"/>
  <sheetData>
    <row r="1" spans="1:6" x14ac:dyDescent="0.25">
      <c r="A1" t="s">
        <v>133</v>
      </c>
      <c r="B1" t="s">
        <v>135</v>
      </c>
      <c r="F1" t="s">
        <v>134</v>
      </c>
    </row>
    <row r="2" spans="1:6" x14ac:dyDescent="0.25">
      <c r="A2">
        <v>1</v>
      </c>
      <c r="B2" t="s">
        <v>71</v>
      </c>
      <c r="C2" t="s">
        <v>72</v>
      </c>
      <c r="D2">
        <v>1</v>
      </c>
      <c r="E2">
        <v>0</v>
      </c>
      <c r="F2" t="s">
        <v>138</v>
      </c>
    </row>
    <row r="3" spans="1:6" x14ac:dyDescent="0.25">
      <c r="A3">
        <v>2</v>
      </c>
      <c r="B3" t="s">
        <v>73</v>
      </c>
      <c r="C3" t="s">
        <v>72</v>
      </c>
      <c r="D3">
        <v>1</v>
      </c>
      <c r="E3">
        <v>0</v>
      </c>
      <c r="F3" t="s">
        <v>139</v>
      </c>
    </row>
    <row r="4" spans="1:6" x14ac:dyDescent="0.25">
      <c r="A4">
        <v>3</v>
      </c>
      <c r="B4" t="s">
        <v>74</v>
      </c>
      <c r="C4" t="s">
        <v>72</v>
      </c>
      <c r="D4">
        <v>1</v>
      </c>
      <c r="E4">
        <v>0</v>
      </c>
      <c r="F4" t="s">
        <v>140</v>
      </c>
    </row>
    <row r="5" spans="1:6" x14ac:dyDescent="0.25">
      <c r="A5">
        <v>4</v>
      </c>
      <c r="B5" t="s">
        <v>75</v>
      </c>
      <c r="C5" t="s">
        <v>72</v>
      </c>
      <c r="D5">
        <v>0.5</v>
      </c>
      <c r="E5">
        <v>0</v>
      </c>
      <c r="F5" t="s">
        <v>141</v>
      </c>
    </row>
    <row r="6" spans="1:6" x14ac:dyDescent="0.25">
      <c r="A6">
        <v>5</v>
      </c>
      <c r="B6" t="s">
        <v>76</v>
      </c>
      <c r="C6" t="s">
        <v>72</v>
      </c>
      <c r="D6">
        <v>0.1</v>
      </c>
      <c r="E6">
        <v>0</v>
      </c>
      <c r="F6" t="s">
        <v>142</v>
      </c>
    </row>
    <row r="7" spans="1:6" x14ac:dyDescent="0.25">
      <c r="A7">
        <v>6</v>
      </c>
      <c r="B7" t="s">
        <v>77</v>
      </c>
      <c r="C7" t="s">
        <v>72</v>
      </c>
      <c r="D7">
        <v>1</v>
      </c>
      <c r="E7">
        <v>0</v>
      </c>
      <c r="F7" t="s">
        <v>188</v>
      </c>
    </row>
    <row r="8" spans="1:6" x14ac:dyDescent="0.25">
      <c r="A8">
        <v>7</v>
      </c>
      <c r="B8" t="s">
        <v>78</v>
      </c>
      <c r="C8" t="s">
        <v>72</v>
      </c>
      <c r="D8">
        <v>-21.977719252</v>
      </c>
      <c r="E8">
        <v>0</v>
      </c>
      <c r="F8" t="s">
        <v>143</v>
      </c>
    </row>
    <row r="9" spans="1:6" x14ac:dyDescent="0.25">
      <c r="A9">
        <v>8</v>
      </c>
      <c r="B9" t="s">
        <v>79</v>
      </c>
      <c r="C9" t="s">
        <v>72</v>
      </c>
      <c r="D9">
        <v>-1.4857940511400001</v>
      </c>
      <c r="E9">
        <v>0</v>
      </c>
      <c r="F9" t="s">
        <v>144</v>
      </c>
    </row>
    <row r="10" spans="1:6" x14ac:dyDescent="0.25">
      <c r="A10">
        <v>9</v>
      </c>
      <c r="B10" t="s">
        <v>80</v>
      </c>
      <c r="C10" t="s">
        <v>72</v>
      </c>
      <c r="D10">
        <v>-4.85028348146</v>
      </c>
      <c r="E10">
        <v>0</v>
      </c>
      <c r="F10" t="s">
        <v>145</v>
      </c>
    </row>
    <row r="11" spans="1:6" x14ac:dyDescent="0.25">
      <c r="A11">
        <v>10</v>
      </c>
      <c r="B11" t="s">
        <v>81</v>
      </c>
      <c r="C11" t="s">
        <v>72</v>
      </c>
      <c r="D11">
        <v>-15.3921330935</v>
      </c>
      <c r="E11">
        <v>0</v>
      </c>
      <c r="F11" t="s">
        <v>146</v>
      </c>
    </row>
    <row r="12" spans="1:6" x14ac:dyDescent="0.25">
      <c r="A12">
        <v>11</v>
      </c>
      <c r="B12" t="s">
        <v>82</v>
      </c>
      <c r="C12" t="s">
        <v>72</v>
      </c>
      <c r="D12">
        <v>-11.245247773539999</v>
      </c>
      <c r="E12">
        <v>0</v>
      </c>
      <c r="F12" t="s">
        <v>147</v>
      </c>
    </row>
    <row r="13" spans="1:6" x14ac:dyDescent="0.25">
      <c r="A13">
        <v>12</v>
      </c>
      <c r="B13" t="s">
        <v>83</v>
      </c>
      <c r="C13" t="s">
        <v>72</v>
      </c>
      <c r="D13">
        <v>-4.2752113423699996</v>
      </c>
      <c r="E13">
        <v>0</v>
      </c>
      <c r="F13" t="s">
        <v>148</v>
      </c>
    </row>
    <row r="14" spans="1:6" x14ac:dyDescent="0.25">
      <c r="A14">
        <v>13</v>
      </c>
      <c r="B14" t="s">
        <v>84</v>
      </c>
      <c r="C14" t="s">
        <v>72</v>
      </c>
      <c r="D14">
        <v>-6.5192578502799998</v>
      </c>
      <c r="E14">
        <v>0</v>
      </c>
      <c r="F14" t="s">
        <v>149</v>
      </c>
    </row>
    <row r="15" spans="1:6" x14ac:dyDescent="0.25">
      <c r="A15">
        <v>14</v>
      </c>
      <c r="B15" t="s">
        <v>85</v>
      </c>
      <c r="C15" t="s">
        <v>72</v>
      </c>
      <c r="D15">
        <v>-3.04866060786</v>
      </c>
      <c r="E15">
        <v>0</v>
      </c>
      <c r="F15" t="s">
        <v>150</v>
      </c>
    </row>
    <row r="16" spans="1:6" x14ac:dyDescent="0.25">
      <c r="A16">
        <v>15</v>
      </c>
      <c r="B16" t="s">
        <v>86</v>
      </c>
      <c r="C16" t="s">
        <v>72</v>
      </c>
      <c r="D16">
        <v>0</v>
      </c>
      <c r="E16">
        <v>0</v>
      </c>
      <c r="F16" t="s">
        <v>189</v>
      </c>
    </row>
    <row r="17" spans="1:6" x14ac:dyDescent="0.25">
      <c r="A17">
        <v>16</v>
      </c>
      <c r="B17" t="s">
        <v>87</v>
      </c>
      <c r="C17" t="s">
        <v>72</v>
      </c>
      <c r="D17">
        <v>-2.2084934246199999</v>
      </c>
      <c r="E17">
        <v>0</v>
      </c>
      <c r="F17" t="s">
        <v>190</v>
      </c>
    </row>
    <row r="18" spans="1:6" x14ac:dyDescent="0.25">
      <c r="A18">
        <v>17</v>
      </c>
      <c r="B18" t="s">
        <v>88</v>
      </c>
      <c r="C18" t="s">
        <v>72</v>
      </c>
      <c r="D18">
        <v>0</v>
      </c>
      <c r="E18">
        <v>0</v>
      </c>
      <c r="F18" t="s">
        <v>151</v>
      </c>
    </row>
    <row r="19" spans="1:6" x14ac:dyDescent="0.25">
      <c r="A19">
        <v>18</v>
      </c>
      <c r="B19" t="s">
        <v>89</v>
      </c>
      <c r="C19" t="s">
        <v>72</v>
      </c>
      <c r="D19">
        <v>0</v>
      </c>
      <c r="E19">
        <v>0</v>
      </c>
      <c r="F19" t="s">
        <v>152</v>
      </c>
    </row>
    <row r="20" spans="1:6" x14ac:dyDescent="0.25">
      <c r="A20">
        <v>19</v>
      </c>
      <c r="B20" t="s">
        <v>90</v>
      </c>
      <c r="C20" t="s">
        <v>72</v>
      </c>
      <c r="D20">
        <v>0</v>
      </c>
      <c r="E20">
        <v>0</v>
      </c>
      <c r="F20" t="s">
        <v>153</v>
      </c>
    </row>
    <row r="21" spans="1:6" x14ac:dyDescent="0.25">
      <c r="A21">
        <v>20</v>
      </c>
      <c r="B21" t="s">
        <v>91</v>
      </c>
      <c r="C21" t="s">
        <v>72</v>
      </c>
      <c r="D21">
        <v>0</v>
      </c>
      <c r="E21">
        <v>0</v>
      </c>
      <c r="F21" t="s">
        <v>154</v>
      </c>
    </row>
    <row r="22" spans="1:6" x14ac:dyDescent="0.25">
      <c r="A22">
        <v>21</v>
      </c>
      <c r="B22" t="s">
        <v>92</v>
      </c>
      <c r="C22" t="s">
        <v>72</v>
      </c>
      <c r="D22">
        <v>0</v>
      </c>
      <c r="E22">
        <v>0</v>
      </c>
      <c r="F22" t="s">
        <v>191</v>
      </c>
    </row>
    <row r="23" spans="1:6" x14ac:dyDescent="0.25">
      <c r="A23">
        <v>30</v>
      </c>
      <c r="B23" t="s">
        <v>93</v>
      </c>
      <c r="C23" t="s">
        <v>72</v>
      </c>
      <c r="D23">
        <v>0</v>
      </c>
      <c r="E23">
        <v>0</v>
      </c>
      <c r="F23" t="s">
        <v>155</v>
      </c>
    </row>
    <row r="24" spans="1:6" x14ac:dyDescent="0.25">
      <c r="A24">
        <v>31</v>
      </c>
      <c r="B24" t="s">
        <v>94</v>
      </c>
      <c r="C24" t="s">
        <v>72</v>
      </c>
      <c r="D24">
        <v>0</v>
      </c>
      <c r="E24">
        <v>0</v>
      </c>
      <c r="F24" t="s">
        <v>156</v>
      </c>
    </row>
    <row r="25" spans="1:6" x14ac:dyDescent="0.25">
      <c r="A25">
        <v>32</v>
      </c>
      <c r="B25" t="s">
        <v>95</v>
      </c>
      <c r="C25" t="s">
        <v>72</v>
      </c>
      <c r="D25">
        <v>0</v>
      </c>
      <c r="E25">
        <v>0</v>
      </c>
      <c r="F25" t="s">
        <v>157</v>
      </c>
    </row>
    <row r="26" spans="1:6" x14ac:dyDescent="0.25">
      <c r="A26">
        <v>33</v>
      </c>
      <c r="B26" t="s">
        <v>96</v>
      </c>
      <c r="C26" t="s">
        <v>72</v>
      </c>
      <c r="D26">
        <v>0.20475756801299999</v>
      </c>
      <c r="E26">
        <v>0</v>
      </c>
      <c r="F26" t="s">
        <v>158</v>
      </c>
    </row>
    <row r="27" spans="1:6" x14ac:dyDescent="0.25">
      <c r="A27">
        <v>34</v>
      </c>
      <c r="B27" t="s">
        <v>97</v>
      </c>
      <c r="C27" t="s">
        <v>72</v>
      </c>
      <c r="D27">
        <v>0.73914409694299998</v>
      </c>
      <c r="E27">
        <v>0</v>
      </c>
      <c r="F27" t="s">
        <v>159</v>
      </c>
    </row>
    <row r="28" spans="1:6" x14ac:dyDescent="0.25">
      <c r="A28">
        <v>35</v>
      </c>
      <c r="B28" t="s">
        <v>98</v>
      </c>
      <c r="C28" t="s">
        <v>72</v>
      </c>
      <c r="D28">
        <v>0.91950533972299997</v>
      </c>
      <c r="E28">
        <v>0</v>
      </c>
      <c r="F28" t="s">
        <v>160</v>
      </c>
    </row>
    <row r="29" spans="1:6" x14ac:dyDescent="0.25">
      <c r="A29">
        <v>36</v>
      </c>
      <c r="B29" t="s">
        <v>99</v>
      </c>
      <c r="C29" t="s">
        <v>72</v>
      </c>
      <c r="D29">
        <v>0</v>
      </c>
      <c r="E29">
        <v>0</v>
      </c>
      <c r="F29" t="s">
        <v>161</v>
      </c>
    </row>
    <row r="30" spans="1:6" x14ac:dyDescent="0.25">
      <c r="A30">
        <v>37</v>
      </c>
      <c r="B30" t="s">
        <v>100</v>
      </c>
      <c r="C30" t="s">
        <v>72</v>
      </c>
      <c r="D30">
        <v>0.47967991030399998</v>
      </c>
      <c r="E30">
        <v>0</v>
      </c>
      <c r="F30" t="s">
        <v>162</v>
      </c>
    </row>
    <row r="31" spans="1:6" x14ac:dyDescent="0.25">
      <c r="A31">
        <v>38</v>
      </c>
      <c r="B31" t="s">
        <v>101</v>
      </c>
      <c r="C31" t="s">
        <v>72</v>
      </c>
      <c r="D31">
        <v>-0.117361085083</v>
      </c>
      <c r="E31">
        <v>0</v>
      </c>
      <c r="F31" t="s">
        <v>163</v>
      </c>
    </row>
    <row r="32" spans="1:6" x14ac:dyDescent="0.25">
      <c r="A32">
        <v>50</v>
      </c>
      <c r="B32" t="s">
        <v>102</v>
      </c>
      <c r="C32" t="s">
        <v>103</v>
      </c>
      <c r="D32">
        <v>-49.658779198200001</v>
      </c>
      <c r="E32">
        <v>33.148214292299997</v>
      </c>
      <c r="F32">
        <v>1</v>
      </c>
    </row>
    <row r="33" spans="1:6" x14ac:dyDescent="0.25">
      <c r="A33">
        <v>51</v>
      </c>
      <c r="B33" t="s">
        <v>104</v>
      </c>
      <c r="C33" t="s">
        <v>103</v>
      </c>
      <c r="D33">
        <v>17.602734273900001</v>
      </c>
      <c r="E33">
        <v>9.4985609110600002</v>
      </c>
      <c r="F33" t="s">
        <v>136</v>
      </c>
    </row>
    <row r="34" spans="1:6" x14ac:dyDescent="0.25">
      <c r="A34">
        <v>52</v>
      </c>
      <c r="B34" t="s">
        <v>105</v>
      </c>
      <c r="C34" t="s">
        <v>103</v>
      </c>
      <c r="D34">
        <v>4.20952630757</v>
      </c>
      <c r="E34">
        <v>2.7008716882299999</v>
      </c>
      <c r="F34" t="s">
        <v>137</v>
      </c>
    </row>
    <row r="35" spans="1:6" x14ac:dyDescent="0.25">
      <c r="A35">
        <v>60</v>
      </c>
      <c r="B35" t="s">
        <v>106</v>
      </c>
      <c r="C35" t="s">
        <v>72</v>
      </c>
      <c r="D35">
        <v>0.20359321296800001</v>
      </c>
      <c r="E35">
        <v>0</v>
      </c>
    </row>
    <row r="36" spans="1:6" x14ac:dyDescent="0.25">
      <c r="A36">
        <v>61</v>
      </c>
      <c r="B36" t="s">
        <v>107</v>
      </c>
      <c r="C36" t="s">
        <v>72</v>
      </c>
      <c r="D36">
        <v>-3.7139025588600001</v>
      </c>
      <c r="E36">
        <v>0</v>
      </c>
      <c r="F36" t="s">
        <v>164</v>
      </c>
    </row>
    <row r="37" spans="1:6" x14ac:dyDescent="0.25">
      <c r="A37">
        <v>62</v>
      </c>
      <c r="B37" t="s">
        <v>108</v>
      </c>
      <c r="C37" t="s">
        <v>72</v>
      </c>
      <c r="D37">
        <v>-14.9292134206</v>
      </c>
      <c r="E37">
        <v>0</v>
      </c>
      <c r="F37" t="s">
        <v>165</v>
      </c>
    </row>
    <row r="38" spans="1:6" x14ac:dyDescent="0.25">
      <c r="A38">
        <v>63</v>
      </c>
      <c r="B38" t="s">
        <v>109</v>
      </c>
      <c r="C38" t="s">
        <v>72</v>
      </c>
      <c r="D38">
        <v>-18.363643827400001</v>
      </c>
      <c r="E38">
        <v>0</v>
      </c>
      <c r="F38" t="s">
        <v>166</v>
      </c>
    </row>
    <row r="39" spans="1:6" x14ac:dyDescent="0.25">
      <c r="A39">
        <v>64</v>
      </c>
      <c r="B39" t="s">
        <v>110</v>
      </c>
      <c r="C39" t="s">
        <v>72</v>
      </c>
      <c r="D39">
        <v>-19.6107408341</v>
      </c>
      <c r="E39">
        <v>0</v>
      </c>
      <c r="F39" t="s">
        <v>167</v>
      </c>
    </row>
    <row r="40" spans="1:6" x14ac:dyDescent="0.25">
      <c r="A40">
        <v>65</v>
      </c>
      <c r="B40" t="s">
        <v>111</v>
      </c>
      <c r="C40" t="s">
        <v>72</v>
      </c>
      <c r="D40">
        <v>-29.386377866</v>
      </c>
      <c r="E40">
        <v>0</v>
      </c>
      <c r="F40" t="s">
        <v>168</v>
      </c>
    </row>
    <row r="41" spans="1:6" x14ac:dyDescent="0.25">
      <c r="A41">
        <v>66</v>
      </c>
      <c r="B41" t="s">
        <v>112</v>
      </c>
      <c r="C41" t="s">
        <v>72</v>
      </c>
      <c r="D41">
        <v>0</v>
      </c>
      <c r="E41">
        <v>0</v>
      </c>
      <c r="F41" t="s">
        <v>169</v>
      </c>
    </row>
    <row r="42" spans="1:6" x14ac:dyDescent="0.25">
      <c r="A42">
        <v>67</v>
      </c>
      <c r="B42" t="s">
        <v>113</v>
      </c>
      <c r="C42" t="s">
        <v>72</v>
      </c>
      <c r="D42">
        <v>-6.7290240321499999</v>
      </c>
      <c r="E42">
        <v>0</v>
      </c>
      <c r="F42" t="s">
        <v>170</v>
      </c>
    </row>
    <row r="43" spans="1:6" x14ac:dyDescent="0.25">
      <c r="A43">
        <v>68</v>
      </c>
      <c r="B43" t="s">
        <v>114</v>
      </c>
      <c r="C43" t="s">
        <v>72</v>
      </c>
      <c r="D43">
        <v>-26.1597322567</v>
      </c>
      <c r="E43">
        <v>0</v>
      </c>
      <c r="F43" t="s">
        <v>171</v>
      </c>
    </row>
    <row r="44" spans="1:6" x14ac:dyDescent="0.25">
      <c r="A44">
        <v>69</v>
      </c>
      <c r="B44" t="s">
        <v>115</v>
      </c>
      <c r="C44" t="s">
        <v>72</v>
      </c>
      <c r="D44">
        <v>-0.14966845132199999</v>
      </c>
      <c r="E44">
        <v>0</v>
      </c>
      <c r="F44" t="s">
        <v>172</v>
      </c>
    </row>
    <row r="45" spans="1:6" x14ac:dyDescent="0.25">
      <c r="A45">
        <v>70</v>
      </c>
      <c r="B45" t="s">
        <v>116</v>
      </c>
      <c r="C45" t="s">
        <v>72</v>
      </c>
      <c r="D45">
        <v>-28.815960729</v>
      </c>
      <c r="E45">
        <v>0</v>
      </c>
      <c r="F45" t="s">
        <v>173</v>
      </c>
    </row>
    <row r="46" spans="1:6" x14ac:dyDescent="0.25">
      <c r="A46">
        <v>71</v>
      </c>
      <c r="B46" t="s">
        <v>117</v>
      </c>
      <c r="C46" t="s">
        <v>72</v>
      </c>
      <c r="D46">
        <v>-38.204969650199999</v>
      </c>
      <c r="E46">
        <v>0</v>
      </c>
      <c r="F46" t="s">
        <v>174</v>
      </c>
    </row>
    <row r="47" spans="1:6" x14ac:dyDescent="0.25">
      <c r="A47">
        <v>72</v>
      </c>
      <c r="B47" t="s">
        <v>118</v>
      </c>
      <c r="C47" t="s">
        <v>72</v>
      </c>
      <c r="D47">
        <v>0</v>
      </c>
      <c r="E47">
        <v>0</v>
      </c>
      <c r="F47" t="s">
        <v>175</v>
      </c>
    </row>
    <row r="48" spans="1:6" x14ac:dyDescent="0.25">
      <c r="A48">
        <v>73</v>
      </c>
      <c r="B48" t="s">
        <v>119</v>
      </c>
      <c r="C48" t="s">
        <v>72</v>
      </c>
      <c r="D48">
        <v>-0.78460574570499997</v>
      </c>
      <c r="E48">
        <v>0</v>
      </c>
      <c r="F48" t="s">
        <v>176</v>
      </c>
    </row>
    <row r="49" spans="1:6" x14ac:dyDescent="0.25">
      <c r="A49">
        <v>74</v>
      </c>
      <c r="B49" t="s">
        <v>120</v>
      </c>
      <c r="C49" t="s">
        <v>72</v>
      </c>
      <c r="D49">
        <v>-60</v>
      </c>
      <c r="E49">
        <v>0</v>
      </c>
      <c r="F49" t="s">
        <v>177</v>
      </c>
    </row>
    <row r="50" spans="1:6" x14ac:dyDescent="0.25">
      <c r="A50">
        <v>75</v>
      </c>
      <c r="B50" t="s">
        <v>121</v>
      </c>
      <c r="C50" t="s">
        <v>72</v>
      </c>
      <c r="D50">
        <v>-40</v>
      </c>
      <c r="E50">
        <v>0</v>
      </c>
      <c r="F50" t="s">
        <v>178</v>
      </c>
    </row>
    <row r="51" spans="1:6" x14ac:dyDescent="0.25">
      <c r="A51">
        <v>76</v>
      </c>
      <c r="B51" t="s">
        <v>122</v>
      </c>
      <c r="C51" t="s">
        <v>72</v>
      </c>
      <c r="D51">
        <v>-19.3366724551</v>
      </c>
      <c r="E51">
        <v>0</v>
      </c>
      <c r="F51" t="s">
        <v>179</v>
      </c>
    </row>
    <row r="52" spans="1:6" x14ac:dyDescent="0.25">
      <c r="A52">
        <v>77</v>
      </c>
      <c r="B52" t="s">
        <v>123</v>
      </c>
      <c r="C52" t="s">
        <v>72</v>
      </c>
      <c r="D52">
        <v>-29.8899113495</v>
      </c>
      <c r="E52">
        <v>0</v>
      </c>
      <c r="F52" t="s">
        <v>180</v>
      </c>
    </row>
    <row r="53" spans="1:6" x14ac:dyDescent="0.25">
      <c r="A53">
        <v>78</v>
      </c>
      <c r="B53" t="s">
        <v>124</v>
      </c>
      <c r="C53" t="s">
        <v>72</v>
      </c>
      <c r="D53">
        <v>0</v>
      </c>
      <c r="E53">
        <v>0</v>
      </c>
      <c r="F53" t="s">
        <v>181</v>
      </c>
    </row>
    <row r="54" spans="1:6" x14ac:dyDescent="0.25">
      <c r="A54">
        <v>79</v>
      </c>
      <c r="B54" t="s">
        <v>125</v>
      </c>
      <c r="C54" t="s">
        <v>72</v>
      </c>
      <c r="D54">
        <v>-4.6085602533700003</v>
      </c>
      <c r="E54">
        <v>0</v>
      </c>
      <c r="F54" t="s">
        <v>182</v>
      </c>
    </row>
    <row r="55" spans="1:6" x14ac:dyDescent="0.25">
      <c r="A55">
        <v>80</v>
      </c>
      <c r="B55" t="s">
        <v>126</v>
      </c>
      <c r="C55" t="s">
        <v>72</v>
      </c>
      <c r="D55">
        <v>-20</v>
      </c>
      <c r="E55">
        <v>0</v>
      </c>
      <c r="F55" t="s">
        <v>183</v>
      </c>
    </row>
    <row r="56" spans="1:6" x14ac:dyDescent="0.25">
      <c r="A56">
        <v>81</v>
      </c>
      <c r="B56" t="s">
        <v>127</v>
      </c>
      <c r="C56" t="s">
        <v>72</v>
      </c>
      <c r="D56">
        <v>-16.8297323695</v>
      </c>
      <c r="E56">
        <v>0</v>
      </c>
      <c r="F56" t="s">
        <v>184</v>
      </c>
    </row>
    <row r="57" spans="1:6" x14ac:dyDescent="0.25">
      <c r="A57">
        <v>82</v>
      </c>
      <c r="B57" t="s">
        <v>128</v>
      </c>
      <c r="C57" t="s">
        <v>72</v>
      </c>
      <c r="D57">
        <v>-30</v>
      </c>
      <c r="E57">
        <v>0</v>
      </c>
      <c r="F57" t="s">
        <v>185</v>
      </c>
    </row>
    <row r="58" spans="1:6" x14ac:dyDescent="0.25">
      <c r="A58">
        <v>83</v>
      </c>
      <c r="B58" t="s">
        <v>129</v>
      </c>
      <c r="C58" t="s">
        <v>72</v>
      </c>
      <c r="D58">
        <v>0</v>
      </c>
      <c r="E58">
        <v>0</v>
      </c>
      <c r="F58" t="s">
        <v>186</v>
      </c>
    </row>
    <row r="59" spans="1:6" x14ac:dyDescent="0.25">
      <c r="A59">
        <v>84</v>
      </c>
      <c r="B59" t="s">
        <v>130</v>
      </c>
      <c r="C59" t="s">
        <v>72</v>
      </c>
      <c r="D59">
        <v>-3.8243167264700002</v>
      </c>
      <c r="E59">
        <v>0</v>
      </c>
      <c r="F59" t="s">
        <v>187</v>
      </c>
    </row>
    <row r="60" spans="1:6" x14ac:dyDescent="0.25">
      <c r="A60">
        <v>98</v>
      </c>
      <c r="B60" t="s">
        <v>131</v>
      </c>
      <c r="C60" t="s">
        <v>72</v>
      </c>
      <c r="D60">
        <v>0</v>
      </c>
      <c r="E60">
        <v>0</v>
      </c>
      <c r="F60">
        <v>100</v>
      </c>
    </row>
    <row r="61" spans="1:6" x14ac:dyDescent="0.25">
      <c r="A61">
        <v>99</v>
      </c>
      <c r="B61" t="s">
        <v>132</v>
      </c>
      <c r="C61" t="s">
        <v>103</v>
      </c>
      <c r="D61">
        <v>0.11248071060500001</v>
      </c>
      <c r="E61" s="54">
        <v>6.8437874180799996E-2</v>
      </c>
    </row>
  </sheetData>
  <pageMargins bottom="0.75" footer="0.3" header="0.3" left="0.7" right="0.7" top="0.75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tabColor rgb="FFFFFF00"/>
  </sheetPr>
  <dimension ref="A1:L250"/>
  <sheetViews>
    <sheetView workbookViewId="0">
      <selection activeCell="A8" sqref="A8:K250"/>
    </sheetView>
  </sheetViews>
  <sheetFormatPr defaultRowHeight="15" x14ac:dyDescent="0.25"/>
  <sheetData>
    <row r="1" spans="1:10" x14ac:dyDescent="0.25">
      <c r="A1" s="55" t="s">
        <v>201</v>
      </c>
    </row>
    <row r="2" spans="1:10" x14ac:dyDescent="0.25">
      <c r="A2">
        <v>1</v>
      </c>
      <c r="B2" t="s">
        <v>202</v>
      </c>
    </row>
    <row r="3" spans="1:10" x14ac:dyDescent="0.25">
      <c r="A3">
        <v>2</v>
      </c>
      <c r="B3" t="s">
        <v>203</v>
      </c>
    </row>
    <row r="4" spans="1:10" x14ac:dyDescent="0.25">
      <c r="A4">
        <v>3</v>
      </c>
      <c r="B4" t="s">
        <v>204</v>
      </c>
    </row>
    <row r="5" spans="1:10" x14ac:dyDescent="0.25">
      <c r="A5">
        <v>4</v>
      </c>
      <c r="B5" t="s">
        <v>205</v>
      </c>
    </row>
    <row r="8" spans="1:10" x14ac:dyDescent="0.25">
      <c r="A8" t="s">
        <v>206</v>
      </c>
      <c r="B8" t="s">
        <v>207</v>
      </c>
      <c r="C8" t="s">
        <v>208</v>
      </c>
      <c r="D8" t="s">
        <v>209</v>
      </c>
      <c r="E8" t="s">
        <v>210</v>
      </c>
      <c r="F8" t="s">
        <v>211</v>
      </c>
      <c r="G8" t="s">
        <v>212</v>
      </c>
      <c r="H8" t="s">
        <v>213</v>
      </c>
    </row>
    <row r="9" spans="1:10" x14ac:dyDescent="0.25">
      <c r="A9" t="s">
        <v>214</v>
      </c>
      <c r="B9" t="s">
        <v>215</v>
      </c>
      <c r="C9" t="s">
        <v>216</v>
      </c>
      <c r="D9" t="s">
        <v>217</v>
      </c>
      <c r="E9">
        <v>4</v>
      </c>
      <c r="F9" s="56">
        <v>0.50597222222222216</v>
      </c>
      <c r="G9" t="s">
        <v>218</v>
      </c>
      <c r="H9">
        <v>29</v>
      </c>
      <c r="I9" t="s">
        <v>219</v>
      </c>
      <c r="J9">
        <v>12</v>
      </c>
    </row>
    <row r="10" spans="1:10" x14ac:dyDescent="0.25">
      <c r="A10" t="s">
        <v>220</v>
      </c>
    </row>
    <row r="11" spans="1:10" x14ac:dyDescent="0.25">
      <c r="B11">
        <v>1</v>
      </c>
      <c r="C11" t="s">
        <v>71</v>
      </c>
      <c r="D11" t="s">
        <v>72</v>
      </c>
      <c r="E11">
        <v>1</v>
      </c>
      <c r="F11">
        <v>0</v>
      </c>
    </row>
    <row r="12" spans="1:10" x14ac:dyDescent="0.25">
      <c r="B12">
        <v>2</v>
      </c>
      <c r="C12" t="s">
        <v>73</v>
      </c>
      <c r="D12" t="s">
        <v>72</v>
      </c>
      <c r="E12">
        <v>1</v>
      </c>
      <c r="F12">
        <v>0</v>
      </c>
    </row>
    <row r="13" spans="1:10" x14ac:dyDescent="0.25">
      <c r="B13">
        <v>3</v>
      </c>
      <c r="C13" t="s">
        <v>74</v>
      </c>
      <c r="D13" t="s">
        <v>72</v>
      </c>
      <c r="E13">
        <v>1</v>
      </c>
      <c r="F13">
        <v>0</v>
      </c>
    </row>
    <row r="14" spans="1:10" x14ac:dyDescent="0.25">
      <c r="B14">
        <v>4</v>
      </c>
      <c r="C14" t="s">
        <v>75</v>
      </c>
      <c r="D14" t="s">
        <v>72</v>
      </c>
      <c r="E14">
        <v>0.5</v>
      </c>
      <c r="F14">
        <v>0</v>
      </c>
    </row>
    <row r="15" spans="1:10" x14ac:dyDescent="0.25">
      <c r="B15">
        <v>5</v>
      </c>
      <c r="C15" t="s">
        <v>76</v>
      </c>
      <c r="D15" t="s">
        <v>72</v>
      </c>
      <c r="E15">
        <v>0.1</v>
      </c>
      <c r="F15">
        <v>0</v>
      </c>
    </row>
    <row r="16" spans="1:10" x14ac:dyDescent="0.25">
      <c r="B16">
        <v>6</v>
      </c>
      <c r="C16" t="s">
        <v>77</v>
      </c>
      <c r="D16" t="s">
        <v>72</v>
      </c>
      <c r="E16">
        <v>1</v>
      </c>
      <c r="F16">
        <v>0</v>
      </c>
    </row>
    <row r="17" spans="2:6" x14ac:dyDescent="0.25">
      <c r="B17">
        <v>7</v>
      </c>
      <c r="C17" t="s">
        <v>78</v>
      </c>
      <c r="D17" t="s">
        <v>72</v>
      </c>
      <c r="E17">
        <v>-21.977719252</v>
      </c>
      <c r="F17">
        <v>0</v>
      </c>
    </row>
    <row r="18" spans="2:6" x14ac:dyDescent="0.25">
      <c r="B18">
        <v>8</v>
      </c>
      <c r="C18" t="s">
        <v>79</v>
      </c>
      <c r="D18" t="s">
        <v>72</v>
      </c>
      <c r="E18">
        <v>-1.4857940511400001</v>
      </c>
      <c r="F18">
        <v>0</v>
      </c>
    </row>
    <row r="19" spans="2:6" x14ac:dyDescent="0.25">
      <c r="B19">
        <v>9</v>
      </c>
      <c r="C19" t="s">
        <v>80</v>
      </c>
      <c r="D19" t="s">
        <v>72</v>
      </c>
      <c r="E19">
        <v>-4.85028348146</v>
      </c>
      <c r="F19">
        <v>0</v>
      </c>
    </row>
    <row r="20" spans="2:6" x14ac:dyDescent="0.25">
      <c r="B20">
        <v>10</v>
      </c>
      <c r="C20" t="s">
        <v>81</v>
      </c>
      <c r="D20" t="s">
        <v>72</v>
      </c>
      <c r="E20">
        <v>-15.3921330935</v>
      </c>
      <c r="F20">
        <v>0</v>
      </c>
    </row>
    <row r="21" spans="2:6" x14ac:dyDescent="0.25">
      <c r="B21">
        <v>11</v>
      </c>
      <c r="C21" t="s">
        <v>82</v>
      </c>
      <c r="D21" t="s">
        <v>72</v>
      </c>
      <c r="E21">
        <v>-9.7518039976427993</v>
      </c>
      <c r="F21">
        <v>0</v>
      </c>
    </row>
    <row r="22" spans="2:6" x14ac:dyDescent="0.25">
      <c r="B22">
        <v>12</v>
      </c>
      <c r="C22" t="s">
        <v>83</v>
      </c>
      <c r="D22" t="s">
        <v>72</v>
      </c>
      <c r="E22">
        <v>-1.0599160072038001</v>
      </c>
      <c r="F22">
        <v>0</v>
      </c>
    </row>
    <row r="23" spans="2:6" x14ac:dyDescent="0.25">
      <c r="B23">
        <v>13</v>
      </c>
      <c r="C23" t="s">
        <v>84</v>
      </c>
      <c r="D23" t="s">
        <v>72</v>
      </c>
      <c r="E23">
        <v>-6.5192578502799998</v>
      </c>
      <c r="F23">
        <v>0</v>
      </c>
    </row>
    <row r="24" spans="2:6" x14ac:dyDescent="0.25">
      <c r="B24">
        <v>14</v>
      </c>
      <c r="C24" t="s">
        <v>85</v>
      </c>
      <c r="D24" t="s">
        <v>72</v>
      </c>
      <c r="E24">
        <v>-3.04866060786</v>
      </c>
      <c r="F24">
        <v>0</v>
      </c>
    </row>
    <row r="25" spans="2:6" x14ac:dyDescent="0.25">
      <c r="B25">
        <v>15</v>
      </c>
      <c r="C25" t="s">
        <v>86</v>
      </c>
      <c r="D25" t="s">
        <v>72</v>
      </c>
      <c r="E25">
        <v>0</v>
      </c>
      <c r="F25">
        <v>0</v>
      </c>
    </row>
    <row r="26" spans="2:6" x14ac:dyDescent="0.25">
      <c r="B26">
        <v>16</v>
      </c>
      <c r="C26" t="s">
        <v>87</v>
      </c>
      <c r="D26" t="s">
        <v>72</v>
      </c>
      <c r="E26">
        <v>-2.2084934246199999</v>
      </c>
      <c r="F26">
        <v>0</v>
      </c>
    </row>
    <row r="27" spans="2:6" x14ac:dyDescent="0.25">
      <c r="B27">
        <v>17</v>
      </c>
      <c r="C27" t="s">
        <v>88</v>
      </c>
      <c r="D27" t="s">
        <v>72</v>
      </c>
      <c r="E27">
        <v>0</v>
      </c>
      <c r="F27">
        <v>0</v>
      </c>
    </row>
    <row r="28" spans="2:6" x14ac:dyDescent="0.25">
      <c r="B28">
        <v>18</v>
      </c>
      <c r="C28" t="s">
        <v>89</v>
      </c>
      <c r="D28" t="s">
        <v>72</v>
      </c>
      <c r="E28">
        <v>0</v>
      </c>
      <c r="F28">
        <v>0</v>
      </c>
    </row>
    <row r="29" spans="2:6" x14ac:dyDescent="0.25">
      <c r="B29">
        <v>19</v>
      </c>
      <c r="C29" t="s">
        <v>90</v>
      </c>
      <c r="D29" t="s">
        <v>72</v>
      </c>
      <c r="E29">
        <v>0</v>
      </c>
      <c r="F29">
        <v>0</v>
      </c>
    </row>
    <row r="30" spans="2:6" x14ac:dyDescent="0.25">
      <c r="B30">
        <v>20</v>
      </c>
      <c r="C30" t="s">
        <v>91</v>
      </c>
      <c r="D30" t="s">
        <v>72</v>
      </c>
      <c r="E30">
        <v>0</v>
      </c>
      <c r="F30">
        <v>0</v>
      </c>
    </row>
    <row r="31" spans="2:6" x14ac:dyDescent="0.25">
      <c r="B31">
        <v>21</v>
      </c>
      <c r="C31" t="s">
        <v>92</v>
      </c>
      <c r="D31" t="s">
        <v>72</v>
      </c>
      <c r="E31">
        <v>0</v>
      </c>
      <c r="F31">
        <v>0</v>
      </c>
    </row>
    <row r="32" spans="2:6" x14ac:dyDescent="0.25">
      <c r="B32">
        <v>30</v>
      </c>
      <c r="C32" t="s">
        <v>93</v>
      </c>
      <c r="D32" t="s">
        <v>72</v>
      </c>
      <c r="E32">
        <v>0</v>
      </c>
      <c r="F32">
        <v>0</v>
      </c>
    </row>
    <row r="33" spans="2:6" x14ac:dyDescent="0.25">
      <c r="B33">
        <v>31</v>
      </c>
      <c r="C33" t="s">
        <v>94</v>
      </c>
      <c r="D33" t="s">
        <v>72</v>
      </c>
      <c r="E33">
        <v>0</v>
      </c>
      <c r="F33">
        <v>0</v>
      </c>
    </row>
    <row r="34" spans="2:6" x14ac:dyDescent="0.25">
      <c r="B34">
        <v>32</v>
      </c>
      <c r="C34" t="s">
        <v>95</v>
      </c>
      <c r="D34" t="s">
        <v>72</v>
      </c>
      <c r="E34">
        <v>0</v>
      </c>
      <c r="F34">
        <v>0</v>
      </c>
    </row>
    <row r="35" spans="2:6" x14ac:dyDescent="0.25">
      <c r="B35">
        <v>33</v>
      </c>
      <c r="C35" t="s">
        <v>96</v>
      </c>
      <c r="D35" t="s">
        <v>72</v>
      </c>
      <c r="E35">
        <v>0.20475756801299999</v>
      </c>
      <c r="F35">
        <v>0</v>
      </c>
    </row>
    <row r="36" spans="2:6" x14ac:dyDescent="0.25">
      <c r="B36">
        <v>34</v>
      </c>
      <c r="C36" t="s">
        <v>97</v>
      </c>
      <c r="D36" t="s">
        <v>72</v>
      </c>
      <c r="E36">
        <v>0.73914409694299998</v>
      </c>
      <c r="F36">
        <v>0</v>
      </c>
    </row>
    <row r="37" spans="2:6" x14ac:dyDescent="0.25">
      <c r="B37">
        <v>35</v>
      </c>
      <c r="C37" t="s">
        <v>98</v>
      </c>
      <c r="D37" t="s">
        <v>72</v>
      </c>
      <c r="E37">
        <v>0.91950533972299997</v>
      </c>
      <c r="F37">
        <v>0</v>
      </c>
    </row>
    <row r="38" spans="2:6" x14ac:dyDescent="0.25">
      <c r="B38">
        <v>36</v>
      </c>
      <c r="C38" t="s">
        <v>99</v>
      </c>
      <c r="D38" t="s">
        <v>72</v>
      </c>
      <c r="E38">
        <v>0</v>
      </c>
      <c r="F38">
        <v>0</v>
      </c>
    </row>
    <row r="39" spans="2:6" x14ac:dyDescent="0.25">
      <c r="B39">
        <v>37</v>
      </c>
      <c r="C39" t="s">
        <v>100</v>
      </c>
      <c r="D39" t="s">
        <v>72</v>
      </c>
      <c r="E39">
        <v>0.47967991030399998</v>
      </c>
      <c r="F39">
        <v>0</v>
      </c>
    </row>
    <row r="40" spans="2:6" x14ac:dyDescent="0.25">
      <c r="B40">
        <v>38</v>
      </c>
      <c r="C40" t="s">
        <v>101</v>
      </c>
      <c r="D40" t="s">
        <v>72</v>
      </c>
      <c r="E40">
        <v>-0.117361085083</v>
      </c>
      <c r="F40">
        <v>0</v>
      </c>
    </row>
    <row r="41" spans="2:6" x14ac:dyDescent="0.25">
      <c r="B41">
        <v>50</v>
      </c>
      <c r="C41" t="s">
        <v>102</v>
      </c>
      <c r="D41" t="s">
        <v>103</v>
      </c>
      <c r="E41">
        <v>-52.496387392000003</v>
      </c>
      <c r="F41">
        <v>33.148214292299997</v>
      </c>
    </row>
    <row r="42" spans="2:6" x14ac:dyDescent="0.25">
      <c r="B42">
        <v>51</v>
      </c>
      <c r="C42" t="s">
        <v>104</v>
      </c>
      <c r="D42" t="s">
        <v>103</v>
      </c>
      <c r="E42">
        <v>17.602734273900001</v>
      </c>
      <c r="F42">
        <v>9.4985609110600002</v>
      </c>
    </row>
    <row r="43" spans="2:6" x14ac:dyDescent="0.25">
      <c r="B43">
        <v>52</v>
      </c>
      <c r="C43" t="s">
        <v>105</v>
      </c>
      <c r="D43" t="s">
        <v>103</v>
      </c>
      <c r="E43">
        <v>4.20952630757</v>
      </c>
      <c r="F43">
        <v>2.7008716882299999</v>
      </c>
    </row>
    <row r="44" spans="2:6" x14ac:dyDescent="0.25">
      <c r="B44">
        <v>60</v>
      </c>
      <c r="C44" t="s">
        <v>106</v>
      </c>
      <c r="D44" t="s">
        <v>72</v>
      </c>
      <c r="E44">
        <v>0.20359321296800001</v>
      </c>
      <c r="F44">
        <v>0</v>
      </c>
    </row>
    <row r="45" spans="2:6" x14ac:dyDescent="0.25">
      <c r="B45">
        <v>61</v>
      </c>
      <c r="C45" t="s">
        <v>107</v>
      </c>
      <c r="D45" t="s">
        <v>72</v>
      </c>
      <c r="E45">
        <v>-3.7139025588600001</v>
      </c>
      <c r="F45">
        <v>0</v>
      </c>
    </row>
    <row r="46" spans="2:6" x14ac:dyDescent="0.25">
      <c r="B46">
        <v>62</v>
      </c>
      <c r="C46" t="s">
        <v>108</v>
      </c>
      <c r="D46" t="s">
        <v>72</v>
      </c>
      <c r="E46">
        <v>-14.9292134206</v>
      </c>
      <c r="F46">
        <v>0</v>
      </c>
    </row>
    <row r="47" spans="2:6" x14ac:dyDescent="0.25">
      <c r="B47">
        <v>63</v>
      </c>
      <c r="C47" t="s">
        <v>109</v>
      </c>
      <c r="D47" t="s">
        <v>72</v>
      </c>
      <c r="E47">
        <v>-18.363643827400001</v>
      </c>
      <c r="F47">
        <v>0</v>
      </c>
    </row>
    <row r="48" spans="2:6" x14ac:dyDescent="0.25">
      <c r="B48">
        <v>64</v>
      </c>
      <c r="C48" t="s">
        <v>110</v>
      </c>
      <c r="D48" t="s">
        <v>72</v>
      </c>
      <c r="E48">
        <v>-19.6107408341</v>
      </c>
      <c r="F48">
        <v>0</v>
      </c>
    </row>
    <row r="49" spans="2:6" x14ac:dyDescent="0.25">
      <c r="B49">
        <v>65</v>
      </c>
      <c r="C49" t="s">
        <v>111</v>
      </c>
      <c r="D49" t="s">
        <v>72</v>
      </c>
      <c r="E49">
        <v>-29.386377866</v>
      </c>
      <c r="F49">
        <v>0</v>
      </c>
    </row>
    <row r="50" spans="2:6" x14ac:dyDescent="0.25">
      <c r="B50">
        <v>66</v>
      </c>
      <c r="C50" t="s">
        <v>112</v>
      </c>
      <c r="D50" t="s">
        <v>72</v>
      </c>
      <c r="E50">
        <v>0</v>
      </c>
      <c r="F50">
        <v>0</v>
      </c>
    </row>
    <row r="51" spans="2:6" x14ac:dyDescent="0.25">
      <c r="B51">
        <v>67</v>
      </c>
      <c r="C51" t="s">
        <v>113</v>
      </c>
      <c r="D51" t="s">
        <v>72</v>
      </c>
      <c r="E51">
        <v>-6.7290240321499999</v>
      </c>
      <c r="F51">
        <v>0</v>
      </c>
    </row>
    <row r="52" spans="2:6" x14ac:dyDescent="0.25">
      <c r="B52">
        <v>68</v>
      </c>
      <c r="C52" t="s">
        <v>114</v>
      </c>
      <c r="D52" t="s">
        <v>72</v>
      </c>
      <c r="E52">
        <v>-26.1597322567</v>
      </c>
      <c r="F52">
        <v>0</v>
      </c>
    </row>
    <row r="53" spans="2:6" x14ac:dyDescent="0.25">
      <c r="B53">
        <v>69</v>
      </c>
      <c r="C53" t="s">
        <v>115</v>
      </c>
      <c r="D53" t="s">
        <v>72</v>
      </c>
      <c r="E53">
        <v>-0.14966845132199999</v>
      </c>
      <c r="F53">
        <v>0</v>
      </c>
    </row>
    <row r="54" spans="2:6" x14ac:dyDescent="0.25">
      <c r="B54">
        <v>70</v>
      </c>
      <c r="C54" t="s">
        <v>116</v>
      </c>
      <c r="D54" t="s">
        <v>72</v>
      </c>
      <c r="E54">
        <v>-28.815960729</v>
      </c>
      <c r="F54">
        <v>0</v>
      </c>
    </row>
    <row r="55" spans="2:6" x14ac:dyDescent="0.25">
      <c r="B55">
        <v>71</v>
      </c>
      <c r="C55" t="s">
        <v>117</v>
      </c>
      <c r="D55" t="s">
        <v>72</v>
      </c>
      <c r="E55">
        <v>-38.204969650199999</v>
      </c>
      <c r="F55">
        <v>0</v>
      </c>
    </row>
    <row r="56" spans="2:6" x14ac:dyDescent="0.25">
      <c r="B56">
        <v>72</v>
      </c>
      <c r="C56" t="s">
        <v>118</v>
      </c>
      <c r="D56" t="s">
        <v>72</v>
      </c>
      <c r="E56">
        <v>0</v>
      </c>
      <c r="F56">
        <v>0</v>
      </c>
    </row>
    <row r="57" spans="2:6" x14ac:dyDescent="0.25">
      <c r="B57">
        <v>73</v>
      </c>
      <c r="C57" t="s">
        <v>119</v>
      </c>
      <c r="D57" t="s">
        <v>72</v>
      </c>
      <c r="E57">
        <v>-0.78460574570499997</v>
      </c>
      <c r="F57">
        <v>0</v>
      </c>
    </row>
    <row r="58" spans="2:6" x14ac:dyDescent="0.25">
      <c r="B58">
        <v>74</v>
      </c>
      <c r="C58" t="s">
        <v>120</v>
      </c>
      <c r="D58" t="s">
        <v>72</v>
      </c>
      <c r="E58">
        <v>-60</v>
      </c>
      <c r="F58">
        <v>0</v>
      </c>
    </row>
    <row r="59" spans="2:6" x14ac:dyDescent="0.25">
      <c r="B59">
        <v>75</v>
      </c>
      <c r="C59" t="s">
        <v>121</v>
      </c>
      <c r="D59" t="s">
        <v>72</v>
      </c>
      <c r="E59">
        <v>-40</v>
      </c>
      <c r="F59">
        <v>0</v>
      </c>
    </row>
    <row r="60" spans="2:6" x14ac:dyDescent="0.25">
      <c r="B60">
        <v>76</v>
      </c>
      <c r="C60" t="s">
        <v>122</v>
      </c>
      <c r="D60" t="s">
        <v>72</v>
      </c>
      <c r="E60">
        <v>-19.3366724551</v>
      </c>
      <c r="F60">
        <v>0</v>
      </c>
    </row>
    <row r="61" spans="2:6" x14ac:dyDescent="0.25">
      <c r="B61">
        <v>77</v>
      </c>
      <c r="C61" t="s">
        <v>123</v>
      </c>
      <c r="D61" t="s">
        <v>72</v>
      </c>
      <c r="E61">
        <v>-29.8899113495</v>
      </c>
      <c r="F61">
        <v>0</v>
      </c>
    </row>
    <row r="62" spans="2:6" x14ac:dyDescent="0.25">
      <c r="B62">
        <v>78</v>
      </c>
      <c r="C62" t="s">
        <v>124</v>
      </c>
      <c r="D62" t="s">
        <v>72</v>
      </c>
      <c r="E62">
        <v>0</v>
      </c>
      <c r="F62">
        <v>0</v>
      </c>
    </row>
    <row r="63" spans="2:6" x14ac:dyDescent="0.25">
      <c r="B63">
        <v>79</v>
      </c>
      <c r="C63" t="s">
        <v>125</v>
      </c>
      <c r="D63" t="s">
        <v>72</v>
      </c>
      <c r="E63">
        <v>-4.6085602533700003</v>
      </c>
      <c r="F63">
        <v>0</v>
      </c>
    </row>
    <row r="64" spans="2:6" x14ac:dyDescent="0.25">
      <c r="B64">
        <v>80</v>
      </c>
      <c r="C64" t="s">
        <v>126</v>
      </c>
      <c r="D64" t="s">
        <v>72</v>
      </c>
      <c r="E64">
        <v>-20</v>
      </c>
      <c r="F64">
        <v>0</v>
      </c>
    </row>
    <row r="65" spans="2:11" x14ac:dyDescent="0.25">
      <c r="B65">
        <v>81</v>
      </c>
      <c r="C65" t="s">
        <v>127</v>
      </c>
      <c r="D65" t="s">
        <v>72</v>
      </c>
      <c r="E65">
        <v>-16.8297323695</v>
      </c>
      <c r="F65">
        <v>0</v>
      </c>
    </row>
    <row r="66" spans="2:11" x14ac:dyDescent="0.25">
      <c r="B66">
        <v>82</v>
      </c>
      <c r="C66" t="s">
        <v>128</v>
      </c>
      <c r="D66" t="s">
        <v>72</v>
      </c>
      <c r="E66">
        <v>-30</v>
      </c>
      <c r="F66">
        <v>0</v>
      </c>
    </row>
    <row r="67" spans="2:11" x14ac:dyDescent="0.25">
      <c r="B67">
        <v>83</v>
      </c>
      <c r="C67" t="s">
        <v>129</v>
      </c>
      <c r="D67" t="s">
        <v>72</v>
      </c>
      <c r="E67">
        <v>0</v>
      </c>
      <c r="F67">
        <v>0</v>
      </c>
    </row>
    <row r="68" spans="2:11" x14ac:dyDescent="0.25">
      <c r="B68">
        <v>84</v>
      </c>
      <c r="C68" t="s">
        <v>130</v>
      </c>
      <c r="D68" t="s">
        <v>72</v>
      </c>
      <c r="E68">
        <v>-3.8243167264700002</v>
      </c>
      <c r="F68">
        <v>0</v>
      </c>
    </row>
    <row r="69" spans="2:11" x14ac:dyDescent="0.25">
      <c r="B69">
        <v>98</v>
      </c>
      <c r="C69" t="s">
        <v>131</v>
      </c>
      <c r="D69" t="s">
        <v>72</v>
      </c>
      <c r="E69">
        <v>0</v>
      </c>
      <c r="F69">
        <v>0</v>
      </c>
    </row>
    <row r="70" spans="2:11" x14ac:dyDescent="0.25">
      <c r="B70">
        <v>99</v>
      </c>
      <c r="C70" t="s">
        <v>132</v>
      </c>
      <c r="D70" t="s">
        <v>103</v>
      </c>
      <c r="E70">
        <v>0.11248071060500001</v>
      </c>
      <c r="F70" s="54">
        <v>6.8437874180799996E-2</v>
      </c>
    </row>
    <row r="71" spans="2:11" x14ac:dyDescent="0.25">
      <c r="B71">
        <v>-1</v>
      </c>
    </row>
    <row r="72" spans="2:11" x14ac:dyDescent="0.25">
      <c r="B72">
        <v>1846</v>
      </c>
      <c r="C72" s="54">
        <v>-4533.6591421499998</v>
      </c>
      <c r="D72" s="54">
        <v>-7099.1720403199997</v>
      </c>
      <c r="E72" s="54">
        <v>-3827.4189976100001</v>
      </c>
    </row>
    <row r="73" spans="2:11" x14ac:dyDescent="0.25">
      <c r="B73">
        <v>24</v>
      </c>
      <c r="C73" t="s">
        <v>221</v>
      </c>
      <c r="D73" t="s">
        <v>218</v>
      </c>
      <c r="E73">
        <v>29</v>
      </c>
      <c r="F73" t="s">
        <v>219</v>
      </c>
      <c r="G73">
        <v>12</v>
      </c>
    </row>
    <row r="74" spans="2:11" x14ac:dyDescent="0.25"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</row>
    <row r="75" spans="2:11" x14ac:dyDescent="0.25"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</row>
    <row r="76" spans="2:11" x14ac:dyDescent="0.25"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</row>
    <row r="77" spans="2:11" x14ac:dyDescent="0.25"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</row>
    <row r="78" spans="2:11" x14ac:dyDescent="0.25"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</row>
    <row r="79" spans="2:11" x14ac:dyDescent="0.25"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</row>
    <row r="80" spans="2:11" x14ac:dyDescent="0.25"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</row>
    <row r="81" spans="2:11" x14ac:dyDescent="0.25"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</row>
    <row r="82" spans="2:11" x14ac:dyDescent="0.25"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</row>
    <row r="83" spans="2:11" x14ac:dyDescent="0.25"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</row>
    <row r="84" spans="2:11" x14ac:dyDescent="0.25"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</row>
    <row r="85" spans="2:11" x14ac:dyDescent="0.25"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</row>
    <row r="86" spans="2:11" x14ac:dyDescent="0.25"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</row>
    <row r="87" spans="2:11" x14ac:dyDescent="0.25"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</row>
    <row r="88" spans="2:11" x14ac:dyDescent="0.25"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</row>
    <row r="89" spans="2:11" x14ac:dyDescent="0.25"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</row>
    <row r="90" spans="2:11" x14ac:dyDescent="0.25"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</row>
    <row r="91" spans="2:11" x14ac:dyDescent="0.25"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</row>
    <row r="92" spans="2:11" x14ac:dyDescent="0.25"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</row>
    <row r="93" spans="2:11" x14ac:dyDescent="0.25"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</row>
    <row r="94" spans="2:11" x14ac:dyDescent="0.25"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</row>
    <row r="95" spans="2:11" x14ac:dyDescent="0.25"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</row>
    <row r="96" spans="2:11" x14ac:dyDescent="0.25"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</row>
    <row r="97" spans="2:11" x14ac:dyDescent="0.25"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</row>
    <row r="98" spans="2:11" x14ac:dyDescent="0.25"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</row>
    <row r="99" spans="2:11" x14ac:dyDescent="0.25"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</row>
    <row r="100" spans="2:11" x14ac:dyDescent="0.25"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</row>
    <row r="101" spans="2:11" x14ac:dyDescent="0.25"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</row>
    <row r="102" spans="2:11" x14ac:dyDescent="0.25"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</row>
    <row r="103" spans="2:11" x14ac:dyDescent="0.25"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</row>
    <row r="104" spans="2:11" x14ac:dyDescent="0.25"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</row>
    <row r="105" spans="2:11" x14ac:dyDescent="0.25"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</row>
    <row r="106" spans="2:11" x14ac:dyDescent="0.25"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</row>
    <row r="107" spans="2:11" x14ac:dyDescent="0.25"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</row>
    <row r="108" spans="2:11" x14ac:dyDescent="0.25"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</row>
    <row r="109" spans="2:11" x14ac:dyDescent="0.25"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</row>
    <row r="110" spans="2:11" x14ac:dyDescent="0.25"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</row>
    <row r="111" spans="2:11" x14ac:dyDescent="0.25"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</row>
    <row r="112" spans="2:11" x14ac:dyDescent="0.25"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</row>
    <row r="113" spans="2:11" x14ac:dyDescent="0.25"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</row>
    <row r="114" spans="2:11" x14ac:dyDescent="0.25"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</row>
    <row r="115" spans="2:11" x14ac:dyDescent="0.25"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</row>
    <row r="116" spans="2:11" x14ac:dyDescent="0.25"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</row>
    <row r="117" spans="2:11" x14ac:dyDescent="0.25"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</row>
    <row r="118" spans="2:11" x14ac:dyDescent="0.25"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</row>
    <row r="119" spans="2:11" x14ac:dyDescent="0.25"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</row>
    <row r="120" spans="2:11" x14ac:dyDescent="0.25"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</row>
    <row r="121" spans="2:11" x14ac:dyDescent="0.25"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</row>
    <row r="122" spans="2:11" x14ac:dyDescent="0.25"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</row>
    <row r="123" spans="2:11" x14ac:dyDescent="0.25">
      <c r="B123">
        <v>0</v>
      </c>
      <c r="C123">
        <v>0</v>
      </c>
      <c r="D123">
        <v>0</v>
      </c>
      <c r="E123">
        <v>0</v>
      </c>
      <c r="F123">
        <v>0</v>
      </c>
      <c r="G123">
        <v>-92121</v>
      </c>
      <c r="H123">
        <v>0</v>
      </c>
      <c r="I123">
        <v>0</v>
      </c>
      <c r="J123">
        <v>0</v>
      </c>
      <c r="K123">
        <v>0</v>
      </c>
    </row>
    <row r="124" spans="2:11" x14ac:dyDescent="0.25"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</row>
    <row r="125" spans="2:11" x14ac:dyDescent="0.25"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</row>
    <row r="126" spans="2:11" x14ac:dyDescent="0.25"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-98684</v>
      </c>
      <c r="I126">
        <v>91083</v>
      </c>
      <c r="J126">
        <v>0</v>
      </c>
      <c r="K126">
        <v>0</v>
      </c>
    </row>
    <row r="127" spans="2:11" x14ac:dyDescent="0.25"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</row>
    <row r="128" spans="2:11" x14ac:dyDescent="0.2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2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2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25"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</row>
    <row r="134" spans="2:11" x14ac:dyDescent="0.25"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</row>
    <row r="136" spans="2:11" x14ac:dyDescent="0.25"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</row>
    <row r="137" spans="2:11" x14ac:dyDescent="0.25"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</row>
    <row r="138" spans="2:11" x14ac:dyDescent="0.25"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</row>
    <row r="139" spans="2:11" x14ac:dyDescent="0.25"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</row>
    <row r="140" spans="2:11" x14ac:dyDescent="0.25"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</row>
    <row r="141" spans="2:11" x14ac:dyDescent="0.25"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</row>
    <row r="142" spans="2:11" x14ac:dyDescent="0.25"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</row>
    <row r="143" spans="2:11" x14ac:dyDescent="0.25"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</row>
    <row r="144" spans="2:11" x14ac:dyDescent="0.2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2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25"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</row>
    <row r="147" spans="2:11" x14ac:dyDescent="0.25"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</row>
    <row r="148" spans="2:11" x14ac:dyDescent="0.25"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</row>
    <row r="149" spans="2:11" x14ac:dyDescent="0.25"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</row>
    <row r="150" spans="2:11" x14ac:dyDescent="0.25"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</row>
    <row r="151" spans="2:11" x14ac:dyDescent="0.25"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</row>
    <row r="152" spans="2:11" x14ac:dyDescent="0.25"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</row>
    <row r="153" spans="2:11" x14ac:dyDescent="0.25"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</row>
    <row r="154" spans="2:11" x14ac:dyDescent="0.25"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</row>
    <row r="155" spans="2:11" x14ac:dyDescent="0.25"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</row>
    <row r="156" spans="2:11" x14ac:dyDescent="0.25"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</row>
    <row r="157" spans="2:11" x14ac:dyDescent="0.25"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</row>
    <row r="158" spans="2:11" x14ac:dyDescent="0.25"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</row>
    <row r="159" spans="2:11" x14ac:dyDescent="0.25"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</row>
    <row r="160" spans="2:11" x14ac:dyDescent="0.25"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</row>
    <row r="161" spans="2:11" x14ac:dyDescent="0.25"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</row>
    <row r="162" spans="2:11" x14ac:dyDescent="0.25"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</row>
    <row r="163" spans="2:11" x14ac:dyDescent="0.25"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</row>
    <row r="164" spans="2:11" x14ac:dyDescent="0.25"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</row>
    <row r="165" spans="2:11" x14ac:dyDescent="0.25"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</row>
    <row r="166" spans="2:11" x14ac:dyDescent="0.25"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2:11" x14ac:dyDescent="0.25"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</row>
    <row r="168" spans="2:11" x14ac:dyDescent="0.25"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2:11" x14ac:dyDescent="0.25"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2:11" x14ac:dyDescent="0.25"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2:11" x14ac:dyDescent="0.2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2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2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2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2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</row>
    <row r="176" spans="2:11" x14ac:dyDescent="0.25"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</row>
    <row r="177" spans="2:11" x14ac:dyDescent="0.25"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</row>
    <row r="178" spans="2:11" x14ac:dyDescent="0.25"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</row>
    <row r="179" spans="2:11" x14ac:dyDescent="0.25"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</row>
    <row r="180" spans="2:11" x14ac:dyDescent="0.25"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</row>
    <row r="181" spans="2:11" x14ac:dyDescent="0.25"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</row>
    <row r="182" spans="2:11" x14ac:dyDescent="0.25"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</row>
    <row r="183" spans="2:11" x14ac:dyDescent="0.25"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</row>
    <row r="184" spans="2:11" x14ac:dyDescent="0.25"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</row>
    <row r="185" spans="2:11" x14ac:dyDescent="0.25"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</row>
    <row r="186" spans="2:11" x14ac:dyDescent="0.25"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</row>
    <row r="187" spans="2:11" x14ac:dyDescent="0.25"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</row>
    <row r="188" spans="2:11" x14ac:dyDescent="0.25"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</row>
    <row r="189" spans="2:11" x14ac:dyDescent="0.25"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</row>
    <row r="190" spans="2:11" x14ac:dyDescent="0.25"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</row>
    <row r="191" spans="2:11" x14ac:dyDescent="0.25"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</row>
    <row r="192" spans="2:11" x14ac:dyDescent="0.25"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</row>
    <row r="193" spans="2:11" x14ac:dyDescent="0.25"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</row>
    <row r="194" spans="2:11" x14ac:dyDescent="0.25"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</row>
    <row r="195" spans="2:11" x14ac:dyDescent="0.25"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</row>
    <row r="196" spans="2:11" x14ac:dyDescent="0.25"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</row>
    <row r="197" spans="2:11" x14ac:dyDescent="0.25"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</row>
    <row r="198" spans="2:11" x14ac:dyDescent="0.25"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</row>
    <row r="199" spans="2:11" x14ac:dyDescent="0.25"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</row>
    <row r="200" spans="2:11" x14ac:dyDescent="0.25"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</row>
    <row r="201" spans="2:11" x14ac:dyDescent="0.25"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</row>
    <row r="202" spans="2:11" x14ac:dyDescent="0.25"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</row>
    <row r="203" spans="2:11" x14ac:dyDescent="0.25"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</row>
    <row r="204" spans="2:11" x14ac:dyDescent="0.25"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</row>
    <row r="205" spans="2:11" x14ac:dyDescent="0.25"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</row>
    <row r="206" spans="2:11" x14ac:dyDescent="0.25"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</row>
    <row r="207" spans="2:11" x14ac:dyDescent="0.25"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</row>
    <row r="208" spans="2:11" x14ac:dyDescent="0.25"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</row>
    <row r="209" spans="2:11" x14ac:dyDescent="0.25"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</row>
    <row r="210" spans="2:11" x14ac:dyDescent="0.25"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</row>
    <row r="211" spans="2:11" x14ac:dyDescent="0.25"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</row>
    <row r="212" spans="2:11" x14ac:dyDescent="0.25"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</row>
    <row r="213" spans="2:11" x14ac:dyDescent="0.25"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</row>
    <row r="214" spans="2:11" x14ac:dyDescent="0.25"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</row>
    <row r="215" spans="2:11" x14ac:dyDescent="0.25"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</row>
    <row r="216" spans="2:11" x14ac:dyDescent="0.25"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</row>
    <row r="217" spans="2:11" x14ac:dyDescent="0.25"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</row>
    <row r="218" spans="2:11" x14ac:dyDescent="0.25"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</row>
    <row r="219" spans="2:11" x14ac:dyDescent="0.25"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</row>
    <row r="220" spans="2:11" x14ac:dyDescent="0.25"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</row>
    <row r="221" spans="2:11" x14ac:dyDescent="0.25"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</row>
    <row r="222" spans="2:11" x14ac:dyDescent="0.25"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</row>
    <row r="223" spans="2:11" x14ac:dyDescent="0.25"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</row>
    <row r="224" spans="2:11" x14ac:dyDescent="0.25"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</row>
    <row r="225" spans="2:11" x14ac:dyDescent="0.25"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</row>
    <row r="226" spans="2:11" x14ac:dyDescent="0.25"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</row>
    <row r="227" spans="2:11" x14ac:dyDescent="0.25"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</row>
    <row r="228" spans="2:11" x14ac:dyDescent="0.25"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</row>
    <row r="229" spans="2:11" x14ac:dyDescent="0.25"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</row>
    <row r="230" spans="2:11" x14ac:dyDescent="0.25"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</row>
    <row r="231" spans="2:11" x14ac:dyDescent="0.25"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</row>
    <row r="232" spans="2:11" x14ac:dyDescent="0.25"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</row>
    <row r="233" spans="2:11" x14ac:dyDescent="0.25"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</row>
    <row r="234" spans="2:11" x14ac:dyDescent="0.25"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</row>
    <row r="235" spans="2:11" x14ac:dyDescent="0.25"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</row>
    <row r="236" spans="2:11" x14ac:dyDescent="0.25"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</row>
    <row r="237" spans="2:11" x14ac:dyDescent="0.25"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</row>
    <row r="238" spans="2:11" x14ac:dyDescent="0.25"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</row>
    <row r="239" spans="2:11" x14ac:dyDescent="0.25"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</row>
    <row r="240" spans="2:11" x14ac:dyDescent="0.25"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</row>
    <row r="241" spans="2:11" x14ac:dyDescent="0.25"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</row>
    <row r="242" spans="2:11" x14ac:dyDescent="0.25"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</row>
    <row r="243" spans="2:11" x14ac:dyDescent="0.25"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</row>
    <row r="244" spans="2:11" x14ac:dyDescent="0.25"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</row>
    <row r="245" spans="2:11" x14ac:dyDescent="0.25"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</row>
    <row r="246" spans="2:11" x14ac:dyDescent="0.25"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</row>
    <row r="247" spans="2:11" x14ac:dyDescent="0.25"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</row>
    <row r="248" spans="2:11" x14ac:dyDescent="0.25">
      <c r="B248">
        <v>0</v>
      </c>
      <c r="C248">
        <v>99135</v>
      </c>
      <c r="D248">
        <v>-90225</v>
      </c>
      <c r="E248">
        <v>-96126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</row>
    <row r="249" spans="2:11" x14ac:dyDescent="0.25"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</row>
    <row r="250" spans="2:11" x14ac:dyDescent="0.25"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</row>
  </sheetData>
  <pageMargins bottom="0.75" footer="0.3" header="0.3" left="0.7" right="0.7" top="0.75"/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00B050"/>
  </sheetPr>
  <dimension ref="A1:V62"/>
  <sheetViews>
    <sheetView workbookViewId="0">
      <selection activeCell="H13" sqref="H13"/>
    </sheetView>
  </sheetViews>
  <sheetFormatPr defaultRowHeight="15" x14ac:dyDescent="0.25"/>
  <cols>
    <col min="1" max="1" bestFit="true" customWidth="true" width="12.7109375" collapsed="true"/>
    <col min="2" max="3" bestFit="true" customWidth="true" width="11.5703125" collapsed="true"/>
    <col min="5" max="5" bestFit="true" customWidth="true" width="11.85546875" collapsed="true"/>
    <col min="6" max="6" customWidth="true" width="7.7109375" collapsed="true"/>
    <col min="7" max="7" bestFit="true" customWidth="true" width="7.140625" collapsed="true"/>
    <col min="8" max="8" bestFit="true" customWidth="true" width="17.5703125" collapsed="true"/>
    <col min="9" max="9" bestFit="true" customWidth="true" width="11.0" collapsed="true"/>
    <col min="11" max="11" customWidth="true" width="8.42578125" collapsed="true"/>
    <col min="12" max="13" bestFit="true" customWidth="true" width="17.5703125" collapsed="true"/>
    <col min="19" max="19" bestFit="true" customWidth="true" width="11.7109375" collapsed="true"/>
    <col min="20" max="21" bestFit="true" customWidth="true" width="17.5703125" collapsed="true"/>
  </cols>
  <sheetData>
    <row r="1" spans="1:21" x14ac:dyDescent="0.25">
      <c r="K1" s="55" t="s">
        <v>201</v>
      </c>
      <c r="R1" s="55" t="s">
        <v>235</v>
      </c>
    </row>
    <row r="2" spans="1:21" x14ac:dyDescent="0.25">
      <c r="B2" s="11"/>
      <c r="F2" s="11"/>
      <c r="K2">
        <v>1</v>
      </c>
      <c r="L2" t="s">
        <v>239</v>
      </c>
      <c r="T2" t="s">
        <v>233</v>
      </c>
      <c r="U2" t="s">
        <v>234</v>
      </c>
    </row>
    <row r="3" spans="1:21" x14ac:dyDescent="0.25">
      <c r="K3">
        <v>2</v>
      </c>
      <c r="L3" t="s">
        <v>237</v>
      </c>
      <c r="R3">
        <v>1</v>
      </c>
      <c r="S3" t="s">
        <v>71</v>
      </c>
      <c r="T3" s="59">
        <f>SchoolLocationCoefficient!E11</f>
        <v>1</v>
      </c>
      <c r="U3" s="60">
        <f>T3</f>
        <v>1</v>
      </c>
    </row>
    <row r="4" spans="1:21" x14ac:dyDescent="0.25">
      <c r="D4" s="58"/>
      <c r="E4" s="70"/>
      <c r="F4" s="70"/>
      <c r="G4" s="70"/>
      <c r="H4" s="70"/>
      <c r="I4" s="70"/>
      <c r="L4" t="s">
        <v>236</v>
      </c>
      <c r="R4">
        <v>2</v>
      </c>
      <c r="S4" t="s">
        <v>73</v>
      </c>
      <c r="T4" s="59">
        <f>SchoolLocationCoefficient!E12</f>
        <v>1</v>
      </c>
      <c r="U4" s="60">
        <f ref="U4:U62" si="0" t="shared">T4</f>
        <v>1</v>
      </c>
    </row>
    <row r="5" spans="1:21" x14ac:dyDescent="0.25">
      <c r="E5" s="7"/>
      <c r="F5" s="33"/>
      <c r="G5" s="33"/>
      <c r="H5" s="80" t="s">
        <v>245</v>
      </c>
      <c r="I5" s="33"/>
      <c r="R5">
        <v>3</v>
      </c>
      <c r="S5" t="s">
        <v>74</v>
      </c>
      <c r="T5" s="59">
        <f>SchoolLocationCoefficient!E13</f>
        <v>1</v>
      </c>
      <c r="U5" s="60">
        <f si="0" t="shared"/>
        <v>1</v>
      </c>
    </row>
    <row ht="15.75" r="6" spans="1:21" thickBot="1" x14ac:dyDescent="0.3">
      <c r="A6" s="55" t="s">
        <v>222</v>
      </c>
      <c r="E6" s="76" t="s">
        <v>240</v>
      </c>
      <c r="F6" s="33"/>
      <c r="G6" s="33"/>
      <c r="H6" s="80" t="s">
        <v>246</v>
      </c>
      <c r="I6" s="33"/>
      <c r="R6">
        <v>4</v>
      </c>
      <c r="S6" t="s">
        <v>75</v>
      </c>
      <c r="T6" s="59">
        <f>SchoolLocationCoefficient!E14</f>
        <v>0.5</v>
      </c>
      <c r="U6" s="60">
        <f si="0" t="shared"/>
        <v>0.5</v>
      </c>
    </row>
    <row r="7" spans="1:21" x14ac:dyDescent="0.25">
      <c r="A7" s="5" t="s">
        <v>2</v>
      </c>
      <c r="B7" s="5" t="s">
        <v>200</v>
      </c>
      <c r="C7" s="5" t="s">
        <v>223</v>
      </c>
      <c r="D7" s="7"/>
      <c r="E7" s="5" t="s">
        <v>2</v>
      </c>
      <c r="F7" s="5" t="s">
        <v>200</v>
      </c>
      <c r="G7" s="5" t="s">
        <v>223</v>
      </c>
      <c r="H7" t="s">
        <v>244</v>
      </c>
      <c r="I7" s="5" t="s">
        <v>232</v>
      </c>
      <c r="J7" s="5" t="s">
        <v>228</v>
      </c>
      <c r="K7" s="5" t="s">
        <v>229</v>
      </c>
      <c r="L7" s="5" t="s">
        <v>230</v>
      </c>
      <c r="M7" s="5" t="s">
        <v>231</v>
      </c>
      <c r="R7">
        <v>5</v>
      </c>
      <c r="S7" t="s">
        <v>76</v>
      </c>
      <c r="T7" s="59">
        <f>SchoolLocationCoefficient!E15</f>
        <v>0.1</v>
      </c>
      <c r="U7" s="60">
        <f si="0" t="shared"/>
        <v>0.1</v>
      </c>
    </row>
    <row r="8" spans="1:21" x14ac:dyDescent="0.25">
      <c r="A8" s="57" t="s">
        <v>224</v>
      </c>
      <c r="B8" s="83">
        <f>TLFD!B11</f>
        <v>14660.232100000001</v>
      </c>
      <c r="C8" s="83">
        <f>TLFD!H11</f>
        <v>33456</v>
      </c>
      <c r="D8" s="7"/>
      <c r="E8" s="57" t="s">
        <v>224</v>
      </c>
      <c r="F8" s="72">
        <f>B8/B$11</f>
        <v>0.24329750949841841</v>
      </c>
      <c r="G8" s="72">
        <f>C8/C$11</f>
        <v>0.18320008761362391</v>
      </c>
      <c r="H8" s="7">
        <v>1</v>
      </c>
      <c r="I8">
        <v>10</v>
      </c>
      <c r="J8" s="9">
        <f>F8/G8</f>
        <v>1.3280425389945352</v>
      </c>
      <c r="K8" s="9">
        <f>(LN(J8)-LN(J8))*H8</f>
        <v>0</v>
      </c>
      <c r="L8" s="59">
        <f>T12</f>
        <v>-15.3921330935</v>
      </c>
      <c r="M8" s="59">
        <f>L8+K8</f>
        <v>-15.3921330935</v>
      </c>
      <c r="R8">
        <v>6</v>
      </c>
      <c r="S8" t="s">
        <v>77</v>
      </c>
      <c r="T8" s="59">
        <f>SchoolLocationCoefficient!E16</f>
        <v>1</v>
      </c>
      <c r="U8" s="60">
        <f si="0" t="shared"/>
        <v>1</v>
      </c>
    </row>
    <row r="9" spans="1:21" x14ac:dyDescent="0.25">
      <c r="A9" s="57" t="s">
        <v>226</v>
      </c>
      <c r="B9" s="83">
        <f>SUM(TLFD!B12:B15)</f>
        <v>29881.665799999999</v>
      </c>
      <c r="C9" s="83">
        <f>SUM(TLFD!H12:H15)</f>
        <v>83783</v>
      </c>
      <c r="E9" s="57" t="s">
        <v>226</v>
      </c>
      <c r="F9" s="72">
        <f ref="F9:F10" si="1" t="shared">B9/B$11</f>
        <v>0.49590857901929564</v>
      </c>
      <c r="G9" s="72">
        <f ref="G9:G10" si="2" t="shared">C9/C$11</f>
        <v>0.45878326579783157</v>
      </c>
      <c r="H9">
        <v>0.1</v>
      </c>
      <c r="I9">
        <v>11</v>
      </c>
      <c r="J9" s="9">
        <f ref="J9:J10" si="3" t="shared">F9/G9</f>
        <v>1.0809212453660499</v>
      </c>
      <c r="K9" s="9">
        <f>(LN(J9)-LN(J8))*H9</f>
        <v>-2.0589240041390983E-2</v>
      </c>
      <c r="L9" s="59">
        <f ref="L9:L10" si="4" t="shared">T13</f>
        <v>-9.7518039976427993</v>
      </c>
      <c r="M9" s="59">
        <f ref="M9:M10" si="5" t="shared">L9+K9</f>
        <v>-9.7723932376841898</v>
      </c>
      <c r="R9">
        <v>7</v>
      </c>
      <c r="S9" t="s">
        <v>78</v>
      </c>
      <c r="T9" s="59">
        <f>SchoolLocationCoefficient!E17</f>
        <v>-21.977719252</v>
      </c>
      <c r="U9" s="60">
        <f si="0" t="shared"/>
        <v>-21.977719252</v>
      </c>
    </row>
    <row r="10" spans="1:21" x14ac:dyDescent="0.25">
      <c r="A10" s="69" t="s">
        <v>227</v>
      </c>
      <c r="B10" s="86">
        <f>SUM(TLFD!B16:B101)</f>
        <v>15714.5023</v>
      </c>
      <c r="C10" s="86">
        <f>SUM(TLFD!H16:H101)</f>
        <v>65381</v>
      </c>
      <c r="E10" s="69" t="s">
        <v>227</v>
      </c>
      <c r="F10" s="75">
        <f si="1" t="shared"/>
        <v>0.26079391148228603</v>
      </c>
      <c r="G10" s="75">
        <f si="2" t="shared"/>
        <v>0.35801664658854454</v>
      </c>
      <c r="H10">
        <v>0.1</v>
      </c>
      <c r="I10" s="6">
        <v>12</v>
      </c>
      <c r="J10" s="18">
        <f si="3" t="shared"/>
        <v>0.72844074142174442</v>
      </c>
      <c r="K10" s="18">
        <f>(LN(J10)-LN(J9)-LN(J8))*H10</f>
        <v>-6.7836876535306997E-2</v>
      </c>
      <c r="L10" s="74">
        <f si="4" t="shared"/>
        <v>-1.0599160072038001</v>
      </c>
      <c r="M10" s="74">
        <f si="5" t="shared"/>
        <v>-1.1277528837391071</v>
      </c>
      <c r="R10">
        <v>8</v>
      </c>
      <c r="S10" t="s">
        <v>79</v>
      </c>
      <c r="T10" s="59">
        <f>SchoolLocationCoefficient!E18</f>
        <v>-1.4857940511400001</v>
      </c>
      <c r="U10" s="60">
        <f si="0" t="shared"/>
        <v>-1.4857940511400001</v>
      </c>
    </row>
    <row ht="15.75" r="11" spans="1:21" thickBot="1" x14ac:dyDescent="0.3">
      <c r="A11" s="71" t="s">
        <v>3</v>
      </c>
      <c r="B11" s="82">
        <f>SUM(B8:B10)</f>
        <v>60256.400199999996</v>
      </c>
      <c r="C11" s="82">
        <f>SUM(C8:C10)</f>
        <v>182620</v>
      </c>
      <c r="D11" s="58"/>
      <c r="E11" s="71" t="s">
        <v>3</v>
      </c>
      <c r="F11" s="73">
        <f>SUM(F8:F10)</f>
        <v>1</v>
      </c>
      <c r="G11" s="73">
        <f>SUM(G8:G10)</f>
        <v>1</v>
      </c>
      <c r="R11">
        <v>9</v>
      </c>
      <c r="S11" t="s">
        <v>80</v>
      </c>
      <c r="T11" s="59">
        <f>SchoolLocationCoefficient!E19</f>
        <v>-4.85028348146</v>
      </c>
      <c r="U11" s="60">
        <f si="0" t="shared"/>
        <v>-4.85028348146</v>
      </c>
    </row>
    <row r="12" spans="1:21" x14ac:dyDescent="0.25">
      <c r="A12" s="67"/>
      <c r="B12" s="68"/>
      <c r="C12" s="68"/>
      <c r="R12" s="61">
        <v>10</v>
      </c>
      <c r="S12" s="61" t="s">
        <v>81</v>
      </c>
      <c r="T12" s="59">
        <f>SchoolLocationCoefficient!E20</f>
        <v>-15.3921330935</v>
      </c>
      <c r="U12" s="60">
        <f>M8</f>
        <v>-15.3921330935</v>
      </c>
    </row>
    <row r="13" spans="1:21" x14ac:dyDescent="0.25">
      <c r="A13" s="67"/>
      <c r="B13" s="68"/>
      <c r="C13" s="68"/>
      <c r="D13" s="7"/>
      <c r="R13" s="61">
        <v>11</v>
      </c>
      <c r="S13" s="61" t="s">
        <v>82</v>
      </c>
      <c r="T13" s="59">
        <f>SchoolLocationCoefficient!E21</f>
        <v>-9.7518039976427993</v>
      </c>
      <c r="U13" s="60">
        <f ref="U13:U14" si="6" t="shared">M9</f>
        <v>-9.7723932376841898</v>
      </c>
    </row>
    <row r="14" spans="1:21" x14ac:dyDescent="0.25">
      <c r="A14" s="63" t="s">
        <v>238</v>
      </c>
      <c r="R14" s="61">
        <v>12</v>
      </c>
      <c r="S14" s="61" t="s">
        <v>83</v>
      </c>
      <c r="T14" s="59">
        <f>SchoolLocationCoefficient!E22</f>
        <v>-1.0599160072038001</v>
      </c>
      <c r="U14" s="60">
        <f si="6" t="shared"/>
        <v>-1.1277528837391071</v>
      </c>
    </row>
    <row ht="15.75" r="15" spans="1:21" thickBot="1" x14ac:dyDescent="0.3">
      <c r="R15">
        <v>13</v>
      </c>
      <c r="S15" t="s">
        <v>84</v>
      </c>
      <c r="T15" s="59">
        <f>SchoolLocationCoefficient!E23</f>
        <v>-6.5192578502799998</v>
      </c>
      <c r="U15" s="60">
        <f si="0" t="shared"/>
        <v>-6.5192578502799998</v>
      </c>
    </row>
    <row r="16" spans="1:21" x14ac:dyDescent="0.25">
      <c r="A16" s="5" t="s">
        <v>2</v>
      </c>
      <c r="B16" s="5" t="s">
        <v>200</v>
      </c>
      <c r="C16" s="5" t="s">
        <v>223</v>
      </c>
      <c r="D16" s="58"/>
      <c r="E16" s="5" t="s">
        <v>2</v>
      </c>
      <c r="F16" s="5" t="s">
        <v>200</v>
      </c>
      <c r="G16" s="5" t="s">
        <v>223</v>
      </c>
      <c r="I16" s="5" t="s">
        <v>232</v>
      </c>
      <c r="J16" s="5" t="s">
        <v>228</v>
      </c>
      <c r="K16" s="5" t="s">
        <v>229</v>
      </c>
      <c r="L16" s="5" t="s">
        <v>230</v>
      </c>
      <c r="M16" s="5" t="s">
        <v>231</v>
      </c>
      <c r="R16">
        <v>14</v>
      </c>
      <c r="S16" t="s">
        <v>85</v>
      </c>
      <c r="T16" s="59">
        <f>SchoolLocationCoefficient!E24</f>
        <v>-3.04866060786</v>
      </c>
      <c r="U16" s="60">
        <f si="0" t="shared"/>
        <v>-3.04866060786</v>
      </c>
    </row>
    <row r="17" spans="1:21" x14ac:dyDescent="0.25">
      <c r="A17" s="64" t="s">
        <v>225</v>
      </c>
      <c r="B17" s="81">
        <f>SchoolAtHome!E14</f>
        <v>5959.3589000000002</v>
      </c>
      <c r="C17" s="81">
        <f>SchoolAtHome!L14</f>
        <v>5578</v>
      </c>
      <c r="E17" s="64" t="s">
        <v>225</v>
      </c>
      <c r="F17" s="77">
        <f>B17/B18</f>
        <v>7.8812872530154621E-2</v>
      </c>
      <c r="G17" s="77">
        <f>C17/C18</f>
        <v>1.9539364217532183E-2</v>
      </c>
      <c r="I17" s="65">
        <v>50</v>
      </c>
      <c r="J17" s="66">
        <f>F17/G17</f>
        <v>4.0335433462792922</v>
      </c>
      <c r="K17" s="66">
        <f>LN(J17)</f>
        <v>1.3946452319044698</v>
      </c>
      <c r="L17" s="79">
        <f>T33</f>
        <v>-52.496387392000003</v>
      </c>
      <c r="M17" s="78">
        <f ref="M17" si="7" t="shared">L17+K17</f>
        <v>-51.101742160095533</v>
      </c>
      <c r="R17">
        <v>15</v>
      </c>
      <c r="S17" t="s">
        <v>86</v>
      </c>
      <c r="T17" s="59">
        <f>SchoolLocationCoefficient!E25</f>
        <v>0</v>
      </c>
      <c r="U17" s="60">
        <f si="0" t="shared"/>
        <v>0</v>
      </c>
    </row>
    <row ht="15.75" r="18" spans="1:21" thickBot="1" x14ac:dyDescent="0.3">
      <c r="A18" s="12" t="s">
        <v>3</v>
      </c>
      <c r="B18" s="82">
        <f>SchoolAtHome!E25</f>
        <v>75614.029899999994</v>
      </c>
      <c r="C18" s="82">
        <f>SchoolAtHome!L25</f>
        <v>285475</v>
      </c>
      <c r="E18" s="12" t="s">
        <v>3</v>
      </c>
      <c r="F18" s="73">
        <f>B18/B18</f>
        <v>1</v>
      </c>
      <c r="G18" s="73">
        <f>C18/C18</f>
        <v>1</v>
      </c>
      <c r="R18">
        <v>16</v>
      </c>
      <c r="S18" t="s">
        <v>87</v>
      </c>
      <c r="T18" s="59">
        <f>SchoolLocationCoefficient!E26</f>
        <v>-2.2084934246199999</v>
      </c>
      <c r="U18" s="60">
        <f si="0" t="shared"/>
        <v>-2.2084934246199999</v>
      </c>
    </row>
    <row r="19" spans="1:21" x14ac:dyDescent="0.25">
      <c r="R19">
        <v>17</v>
      </c>
      <c r="S19" t="s">
        <v>88</v>
      </c>
      <c r="T19" s="59">
        <f>SchoolLocationCoefficient!E27</f>
        <v>0</v>
      </c>
      <c r="U19" s="60">
        <f si="0" t="shared"/>
        <v>0</v>
      </c>
    </row>
    <row r="20" spans="1:21" x14ac:dyDescent="0.25">
      <c r="R20">
        <v>18</v>
      </c>
      <c r="S20" t="s">
        <v>89</v>
      </c>
      <c r="T20" s="59">
        <f>SchoolLocationCoefficient!E28</f>
        <v>0</v>
      </c>
      <c r="U20" s="60">
        <f si="0" t="shared"/>
        <v>0</v>
      </c>
    </row>
    <row r="21" spans="1:21" x14ac:dyDescent="0.25">
      <c r="R21">
        <v>19</v>
      </c>
      <c r="S21" t="s">
        <v>90</v>
      </c>
      <c r="T21" s="59">
        <f>SchoolLocationCoefficient!E29</f>
        <v>0</v>
      </c>
      <c r="U21" s="60">
        <f si="0" t="shared"/>
        <v>0</v>
      </c>
    </row>
    <row r="22" spans="1:21" x14ac:dyDescent="0.25">
      <c r="G22" s="7"/>
      <c r="R22">
        <v>20</v>
      </c>
      <c r="S22" t="s">
        <v>91</v>
      </c>
      <c r="T22" s="59">
        <f>SchoolLocationCoefficient!E30</f>
        <v>0</v>
      </c>
      <c r="U22" s="60">
        <f si="0" t="shared"/>
        <v>0</v>
      </c>
    </row>
    <row r="23" spans="1:21" x14ac:dyDescent="0.25">
      <c r="G23" s="7"/>
      <c r="R23">
        <v>21</v>
      </c>
      <c r="S23" t="s">
        <v>92</v>
      </c>
      <c r="T23" s="59">
        <f>SchoolLocationCoefficient!E31</f>
        <v>0</v>
      </c>
      <c r="U23" s="60">
        <f si="0" t="shared"/>
        <v>0</v>
      </c>
    </row>
    <row r="24" spans="1:21" x14ac:dyDescent="0.25">
      <c r="R24">
        <v>30</v>
      </c>
      <c r="S24" t="s">
        <v>93</v>
      </c>
      <c r="T24" s="59">
        <f>SchoolLocationCoefficient!E32</f>
        <v>0</v>
      </c>
      <c r="U24" s="60">
        <f si="0" t="shared"/>
        <v>0</v>
      </c>
    </row>
    <row r="25" spans="1:21" x14ac:dyDescent="0.25">
      <c r="R25">
        <v>31</v>
      </c>
      <c r="S25" t="s">
        <v>94</v>
      </c>
      <c r="T25" s="59">
        <f>SchoolLocationCoefficient!E33</f>
        <v>0</v>
      </c>
      <c r="U25" s="60">
        <f si="0" t="shared"/>
        <v>0</v>
      </c>
    </row>
    <row r="26" spans="1:21" x14ac:dyDescent="0.25">
      <c r="R26">
        <v>32</v>
      </c>
      <c r="S26" t="s">
        <v>95</v>
      </c>
      <c r="T26" s="59">
        <f>SchoolLocationCoefficient!E34</f>
        <v>0</v>
      </c>
      <c r="U26" s="60">
        <f si="0" t="shared"/>
        <v>0</v>
      </c>
    </row>
    <row r="27" spans="1:21" x14ac:dyDescent="0.25">
      <c r="R27">
        <v>33</v>
      </c>
      <c r="S27" t="s">
        <v>96</v>
      </c>
      <c r="T27" s="59">
        <f>SchoolLocationCoefficient!E35</f>
        <v>0.20475756801299999</v>
      </c>
      <c r="U27" s="60">
        <f si="0" t="shared"/>
        <v>0.20475756801299999</v>
      </c>
    </row>
    <row r="28" spans="1:21" x14ac:dyDescent="0.25">
      <c r="J28" t="s">
        <v>241</v>
      </c>
      <c r="R28">
        <v>34</v>
      </c>
      <c r="S28" t="s">
        <v>97</v>
      </c>
      <c r="T28" s="59">
        <f>SchoolLocationCoefficient!E36</f>
        <v>0.73914409694299998</v>
      </c>
      <c r="U28" s="60">
        <f si="0" t="shared"/>
        <v>0.73914409694299998</v>
      </c>
    </row>
    <row r="29" spans="1:21" x14ac:dyDescent="0.25">
      <c r="J29" t="s">
        <v>242</v>
      </c>
      <c r="R29">
        <v>35</v>
      </c>
      <c r="S29" t="s">
        <v>98</v>
      </c>
      <c r="T29" s="59">
        <f>SchoolLocationCoefficient!E37</f>
        <v>0.91950533972299997</v>
      </c>
      <c r="U29" s="60">
        <f si="0" t="shared"/>
        <v>0.91950533972299997</v>
      </c>
    </row>
    <row r="30" spans="1:21" x14ac:dyDescent="0.25">
      <c r="J30" t="s">
        <v>243</v>
      </c>
      <c r="R30">
        <v>36</v>
      </c>
      <c r="S30" t="s">
        <v>99</v>
      </c>
      <c r="T30" s="59">
        <f>SchoolLocationCoefficient!E38</f>
        <v>0</v>
      </c>
      <c r="U30" s="60">
        <f si="0" t="shared"/>
        <v>0</v>
      </c>
    </row>
    <row r="31" spans="1:21" x14ac:dyDescent="0.25">
      <c r="R31">
        <v>37</v>
      </c>
      <c r="S31" t="s">
        <v>100</v>
      </c>
      <c r="T31" s="59">
        <f>SchoolLocationCoefficient!E39</f>
        <v>0.47967991030399998</v>
      </c>
      <c r="U31" s="60">
        <f si="0" t="shared"/>
        <v>0.47967991030399998</v>
      </c>
    </row>
    <row r="32" spans="1:21" x14ac:dyDescent="0.25">
      <c r="R32">
        <v>38</v>
      </c>
      <c r="S32" t="s">
        <v>101</v>
      </c>
      <c r="T32" s="59">
        <f>SchoolLocationCoefficient!E40</f>
        <v>-0.117361085083</v>
      </c>
      <c r="U32" s="60">
        <f si="0" t="shared"/>
        <v>-0.117361085083</v>
      </c>
    </row>
    <row r="33" spans="18:21" x14ac:dyDescent="0.25">
      <c r="R33" s="61">
        <v>50</v>
      </c>
      <c r="S33" s="61" t="s">
        <v>102</v>
      </c>
      <c r="T33" s="59">
        <f>SchoolLocationCoefficient!E41</f>
        <v>-52.496387392000003</v>
      </c>
      <c r="U33" s="62">
        <f>M17</f>
        <v>-51.101742160095533</v>
      </c>
    </row>
    <row r="34" spans="18:21" x14ac:dyDescent="0.25">
      <c r="R34">
        <v>51</v>
      </c>
      <c r="S34" t="s">
        <v>104</v>
      </c>
      <c r="T34" s="59">
        <f>SchoolLocationCoefficient!E42</f>
        <v>17.602734273900001</v>
      </c>
      <c r="U34" s="60">
        <f si="0" t="shared"/>
        <v>17.602734273900001</v>
      </c>
    </row>
    <row r="35" spans="18:21" x14ac:dyDescent="0.25">
      <c r="R35">
        <v>52</v>
      </c>
      <c r="S35" t="s">
        <v>105</v>
      </c>
      <c r="T35" s="59">
        <f>SchoolLocationCoefficient!E43</f>
        <v>4.20952630757</v>
      </c>
      <c r="U35" s="60">
        <f si="0" t="shared"/>
        <v>4.20952630757</v>
      </c>
    </row>
    <row r="36" spans="18:21" x14ac:dyDescent="0.25">
      <c r="R36">
        <v>60</v>
      </c>
      <c r="S36" t="s">
        <v>106</v>
      </c>
      <c r="T36" s="59">
        <f>SchoolLocationCoefficient!E44</f>
        <v>0.20359321296800001</v>
      </c>
      <c r="U36" s="60">
        <f si="0" t="shared"/>
        <v>0.20359321296800001</v>
      </c>
    </row>
    <row r="37" spans="18:21" x14ac:dyDescent="0.25">
      <c r="R37">
        <v>61</v>
      </c>
      <c r="S37" t="s">
        <v>107</v>
      </c>
      <c r="T37" s="59">
        <f>SchoolLocationCoefficient!E45</f>
        <v>-3.7139025588600001</v>
      </c>
      <c r="U37" s="60">
        <f si="0" t="shared"/>
        <v>-3.7139025588600001</v>
      </c>
    </row>
    <row r="38" spans="18:21" x14ac:dyDescent="0.25">
      <c r="R38">
        <v>62</v>
      </c>
      <c r="S38" t="s">
        <v>108</v>
      </c>
      <c r="T38" s="59">
        <f>SchoolLocationCoefficient!E46</f>
        <v>-14.9292134206</v>
      </c>
      <c r="U38" s="60">
        <f si="0" t="shared"/>
        <v>-14.9292134206</v>
      </c>
    </row>
    <row r="39" spans="18:21" x14ac:dyDescent="0.25">
      <c r="R39">
        <v>63</v>
      </c>
      <c r="S39" t="s">
        <v>109</v>
      </c>
      <c r="T39" s="59">
        <f>SchoolLocationCoefficient!E47</f>
        <v>-18.363643827400001</v>
      </c>
      <c r="U39" s="60">
        <f si="0" t="shared"/>
        <v>-18.363643827400001</v>
      </c>
    </row>
    <row r="40" spans="18:21" x14ac:dyDescent="0.25">
      <c r="R40">
        <v>64</v>
      </c>
      <c r="S40" t="s">
        <v>110</v>
      </c>
      <c r="T40" s="59">
        <f>SchoolLocationCoefficient!E48</f>
        <v>-19.6107408341</v>
      </c>
      <c r="U40" s="60">
        <f si="0" t="shared"/>
        <v>-19.6107408341</v>
      </c>
    </row>
    <row r="41" spans="18:21" x14ac:dyDescent="0.25">
      <c r="R41">
        <v>65</v>
      </c>
      <c r="S41" t="s">
        <v>111</v>
      </c>
      <c r="T41" s="59">
        <f>SchoolLocationCoefficient!E49</f>
        <v>-29.386377866</v>
      </c>
      <c r="U41" s="60">
        <f si="0" t="shared"/>
        <v>-29.386377866</v>
      </c>
    </row>
    <row r="42" spans="18:21" x14ac:dyDescent="0.25">
      <c r="R42">
        <v>66</v>
      </c>
      <c r="S42" t="s">
        <v>112</v>
      </c>
      <c r="T42" s="59">
        <f>SchoolLocationCoefficient!E50</f>
        <v>0</v>
      </c>
      <c r="U42" s="60">
        <f si="0" t="shared"/>
        <v>0</v>
      </c>
    </row>
    <row r="43" spans="18:21" x14ac:dyDescent="0.25">
      <c r="R43">
        <v>67</v>
      </c>
      <c r="S43" t="s">
        <v>113</v>
      </c>
      <c r="T43" s="59">
        <f>SchoolLocationCoefficient!E51</f>
        <v>-6.7290240321499999</v>
      </c>
      <c r="U43" s="60">
        <f si="0" t="shared"/>
        <v>-6.7290240321499999</v>
      </c>
    </row>
    <row r="44" spans="18:21" x14ac:dyDescent="0.25">
      <c r="R44">
        <v>68</v>
      </c>
      <c r="S44" t="s">
        <v>114</v>
      </c>
      <c r="T44" s="59">
        <f>SchoolLocationCoefficient!E52</f>
        <v>-26.1597322567</v>
      </c>
      <c r="U44" s="60">
        <f si="0" t="shared"/>
        <v>-26.1597322567</v>
      </c>
    </row>
    <row r="45" spans="18:21" x14ac:dyDescent="0.25">
      <c r="R45">
        <v>69</v>
      </c>
      <c r="S45" t="s">
        <v>115</v>
      </c>
      <c r="T45" s="59">
        <f>SchoolLocationCoefficient!E53</f>
        <v>-0.14966845132199999</v>
      </c>
      <c r="U45" s="60">
        <f si="0" t="shared"/>
        <v>-0.14966845132199999</v>
      </c>
    </row>
    <row r="46" spans="18:21" x14ac:dyDescent="0.25">
      <c r="R46">
        <v>70</v>
      </c>
      <c r="S46" t="s">
        <v>116</v>
      </c>
      <c r="T46" s="59">
        <f>SchoolLocationCoefficient!E54</f>
        <v>-28.815960729</v>
      </c>
      <c r="U46" s="60">
        <f si="0" t="shared"/>
        <v>-28.815960729</v>
      </c>
    </row>
    <row r="47" spans="18:21" x14ac:dyDescent="0.25">
      <c r="R47">
        <v>71</v>
      </c>
      <c r="S47" t="s">
        <v>117</v>
      </c>
      <c r="T47" s="59">
        <f>SchoolLocationCoefficient!E55</f>
        <v>-38.204969650199999</v>
      </c>
      <c r="U47" s="60">
        <f si="0" t="shared"/>
        <v>-38.204969650199999</v>
      </c>
    </row>
    <row r="48" spans="18:21" x14ac:dyDescent="0.25">
      <c r="R48">
        <v>72</v>
      </c>
      <c r="S48" t="s">
        <v>118</v>
      </c>
      <c r="T48" s="59">
        <f>SchoolLocationCoefficient!E56</f>
        <v>0</v>
      </c>
      <c r="U48" s="60">
        <f si="0" t="shared"/>
        <v>0</v>
      </c>
    </row>
    <row r="49" spans="18:21" x14ac:dyDescent="0.25">
      <c r="R49">
        <v>73</v>
      </c>
      <c r="S49" t="s">
        <v>119</v>
      </c>
      <c r="T49" s="59">
        <f>SchoolLocationCoefficient!E57</f>
        <v>-0.78460574570499997</v>
      </c>
      <c r="U49" s="60">
        <f si="0" t="shared"/>
        <v>-0.78460574570499997</v>
      </c>
    </row>
    <row r="50" spans="18:21" x14ac:dyDescent="0.25">
      <c r="R50">
        <v>74</v>
      </c>
      <c r="S50" t="s">
        <v>120</v>
      </c>
      <c r="T50" s="59">
        <f>SchoolLocationCoefficient!E58</f>
        <v>-60</v>
      </c>
      <c r="U50" s="60">
        <f si="0" t="shared"/>
        <v>-60</v>
      </c>
    </row>
    <row r="51" spans="18:21" x14ac:dyDescent="0.25">
      <c r="R51">
        <v>75</v>
      </c>
      <c r="S51" t="s">
        <v>121</v>
      </c>
      <c r="T51" s="59">
        <f>SchoolLocationCoefficient!E59</f>
        <v>-40</v>
      </c>
      <c r="U51" s="60">
        <f si="0" t="shared"/>
        <v>-40</v>
      </c>
    </row>
    <row r="52" spans="18:21" x14ac:dyDescent="0.25">
      <c r="R52">
        <v>76</v>
      </c>
      <c r="S52" t="s">
        <v>122</v>
      </c>
      <c r="T52" s="59">
        <f>SchoolLocationCoefficient!E60</f>
        <v>-19.3366724551</v>
      </c>
      <c r="U52" s="60">
        <f si="0" t="shared"/>
        <v>-19.3366724551</v>
      </c>
    </row>
    <row r="53" spans="18:21" x14ac:dyDescent="0.25">
      <c r="R53">
        <v>77</v>
      </c>
      <c r="S53" t="s">
        <v>123</v>
      </c>
      <c r="T53" s="59">
        <f>SchoolLocationCoefficient!E61</f>
        <v>-29.8899113495</v>
      </c>
      <c r="U53" s="60">
        <f si="0" t="shared"/>
        <v>-29.8899113495</v>
      </c>
    </row>
    <row r="54" spans="18:21" x14ac:dyDescent="0.25">
      <c r="R54">
        <v>78</v>
      </c>
      <c r="S54" t="s">
        <v>124</v>
      </c>
      <c r="T54" s="59">
        <f>SchoolLocationCoefficient!E62</f>
        <v>0</v>
      </c>
      <c r="U54" s="60">
        <f si="0" t="shared"/>
        <v>0</v>
      </c>
    </row>
    <row r="55" spans="18:21" x14ac:dyDescent="0.25">
      <c r="R55">
        <v>79</v>
      </c>
      <c r="S55" t="s">
        <v>125</v>
      </c>
      <c r="T55" s="59">
        <f>SchoolLocationCoefficient!E63</f>
        <v>-4.6085602533700003</v>
      </c>
      <c r="U55" s="60">
        <f si="0" t="shared"/>
        <v>-4.6085602533700003</v>
      </c>
    </row>
    <row r="56" spans="18:21" x14ac:dyDescent="0.25">
      <c r="R56">
        <v>80</v>
      </c>
      <c r="S56" t="s">
        <v>126</v>
      </c>
      <c r="T56" s="59">
        <f>SchoolLocationCoefficient!E64</f>
        <v>-20</v>
      </c>
      <c r="U56" s="60">
        <f si="0" t="shared"/>
        <v>-20</v>
      </c>
    </row>
    <row r="57" spans="18:21" x14ac:dyDescent="0.25">
      <c r="R57">
        <v>81</v>
      </c>
      <c r="S57" t="s">
        <v>127</v>
      </c>
      <c r="T57" s="59">
        <f>SchoolLocationCoefficient!E65</f>
        <v>-16.8297323695</v>
      </c>
      <c r="U57" s="60">
        <f si="0" t="shared"/>
        <v>-16.8297323695</v>
      </c>
    </row>
    <row r="58" spans="18:21" x14ac:dyDescent="0.25">
      <c r="R58">
        <v>82</v>
      </c>
      <c r="S58" t="s">
        <v>128</v>
      </c>
      <c r="T58" s="59">
        <f>SchoolLocationCoefficient!E66</f>
        <v>-30</v>
      </c>
      <c r="U58" s="60">
        <f si="0" t="shared"/>
        <v>-30</v>
      </c>
    </row>
    <row r="59" spans="18:21" x14ac:dyDescent="0.25">
      <c r="R59">
        <v>83</v>
      </c>
      <c r="S59" t="s">
        <v>129</v>
      </c>
      <c r="T59" s="59">
        <f>SchoolLocationCoefficient!E67</f>
        <v>0</v>
      </c>
      <c r="U59" s="60">
        <f si="0" t="shared"/>
        <v>0</v>
      </c>
    </row>
    <row r="60" spans="18:21" x14ac:dyDescent="0.25">
      <c r="R60">
        <v>84</v>
      </c>
      <c r="S60" t="s">
        <v>130</v>
      </c>
      <c r="T60" s="59">
        <f>SchoolLocationCoefficient!E68</f>
        <v>-3.8243167264700002</v>
      </c>
      <c r="U60" s="60">
        <f si="0" t="shared"/>
        <v>-3.8243167264700002</v>
      </c>
    </row>
    <row r="61" spans="18:21" x14ac:dyDescent="0.25">
      <c r="R61">
        <v>98</v>
      </c>
      <c r="S61" t="s">
        <v>131</v>
      </c>
      <c r="T61" s="59">
        <f>SchoolLocationCoefficient!E69</f>
        <v>0</v>
      </c>
      <c r="U61" s="60">
        <f si="0" t="shared"/>
        <v>0</v>
      </c>
    </row>
    <row r="62" spans="18:21" x14ac:dyDescent="0.25">
      <c r="R62">
        <v>99</v>
      </c>
      <c r="S62" t="s">
        <v>132</v>
      </c>
      <c r="T62" s="59">
        <f>SchoolLocationCoefficient!E70</f>
        <v>0.11248071060500001</v>
      </c>
      <c r="U62" s="60">
        <f si="0" t="shared"/>
        <v>0.11248071060500001</v>
      </c>
    </row>
  </sheetData>
  <pageMargins bottom="0.75" footer="0.3" header="0.3" left="0.7" right="0.7" top="0.75"/>
  <pageSetup orientation="portrait" r:id="rId1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9</vt:i4>
      </vt:variant>
      <vt:variant>
        <vt:lpstr>Named Ranges</vt:lpstr>
      </vt:variant>
      <vt:variant>
        <vt:i4>34</vt:i4>
      </vt:variant>
    </vt:vector>
  </HeadingPairs>
  <TitlesOfParts>
    <vt:vector baseType="lpstr" size="43">
      <vt:lpstr>TLFD</vt:lpstr>
      <vt:lpstr>TDFD</vt:lpstr>
      <vt:lpstr>TDFD_Agg</vt:lpstr>
      <vt:lpstr>County_Flow</vt:lpstr>
      <vt:lpstr>SchoolAtHome</vt:lpstr>
      <vt:lpstr>Documentation</vt:lpstr>
      <vt:lpstr>CoeffDef</vt:lpstr>
      <vt:lpstr>SchoolLocationCoefficient</vt:lpstr>
      <vt:lpstr>Calibration</vt:lpstr>
      <vt:lpstr>athm</vt:lpstr>
      <vt:lpstr>avgdist</vt:lpstr>
      <vt:lpstr>avgtime</vt:lpstr>
      <vt:lpstr>flows</vt:lpstr>
      <vt:lpstr>out_1</vt:lpstr>
      <vt:lpstr>out_10</vt:lpstr>
      <vt:lpstr>out_11</vt:lpstr>
      <vt:lpstr>out_12</vt:lpstr>
      <vt:lpstr>out_14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out11</vt:lpstr>
      <vt:lpstr>out12</vt:lpstr>
      <vt:lpstr>out13</vt:lpstr>
      <vt:lpstr>out14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Sch_dist</vt:lpstr>
      <vt:lpstr>Sch_time</vt:lpstr>
      <vt:lpstr>tot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Dong, Hu</cp:lastModifiedBy>
  <dcterms:modified xsi:type="dcterms:W3CDTF">2019-10-07T21:07:04Z</dcterms:modified>
</cp:coreProperties>
</file>